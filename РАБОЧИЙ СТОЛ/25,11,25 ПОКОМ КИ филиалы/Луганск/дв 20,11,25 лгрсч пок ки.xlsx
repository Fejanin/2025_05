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ЗАВОДЫ\ПОКОМ\заказы\статистика филиалы\2025\11,25\20,11,25 ПОКОМ КИ филиалы\"/>
    </mc:Choice>
  </mc:AlternateContent>
  <xr:revisionPtr revIDLastSave="0" documentId="13_ncr:1_{2850660D-435C-4309-A36C-D3F3F990481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Sheet!$A$3:$AK$97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L11" i="1" l="1"/>
  <c r="AL12" i="1"/>
  <c r="AL13" i="1"/>
  <c r="AL16" i="1"/>
  <c r="AL18" i="1"/>
  <c r="AL19" i="1"/>
  <c r="AL22" i="1"/>
  <c r="AL23" i="1"/>
  <c r="AL25" i="1"/>
  <c r="AL26" i="1"/>
  <c r="AL27" i="1"/>
  <c r="AL28" i="1"/>
  <c r="AL29" i="1"/>
  <c r="AL30" i="1"/>
  <c r="AL31" i="1"/>
  <c r="AL32" i="1"/>
  <c r="AL36" i="1"/>
  <c r="AL39" i="1"/>
  <c r="AL40" i="1"/>
  <c r="AL41" i="1"/>
  <c r="AL42" i="1"/>
  <c r="AL43" i="1"/>
  <c r="AL44" i="1"/>
  <c r="AL45" i="1"/>
  <c r="AL48" i="1"/>
  <c r="AL49" i="1"/>
  <c r="AL50" i="1"/>
  <c r="AL51" i="1"/>
  <c r="AL53" i="1"/>
  <c r="AL55" i="1"/>
  <c r="AL56" i="1"/>
  <c r="AL57" i="1"/>
  <c r="AL58" i="1"/>
  <c r="AL59" i="1"/>
  <c r="AL60" i="1"/>
  <c r="AL61" i="1"/>
  <c r="AL62" i="1"/>
  <c r="AL63" i="1"/>
  <c r="AL64" i="1"/>
  <c r="AL65" i="1"/>
  <c r="AL66" i="1"/>
  <c r="AL67" i="1"/>
  <c r="AL68" i="1"/>
  <c r="AL69" i="1"/>
  <c r="AL70" i="1"/>
  <c r="AL71" i="1"/>
  <c r="AL72" i="1"/>
  <c r="AL73" i="1"/>
  <c r="AL74" i="1"/>
  <c r="AL75" i="1"/>
  <c r="AL80" i="1"/>
  <c r="AL81" i="1"/>
  <c r="AL82" i="1"/>
  <c r="AL83" i="1"/>
  <c r="AL84" i="1"/>
  <c r="AL85" i="1"/>
  <c r="AL86" i="1"/>
  <c r="AL87" i="1"/>
  <c r="AL88" i="1"/>
  <c r="AL89" i="1"/>
  <c r="AL90" i="1"/>
  <c r="AL91" i="1"/>
  <c r="AL92" i="1"/>
  <c r="AL93" i="1"/>
  <c r="AL95" i="1"/>
  <c r="AL96" i="1"/>
  <c r="AL97" i="1"/>
  <c r="U11" i="1" l="1"/>
  <c r="U17" i="1"/>
  <c r="U19" i="1"/>
  <c r="U23" i="1"/>
  <c r="U31" i="1"/>
  <c r="U32" i="1"/>
  <c r="U41" i="1"/>
  <c r="U48" i="1"/>
  <c r="U49" i="1"/>
  <c r="U50" i="1"/>
  <c r="U55" i="1"/>
  <c r="U56" i="1"/>
  <c r="U59" i="1"/>
  <c r="U68" i="1"/>
  <c r="U69" i="1"/>
  <c r="U70" i="1"/>
  <c r="U72" i="1"/>
  <c r="U73" i="1"/>
  <c r="U74" i="1"/>
  <c r="U87" i="1"/>
  <c r="U88" i="1"/>
  <c r="U90" i="1"/>
  <c r="U93" i="1"/>
  <c r="U97" i="1"/>
  <c r="AK11" i="1"/>
  <c r="AK17" i="1"/>
  <c r="AK19" i="1"/>
  <c r="AK23" i="1"/>
  <c r="AK31" i="1"/>
  <c r="AK32" i="1"/>
  <c r="AK41" i="1"/>
  <c r="AK48" i="1"/>
  <c r="AK49" i="1"/>
  <c r="AK50" i="1"/>
  <c r="AK55" i="1"/>
  <c r="AK56" i="1"/>
  <c r="AK59" i="1"/>
  <c r="AK68" i="1"/>
  <c r="AK69" i="1"/>
  <c r="AK70" i="1"/>
  <c r="AK72" i="1"/>
  <c r="AK73" i="1"/>
  <c r="AK74" i="1"/>
  <c r="AK87" i="1"/>
  <c r="AK88" i="1"/>
  <c r="AK90" i="1"/>
  <c r="AK93" i="1"/>
  <c r="AK97" i="1"/>
  <c r="T5" i="1"/>
  <c r="M7" i="1" l="1"/>
  <c r="R7" i="1" s="1"/>
  <c r="M8" i="1"/>
  <c r="R8" i="1" s="1"/>
  <c r="M9" i="1"/>
  <c r="R9" i="1" s="1"/>
  <c r="M10" i="1"/>
  <c r="R10" i="1" s="1"/>
  <c r="M11" i="1"/>
  <c r="R11" i="1" s="1"/>
  <c r="AA11" i="1" s="1"/>
  <c r="M12" i="1"/>
  <c r="R12" i="1" s="1"/>
  <c r="S12" i="1" s="1"/>
  <c r="U12" i="1" s="1"/>
  <c r="M13" i="1"/>
  <c r="R13" i="1" s="1"/>
  <c r="AA13" i="1" s="1"/>
  <c r="M14" i="1"/>
  <c r="R14" i="1" s="1"/>
  <c r="M15" i="1"/>
  <c r="R15" i="1" s="1"/>
  <c r="M16" i="1"/>
  <c r="R16" i="1" s="1"/>
  <c r="S16" i="1" s="1"/>
  <c r="U16" i="1" s="1"/>
  <c r="M17" i="1"/>
  <c r="R17" i="1" s="1"/>
  <c r="M18" i="1"/>
  <c r="R18" i="1" s="1"/>
  <c r="S18" i="1" s="1"/>
  <c r="U18" i="1" s="1"/>
  <c r="M19" i="1"/>
  <c r="R19" i="1" s="1"/>
  <c r="AA19" i="1" s="1"/>
  <c r="M20" i="1"/>
  <c r="R20" i="1" s="1"/>
  <c r="M21" i="1"/>
  <c r="R21" i="1" s="1"/>
  <c r="M22" i="1"/>
  <c r="R22" i="1" s="1"/>
  <c r="S22" i="1" s="1"/>
  <c r="U22" i="1" s="1"/>
  <c r="M23" i="1"/>
  <c r="R23" i="1" s="1"/>
  <c r="AA23" i="1" s="1"/>
  <c r="M24" i="1"/>
  <c r="R24" i="1" s="1"/>
  <c r="M25" i="1"/>
  <c r="R25" i="1" s="1"/>
  <c r="AA25" i="1" s="1"/>
  <c r="M26" i="1"/>
  <c r="R26" i="1" s="1"/>
  <c r="S26" i="1" s="1"/>
  <c r="U26" i="1" s="1"/>
  <c r="M27" i="1"/>
  <c r="R27" i="1" s="1"/>
  <c r="AA27" i="1" s="1"/>
  <c r="M28" i="1"/>
  <c r="R28" i="1" s="1"/>
  <c r="S28" i="1" s="1"/>
  <c r="U28" i="1" s="1"/>
  <c r="M29" i="1"/>
  <c r="R29" i="1" s="1"/>
  <c r="AA29" i="1" s="1"/>
  <c r="M30" i="1"/>
  <c r="R30" i="1" s="1"/>
  <c r="S30" i="1" s="1"/>
  <c r="U30" i="1" s="1"/>
  <c r="M31" i="1"/>
  <c r="R31" i="1" s="1"/>
  <c r="AA31" i="1" s="1"/>
  <c r="M32" i="1"/>
  <c r="R32" i="1" s="1"/>
  <c r="Z32" i="1" s="1"/>
  <c r="M33" i="1"/>
  <c r="R33" i="1" s="1"/>
  <c r="M34" i="1"/>
  <c r="R34" i="1" s="1"/>
  <c r="M35" i="1"/>
  <c r="R35" i="1" s="1"/>
  <c r="M36" i="1"/>
  <c r="R36" i="1" s="1"/>
  <c r="S36" i="1" s="1"/>
  <c r="U36" i="1" s="1"/>
  <c r="M37" i="1"/>
  <c r="R37" i="1" s="1"/>
  <c r="M38" i="1"/>
  <c r="R38" i="1" s="1"/>
  <c r="M39" i="1"/>
  <c r="R39" i="1" s="1"/>
  <c r="AA39" i="1" s="1"/>
  <c r="M40" i="1"/>
  <c r="R40" i="1" s="1"/>
  <c r="S40" i="1" s="1"/>
  <c r="U40" i="1" s="1"/>
  <c r="M41" i="1"/>
  <c r="R41" i="1" s="1"/>
  <c r="AA41" i="1" s="1"/>
  <c r="M42" i="1"/>
  <c r="R42" i="1" s="1"/>
  <c r="S42" i="1" s="1"/>
  <c r="U42" i="1" s="1"/>
  <c r="M43" i="1"/>
  <c r="R43" i="1" s="1"/>
  <c r="AA43" i="1" s="1"/>
  <c r="M44" i="1"/>
  <c r="R44" i="1" s="1"/>
  <c r="S44" i="1" s="1"/>
  <c r="U44" i="1" s="1"/>
  <c r="M45" i="1"/>
  <c r="R45" i="1" s="1"/>
  <c r="AA45" i="1" s="1"/>
  <c r="M46" i="1"/>
  <c r="R46" i="1" s="1"/>
  <c r="M47" i="1"/>
  <c r="R47" i="1" s="1"/>
  <c r="M48" i="1"/>
  <c r="R48" i="1" s="1"/>
  <c r="Z48" i="1" s="1"/>
  <c r="M49" i="1"/>
  <c r="R49" i="1" s="1"/>
  <c r="AA49" i="1" s="1"/>
  <c r="M50" i="1"/>
  <c r="R50" i="1" s="1"/>
  <c r="Z50" i="1" s="1"/>
  <c r="M51" i="1"/>
  <c r="R51" i="1" s="1"/>
  <c r="AA51" i="1" s="1"/>
  <c r="M52" i="1"/>
  <c r="R52" i="1" s="1"/>
  <c r="M53" i="1"/>
  <c r="R53" i="1" s="1"/>
  <c r="AA53" i="1" s="1"/>
  <c r="M54" i="1"/>
  <c r="R54" i="1" s="1"/>
  <c r="M55" i="1"/>
  <c r="R55" i="1" s="1"/>
  <c r="AA55" i="1" s="1"/>
  <c r="M56" i="1"/>
  <c r="R56" i="1" s="1"/>
  <c r="Z56" i="1" s="1"/>
  <c r="M57" i="1"/>
  <c r="R57" i="1" s="1"/>
  <c r="AA57" i="1" s="1"/>
  <c r="M58" i="1"/>
  <c r="R58" i="1" s="1"/>
  <c r="S58" i="1" s="1"/>
  <c r="U58" i="1" s="1"/>
  <c r="M59" i="1"/>
  <c r="R59" i="1" s="1"/>
  <c r="AA59" i="1" s="1"/>
  <c r="M60" i="1"/>
  <c r="R60" i="1" s="1"/>
  <c r="S60" i="1" s="1"/>
  <c r="U60" i="1" s="1"/>
  <c r="M61" i="1"/>
  <c r="R61" i="1" s="1"/>
  <c r="AA61" i="1" s="1"/>
  <c r="M62" i="1"/>
  <c r="R62" i="1" s="1"/>
  <c r="S62" i="1" s="1"/>
  <c r="U62" i="1" s="1"/>
  <c r="M63" i="1"/>
  <c r="R63" i="1" s="1"/>
  <c r="AA63" i="1" s="1"/>
  <c r="M64" i="1"/>
  <c r="R64" i="1" s="1"/>
  <c r="S64" i="1" s="1"/>
  <c r="U64" i="1" s="1"/>
  <c r="M65" i="1"/>
  <c r="R65" i="1" s="1"/>
  <c r="AA65" i="1" s="1"/>
  <c r="M66" i="1"/>
  <c r="R66" i="1" s="1"/>
  <c r="S66" i="1" s="1"/>
  <c r="U66" i="1" s="1"/>
  <c r="M67" i="1"/>
  <c r="R67" i="1" s="1"/>
  <c r="AA67" i="1" s="1"/>
  <c r="M68" i="1"/>
  <c r="R68" i="1" s="1"/>
  <c r="Z68" i="1" s="1"/>
  <c r="M69" i="1"/>
  <c r="R69" i="1" s="1"/>
  <c r="AA69" i="1" s="1"/>
  <c r="M70" i="1"/>
  <c r="R70" i="1" s="1"/>
  <c r="Z70" i="1" s="1"/>
  <c r="M71" i="1"/>
  <c r="R71" i="1" s="1"/>
  <c r="AA71" i="1" s="1"/>
  <c r="M72" i="1"/>
  <c r="R72" i="1" s="1"/>
  <c r="Z72" i="1" s="1"/>
  <c r="M73" i="1"/>
  <c r="R73" i="1" s="1"/>
  <c r="AA73" i="1" s="1"/>
  <c r="M74" i="1"/>
  <c r="R74" i="1" s="1"/>
  <c r="Z74" i="1" s="1"/>
  <c r="M75" i="1"/>
  <c r="R75" i="1" s="1"/>
  <c r="AA75" i="1" s="1"/>
  <c r="M76" i="1"/>
  <c r="R76" i="1" s="1"/>
  <c r="M77" i="1"/>
  <c r="R77" i="1" s="1"/>
  <c r="M78" i="1"/>
  <c r="R78" i="1" s="1"/>
  <c r="M79" i="1"/>
  <c r="R79" i="1" s="1"/>
  <c r="M80" i="1"/>
  <c r="R80" i="1" s="1"/>
  <c r="AA80" i="1" s="1"/>
  <c r="M81" i="1"/>
  <c r="R81" i="1" s="1"/>
  <c r="AA81" i="1" s="1"/>
  <c r="M82" i="1"/>
  <c r="R82" i="1" s="1"/>
  <c r="AA82" i="1" s="1"/>
  <c r="M83" i="1"/>
  <c r="R83" i="1" s="1"/>
  <c r="AA83" i="1" s="1"/>
  <c r="M84" i="1"/>
  <c r="R84" i="1" s="1"/>
  <c r="AA84" i="1" s="1"/>
  <c r="M85" i="1"/>
  <c r="R85" i="1" s="1"/>
  <c r="AA85" i="1" s="1"/>
  <c r="M86" i="1"/>
  <c r="R86" i="1" s="1"/>
  <c r="AA86" i="1" s="1"/>
  <c r="M87" i="1"/>
  <c r="R87" i="1" s="1"/>
  <c r="AA87" i="1" s="1"/>
  <c r="M88" i="1"/>
  <c r="R88" i="1" s="1"/>
  <c r="AA88" i="1" s="1"/>
  <c r="M89" i="1"/>
  <c r="R89" i="1" s="1"/>
  <c r="AA89" i="1" s="1"/>
  <c r="M90" i="1"/>
  <c r="R90" i="1" s="1"/>
  <c r="AA90" i="1" s="1"/>
  <c r="M91" i="1"/>
  <c r="R91" i="1" s="1"/>
  <c r="AA91" i="1" s="1"/>
  <c r="M92" i="1"/>
  <c r="R92" i="1" s="1"/>
  <c r="S92" i="1" s="1"/>
  <c r="U92" i="1" s="1"/>
  <c r="M93" i="1"/>
  <c r="R93" i="1" s="1"/>
  <c r="AA93" i="1" s="1"/>
  <c r="M94" i="1"/>
  <c r="R94" i="1" s="1"/>
  <c r="M95" i="1"/>
  <c r="R95" i="1" s="1"/>
  <c r="AA95" i="1" s="1"/>
  <c r="M96" i="1"/>
  <c r="R96" i="1" s="1"/>
  <c r="AA96" i="1" s="1"/>
  <c r="M97" i="1"/>
  <c r="R97" i="1" s="1"/>
  <c r="AA97" i="1" s="1"/>
  <c r="M6" i="1"/>
  <c r="R6" i="1" s="1"/>
  <c r="V6" i="1" s="1"/>
  <c r="AA79" i="1" l="1"/>
  <c r="V79" i="1"/>
  <c r="AL79" i="1" s="1"/>
  <c r="AA77" i="1"/>
  <c r="V77" i="1"/>
  <c r="AL77" i="1" s="1"/>
  <c r="AA47" i="1"/>
  <c r="V47" i="1"/>
  <c r="AL47" i="1" s="1"/>
  <c r="AA37" i="1"/>
  <c r="V37" i="1"/>
  <c r="AL37" i="1" s="1"/>
  <c r="AA35" i="1"/>
  <c r="V35" i="1"/>
  <c r="AL35" i="1" s="1"/>
  <c r="AA33" i="1"/>
  <c r="V33" i="1"/>
  <c r="AL33" i="1" s="1"/>
  <c r="AA21" i="1"/>
  <c r="V21" i="1"/>
  <c r="AL21" i="1" s="1"/>
  <c r="AA17" i="1"/>
  <c r="V17" i="1"/>
  <c r="AL17" i="1" s="1"/>
  <c r="AA15" i="1"/>
  <c r="V15" i="1"/>
  <c r="AL15" i="1" s="1"/>
  <c r="AA9" i="1"/>
  <c r="V9" i="1"/>
  <c r="AL9" i="1" s="1"/>
  <c r="AA7" i="1"/>
  <c r="V7" i="1"/>
  <c r="AL7" i="1" s="1"/>
  <c r="AL6" i="1"/>
  <c r="AA94" i="1"/>
  <c r="V94" i="1"/>
  <c r="AL94" i="1" s="1"/>
  <c r="AA78" i="1"/>
  <c r="V78" i="1"/>
  <c r="AL78" i="1" s="1"/>
  <c r="S76" i="1"/>
  <c r="U76" i="1" s="1"/>
  <c r="AK76" i="1" s="1"/>
  <c r="V76" i="1"/>
  <c r="AL76" i="1" s="1"/>
  <c r="S54" i="1"/>
  <c r="U54" i="1" s="1"/>
  <c r="AK54" i="1" s="1"/>
  <c r="V54" i="1"/>
  <c r="AL54" i="1" s="1"/>
  <c r="S52" i="1"/>
  <c r="U52" i="1" s="1"/>
  <c r="AK52" i="1" s="1"/>
  <c r="V52" i="1"/>
  <c r="AL52" i="1" s="1"/>
  <c r="S46" i="1"/>
  <c r="U46" i="1" s="1"/>
  <c r="V46" i="1"/>
  <c r="AL46" i="1" s="1"/>
  <c r="S38" i="1"/>
  <c r="U38" i="1" s="1"/>
  <c r="AK38" i="1" s="1"/>
  <c r="V38" i="1"/>
  <c r="AL38" i="1" s="1"/>
  <c r="S34" i="1"/>
  <c r="U34" i="1" s="1"/>
  <c r="AK34" i="1" s="1"/>
  <c r="V34" i="1"/>
  <c r="AL34" i="1" s="1"/>
  <c r="S24" i="1"/>
  <c r="U24" i="1" s="1"/>
  <c r="AK24" i="1" s="1"/>
  <c r="V24" i="1"/>
  <c r="AL24" i="1" s="1"/>
  <c r="S20" i="1"/>
  <c r="U20" i="1" s="1"/>
  <c r="V20" i="1"/>
  <c r="AL20" i="1" s="1"/>
  <c r="S14" i="1"/>
  <c r="U14" i="1" s="1"/>
  <c r="AK14" i="1" s="1"/>
  <c r="V14" i="1"/>
  <c r="AL14" i="1" s="1"/>
  <c r="S10" i="1"/>
  <c r="U10" i="1" s="1"/>
  <c r="AK10" i="1" s="1"/>
  <c r="V10" i="1"/>
  <c r="AL10" i="1" s="1"/>
  <c r="S8" i="1"/>
  <c r="U8" i="1" s="1"/>
  <c r="AK8" i="1" s="1"/>
  <c r="V8" i="1"/>
  <c r="AL8" i="1" s="1"/>
  <c r="Z31" i="1"/>
  <c r="Z93" i="1"/>
  <c r="Z11" i="1"/>
  <c r="Z59" i="1"/>
  <c r="Z19" i="1"/>
  <c r="Z49" i="1"/>
  <c r="Z73" i="1"/>
  <c r="Z92" i="1"/>
  <c r="AK92" i="1"/>
  <c r="Z66" i="1"/>
  <c r="AK66" i="1"/>
  <c r="Z64" i="1"/>
  <c r="AK64" i="1"/>
  <c r="Z62" i="1"/>
  <c r="AK62" i="1"/>
  <c r="Z60" i="1"/>
  <c r="AK60" i="1"/>
  <c r="Z58" i="1"/>
  <c r="AK58" i="1"/>
  <c r="AK46" i="1"/>
  <c r="Z44" i="1"/>
  <c r="AK44" i="1"/>
  <c r="Z42" i="1"/>
  <c r="AK42" i="1"/>
  <c r="Z40" i="1"/>
  <c r="AK40" i="1"/>
  <c r="Z36" i="1"/>
  <c r="AK36" i="1"/>
  <c r="Z30" i="1"/>
  <c r="AK30" i="1"/>
  <c r="Z28" i="1"/>
  <c r="AK28" i="1"/>
  <c r="Z26" i="1"/>
  <c r="AK26" i="1"/>
  <c r="Z22" i="1"/>
  <c r="AK22" i="1"/>
  <c r="AK20" i="1"/>
  <c r="Z18" i="1"/>
  <c r="AK18" i="1"/>
  <c r="Z16" i="1"/>
  <c r="AK16" i="1"/>
  <c r="Z12" i="1"/>
  <c r="AK12" i="1"/>
  <c r="Z88" i="1"/>
  <c r="Z90" i="1"/>
  <c r="Z23" i="1"/>
  <c r="Z41" i="1"/>
  <c r="Z55" i="1"/>
  <c r="Z69" i="1"/>
  <c r="Z87" i="1"/>
  <c r="Z97" i="1"/>
  <c r="S53" i="1"/>
  <c r="U53" i="1" s="1"/>
  <c r="S89" i="1"/>
  <c r="U89" i="1" s="1"/>
  <c r="S51" i="1"/>
  <c r="U51" i="1" s="1"/>
  <c r="S71" i="1"/>
  <c r="U71" i="1" s="1"/>
  <c r="S95" i="1"/>
  <c r="U95" i="1" s="1"/>
  <c r="S6" i="1"/>
  <c r="U6" i="1" s="1"/>
  <c r="S78" i="1"/>
  <c r="U78" i="1" s="1"/>
  <c r="S80" i="1"/>
  <c r="U80" i="1" s="1"/>
  <c r="S82" i="1"/>
  <c r="U82" i="1" s="1"/>
  <c r="S84" i="1"/>
  <c r="U84" i="1" s="1"/>
  <c r="S86" i="1"/>
  <c r="U86" i="1" s="1"/>
  <c r="S7" i="1"/>
  <c r="U7" i="1" s="1"/>
  <c r="S9" i="1"/>
  <c r="U9" i="1" s="1"/>
  <c r="S13" i="1"/>
  <c r="U13" i="1" s="1"/>
  <c r="S15" i="1"/>
  <c r="U15" i="1" s="1"/>
  <c r="S21" i="1"/>
  <c r="U21" i="1" s="1"/>
  <c r="S25" i="1"/>
  <c r="U25" i="1" s="1"/>
  <c r="S27" i="1"/>
  <c r="U27" i="1" s="1"/>
  <c r="S29" i="1"/>
  <c r="U29" i="1" s="1"/>
  <c r="S33" i="1"/>
  <c r="U33" i="1" s="1"/>
  <c r="S35" i="1"/>
  <c r="U35" i="1" s="1"/>
  <c r="S37" i="1"/>
  <c r="U37" i="1" s="1"/>
  <c r="S39" i="1"/>
  <c r="U39" i="1" s="1"/>
  <c r="S43" i="1"/>
  <c r="U43" i="1" s="1"/>
  <c r="S45" i="1"/>
  <c r="U45" i="1" s="1"/>
  <c r="S47" i="1"/>
  <c r="U47" i="1" s="1"/>
  <c r="S57" i="1"/>
  <c r="U57" i="1" s="1"/>
  <c r="S61" i="1"/>
  <c r="U61" i="1" s="1"/>
  <c r="S63" i="1"/>
  <c r="U63" i="1" s="1"/>
  <c r="S65" i="1"/>
  <c r="U65" i="1" s="1"/>
  <c r="S67" i="1"/>
  <c r="U67" i="1" s="1"/>
  <c r="S75" i="1"/>
  <c r="U75" i="1" s="1"/>
  <c r="S77" i="1"/>
  <c r="U77" i="1" s="1"/>
  <c r="S79" i="1"/>
  <c r="U79" i="1" s="1"/>
  <c r="S81" i="1"/>
  <c r="U81" i="1" s="1"/>
  <c r="S83" i="1"/>
  <c r="U83" i="1" s="1"/>
  <c r="S85" i="1"/>
  <c r="U85" i="1" s="1"/>
  <c r="S91" i="1"/>
  <c r="U91" i="1" s="1"/>
  <c r="S94" i="1"/>
  <c r="U94" i="1" s="1"/>
  <c r="S96" i="1"/>
  <c r="U96" i="1" s="1"/>
  <c r="AA92" i="1"/>
  <c r="AA76" i="1"/>
  <c r="AA74" i="1"/>
  <c r="AA72" i="1"/>
  <c r="AA70" i="1"/>
  <c r="AA68" i="1"/>
  <c r="AA66" i="1"/>
  <c r="AA64" i="1"/>
  <c r="AA62" i="1"/>
  <c r="AA60" i="1"/>
  <c r="AA58" i="1"/>
  <c r="AA56" i="1"/>
  <c r="AA54" i="1"/>
  <c r="AA52" i="1"/>
  <c r="AA50" i="1"/>
  <c r="AA48" i="1"/>
  <c r="AA46" i="1"/>
  <c r="AA44" i="1"/>
  <c r="AA42" i="1"/>
  <c r="AA40" i="1"/>
  <c r="AA38" i="1"/>
  <c r="AA36" i="1"/>
  <c r="AA34" i="1"/>
  <c r="AA32" i="1"/>
  <c r="AA30" i="1"/>
  <c r="AA28" i="1"/>
  <c r="AA26" i="1"/>
  <c r="AA24" i="1"/>
  <c r="AA22" i="1"/>
  <c r="AA20" i="1"/>
  <c r="AA18" i="1"/>
  <c r="AA16" i="1"/>
  <c r="AA14" i="1"/>
  <c r="AA12" i="1"/>
  <c r="AA10" i="1"/>
  <c r="AA8" i="1"/>
  <c r="AA6" i="1"/>
  <c r="Y5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AI5" i="1"/>
  <c r="AH5" i="1"/>
  <c r="AG5" i="1"/>
  <c r="AF5" i="1"/>
  <c r="AE5" i="1"/>
  <c r="AD5" i="1"/>
  <c r="AC5" i="1"/>
  <c r="AB5" i="1"/>
  <c r="W5" i="1"/>
  <c r="R5" i="1"/>
  <c r="Q5" i="1"/>
  <c r="P5" i="1"/>
  <c r="O5" i="1"/>
  <c r="N5" i="1"/>
  <c r="M5" i="1"/>
  <c r="K5" i="1"/>
  <c r="F5" i="1"/>
  <c r="E5" i="1"/>
  <c r="Z8" i="1" l="1"/>
  <c r="Z10" i="1"/>
  <c r="Z14" i="1"/>
  <c r="Z20" i="1"/>
  <c r="Z24" i="1"/>
  <c r="Z34" i="1"/>
  <c r="Z38" i="1"/>
  <c r="Z46" i="1"/>
  <c r="Z52" i="1"/>
  <c r="Z54" i="1"/>
  <c r="Z76" i="1"/>
  <c r="Z17" i="1"/>
  <c r="V5" i="1"/>
  <c r="AL5" i="1"/>
  <c r="Z94" i="1"/>
  <c r="AK94" i="1"/>
  <c r="Z85" i="1"/>
  <c r="AK85" i="1"/>
  <c r="Z81" i="1"/>
  <c r="AK81" i="1"/>
  <c r="Z77" i="1"/>
  <c r="AK77" i="1"/>
  <c r="Z67" i="1"/>
  <c r="AK67" i="1"/>
  <c r="Z63" i="1"/>
  <c r="AK63" i="1"/>
  <c r="Z57" i="1"/>
  <c r="AK57" i="1"/>
  <c r="Z45" i="1"/>
  <c r="AK45" i="1"/>
  <c r="Z39" i="1"/>
  <c r="AK39" i="1"/>
  <c r="Z35" i="1"/>
  <c r="AK35" i="1"/>
  <c r="Z29" i="1"/>
  <c r="AK29" i="1"/>
  <c r="Z25" i="1"/>
  <c r="AK25" i="1"/>
  <c r="Z15" i="1"/>
  <c r="AK15" i="1"/>
  <c r="Z9" i="1"/>
  <c r="AK9" i="1"/>
  <c r="Z86" i="1"/>
  <c r="AK86" i="1"/>
  <c r="Z82" i="1"/>
  <c r="AK82" i="1"/>
  <c r="Z78" i="1"/>
  <c r="AK78" i="1"/>
  <c r="Z95" i="1"/>
  <c r="AK95" i="1"/>
  <c r="Z51" i="1"/>
  <c r="AK51" i="1"/>
  <c r="Z53" i="1"/>
  <c r="AK53" i="1"/>
  <c r="Z96" i="1"/>
  <c r="AK96" i="1"/>
  <c r="Z91" i="1"/>
  <c r="AK91" i="1"/>
  <c r="Z83" i="1"/>
  <c r="AK83" i="1"/>
  <c r="Z79" i="1"/>
  <c r="AK79" i="1"/>
  <c r="Z75" i="1"/>
  <c r="AK75" i="1"/>
  <c r="Z65" i="1"/>
  <c r="AK65" i="1"/>
  <c r="Z61" i="1"/>
  <c r="AK61" i="1"/>
  <c r="Z47" i="1"/>
  <c r="AK47" i="1"/>
  <c r="Z43" i="1"/>
  <c r="AK43" i="1"/>
  <c r="Z37" i="1"/>
  <c r="AK37" i="1"/>
  <c r="Z33" i="1"/>
  <c r="AK33" i="1"/>
  <c r="Z27" i="1"/>
  <c r="AK27" i="1"/>
  <c r="Z21" i="1"/>
  <c r="AK21" i="1"/>
  <c r="Z13" i="1"/>
  <c r="AK13" i="1"/>
  <c r="Z7" i="1"/>
  <c r="AK7" i="1"/>
  <c r="Z84" i="1"/>
  <c r="AK84" i="1"/>
  <c r="Z80" i="1"/>
  <c r="AK80" i="1"/>
  <c r="U5" i="1"/>
  <c r="Z6" i="1"/>
  <c r="AK6" i="1"/>
  <c r="Z71" i="1"/>
  <c r="AK71" i="1"/>
  <c r="Z89" i="1"/>
  <c r="AK89" i="1"/>
  <c r="S5" i="1"/>
  <c r="L5" i="1"/>
  <c r="AK5" i="1" l="1"/>
</calcChain>
</file>

<file path=xl/sharedStrings.xml><?xml version="1.0" encoding="utf-8"?>
<sst xmlns="http://schemas.openxmlformats.org/spreadsheetml/2006/main" count="366" uniqueCount="156">
  <si>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</si>
  <si>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</si>
  <si>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</si>
  <si>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</si>
  <si>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</si>
  <si>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</si>
  <si>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</si>
  <si>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</si>
  <si>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</si>
  <si>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</si>
  <si>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</si>
  <si>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</si>
  <si>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</si>
  <si>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</si>
  <si>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</si>
  <si>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</si>
  <si>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</si>
  <si>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</si>
  <si>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</si>
  <si>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</si>
  <si>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</si>
  <si>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</si>
  <si>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</si>
  <si>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</si>
  <si>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Донецк</t>
  </si>
  <si>
    <t>19,11,</t>
  </si>
  <si>
    <t>22,11,</t>
  </si>
  <si>
    <t>20,11,</t>
  </si>
  <si>
    <t>18,11,</t>
  </si>
  <si>
    <t>13,11,</t>
  </si>
  <si>
    <t>11,11,</t>
  </si>
  <si>
    <t>06,11,</t>
  </si>
  <si>
    <t>04,11,</t>
  </si>
  <si>
    <t>30,10,</t>
  </si>
  <si>
    <t>28,10,</t>
  </si>
  <si>
    <t>23,10,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</si>
  <si>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</si>
  <si>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</si>
  <si>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</si>
  <si>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</si>
  <si>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</si>
  <si>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</si>
  <si>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</si>
  <si>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</si>
  <si>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</si>
  <si>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</si>
  <si>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</si>
  <si>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</si>
  <si>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>ТМА октябрь_ноябрь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</si>
  <si>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</si>
  <si>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</si>
  <si>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</si>
  <si>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>ТМА октябрь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</si>
  <si>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</si>
  <si>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</si>
  <si>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</si>
  <si>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</si>
  <si>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</si>
  <si>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</si>
  <si>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</si>
  <si>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</si>
  <si>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</si>
  <si>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</si>
  <si>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</si>
  <si>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</si>
  <si>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</si>
  <si>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</si>
  <si>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>нет потребности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</si>
  <si>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</si>
  <si>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</si>
  <si>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>ТМА ноябрь / сети</t>
  </si>
  <si>
    <t xml:space="preserve"> 276  Колбаса Сливушка ТМ Вязанка в оболочке полиамид 0,45 кг  ПОКОМ</t>
  </si>
  <si>
    <t>СПАР</t>
  </si>
  <si>
    <t xml:space="preserve"> 278  Сосиски Сочинки с сочным окороком, МГС 0.4кг,   ПОКОМ</t>
  </si>
  <si>
    <t>сети</t>
  </si>
  <si>
    <t xml:space="preserve"> 281  Сосиски Молочные для завтрака ТМ Особый рецепт, 0,4кг  ПОКОМ</t>
  </si>
  <si>
    <t>новинка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</si>
  <si>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</si>
  <si>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</si>
  <si>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</si>
  <si>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>ТК Вояж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</si>
  <si>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</si>
  <si>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</si>
  <si>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</si>
  <si>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</si>
  <si>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</si>
  <si>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</si>
  <si>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</si>
  <si>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</si>
  <si>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</si>
  <si>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322  Колбаса вареная Молокуша 0,45кг ТМ Вязанка  ПОКОМ</t>
  </si>
  <si>
    <t>ТК ВОЯЖ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</si>
  <si>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</si>
  <si>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</si>
  <si>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>ТМА ноябрь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</si>
  <si>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</si>
  <si>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</si>
  <si>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</si>
  <si>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</si>
  <si>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337  Ветчина Сочинка ТМ Стародворье, 0,35 кг.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</si>
  <si>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</si>
  <si>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</si>
  <si>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</si>
  <si>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</si>
  <si>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</si>
  <si>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</si>
  <si>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</si>
  <si>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</si>
  <si>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</si>
  <si>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</si>
  <si>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</si>
  <si>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>Spar</t>
  </si>
  <si>
    <t xml:space="preserve"> 394 Ветчина Сочинка с сочным окороком ТМ Стародворье полиамид ф/в 0,35 кг  Поком</t>
  </si>
  <si>
    <t>вывод</t>
  </si>
  <si>
    <t xml:space="preserve"> 395  Колбаса Докторская ГОСТ ТМ Вязанка в оболочке полиамид 0,37 кг. ПОКОМ</t>
  </si>
  <si>
    <t xml:space="preserve"> 396  Сардельки Филейские Вязанка ТМ Вязанка в оболочке NDX  0,4 кг. ПОКОМ</t>
  </si>
  <si>
    <t>нужно увеличить продажи!!!</t>
  </si>
  <si>
    <t xml:space="preserve"> 397  Ветчина Дугушка ТМ Стародворье ТС Дугушка в полиамидной оболочке 0,6 кг. ПОКОМ</t>
  </si>
  <si>
    <t xml:space="preserve"> 397 Сосиски Сливочные по-стародворски Бордо Фикс.вес 0,45 П/а мгс Стародворье  Поком</t>
  </si>
  <si>
    <t>ТК Вояж / нет в бланке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</si>
  <si>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</si>
  <si>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</si>
  <si>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</si>
  <si>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>ВНИМАНИЕ / матрица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</si>
  <si>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</si>
  <si>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</si>
  <si>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</si>
  <si>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</si>
  <si>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</si>
  <si>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</si>
  <si>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</si>
  <si>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</si>
  <si>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</si>
  <si>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</si>
  <si>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</si>
  <si>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>новинка / с 03,10,25 снова в бланке</t>
  </si>
  <si>
    <t xml:space="preserve"> 530  Окорок Хамон выдержанный нарезка 0,055кг ТМ Стародворье  ПОКОМ</t>
  </si>
  <si>
    <t>090  Мини-салями со вкусом бекона,  0.05кг, ядрена копоть   ПОКОМ</t>
  </si>
  <si>
    <t>255  Сосиски Молочные для завтрака ТМ Особый рецепт, п/а МГС, ВЕС, ТМ Стародворье  ПОКОМ</t>
  </si>
  <si>
    <t>348  Колбаса Молочная оригинальная ТМ Особый рецепт. большой батон, ВЕС ПОКОМ</t>
  </si>
  <si>
    <t>нет потребности / нет в бланке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</si>
  <si>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</si>
  <si>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</si>
  <si>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501 Сосиски Филейские по-ганноверски ТМ Вязанка.в оболочке амицел в м.г.с ВЕС.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</si>
  <si>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</si>
  <si>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</si>
  <si>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</si>
  <si>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522  Колбаса Гвардейская с/к ТМ Стародворье  ПОКОМ</t>
  </si>
  <si>
    <t>с 24,09,25 заказываем / нет в бланке</t>
  </si>
  <si>
    <t>не в матрице</t>
  </si>
  <si>
    <t>Химич</t>
  </si>
  <si>
    <t>нужно увеличить продажи / Spar</t>
  </si>
  <si>
    <t>до машины</t>
  </si>
  <si>
    <t>заказ</t>
  </si>
  <si>
    <t>23,11,</t>
  </si>
  <si>
    <t>26,11,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</si>
</sst>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_ ;[Red]\-0.00\ 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0"/>
      <color rgb="FFFF000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24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4" fillId="0" borderId="1" xfId="1" applyNumberFormat="1" applyFont="1"/>
    <xf numFmtId="164" fontId="5" fillId="2" borderId="1" xfId="1" applyNumberFormat="1" applyFont="1" applyFill="1"/>
    <xf numFmtId="164" fontId="1" fillId="5" borderId="1" xfId="1" applyNumberFormat="1" applyFill="1"/>
    <xf numFmtId="164" fontId="4" fillId="6" borderId="1" xfId="1" applyNumberFormat="1" applyFon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1" fillId="5" borderId="2" xfId="1" applyNumberFormat="1" applyFill="1" applyBorder="1"/>
    <xf numFmtId="164" fontId="6" fillId="8" borderId="1" xfId="1" applyNumberFormat="1" applyFont="1" applyFill="1"/>
    <xf numFmtId="164" fontId="4" fillId="8" borderId="1" xfId="1" applyNumberFormat="1" applyFont="1" applyFill="1"/>
    <xf numFmtId="165" fontId="1" fillId="0" borderId="1" xfId="1" applyNumberForma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V2" sqref="V2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23" width="7" customWidth="1"/>
    <col min="24" max="24" width="10.85546875" customWidth="1"/>
    <col min="25" max="25" width="7" customWidth="1"/>
    <col min="26" max="27" width="5" customWidth="1"/>
    <col min="28" max="35" width="6" customWidth="1"/>
    <col min="36" max="36" width="18.42578125" customWidth="1"/>
    <col min="37" max="38" width="7" customWidth="1"/>
    <col min="39" max="53" width="8" customWidth="1"/>
  </cols>
  <sheetData>
    <row r="1" spans="1:53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23">
        <v>1.2</v>
      </c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</row>
    <row r="2" spans="1:53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</row>
    <row r="3" spans="1:53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15</v>
      </c>
      <c r="S3" s="3" t="s">
        <v>16</v>
      </c>
      <c r="T3" s="3" t="s">
        <v>152</v>
      </c>
      <c r="U3" s="3" t="s">
        <v>153</v>
      </c>
      <c r="V3" s="3" t="s">
        <v>153</v>
      </c>
      <c r="W3" s="7" t="s">
        <v>17</v>
      </c>
      <c r="X3" s="7" t="s">
        <v>18</v>
      </c>
      <c r="Y3" s="11" t="s">
        <v>150</v>
      </c>
      <c r="Z3" s="2" t="s">
        <v>19</v>
      </c>
      <c r="AA3" s="2" t="s">
        <v>20</v>
      </c>
      <c r="AB3" s="2" t="s">
        <v>21</v>
      </c>
      <c r="AC3" s="2" t="s">
        <v>21</v>
      </c>
      <c r="AD3" s="2" t="s">
        <v>21</v>
      </c>
      <c r="AE3" s="2" t="s">
        <v>21</v>
      </c>
      <c r="AF3" s="2" t="s">
        <v>21</v>
      </c>
      <c r="AG3" s="2" t="s">
        <v>21</v>
      </c>
      <c r="AH3" s="2" t="s">
        <v>21</v>
      </c>
      <c r="AI3" s="2" t="s">
        <v>21</v>
      </c>
      <c r="AJ3" s="2" t="s">
        <v>22</v>
      </c>
      <c r="AK3" s="2" t="s">
        <v>23</v>
      </c>
      <c r="AL3" s="2" t="s">
        <v>23</v>
      </c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</row>
    <row r="4" spans="1:53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24</v>
      </c>
      <c r="P4" s="1" t="s">
        <v>25</v>
      </c>
      <c r="Q4" s="1" t="s">
        <v>26</v>
      </c>
      <c r="R4" s="1" t="s">
        <v>27</v>
      </c>
      <c r="S4" s="1"/>
      <c r="T4" s="1"/>
      <c r="U4" s="1" t="s">
        <v>154</v>
      </c>
      <c r="V4" s="1" t="s">
        <v>155</v>
      </c>
      <c r="W4" s="1"/>
      <c r="X4" s="1"/>
      <c r="Y4" s="1"/>
      <c r="Z4" s="1"/>
      <c r="AA4" s="1"/>
      <c r="AB4" s="1" t="s">
        <v>28</v>
      </c>
      <c r="AC4" s="1" t="s">
        <v>29</v>
      </c>
      <c r="AD4" s="1" t="s">
        <v>30</v>
      </c>
      <c r="AE4" s="1" t="s">
        <v>31</v>
      </c>
      <c r="AF4" s="1" t="s">
        <v>32</v>
      </c>
      <c r="AG4" s="1" t="s">
        <v>33</v>
      </c>
      <c r="AH4" s="1" t="s">
        <v>34</v>
      </c>
      <c r="AI4" s="1" t="s">
        <v>35</v>
      </c>
      <c r="AJ4" s="1"/>
      <c r="AK4" s="1" t="s">
        <v>154</v>
      </c>
      <c r="AL4" s="1" t="s">
        <v>155</v>
      </c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</row>
    <row r="5" spans="1:53" x14ac:dyDescent="0.25">
      <c r="A5" s="1"/>
      <c r="B5" s="1"/>
      <c r="C5" s="1"/>
      <c r="D5" s="1"/>
      <c r="E5" s="4">
        <f>SUM(E6:E500)</f>
        <v>37987.001000000004</v>
      </c>
      <c r="F5" s="4">
        <f>SUM(F6:F500)</f>
        <v>55751.017999999989</v>
      </c>
      <c r="G5" s="8"/>
      <c r="H5" s="1"/>
      <c r="I5" s="1"/>
      <c r="J5" s="1"/>
      <c r="K5" s="4">
        <f t="shared" ref="K5:Y5" si="0">SUM(K6:K500)</f>
        <v>39751.139000000003</v>
      </c>
      <c r="L5" s="4">
        <f t="shared" si="0"/>
        <v>-1764.1379999999997</v>
      </c>
      <c r="M5" s="4">
        <f t="shared" si="0"/>
        <v>36812.445</v>
      </c>
      <c r="N5" s="4">
        <f t="shared" si="0"/>
        <v>1174.5560000000003</v>
      </c>
      <c r="O5" s="4">
        <f t="shared" si="0"/>
        <v>50</v>
      </c>
      <c r="P5" s="4">
        <f t="shared" si="0"/>
        <v>5331.2015000000001</v>
      </c>
      <c r="Q5" s="4">
        <f t="shared" si="0"/>
        <v>14519.811229999998</v>
      </c>
      <c r="R5" s="4">
        <f t="shared" si="0"/>
        <v>7362.4889999999978</v>
      </c>
      <c r="S5" s="4">
        <f t="shared" si="0"/>
        <v>13297.79779000001</v>
      </c>
      <c r="T5" s="4">
        <f t="shared" si="0"/>
        <v>0</v>
      </c>
      <c r="U5" s="4">
        <f t="shared" si="0"/>
        <v>13297.79779000001</v>
      </c>
      <c r="V5" s="4">
        <f t="shared" ref="V5" si="1">SUM(V6:V500)</f>
        <v>5045.699520000001</v>
      </c>
      <c r="W5" s="4">
        <f t="shared" si="0"/>
        <v>0</v>
      </c>
      <c r="X5" s="1"/>
      <c r="Y5" s="4">
        <f t="shared" si="0"/>
        <v>0</v>
      </c>
      <c r="Z5" s="1"/>
      <c r="AA5" s="1"/>
      <c r="AB5" s="4">
        <f t="shared" ref="AB5:AI5" si="2">SUM(AB6:AB500)</f>
        <v>7516.1980000000012</v>
      </c>
      <c r="AC5" s="4">
        <f t="shared" si="2"/>
        <v>7181.7601999999997</v>
      </c>
      <c r="AD5" s="4">
        <f t="shared" si="2"/>
        <v>7061.6107999999986</v>
      </c>
      <c r="AE5" s="4">
        <f t="shared" si="2"/>
        <v>6699.8076000000001</v>
      </c>
      <c r="AF5" s="4">
        <f t="shared" si="2"/>
        <v>6576.7997999999998</v>
      </c>
      <c r="AG5" s="4">
        <f t="shared" si="2"/>
        <v>6894.0508000000018</v>
      </c>
      <c r="AH5" s="4">
        <f t="shared" si="2"/>
        <v>6930.8281999999999</v>
      </c>
      <c r="AI5" s="4">
        <f t="shared" si="2"/>
        <v>7185.7378000000026</v>
      </c>
      <c r="AJ5" s="1"/>
      <c r="AK5" s="4">
        <f>SUM(AK6:AK500)</f>
        <v>9878</v>
      </c>
      <c r="AL5" s="4">
        <f>SUM(AL6:AL500)</f>
        <v>4243</v>
      </c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</row>
    <row r="6" spans="1:53" x14ac:dyDescent="0.25">
      <c r="A6" s="1" t="s">
        <v>36</v>
      </c>
      <c r="B6" s="1" t="s">
        <v>37</v>
      </c>
      <c r="C6" s="1">
        <v>1227.1179999999999</v>
      </c>
      <c r="D6" s="1">
        <v>1241.3309999999999</v>
      </c>
      <c r="E6" s="1">
        <v>1017.6420000000001</v>
      </c>
      <c r="F6" s="1">
        <v>1366.845</v>
      </c>
      <c r="G6" s="8">
        <v>1</v>
      </c>
      <c r="H6" s="1">
        <v>50</v>
      </c>
      <c r="I6" s="1" t="s">
        <v>38</v>
      </c>
      <c r="J6" s="1"/>
      <c r="K6" s="1">
        <v>1060.4770000000001</v>
      </c>
      <c r="L6" s="1">
        <f t="shared" ref="L6:L37" si="3">E6-K6</f>
        <v>-42.835000000000036</v>
      </c>
      <c r="M6" s="1">
        <f>E6-N6</f>
        <v>900.91500000000008</v>
      </c>
      <c r="N6" s="1">
        <v>116.727</v>
      </c>
      <c r="O6" s="1"/>
      <c r="P6" s="1">
        <v>218.89150000000001</v>
      </c>
      <c r="Q6" s="1">
        <v>182.4034</v>
      </c>
      <c r="R6" s="1">
        <f>M6/5</f>
        <v>180.18300000000002</v>
      </c>
      <c r="S6" s="5">
        <f>12*R6-Q6-P6-O6-F6</f>
        <v>394.05610000000047</v>
      </c>
      <c r="T6" s="5"/>
      <c r="U6" s="5">
        <f>T6+S6</f>
        <v>394.05610000000047</v>
      </c>
      <c r="V6" s="5">
        <f>$V$1*R6</f>
        <v>216.21960000000001</v>
      </c>
      <c r="W6" s="5"/>
      <c r="X6" s="1"/>
      <c r="Y6" s="1"/>
      <c r="Z6" s="1">
        <f>(F6+O6+P6+Q6+U6+V6)/R6</f>
        <v>13.2</v>
      </c>
      <c r="AA6" s="1">
        <f>(F6+O6+P6+Q6)/R6</f>
        <v>9.8130228711920644</v>
      </c>
      <c r="AB6" s="1">
        <v>182.4034</v>
      </c>
      <c r="AC6" s="1">
        <v>175.11320000000001</v>
      </c>
      <c r="AD6" s="1">
        <v>172.38</v>
      </c>
      <c r="AE6" s="1">
        <v>179.46940000000001</v>
      </c>
      <c r="AF6" s="1">
        <v>166.29740000000001</v>
      </c>
      <c r="AG6" s="1">
        <v>168.4162</v>
      </c>
      <c r="AH6" s="1">
        <v>180.30260000000001</v>
      </c>
      <c r="AI6" s="1">
        <v>192.42859999999999</v>
      </c>
      <c r="AJ6" s="1"/>
      <c r="AK6" s="1">
        <f>ROUND(G6*U6,0)</f>
        <v>394</v>
      </c>
      <c r="AL6" s="1">
        <f>ROUND(G6*V6,0)</f>
        <v>216</v>
      </c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</row>
    <row r="7" spans="1:53" x14ac:dyDescent="0.25">
      <c r="A7" s="1" t="s">
        <v>39</v>
      </c>
      <c r="B7" s="1" t="s">
        <v>37</v>
      </c>
      <c r="C7" s="1">
        <v>412.81400000000002</v>
      </c>
      <c r="D7" s="1">
        <v>253.828</v>
      </c>
      <c r="E7" s="1">
        <v>327.09800000000001</v>
      </c>
      <c r="F7" s="1">
        <v>300.95400000000001</v>
      </c>
      <c r="G7" s="8">
        <v>1</v>
      </c>
      <c r="H7" s="1">
        <v>45</v>
      </c>
      <c r="I7" s="1" t="s">
        <v>38</v>
      </c>
      <c r="J7" s="1"/>
      <c r="K7" s="1">
        <v>342.13600000000002</v>
      </c>
      <c r="L7" s="1">
        <f t="shared" si="3"/>
        <v>-15.038000000000011</v>
      </c>
      <c r="M7" s="1">
        <f t="shared" ref="M7:M70" si="4">E7-N7</f>
        <v>272.762</v>
      </c>
      <c r="N7" s="1">
        <v>54.335999999999999</v>
      </c>
      <c r="O7" s="1"/>
      <c r="P7" s="1"/>
      <c r="Q7" s="1">
        <v>114.6274500000002</v>
      </c>
      <c r="R7" s="1">
        <f t="shared" ref="R7:R70" si="5">M7/5</f>
        <v>54.552399999999999</v>
      </c>
      <c r="S7" s="5">
        <f t="shared" ref="S7:S30" si="6">12*R7-Q7-P7-O7-F7</f>
        <v>239.04734999999977</v>
      </c>
      <c r="T7" s="5"/>
      <c r="U7" s="5">
        <f t="shared" ref="U7:U70" si="7">T7+S7</f>
        <v>239.04734999999977</v>
      </c>
      <c r="V7" s="5">
        <f t="shared" ref="V7:V10" si="8">$V$1*R7</f>
        <v>65.462879999999998</v>
      </c>
      <c r="W7" s="5"/>
      <c r="X7" s="1"/>
      <c r="Y7" s="1"/>
      <c r="Z7" s="1">
        <f t="shared" ref="Z7:Z70" si="9">(F7+O7+P7+Q7+U7+V7)/R7</f>
        <v>13.200000000000001</v>
      </c>
      <c r="AA7" s="1">
        <f t="shared" ref="AA7:AA70" si="10">(F7+O7+P7+Q7)/R7</f>
        <v>7.6180232217097723</v>
      </c>
      <c r="AB7" s="1">
        <v>49.953200000000002</v>
      </c>
      <c r="AC7" s="1">
        <v>48.805399999999999</v>
      </c>
      <c r="AD7" s="1">
        <v>48.548999999999999</v>
      </c>
      <c r="AE7" s="1">
        <v>52.279000000000003</v>
      </c>
      <c r="AF7" s="1">
        <v>49.968000000000004</v>
      </c>
      <c r="AG7" s="1">
        <v>49.890999999999998</v>
      </c>
      <c r="AH7" s="1">
        <v>62.350399999999993</v>
      </c>
      <c r="AI7" s="1">
        <v>59.485999999999997</v>
      </c>
      <c r="AJ7" s="1"/>
      <c r="AK7" s="1">
        <f t="shared" ref="AK7:AL70" si="11">ROUND(G7*U7,0)</f>
        <v>239</v>
      </c>
      <c r="AL7" s="1">
        <f t="shared" ref="AL7:AL70" si="12">ROUND(G7*V7,0)</f>
        <v>65</v>
      </c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</row>
    <row r="8" spans="1:53" x14ac:dyDescent="0.25">
      <c r="A8" s="1" t="s">
        <v>40</v>
      </c>
      <c r="B8" s="1" t="s">
        <v>37</v>
      </c>
      <c r="C8" s="1">
        <v>395.94900000000001</v>
      </c>
      <c r="D8" s="1">
        <v>420.76</v>
      </c>
      <c r="E8" s="1">
        <v>320.34699999999998</v>
      </c>
      <c r="F8" s="1">
        <v>482.18400000000003</v>
      </c>
      <c r="G8" s="8">
        <v>1</v>
      </c>
      <c r="H8" s="1">
        <v>45</v>
      </c>
      <c r="I8" s="1" t="s">
        <v>38</v>
      </c>
      <c r="J8" s="1"/>
      <c r="K8" s="1">
        <v>321.89</v>
      </c>
      <c r="L8" s="1">
        <f t="shared" si="3"/>
        <v>-1.5430000000000064</v>
      </c>
      <c r="M8" s="1">
        <f t="shared" si="4"/>
        <v>296.20699999999999</v>
      </c>
      <c r="N8" s="1">
        <v>24.14</v>
      </c>
      <c r="O8" s="1"/>
      <c r="P8" s="1">
        <v>72.077500000000001</v>
      </c>
      <c r="Q8" s="1">
        <v>0</v>
      </c>
      <c r="R8" s="1">
        <f t="shared" si="5"/>
        <v>59.241399999999999</v>
      </c>
      <c r="S8" s="5">
        <f t="shared" si="6"/>
        <v>156.63529999999997</v>
      </c>
      <c r="T8" s="5"/>
      <c r="U8" s="5">
        <f t="shared" si="7"/>
        <v>156.63529999999997</v>
      </c>
      <c r="V8" s="5">
        <f t="shared" si="8"/>
        <v>71.089680000000001</v>
      </c>
      <c r="W8" s="5"/>
      <c r="X8" s="1"/>
      <c r="Y8" s="1"/>
      <c r="Z8" s="1">
        <f t="shared" si="9"/>
        <v>13.200000000000001</v>
      </c>
      <c r="AA8" s="1">
        <f t="shared" si="10"/>
        <v>9.3559824717174145</v>
      </c>
      <c r="AB8" s="1">
        <v>55.459400000000002</v>
      </c>
      <c r="AC8" s="1">
        <v>57.661999999999999</v>
      </c>
      <c r="AD8" s="1">
        <v>57.587200000000003</v>
      </c>
      <c r="AE8" s="1">
        <v>58.414400000000001</v>
      </c>
      <c r="AF8" s="1">
        <v>53.816800000000001</v>
      </c>
      <c r="AG8" s="1">
        <v>62.303800000000003</v>
      </c>
      <c r="AH8" s="1">
        <v>63.837599999999988</v>
      </c>
      <c r="AI8" s="1">
        <v>65.301599999999993</v>
      </c>
      <c r="AJ8" s="1"/>
      <c r="AK8" s="1">
        <f t="shared" si="11"/>
        <v>157</v>
      </c>
      <c r="AL8" s="1">
        <f t="shared" si="12"/>
        <v>71</v>
      </c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</row>
    <row r="9" spans="1:53" x14ac:dyDescent="0.25">
      <c r="A9" s="1" t="s">
        <v>41</v>
      </c>
      <c r="B9" s="1" t="s">
        <v>42</v>
      </c>
      <c r="C9" s="1">
        <v>585.14</v>
      </c>
      <c r="D9" s="1">
        <v>853</v>
      </c>
      <c r="E9" s="1">
        <v>453</v>
      </c>
      <c r="F9" s="1">
        <v>703.44200000000001</v>
      </c>
      <c r="G9" s="8">
        <v>0.45</v>
      </c>
      <c r="H9" s="1">
        <v>45</v>
      </c>
      <c r="I9" s="1" t="s">
        <v>38</v>
      </c>
      <c r="J9" s="1"/>
      <c r="K9" s="1">
        <v>468</v>
      </c>
      <c r="L9" s="1">
        <f t="shared" si="3"/>
        <v>-15</v>
      </c>
      <c r="M9" s="1">
        <f t="shared" si="4"/>
        <v>453</v>
      </c>
      <c r="N9" s="1"/>
      <c r="O9" s="1"/>
      <c r="P9" s="1">
        <v>108.215</v>
      </c>
      <c r="Q9" s="1">
        <v>223.9696000000001</v>
      </c>
      <c r="R9" s="1">
        <f t="shared" si="5"/>
        <v>90.6</v>
      </c>
      <c r="S9" s="5">
        <f t="shared" si="6"/>
        <v>51.573399999999651</v>
      </c>
      <c r="T9" s="5"/>
      <c r="U9" s="5">
        <f t="shared" si="7"/>
        <v>51.573399999999651</v>
      </c>
      <c r="V9" s="5">
        <f t="shared" si="8"/>
        <v>108.71999999999998</v>
      </c>
      <c r="W9" s="5"/>
      <c r="X9" s="1"/>
      <c r="Y9" s="1"/>
      <c r="Z9" s="1">
        <f t="shared" si="9"/>
        <v>13.2</v>
      </c>
      <c r="AA9" s="1">
        <f t="shared" si="10"/>
        <v>11.430757174392937</v>
      </c>
      <c r="AB9" s="1">
        <v>97</v>
      </c>
      <c r="AC9" s="1">
        <v>86.572000000000003</v>
      </c>
      <c r="AD9" s="1">
        <v>85.972000000000008</v>
      </c>
      <c r="AE9" s="1">
        <v>88</v>
      </c>
      <c r="AF9" s="1">
        <v>87.2</v>
      </c>
      <c r="AG9" s="1">
        <v>95.6</v>
      </c>
      <c r="AH9" s="1">
        <v>84.8</v>
      </c>
      <c r="AI9" s="1">
        <v>78.599999999999994</v>
      </c>
      <c r="AJ9" s="1"/>
      <c r="AK9" s="1">
        <f t="shared" si="11"/>
        <v>23</v>
      </c>
      <c r="AL9" s="1">
        <f t="shared" si="12"/>
        <v>49</v>
      </c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</row>
    <row r="10" spans="1:53" x14ac:dyDescent="0.25">
      <c r="A10" s="1" t="s">
        <v>43</v>
      </c>
      <c r="B10" s="1" t="s">
        <v>42</v>
      </c>
      <c r="C10" s="1">
        <v>1124</v>
      </c>
      <c r="D10" s="1">
        <v>1850</v>
      </c>
      <c r="E10" s="1">
        <v>739</v>
      </c>
      <c r="F10" s="1">
        <v>1385.395</v>
      </c>
      <c r="G10" s="8">
        <v>0.45</v>
      </c>
      <c r="H10" s="1">
        <v>45</v>
      </c>
      <c r="I10" s="1" t="s">
        <v>38</v>
      </c>
      <c r="J10" s="1"/>
      <c r="K10" s="1">
        <v>769</v>
      </c>
      <c r="L10" s="1">
        <f t="shared" si="3"/>
        <v>-30</v>
      </c>
      <c r="M10" s="1">
        <f t="shared" si="4"/>
        <v>739</v>
      </c>
      <c r="N10" s="1"/>
      <c r="O10" s="1"/>
      <c r="P10" s="1">
        <v>189.25</v>
      </c>
      <c r="Q10" s="1">
        <v>163.19999999999999</v>
      </c>
      <c r="R10" s="1">
        <f t="shared" si="5"/>
        <v>147.80000000000001</v>
      </c>
      <c r="S10" s="5">
        <f t="shared" si="6"/>
        <v>35.755000000000109</v>
      </c>
      <c r="T10" s="5"/>
      <c r="U10" s="5">
        <f t="shared" si="7"/>
        <v>35.755000000000109</v>
      </c>
      <c r="V10" s="5">
        <f t="shared" si="8"/>
        <v>177.36</v>
      </c>
      <c r="W10" s="5"/>
      <c r="X10" s="1"/>
      <c r="Y10" s="1"/>
      <c r="Z10" s="1">
        <f t="shared" si="9"/>
        <v>13.2</v>
      </c>
      <c r="AA10" s="1">
        <f t="shared" si="10"/>
        <v>11.758085250338294</v>
      </c>
      <c r="AB10" s="1">
        <v>163.19999999999999</v>
      </c>
      <c r="AC10" s="1">
        <v>151.4</v>
      </c>
      <c r="AD10" s="1">
        <v>135.19999999999999</v>
      </c>
      <c r="AE10" s="1">
        <v>152.80000000000001</v>
      </c>
      <c r="AF10" s="1">
        <v>159.19999999999999</v>
      </c>
      <c r="AG10" s="1">
        <v>154.80000000000001</v>
      </c>
      <c r="AH10" s="1">
        <v>162</v>
      </c>
      <c r="AI10" s="1">
        <v>174.6</v>
      </c>
      <c r="AJ10" s="1"/>
      <c r="AK10" s="1">
        <f t="shared" si="11"/>
        <v>16</v>
      </c>
      <c r="AL10" s="1">
        <f t="shared" si="12"/>
        <v>80</v>
      </c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</row>
    <row r="11" spans="1:53" x14ac:dyDescent="0.25">
      <c r="A11" s="1" t="s">
        <v>44</v>
      </c>
      <c r="B11" s="1" t="s">
        <v>42</v>
      </c>
      <c r="C11" s="1">
        <v>20</v>
      </c>
      <c r="D11" s="1">
        <v>181</v>
      </c>
      <c r="E11" s="1">
        <v>46</v>
      </c>
      <c r="F11" s="1">
        <v>152</v>
      </c>
      <c r="G11" s="8">
        <v>0.17</v>
      </c>
      <c r="H11" s="1">
        <v>180</v>
      </c>
      <c r="I11" s="1" t="s">
        <v>38</v>
      </c>
      <c r="J11" s="1"/>
      <c r="K11" s="1">
        <v>64</v>
      </c>
      <c r="L11" s="1">
        <f t="shared" si="3"/>
        <v>-18</v>
      </c>
      <c r="M11" s="1">
        <f t="shared" si="4"/>
        <v>46</v>
      </c>
      <c r="N11" s="1"/>
      <c r="O11" s="1"/>
      <c r="P11" s="1"/>
      <c r="Q11" s="1">
        <v>0</v>
      </c>
      <c r="R11" s="1">
        <f t="shared" si="5"/>
        <v>9.1999999999999993</v>
      </c>
      <c r="S11" s="5"/>
      <c r="T11" s="5"/>
      <c r="U11" s="5">
        <f t="shared" si="7"/>
        <v>0</v>
      </c>
      <c r="V11" s="5"/>
      <c r="W11" s="5"/>
      <c r="X11" s="1"/>
      <c r="Y11" s="1"/>
      <c r="Z11" s="1">
        <f t="shared" si="9"/>
        <v>16.521739130434785</v>
      </c>
      <c r="AA11" s="1">
        <f t="shared" si="10"/>
        <v>16.521739130434785</v>
      </c>
      <c r="AB11" s="1">
        <v>7.2</v>
      </c>
      <c r="AC11" s="1">
        <v>15</v>
      </c>
      <c r="AD11" s="1">
        <v>17.399999999999999</v>
      </c>
      <c r="AE11" s="1">
        <v>7.6</v>
      </c>
      <c r="AF11" s="1">
        <v>1</v>
      </c>
      <c r="AG11" s="1">
        <v>1.2</v>
      </c>
      <c r="AH11" s="1">
        <v>8.4</v>
      </c>
      <c r="AI11" s="1">
        <v>16</v>
      </c>
      <c r="AJ11" s="1"/>
      <c r="AK11" s="1">
        <f t="shared" si="11"/>
        <v>0</v>
      </c>
      <c r="AL11" s="1">
        <f t="shared" si="12"/>
        <v>0</v>
      </c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</row>
    <row r="12" spans="1:53" x14ac:dyDescent="0.25">
      <c r="A12" s="1" t="s">
        <v>45</v>
      </c>
      <c r="B12" s="1" t="s">
        <v>42</v>
      </c>
      <c r="C12" s="1">
        <v>153</v>
      </c>
      <c r="D12" s="1">
        <v>126</v>
      </c>
      <c r="E12" s="1">
        <v>94</v>
      </c>
      <c r="F12" s="1">
        <v>172</v>
      </c>
      <c r="G12" s="8">
        <v>0.3</v>
      </c>
      <c r="H12" s="1">
        <v>40</v>
      </c>
      <c r="I12" s="1" t="s">
        <v>38</v>
      </c>
      <c r="J12" s="1"/>
      <c r="K12" s="1">
        <v>98</v>
      </c>
      <c r="L12" s="1">
        <f t="shared" si="3"/>
        <v>-4</v>
      </c>
      <c r="M12" s="1">
        <f t="shared" si="4"/>
        <v>94</v>
      </c>
      <c r="N12" s="1"/>
      <c r="O12" s="1"/>
      <c r="P12" s="1"/>
      <c r="Q12" s="1">
        <v>6.0000000000000284</v>
      </c>
      <c r="R12" s="1">
        <f t="shared" si="5"/>
        <v>18.8</v>
      </c>
      <c r="S12" s="5">
        <f t="shared" si="6"/>
        <v>47.599999999999994</v>
      </c>
      <c r="T12" s="5"/>
      <c r="U12" s="5">
        <f t="shared" si="7"/>
        <v>47.599999999999994</v>
      </c>
      <c r="V12" s="5"/>
      <c r="W12" s="5"/>
      <c r="X12" s="1"/>
      <c r="Y12" s="1"/>
      <c r="Z12" s="1">
        <f t="shared" si="9"/>
        <v>12</v>
      </c>
      <c r="AA12" s="1">
        <f t="shared" si="10"/>
        <v>9.4680851063829792</v>
      </c>
      <c r="AB12" s="1">
        <v>20.6</v>
      </c>
      <c r="AC12" s="1">
        <v>22</v>
      </c>
      <c r="AD12" s="1">
        <v>29.2</v>
      </c>
      <c r="AE12" s="1">
        <v>27.4</v>
      </c>
      <c r="AF12" s="1">
        <v>16.8</v>
      </c>
      <c r="AG12" s="1">
        <v>15.8</v>
      </c>
      <c r="AH12" s="1">
        <v>21.8</v>
      </c>
      <c r="AI12" s="1">
        <v>23.2</v>
      </c>
      <c r="AJ12" s="1"/>
      <c r="AK12" s="1">
        <f t="shared" si="11"/>
        <v>14</v>
      </c>
      <c r="AL12" s="1">
        <f t="shared" si="12"/>
        <v>0</v>
      </c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</row>
    <row r="13" spans="1:53" x14ac:dyDescent="0.25">
      <c r="A13" s="1" t="s">
        <v>46</v>
      </c>
      <c r="B13" s="1" t="s">
        <v>42</v>
      </c>
      <c r="C13" s="1">
        <v>283</v>
      </c>
      <c r="D13" s="1">
        <v>241</v>
      </c>
      <c r="E13" s="1">
        <v>229</v>
      </c>
      <c r="F13" s="1">
        <v>290</v>
      </c>
      <c r="G13" s="8">
        <v>0.17</v>
      </c>
      <c r="H13" s="1">
        <v>180</v>
      </c>
      <c r="I13" s="1" t="s">
        <v>38</v>
      </c>
      <c r="J13" s="1"/>
      <c r="K13" s="1">
        <v>230</v>
      </c>
      <c r="L13" s="1">
        <f t="shared" si="3"/>
        <v>-1</v>
      </c>
      <c r="M13" s="1">
        <f t="shared" si="4"/>
        <v>229</v>
      </c>
      <c r="N13" s="1"/>
      <c r="O13" s="1"/>
      <c r="P13" s="1"/>
      <c r="Q13" s="1">
        <v>95.399999999999864</v>
      </c>
      <c r="R13" s="1">
        <f t="shared" si="5"/>
        <v>45.8</v>
      </c>
      <c r="S13" s="5">
        <f t="shared" si="6"/>
        <v>164.20000000000005</v>
      </c>
      <c r="T13" s="5"/>
      <c r="U13" s="5">
        <f t="shared" si="7"/>
        <v>164.20000000000005</v>
      </c>
      <c r="V13" s="5"/>
      <c r="W13" s="5"/>
      <c r="X13" s="1"/>
      <c r="Y13" s="1"/>
      <c r="Z13" s="1">
        <f t="shared" si="9"/>
        <v>11.999999999999998</v>
      </c>
      <c r="AA13" s="1">
        <f t="shared" si="10"/>
        <v>8.4148471615720499</v>
      </c>
      <c r="AB13" s="1">
        <v>41.8</v>
      </c>
      <c r="AC13" s="1">
        <v>41.6</v>
      </c>
      <c r="AD13" s="1">
        <v>35.799999999999997</v>
      </c>
      <c r="AE13" s="1">
        <v>31.6</v>
      </c>
      <c r="AF13" s="1">
        <v>44.2</v>
      </c>
      <c r="AG13" s="1">
        <v>41.8</v>
      </c>
      <c r="AH13" s="1">
        <v>29.6</v>
      </c>
      <c r="AI13" s="1">
        <v>41.8</v>
      </c>
      <c r="AJ13" s="1"/>
      <c r="AK13" s="1">
        <f t="shared" si="11"/>
        <v>28</v>
      </c>
      <c r="AL13" s="1">
        <f t="shared" si="12"/>
        <v>0</v>
      </c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</row>
    <row r="14" spans="1:53" x14ac:dyDescent="0.25">
      <c r="A14" s="1" t="s">
        <v>47</v>
      </c>
      <c r="B14" s="1" t="s">
        <v>37</v>
      </c>
      <c r="C14" s="1">
        <v>1136.3510000000001</v>
      </c>
      <c r="D14" s="1">
        <v>619.40499999999997</v>
      </c>
      <c r="E14" s="1">
        <v>671.95</v>
      </c>
      <c r="F14" s="1">
        <v>1021.147</v>
      </c>
      <c r="G14" s="8">
        <v>1</v>
      </c>
      <c r="H14" s="1">
        <v>55</v>
      </c>
      <c r="I14" s="1" t="s">
        <v>38</v>
      </c>
      <c r="J14" s="1"/>
      <c r="K14" s="1">
        <v>708.56799999999998</v>
      </c>
      <c r="L14" s="1">
        <f t="shared" si="3"/>
        <v>-36.617999999999938</v>
      </c>
      <c r="M14" s="1">
        <f t="shared" si="4"/>
        <v>634.80200000000002</v>
      </c>
      <c r="N14" s="1">
        <v>37.148000000000003</v>
      </c>
      <c r="O14" s="1"/>
      <c r="P14" s="1">
        <v>158.41550000000001</v>
      </c>
      <c r="Q14" s="1">
        <v>137.52510999999959</v>
      </c>
      <c r="R14" s="1">
        <f t="shared" si="5"/>
        <v>126.96040000000001</v>
      </c>
      <c r="S14" s="5">
        <f t="shared" si="6"/>
        <v>206.43719000000044</v>
      </c>
      <c r="T14" s="5"/>
      <c r="U14" s="5">
        <f t="shared" si="7"/>
        <v>206.43719000000044</v>
      </c>
      <c r="V14" s="5">
        <f t="shared" ref="V14:V15" si="13">$V$1*R14</f>
        <v>152.35248000000001</v>
      </c>
      <c r="W14" s="5"/>
      <c r="X14" s="1"/>
      <c r="Y14" s="1"/>
      <c r="Z14" s="1">
        <f t="shared" si="9"/>
        <v>13.200000000000001</v>
      </c>
      <c r="AA14" s="1">
        <f t="shared" si="10"/>
        <v>10.374003311268707</v>
      </c>
      <c r="AB14" s="1">
        <v>126.75879999999999</v>
      </c>
      <c r="AC14" s="1">
        <v>126.7324</v>
      </c>
      <c r="AD14" s="1">
        <v>139.5694</v>
      </c>
      <c r="AE14" s="1">
        <v>135.46719999999999</v>
      </c>
      <c r="AF14" s="1">
        <v>119.187</v>
      </c>
      <c r="AG14" s="1">
        <v>120.202</v>
      </c>
      <c r="AH14" s="1">
        <v>121.41419999999999</v>
      </c>
      <c r="AI14" s="1">
        <v>134.1662</v>
      </c>
      <c r="AJ14" s="1" t="s">
        <v>48</v>
      </c>
      <c r="AK14" s="1">
        <f t="shared" si="11"/>
        <v>206</v>
      </c>
      <c r="AL14" s="1">
        <f t="shared" si="12"/>
        <v>152</v>
      </c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</row>
    <row r="15" spans="1:53" x14ac:dyDescent="0.25">
      <c r="A15" s="1" t="s">
        <v>49</v>
      </c>
      <c r="B15" s="1" t="s">
        <v>37</v>
      </c>
      <c r="C15" s="1">
        <v>3106.8429999999998</v>
      </c>
      <c r="D15" s="1">
        <v>2708.8879999999999</v>
      </c>
      <c r="E15" s="1">
        <v>2405.442</v>
      </c>
      <c r="F15" s="1">
        <v>3146.5419999999999</v>
      </c>
      <c r="G15" s="8">
        <v>1</v>
      </c>
      <c r="H15" s="1">
        <v>50</v>
      </c>
      <c r="I15" s="1" t="s">
        <v>38</v>
      </c>
      <c r="J15" s="1"/>
      <c r="K15" s="1">
        <v>2562.9110000000001</v>
      </c>
      <c r="L15" s="1">
        <f t="shared" si="3"/>
        <v>-157.46900000000005</v>
      </c>
      <c r="M15" s="1">
        <f t="shared" si="4"/>
        <v>2225.1309999999999</v>
      </c>
      <c r="N15" s="1">
        <v>180.31100000000001</v>
      </c>
      <c r="O15" s="1"/>
      <c r="P15" s="1">
        <v>525.54224999999997</v>
      </c>
      <c r="Q15" s="1">
        <v>985.98796000000243</v>
      </c>
      <c r="R15" s="1">
        <f t="shared" si="5"/>
        <v>445.02619999999996</v>
      </c>
      <c r="S15" s="5">
        <f t="shared" si="6"/>
        <v>682.24218999999721</v>
      </c>
      <c r="T15" s="5"/>
      <c r="U15" s="5">
        <f t="shared" si="7"/>
        <v>682.24218999999721</v>
      </c>
      <c r="V15" s="5">
        <f t="shared" si="13"/>
        <v>534.03143999999998</v>
      </c>
      <c r="W15" s="5"/>
      <c r="X15" s="1"/>
      <c r="Y15" s="1"/>
      <c r="Z15" s="1">
        <f t="shared" si="9"/>
        <v>13.2</v>
      </c>
      <c r="AA15" s="1">
        <f t="shared" si="10"/>
        <v>10.466961742926602</v>
      </c>
      <c r="AB15" s="1">
        <v>457.15699999999998</v>
      </c>
      <c r="AC15" s="1">
        <v>420.43380000000002</v>
      </c>
      <c r="AD15" s="1">
        <v>402.37119999999999</v>
      </c>
      <c r="AE15" s="1">
        <v>404.86380000000003</v>
      </c>
      <c r="AF15" s="1">
        <v>385.50580000000002</v>
      </c>
      <c r="AG15" s="1">
        <v>397.44959999999998</v>
      </c>
      <c r="AH15" s="1">
        <v>419.40100000000001</v>
      </c>
      <c r="AI15" s="1">
        <v>444.20319999999998</v>
      </c>
      <c r="AJ15" s="1" t="s">
        <v>48</v>
      </c>
      <c r="AK15" s="1">
        <f t="shared" si="11"/>
        <v>682</v>
      </c>
      <c r="AL15" s="1">
        <f t="shared" si="12"/>
        <v>534</v>
      </c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</row>
    <row r="16" spans="1:53" x14ac:dyDescent="0.25">
      <c r="A16" s="1" t="s">
        <v>50</v>
      </c>
      <c r="B16" s="1" t="s">
        <v>37</v>
      </c>
      <c r="C16" s="1">
        <v>209.21799999999999</v>
      </c>
      <c r="D16" s="1">
        <v>95.884</v>
      </c>
      <c r="E16" s="1">
        <v>140.79</v>
      </c>
      <c r="F16" s="1">
        <v>136.06700000000001</v>
      </c>
      <c r="G16" s="8">
        <v>1</v>
      </c>
      <c r="H16" s="1">
        <v>60</v>
      </c>
      <c r="I16" s="1" t="s">
        <v>38</v>
      </c>
      <c r="J16" s="1"/>
      <c r="K16" s="1">
        <v>157.55799999999999</v>
      </c>
      <c r="L16" s="1">
        <f t="shared" si="3"/>
        <v>-16.768000000000001</v>
      </c>
      <c r="M16" s="1">
        <f t="shared" si="4"/>
        <v>119.57199999999999</v>
      </c>
      <c r="N16" s="1">
        <v>21.218</v>
      </c>
      <c r="O16" s="1"/>
      <c r="P16" s="1"/>
      <c r="Q16" s="1">
        <v>117.32299999999999</v>
      </c>
      <c r="R16" s="1">
        <f t="shared" si="5"/>
        <v>23.914399999999997</v>
      </c>
      <c r="S16" s="5">
        <f t="shared" si="6"/>
        <v>33.582799999999963</v>
      </c>
      <c r="T16" s="5"/>
      <c r="U16" s="5">
        <f t="shared" si="7"/>
        <v>33.582799999999963</v>
      </c>
      <c r="V16" s="5"/>
      <c r="W16" s="5"/>
      <c r="X16" s="1"/>
      <c r="Y16" s="1"/>
      <c r="Z16" s="1">
        <f t="shared" si="9"/>
        <v>12</v>
      </c>
      <c r="AA16" s="1">
        <f t="shared" si="10"/>
        <v>10.595708025290202</v>
      </c>
      <c r="AB16" s="1">
        <v>26.519200000000001</v>
      </c>
      <c r="AC16" s="1">
        <v>22.669599999999999</v>
      </c>
      <c r="AD16" s="1">
        <v>22.863399999999999</v>
      </c>
      <c r="AE16" s="1">
        <v>29.8856</v>
      </c>
      <c r="AF16" s="1">
        <v>27.912400000000002</v>
      </c>
      <c r="AG16" s="1">
        <v>23.6708</v>
      </c>
      <c r="AH16" s="1">
        <v>23.090199999999999</v>
      </c>
      <c r="AI16" s="1">
        <v>27.256599999999999</v>
      </c>
      <c r="AJ16" s="1"/>
      <c r="AK16" s="1">
        <f t="shared" si="11"/>
        <v>34</v>
      </c>
      <c r="AL16" s="1">
        <f t="shared" si="12"/>
        <v>0</v>
      </c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</row>
    <row r="17" spans="1:53" x14ac:dyDescent="0.25">
      <c r="A17" s="1" t="s">
        <v>51</v>
      </c>
      <c r="B17" s="1" t="s">
        <v>37</v>
      </c>
      <c r="C17" s="1">
        <v>1010.761</v>
      </c>
      <c r="D17" s="1">
        <v>2381.4180000000001</v>
      </c>
      <c r="E17" s="1">
        <v>1192.1690000000001</v>
      </c>
      <c r="F17" s="1">
        <v>2176.6410000000001</v>
      </c>
      <c r="G17" s="8">
        <v>1</v>
      </c>
      <c r="H17" s="1">
        <v>60</v>
      </c>
      <c r="I17" s="1" t="s">
        <v>38</v>
      </c>
      <c r="J17" s="1"/>
      <c r="K17" s="1">
        <v>1194.5</v>
      </c>
      <c r="L17" s="1">
        <f t="shared" si="3"/>
        <v>-2.3309999999999036</v>
      </c>
      <c r="M17" s="1">
        <f t="shared" si="4"/>
        <v>1192.1690000000001</v>
      </c>
      <c r="N17" s="1"/>
      <c r="O17" s="1"/>
      <c r="P17" s="1">
        <v>311.90949999999998</v>
      </c>
      <c r="Q17" s="1">
        <v>430.72082000000131</v>
      </c>
      <c r="R17" s="1">
        <f t="shared" si="5"/>
        <v>238.43380000000002</v>
      </c>
      <c r="S17" s="5"/>
      <c r="T17" s="5"/>
      <c r="U17" s="5">
        <f t="shared" si="7"/>
        <v>0</v>
      </c>
      <c r="V17" s="5">
        <f>$V$1*R17</f>
        <v>286.12056000000001</v>
      </c>
      <c r="W17" s="5"/>
      <c r="X17" s="1"/>
      <c r="Y17" s="1"/>
      <c r="Z17" s="1">
        <f t="shared" si="9"/>
        <v>13.443529734458794</v>
      </c>
      <c r="AA17" s="1">
        <f t="shared" si="10"/>
        <v>12.243529734458795</v>
      </c>
      <c r="AB17" s="1">
        <v>271.65940000000001</v>
      </c>
      <c r="AC17" s="1">
        <v>249.52760000000001</v>
      </c>
      <c r="AD17" s="1">
        <v>208.9632</v>
      </c>
      <c r="AE17" s="1">
        <v>225.94640000000001</v>
      </c>
      <c r="AF17" s="1">
        <v>257.19600000000003</v>
      </c>
      <c r="AG17" s="1">
        <v>244.88480000000001</v>
      </c>
      <c r="AH17" s="1">
        <v>244.0282</v>
      </c>
      <c r="AI17" s="1">
        <v>274.00639999999999</v>
      </c>
      <c r="AJ17" s="1" t="s">
        <v>52</v>
      </c>
      <c r="AK17" s="1">
        <f t="shared" si="11"/>
        <v>0</v>
      </c>
      <c r="AL17" s="1">
        <f t="shared" si="12"/>
        <v>286</v>
      </c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</row>
    <row r="18" spans="1:53" x14ac:dyDescent="0.25">
      <c r="A18" s="1" t="s">
        <v>53</v>
      </c>
      <c r="B18" s="1" t="s">
        <v>37</v>
      </c>
      <c r="C18" s="1">
        <v>109.93300000000001</v>
      </c>
      <c r="D18" s="1">
        <v>184.05199999999999</v>
      </c>
      <c r="E18" s="1">
        <v>116.58499999999999</v>
      </c>
      <c r="F18" s="1">
        <v>152.78899999999999</v>
      </c>
      <c r="G18" s="8">
        <v>1</v>
      </c>
      <c r="H18" s="1">
        <v>60</v>
      </c>
      <c r="I18" s="1" t="s">
        <v>38</v>
      </c>
      <c r="J18" s="1"/>
      <c r="K18" s="1">
        <v>131.50899999999999</v>
      </c>
      <c r="L18" s="1">
        <f t="shared" si="3"/>
        <v>-14.923999999999992</v>
      </c>
      <c r="M18" s="1">
        <f t="shared" si="4"/>
        <v>100.59599999999999</v>
      </c>
      <c r="N18" s="1">
        <v>15.989000000000001</v>
      </c>
      <c r="O18" s="1"/>
      <c r="P18" s="1"/>
      <c r="Q18" s="1">
        <v>41.090999999999887</v>
      </c>
      <c r="R18" s="1">
        <f t="shared" si="5"/>
        <v>20.119199999999999</v>
      </c>
      <c r="S18" s="5">
        <f t="shared" si="6"/>
        <v>47.55040000000011</v>
      </c>
      <c r="T18" s="5"/>
      <c r="U18" s="5">
        <f t="shared" si="7"/>
        <v>47.55040000000011</v>
      </c>
      <c r="V18" s="5"/>
      <c r="W18" s="5"/>
      <c r="X18" s="1"/>
      <c r="Y18" s="1"/>
      <c r="Z18" s="1">
        <f t="shared" si="9"/>
        <v>12</v>
      </c>
      <c r="AA18" s="1">
        <f t="shared" si="10"/>
        <v>9.6365660662451731</v>
      </c>
      <c r="AB18" s="1">
        <v>20.497</v>
      </c>
      <c r="AC18" s="1">
        <v>21.150600000000001</v>
      </c>
      <c r="AD18" s="1">
        <v>21.324400000000001</v>
      </c>
      <c r="AE18" s="1">
        <v>18.175000000000001</v>
      </c>
      <c r="AF18" s="1">
        <v>17.9468</v>
      </c>
      <c r="AG18" s="1">
        <v>19.385999999999999</v>
      </c>
      <c r="AH18" s="1">
        <v>18.990200000000002</v>
      </c>
      <c r="AI18" s="1">
        <v>24.14</v>
      </c>
      <c r="AJ18" s="1"/>
      <c r="AK18" s="1">
        <f t="shared" si="11"/>
        <v>48</v>
      </c>
      <c r="AL18" s="1">
        <f t="shared" si="12"/>
        <v>0</v>
      </c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</row>
    <row r="19" spans="1:53" x14ac:dyDescent="0.25">
      <c r="A19" s="1" t="s">
        <v>54</v>
      </c>
      <c r="B19" s="1" t="s">
        <v>37</v>
      </c>
      <c r="C19" s="1">
        <v>11.513999999999999</v>
      </c>
      <c r="D19" s="1"/>
      <c r="E19" s="1">
        <v>4.9390000000000001</v>
      </c>
      <c r="F19" s="1">
        <v>5.8360000000000003</v>
      </c>
      <c r="G19" s="8">
        <v>1</v>
      </c>
      <c r="H19" s="1">
        <v>180</v>
      </c>
      <c r="I19" s="1" t="s">
        <v>38</v>
      </c>
      <c r="J19" s="1"/>
      <c r="K19" s="1">
        <v>4.66</v>
      </c>
      <c r="L19" s="1">
        <f t="shared" si="3"/>
        <v>0.27899999999999991</v>
      </c>
      <c r="M19" s="1">
        <f t="shared" si="4"/>
        <v>4.9390000000000001</v>
      </c>
      <c r="N19" s="1"/>
      <c r="O19" s="1"/>
      <c r="P19" s="1"/>
      <c r="Q19" s="1">
        <v>3.7044000000000001</v>
      </c>
      <c r="R19" s="1">
        <f t="shared" si="5"/>
        <v>0.98780000000000001</v>
      </c>
      <c r="S19" s="5">
        <v>4</v>
      </c>
      <c r="T19" s="5"/>
      <c r="U19" s="5">
        <f t="shared" si="7"/>
        <v>4</v>
      </c>
      <c r="V19" s="5"/>
      <c r="W19" s="5"/>
      <c r="X19" s="1"/>
      <c r="Y19" s="1"/>
      <c r="Z19" s="1">
        <f t="shared" si="9"/>
        <v>13.707633124114192</v>
      </c>
      <c r="AA19" s="1">
        <f t="shared" si="10"/>
        <v>9.658230411014376</v>
      </c>
      <c r="AB19" s="1">
        <v>1.1454</v>
      </c>
      <c r="AC19" s="1">
        <v>0.93379999999999996</v>
      </c>
      <c r="AD19" s="1">
        <v>0.86940000000000006</v>
      </c>
      <c r="AE19" s="1">
        <v>1.26</v>
      </c>
      <c r="AF19" s="1">
        <v>1.3264</v>
      </c>
      <c r="AG19" s="1">
        <v>1.1476</v>
      </c>
      <c r="AH19" s="1">
        <v>1.4256</v>
      </c>
      <c r="AI19" s="1">
        <v>1.2692000000000001</v>
      </c>
      <c r="AJ19" s="1"/>
      <c r="AK19" s="1">
        <f t="shared" si="11"/>
        <v>4</v>
      </c>
      <c r="AL19" s="1">
        <f t="shared" si="12"/>
        <v>0</v>
      </c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</row>
    <row r="20" spans="1:53" x14ac:dyDescent="0.25">
      <c r="A20" s="1" t="s">
        <v>55</v>
      </c>
      <c r="B20" s="1" t="s">
        <v>37</v>
      </c>
      <c r="C20" s="1">
        <v>1665.2329999999999</v>
      </c>
      <c r="D20" s="1">
        <v>1863.588</v>
      </c>
      <c r="E20" s="1">
        <v>1222.2080000000001</v>
      </c>
      <c r="F20" s="1">
        <v>2257.8359999999998</v>
      </c>
      <c r="G20" s="8">
        <v>1</v>
      </c>
      <c r="H20" s="1">
        <v>60</v>
      </c>
      <c r="I20" s="1" t="s">
        <v>38</v>
      </c>
      <c r="J20" s="1"/>
      <c r="K20" s="1">
        <v>1192.702</v>
      </c>
      <c r="L20" s="1">
        <f t="shared" si="3"/>
        <v>29.506000000000085</v>
      </c>
      <c r="M20" s="1">
        <f t="shared" si="4"/>
        <v>1222.2080000000001</v>
      </c>
      <c r="N20" s="1"/>
      <c r="O20" s="1"/>
      <c r="P20" s="1">
        <v>327.05700000000002</v>
      </c>
      <c r="Q20" s="1">
        <v>0</v>
      </c>
      <c r="R20" s="1">
        <f t="shared" si="5"/>
        <v>244.44160000000002</v>
      </c>
      <c r="S20" s="5">
        <f t="shared" si="6"/>
        <v>348.40620000000081</v>
      </c>
      <c r="T20" s="5"/>
      <c r="U20" s="5">
        <f t="shared" si="7"/>
        <v>348.40620000000081</v>
      </c>
      <c r="V20" s="5">
        <f t="shared" ref="V20:V21" si="14">$V$1*R20</f>
        <v>293.32992000000002</v>
      </c>
      <c r="W20" s="5"/>
      <c r="X20" s="1"/>
      <c r="Y20" s="1"/>
      <c r="Z20" s="1">
        <f t="shared" si="9"/>
        <v>13.200000000000003</v>
      </c>
      <c r="AA20" s="1">
        <f t="shared" si="10"/>
        <v>10.574685323611037</v>
      </c>
      <c r="AB20" s="1">
        <v>242.4956</v>
      </c>
      <c r="AC20" s="1">
        <v>261.6456</v>
      </c>
      <c r="AD20" s="1">
        <v>269.88499999999999</v>
      </c>
      <c r="AE20" s="1">
        <v>229.2912</v>
      </c>
      <c r="AF20" s="1">
        <v>231.7182</v>
      </c>
      <c r="AG20" s="1">
        <v>232.17439999999999</v>
      </c>
      <c r="AH20" s="1">
        <v>213.696</v>
      </c>
      <c r="AI20" s="1">
        <v>242.32</v>
      </c>
      <c r="AJ20" s="1" t="s">
        <v>48</v>
      </c>
      <c r="AK20" s="1">
        <f t="shared" si="11"/>
        <v>348</v>
      </c>
      <c r="AL20" s="1">
        <f t="shared" si="12"/>
        <v>293</v>
      </c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</row>
    <row r="21" spans="1:53" x14ac:dyDescent="0.25">
      <c r="A21" s="1" t="s">
        <v>56</v>
      </c>
      <c r="B21" s="1" t="s">
        <v>37</v>
      </c>
      <c r="C21" s="1">
        <v>188.791</v>
      </c>
      <c r="D21" s="1">
        <v>415.15100000000001</v>
      </c>
      <c r="E21" s="1">
        <v>290.53199999999998</v>
      </c>
      <c r="F21" s="1">
        <v>291.14</v>
      </c>
      <c r="G21" s="8">
        <v>1</v>
      </c>
      <c r="H21" s="1">
        <v>60</v>
      </c>
      <c r="I21" s="1" t="s">
        <v>38</v>
      </c>
      <c r="J21" s="1"/>
      <c r="K21" s="1">
        <v>304.54500000000002</v>
      </c>
      <c r="L21" s="1">
        <f t="shared" si="3"/>
        <v>-14.013000000000034</v>
      </c>
      <c r="M21" s="1">
        <f t="shared" si="4"/>
        <v>290.53199999999998</v>
      </c>
      <c r="N21" s="1"/>
      <c r="O21" s="1"/>
      <c r="P21" s="1"/>
      <c r="Q21" s="1">
        <v>387.89339999999999</v>
      </c>
      <c r="R21" s="1">
        <f t="shared" si="5"/>
        <v>58.106399999999994</v>
      </c>
      <c r="S21" s="5">
        <f t="shared" si="6"/>
        <v>18.243399999999895</v>
      </c>
      <c r="T21" s="5"/>
      <c r="U21" s="5">
        <f t="shared" si="7"/>
        <v>18.243399999999895</v>
      </c>
      <c r="V21" s="5">
        <f t="shared" si="14"/>
        <v>69.727679999999992</v>
      </c>
      <c r="W21" s="5"/>
      <c r="X21" s="1"/>
      <c r="Y21" s="1"/>
      <c r="Z21" s="1">
        <f t="shared" si="9"/>
        <v>13.2</v>
      </c>
      <c r="AA21" s="1">
        <f t="shared" si="10"/>
        <v>11.686034584830589</v>
      </c>
      <c r="AB21" s="1">
        <v>60.803999999999988</v>
      </c>
      <c r="AC21" s="1">
        <v>46.291400000000003</v>
      </c>
      <c r="AD21" s="1">
        <v>45.197800000000001</v>
      </c>
      <c r="AE21" s="1">
        <v>35.644599999999997</v>
      </c>
      <c r="AF21" s="1">
        <v>35.618400000000001</v>
      </c>
      <c r="AG21" s="1">
        <v>44.008400000000002</v>
      </c>
      <c r="AH21" s="1">
        <v>44.275799999999997</v>
      </c>
      <c r="AI21" s="1">
        <v>46.891399999999997</v>
      </c>
      <c r="AJ21" s="1"/>
      <c r="AK21" s="1">
        <f t="shared" si="11"/>
        <v>18</v>
      </c>
      <c r="AL21" s="1">
        <f t="shared" si="12"/>
        <v>70</v>
      </c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</row>
    <row r="22" spans="1:53" x14ac:dyDescent="0.25">
      <c r="A22" s="1" t="s">
        <v>57</v>
      </c>
      <c r="B22" s="1" t="s">
        <v>37</v>
      </c>
      <c r="C22" s="1">
        <v>305.49200000000002</v>
      </c>
      <c r="D22" s="1">
        <v>223.035</v>
      </c>
      <c r="E22" s="1">
        <v>229.8</v>
      </c>
      <c r="F22" s="1">
        <v>289.06</v>
      </c>
      <c r="G22" s="8">
        <v>1</v>
      </c>
      <c r="H22" s="1">
        <v>60</v>
      </c>
      <c r="I22" s="1" t="s">
        <v>38</v>
      </c>
      <c r="J22" s="1"/>
      <c r="K22" s="1">
        <v>228.92</v>
      </c>
      <c r="L22" s="1">
        <f t="shared" si="3"/>
        <v>0.88000000000002387</v>
      </c>
      <c r="M22" s="1">
        <f t="shared" si="4"/>
        <v>229.8</v>
      </c>
      <c r="N22" s="1"/>
      <c r="O22" s="1"/>
      <c r="P22" s="1"/>
      <c r="Q22" s="1">
        <v>130.84440000000021</v>
      </c>
      <c r="R22" s="1">
        <f t="shared" si="5"/>
        <v>45.96</v>
      </c>
      <c r="S22" s="5">
        <f t="shared" si="6"/>
        <v>131.6155999999998</v>
      </c>
      <c r="T22" s="5"/>
      <c r="U22" s="5">
        <f t="shared" si="7"/>
        <v>131.6155999999998</v>
      </c>
      <c r="V22" s="5"/>
      <c r="W22" s="5"/>
      <c r="X22" s="1"/>
      <c r="Y22" s="1"/>
      <c r="Z22" s="1">
        <f t="shared" si="9"/>
        <v>12</v>
      </c>
      <c r="AA22" s="1">
        <f t="shared" si="10"/>
        <v>9.1363011314186302</v>
      </c>
      <c r="AB22" s="1">
        <v>43.485999999999997</v>
      </c>
      <c r="AC22" s="1">
        <v>40.974400000000003</v>
      </c>
      <c r="AD22" s="1">
        <v>48.601200000000013</v>
      </c>
      <c r="AE22" s="1">
        <v>44.411999999999999</v>
      </c>
      <c r="AF22" s="1">
        <v>37.4636</v>
      </c>
      <c r="AG22" s="1">
        <v>36.114999999999988</v>
      </c>
      <c r="AH22" s="1">
        <v>37.888399999999997</v>
      </c>
      <c r="AI22" s="1">
        <v>38.995800000000003</v>
      </c>
      <c r="AJ22" s="1"/>
      <c r="AK22" s="1">
        <f t="shared" si="11"/>
        <v>132</v>
      </c>
      <c r="AL22" s="1">
        <f t="shared" si="12"/>
        <v>0</v>
      </c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</row>
    <row r="23" spans="1:53" x14ac:dyDescent="0.25">
      <c r="A23" s="1" t="s">
        <v>58</v>
      </c>
      <c r="B23" s="1" t="s">
        <v>37</v>
      </c>
      <c r="C23" s="1">
        <v>18.053999999999998</v>
      </c>
      <c r="D23" s="1"/>
      <c r="E23" s="1">
        <v>5.8159999999999998</v>
      </c>
      <c r="F23" s="1">
        <v>12.238</v>
      </c>
      <c r="G23" s="8">
        <v>1</v>
      </c>
      <c r="H23" s="1">
        <v>180</v>
      </c>
      <c r="I23" s="1" t="s">
        <v>38</v>
      </c>
      <c r="J23" s="1"/>
      <c r="K23" s="1">
        <v>5.86</v>
      </c>
      <c r="L23" s="1">
        <f t="shared" si="3"/>
        <v>-4.4000000000000483E-2</v>
      </c>
      <c r="M23" s="1">
        <f t="shared" si="4"/>
        <v>5.8159999999999998</v>
      </c>
      <c r="N23" s="1"/>
      <c r="O23" s="1"/>
      <c r="P23" s="1"/>
      <c r="Q23" s="1">
        <v>0</v>
      </c>
      <c r="R23" s="1">
        <f t="shared" si="5"/>
        <v>1.1632</v>
      </c>
      <c r="S23" s="5">
        <v>4</v>
      </c>
      <c r="T23" s="5"/>
      <c r="U23" s="5">
        <f t="shared" si="7"/>
        <v>4</v>
      </c>
      <c r="V23" s="5"/>
      <c r="W23" s="5"/>
      <c r="X23" s="1"/>
      <c r="Y23" s="1"/>
      <c r="Z23" s="1">
        <f t="shared" si="9"/>
        <v>13.959766162310865</v>
      </c>
      <c r="AA23" s="1">
        <f t="shared" si="10"/>
        <v>10.520976616231087</v>
      </c>
      <c r="AB23" s="1">
        <v>1.0232000000000001</v>
      </c>
      <c r="AC23" s="1">
        <v>1.0251999999999999</v>
      </c>
      <c r="AD23" s="1">
        <v>1.0918000000000001</v>
      </c>
      <c r="AE23" s="1">
        <v>1.583</v>
      </c>
      <c r="AF23" s="1">
        <v>1.5249999999999999</v>
      </c>
      <c r="AG23" s="1">
        <v>1.2684</v>
      </c>
      <c r="AH23" s="1">
        <v>1.2392000000000001</v>
      </c>
      <c r="AI23" s="1">
        <v>1.0014000000000001</v>
      </c>
      <c r="AJ23" s="1"/>
      <c r="AK23" s="1">
        <f t="shared" si="11"/>
        <v>4</v>
      </c>
      <c r="AL23" s="1">
        <f t="shared" si="12"/>
        <v>0</v>
      </c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</row>
    <row r="24" spans="1:53" x14ac:dyDescent="0.25">
      <c r="A24" s="1" t="s">
        <v>59</v>
      </c>
      <c r="B24" s="1" t="s">
        <v>37</v>
      </c>
      <c r="C24" s="1">
        <v>743.5</v>
      </c>
      <c r="D24" s="1">
        <v>2011.89</v>
      </c>
      <c r="E24" s="1">
        <v>629.53700000000003</v>
      </c>
      <c r="F24" s="1">
        <v>837.08900000000006</v>
      </c>
      <c r="G24" s="8">
        <v>1</v>
      </c>
      <c r="H24" s="1">
        <v>60</v>
      </c>
      <c r="I24" s="1" t="s">
        <v>38</v>
      </c>
      <c r="J24" s="1"/>
      <c r="K24" s="1">
        <v>618.00300000000004</v>
      </c>
      <c r="L24" s="1">
        <f t="shared" si="3"/>
        <v>11.533999999999992</v>
      </c>
      <c r="M24" s="1">
        <f t="shared" si="4"/>
        <v>613.774</v>
      </c>
      <c r="N24" s="1">
        <v>15.763</v>
      </c>
      <c r="O24" s="1"/>
      <c r="P24" s="1">
        <v>137.66524999999999</v>
      </c>
      <c r="Q24" s="1">
        <v>154.82592999999969</v>
      </c>
      <c r="R24" s="1">
        <f t="shared" si="5"/>
        <v>122.7548</v>
      </c>
      <c r="S24" s="5">
        <f t="shared" si="6"/>
        <v>343.47742000000028</v>
      </c>
      <c r="T24" s="5"/>
      <c r="U24" s="5">
        <f t="shared" si="7"/>
        <v>343.47742000000028</v>
      </c>
      <c r="V24" s="5">
        <f>$V$1*R24</f>
        <v>147.30575999999999</v>
      </c>
      <c r="W24" s="5"/>
      <c r="X24" s="1"/>
      <c r="Y24" s="1"/>
      <c r="Z24" s="1">
        <f t="shared" si="9"/>
        <v>13.2</v>
      </c>
      <c r="AA24" s="1">
        <f t="shared" si="10"/>
        <v>9.2019226946726285</v>
      </c>
      <c r="AB24" s="1">
        <v>112.3038</v>
      </c>
      <c r="AC24" s="1">
        <v>110.1322</v>
      </c>
      <c r="AD24" s="1">
        <v>111.3242</v>
      </c>
      <c r="AE24" s="1">
        <v>97.75739999999999</v>
      </c>
      <c r="AF24" s="1">
        <v>87.341399999999993</v>
      </c>
      <c r="AG24" s="1">
        <v>87.418199999999999</v>
      </c>
      <c r="AH24" s="1">
        <v>99.836399999999998</v>
      </c>
      <c r="AI24" s="1">
        <v>125.22320000000001</v>
      </c>
      <c r="AJ24" s="1" t="s">
        <v>48</v>
      </c>
      <c r="AK24" s="1">
        <f t="shared" si="11"/>
        <v>343</v>
      </c>
      <c r="AL24" s="1">
        <f t="shared" si="12"/>
        <v>147</v>
      </c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</row>
    <row r="25" spans="1:53" x14ac:dyDescent="0.25">
      <c r="A25" s="1" t="s">
        <v>60</v>
      </c>
      <c r="B25" s="1" t="s">
        <v>37</v>
      </c>
      <c r="C25" s="1">
        <v>267.56900000000002</v>
      </c>
      <c r="D25" s="1">
        <v>242.66300000000001</v>
      </c>
      <c r="E25" s="1">
        <v>249.70400000000001</v>
      </c>
      <c r="F25" s="1">
        <v>243.911</v>
      </c>
      <c r="G25" s="8">
        <v>1</v>
      </c>
      <c r="H25" s="1">
        <v>30</v>
      </c>
      <c r="I25" s="1" t="s">
        <v>38</v>
      </c>
      <c r="J25" s="1"/>
      <c r="K25" s="1">
        <v>241.898</v>
      </c>
      <c r="L25" s="1">
        <f t="shared" si="3"/>
        <v>7.8060000000000116</v>
      </c>
      <c r="M25" s="1">
        <f t="shared" si="4"/>
        <v>249.70400000000001</v>
      </c>
      <c r="N25" s="1"/>
      <c r="O25" s="1"/>
      <c r="P25" s="1"/>
      <c r="Q25" s="1">
        <v>140.77680000000001</v>
      </c>
      <c r="R25" s="1">
        <f t="shared" si="5"/>
        <v>49.940800000000003</v>
      </c>
      <c r="S25" s="5">
        <f t="shared" si="6"/>
        <v>214.60180000000008</v>
      </c>
      <c r="T25" s="5"/>
      <c r="U25" s="5">
        <f t="shared" si="7"/>
        <v>214.60180000000008</v>
      </c>
      <c r="V25" s="5"/>
      <c r="W25" s="5"/>
      <c r="X25" s="1"/>
      <c r="Y25" s="1"/>
      <c r="Z25" s="1">
        <f t="shared" si="9"/>
        <v>12</v>
      </c>
      <c r="AA25" s="1">
        <f t="shared" si="10"/>
        <v>7.7028762054272262</v>
      </c>
      <c r="AB25" s="1">
        <v>43.297199999999997</v>
      </c>
      <c r="AC25" s="1">
        <v>39.487200000000001</v>
      </c>
      <c r="AD25" s="1">
        <v>39.1248</v>
      </c>
      <c r="AE25" s="1">
        <v>40.075599999999987</v>
      </c>
      <c r="AF25" s="1">
        <v>40.000799999999998</v>
      </c>
      <c r="AG25" s="1">
        <v>40.688599999999987</v>
      </c>
      <c r="AH25" s="1">
        <v>40.121600000000001</v>
      </c>
      <c r="AI25" s="1">
        <v>44.3078</v>
      </c>
      <c r="AJ25" s="1"/>
      <c r="AK25" s="1">
        <f t="shared" si="11"/>
        <v>215</v>
      </c>
      <c r="AL25" s="1">
        <f t="shared" si="12"/>
        <v>0</v>
      </c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</row>
    <row r="26" spans="1:53" x14ac:dyDescent="0.25">
      <c r="A26" s="1" t="s">
        <v>61</v>
      </c>
      <c r="B26" s="1" t="s">
        <v>37</v>
      </c>
      <c r="C26" s="1">
        <v>288.97199999999998</v>
      </c>
      <c r="D26" s="1">
        <v>87.72</v>
      </c>
      <c r="E26" s="1">
        <v>201.41</v>
      </c>
      <c r="F26" s="1">
        <v>147.773</v>
      </c>
      <c r="G26" s="8">
        <v>1</v>
      </c>
      <c r="H26" s="1">
        <v>30</v>
      </c>
      <c r="I26" s="1" t="s">
        <v>38</v>
      </c>
      <c r="J26" s="1"/>
      <c r="K26" s="1">
        <v>204.11699999999999</v>
      </c>
      <c r="L26" s="1">
        <f t="shared" si="3"/>
        <v>-2.7069999999999936</v>
      </c>
      <c r="M26" s="1">
        <f t="shared" si="4"/>
        <v>201.41</v>
      </c>
      <c r="N26" s="1"/>
      <c r="O26" s="1"/>
      <c r="P26" s="1"/>
      <c r="Q26" s="1">
        <v>119.6489999999999</v>
      </c>
      <c r="R26" s="1">
        <f t="shared" si="5"/>
        <v>40.281999999999996</v>
      </c>
      <c r="S26" s="5">
        <f t="shared" si="6"/>
        <v>215.96200000000007</v>
      </c>
      <c r="T26" s="5"/>
      <c r="U26" s="5">
        <f t="shared" si="7"/>
        <v>215.96200000000007</v>
      </c>
      <c r="V26" s="5"/>
      <c r="W26" s="5"/>
      <c r="X26" s="1"/>
      <c r="Y26" s="1"/>
      <c r="Z26" s="1">
        <f t="shared" si="9"/>
        <v>12.000000000000002</v>
      </c>
      <c r="AA26" s="1">
        <f t="shared" si="10"/>
        <v>6.6387468348145555</v>
      </c>
      <c r="AB26" s="1">
        <v>30.965</v>
      </c>
      <c r="AC26" s="1">
        <v>26.494399999999999</v>
      </c>
      <c r="AD26" s="1">
        <v>35.434399999999997</v>
      </c>
      <c r="AE26" s="1">
        <v>35.249200000000002</v>
      </c>
      <c r="AF26" s="1">
        <v>30.4818</v>
      </c>
      <c r="AG26" s="1">
        <v>32.114199999999997</v>
      </c>
      <c r="AH26" s="1">
        <v>33.394799999999996</v>
      </c>
      <c r="AI26" s="1">
        <v>30.76420000000001</v>
      </c>
      <c r="AJ26" s="1"/>
      <c r="AK26" s="1">
        <f t="shared" si="11"/>
        <v>216</v>
      </c>
      <c r="AL26" s="1">
        <f t="shared" si="12"/>
        <v>0</v>
      </c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</row>
    <row r="27" spans="1:53" x14ac:dyDescent="0.25">
      <c r="A27" s="1" t="s">
        <v>62</v>
      </c>
      <c r="B27" s="1" t="s">
        <v>37</v>
      </c>
      <c r="C27" s="1">
        <v>1079.8589999999999</v>
      </c>
      <c r="D27" s="1">
        <v>875.55399999999997</v>
      </c>
      <c r="E27" s="1">
        <v>821.09500000000003</v>
      </c>
      <c r="F27" s="1">
        <v>1066.9570000000001</v>
      </c>
      <c r="G27" s="8">
        <v>1</v>
      </c>
      <c r="H27" s="1">
        <v>30</v>
      </c>
      <c r="I27" s="1" t="s">
        <v>38</v>
      </c>
      <c r="J27" s="1"/>
      <c r="K27" s="1">
        <v>841.69</v>
      </c>
      <c r="L27" s="1">
        <f t="shared" si="3"/>
        <v>-20.595000000000027</v>
      </c>
      <c r="M27" s="1">
        <f t="shared" si="4"/>
        <v>813.10500000000002</v>
      </c>
      <c r="N27" s="1">
        <v>7.99</v>
      </c>
      <c r="O27" s="1"/>
      <c r="P27" s="1"/>
      <c r="Q27" s="1">
        <v>457.64524999999981</v>
      </c>
      <c r="R27" s="1">
        <f t="shared" si="5"/>
        <v>162.62100000000001</v>
      </c>
      <c r="S27" s="5">
        <f t="shared" si="6"/>
        <v>426.84975000000031</v>
      </c>
      <c r="T27" s="5"/>
      <c r="U27" s="5">
        <f t="shared" si="7"/>
        <v>426.84975000000031</v>
      </c>
      <c r="V27" s="5"/>
      <c r="W27" s="5"/>
      <c r="X27" s="1"/>
      <c r="Y27" s="1"/>
      <c r="Z27" s="1">
        <f t="shared" si="9"/>
        <v>12</v>
      </c>
      <c r="AA27" s="1">
        <f t="shared" si="10"/>
        <v>9.3751867839946854</v>
      </c>
      <c r="AB27" s="1">
        <v>162.0128</v>
      </c>
      <c r="AC27" s="1">
        <v>154.63640000000001</v>
      </c>
      <c r="AD27" s="1">
        <v>161.0402</v>
      </c>
      <c r="AE27" s="1">
        <v>143.661</v>
      </c>
      <c r="AF27" s="1">
        <v>146.476</v>
      </c>
      <c r="AG27" s="1">
        <v>141.65100000000001</v>
      </c>
      <c r="AH27" s="1">
        <v>142.70060000000001</v>
      </c>
      <c r="AI27" s="1">
        <v>172.48840000000001</v>
      </c>
      <c r="AJ27" s="1" t="s">
        <v>48</v>
      </c>
      <c r="AK27" s="1">
        <f t="shared" si="11"/>
        <v>427</v>
      </c>
      <c r="AL27" s="1">
        <f t="shared" si="12"/>
        <v>0</v>
      </c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</row>
    <row r="28" spans="1:53" x14ac:dyDescent="0.25">
      <c r="A28" s="1" t="s">
        <v>63</v>
      </c>
      <c r="B28" s="1" t="s">
        <v>37</v>
      </c>
      <c r="C28" s="1">
        <v>-0.85799999999999998</v>
      </c>
      <c r="D28" s="1">
        <v>65.066000000000003</v>
      </c>
      <c r="E28" s="1">
        <v>32.122</v>
      </c>
      <c r="F28" s="1">
        <v>6.6879999999999997</v>
      </c>
      <c r="G28" s="8">
        <v>1</v>
      </c>
      <c r="H28" s="1">
        <v>45</v>
      </c>
      <c r="I28" s="1" t="s">
        <v>38</v>
      </c>
      <c r="J28" s="1"/>
      <c r="K28" s="1">
        <v>90.48</v>
      </c>
      <c r="L28" s="1">
        <f t="shared" si="3"/>
        <v>-58.358000000000004</v>
      </c>
      <c r="M28" s="1">
        <f t="shared" si="4"/>
        <v>16.042000000000002</v>
      </c>
      <c r="N28" s="1">
        <v>16.079999999999998</v>
      </c>
      <c r="O28" s="1"/>
      <c r="P28" s="1"/>
      <c r="Q28" s="1">
        <v>0</v>
      </c>
      <c r="R28" s="1">
        <f t="shared" si="5"/>
        <v>3.2084000000000001</v>
      </c>
      <c r="S28" s="5">
        <f>9*R28-Q28-P28-O28-F28</f>
        <v>22.187600000000003</v>
      </c>
      <c r="T28" s="5"/>
      <c r="U28" s="5">
        <f t="shared" si="7"/>
        <v>22.187600000000003</v>
      </c>
      <c r="V28" s="5"/>
      <c r="W28" s="5"/>
      <c r="X28" s="1"/>
      <c r="Y28" s="1"/>
      <c r="Z28" s="1">
        <f t="shared" si="9"/>
        <v>9</v>
      </c>
      <c r="AA28" s="1">
        <f t="shared" si="10"/>
        <v>2.0845281137015332</v>
      </c>
      <c r="AB28" s="1">
        <v>1.847</v>
      </c>
      <c r="AC28" s="1">
        <v>2.7012</v>
      </c>
      <c r="AD28" s="1">
        <v>4.4518000000000004</v>
      </c>
      <c r="AE28" s="1">
        <v>3.3776000000000002</v>
      </c>
      <c r="AF28" s="1">
        <v>4.1214000000000004</v>
      </c>
      <c r="AG28" s="1">
        <v>4.9692000000000007</v>
      </c>
      <c r="AH28" s="1">
        <v>3.3292000000000002</v>
      </c>
      <c r="AI28" s="1">
        <v>3.5377999999999998</v>
      </c>
      <c r="AJ28" s="1"/>
      <c r="AK28" s="1">
        <f t="shared" si="11"/>
        <v>22</v>
      </c>
      <c r="AL28" s="1">
        <f t="shared" si="12"/>
        <v>0</v>
      </c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</row>
    <row r="29" spans="1:53" x14ac:dyDescent="0.25">
      <c r="A29" s="1" t="s">
        <v>64</v>
      </c>
      <c r="B29" s="1" t="s">
        <v>37</v>
      </c>
      <c r="C29" s="1">
        <v>22.207000000000001</v>
      </c>
      <c r="D29" s="1">
        <v>35.145000000000003</v>
      </c>
      <c r="E29" s="1">
        <v>18.715</v>
      </c>
      <c r="F29" s="1">
        <v>38.087000000000003</v>
      </c>
      <c r="G29" s="8">
        <v>1</v>
      </c>
      <c r="H29" s="1">
        <v>40</v>
      </c>
      <c r="I29" s="1" t="s">
        <v>38</v>
      </c>
      <c r="J29" s="1"/>
      <c r="K29" s="1">
        <v>16.899999999999999</v>
      </c>
      <c r="L29" s="1">
        <f t="shared" si="3"/>
        <v>1.8150000000000013</v>
      </c>
      <c r="M29" s="1">
        <f t="shared" si="4"/>
        <v>18.715</v>
      </c>
      <c r="N29" s="1"/>
      <c r="O29" s="1"/>
      <c r="P29" s="1"/>
      <c r="Q29" s="1">
        <v>0</v>
      </c>
      <c r="R29" s="1">
        <f t="shared" si="5"/>
        <v>3.7429999999999999</v>
      </c>
      <c r="S29" s="5">
        <f t="shared" si="6"/>
        <v>6.8289999999999935</v>
      </c>
      <c r="T29" s="5"/>
      <c r="U29" s="5">
        <f t="shared" si="7"/>
        <v>6.8289999999999935</v>
      </c>
      <c r="V29" s="5"/>
      <c r="W29" s="5"/>
      <c r="X29" s="1"/>
      <c r="Y29" s="1"/>
      <c r="Z29" s="1">
        <f t="shared" si="9"/>
        <v>12</v>
      </c>
      <c r="AA29" s="1">
        <f t="shared" si="10"/>
        <v>10.175527651616351</v>
      </c>
      <c r="AB29" s="1">
        <v>2.6469999999999998</v>
      </c>
      <c r="AC29" s="1">
        <v>4.1132</v>
      </c>
      <c r="AD29" s="1">
        <v>3.2385999999999999</v>
      </c>
      <c r="AE29" s="1">
        <v>1.0302</v>
      </c>
      <c r="AF29" s="1">
        <v>2.2671999999999999</v>
      </c>
      <c r="AG29" s="1">
        <v>3.4184000000000001</v>
      </c>
      <c r="AH29" s="1">
        <v>4.7374000000000001</v>
      </c>
      <c r="AI29" s="1">
        <v>4.4215999999999998</v>
      </c>
      <c r="AJ29" s="1"/>
      <c r="AK29" s="1">
        <f t="shared" si="11"/>
        <v>7</v>
      </c>
      <c r="AL29" s="1">
        <f t="shared" si="12"/>
        <v>0</v>
      </c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</row>
    <row r="30" spans="1:53" x14ac:dyDescent="0.25">
      <c r="A30" s="1" t="s">
        <v>65</v>
      </c>
      <c r="B30" s="1" t="s">
        <v>37</v>
      </c>
      <c r="C30" s="1">
        <v>214.005</v>
      </c>
      <c r="D30" s="1">
        <v>261.47500000000002</v>
      </c>
      <c r="E30" s="1">
        <v>187.06200000000001</v>
      </c>
      <c r="F30" s="1">
        <v>261.11200000000002</v>
      </c>
      <c r="G30" s="8">
        <v>1</v>
      </c>
      <c r="H30" s="1">
        <v>30</v>
      </c>
      <c r="I30" s="1" t="s">
        <v>38</v>
      </c>
      <c r="J30" s="1"/>
      <c r="K30" s="1">
        <v>196</v>
      </c>
      <c r="L30" s="1">
        <f t="shared" si="3"/>
        <v>-8.9379999999999882</v>
      </c>
      <c r="M30" s="1">
        <f t="shared" si="4"/>
        <v>187.06200000000001</v>
      </c>
      <c r="N30" s="1"/>
      <c r="O30" s="1"/>
      <c r="P30" s="1"/>
      <c r="Q30" s="1">
        <v>174.79299999999989</v>
      </c>
      <c r="R30" s="1">
        <f t="shared" si="5"/>
        <v>37.412400000000005</v>
      </c>
      <c r="S30" s="5">
        <f t="shared" si="6"/>
        <v>13.043800000000147</v>
      </c>
      <c r="T30" s="5"/>
      <c r="U30" s="5">
        <f t="shared" si="7"/>
        <v>13.043800000000147</v>
      </c>
      <c r="V30" s="5"/>
      <c r="W30" s="5"/>
      <c r="X30" s="1"/>
      <c r="Y30" s="1"/>
      <c r="Z30" s="1">
        <f t="shared" si="9"/>
        <v>12</v>
      </c>
      <c r="AA30" s="1">
        <f t="shared" si="10"/>
        <v>11.651350889010057</v>
      </c>
      <c r="AB30" s="1">
        <v>42.533799999999999</v>
      </c>
      <c r="AC30" s="1">
        <v>36.747399999999999</v>
      </c>
      <c r="AD30" s="1">
        <v>34.001199999999997</v>
      </c>
      <c r="AE30" s="1">
        <v>32.757000000000012</v>
      </c>
      <c r="AF30" s="1">
        <v>34.227200000000003</v>
      </c>
      <c r="AG30" s="1">
        <v>31.7468</v>
      </c>
      <c r="AH30" s="1">
        <v>34.413400000000003</v>
      </c>
      <c r="AI30" s="1">
        <v>38.933199999999999</v>
      </c>
      <c r="AJ30" s="1"/>
      <c r="AK30" s="1">
        <f t="shared" si="11"/>
        <v>13</v>
      </c>
      <c r="AL30" s="1">
        <f t="shared" si="12"/>
        <v>0</v>
      </c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</row>
    <row r="31" spans="1:53" x14ac:dyDescent="0.25">
      <c r="A31" s="17" t="s">
        <v>66</v>
      </c>
      <c r="B31" s="17" t="s">
        <v>37</v>
      </c>
      <c r="C31" s="17"/>
      <c r="D31" s="17"/>
      <c r="E31" s="17"/>
      <c r="F31" s="17"/>
      <c r="G31" s="18">
        <v>0</v>
      </c>
      <c r="H31" s="17">
        <v>50</v>
      </c>
      <c r="I31" s="17" t="s">
        <v>38</v>
      </c>
      <c r="J31" s="17"/>
      <c r="K31" s="17"/>
      <c r="L31" s="17">
        <f t="shared" si="3"/>
        <v>0</v>
      </c>
      <c r="M31" s="17">
        <f t="shared" si="4"/>
        <v>0</v>
      </c>
      <c r="N31" s="17"/>
      <c r="O31" s="17"/>
      <c r="P31" s="17"/>
      <c r="Q31" s="17">
        <v>0</v>
      </c>
      <c r="R31" s="17">
        <f t="shared" si="5"/>
        <v>0</v>
      </c>
      <c r="S31" s="19"/>
      <c r="T31" s="19"/>
      <c r="U31" s="5">
        <f t="shared" si="7"/>
        <v>0</v>
      </c>
      <c r="V31" s="5"/>
      <c r="W31" s="19"/>
      <c r="X31" s="17"/>
      <c r="Y31" s="17"/>
      <c r="Z31" s="1" t="e">
        <f t="shared" si="9"/>
        <v>#DIV/0!</v>
      </c>
      <c r="AA31" s="17" t="e">
        <f t="shared" si="10"/>
        <v>#DIV/0!</v>
      </c>
      <c r="AB31" s="17">
        <v>0</v>
      </c>
      <c r="AC31" s="17">
        <v>0</v>
      </c>
      <c r="AD31" s="17">
        <v>0</v>
      </c>
      <c r="AE31" s="17">
        <v>0</v>
      </c>
      <c r="AF31" s="17">
        <v>0</v>
      </c>
      <c r="AG31" s="17">
        <v>0</v>
      </c>
      <c r="AH31" s="17">
        <v>0</v>
      </c>
      <c r="AI31" s="17">
        <v>0</v>
      </c>
      <c r="AJ31" s="17" t="s">
        <v>67</v>
      </c>
      <c r="AK31" s="1">
        <f t="shared" si="11"/>
        <v>0</v>
      </c>
      <c r="AL31" s="1">
        <f t="shared" si="12"/>
        <v>0</v>
      </c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</row>
    <row r="32" spans="1:53" x14ac:dyDescent="0.25">
      <c r="A32" s="17" t="s">
        <v>68</v>
      </c>
      <c r="B32" s="17" t="s">
        <v>37</v>
      </c>
      <c r="C32" s="17"/>
      <c r="D32" s="17"/>
      <c r="E32" s="17"/>
      <c r="F32" s="17"/>
      <c r="G32" s="18">
        <v>0</v>
      </c>
      <c r="H32" s="17">
        <v>50</v>
      </c>
      <c r="I32" s="17" t="s">
        <v>38</v>
      </c>
      <c r="J32" s="17"/>
      <c r="K32" s="17"/>
      <c r="L32" s="17">
        <f t="shared" si="3"/>
        <v>0</v>
      </c>
      <c r="M32" s="17">
        <f t="shared" si="4"/>
        <v>0</v>
      </c>
      <c r="N32" s="17"/>
      <c r="O32" s="17"/>
      <c r="P32" s="17"/>
      <c r="Q32" s="17">
        <v>0</v>
      </c>
      <c r="R32" s="17">
        <f t="shared" si="5"/>
        <v>0</v>
      </c>
      <c r="S32" s="19"/>
      <c r="T32" s="19"/>
      <c r="U32" s="5">
        <f t="shared" si="7"/>
        <v>0</v>
      </c>
      <c r="V32" s="5"/>
      <c r="W32" s="19"/>
      <c r="X32" s="17"/>
      <c r="Y32" s="17"/>
      <c r="Z32" s="1" t="e">
        <f t="shared" si="9"/>
        <v>#DIV/0!</v>
      </c>
      <c r="AA32" s="17" t="e">
        <f t="shared" si="10"/>
        <v>#DIV/0!</v>
      </c>
      <c r="AB32" s="17">
        <v>0</v>
      </c>
      <c r="AC32" s="17">
        <v>0</v>
      </c>
      <c r="AD32" s="17">
        <v>0</v>
      </c>
      <c r="AE32" s="17">
        <v>0</v>
      </c>
      <c r="AF32" s="17">
        <v>0</v>
      </c>
      <c r="AG32" s="17">
        <v>0</v>
      </c>
      <c r="AH32" s="17">
        <v>0</v>
      </c>
      <c r="AI32" s="17">
        <v>0</v>
      </c>
      <c r="AJ32" s="17" t="s">
        <v>67</v>
      </c>
      <c r="AK32" s="1">
        <f t="shared" si="11"/>
        <v>0</v>
      </c>
      <c r="AL32" s="1">
        <f t="shared" si="12"/>
        <v>0</v>
      </c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</row>
    <row r="33" spans="1:53" x14ac:dyDescent="0.25">
      <c r="A33" s="1" t="s">
        <v>69</v>
      </c>
      <c r="B33" s="1" t="s">
        <v>42</v>
      </c>
      <c r="C33" s="1">
        <v>2632</v>
      </c>
      <c r="D33" s="1">
        <v>3969</v>
      </c>
      <c r="E33" s="1">
        <v>2257</v>
      </c>
      <c r="F33" s="1">
        <v>4247</v>
      </c>
      <c r="G33" s="8">
        <v>0.4</v>
      </c>
      <c r="H33" s="1">
        <v>45</v>
      </c>
      <c r="I33" s="1" t="s">
        <v>38</v>
      </c>
      <c r="J33" s="1"/>
      <c r="K33" s="1">
        <v>2323</v>
      </c>
      <c r="L33" s="1">
        <f t="shared" si="3"/>
        <v>-66</v>
      </c>
      <c r="M33" s="1">
        <f t="shared" si="4"/>
        <v>2203</v>
      </c>
      <c r="N33" s="1">
        <v>54</v>
      </c>
      <c r="O33" s="1"/>
      <c r="P33" s="1">
        <v>607</v>
      </c>
      <c r="Q33" s="1">
        <v>0</v>
      </c>
      <c r="R33" s="1">
        <f t="shared" si="5"/>
        <v>440.6</v>
      </c>
      <c r="S33" s="5">
        <f t="shared" ref="S33:S47" si="15">12*R33-Q33-P33-O33-F33</f>
        <v>433.20000000000073</v>
      </c>
      <c r="T33" s="5"/>
      <c r="U33" s="5">
        <f t="shared" si="7"/>
        <v>433.20000000000073</v>
      </c>
      <c r="V33" s="5">
        <f t="shared" ref="V33:V35" si="16">$V$1*R33</f>
        <v>528.72</v>
      </c>
      <c r="W33" s="5"/>
      <c r="X33" s="1"/>
      <c r="Y33" s="1"/>
      <c r="Z33" s="1">
        <f t="shared" si="9"/>
        <v>13.200000000000001</v>
      </c>
      <c r="AA33" s="1">
        <f t="shared" si="10"/>
        <v>11.016795279164775</v>
      </c>
      <c r="AB33" s="1">
        <v>462.8</v>
      </c>
      <c r="AC33" s="1">
        <v>485.6</v>
      </c>
      <c r="AD33" s="1">
        <v>477.8</v>
      </c>
      <c r="AE33" s="1">
        <v>386.767</v>
      </c>
      <c r="AF33" s="1">
        <v>312.56700000000001</v>
      </c>
      <c r="AG33" s="1">
        <v>329.6</v>
      </c>
      <c r="AH33" s="1">
        <v>353.8</v>
      </c>
      <c r="AI33" s="1">
        <v>346</v>
      </c>
      <c r="AJ33" s="1" t="s">
        <v>70</v>
      </c>
      <c r="AK33" s="1">
        <f t="shared" si="11"/>
        <v>173</v>
      </c>
      <c r="AL33" s="1">
        <f t="shared" si="12"/>
        <v>211</v>
      </c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</row>
    <row r="34" spans="1:53" x14ac:dyDescent="0.25">
      <c r="A34" s="1" t="s">
        <v>71</v>
      </c>
      <c r="B34" s="1" t="s">
        <v>42</v>
      </c>
      <c r="C34" s="1">
        <v>235</v>
      </c>
      <c r="D34" s="1">
        <v>865</v>
      </c>
      <c r="E34" s="1">
        <v>475</v>
      </c>
      <c r="F34" s="1">
        <v>618</v>
      </c>
      <c r="G34" s="8">
        <v>0.45</v>
      </c>
      <c r="H34" s="1">
        <v>50</v>
      </c>
      <c r="I34" s="1" t="s">
        <v>38</v>
      </c>
      <c r="J34" s="1"/>
      <c r="K34" s="1">
        <v>477</v>
      </c>
      <c r="L34" s="1">
        <f t="shared" si="3"/>
        <v>-2</v>
      </c>
      <c r="M34" s="1">
        <f t="shared" si="4"/>
        <v>475</v>
      </c>
      <c r="N34" s="1"/>
      <c r="O34" s="1"/>
      <c r="P34" s="1">
        <v>105.5</v>
      </c>
      <c r="Q34" s="1">
        <v>262.25999999999982</v>
      </c>
      <c r="R34" s="1">
        <f t="shared" si="5"/>
        <v>95</v>
      </c>
      <c r="S34" s="5">
        <f t="shared" si="15"/>
        <v>154.24000000000024</v>
      </c>
      <c r="T34" s="5"/>
      <c r="U34" s="5">
        <f t="shared" si="7"/>
        <v>154.24000000000024</v>
      </c>
      <c r="V34" s="5">
        <f t="shared" si="16"/>
        <v>114</v>
      </c>
      <c r="W34" s="5"/>
      <c r="X34" s="1"/>
      <c r="Y34" s="1"/>
      <c r="Z34" s="1">
        <f t="shared" si="9"/>
        <v>13.2</v>
      </c>
      <c r="AA34" s="1">
        <f t="shared" si="10"/>
        <v>10.376421052631576</v>
      </c>
      <c r="AB34" s="1">
        <v>98</v>
      </c>
      <c r="AC34" s="1">
        <v>84.4</v>
      </c>
      <c r="AD34" s="1">
        <v>71.599999999999994</v>
      </c>
      <c r="AE34" s="1">
        <v>69.599999999999994</v>
      </c>
      <c r="AF34" s="1">
        <v>71.400000000000006</v>
      </c>
      <c r="AG34" s="1">
        <v>82.4</v>
      </c>
      <c r="AH34" s="1">
        <v>92.4</v>
      </c>
      <c r="AI34" s="1">
        <v>88.8</v>
      </c>
      <c r="AJ34" s="1" t="s">
        <v>72</v>
      </c>
      <c r="AK34" s="1">
        <f t="shared" si="11"/>
        <v>69</v>
      </c>
      <c r="AL34" s="1">
        <f t="shared" si="12"/>
        <v>51</v>
      </c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</row>
    <row r="35" spans="1:53" x14ac:dyDescent="0.25">
      <c r="A35" s="1" t="s">
        <v>73</v>
      </c>
      <c r="B35" s="1" t="s">
        <v>42</v>
      </c>
      <c r="C35" s="1">
        <v>1724</v>
      </c>
      <c r="D35" s="1">
        <v>1706</v>
      </c>
      <c r="E35" s="1">
        <v>1304</v>
      </c>
      <c r="F35" s="1">
        <v>2016</v>
      </c>
      <c r="G35" s="8">
        <v>0.4</v>
      </c>
      <c r="H35" s="1">
        <v>45</v>
      </c>
      <c r="I35" s="1" t="s">
        <v>38</v>
      </c>
      <c r="J35" s="1"/>
      <c r="K35" s="1">
        <v>1357</v>
      </c>
      <c r="L35" s="1">
        <f t="shared" si="3"/>
        <v>-53</v>
      </c>
      <c r="M35" s="1">
        <f t="shared" si="4"/>
        <v>1304</v>
      </c>
      <c r="N35" s="1"/>
      <c r="O35" s="1"/>
      <c r="P35" s="1">
        <v>303.5</v>
      </c>
      <c r="Q35" s="1">
        <v>295.1399999999993</v>
      </c>
      <c r="R35" s="1">
        <f t="shared" si="5"/>
        <v>260.8</v>
      </c>
      <c r="S35" s="5">
        <f t="shared" si="15"/>
        <v>514.96000000000095</v>
      </c>
      <c r="T35" s="5"/>
      <c r="U35" s="5">
        <f t="shared" si="7"/>
        <v>514.96000000000095</v>
      </c>
      <c r="V35" s="5">
        <f t="shared" si="16"/>
        <v>312.95999999999998</v>
      </c>
      <c r="W35" s="5"/>
      <c r="X35" s="1"/>
      <c r="Y35" s="1"/>
      <c r="Z35" s="1">
        <f t="shared" si="9"/>
        <v>13.200000000000001</v>
      </c>
      <c r="AA35" s="1">
        <f t="shared" si="10"/>
        <v>10.025460122699384</v>
      </c>
      <c r="AB35" s="1">
        <v>254.4</v>
      </c>
      <c r="AC35" s="1">
        <v>242.8</v>
      </c>
      <c r="AD35" s="1">
        <v>251.6</v>
      </c>
      <c r="AE35" s="1">
        <v>239.6</v>
      </c>
      <c r="AF35" s="1">
        <v>253.2</v>
      </c>
      <c r="AG35" s="1">
        <v>325.2</v>
      </c>
      <c r="AH35" s="1">
        <v>344.2</v>
      </c>
      <c r="AI35" s="1">
        <v>369.8</v>
      </c>
      <c r="AJ35" s="1" t="s">
        <v>74</v>
      </c>
      <c r="AK35" s="1">
        <f t="shared" si="11"/>
        <v>206</v>
      </c>
      <c r="AL35" s="1">
        <f t="shared" si="12"/>
        <v>125</v>
      </c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</row>
    <row r="36" spans="1:53" x14ac:dyDescent="0.25">
      <c r="A36" s="1" t="s">
        <v>75</v>
      </c>
      <c r="B36" s="1" t="s">
        <v>42</v>
      </c>
      <c r="C36" s="1">
        <v>120</v>
      </c>
      <c r="D36" s="1"/>
      <c r="E36" s="1">
        <v>77</v>
      </c>
      <c r="F36" s="1">
        <v>42</v>
      </c>
      <c r="G36" s="8">
        <v>0.4</v>
      </c>
      <c r="H36" s="1">
        <v>40</v>
      </c>
      <c r="I36" s="1" t="s">
        <v>38</v>
      </c>
      <c r="J36" s="1"/>
      <c r="K36" s="1">
        <v>77</v>
      </c>
      <c r="L36" s="1">
        <f t="shared" si="3"/>
        <v>0</v>
      </c>
      <c r="M36" s="1">
        <f t="shared" si="4"/>
        <v>77</v>
      </c>
      <c r="N36" s="1"/>
      <c r="O36" s="1"/>
      <c r="P36" s="1"/>
      <c r="Q36" s="1">
        <v>125.4</v>
      </c>
      <c r="R36" s="1">
        <f t="shared" si="5"/>
        <v>15.4</v>
      </c>
      <c r="S36" s="5">
        <f t="shared" si="15"/>
        <v>17.400000000000006</v>
      </c>
      <c r="T36" s="5"/>
      <c r="U36" s="5">
        <f t="shared" si="7"/>
        <v>17.400000000000006</v>
      </c>
      <c r="V36" s="5"/>
      <c r="W36" s="5"/>
      <c r="X36" s="1"/>
      <c r="Y36" s="1"/>
      <c r="Z36" s="1">
        <f t="shared" si="9"/>
        <v>12</v>
      </c>
      <c r="AA36" s="1">
        <f t="shared" si="10"/>
        <v>10.870129870129871</v>
      </c>
      <c r="AB36" s="1">
        <v>19.600000000000001</v>
      </c>
      <c r="AC36" s="1">
        <v>6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 t="s">
        <v>76</v>
      </c>
      <c r="AK36" s="1">
        <f t="shared" si="11"/>
        <v>7</v>
      </c>
      <c r="AL36" s="1">
        <f t="shared" si="12"/>
        <v>0</v>
      </c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</row>
    <row r="37" spans="1:53" x14ac:dyDescent="0.25">
      <c r="A37" s="1" t="s">
        <v>77</v>
      </c>
      <c r="B37" s="1" t="s">
        <v>37</v>
      </c>
      <c r="C37" s="1">
        <v>449.601</v>
      </c>
      <c r="D37" s="1">
        <v>804.87400000000002</v>
      </c>
      <c r="E37" s="1">
        <v>488.88900000000001</v>
      </c>
      <c r="F37" s="1">
        <v>648.72500000000002</v>
      </c>
      <c r="G37" s="8">
        <v>1</v>
      </c>
      <c r="H37" s="1">
        <v>45</v>
      </c>
      <c r="I37" s="1" t="s">
        <v>38</v>
      </c>
      <c r="J37" s="1"/>
      <c r="K37" s="1">
        <v>559.29200000000003</v>
      </c>
      <c r="L37" s="1">
        <f t="shared" si="3"/>
        <v>-70.40300000000002</v>
      </c>
      <c r="M37" s="1">
        <f t="shared" si="4"/>
        <v>488.88900000000001</v>
      </c>
      <c r="N37" s="1"/>
      <c r="O37" s="1"/>
      <c r="P37" s="1">
        <v>108.2</v>
      </c>
      <c r="Q37" s="1">
        <v>149.1126500000002</v>
      </c>
      <c r="R37" s="1">
        <f t="shared" si="5"/>
        <v>97.777799999999999</v>
      </c>
      <c r="S37" s="5">
        <f t="shared" si="15"/>
        <v>267.29594999999961</v>
      </c>
      <c r="T37" s="5"/>
      <c r="U37" s="5">
        <f t="shared" si="7"/>
        <v>267.29594999999961</v>
      </c>
      <c r="V37" s="5">
        <f t="shared" ref="V37:V38" si="17">$V$1*R37</f>
        <v>117.33336</v>
      </c>
      <c r="W37" s="5"/>
      <c r="X37" s="1"/>
      <c r="Y37" s="1"/>
      <c r="Z37" s="1">
        <f t="shared" si="9"/>
        <v>13.200000000000001</v>
      </c>
      <c r="AA37" s="1">
        <f t="shared" si="10"/>
        <v>9.2662920417518109</v>
      </c>
      <c r="AB37" s="1">
        <v>89.788600000000002</v>
      </c>
      <c r="AC37" s="1">
        <v>86.56</v>
      </c>
      <c r="AD37" s="1">
        <v>88.593199999999996</v>
      </c>
      <c r="AE37" s="1">
        <v>74.828400000000002</v>
      </c>
      <c r="AF37" s="1">
        <v>64.024799999999999</v>
      </c>
      <c r="AG37" s="1">
        <v>64.291000000000011</v>
      </c>
      <c r="AH37" s="1">
        <v>63.127600000000008</v>
      </c>
      <c r="AI37" s="1">
        <v>64.800399999999996</v>
      </c>
      <c r="AJ37" s="1"/>
      <c r="AK37" s="1">
        <f t="shared" si="11"/>
        <v>267</v>
      </c>
      <c r="AL37" s="1">
        <f t="shared" si="12"/>
        <v>117</v>
      </c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</row>
    <row r="38" spans="1:53" x14ac:dyDescent="0.25">
      <c r="A38" s="1" t="s">
        <v>78</v>
      </c>
      <c r="B38" s="1" t="s">
        <v>42</v>
      </c>
      <c r="C38" s="1">
        <v>471</v>
      </c>
      <c r="D38" s="1">
        <v>248</v>
      </c>
      <c r="E38" s="1">
        <v>338</v>
      </c>
      <c r="F38" s="1">
        <v>356</v>
      </c>
      <c r="G38" s="8">
        <v>0.1</v>
      </c>
      <c r="H38" s="1">
        <v>730</v>
      </c>
      <c r="I38" s="1" t="s">
        <v>38</v>
      </c>
      <c r="J38" s="1"/>
      <c r="K38" s="1">
        <v>343</v>
      </c>
      <c r="L38" s="1">
        <f t="shared" ref="L38:L69" si="18">E38-K38</f>
        <v>-5</v>
      </c>
      <c r="M38" s="1">
        <f t="shared" si="4"/>
        <v>338</v>
      </c>
      <c r="N38" s="1"/>
      <c r="O38" s="1"/>
      <c r="P38" s="1">
        <v>63.25</v>
      </c>
      <c r="Q38" s="1">
        <v>281.69000000000011</v>
      </c>
      <c r="R38" s="1">
        <f t="shared" si="5"/>
        <v>67.599999999999994</v>
      </c>
      <c r="S38" s="5">
        <f t="shared" si="15"/>
        <v>110.25999999999976</v>
      </c>
      <c r="T38" s="5"/>
      <c r="U38" s="5">
        <f t="shared" si="7"/>
        <v>110.25999999999976</v>
      </c>
      <c r="V38" s="5">
        <f t="shared" si="17"/>
        <v>81.11999999999999</v>
      </c>
      <c r="W38" s="5"/>
      <c r="X38" s="1"/>
      <c r="Y38" s="1"/>
      <c r="Z38" s="1">
        <f t="shared" si="9"/>
        <v>13.2</v>
      </c>
      <c r="AA38" s="1">
        <f t="shared" si="10"/>
        <v>10.368934911242604</v>
      </c>
      <c r="AB38" s="1">
        <v>65.400000000000006</v>
      </c>
      <c r="AC38" s="1">
        <v>50.6</v>
      </c>
      <c r="AD38" s="1">
        <v>48.2</v>
      </c>
      <c r="AE38" s="1">
        <v>58.6</v>
      </c>
      <c r="AF38" s="1">
        <v>63.2</v>
      </c>
      <c r="AG38" s="1">
        <v>61</v>
      </c>
      <c r="AH38" s="1">
        <v>48.4</v>
      </c>
      <c r="AI38" s="1">
        <v>50.8</v>
      </c>
      <c r="AJ38" s="1"/>
      <c r="AK38" s="1">
        <f t="shared" si="11"/>
        <v>11</v>
      </c>
      <c r="AL38" s="1">
        <f t="shared" si="12"/>
        <v>8</v>
      </c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</row>
    <row r="39" spans="1:53" x14ac:dyDescent="0.25">
      <c r="A39" s="1" t="s">
        <v>79</v>
      </c>
      <c r="B39" s="1" t="s">
        <v>42</v>
      </c>
      <c r="C39" s="1">
        <v>273</v>
      </c>
      <c r="D39" s="1">
        <v>644</v>
      </c>
      <c r="E39" s="1">
        <v>393</v>
      </c>
      <c r="F39" s="1">
        <v>491</v>
      </c>
      <c r="G39" s="8">
        <v>0.35</v>
      </c>
      <c r="H39" s="1">
        <v>40</v>
      </c>
      <c r="I39" s="1" t="s">
        <v>38</v>
      </c>
      <c r="J39" s="1"/>
      <c r="K39" s="1">
        <v>436</v>
      </c>
      <c r="L39" s="1">
        <f t="shared" si="18"/>
        <v>-43</v>
      </c>
      <c r="M39" s="1">
        <f t="shared" si="4"/>
        <v>393</v>
      </c>
      <c r="N39" s="1"/>
      <c r="O39" s="1"/>
      <c r="P39" s="1"/>
      <c r="Q39" s="1">
        <v>252.80000000000021</v>
      </c>
      <c r="R39" s="1">
        <f t="shared" si="5"/>
        <v>78.599999999999994</v>
      </c>
      <c r="S39" s="5">
        <f t="shared" si="15"/>
        <v>199.39999999999975</v>
      </c>
      <c r="T39" s="5"/>
      <c r="U39" s="5">
        <f t="shared" si="7"/>
        <v>199.39999999999975</v>
      </c>
      <c r="V39" s="5"/>
      <c r="W39" s="5"/>
      <c r="X39" s="1"/>
      <c r="Y39" s="1"/>
      <c r="Z39" s="1">
        <f t="shared" si="9"/>
        <v>12</v>
      </c>
      <c r="AA39" s="1">
        <f t="shared" si="10"/>
        <v>9.4631043256997494</v>
      </c>
      <c r="AB39" s="1">
        <v>78.8</v>
      </c>
      <c r="AC39" s="1">
        <v>72</v>
      </c>
      <c r="AD39" s="1">
        <v>70</v>
      </c>
      <c r="AE39" s="1">
        <v>54.8</v>
      </c>
      <c r="AF39" s="1">
        <v>58.6</v>
      </c>
      <c r="AG39" s="1">
        <v>64</v>
      </c>
      <c r="AH39" s="1">
        <v>63.8</v>
      </c>
      <c r="AI39" s="1">
        <v>66.2</v>
      </c>
      <c r="AJ39" s="1" t="s">
        <v>80</v>
      </c>
      <c r="AK39" s="1">
        <f t="shared" si="11"/>
        <v>70</v>
      </c>
      <c r="AL39" s="1">
        <f t="shared" si="12"/>
        <v>0</v>
      </c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</row>
    <row r="40" spans="1:53" x14ac:dyDescent="0.25">
      <c r="A40" s="1" t="s">
        <v>81</v>
      </c>
      <c r="B40" s="1" t="s">
        <v>37</v>
      </c>
      <c r="C40" s="1">
        <v>71.078999999999994</v>
      </c>
      <c r="D40" s="1">
        <v>314.58800000000002</v>
      </c>
      <c r="E40" s="1">
        <v>161.10900000000001</v>
      </c>
      <c r="F40" s="1">
        <v>198.63900000000001</v>
      </c>
      <c r="G40" s="8">
        <v>1</v>
      </c>
      <c r="H40" s="1">
        <v>40</v>
      </c>
      <c r="I40" s="1" t="s">
        <v>38</v>
      </c>
      <c r="J40" s="1"/>
      <c r="K40" s="1">
        <v>193.46799999999999</v>
      </c>
      <c r="L40" s="1">
        <f t="shared" si="18"/>
        <v>-32.35899999999998</v>
      </c>
      <c r="M40" s="1">
        <f t="shared" si="4"/>
        <v>135.291</v>
      </c>
      <c r="N40" s="1">
        <v>25.818000000000001</v>
      </c>
      <c r="O40" s="1"/>
      <c r="P40" s="1"/>
      <c r="Q40" s="1">
        <v>115.89660000000011</v>
      </c>
      <c r="R40" s="1">
        <f t="shared" si="5"/>
        <v>27.058199999999999</v>
      </c>
      <c r="S40" s="5">
        <f t="shared" si="15"/>
        <v>10.162799999999891</v>
      </c>
      <c r="T40" s="5"/>
      <c r="U40" s="5">
        <f t="shared" si="7"/>
        <v>10.162799999999891</v>
      </c>
      <c r="V40" s="5"/>
      <c r="W40" s="5"/>
      <c r="X40" s="1"/>
      <c r="Y40" s="1"/>
      <c r="Z40" s="1">
        <f t="shared" si="9"/>
        <v>12</v>
      </c>
      <c r="AA40" s="1">
        <f t="shared" si="10"/>
        <v>11.624409605960489</v>
      </c>
      <c r="AB40" s="1">
        <v>32.742199999999997</v>
      </c>
      <c r="AC40" s="1">
        <v>28.570599999999999</v>
      </c>
      <c r="AD40" s="1">
        <v>23.381</v>
      </c>
      <c r="AE40" s="1">
        <v>20.634399999999999</v>
      </c>
      <c r="AF40" s="1">
        <v>22.773</v>
      </c>
      <c r="AG40" s="1">
        <v>25.533799999999999</v>
      </c>
      <c r="AH40" s="1">
        <v>24.666799999999999</v>
      </c>
      <c r="AI40" s="1">
        <v>22.260200000000001</v>
      </c>
      <c r="AJ40" s="1"/>
      <c r="AK40" s="1">
        <f t="shared" si="11"/>
        <v>10</v>
      </c>
      <c r="AL40" s="1">
        <f t="shared" si="12"/>
        <v>0</v>
      </c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</row>
    <row r="41" spans="1:53" x14ac:dyDescent="0.25">
      <c r="A41" s="1" t="s">
        <v>82</v>
      </c>
      <c r="B41" s="1" t="s">
        <v>42</v>
      </c>
      <c r="C41" s="1">
        <v>218</v>
      </c>
      <c r="D41" s="1">
        <v>295</v>
      </c>
      <c r="E41" s="1">
        <v>152</v>
      </c>
      <c r="F41" s="1">
        <v>346</v>
      </c>
      <c r="G41" s="8">
        <v>0.4</v>
      </c>
      <c r="H41" s="1">
        <v>40</v>
      </c>
      <c r="I41" s="1" t="s">
        <v>38</v>
      </c>
      <c r="J41" s="1"/>
      <c r="K41" s="1">
        <v>165</v>
      </c>
      <c r="L41" s="1">
        <f t="shared" si="18"/>
        <v>-13</v>
      </c>
      <c r="M41" s="1">
        <f t="shared" si="4"/>
        <v>152</v>
      </c>
      <c r="N41" s="1"/>
      <c r="O41" s="1"/>
      <c r="P41" s="1"/>
      <c r="Q41" s="1">
        <v>41.600000000000051</v>
      </c>
      <c r="R41" s="1">
        <f t="shared" si="5"/>
        <v>30.4</v>
      </c>
      <c r="S41" s="5"/>
      <c r="T41" s="5"/>
      <c r="U41" s="5">
        <f t="shared" si="7"/>
        <v>0</v>
      </c>
      <c r="V41" s="5"/>
      <c r="W41" s="5"/>
      <c r="X41" s="1"/>
      <c r="Y41" s="1"/>
      <c r="Z41" s="1">
        <f t="shared" si="9"/>
        <v>12.750000000000002</v>
      </c>
      <c r="AA41" s="1">
        <f t="shared" si="10"/>
        <v>12.750000000000002</v>
      </c>
      <c r="AB41" s="1">
        <v>40.200000000000003</v>
      </c>
      <c r="AC41" s="1">
        <v>39.799999999999997</v>
      </c>
      <c r="AD41" s="1">
        <v>36</v>
      </c>
      <c r="AE41" s="1">
        <v>34</v>
      </c>
      <c r="AF41" s="1">
        <v>42.2</v>
      </c>
      <c r="AG41" s="1">
        <v>52.4</v>
      </c>
      <c r="AH41" s="1">
        <v>50.2</v>
      </c>
      <c r="AI41" s="1">
        <v>52.4</v>
      </c>
      <c r="AJ41" s="1"/>
      <c r="AK41" s="1">
        <f t="shared" si="11"/>
        <v>0</v>
      </c>
      <c r="AL41" s="1">
        <f t="shared" si="12"/>
        <v>0</v>
      </c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</row>
    <row r="42" spans="1:53" x14ac:dyDescent="0.25">
      <c r="A42" s="1" t="s">
        <v>83</v>
      </c>
      <c r="B42" s="1" t="s">
        <v>42</v>
      </c>
      <c r="C42" s="1">
        <v>329</v>
      </c>
      <c r="D42" s="1">
        <v>253</v>
      </c>
      <c r="E42" s="1">
        <v>207</v>
      </c>
      <c r="F42" s="1">
        <v>363</v>
      </c>
      <c r="G42" s="8">
        <v>0.4</v>
      </c>
      <c r="H42" s="1">
        <v>45</v>
      </c>
      <c r="I42" s="1" t="s">
        <v>38</v>
      </c>
      <c r="J42" s="1"/>
      <c r="K42" s="1">
        <v>215</v>
      </c>
      <c r="L42" s="1">
        <f t="shared" si="18"/>
        <v>-8</v>
      </c>
      <c r="M42" s="1">
        <f t="shared" si="4"/>
        <v>207</v>
      </c>
      <c r="N42" s="1"/>
      <c r="O42" s="1"/>
      <c r="P42" s="1"/>
      <c r="Q42" s="1">
        <v>0</v>
      </c>
      <c r="R42" s="1">
        <f t="shared" si="5"/>
        <v>41.4</v>
      </c>
      <c r="S42" s="5">
        <f t="shared" si="15"/>
        <v>133.79999999999995</v>
      </c>
      <c r="T42" s="5"/>
      <c r="U42" s="5">
        <f t="shared" si="7"/>
        <v>133.79999999999995</v>
      </c>
      <c r="V42" s="5"/>
      <c r="W42" s="5"/>
      <c r="X42" s="1"/>
      <c r="Y42" s="1"/>
      <c r="Z42" s="1">
        <f t="shared" si="9"/>
        <v>12</v>
      </c>
      <c r="AA42" s="1">
        <f t="shared" si="10"/>
        <v>8.7681159420289863</v>
      </c>
      <c r="AB42" s="1">
        <v>39.4</v>
      </c>
      <c r="AC42" s="1">
        <v>47.6</v>
      </c>
      <c r="AD42" s="1">
        <v>55.2</v>
      </c>
      <c r="AE42" s="1">
        <v>46.2</v>
      </c>
      <c r="AF42" s="1">
        <v>47.6</v>
      </c>
      <c r="AG42" s="1">
        <v>64.400000000000006</v>
      </c>
      <c r="AH42" s="1">
        <v>71.2</v>
      </c>
      <c r="AI42" s="1">
        <v>66.400000000000006</v>
      </c>
      <c r="AJ42" s="1" t="s">
        <v>74</v>
      </c>
      <c r="AK42" s="1">
        <f t="shared" si="11"/>
        <v>54</v>
      </c>
      <c r="AL42" s="1">
        <f t="shared" si="12"/>
        <v>0</v>
      </c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</row>
    <row r="43" spans="1:53" x14ac:dyDescent="0.25">
      <c r="A43" s="1" t="s">
        <v>84</v>
      </c>
      <c r="B43" s="1" t="s">
        <v>37</v>
      </c>
      <c r="C43" s="1">
        <v>257.27100000000002</v>
      </c>
      <c r="D43" s="1">
        <v>383.33800000000002</v>
      </c>
      <c r="E43" s="1">
        <v>293.09800000000001</v>
      </c>
      <c r="F43" s="1">
        <v>293.16199999999998</v>
      </c>
      <c r="G43" s="8">
        <v>1</v>
      </c>
      <c r="H43" s="1">
        <v>40</v>
      </c>
      <c r="I43" s="1" t="s">
        <v>38</v>
      </c>
      <c r="J43" s="1"/>
      <c r="K43" s="1">
        <v>339.81099999999998</v>
      </c>
      <c r="L43" s="1">
        <f t="shared" si="18"/>
        <v>-46.712999999999965</v>
      </c>
      <c r="M43" s="1">
        <f t="shared" si="4"/>
        <v>236.68700000000001</v>
      </c>
      <c r="N43" s="1">
        <v>56.411000000000001</v>
      </c>
      <c r="O43" s="1"/>
      <c r="P43" s="1"/>
      <c r="Q43" s="1">
        <v>193.8854000000002</v>
      </c>
      <c r="R43" s="1">
        <f t="shared" si="5"/>
        <v>47.337400000000002</v>
      </c>
      <c r="S43" s="5">
        <f t="shared" si="15"/>
        <v>81.001399999999819</v>
      </c>
      <c r="T43" s="5"/>
      <c r="U43" s="5">
        <f t="shared" si="7"/>
        <v>81.001399999999819</v>
      </c>
      <c r="V43" s="5"/>
      <c r="W43" s="5"/>
      <c r="X43" s="1"/>
      <c r="Y43" s="1"/>
      <c r="Z43" s="1">
        <f t="shared" si="9"/>
        <v>12</v>
      </c>
      <c r="AA43" s="1">
        <f t="shared" si="10"/>
        <v>10.288849831211687</v>
      </c>
      <c r="AB43" s="1">
        <v>51.314600000000013</v>
      </c>
      <c r="AC43" s="1">
        <v>47.439599999999999</v>
      </c>
      <c r="AD43" s="1">
        <v>43.726999999999997</v>
      </c>
      <c r="AE43" s="1">
        <v>37.748800000000003</v>
      </c>
      <c r="AF43" s="1">
        <v>53.571199999999997</v>
      </c>
      <c r="AG43" s="1">
        <v>42.582999999999998</v>
      </c>
      <c r="AH43" s="1">
        <v>41.569200000000002</v>
      </c>
      <c r="AI43" s="1">
        <v>37.665999999999997</v>
      </c>
      <c r="AJ43" s="1"/>
      <c r="AK43" s="1">
        <f t="shared" si="11"/>
        <v>81</v>
      </c>
      <c r="AL43" s="1">
        <f t="shared" si="12"/>
        <v>0</v>
      </c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</row>
    <row r="44" spans="1:53" x14ac:dyDescent="0.25">
      <c r="A44" s="1" t="s">
        <v>85</v>
      </c>
      <c r="B44" s="1" t="s">
        <v>42</v>
      </c>
      <c r="C44" s="1">
        <v>1593.6479999999999</v>
      </c>
      <c r="D44" s="1">
        <v>3837.3519999999999</v>
      </c>
      <c r="E44" s="1">
        <v>1622</v>
      </c>
      <c r="F44" s="1">
        <v>2134</v>
      </c>
      <c r="G44" s="8">
        <v>0.35</v>
      </c>
      <c r="H44" s="1">
        <v>40</v>
      </c>
      <c r="I44" s="1" t="s">
        <v>38</v>
      </c>
      <c r="J44" s="1"/>
      <c r="K44" s="1">
        <v>1661</v>
      </c>
      <c r="L44" s="1">
        <f t="shared" si="18"/>
        <v>-39</v>
      </c>
      <c r="M44" s="1">
        <f t="shared" si="4"/>
        <v>1622</v>
      </c>
      <c r="N44" s="1"/>
      <c r="O44" s="1"/>
      <c r="P44" s="1"/>
      <c r="Q44" s="1">
        <v>1151.727599999999</v>
      </c>
      <c r="R44" s="1">
        <f t="shared" si="5"/>
        <v>324.39999999999998</v>
      </c>
      <c r="S44" s="5">
        <f t="shared" si="15"/>
        <v>607.07240000000093</v>
      </c>
      <c r="T44" s="5"/>
      <c r="U44" s="5">
        <f t="shared" si="7"/>
        <v>607.07240000000093</v>
      </c>
      <c r="V44" s="5"/>
      <c r="W44" s="5"/>
      <c r="X44" s="1"/>
      <c r="Y44" s="1"/>
      <c r="Z44" s="1">
        <f t="shared" si="9"/>
        <v>12.000000000000002</v>
      </c>
      <c r="AA44" s="1">
        <f t="shared" si="10"/>
        <v>10.128630086313192</v>
      </c>
      <c r="AB44" s="1">
        <v>341.47039999999998</v>
      </c>
      <c r="AC44" s="1">
        <v>305.2704</v>
      </c>
      <c r="AD44" s="1">
        <v>281.2</v>
      </c>
      <c r="AE44" s="1">
        <v>248</v>
      </c>
      <c r="AF44" s="1">
        <v>250.6</v>
      </c>
      <c r="AG44" s="1">
        <v>261</v>
      </c>
      <c r="AH44" s="1">
        <v>252.2</v>
      </c>
      <c r="AI44" s="1">
        <v>262.2</v>
      </c>
      <c r="AJ44" s="1" t="s">
        <v>48</v>
      </c>
      <c r="AK44" s="1">
        <f t="shared" si="11"/>
        <v>212</v>
      </c>
      <c r="AL44" s="1">
        <f t="shared" si="12"/>
        <v>0</v>
      </c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</row>
    <row r="45" spans="1:53" x14ac:dyDescent="0.25">
      <c r="A45" s="1" t="s">
        <v>86</v>
      </c>
      <c r="B45" s="1" t="s">
        <v>42</v>
      </c>
      <c r="C45" s="1">
        <v>852</v>
      </c>
      <c r="D45" s="1">
        <v>807</v>
      </c>
      <c r="E45" s="1">
        <v>654</v>
      </c>
      <c r="F45" s="1">
        <v>973</v>
      </c>
      <c r="G45" s="8">
        <v>0.4</v>
      </c>
      <c r="H45" s="1">
        <v>40</v>
      </c>
      <c r="I45" s="1" t="s">
        <v>38</v>
      </c>
      <c r="J45" s="1"/>
      <c r="K45" s="1">
        <v>679</v>
      </c>
      <c r="L45" s="1">
        <f t="shared" si="18"/>
        <v>-25</v>
      </c>
      <c r="M45" s="1">
        <f t="shared" si="4"/>
        <v>654</v>
      </c>
      <c r="N45" s="1"/>
      <c r="O45" s="1"/>
      <c r="P45" s="1"/>
      <c r="Q45" s="1">
        <v>205.47999999999931</v>
      </c>
      <c r="R45" s="1">
        <f t="shared" si="5"/>
        <v>130.80000000000001</v>
      </c>
      <c r="S45" s="5">
        <f t="shared" si="15"/>
        <v>391.1200000000008</v>
      </c>
      <c r="T45" s="5"/>
      <c r="U45" s="5">
        <f t="shared" si="7"/>
        <v>391.1200000000008</v>
      </c>
      <c r="V45" s="5"/>
      <c r="W45" s="5"/>
      <c r="X45" s="1"/>
      <c r="Y45" s="1"/>
      <c r="Z45" s="1">
        <f t="shared" si="9"/>
        <v>12</v>
      </c>
      <c r="AA45" s="1">
        <f t="shared" si="10"/>
        <v>9.0097859327217069</v>
      </c>
      <c r="AB45" s="1">
        <v>127.8</v>
      </c>
      <c r="AC45" s="1">
        <v>132.19999999999999</v>
      </c>
      <c r="AD45" s="1">
        <v>136.19999999999999</v>
      </c>
      <c r="AE45" s="1">
        <v>128</v>
      </c>
      <c r="AF45" s="1">
        <v>121.6</v>
      </c>
      <c r="AG45" s="1">
        <v>132.80000000000001</v>
      </c>
      <c r="AH45" s="1">
        <v>131.6</v>
      </c>
      <c r="AI45" s="1">
        <v>117.4</v>
      </c>
      <c r="AJ45" s="1"/>
      <c r="AK45" s="1">
        <f t="shared" si="11"/>
        <v>156</v>
      </c>
      <c r="AL45" s="1">
        <f t="shared" si="12"/>
        <v>0</v>
      </c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</row>
    <row r="46" spans="1:53" x14ac:dyDescent="0.25">
      <c r="A46" s="1" t="s">
        <v>87</v>
      </c>
      <c r="B46" s="1" t="s">
        <v>37</v>
      </c>
      <c r="C46" s="1">
        <v>562.48699999999997</v>
      </c>
      <c r="D46" s="1">
        <v>527.85900000000004</v>
      </c>
      <c r="E46" s="1">
        <v>463.858</v>
      </c>
      <c r="F46" s="1">
        <v>598.84900000000005</v>
      </c>
      <c r="G46" s="8">
        <v>1</v>
      </c>
      <c r="H46" s="1">
        <v>50</v>
      </c>
      <c r="I46" s="1" t="s">
        <v>38</v>
      </c>
      <c r="J46" s="1"/>
      <c r="K46" s="1">
        <v>466.42200000000003</v>
      </c>
      <c r="L46" s="1">
        <f t="shared" si="18"/>
        <v>-2.5640000000000214</v>
      </c>
      <c r="M46" s="1">
        <f t="shared" si="4"/>
        <v>442.18599999999998</v>
      </c>
      <c r="N46" s="1">
        <v>21.672000000000001</v>
      </c>
      <c r="O46" s="1"/>
      <c r="P46" s="1">
        <v>97.739249999999998</v>
      </c>
      <c r="Q46" s="1">
        <v>201.31327999999991</v>
      </c>
      <c r="R46" s="1">
        <f t="shared" si="5"/>
        <v>88.43719999999999</v>
      </c>
      <c r="S46" s="5">
        <f t="shared" si="15"/>
        <v>163.34487000000013</v>
      </c>
      <c r="T46" s="5"/>
      <c r="U46" s="5">
        <f t="shared" si="7"/>
        <v>163.34487000000013</v>
      </c>
      <c r="V46" s="5">
        <f t="shared" ref="V46:V47" si="19">$V$1*R46</f>
        <v>106.12463999999999</v>
      </c>
      <c r="W46" s="5"/>
      <c r="X46" s="1"/>
      <c r="Y46" s="1"/>
      <c r="Z46" s="1">
        <f t="shared" si="9"/>
        <v>13.200000000000001</v>
      </c>
      <c r="AA46" s="1">
        <f t="shared" si="10"/>
        <v>10.152984603764027</v>
      </c>
      <c r="AB46" s="1">
        <v>87.9392</v>
      </c>
      <c r="AC46" s="1">
        <v>78.191400000000002</v>
      </c>
      <c r="AD46" s="1">
        <v>73.132800000000003</v>
      </c>
      <c r="AE46" s="1">
        <v>77.838200000000001</v>
      </c>
      <c r="AF46" s="1">
        <v>76.198599999999999</v>
      </c>
      <c r="AG46" s="1">
        <v>82.460000000000008</v>
      </c>
      <c r="AH46" s="1">
        <v>86.902799999999999</v>
      </c>
      <c r="AI46" s="1">
        <v>83.040800000000004</v>
      </c>
      <c r="AJ46" s="1"/>
      <c r="AK46" s="1">
        <f t="shared" si="11"/>
        <v>163</v>
      </c>
      <c r="AL46" s="1">
        <f t="shared" si="12"/>
        <v>106</v>
      </c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</row>
    <row r="47" spans="1:53" x14ac:dyDescent="0.25">
      <c r="A47" s="1" t="s">
        <v>88</v>
      </c>
      <c r="B47" s="1" t="s">
        <v>37</v>
      </c>
      <c r="C47" s="1">
        <v>872.61300000000006</v>
      </c>
      <c r="D47" s="1">
        <v>982.50699999999995</v>
      </c>
      <c r="E47" s="1">
        <v>787.15</v>
      </c>
      <c r="F47" s="1">
        <v>1031.5640000000001</v>
      </c>
      <c r="G47" s="8">
        <v>1</v>
      </c>
      <c r="H47" s="1">
        <v>50</v>
      </c>
      <c r="I47" s="1" t="s">
        <v>38</v>
      </c>
      <c r="J47" s="1"/>
      <c r="K47" s="1">
        <v>767.88499999999999</v>
      </c>
      <c r="L47" s="1">
        <f t="shared" si="18"/>
        <v>19.264999999999986</v>
      </c>
      <c r="M47" s="1">
        <f t="shared" si="4"/>
        <v>754.56499999999994</v>
      </c>
      <c r="N47" s="1">
        <v>32.585000000000001</v>
      </c>
      <c r="O47" s="1"/>
      <c r="P47" s="1">
        <v>165.17675</v>
      </c>
      <c r="Q47" s="1">
        <v>169.07507999999979</v>
      </c>
      <c r="R47" s="1">
        <f t="shared" si="5"/>
        <v>150.91299999999998</v>
      </c>
      <c r="S47" s="5">
        <f t="shared" si="15"/>
        <v>445.14016999999967</v>
      </c>
      <c r="T47" s="5"/>
      <c r="U47" s="5">
        <f t="shared" si="7"/>
        <v>445.14016999999967</v>
      </c>
      <c r="V47" s="5">
        <f t="shared" si="19"/>
        <v>181.09559999999996</v>
      </c>
      <c r="W47" s="5"/>
      <c r="X47" s="1"/>
      <c r="Y47" s="1"/>
      <c r="Z47" s="1">
        <f t="shared" si="9"/>
        <v>13.2</v>
      </c>
      <c r="AA47" s="1">
        <f t="shared" si="10"/>
        <v>9.0503523884622279</v>
      </c>
      <c r="AB47" s="1">
        <v>138.64959999999999</v>
      </c>
      <c r="AC47" s="1">
        <v>132.1414</v>
      </c>
      <c r="AD47" s="1">
        <v>131.07159999999999</v>
      </c>
      <c r="AE47" s="1">
        <v>127.2856</v>
      </c>
      <c r="AF47" s="1">
        <v>132.2226</v>
      </c>
      <c r="AG47" s="1">
        <v>140.18700000000001</v>
      </c>
      <c r="AH47" s="1">
        <v>131.98220000000001</v>
      </c>
      <c r="AI47" s="1">
        <v>133.36920000000001</v>
      </c>
      <c r="AJ47" s="1"/>
      <c r="AK47" s="1">
        <f t="shared" si="11"/>
        <v>445</v>
      </c>
      <c r="AL47" s="1">
        <f t="shared" si="12"/>
        <v>181</v>
      </c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</row>
    <row r="48" spans="1:53" x14ac:dyDescent="0.25">
      <c r="A48" s="17" t="s">
        <v>89</v>
      </c>
      <c r="B48" s="17" t="s">
        <v>37</v>
      </c>
      <c r="C48" s="17"/>
      <c r="D48" s="17"/>
      <c r="E48" s="17"/>
      <c r="F48" s="17"/>
      <c r="G48" s="18">
        <v>0</v>
      </c>
      <c r="H48" s="17">
        <v>40</v>
      </c>
      <c r="I48" s="17" t="s">
        <v>38</v>
      </c>
      <c r="J48" s="17"/>
      <c r="K48" s="17"/>
      <c r="L48" s="17">
        <f t="shared" si="18"/>
        <v>0</v>
      </c>
      <c r="M48" s="17">
        <f t="shared" si="4"/>
        <v>0</v>
      </c>
      <c r="N48" s="17"/>
      <c r="O48" s="17"/>
      <c r="P48" s="17"/>
      <c r="Q48" s="17">
        <v>0</v>
      </c>
      <c r="R48" s="17">
        <f t="shared" si="5"/>
        <v>0</v>
      </c>
      <c r="S48" s="19"/>
      <c r="T48" s="19"/>
      <c r="U48" s="5">
        <f t="shared" si="7"/>
        <v>0</v>
      </c>
      <c r="V48" s="5"/>
      <c r="W48" s="19"/>
      <c r="X48" s="17"/>
      <c r="Y48" s="17"/>
      <c r="Z48" s="1" t="e">
        <f t="shared" si="9"/>
        <v>#DIV/0!</v>
      </c>
      <c r="AA48" s="17" t="e">
        <f t="shared" si="10"/>
        <v>#DIV/0!</v>
      </c>
      <c r="AB48" s="17">
        <v>0</v>
      </c>
      <c r="AC48" s="17">
        <v>0</v>
      </c>
      <c r="AD48" s="17">
        <v>0</v>
      </c>
      <c r="AE48" s="17">
        <v>0</v>
      </c>
      <c r="AF48" s="17">
        <v>0</v>
      </c>
      <c r="AG48" s="17">
        <v>0</v>
      </c>
      <c r="AH48" s="17">
        <v>0</v>
      </c>
      <c r="AI48" s="17">
        <v>0</v>
      </c>
      <c r="AJ48" s="17" t="s">
        <v>67</v>
      </c>
      <c r="AK48" s="1">
        <f t="shared" si="11"/>
        <v>0</v>
      </c>
      <c r="AL48" s="1">
        <f t="shared" si="12"/>
        <v>0</v>
      </c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</row>
    <row r="49" spans="1:53" x14ac:dyDescent="0.25">
      <c r="A49" s="1" t="s">
        <v>90</v>
      </c>
      <c r="B49" s="1" t="s">
        <v>42</v>
      </c>
      <c r="C49" s="1">
        <v>168</v>
      </c>
      <c r="D49" s="1">
        <v>1722</v>
      </c>
      <c r="E49" s="1">
        <v>517</v>
      </c>
      <c r="F49" s="1">
        <v>1367</v>
      </c>
      <c r="G49" s="8">
        <v>0.45</v>
      </c>
      <c r="H49" s="1">
        <v>50</v>
      </c>
      <c r="I49" s="1" t="s">
        <v>38</v>
      </c>
      <c r="J49" s="1"/>
      <c r="K49" s="1">
        <v>583</v>
      </c>
      <c r="L49" s="1">
        <f t="shared" si="18"/>
        <v>-66</v>
      </c>
      <c r="M49" s="1">
        <f t="shared" si="4"/>
        <v>517</v>
      </c>
      <c r="N49" s="1"/>
      <c r="O49" s="1"/>
      <c r="P49" s="1">
        <v>174.25</v>
      </c>
      <c r="Q49" s="1">
        <v>0</v>
      </c>
      <c r="R49" s="1">
        <f t="shared" si="5"/>
        <v>103.4</v>
      </c>
      <c r="S49" s="5"/>
      <c r="T49" s="5"/>
      <c r="U49" s="5">
        <f t="shared" si="7"/>
        <v>0</v>
      </c>
      <c r="V49" s="5"/>
      <c r="W49" s="5"/>
      <c r="X49" s="1"/>
      <c r="Y49" s="1"/>
      <c r="Z49" s="1">
        <f t="shared" si="9"/>
        <v>14.905705996131527</v>
      </c>
      <c r="AA49" s="1">
        <f t="shared" si="10"/>
        <v>14.905705996131527</v>
      </c>
      <c r="AB49" s="1">
        <v>115.2</v>
      </c>
      <c r="AC49" s="1">
        <v>139.4</v>
      </c>
      <c r="AD49" s="1">
        <v>107.2</v>
      </c>
      <c r="AE49" s="1">
        <v>72</v>
      </c>
      <c r="AF49" s="1">
        <v>70.2</v>
      </c>
      <c r="AG49" s="1">
        <v>74.8</v>
      </c>
      <c r="AH49" s="1">
        <v>76.400000000000006</v>
      </c>
      <c r="AI49" s="1">
        <v>74</v>
      </c>
      <c r="AJ49" s="1" t="s">
        <v>91</v>
      </c>
      <c r="AK49" s="1">
        <f t="shared" si="11"/>
        <v>0</v>
      </c>
      <c r="AL49" s="1">
        <f t="shared" si="12"/>
        <v>0</v>
      </c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</row>
    <row r="50" spans="1:53" x14ac:dyDescent="0.25">
      <c r="A50" s="1" t="s">
        <v>92</v>
      </c>
      <c r="B50" s="1" t="s">
        <v>42</v>
      </c>
      <c r="C50" s="1">
        <v>50</v>
      </c>
      <c r="D50" s="1">
        <v>226</v>
      </c>
      <c r="E50" s="1">
        <v>84</v>
      </c>
      <c r="F50" s="1">
        <v>187</v>
      </c>
      <c r="G50" s="8">
        <v>0.4</v>
      </c>
      <c r="H50" s="1">
        <v>40</v>
      </c>
      <c r="I50" s="1" t="s">
        <v>38</v>
      </c>
      <c r="J50" s="1"/>
      <c r="K50" s="1">
        <v>90</v>
      </c>
      <c r="L50" s="1">
        <f t="shared" si="18"/>
        <v>-6</v>
      </c>
      <c r="M50" s="1">
        <f t="shared" si="4"/>
        <v>84</v>
      </c>
      <c r="N50" s="1"/>
      <c r="O50" s="1"/>
      <c r="P50" s="1"/>
      <c r="Q50" s="1">
        <v>22.399999999999981</v>
      </c>
      <c r="R50" s="1">
        <f t="shared" si="5"/>
        <v>16.8</v>
      </c>
      <c r="S50" s="5"/>
      <c r="T50" s="5"/>
      <c r="U50" s="5">
        <f t="shared" si="7"/>
        <v>0</v>
      </c>
      <c r="V50" s="5"/>
      <c r="W50" s="5"/>
      <c r="X50" s="1"/>
      <c r="Y50" s="1"/>
      <c r="Z50" s="1">
        <f t="shared" si="9"/>
        <v>12.464285714285712</v>
      </c>
      <c r="AA50" s="1">
        <f t="shared" si="10"/>
        <v>12.464285714285712</v>
      </c>
      <c r="AB50" s="1">
        <v>21.4</v>
      </c>
      <c r="AC50" s="1">
        <v>21</v>
      </c>
      <c r="AD50" s="1">
        <v>19.399999999999999</v>
      </c>
      <c r="AE50" s="1">
        <v>17.8</v>
      </c>
      <c r="AF50" s="1">
        <v>15.4</v>
      </c>
      <c r="AG50" s="1">
        <v>16.8</v>
      </c>
      <c r="AH50" s="1">
        <v>25.4</v>
      </c>
      <c r="AI50" s="1">
        <v>21</v>
      </c>
      <c r="AJ50" s="1"/>
      <c r="AK50" s="1">
        <f t="shared" si="11"/>
        <v>0</v>
      </c>
      <c r="AL50" s="1">
        <f t="shared" si="12"/>
        <v>0</v>
      </c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</row>
    <row r="51" spans="1:53" x14ac:dyDescent="0.25">
      <c r="A51" s="1" t="s">
        <v>93</v>
      </c>
      <c r="B51" s="1" t="s">
        <v>42</v>
      </c>
      <c r="C51" s="1">
        <v>230</v>
      </c>
      <c r="D51" s="1">
        <v>130</v>
      </c>
      <c r="E51" s="1">
        <v>305</v>
      </c>
      <c r="F51" s="1">
        <v>36</v>
      </c>
      <c r="G51" s="8">
        <v>0.4</v>
      </c>
      <c r="H51" s="1">
        <v>40</v>
      </c>
      <c r="I51" s="1" t="s">
        <v>38</v>
      </c>
      <c r="J51" s="1"/>
      <c r="K51" s="1">
        <v>320</v>
      </c>
      <c r="L51" s="1">
        <f t="shared" si="18"/>
        <v>-15</v>
      </c>
      <c r="M51" s="1">
        <f t="shared" si="4"/>
        <v>305</v>
      </c>
      <c r="N51" s="1"/>
      <c r="O51" s="1"/>
      <c r="P51" s="1"/>
      <c r="Q51" s="1">
        <v>285.39999999999998</v>
      </c>
      <c r="R51" s="1">
        <f t="shared" si="5"/>
        <v>61</v>
      </c>
      <c r="S51" s="5">
        <f t="shared" ref="S51:S54" si="20">12*R51-Q51-P51-O51-F51</f>
        <v>410.6</v>
      </c>
      <c r="T51" s="5"/>
      <c r="U51" s="5">
        <f t="shared" si="7"/>
        <v>410.6</v>
      </c>
      <c r="V51" s="5"/>
      <c r="W51" s="5"/>
      <c r="X51" s="1"/>
      <c r="Y51" s="1"/>
      <c r="Z51" s="1">
        <f t="shared" si="9"/>
        <v>12</v>
      </c>
      <c r="AA51" s="1">
        <f t="shared" si="10"/>
        <v>5.2688524590163928</v>
      </c>
      <c r="AB51" s="1">
        <v>45.6</v>
      </c>
      <c r="AC51" s="1">
        <v>12.2</v>
      </c>
      <c r="AD51" s="1">
        <v>33.799999999999997</v>
      </c>
      <c r="AE51" s="1">
        <v>32.799999999999997</v>
      </c>
      <c r="AF51" s="1">
        <v>7.8</v>
      </c>
      <c r="AG51" s="1">
        <v>7.6</v>
      </c>
      <c r="AH51" s="1">
        <v>15.6</v>
      </c>
      <c r="AI51" s="1">
        <v>9.8000000000000007</v>
      </c>
      <c r="AJ51" s="1" t="s">
        <v>94</v>
      </c>
      <c r="AK51" s="1">
        <f t="shared" si="11"/>
        <v>164</v>
      </c>
      <c r="AL51" s="1">
        <f t="shared" si="12"/>
        <v>0</v>
      </c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</row>
    <row r="52" spans="1:53" x14ac:dyDescent="0.25">
      <c r="A52" s="1" t="s">
        <v>95</v>
      </c>
      <c r="B52" s="1" t="s">
        <v>37</v>
      </c>
      <c r="C52" s="1">
        <v>490.55200000000002</v>
      </c>
      <c r="D52" s="1">
        <v>483.77699999999999</v>
      </c>
      <c r="E52" s="1">
        <v>351.68099999999998</v>
      </c>
      <c r="F52" s="1">
        <v>609.84500000000003</v>
      </c>
      <c r="G52" s="8">
        <v>1</v>
      </c>
      <c r="H52" s="1">
        <v>50</v>
      </c>
      <c r="I52" s="1" t="s">
        <v>38</v>
      </c>
      <c r="J52" s="1"/>
      <c r="K52" s="1">
        <v>346.8</v>
      </c>
      <c r="L52" s="1">
        <f t="shared" si="18"/>
        <v>4.8809999999999718</v>
      </c>
      <c r="M52" s="1">
        <f t="shared" si="4"/>
        <v>351.68099999999998</v>
      </c>
      <c r="N52" s="1"/>
      <c r="O52" s="1"/>
      <c r="P52" s="1">
        <v>85.510500000000008</v>
      </c>
      <c r="Q52" s="1">
        <v>70.740399999999994</v>
      </c>
      <c r="R52" s="1">
        <f t="shared" si="5"/>
        <v>70.336199999999991</v>
      </c>
      <c r="S52" s="5">
        <f t="shared" si="20"/>
        <v>77.938499999999863</v>
      </c>
      <c r="T52" s="5"/>
      <c r="U52" s="5">
        <f t="shared" si="7"/>
        <v>77.938499999999863</v>
      </c>
      <c r="V52" s="5">
        <f>$V$1*R52</f>
        <v>84.403439999999989</v>
      </c>
      <c r="W52" s="5"/>
      <c r="X52" s="1"/>
      <c r="Y52" s="1"/>
      <c r="Z52" s="1">
        <f t="shared" si="9"/>
        <v>13.2</v>
      </c>
      <c r="AA52" s="1">
        <f t="shared" si="10"/>
        <v>10.891914831907327</v>
      </c>
      <c r="AB52" s="1">
        <v>70.740399999999994</v>
      </c>
      <c r="AC52" s="1">
        <v>68.4084</v>
      </c>
      <c r="AD52" s="1">
        <v>65.150400000000005</v>
      </c>
      <c r="AE52" s="1">
        <v>69.903199999999998</v>
      </c>
      <c r="AF52" s="1">
        <v>65.549400000000006</v>
      </c>
      <c r="AG52" s="1">
        <v>72.647000000000006</v>
      </c>
      <c r="AH52" s="1">
        <v>75.136600000000001</v>
      </c>
      <c r="AI52" s="1">
        <v>69.343599999999995</v>
      </c>
      <c r="AJ52" s="1"/>
      <c r="AK52" s="1">
        <f t="shared" si="11"/>
        <v>78</v>
      </c>
      <c r="AL52" s="1">
        <f t="shared" si="12"/>
        <v>84</v>
      </c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</row>
    <row r="53" spans="1:53" x14ac:dyDescent="0.25">
      <c r="A53" s="1" t="s">
        <v>96</v>
      </c>
      <c r="B53" s="1" t="s">
        <v>42</v>
      </c>
      <c r="C53" s="1">
        <v>213</v>
      </c>
      <c r="D53" s="1">
        <v>204</v>
      </c>
      <c r="E53" s="1">
        <v>160</v>
      </c>
      <c r="F53" s="1">
        <v>253</v>
      </c>
      <c r="G53" s="8">
        <v>0.1</v>
      </c>
      <c r="H53" s="1">
        <v>730</v>
      </c>
      <c r="I53" s="1" t="s">
        <v>38</v>
      </c>
      <c r="J53" s="1"/>
      <c r="K53" s="1">
        <v>161</v>
      </c>
      <c r="L53" s="1">
        <f t="shared" si="18"/>
        <v>-1</v>
      </c>
      <c r="M53" s="1">
        <f t="shared" si="4"/>
        <v>160</v>
      </c>
      <c r="N53" s="1"/>
      <c r="O53" s="1"/>
      <c r="P53" s="1"/>
      <c r="Q53" s="1">
        <v>62</v>
      </c>
      <c r="R53" s="1">
        <f t="shared" si="5"/>
        <v>32</v>
      </c>
      <c r="S53" s="5">
        <f t="shared" si="20"/>
        <v>69</v>
      </c>
      <c r="T53" s="5"/>
      <c r="U53" s="5">
        <f t="shared" si="7"/>
        <v>69</v>
      </c>
      <c r="V53" s="5"/>
      <c r="W53" s="5"/>
      <c r="X53" s="1"/>
      <c r="Y53" s="1"/>
      <c r="Z53" s="1">
        <f t="shared" si="9"/>
        <v>12</v>
      </c>
      <c r="AA53" s="1">
        <f t="shared" si="10"/>
        <v>9.84375</v>
      </c>
      <c r="AB53" s="1">
        <v>32.4</v>
      </c>
      <c r="AC53" s="1">
        <v>32.4</v>
      </c>
      <c r="AD53" s="1">
        <v>33.4</v>
      </c>
      <c r="AE53" s="1">
        <v>32</v>
      </c>
      <c r="AF53" s="1">
        <v>34.6</v>
      </c>
      <c r="AG53" s="1">
        <v>38.4</v>
      </c>
      <c r="AH53" s="1">
        <v>40.4</v>
      </c>
      <c r="AI53" s="1">
        <v>51.2</v>
      </c>
      <c r="AJ53" s="1"/>
      <c r="AK53" s="1">
        <f t="shared" si="11"/>
        <v>7</v>
      </c>
      <c r="AL53" s="1">
        <f t="shared" si="12"/>
        <v>0</v>
      </c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</row>
    <row r="54" spans="1:53" x14ac:dyDescent="0.25">
      <c r="A54" s="1" t="s">
        <v>97</v>
      </c>
      <c r="B54" s="1" t="s">
        <v>37</v>
      </c>
      <c r="C54" s="1">
        <v>1109.501</v>
      </c>
      <c r="D54" s="1">
        <v>865.84299999999996</v>
      </c>
      <c r="E54" s="1">
        <v>873.6</v>
      </c>
      <c r="F54" s="1">
        <v>1040.961</v>
      </c>
      <c r="G54" s="8">
        <v>1</v>
      </c>
      <c r="H54" s="1">
        <v>50</v>
      </c>
      <c r="I54" s="1" t="s">
        <v>38</v>
      </c>
      <c r="J54" s="1"/>
      <c r="K54" s="1">
        <v>896.024</v>
      </c>
      <c r="L54" s="1">
        <f t="shared" si="18"/>
        <v>-22.423999999999978</v>
      </c>
      <c r="M54" s="1">
        <f t="shared" si="4"/>
        <v>809.17600000000004</v>
      </c>
      <c r="N54" s="1">
        <v>64.424000000000007</v>
      </c>
      <c r="O54" s="1"/>
      <c r="P54" s="1">
        <v>175.14675</v>
      </c>
      <c r="Q54" s="1">
        <v>482.64829999999938</v>
      </c>
      <c r="R54" s="1">
        <f t="shared" si="5"/>
        <v>161.83520000000001</v>
      </c>
      <c r="S54" s="5">
        <f t="shared" si="20"/>
        <v>243.26635000000101</v>
      </c>
      <c r="T54" s="5"/>
      <c r="U54" s="5">
        <f t="shared" si="7"/>
        <v>243.26635000000101</v>
      </c>
      <c r="V54" s="5">
        <f>$V$1*R54</f>
        <v>194.20224000000002</v>
      </c>
      <c r="W54" s="5"/>
      <c r="X54" s="1"/>
      <c r="Y54" s="1"/>
      <c r="Z54" s="1">
        <f t="shared" si="9"/>
        <v>13.200000000000001</v>
      </c>
      <c r="AA54" s="1">
        <f t="shared" si="10"/>
        <v>10.49682671013475</v>
      </c>
      <c r="AB54" s="1">
        <v>165.90880000000001</v>
      </c>
      <c r="AC54" s="1">
        <v>140.1174</v>
      </c>
      <c r="AD54" s="1">
        <v>141.84540000000001</v>
      </c>
      <c r="AE54" s="1">
        <v>154.67599999999999</v>
      </c>
      <c r="AF54" s="1">
        <v>147.3032</v>
      </c>
      <c r="AG54" s="1">
        <v>147.202</v>
      </c>
      <c r="AH54" s="1">
        <v>147.44659999999999</v>
      </c>
      <c r="AI54" s="1">
        <v>151.10159999999999</v>
      </c>
      <c r="AJ54" s="1"/>
      <c r="AK54" s="1">
        <f t="shared" si="11"/>
        <v>243</v>
      </c>
      <c r="AL54" s="1">
        <f t="shared" si="12"/>
        <v>194</v>
      </c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</row>
    <row r="55" spans="1:53" x14ac:dyDescent="0.25">
      <c r="A55" s="1" t="s">
        <v>98</v>
      </c>
      <c r="B55" s="1" t="s">
        <v>37</v>
      </c>
      <c r="C55" s="1">
        <v>88.076999999999998</v>
      </c>
      <c r="D55" s="1">
        <v>161.53</v>
      </c>
      <c r="E55" s="1">
        <v>103.55200000000001</v>
      </c>
      <c r="F55" s="1">
        <v>108.5</v>
      </c>
      <c r="G55" s="8">
        <v>1</v>
      </c>
      <c r="H55" s="1">
        <v>50</v>
      </c>
      <c r="I55" s="1" t="s">
        <v>38</v>
      </c>
      <c r="J55" s="1"/>
      <c r="K55" s="1">
        <v>157.72399999999999</v>
      </c>
      <c r="L55" s="1">
        <f t="shared" si="18"/>
        <v>-54.171999999999983</v>
      </c>
      <c r="M55" s="1">
        <f t="shared" si="4"/>
        <v>71.328000000000003</v>
      </c>
      <c r="N55" s="1">
        <v>32.223999999999997</v>
      </c>
      <c r="O55" s="1"/>
      <c r="P55" s="1"/>
      <c r="Q55" s="1">
        <v>76.778999999999968</v>
      </c>
      <c r="R55" s="1">
        <f t="shared" si="5"/>
        <v>14.265600000000001</v>
      </c>
      <c r="S55" s="5"/>
      <c r="T55" s="5"/>
      <c r="U55" s="5">
        <f t="shared" si="7"/>
        <v>0</v>
      </c>
      <c r="V55" s="5"/>
      <c r="W55" s="5"/>
      <c r="X55" s="1"/>
      <c r="Y55" s="1"/>
      <c r="Z55" s="1">
        <f t="shared" si="9"/>
        <v>12.987816846119333</v>
      </c>
      <c r="AA55" s="1">
        <f t="shared" si="10"/>
        <v>12.987816846119333</v>
      </c>
      <c r="AB55" s="1">
        <v>19.2056</v>
      </c>
      <c r="AC55" s="1">
        <v>17.2776</v>
      </c>
      <c r="AD55" s="1">
        <v>15.5822</v>
      </c>
      <c r="AE55" s="1">
        <v>17.269600000000001</v>
      </c>
      <c r="AF55" s="1">
        <v>17.403600000000001</v>
      </c>
      <c r="AG55" s="1">
        <v>24.904399999999999</v>
      </c>
      <c r="AH55" s="1">
        <v>18.740400000000001</v>
      </c>
      <c r="AI55" s="1">
        <v>17.9496</v>
      </c>
      <c r="AJ55" s="1"/>
      <c r="AK55" s="1">
        <f t="shared" si="11"/>
        <v>0</v>
      </c>
      <c r="AL55" s="1">
        <f t="shared" si="12"/>
        <v>0</v>
      </c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</row>
    <row r="56" spans="1:53" x14ac:dyDescent="0.25">
      <c r="A56" s="13" t="s">
        <v>99</v>
      </c>
      <c r="B56" s="14" t="s">
        <v>42</v>
      </c>
      <c r="C56" s="14"/>
      <c r="D56" s="14"/>
      <c r="E56" s="14">
        <v>-3</v>
      </c>
      <c r="F56" s="14">
        <v>-2</v>
      </c>
      <c r="G56" s="15">
        <v>0</v>
      </c>
      <c r="H56" s="14" t="e">
        <v>#N/A</v>
      </c>
      <c r="I56" s="13" t="s">
        <v>149</v>
      </c>
      <c r="J56" s="14" t="s">
        <v>112</v>
      </c>
      <c r="K56" s="14">
        <v>8</v>
      </c>
      <c r="L56" s="14">
        <f t="shared" si="18"/>
        <v>-11</v>
      </c>
      <c r="M56" s="14">
        <f t="shared" si="4"/>
        <v>-3</v>
      </c>
      <c r="N56" s="14"/>
      <c r="O56" s="14"/>
      <c r="P56" s="14"/>
      <c r="Q56" s="14"/>
      <c r="R56" s="14">
        <f t="shared" si="5"/>
        <v>-0.6</v>
      </c>
      <c r="S56" s="16"/>
      <c r="T56" s="16"/>
      <c r="U56" s="5">
        <f t="shared" si="7"/>
        <v>0</v>
      </c>
      <c r="V56" s="5"/>
      <c r="W56" s="16"/>
      <c r="X56" s="14"/>
      <c r="Y56" s="14"/>
      <c r="Z56" s="1">
        <f t="shared" si="9"/>
        <v>3.3333333333333335</v>
      </c>
      <c r="AA56" s="14">
        <f t="shared" si="10"/>
        <v>3.3333333333333335</v>
      </c>
      <c r="AB56" s="14">
        <v>0</v>
      </c>
      <c r="AC56" s="14">
        <v>0</v>
      </c>
      <c r="AD56" s="14">
        <v>0</v>
      </c>
      <c r="AE56" s="14">
        <v>0</v>
      </c>
      <c r="AF56" s="14">
        <v>0</v>
      </c>
      <c r="AG56" s="14">
        <v>0</v>
      </c>
      <c r="AH56" s="14">
        <v>0</v>
      </c>
      <c r="AI56" s="14">
        <v>0</v>
      </c>
      <c r="AJ56" s="14"/>
      <c r="AK56" s="1">
        <f t="shared" si="11"/>
        <v>0</v>
      </c>
      <c r="AL56" s="1">
        <f t="shared" si="12"/>
        <v>0</v>
      </c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</row>
    <row r="57" spans="1:53" x14ac:dyDescent="0.25">
      <c r="A57" s="1" t="s">
        <v>100</v>
      </c>
      <c r="B57" s="1" t="s">
        <v>42</v>
      </c>
      <c r="C57" s="1">
        <v>182</v>
      </c>
      <c r="D57" s="1">
        <v>184</v>
      </c>
      <c r="E57" s="1">
        <v>132</v>
      </c>
      <c r="F57" s="1">
        <v>233</v>
      </c>
      <c r="G57" s="8">
        <v>0.1</v>
      </c>
      <c r="H57" s="1">
        <v>730</v>
      </c>
      <c r="I57" s="1" t="s">
        <v>38</v>
      </c>
      <c r="J57" s="1"/>
      <c r="K57" s="1">
        <v>133</v>
      </c>
      <c r="L57" s="1">
        <f t="shared" si="18"/>
        <v>-1</v>
      </c>
      <c r="M57" s="1">
        <f t="shared" si="4"/>
        <v>132</v>
      </c>
      <c r="N57" s="1"/>
      <c r="O57" s="1"/>
      <c r="P57" s="1"/>
      <c r="Q57" s="1">
        <v>61.60000000000008</v>
      </c>
      <c r="R57" s="1">
        <f t="shared" si="5"/>
        <v>26.4</v>
      </c>
      <c r="S57" s="5">
        <f t="shared" ref="S57:S67" si="21">12*R57-Q57-P57-O57-F57</f>
        <v>22.199999999999875</v>
      </c>
      <c r="T57" s="5"/>
      <c r="U57" s="5">
        <f t="shared" si="7"/>
        <v>22.199999999999875</v>
      </c>
      <c r="V57" s="5"/>
      <c r="W57" s="5"/>
      <c r="X57" s="1"/>
      <c r="Y57" s="1"/>
      <c r="Z57" s="1">
        <f t="shared" si="9"/>
        <v>11.999999999999998</v>
      </c>
      <c r="AA57" s="1">
        <f t="shared" si="10"/>
        <v>11.159090909090912</v>
      </c>
      <c r="AB57" s="1">
        <v>29.8</v>
      </c>
      <c r="AC57" s="1">
        <v>28.4</v>
      </c>
      <c r="AD57" s="1">
        <v>28.2</v>
      </c>
      <c r="AE57" s="1">
        <v>27.2</v>
      </c>
      <c r="AF57" s="1">
        <v>32</v>
      </c>
      <c r="AG57" s="1">
        <v>35.799999999999997</v>
      </c>
      <c r="AH57" s="1">
        <v>38.4</v>
      </c>
      <c r="AI57" s="1">
        <v>47.6</v>
      </c>
      <c r="AJ57" s="1"/>
      <c r="AK57" s="1">
        <f t="shared" si="11"/>
        <v>2</v>
      </c>
      <c r="AL57" s="1">
        <f t="shared" si="12"/>
        <v>0</v>
      </c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</row>
    <row r="58" spans="1:53" x14ac:dyDescent="0.25">
      <c r="A58" s="1" t="s">
        <v>101</v>
      </c>
      <c r="B58" s="1" t="s">
        <v>42</v>
      </c>
      <c r="C58" s="1">
        <v>679</v>
      </c>
      <c r="D58" s="1">
        <v>1</v>
      </c>
      <c r="E58" s="1">
        <v>216</v>
      </c>
      <c r="F58" s="1">
        <v>453</v>
      </c>
      <c r="G58" s="8">
        <v>0.4</v>
      </c>
      <c r="H58" s="1">
        <v>50</v>
      </c>
      <c r="I58" s="1" t="s">
        <v>38</v>
      </c>
      <c r="J58" s="1"/>
      <c r="K58" s="1">
        <v>219</v>
      </c>
      <c r="L58" s="1">
        <f t="shared" si="18"/>
        <v>-3</v>
      </c>
      <c r="M58" s="1">
        <f t="shared" si="4"/>
        <v>216</v>
      </c>
      <c r="N58" s="1"/>
      <c r="O58" s="1"/>
      <c r="P58" s="1"/>
      <c r="Q58" s="1">
        <v>0</v>
      </c>
      <c r="R58" s="1">
        <f t="shared" si="5"/>
        <v>43.2</v>
      </c>
      <c r="S58" s="5">
        <f t="shared" si="21"/>
        <v>65.400000000000091</v>
      </c>
      <c r="T58" s="5"/>
      <c r="U58" s="5">
        <f t="shared" si="7"/>
        <v>65.400000000000091</v>
      </c>
      <c r="V58" s="5"/>
      <c r="W58" s="5"/>
      <c r="X58" s="1"/>
      <c r="Y58" s="1"/>
      <c r="Z58" s="1">
        <f t="shared" si="9"/>
        <v>12.000000000000002</v>
      </c>
      <c r="AA58" s="1">
        <f t="shared" si="10"/>
        <v>10.486111111111111</v>
      </c>
      <c r="AB58" s="1">
        <v>47.6</v>
      </c>
      <c r="AC58" s="1">
        <v>49.8</v>
      </c>
      <c r="AD58" s="1">
        <v>43.6</v>
      </c>
      <c r="AE58" s="1">
        <v>48</v>
      </c>
      <c r="AF58" s="1">
        <v>44.8</v>
      </c>
      <c r="AG58" s="1">
        <v>46</v>
      </c>
      <c r="AH58" s="1">
        <v>69.599999999999994</v>
      </c>
      <c r="AI58" s="1">
        <v>108.2</v>
      </c>
      <c r="AJ58" s="22" t="s">
        <v>151</v>
      </c>
      <c r="AK58" s="1">
        <f t="shared" si="11"/>
        <v>26</v>
      </c>
      <c r="AL58" s="1">
        <f t="shared" si="12"/>
        <v>0</v>
      </c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</row>
    <row r="59" spans="1:53" x14ac:dyDescent="0.25">
      <c r="A59" s="1" t="s">
        <v>102</v>
      </c>
      <c r="B59" s="1" t="s">
        <v>37</v>
      </c>
      <c r="C59" s="1">
        <v>0.113</v>
      </c>
      <c r="D59" s="1">
        <v>34.130000000000003</v>
      </c>
      <c r="E59" s="1">
        <v>2.78</v>
      </c>
      <c r="F59" s="1">
        <v>31.463000000000001</v>
      </c>
      <c r="G59" s="8">
        <v>1</v>
      </c>
      <c r="H59" s="1">
        <v>40</v>
      </c>
      <c r="I59" s="1" t="s">
        <v>38</v>
      </c>
      <c r="J59" s="1"/>
      <c r="K59" s="1">
        <v>2.6</v>
      </c>
      <c r="L59" s="1">
        <f t="shared" si="18"/>
        <v>0.17999999999999972</v>
      </c>
      <c r="M59" s="1">
        <f t="shared" si="4"/>
        <v>2.78</v>
      </c>
      <c r="N59" s="1"/>
      <c r="O59" s="1"/>
      <c r="P59" s="1"/>
      <c r="Q59" s="1">
        <v>21.1568</v>
      </c>
      <c r="R59" s="1">
        <f t="shared" si="5"/>
        <v>0.55599999999999994</v>
      </c>
      <c r="S59" s="5"/>
      <c r="T59" s="5"/>
      <c r="U59" s="5">
        <f t="shared" si="7"/>
        <v>0</v>
      </c>
      <c r="V59" s="5"/>
      <c r="W59" s="5"/>
      <c r="X59" s="1"/>
      <c r="Y59" s="1"/>
      <c r="Z59" s="1">
        <f t="shared" si="9"/>
        <v>94.639928057553959</v>
      </c>
      <c r="AA59" s="1">
        <f t="shared" si="10"/>
        <v>94.639928057553959</v>
      </c>
      <c r="AB59" s="1">
        <v>4.5941999999999998</v>
      </c>
      <c r="AC59" s="1">
        <v>4.5941999999999998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 t="s">
        <v>76</v>
      </c>
      <c r="AK59" s="1">
        <f t="shared" si="11"/>
        <v>0</v>
      </c>
      <c r="AL59" s="1">
        <f t="shared" si="12"/>
        <v>0</v>
      </c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</row>
    <row r="60" spans="1:53" x14ac:dyDescent="0.25">
      <c r="A60" s="1" t="s">
        <v>103</v>
      </c>
      <c r="B60" s="1" t="s">
        <v>37</v>
      </c>
      <c r="C60" s="1">
        <v>13.712</v>
      </c>
      <c r="D60" s="1">
        <v>9.4420000000000002</v>
      </c>
      <c r="E60" s="1">
        <v>17.856999999999999</v>
      </c>
      <c r="F60" s="1">
        <v>5.2969999999999997</v>
      </c>
      <c r="G60" s="8">
        <v>1</v>
      </c>
      <c r="H60" s="1">
        <v>40</v>
      </c>
      <c r="I60" s="1" t="s">
        <v>38</v>
      </c>
      <c r="J60" s="1"/>
      <c r="K60" s="1">
        <v>41.7</v>
      </c>
      <c r="L60" s="1">
        <f t="shared" si="18"/>
        <v>-23.843000000000004</v>
      </c>
      <c r="M60" s="1">
        <f t="shared" si="4"/>
        <v>17.856999999999999</v>
      </c>
      <c r="N60" s="1"/>
      <c r="O60" s="1"/>
      <c r="P60" s="1"/>
      <c r="Q60" s="1">
        <v>26.897200000000009</v>
      </c>
      <c r="R60" s="1">
        <f t="shared" si="5"/>
        <v>3.5713999999999997</v>
      </c>
      <c r="S60" s="5">
        <f t="shared" si="21"/>
        <v>10.662599999999983</v>
      </c>
      <c r="T60" s="5"/>
      <c r="U60" s="5">
        <f t="shared" si="7"/>
        <v>10.662599999999983</v>
      </c>
      <c r="V60" s="5"/>
      <c r="W60" s="5"/>
      <c r="X60" s="1"/>
      <c r="Y60" s="1"/>
      <c r="Z60" s="1">
        <f t="shared" si="9"/>
        <v>11.999999999999998</v>
      </c>
      <c r="AA60" s="1">
        <f t="shared" si="10"/>
        <v>9.0144481155849281</v>
      </c>
      <c r="AB60" s="1">
        <v>3.5577999999999999</v>
      </c>
      <c r="AC60" s="1">
        <v>1.915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 t="s">
        <v>76</v>
      </c>
      <c r="AK60" s="1">
        <f t="shared" si="11"/>
        <v>11</v>
      </c>
      <c r="AL60" s="1">
        <f t="shared" si="12"/>
        <v>0</v>
      </c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</row>
    <row r="61" spans="1:53" x14ac:dyDescent="0.25">
      <c r="A61" s="1" t="s">
        <v>104</v>
      </c>
      <c r="B61" s="1" t="s">
        <v>42</v>
      </c>
      <c r="C61" s="1">
        <v>1292</v>
      </c>
      <c r="D61" s="1">
        <v>698</v>
      </c>
      <c r="E61" s="1">
        <v>912</v>
      </c>
      <c r="F61" s="1">
        <v>990</v>
      </c>
      <c r="G61" s="8">
        <v>0.4</v>
      </c>
      <c r="H61" s="1">
        <v>40</v>
      </c>
      <c r="I61" s="1" t="s">
        <v>38</v>
      </c>
      <c r="J61" s="1"/>
      <c r="K61" s="1">
        <v>984</v>
      </c>
      <c r="L61" s="1">
        <f t="shared" si="18"/>
        <v>-72</v>
      </c>
      <c r="M61" s="1">
        <f t="shared" si="4"/>
        <v>852</v>
      </c>
      <c r="N61" s="1">
        <v>60</v>
      </c>
      <c r="O61" s="1"/>
      <c r="P61" s="1"/>
      <c r="Q61" s="1">
        <v>579.40000000000032</v>
      </c>
      <c r="R61" s="1">
        <f t="shared" si="5"/>
        <v>170.4</v>
      </c>
      <c r="S61" s="5">
        <f t="shared" si="21"/>
        <v>475.39999999999986</v>
      </c>
      <c r="T61" s="5"/>
      <c r="U61" s="5">
        <f t="shared" si="7"/>
        <v>475.39999999999986</v>
      </c>
      <c r="V61" s="5"/>
      <c r="W61" s="5"/>
      <c r="X61" s="1"/>
      <c r="Y61" s="1"/>
      <c r="Z61" s="1">
        <f t="shared" si="9"/>
        <v>12</v>
      </c>
      <c r="AA61" s="1">
        <f t="shared" si="10"/>
        <v>9.2100938967136159</v>
      </c>
      <c r="AB61" s="1">
        <v>166.4</v>
      </c>
      <c r="AC61" s="1">
        <v>152.19999999999999</v>
      </c>
      <c r="AD61" s="1">
        <v>171.6</v>
      </c>
      <c r="AE61" s="1">
        <v>188.2</v>
      </c>
      <c r="AF61" s="1">
        <v>195.8</v>
      </c>
      <c r="AG61" s="1">
        <v>238.8</v>
      </c>
      <c r="AH61" s="1">
        <v>242.4</v>
      </c>
      <c r="AI61" s="1">
        <v>215.4</v>
      </c>
      <c r="AJ61" s="1"/>
      <c r="AK61" s="1">
        <f t="shared" si="11"/>
        <v>190</v>
      </c>
      <c r="AL61" s="1">
        <f t="shared" si="12"/>
        <v>0</v>
      </c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</row>
    <row r="62" spans="1:53" x14ac:dyDescent="0.25">
      <c r="A62" s="1" t="s">
        <v>105</v>
      </c>
      <c r="B62" s="1" t="s">
        <v>42</v>
      </c>
      <c r="C62" s="1">
        <v>895.82600000000002</v>
      </c>
      <c r="D62" s="1">
        <v>3282.174</v>
      </c>
      <c r="E62" s="1">
        <v>637</v>
      </c>
      <c r="F62" s="1">
        <v>903</v>
      </c>
      <c r="G62" s="8">
        <v>0.4</v>
      </c>
      <c r="H62" s="1">
        <v>40</v>
      </c>
      <c r="I62" s="1" t="s">
        <v>38</v>
      </c>
      <c r="J62" s="1"/>
      <c r="K62" s="1">
        <v>685</v>
      </c>
      <c r="L62" s="1">
        <f t="shared" si="18"/>
        <v>-48</v>
      </c>
      <c r="M62" s="1">
        <f t="shared" si="4"/>
        <v>595</v>
      </c>
      <c r="N62" s="1">
        <v>42</v>
      </c>
      <c r="O62" s="1"/>
      <c r="P62" s="1"/>
      <c r="Q62" s="1">
        <v>326.52999999999997</v>
      </c>
      <c r="R62" s="1">
        <f t="shared" si="5"/>
        <v>119</v>
      </c>
      <c r="S62" s="5">
        <f t="shared" si="21"/>
        <v>198.47000000000003</v>
      </c>
      <c r="T62" s="5"/>
      <c r="U62" s="5">
        <f t="shared" si="7"/>
        <v>198.47000000000003</v>
      </c>
      <c r="V62" s="5"/>
      <c r="W62" s="5"/>
      <c r="X62" s="1"/>
      <c r="Y62" s="1"/>
      <c r="Z62" s="1">
        <f t="shared" si="9"/>
        <v>12</v>
      </c>
      <c r="AA62" s="1">
        <f t="shared" si="10"/>
        <v>10.332184873949579</v>
      </c>
      <c r="AB62" s="1">
        <v>128</v>
      </c>
      <c r="AC62" s="1">
        <v>123.4</v>
      </c>
      <c r="AD62" s="1">
        <v>131</v>
      </c>
      <c r="AE62" s="1">
        <v>142.63480000000001</v>
      </c>
      <c r="AF62" s="1">
        <v>145.03479999999999</v>
      </c>
      <c r="AG62" s="1">
        <v>179.8</v>
      </c>
      <c r="AH62" s="1">
        <v>177.8</v>
      </c>
      <c r="AI62" s="1">
        <v>143.80000000000001</v>
      </c>
      <c r="AJ62" s="1"/>
      <c r="AK62" s="1">
        <f t="shared" si="11"/>
        <v>79</v>
      </c>
      <c r="AL62" s="1">
        <f t="shared" si="12"/>
        <v>0</v>
      </c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</row>
    <row r="63" spans="1:53" x14ac:dyDescent="0.25">
      <c r="A63" s="1" t="s">
        <v>106</v>
      </c>
      <c r="B63" s="1" t="s">
        <v>37</v>
      </c>
      <c r="C63" s="1">
        <v>483.59899999999999</v>
      </c>
      <c r="D63" s="1">
        <v>1147.779</v>
      </c>
      <c r="E63" s="1">
        <v>546.15800000000002</v>
      </c>
      <c r="F63" s="1">
        <v>984.81</v>
      </c>
      <c r="G63" s="8">
        <v>1</v>
      </c>
      <c r="H63" s="1">
        <v>40</v>
      </c>
      <c r="I63" s="1" t="s">
        <v>38</v>
      </c>
      <c r="J63" s="1"/>
      <c r="K63" s="1">
        <v>596.09100000000001</v>
      </c>
      <c r="L63" s="1">
        <f t="shared" si="18"/>
        <v>-49.932999999999993</v>
      </c>
      <c r="M63" s="1">
        <f t="shared" si="4"/>
        <v>546.15800000000002</v>
      </c>
      <c r="N63" s="1"/>
      <c r="O63" s="1"/>
      <c r="P63" s="1"/>
      <c r="Q63" s="1">
        <v>208.80948000000029</v>
      </c>
      <c r="R63" s="1">
        <f t="shared" si="5"/>
        <v>109.2316</v>
      </c>
      <c r="S63" s="5">
        <f t="shared" si="21"/>
        <v>117.15971999999965</v>
      </c>
      <c r="T63" s="5"/>
      <c r="U63" s="5">
        <f t="shared" si="7"/>
        <v>117.15971999999965</v>
      </c>
      <c r="V63" s="5"/>
      <c r="W63" s="5"/>
      <c r="X63" s="1"/>
      <c r="Y63" s="1"/>
      <c r="Z63" s="1">
        <f t="shared" si="9"/>
        <v>12</v>
      </c>
      <c r="AA63" s="1">
        <f t="shared" si="10"/>
        <v>10.927419171741514</v>
      </c>
      <c r="AB63" s="1">
        <v>119.00839999999999</v>
      </c>
      <c r="AC63" s="1">
        <v>124.14919999999999</v>
      </c>
      <c r="AD63" s="1">
        <v>123.72539999999999</v>
      </c>
      <c r="AE63" s="1">
        <v>93.688400000000001</v>
      </c>
      <c r="AF63" s="1">
        <v>89.386400000000009</v>
      </c>
      <c r="AG63" s="1">
        <v>100.46080000000001</v>
      </c>
      <c r="AH63" s="1">
        <v>88.607600000000005</v>
      </c>
      <c r="AI63" s="1">
        <v>78.955999999999989</v>
      </c>
      <c r="AJ63" s="1"/>
      <c r="AK63" s="1">
        <f t="shared" si="11"/>
        <v>117</v>
      </c>
      <c r="AL63" s="1">
        <f t="shared" si="12"/>
        <v>0</v>
      </c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</row>
    <row r="64" spans="1:53" x14ac:dyDescent="0.25">
      <c r="A64" s="1" t="s">
        <v>107</v>
      </c>
      <c r="B64" s="1" t="s">
        <v>37</v>
      </c>
      <c r="C64" s="1">
        <v>488.23</v>
      </c>
      <c r="D64" s="1">
        <v>321.16500000000002</v>
      </c>
      <c r="E64" s="1">
        <v>407.52</v>
      </c>
      <c r="F64" s="1">
        <v>306.30799999999999</v>
      </c>
      <c r="G64" s="8">
        <v>1</v>
      </c>
      <c r="H64" s="1">
        <v>40</v>
      </c>
      <c r="I64" s="1" t="s">
        <v>38</v>
      </c>
      <c r="J64" s="1"/>
      <c r="K64" s="1">
        <v>463.22399999999999</v>
      </c>
      <c r="L64" s="1">
        <f t="shared" si="18"/>
        <v>-55.704000000000008</v>
      </c>
      <c r="M64" s="1">
        <f t="shared" si="4"/>
        <v>320.89599999999996</v>
      </c>
      <c r="N64" s="1">
        <v>86.623999999999995</v>
      </c>
      <c r="O64" s="1"/>
      <c r="P64" s="1"/>
      <c r="Q64" s="1">
        <v>384.01439999999991</v>
      </c>
      <c r="R64" s="1">
        <f t="shared" si="5"/>
        <v>64.179199999999994</v>
      </c>
      <c r="S64" s="5">
        <f t="shared" si="21"/>
        <v>79.828000000000088</v>
      </c>
      <c r="T64" s="5"/>
      <c r="U64" s="5">
        <f t="shared" si="7"/>
        <v>79.828000000000088</v>
      </c>
      <c r="V64" s="5"/>
      <c r="W64" s="5"/>
      <c r="X64" s="1"/>
      <c r="Y64" s="1"/>
      <c r="Z64" s="1">
        <f t="shared" si="9"/>
        <v>12</v>
      </c>
      <c r="AA64" s="1">
        <f t="shared" si="10"/>
        <v>10.75617022337455</v>
      </c>
      <c r="AB64" s="1">
        <v>71.641400000000004</v>
      </c>
      <c r="AC64" s="1">
        <v>56.857999999999997</v>
      </c>
      <c r="AD64" s="1">
        <v>49.734999999999992</v>
      </c>
      <c r="AE64" s="1">
        <v>71.4358</v>
      </c>
      <c r="AF64" s="1">
        <v>77.775800000000004</v>
      </c>
      <c r="AG64" s="1">
        <v>63.6158</v>
      </c>
      <c r="AH64" s="1">
        <v>56.055999999999997</v>
      </c>
      <c r="AI64" s="1">
        <v>56.833000000000013</v>
      </c>
      <c r="AJ64" s="1"/>
      <c r="AK64" s="1">
        <f t="shared" si="11"/>
        <v>80</v>
      </c>
      <c r="AL64" s="1">
        <f t="shared" si="12"/>
        <v>0</v>
      </c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</row>
    <row r="65" spans="1:53" x14ac:dyDescent="0.25">
      <c r="A65" s="1" t="s">
        <v>108</v>
      </c>
      <c r="B65" s="1" t="s">
        <v>37</v>
      </c>
      <c r="C65" s="1">
        <v>367.113</v>
      </c>
      <c r="D65" s="1">
        <v>499.94099999999997</v>
      </c>
      <c r="E65" s="1">
        <v>471.74</v>
      </c>
      <c r="F65" s="1">
        <v>340.08499999999998</v>
      </c>
      <c r="G65" s="8">
        <v>1</v>
      </c>
      <c r="H65" s="1">
        <v>40</v>
      </c>
      <c r="I65" s="1" t="s">
        <v>38</v>
      </c>
      <c r="J65" s="1"/>
      <c r="K65" s="1">
        <v>482.19200000000001</v>
      </c>
      <c r="L65" s="1">
        <f t="shared" si="18"/>
        <v>-10.451999999999998</v>
      </c>
      <c r="M65" s="1">
        <f t="shared" si="4"/>
        <v>411.94799999999998</v>
      </c>
      <c r="N65" s="1">
        <v>59.792000000000002</v>
      </c>
      <c r="O65" s="1"/>
      <c r="P65" s="1"/>
      <c r="Q65" s="1">
        <v>456.06759999999991</v>
      </c>
      <c r="R65" s="1">
        <f t="shared" si="5"/>
        <v>82.389600000000002</v>
      </c>
      <c r="S65" s="5">
        <f t="shared" si="21"/>
        <v>192.52260000000007</v>
      </c>
      <c r="T65" s="5"/>
      <c r="U65" s="5">
        <f t="shared" si="7"/>
        <v>192.52260000000007</v>
      </c>
      <c r="V65" s="5"/>
      <c r="W65" s="5"/>
      <c r="X65" s="1"/>
      <c r="Y65" s="1"/>
      <c r="Z65" s="1">
        <f t="shared" si="9"/>
        <v>11.999999999999998</v>
      </c>
      <c r="AA65" s="1">
        <f t="shared" si="10"/>
        <v>9.6632657519881135</v>
      </c>
      <c r="AB65" s="1">
        <v>84.775400000000005</v>
      </c>
      <c r="AC65" s="1">
        <v>64.633200000000002</v>
      </c>
      <c r="AD65" s="1">
        <v>58.523600000000009</v>
      </c>
      <c r="AE65" s="1">
        <v>61.6004</v>
      </c>
      <c r="AF65" s="1">
        <v>86.486800000000002</v>
      </c>
      <c r="AG65" s="1">
        <v>75.385400000000004</v>
      </c>
      <c r="AH65" s="1">
        <v>68.265599999999992</v>
      </c>
      <c r="AI65" s="1">
        <v>67.854399999999998</v>
      </c>
      <c r="AJ65" s="1"/>
      <c r="AK65" s="1">
        <f t="shared" si="11"/>
        <v>193</v>
      </c>
      <c r="AL65" s="1">
        <f t="shared" si="12"/>
        <v>0</v>
      </c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</row>
    <row r="66" spans="1:53" x14ac:dyDescent="0.25">
      <c r="A66" s="1" t="s">
        <v>109</v>
      </c>
      <c r="B66" s="1" t="s">
        <v>37</v>
      </c>
      <c r="C66" s="1">
        <v>117.65900000000001</v>
      </c>
      <c r="D66" s="1">
        <v>74.963999999999999</v>
      </c>
      <c r="E66" s="1">
        <v>100.131</v>
      </c>
      <c r="F66" s="1">
        <v>83.843999999999994</v>
      </c>
      <c r="G66" s="8">
        <v>1</v>
      </c>
      <c r="H66" s="1">
        <v>30</v>
      </c>
      <c r="I66" s="1" t="s">
        <v>38</v>
      </c>
      <c r="J66" s="1"/>
      <c r="K66" s="1">
        <v>107.184</v>
      </c>
      <c r="L66" s="1">
        <f t="shared" si="18"/>
        <v>-7.0529999999999973</v>
      </c>
      <c r="M66" s="1">
        <f t="shared" si="4"/>
        <v>100.131</v>
      </c>
      <c r="N66" s="1"/>
      <c r="O66" s="1"/>
      <c r="P66" s="1"/>
      <c r="Q66" s="1">
        <v>41.374399999999937</v>
      </c>
      <c r="R66" s="1">
        <f t="shared" si="5"/>
        <v>20.026199999999999</v>
      </c>
      <c r="S66" s="5">
        <f t="shared" si="21"/>
        <v>115.09600000000006</v>
      </c>
      <c r="T66" s="5"/>
      <c r="U66" s="5">
        <f t="shared" si="7"/>
        <v>115.09600000000006</v>
      </c>
      <c r="V66" s="5"/>
      <c r="W66" s="5"/>
      <c r="X66" s="1"/>
      <c r="Y66" s="1"/>
      <c r="Z66" s="1">
        <f t="shared" si="9"/>
        <v>12</v>
      </c>
      <c r="AA66" s="1">
        <f t="shared" si="10"/>
        <v>6.2527289251081051</v>
      </c>
      <c r="AB66" s="1">
        <v>14.9964</v>
      </c>
      <c r="AC66" s="1">
        <v>13.8574</v>
      </c>
      <c r="AD66" s="1">
        <v>14.3558</v>
      </c>
      <c r="AE66" s="1">
        <v>14.6686</v>
      </c>
      <c r="AF66" s="1">
        <v>19.778400000000001</v>
      </c>
      <c r="AG66" s="1">
        <v>21.453800000000001</v>
      </c>
      <c r="AH66" s="1">
        <v>21.562000000000001</v>
      </c>
      <c r="AI66" s="1">
        <v>22.267399999999999</v>
      </c>
      <c r="AJ66" s="1" t="s">
        <v>74</v>
      </c>
      <c r="AK66" s="1">
        <f t="shared" si="11"/>
        <v>115</v>
      </c>
      <c r="AL66" s="1">
        <f t="shared" si="12"/>
        <v>0</v>
      </c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</row>
    <row r="67" spans="1:53" x14ac:dyDescent="0.25">
      <c r="A67" s="1" t="s">
        <v>110</v>
      </c>
      <c r="B67" s="1" t="s">
        <v>42</v>
      </c>
      <c r="C67" s="1">
        <v>149</v>
      </c>
      <c r="D67" s="1">
        <v>18</v>
      </c>
      <c r="E67" s="1">
        <v>76</v>
      </c>
      <c r="F67" s="1">
        <v>91</v>
      </c>
      <c r="G67" s="8">
        <v>0.6</v>
      </c>
      <c r="H67" s="1">
        <v>60</v>
      </c>
      <c r="I67" s="1" t="s">
        <v>38</v>
      </c>
      <c r="J67" s="1"/>
      <c r="K67" s="1">
        <v>76</v>
      </c>
      <c r="L67" s="1">
        <f t="shared" si="18"/>
        <v>0</v>
      </c>
      <c r="M67" s="1">
        <f t="shared" si="4"/>
        <v>76</v>
      </c>
      <c r="N67" s="1"/>
      <c r="O67" s="1"/>
      <c r="P67" s="1"/>
      <c r="Q67" s="1">
        <v>17.800000000000011</v>
      </c>
      <c r="R67" s="1">
        <f t="shared" si="5"/>
        <v>15.2</v>
      </c>
      <c r="S67" s="5">
        <f t="shared" si="21"/>
        <v>73.599999999999966</v>
      </c>
      <c r="T67" s="5"/>
      <c r="U67" s="5">
        <f t="shared" si="7"/>
        <v>73.599999999999966</v>
      </c>
      <c r="V67" s="5"/>
      <c r="W67" s="5"/>
      <c r="X67" s="1"/>
      <c r="Y67" s="1"/>
      <c r="Z67" s="1">
        <f t="shared" si="9"/>
        <v>11.999999999999998</v>
      </c>
      <c r="AA67" s="1">
        <f t="shared" si="10"/>
        <v>7.1578947368421062</v>
      </c>
      <c r="AB67" s="1">
        <v>15</v>
      </c>
      <c r="AC67" s="1">
        <v>12.6</v>
      </c>
      <c r="AD67" s="1">
        <v>11.8</v>
      </c>
      <c r="AE67" s="1">
        <v>13.6</v>
      </c>
      <c r="AF67" s="1">
        <v>18.8</v>
      </c>
      <c r="AG67" s="1">
        <v>24</v>
      </c>
      <c r="AH67" s="1">
        <v>20.399999999999999</v>
      </c>
      <c r="AI67" s="1">
        <v>20.2</v>
      </c>
      <c r="AJ67" s="1" t="s">
        <v>111</v>
      </c>
      <c r="AK67" s="1">
        <f t="shared" si="11"/>
        <v>44</v>
      </c>
      <c r="AL67" s="1">
        <f t="shared" si="12"/>
        <v>0</v>
      </c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</row>
    <row r="68" spans="1:53" x14ac:dyDescent="0.25">
      <c r="A68" s="13" t="s">
        <v>112</v>
      </c>
      <c r="B68" s="14" t="s">
        <v>42</v>
      </c>
      <c r="C68" s="14">
        <v>113</v>
      </c>
      <c r="D68" s="14">
        <v>8</v>
      </c>
      <c r="E68" s="14">
        <v>80</v>
      </c>
      <c r="F68" s="14">
        <v>40</v>
      </c>
      <c r="G68" s="15">
        <v>0</v>
      </c>
      <c r="H68" s="14">
        <v>50</v>
      </c>
      <c r="I68" s="14" t="s">
        <v>113</v>
      </c>
      <c r="J68" s="14"/>
      <c r="K68" s="14">
        <v>81</v>
      </c>
      <c r="L68" s="14">
        <f t="shared" si="18"/>
        <v>-1</v>
      </c>
      <c r="M68" s="14">
        <f t="shared" si="4"/>
        <v>80</v>
      </c>
      <c r="N68" s="14"/>
      <c r="O68" s="14"/>
      <c r="P68" s="14"/>
      <c r="Q68" s="14">
        <v>0</v>
      </c>
      <c r="R68" s="14">
        <f t="shared" si="5"/>
        <v>16</v>
      </c>
      <c r="S68" s="16"/>
      <c r="T68" s="16"/>
      <c r="U68" s="5">
        <f t="shared" si="7"/>
        <v>0</v>
      </c>
      <c r="V68" s="5"/>
      <c r="W68" s="16"/>
      <c r="X68" s="14"/>
      <c r="Y68" s="14"/>
      <c r="Z68" s="1">
        <f t="shared" si="9"/>
        <v>2.5</v>
      </c>
      <c r="AA68" s="14">
        <f t="shared" si="10"/>
        <v>2.5</v>
      </c>
      <c r="AB68" s="14">
        <v>15.8</v>
      </c>
      <c r="AC68" s="14">
        <v>16.600000000000001</v>
      </c>
      <c r="AD68" s="14">
        <v>19.399999999999999</v>
      </c>
      <c r="AE68" s="14">
        <v>18.8</v>
      </c>
      <c r="AF68" s="14">
        <v>20</v>
      </c>
      <c r="AG68" s="14">
        <v>25.2</v>
      </c>
      <c r="AH68" s="14">
        <v>27.6</v>
      </c>
      <c r="AI68" s="14">
        <v>24.6</v>
      </c>
      <c r="AJ68" s="14"/>
      <c r="AK68" s="1">
        <f t="shared" si="11"/>
        <v>0</v>
      </c>
      <c r="AL68" s="1">
        <f t="shared" si="12"/>
        <v>0</v>
      </c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</row>
    <row r="69" spans="1:53" x14ac:dyDescent="0.25">
      <c r="A69" s="1" t="s">
        <v>114</v>
      </c>
      <c r="B69" s="1" t="s">
        <v>42</v>
      </c>
      <c r="C69" s="1">
        <v>538</v>
      </c>
      <c r="D69" s="1">
        <v>1170</v>
      </c>
      <c r="E69" s="1">
        <v>484</v>
      </c>
      <c r="F69" s="1">
        <v>1219</v>
      </c>
      <c r="G69" s="8">
        <v>0.37</v>
      </c>
      <c r="H69" s="1">
        <v>50</v>
      </c>
      <c r="I69" s="1" t="s">
        <v>38</v>
      </c>
      <c r="J69" s="1"/>
      <c r="K69" s="1">
        <v>484</v>
      </c>
      <c r="L69" s="1">
        <f t="shared" si="18"/>
        <v>0</v>
      </c>
      <c r="M69" s="1">
        <f t="shared" si="4"/>
        <v>484</v>
      </c>
      <c r="N69" s="1"/>
      <c r="O69" s="1"/>
      <c r="P69" s="1">
        <v>159.75</v>
      </c>
      <c r="Q69" s="1">
        <v>0</v>
      </c>
      <c r="R69" s="1">
        <f t="shared" si="5"/>
        <v>96.8</v>
      </c>
      <c r="S69" s="5"/>
      <c r="T69" s="5"/>
      <c r="U69" s="5">
        <f t="shared" si="7"/>
        <v>0</v>
      </c>
      <c r="V69" s="5"/>
      <c r="W69" s="5"/>
      <c r="X69" s="1"/>
      <c r="Y69" s="1"/>
      <c r="Z69" s="1">
        <f t="shared" si="9"/>
        <v>14.243285123966942</v>
      </c>
      <c r="AA69" s="1">
        <f t="shared" si="10"/>
        <v>14.243285123966942</v>
      </c>
      <c r="AB69" s="1">
        <v>114.6</v>
      </c>
      <c r="AC69" s="1">
        <v>127.8</v>
      </c>
      <c r="AD69" s="1">
        <v>122.4</v>
      </c>
      <c r="AE69" s="1">
        <v>96.8</v>
      </c>
      <c r="AF69" s="1">
        <v>80.400000000000006</v>
      </c>
      <c r="AG69" s="1">
        <v>77.400000000000006</v>
      </c>
      <c r="AH69" s="1">
        <v>76.400000000000006</v>
      </c>
      <c r="AI69" s="1">
        <v>79.599999999999994</v>
      </c>
      <c r="AJ69" s="1"/>
      <c r="AK69" s="1">
        <f t="shared" si="11"/>
        <v>0</v>
      </c>
      <c r="AL69" s="1">
        <f t="shared" si="12"/>
        <v>0</v>
      </c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</row>
    <row r="70" spans="1:53" x14ac:dyDescent="0.25">
      <c r="A70" s="1" t="s">
        <v>115</v>
      </c>
      <c r="B70" s="1" t="s">
        <v>42</v>
      </c>
      <c r="C70" s="1">
        <v>98</v>
      </c>
      <c r="D70" s="1"/>
      <c r="E70" s="1">
        <v>24</v>
      </c>
      <c r="F70" s="1">
        <v>71</v>
      </c>
      <c r="G70" s="8">
        <v>0.4</v>
      </c>
      <c r="H70" s="1">
        <v>30</v>
      </c>
      <c r="I70" s="1" t="s">
        <v>38</v>
      </c>
      <c r="J70" s="1"/>
      <c r="K70" s="1">
        <v>27</v>
      </c>
      <c r="L70" s="1">
        <f t="shared" ref="L70:L97" si="22">E70-K70</f>
        <v>-3</v>
      </c>
      <c r="M70" s="1">
        <f t="shared" si="4"/>
        <v>24</v>
      </c>
      <c r="N70" s="1"/>
      <c r="O70" s="1"/>
      <c r="P70" s="1"/>
      <c r="Q70" s="1">
        <v>0</v>
      </c>
      <c r="R70" s="1">
        <f t="shared" si="5"/>
        <v>4.8</v>
      </c>
      <c r="S70" s="5"/>
      <c r="T70" s="5"/>
      <c r="U70" s="5">
        <f t="shared" si="7"/>
        <v>0</v>
      </c>
      <c r="V70" s="5"/>
      <c r="W70" s="5"/>
      <c r="X70" s="1"/>
      <c r="Y70" s="1"/>
      <c r="Z70" s="1">
        <f t="shared" si="9"/>
        <v>14.791666666666668</v>
      </c>
      <c r="AA70" s="1">
        <f t="shared" si="10"/>
        <v>14.791666666666668</v>
      </c>
      <c r="AB70" s="1">
        <v>4</v>
      </c>
      <c r="AC70" s="1">
        <v>5.8</v>
      </c>
      <c r="AD70" s="1">
        <v>7</v>
      </c>
      <c r="AE70" s="1">
        <v>10.8</v>
      </c>
      <c r="AF70" s="1">
        <v>11</v>
      </c>
      <c r="AG70" s="1">
        <v>4</v>
      </c>
      <c r="AH70" s="1">
        <v>3.8</v>
      </c>
      <c r="AI70" s="1">
        <v>10.4</v>
      </c>
      <c r="AJ70" s="21" t="s">
        <v>116</v>
      </c>
      <c r="AK70" s="1">
        <f t="shared" si="11"/>
        <v>0</v>
      </c>
      <c r="AL70" s="1">
        <f t="shared" si="12"/>
        <v>0</v>
      </c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</row>
    <row r="71" spans="1:53" x14ac:dyDescent="0.25">
      <c r="A71" s="1" t="s">
        <v>117</v>
      </c>
      <c r="B71" s="1" t="s">
        <v>42</v>
      </c>
      <c r="C71" s="1">
        <v>140</v>
      </c>
      <c r="D71" s="1">
        <v>3</v>
      </c>
      <c r="E71" s="1">
        <v>51</v>
      </c>
      <c r="F71" s="1">
        <v>92</v>
      </c>
      <c r="G71" s="8">
        <v>0.6</v>
      </c>
      <c r="H71" s="1">
        <v>55</v>
      </c>
      <c r="I71" s="1" t="s">
        <v>38</v>
      </c>
      <c r="J71" s="1"/>
      <c r="K71" s="1">
        <v>51</v>
      </c>
      <c r="L71" s="1">
        <f t="shared" si="22"/>
        <v>0</v>
      </c>
      <c r="M71" s="1">
        <f t="shared" ref="M71:M97" si="23">E71-N71</f>
        <v>51</v>
      </c>
      <c r="N71" s="1"/>
      <c r="O71" s="1"/>
      <c r="P71" s="1"/>
      <c r="Q71" s="1">
        <v>0</v>
      </c>
      <c r="R71" s="1">
        <f t="shared" ref="R71:R97" si="24">M71/5</f>
        <v>10.199999999999999</v>
      </c>
      <c r="S71" s="5">
        <f t="shared" ref="S71:S86" si="25">12*R71-Q71-P71-O71-F71</f>
        <v>30.399999999999991</v>
      </c>
      <c r="T71" s="5"/>
      <c r="U71" s="5">
        <f t="shared" ref="U71:U97" si="26">T71+S71</f>
        <v>30.399999999999991</v>
      </c>
      <c r="V71" s="5"/>
      <c r="W71" s="5"/>
      <c r="X71" s="1"/>
      <c r="Y71" s="1"/>
      <c r="Z71" s="1">
        <f t="shared" ref="Z71:Z97" si="27">(F71+O71+P71+Q71+U71+V71)/R71</f>
        <v>12</v>
      </c>
      <c r="AA71" s="1">
        <f t="shared" ref="AA71:AA97" si="28">(F71+O71+P71+Q71)/R71</f>
        <v>9.0196078431372548</v>
      </c>
      <c r="AB71" s="1">
        <v>9.6</v>
      </c>
      <c r="AC71" s="1">
        <v>7.4</v>
      </c>
      <c r="AD71" s="1">
        <v>13.6</v>
      </c>
      <c r="AE71" s="1">
        <v>15.2</v>
      </c>
      <c r="AF71" s="1">
        <v>17.2</v>
      </c>
      <c r="AG71" s="1">
        <v>19.8</v>
      </c>
      <c r="AH71" s="1">
        <v>22.2</v>
      </c>
      <c r="AI71" s="1">
        <v>23.462399999999999</v>
      </c>
      <c r="AJ71" s="10" t="s">
        <v>74</v>
      </c>
      <c r="AK71" s="1">
        <f t="shared" ref="AK71:AL97" si="29">ROUND(G71*U71,0)</f>
        <v>18</v>
      </c>
      <c r="AL71" s="1">
        <f t="shared" ref="AL71:AL97" si="30">ROUND(G71*V71,0)</f>
        <v>0</v>
      </c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</row>
    <row r="72" spans="1:53" x14ac:dyDescent="0.25">
      <c r="A72" s="12" t="s">
        <v>118</v>
      </c>
      <c r="B72" s="1" t="s">
        <v>42</v>
      </c>
      <c r="C72" s="1">
        <v>60</v>
      </c>
      <c r="D72" s="1">
        <v>12</v>
      </c>
      <c r="E72" s="1">
        <v>34</v>
      </c>
      <c r="F72" s="1">
        <v>34</v>
      </c>
      <c r="G72" s="8">
        <v>0.45</v>
      </c>
      <c r="H72" s="1">
        <v>40</v>
      </c>
      <c r="I72" s="1" t="s">
        <v>38</v>
      </c>
      <c r="J72" s="1"/>
      <c r="K72" s="1">
        <v>36</v>
      </c>
      <c r="L72" s="1">
        <f t="shared" si="22"/>
        <v>-2</v>
      </c>
      <c r="M72" s="1">
        <f t="shared" si="23"/>
        <v>34</v>
      </c>
      <c r="N72" s="1"/>
      <c r="O72" s="1"/>
      <c r="P72" s="1"/>
      <c r="Q72" s="12"/>
      <c r="R72" s="1">
        <f t="shared" si="24"/>
        <v>6.8</v>
      </c>
      <c r="S72" s="20">
        <v>10</v>
      </c>
      <c r="T72" s="20"/>
      <c r="U72" s="5">
        <f t="shared" si="26"/>
        <v>10</v>
      </c>
      <c r="V72" s="5"/>
      <c r="W72" s="5"/>
      <c r="X72" s="1"/>
      <c r="Y72" s="1"/>
      <c r="Z72" s="1">
        <f t="shared" si="27"/>
        <v>6.4705882352941178</v>
      </c>
      <c r="AA72" s="1">
        <f t="shared" si="28"/>
        <v>5</v>
      </c>
      <c r="AB72" s="1">
        <v>5.6</v>
      </c>
      <c r="AC72" s="1">
        <v>6.4</v>
      </c>
      <c r="AD72" s="1">
        <v>8.1999999999999993</v>
      </c>
      <c r="AE72" s="1">
        <v>7.8</v>
      </c>
      <c r="AF72" s="1">
        <v>6.6</v>
      </c>
      <c r="AG72" s="1">
        <v>7</v>
      </c>
      <c r="AH72" s="1">
        <v>10.8</v>
      </c>
      <c r="AI72" s="1">
        <v>10.4</v>
      </c>
      <c r="AJ72" s="12" t="s">
        <v>119</v>
      </c>
      <c r="AK72" s="1">
        <f t="shared" si="29"/>
        <v>5</v>
      </c>
      <c r="AL72" s="1">
        <f t="shared" si="30"/>
        <v>0</v>
      </c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</row>
    <row r="73" spans="1:53" x14ac:dyDescent="0.25">
      <c r="A73" s="1" t="s">
        <v>120</v>
      </c>
      <c r="B73" s="1" t="s">
        <v>42</v>
      </c>
      <c r="C73" s="1">
        <v>355</v>
      </c>
      <c r="D73" s="1">
        <v>428</v>
      </c>
      <c r="E73" s="1">
        <v>205</v>
      </c>
      <c r="F73" s="1">
        <v>576</v>
      </c>
      <c r="G73" s="8">
        <v>0.4</v>
      </c>
      <c r="H73" s="1">
        <v>50</v>
      </c>
      <c r="I73" s="1" t="s">
        <v>38</v>
      </c>
      <c r="J73" s="1"/>
      <c r="K73" s="1">
        <v>206</v>
      </c>
      <c r="L73" s="1">
        <f t="shared" si="22"/>
        <v>-1</v>
      </c>
      <c r="M73" s="1">
        <f t="shared" si="23"/>
        <v>205</v>
      </c>
      <c r="N73" s="1"/>
      <c r="O73" s="1"/>
      <c r="P73" s="1">
        <v>70.25</v>
      </c>
      <c r="Q73" s="1">
        <v>0</v>
      </c>
      <c r="R73" s="1">
        <f t="shared" si="24"/>
        <v>41</v>
      </c>
      <c r="S73" s="5"/>
      <c r="T73" s="5"/>
      <c r="U73" s="5">
        <f t="shared" si="26"/>
        <v>0</v>
      </c>
      <c r="V73" s="5"/>
      <c r="W73" s="5"/>
      <c r="X73" s="1"/>
      <c r="Y73" s="1"/>
      <c r="Z73" s="1">
        <f t="shared" si="27"/>
        <v>15.762195121951219</v>
      </c>
      <c r="AA73" s="1">
        <f t="shared" si="28"/>
        <v>15.762195121951219</v>
      </c>
      <c r="AB73" s="1">
        <v>47.4</v>
      </c>
      <c r="AC73" s="1">
        <v>56.2</v>
      </c>
      <c r="AD73" s="1">
        <v>62.8</v>
      </c>
      <c r="AE73" s="1">
        <v>55.2</v>
      </c>
      <c r="AF73" s="1">
        <v>43.6</v>
      </c>
      <c r="AG73" s="1">
        <v>47.8</v>
      </c>
      <c r="AH73" s="1">
        <v>57.8</v>
      </c>
      <c r="AI73" s="1">
        <v>69.2</v>
      </c>
      <c r="AJ73" s="1" t="s">
        <v>74</v>
      </c>
      <c r="AK73" s="1">
        <f t="shared" si="29"/>
        <v>0</v>
      </c>
      <c r="AL73" s="1">
        <f t="shared" si="30"/>
        <v>0</v>
      </c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</row>
    <row r="74" spans="1:53" x14ac:dyDescent="0.25">
      <c r="A74" s="1" t="s">
        <v>121</v>
      </c>
      <c r="B74" s="1" t="s">
        <v>42</v>
      </c>
      <c r="C74" s="1">
        <v>33</v>
      </c>
      <c r="D74" s="1">
        <v>40</v>
      </c>
      <c r="E74" s="1">
        <v>39</v>
      </c>
      <c r="F74" s="1">
        <v>32</v>
      </c>
      <c r="G74" s="8">
        <v>0.4</v>
      </c>
      <c r="H74" s="1">
        <v>55</v>
      </c>
      <c r="I74" s="1" t="s">
        <v>38</v>
      </c>
      <c r="J74" s="1"/>
      <c r="K74" s="1">
        <v>39</v>
      </c>
      <c r="L74" s="1">
        <f t="shared" si="22"/>
        <v>0</v>
      </c>
      <c r="M74" s="1">
        <f t="shared" si="23"/>
        <v>39</v>
      </c>
      <c r="N74" s="1"/>
      <c r="O74" s="1"/>
      <c r="P74" s="1"/>
      <c r="Q74" s="1">
        <v>59.800000000000011</v>
      </c>
      <c r="R74" s="1">
        <f t="shared" si="24"/>
        <v>7.8</v>
      </c>
      <c r="S74" s="5"/>
      <c r="T74" s="5"/>
      <c r="U74" s="5">
        <f t="shared" si="26"/>
        <v>0</v>
      </c>
      <c r="V74" s="5"/>
      <c r="W74" s="5"/>
      <c r="X74" s="1"/>
      <c r="Y74" s="1"/>
      <c r="Z74" s="1">
        <f t="shared" si="27"/>
        <v>11.769230769230772</v>
      </c>
      <c r="AA74" s="1">
        <f t="shared" si="28"/>
        <v>11.769230769230772</v>
      </c>
      <c r="AB74" s="1">
        <v>9.8000000000000007</v>
      </c>
      <c r="AC74" s="1">
        <v>7.2</v>
      </c>
      <c r="AD74" s="1">
        <v>2.4</v>
      </c>
      <c r="AE74" s="1">
        <v>3.6</v>
      </c>
      <c r="AF74" s="1">
        <v>5.4</v>
      </c>
      <c r="AG74" s="1">
        <v>6.8</v>
      </c>
      <c r="AH74" s="1">
        <v>5.6</v>
      </c>
      <c r="AI74" s="1">
        <v>6.6</v>
      </c>
      <c r="AJ74" s="1"/>
      <c r="AK74" s="1">
        <f t="shared" si="29"/>
        <v>0</v>
      </c>
      <c r="AL74" s="1">
        <f t="shared" si="30"/>
        <v>0</v>
      </c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</row>
    <row r="75" spans="1:53" x14ac:dyDescent="0.25">
      <c r="A75" s="1" t="s">
        <v>122</v>
      </c>
      <c r="B75" s="1" t="s">
        <v>37</v>
      </c>
      <c r="C75" s="1">
        <v>80.516000000000005</v>
      </c>
      <c r="D75" s="1">
        <v>888.01900000000001</v>
      </c>
      <c r="E75" s="1">
        <v>311.28500000000003</v>
      </c>
      <c r="F75" s="1">
        <v>652.87800000000004</v>
      </c>
      <c r="G75" s="8">
        <v>1</v>
      </c>
      <c r="H75" s="1">
        <v>55</v>
      </c>
      <c r="I75" s="12" t="s">
        <v>123</v>
      </c>
      <c r="J75" s="1"/>
      <c r="K75" s="1">
        <v>377.5</v>
      </c>
      <c r="L75" s="1">
        <f t="shared" si="22"/>
        <v>-66.214999999999975</v>
      </c>
      <c r="M75" s="1">
        <f t="shared" si="23"/>
        <v>311.28500000000003</v>
      </c>
      <c r="N75" s="1"/>
      <c r="O75" s="1"/>
      <c r="P75" s="1"/>
      <c r="Q75" s="1">
        <v>0</v>
      </c>
      <c r="R75" s="1">
        <f t="shared" si="24"/>
        <v>62.257000000000005</v>
      </c>
      <c r="S75" s="5">
        <f t="shared" si="25"/>
        <v>94.206000000000017</v>
      </c>
      <c r="T75" s="5"/>
      <c r="U75" s="5">
        <f t="shared" si="26"/>
        <v>94.206000000000017</v>
      </c>
      <c r="V75" s="5"/>
      <c r="W75" s="5"/>
      <c r="X75" s="1"/>
      <c r="Y75" s="1"/>
      <c r="Z75" s="1">
        <f t="shared" si="27"/>
        <v>12</v>
      </c>
      <c r="AA75" s="1">
        <f t="shared" si="28"/>
        <v>10.486820759111424</v>
      </c>
      <c r="AB75" s="1">
        <v>63.668999999999997</v>
      </c>
      <c r="AC75" s="1">
        <v>77.558399999999992</v>
      </c>
      <c r="AD75" s="1">
        <v>58.156199999999998</v>
      </c>
      <c r="AE75" s="1">
        <v>44.603200000000001</v>
      </c>
      <c r="AF75" s="1">
        <v>44.287599999999998</v>
      </c>
      <c r="AG75" s="1">
        <v>33.344200000000001</v>
      </c>
      <c r="AH75" s="1">
        <v>38.255600000000001</v>
      </c>
      <c r="AI75" s="1">
        <v>40.3536</v>
      </c>
      <c r="AJ75" s="1" t="s">
        <v>72</v>
      </c>
      <c r="AK75" s="1">
        <f t="shared" si="29"/>
        <v>94</v>
      </c>
      <c r="AL75" s="1">
        <f t="shared" si="30"/>
        <v>0</v>
      </c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</row>
    <row r="76" spans="1:53" x14ac:dyDescent="0.25">
      <c r="A76" s="1" t="s">
        <v>124</v>
      </c>
      <c r="B76" s="1" t="s">
        <v>37</v>
      </c>
      <c r="C76" s="1">
        <v>1037.7070000000001</v>
      </c>
      <c r="D76" s="1">
        <v>921.15200000000004</v>
      </c>
      <c r="E76" s="1">
        <v>722.40099999999995</v>
      </c>
      <c r="F76" s="1">
        <v>1208.828</v>
      </c>
      <c r="G76" s="8">
        <v>1</v>
      </c>
      <c r="H76" s="1">
        <v>60</v>
      </c>
      <c r="I76" s="1" t="s">
        <v>38</v>
      </c>
      <c r="J76" s="1"/>
      <c r="K76" s="1">
        <v>723.57500000000005</v>
      </c>
      <c r="L76" s="1">
        <f t="shared" si="22"/>
        <v>-1.1740000000000919</v>
      </c>
      <c r="M76" s="1">
        <f t="shared" si="23"/>
        <v>722.40099999999995</v>
      </c>
      <c r="N76" s="1"/>
      <c r="O76" s="1"/>
      <c r="P76" s="1">
        <v>180.35024999999999</v>
      </c>
      <c r="Q76" s="1">
        <v>0</v>
      </c>
      <c r="R76" s="1">
        <f t="shared" si="24"/>
        <v>144.4802</v>
      </c>
      <c r="S76" s="5">
        <f t="shared" si="25"/>
        <v>344.58415000000014</v>
      </c>
      <c r="T76" s="5"/>
      <c r="U76" s="5">
        <f t="shared" si="26"/>
        <v>344.58415000000014</v>
      </c>
      <c r="V76" s="5">
        <f t="shared" ref="V76:V79" si="31">$V$1*R76</f>
        <v>173.37624</v>
      </c>
      <c r="W76" s="5"/>
      <c r="X76" s="1"/>
      <c r="Y76" s="1"/>
      <c r="Z76" s="1">
        <f t="shared" si="27"/>
        <v>13.200000000000001</v>
      </c>
      <c r="AA76" s="1">
        <f t="shared" si="28"/>
        <v>9.615007800376798</v>
      </c>
      <c r="AB76" s="1">
        <v>138.85759999999999</v>
      </c>
      <c r="AC76" s="1">
        <v>144.28020000000001</v>
      </c>
      <c r="AD76" s="1">
        <v>148.8032</v>
      </c>
      <c r="AE76" s="1">
        <v>133.34479999999999</v>
      </c>
      <c r="AF76" s="1">
        <v>130.14340000000001</v>
      </c>
      <c r="AG76" s="1">
        <v>133.17339999999999</v>
      </c>
      <c r="AH76" s="1">
        <v>133.02959999999999</v>
      </c>
      <c r="AI76" s="1">
        <v>146.10659999999999</v>
      </c>
      <c r="AJ76" s="1" t="s">
        <v>48</v>
      </c>
      <c r="AK76" s="1">
        <f t="shared" si="29"/>
        <v>345</v>
      </c>
      <c r="AL76" s="1">
        <f t="shared" si="30"/>
        <v>173</v>
      </c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</row>
    <row r="77" spans="1:53" x14ac:dyDescent="0.25">
      <c r="A77" s="1" t="s">
        <v>125</v>
      </c>
      <c r="B77" s="1" t="s">
        <v>37</v>
      </c>
      <c r="C77" s="1">
        <v>1458.9359999999999</v>
      </c>
      <c r="D77" s="1">
        <v>1610.2809999999999</v>
      </c>
      <c r="E77" s="1">
        <v>1285.1030000000001</v>
      </c>
      <c r="F77" s="1">
        <v>1639.319</v>
      </c>
      <c r="G77" s="8">
        <v>1</v>
      </c>
      <c r="H77" s="1">
        <v>60</v>
      </c>
      <c r="I77" s="1" t="s">
        <v>38</v>
      </c>
      <c r="J77" s="1"/>
      <c r="K77" s="1">
        <v>1403.68</v>
      </c>
      <c r="L77" s="1">
        <f t="shared" si="22"/>
        <v>-118.577</v>
      </c>
      <c r="M77" s="1">
        <f t="shared" si="23"/>
        <v>1285.1030000000001</v>
      </c>
      <c r="N77" s="1"/>
      <c r="O77" s="1"/>
      <c r="P77" s="1">
        <v>275.72874999999999</v>
      </c>
      <c r="Q77" s="1">
        <v>402.30635999999947</v>
      </c>
      <c r="R77" s="1">
        <f t="shared" si="24"/>
        <v>257.0206</v>
      </c>
      <c r="S77" s="5">
        <f t="shared" si="25"/>
        <v>766.89309000000003</v>
      </c>
      <c r="T77" s="5"/>
      <c r="U77" s="5">
        <f t="shared" si="26"/>
        <v>766.89309000000003</v>
      </c>
      <c r="V77" s="5">
        <f t="shared" si="31"/>
        <v>308.42471999999998</v>
      </c>
      <c r="W77" s="5"/>
      <c r="X77" s="1"/>
      <c r="Y77" s="1"/>
      <c r="Z77" s="1">
        <f t="shared" si="27"/>
        <v>13.199999999999998</v>
      </c>
      <c r="AA77" s="1">
        <f t="shared" si="28"/>
        <v>9.0162193614052697</v>
      </c>
      <c r="AB77" s="1">
        <v>233.792</v>
      </c>
      <c r="AC77" s="1">
        <v>220.583</v>
      </c>
      <c r="AD77" s="1">
        <v>225.55240000000001</v>
      </c>
      <c r="AE77" s="1">
        <v>210.1566</v>
      </c>
      <c r="AF77" s="1">
        <v>194.1328</v>
      </c>
      <c r="AG77" s="1">
        <v>192.8476</v>
      </c>
      <c r="AH77" s="1">
        <v>196.45779999999999</v>
      </c>
      <c r="AI77" s="1">
        <v>244.67140000000001</v>
      </c>
      <c r="AJ77" s="1"/>
      <c r="AK77" s="1">
        <f t="shared" si="29"/>
        <v>767</v>
      </c>
      <c r="AL77" s="1">
        <f t="shared" si="30"/>
        <v>308</v>
      </c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</row>
    <row r="78" spans="1:53" x14ac:dyDescent="0.25">
      <c r="A78" s="1" t="s">
        <v>126</v>
      </c>
      <c r="B78" s="1" t="s">
        <v>37</v>
      </c>
      <c r="C78" s="1">
        <v>1482.972</v>
      </c>
      <c r="D78" s="1">
        <v>1524.684</v>
      </c>
      <c r="E78" s="1">
        <v>1167.7429999999999</v>
      </c>
      <c r="F78" s="1">
        <v>1653.1410000000001</v>
      </c>
      <c r="G78" s="8">
        <v>1</v>
      </c>
      <c r="H78" s="1">
        <v>60</v>
      </c>
      <c r="I78" s="1" t="s">
        <v>38</v>
      </c>
      <c r="J78" s="1"/>
      <c r="K78" s="1">
        <v>1316.104</v>
      </c>
      <c r="L78" s="1">
        <f t="shared" si="22"/>
        <v>-148.3610000000001</v>
      </c>
      <c r="M78" s="1">
        <f t="shared" si="23"/>
        <v>1018.439</v>
      </c>
      <c r="N78" s="1">
        <v>149.304</v>
      </c>
      <c r="O78" s="1"/>
      <c r="P78" s="1">
        <v>262.10899999999998</v>
      </c>
      <c r="Q78" s="1">
        <v>406.16543999999942</v>
      </c>
      <c r="R78" s="1">
        <f t="shared" si="24"/>
        <v>203.68779999999998</v>
      </c>
      <c r="S78" s="5">
        <f t="shared" si="25"/>
        <v>122.8381600000007</v>
      </c>
      <c r="T78" s="5"/>
      <c r="U78" s="5">
        <f t="shared" si="26"/>
        <v>122.8381600000007</v>
      </c>
      <c r="V78" s="5">
        <f t="shared" si="31"/>
        <v>244.42535999999996</v>
      </c>
      <c r="W78" s="5"/>
      <c r="X78" s="1"/>
      <c r="Y78" s="1"/>
      <c r="Z78" s="1">
        <f t="shared" si="27"/>
        <v>13.200000000000003</v>
      </c>
      <c r="AA78" s="1">
        <f t="shared" si="28"/>
        <v>11.396929222074172</v>
      </c>
      <c r="AB78" s="1">
        <v>224.5874</v>
      </c>
      <c r="AC78" s="1">
        <v>209.68719999999999</v>
      </c>
      <c r="AD78" s="1">
        <v>198.93819999999999</v>
      </c>
      <c r="AE78" s="1">
        <v>206.29320000000001</v>
      </c>
      <c r="AF78" s="1">
        <v>195.541</v>
      </c>
      <c r="AG78" s="1">
        <v>203.1018</v>
      </c>
      <c r="AH78" s="1">
        <v>192.91659999999999</v>
      </c>
      <c r="AI78" s="1">
        <v>200.1472</v>
      </c>
      <c r="AJ78" s="1" t="s">
        <v>48</v>
      </c>
      <c r="AK78" s="1">
        <f t="shared" si="29"/>
        <v>123</v>
      </c>
      <c r="AL78" s="1">
        <f t="shared" si="30"/>
        <v>244</v>
      </c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</row>
    <row r="79" spans="1:53" x14ac:dyDescent="0.25">
      <c r="A79" s="1" t="s">
        <v>127</v>
      </c>
      <c r="B79" s="1" t="s">
        <v>37</v>
      </c>
      <c r="C79" s="1">
        <v>2433.5039999999999</v>
      </c>
      <c r="D79" s="1">
        <v>2647.5430000000001</v>
      </c>
      <c r="E79" s="1">
        <v>1722.944</v>
      </c>
      <c r="F79" s="1">
        <v>3155.7359999999999</v>
      </c>
      <c r="G79" s="8">
        <v>1</v>
      </c>
      <c r="H79" s="1">
        <v>60</v>
      </c>
      <c r="I79" s="1" t="s">
        <v>38</v>
      </c>
      <c r="J79" s="1"/>
      <c r="K79" s="1">
        <v>1875.3009999999999</v>
      </c>
      <c r="L79" s="1">
        <f t="shared" si="22"/>
        <v>-152.35699999999997</v>
      </c>
      <c r="M79" s="1">
        <f t="shared" si="23"/>
        <v>1722.944</v>
      </c>
      <c r="N79" s="1"/>
      <c r="O79" s="1"/>
      <c r="P79" s="1">
        <v>448.71674999999988</v>
      </c>
      <c r="Q79" s="1">
        <v>362.10019999999997</v>
      </c>
      <c r="R79" s="1">
        <f t="shared" si="24"/>
        <v>344.58879999999999</v>
      </c>
      <c r="S79" s="5">
        <f t="shared" si="25"/>
        <v>168.51265000000012</v>
      </c>
      <c r="T79" s="5"/>
      <c r="U79" s="5">
        <f t="shared" si="26"/>
        <v>168.51265000000012</v>
      </c>
      <c r="V79" s="5">
        <f t="shared" si="31"/>
        <v>413.50655999999998</v>
      </c>
      <c r="W79" s="5"/>
      <c r="X79" s="1"/>
      <c r="Y79" s="1"/>
      <c r="Z79" s="1">
        <f t="shared" si="27"/>
        <v>13.2</v>
      </c>
      <c r="AA79" s="1">
        <f t="shared" si="28"/>
        <v>11.510974674742766</v>
      </c>
      <c r="AB79" s="1">
        <v>362.10019999999997</v>
      </c>
      <c r="AC79" s="1">
        <v>358.97340000000003</v>
      </c>
      <c r="AD79" s="1">
        <v>346.62079999999997</v>
      </c>
      <c r="AE79" s="1">
        <v>318.7022</v>
      </c>
      <c r="AF79" s="1">
        <v>314.67340000000002</v>
      </c>
      <c r="AG79" s="1">
        <v>306.07659999999998</v>
      </c>
      <c r="AH79" s="1">
        <v>289.31900000000002</v>
      </c>
      <c r="AI79" s="1">
        <v>306.84500000000003</v>
      </c>
      <c r="AJ79" s="1" t="s">
        <v>48</v>
      </c>
      <c r="AK79" s="1">
        <f t="shared" si="29"/>
        <v>169</v>
      </c>
      <c r="AL79" s="1">
        <f t="shared" si="30"/>
        <v>414</v>
      </c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</row>
    <row r="80" spans="1:53" x14ac:dyDescent="0.25">
      <c r="A80" s="1" t="s">
        <v>128</v>
      </c>
      <c r="B80" s="1" t="s">
        <v>37</v>
      </c>
      <c r="C80" s="1">
        <v>43.16</v>
      </c>
      <c r="D80" s="1"/>
      <c r="E80" s="1">
        <v>31.376000000000001</v>
      </c>
      <c r="F80" s="1">
        <v>11.784000000000001</v>
      </c>
      <c r="G80" s="8">
        <v>1</v>
      </c>
      <c r="H80" s="1">
        <v>60</v>
      </c>
      <c r="I80" s="1" t="s">
        <v>38</v>
      </c>
      <c r="J80" s="1"/>
      <c r="K80" s="1">
        <v>31.8</v>
      </c>
      <c r="L80" s="1">
        <f t="shared" si="22"/>
        <v>-0.42399999999999949</v>
      </c>
      <c r="M80" s="1">
        <f t="shared" si="23"/>
        <v>31.376000000000001</v>
      </c>
      <c r="N80" s="1"/>
      <c r="O80" s="1">
        <v>50</v>
      </c>
      <c r="P80" s="1"/>
      <c r="Q80" s="1">
        <v>0</v>
      </c>
      <c r="R80" s="1">
        <f t="shared" si="24"/>
        <v>6.2751999999999999</v>
      </c>
      <c r="S80" s="5">
        <f t="shared" si="25"/>
        <v>13.518400000000005</v>
      </c>
      <c r="T80" s="5"/>
      <c r="U80" s="5">
        <f t="shared" si="26"/>
        <v>13.518400000000005</v>
      </c>
      <c r="V80" s="5"/>
      <c r="W80" s="5"/>
      <c r="X80" s="1"/>
      <c r="Y80" s="1"/>
      <c r="Z80" s="1">
        <f t="shared" si="27"/>
        <v>12.000000000000002</v>
      </c>
      <c r="AA80" s="1">
        <f t="shared" si="28"/>
        <v>9.8457419683834786</v>
      </c>
      <c r="AB80" s="1">
        <v>6.2549999999999999</v>
      </c>
      <c r="AC80" s="1">
        <v>7.0504000000000007</v>
      </c>
      <c r="AD80" s="1">
        <v>7.2218</v>
      </c>
      <c r="AE80" s="1">
        <v>6.4468000000000014</v>
      </c>
      <c r="AF80" s="1">
        <v>4.5392000000000001</v>
      </c>
      <c r="AG80" s="1">
        <v>5.1758000000000006</v>
      </c>
      <c r="AH80" s="1">
        <v>7.1052000000000008</v>
      </c>
      <c r="AI80" s="1">
        <v>6.6164000000000014</v>
      </c>
      <c r="AJ80" s="1"/>
      <c r="AK80" s="1">
        <f t="shared" si="29"/>
        <v>14</v>
      </c>
      <c r="AL80" s="1">
        <f t="shared" si="30"/>
        <v>0</v>
      </c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</row>
    <row r="81" spans="1:53" x14ac:dyDescent="0.25">
      <c r="A81" s="1" t="s">
        <v>129</v>
      </c>
      <c r="B81" s="1" t="s">
        <v>42</v>
      </c>
      <c r="C81" s="1">
        <v>282</v>
      </c>
      <c r="D81" s="1">
        <v>392</v>
      </c>
      <c r="E81" s="1">
        <v>248</v>
      </c>
      <c r="F81" s="1">
        <v>390</v>
      </c>
      <c r="G81" s="8">
        <v>0.3</v>
      </c>
      <c r="H81" s="1">
        <v>40</v>
      </c>
      <c r="I81" s="1" t="s">
        <v>38</v>
      </c>
      <c r="J81" s="1"/>
      <c r="K81" s="1">
        <v>268</v>
      </c>
      <c r="L81" s="1">
        <f t="shared" si="22"/>
        <v>-20</v>
      </c>
      <c r="M81" s="1">
        <f t="shared" si="23"/>
        <v>248</v>
      </c>
      <c r="N81" s="1"/>
      <c r="O81" s="1"/>
      <c r="P81" s="1"/>
      <c r="Q81" s="1">
        <v>75.599999999999909</v>
      </c>
      <c r="R81" s="1">
        <f t="shared" si="24"/>
        <v>49.6</v>
      </c>
      <c r="S81" s="5">
        <f t="shared" si="25"/>
        <v>129.60000000000014</v>
      </c>
      <c r="T81" s="5"/>
      <c r="U81" s="5">
        <f t="shared" si="26"/>
        <v>129.60000000000014</v>
      </c>
      <c r="V81" s="5"/>
      <c r="W81" s="5"/>
      <c r="X81" s="1"/>
      <c r="Y81" s="1"/>
      <c r="Z81" s="1">
        <f t="shared" si="27"/>
        <v>12</v>
      </c>
      <c r="AA81" s="1">
        <f t="shared" si="28"/>
        <v>9.3870967741935463</v>
      </c>
      <c r="AB81" s="1">
        <v>50.4</v>
      </c>
      <c r="AC81" s="1">
        <v>52.6</v>
      </c>
      <c r="AD81" s="1">
        <v>52.8</v>
      </c>
      <c r="AE81" s="1">
        <v>47.2</v>
      </c>
      <c r="AF81" s="1">
        <v>46</v>
      </c>
      <c r="AG81" s="1">
        <v>45.8</v>
      </c>
      <c r="AH81" s="1">
        <v>49.6</v>
      </c>
      <c r="AI81" s="1">
        <v>60</v>
      </c>
      <c r="AJ81" s="1"/>
      <c r="AK81" s="1">
        <f t="shared" si="29"/>
        <v>39</v>
      </c>
      <c r="AL81" s="1">
        <f t="shared" si="30"/>
        <v>0</v>
      </c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</row>
    <row r="82" spans="1:53" x14ac:dyDescent="0.25">
      <c r="A82" s="1" t="s">
        <v>130</v>
      </c>
      <c r="B82" s="1" t="s">
        <v>42</v>
      </c>
      <c r="C82" s="1">
        <v>191</v>
      </c>
      <c r="D82" s="1">
        <v>128</v>
      </c>
      <c r="E82" s="1">
        <v>132</v>
      </c>
      <c r="F82" s="1">
        <v>182</v>
      </c>
      <c r="G82" s="8">
        <v>7.0000000000000007E-2</v>
      </c>
      <c r="H82" s="1">
        <v>90</v>
      </c>
      <c r="I82" s="1" t="s">
        <v>38</v>
      </c>
      <c r="J82" s="1"/>
      <c r="K82" s="1">
        <v>133</v>
      </c>
      <c r="L82" s="1">
        <f t="shared" si="22"/>
        <v>-1</v>
      </c>
      <c r="M82" s="1">
        <f t="shared" si="23"/>
        <v>132</v>
      </c>
      <c r="N82" s="1"/>
      <c r="O82" s="1"/>
      <c r="P82" s="1"/>
      <c r="Q82" s="1">
        <v>76.199999999999932</v>
      </c>
      <c r="R82" s="1">
        <f t="shared" si="24"/>
        <v>26.4</v>
      </c>
      <c r="S82" s="5">
        <f t="shared" si="25"/>
        <v>58.600000000000023</v>
      </c>
      <c r="T82" s="5"/>
      <c r="U82" s="5">
        <f t="shared" si="26"/>
        <v>58.600000000000023</v>
      </c>
      <c r="V82" s="5"/>
      <c r="W82" s="5"/>
      <c r="X82" s="1"/>
      <c r="Y82" s="1"/>
      <c r="Z82" s="1">
        <f t="shared" si="27"/>
        <v>11.999999999999998</v>
      </c>
      <c r="AA82" s="1">
        <f t="shared" si="28"/>
        <v>9.7803030303030276</v>
      </c>
      <c r="AB82" s="1">
        <v>28</v>
      </c>
      <c r="AC82" s="1">
        <v>25.6</v>
      </c>
      <c r="AD82" s="1">
        <v>25.2</v>
      </c>
      <c r="AE82" s="1">
        <v>26.8</v>
      </c>
      <c r="AF82" s="1">
        <v>23.4</v>
      </c>
      <c r="AG82" s="1">
        <v>29.2</v>
      </c>
      <c r="AH82" s="1">
        <v>21.6</v>
      </c>
      <c r="AI82" s="1">
        <v>6.4</v>
      </c>
      <c r="AJ82" s="1"/>
      <c r="AK82" s="1">
        <f t="shared" si="29"/>
        <v>4</v>
      </c>
      <c r="AL82" s="1">
        <f t="shared" si="30"/>
        <v>0</v>
      </c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</row>
    <row r="83" spans="1:53" x14ac:dyDescent="0.25">
      <c r="A83" s="1" t="s">
        <v>131</v>
      </c>
      <c r="B83" s="1" t="s">
        <v>42</v>
      </c>
      <c r="C83" s="1">
        <v>150</v>
      </c>
      <c r="D83" s="1">
        <v>272</v>
      </c>
      <c r="E83" s="1">
        <v>139</v>
      </c>
      <c r="F83" s="1">
        <v>269</v>
      </c>
      <c r="G83" s="8">
        <v>7.0000000000000007E-2</v>
      </c>
      <c r="H83" s="1">
        <v>90</v>
      </c>
      <c r="I83" s="1" t="s">
        <v>38</v>
      </c>
      <c r="J83" s="1"/>
      <c r="K83" s="1">
        <v>145</v>
      </c>
      <c r="L83" s="1">
        <f t="shared" si="22"/>
        <v>-6</v>
      </c>
      <c r="M83" s="1">
        <f t="shared" si="23"/>
        <v>139</v>
      </c>
      <c r="N83" s="1"/>
      <c r="O83" s="1"/>
      <c r="P83" s="1"/>
      <c r="Q83" s="1">
        <v>27.399999999999981</v>
      </c>
      <c r="R83" s="1">
        <f t="shared" si="24"/>
        <v>27.8</v>
      </c>
      <c r="S83" s="5">
        <f t="shared" si="25"/>
        <v>37.200000000000045</v>
      </c>
      <c r="T83" s="5"/>
      <c r="U83" s="5">
        <f t="shared" si="26"/>
        <v>37.200000000000045</v>
      </c>
      <c r="V83" s="5"/>
      <c r="W83" s="5"/>
      <c r="X83" s="1"/>
      <c r="Y83" s="1"/>
      <c r="Z83" s="1">
        <f t="shared" si="27"/>
        <v>12</v>
      </c>
      <c r="AA83" s="1">
        <f t="shared" si="28"/>
        <v>10.661870503597122</v>
      </c>
      <c r="AB83" s="1">
        <v>31.2</v>
      </c>
      <c r="AC83" s="1">
        <v>32.799999999999997</v>
      </c>
      <c r="AD83" s="1">
        <v>25.8</v>
      </c>
      <c r="AE83" s="1">
        <v>21</v>
      </c>
      <c r="AF83" s="1">
        <v>27.4</v>
      </c>
      <c r="AG83" s="1">
        <v>34.6</v>
      </c>
      <c r="AH83" s="1">
        <v>24.2</v>
      </c>
      <c r="AI83" s="1">
        <v>3.4</v>
      </c>
      <c r="AJ83" s="1"/>
      <c r="AK83" s="1">
        <f t="shared" si="29"/>
        <v>3</v>
      </c>
      <c r="AL83" s="1">
        <f t="shared" si="30"/>
        <v>0</v>
      </c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</row>
    <row r="84" spans="1:53" x14ac:dyDescent="0.25">
      <c r="A84" s="1" t="s">
        <v>132</v>
      </c>
      <c r="B84" s="1" t="s">
        <v>42</v>
      </c>
      <c r="C84" s="1">
        <v>224</v>
      </c>
      <c r="D84" s="1">
        <v>2</v>
      </c>
      <c r="E84" s="1">
        <v>103</v>
      </c>
      <c r="F84" s="1">
        <v>117</v>
      </c>
      <c r="G84" s="8">
        <v>7.0000000000000007E-2</v>
      </c>
      <c r="H84" s="1">
        <v>90</v>
      </c>
      <c r="I84" s="1" t="s">
        <v>38</v>
      </c>
      <c r="J84" s="1"/>
      <c r="K84" s="1">
        <v>104</v>
      </c>
      <c r="L84" s="1">
        <f t="shared" si="22"/>
        <v>-1</v>
      </c>
      <c r="M84" s="1">
        <f t="shared" si="23"/>
        <v>103</v>
      </c>
      <c r="N84" s="1"/>
      <c r="O84" s="1"/>
      <c r="P84" s="1"/>
      <c r="Q84" s="1">
        <v>45.399999999999977</v>
      </c>
      <c r="R84" s="1">
        <f t="shared" si="24"/>
        <v>20.6</v>
      </c>
      <c r="S84" s="5">
        <f t="shared" si="25"/>
        <v>84.80000000000004</v>
      </c>
      <c r="T84" s="5"/>
      <c r="U84" s="5">
        <f t="shared" si="26"/>
        <v>84.80000000000004</v>
      </c>
      <c r="V84" s="5"/>
      <c r="W84" s="5"/>
      <c r="X84" s="1"/>
      <c r="Y84" s="1"/>
      <c r="Z84" s="1">
        <f t="shared" si="27"/>
        <v>12</v>
      </c>
      <c r="AA84" s="1">
        <f t="shared" si="28"/>
        <v>7.8834951456310662</v>
      </c>
      <c r="AB84" s="1">
        <v>19.399999999999999</v>
      </c>
      <c r="AC84" s="1">
        <v>18.399999999999999</v>
      </c>
      <c r="AD84" s="1">
        <v>21.4</v>
      </c>
      <c r="AE84" s="1">
        <v>24.8</v>
      </c>
      <c r="AF84" s="1">
        <v>25</v>
      </c>
      <c r="AG84" s="1">
        <v>26.8</v>
      </c>
      <c r="AH84" s="1">
        <v>16.399999999999999</v>
      </c>
      <c r="AI84" s="1">
        <v>5.8</v>
      </c>
      <c r="AJ84" s="1"/>
      <c r="AK84" s="1">
        <f t="shared" si="29"/>
        <v>6</v>
      </c>
      <c r="AL84" s="1">
        <f t="shared" si="30"/>
        <v>0</v>
      </c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</row>
    <row r="85" spans="1:53" x14ac:dyDescent="0.25">
      <c r="A85" s="1" t="s">
        <v>133</v>
      </c>
      <c r="B85" s="1" t="s">
        <v>42</v>
      </c>
      <c r="C85" s="1">
        <v>151</v>
      </c>
      <c r="D85" s="1">
        <v>109</v>
      </c>
      <c r="E85" s="1">
        <v>117</v>
      </c>
      <c r="F85" s="1">
        <v>139</v>
      </c>
      <c r="G85" s="8">
        <v>0.05</v>
      </c>
      <c r="H85" s="1">
        <v>90</v>
      </c>
      <c r="I85" s="1" t="s">
        <v>38</v>
      </c>
      <c r="J85" s="1"/>
      <c r="K85" s="1">
        <v>118</v>
      </c>
      <c r="L85" s="1">
        <f t="shared" si="22"/>
        <v>-1</v>
      </c>
      <c r="M85" s="1">
        <f t="shared" si="23"/>
        <v>117</v>
      </c>
      <c r="N85" s="1"/>
      <c r="O85" s="1"/>
      <c r="P85" s="1"/>
      <c r="Q85" s="1">
        <v>115.6</v>
      </c>
      <c r="R85" s="1">
        <f t="shared" si="24"/>
        <v>23.4</v>
      </c>
      <c r="S85" s="5">
        <f t="shared" si="25"/>
        <v>26.19999999999996</v>
      </c>
      <c r="T85" s="5"/>
      <c r="U85" s="5">
        <f t="shared" si="26"/>
        <v>26.19999999999996</v>
      </c>
      <c r="V85" s="5"/>
      <c r="W85" s="5"/>
      <c r="X85" s="1"/>
      <c r="Y85" s="1"/>
      <c r="Z85" s="1">
        <f t="shared" si="27"/>
        <v>11.999999999999998</v>
      </c>
      <c r="AA85" s="1">
        <f t="shared" si="28"/>
        <v>10.880341880341881</v>
      </c>
      <c r="AB85" s="1">
        <v>26</v>
      </c>
      <c r="AC85" s="1">
        <v>18.2</v>
      </c>
      <c r="AD85" s="1">
        <v>14.2</v>
      </c>
      <c r="AE85" s="1">
        <v>17.600000000000001</v>
      </c>
      <c r="AF85" s="1">
        <v>19</v>
      </c>
      <c r="AG85" s="1">
        <v>20.399999999999999</v>
      </c>
      <c r="AH85" s="1">
        <v>14</v>
      </c>
      <c r="AI85" s="1">
        <v>6.6</v>
      </c>
      <c r="AJ85" s="1"/>
      <c r="AK85" s="1">
        <f t="shared" si="29"/>
        <v>1</v>
      </c>
      <c r="AL85" s="1">
        <f t="shared" si="30"/>
        <v>0</v>
      </c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</row>
    <row r="86" spans="1:53" x14ac:dyDescent="0.25">
      <c r="A86" s="1" t="s">
        <v>134</v>
      </c>
      <c r="B86" s="1" t="s">
        <v>42</v>
      </c>
      <c r="C86" s="1">
        <v>199</v>
      </c>
      <c r="D86" s="1">
        <v>55</v>
      </c>
      <c r="E86" s="1">
        <v>141</v>
      </c>
      <c r="F86" s="1">
        <v>111</v>
      </c>
      <c r="G86" s="8">
        <v>0.05</v>
      </c>
      <c r="H86" s="1">
        <v>90</v>
      </c>
      <c r="I86" s="1" t="s">
        <v>38</v>
      </c>
      <c r="J86" s="1"/>
      <c r="K86" s="1">
        <v>142</v>
      </c>
      <c r="L86" s="1">
        <f t="shared" si="22"/>
        <v>-1</v>
      </c>
      <c r="M86" s="1">
        <f t="shared" si="23"/>
        <v>141</v>
      </c>
      <c r="N86" s="1"/>
      <c r="O86" s="1"/>
      <c r="P86" s="1"/>
      <c r="Q86" s="1">
        <v>164.2</v>
      </c>
      <c r="R86" s="1">
        <f t="shared" si="24"/>
        <v>28.2</v>
      </c>
      <c r="S86" s="5">
        <f t="shared" si="25"/>
        <v>63.199999999999989</v>
      </c>
      <c r="T86" s="5"/>
      <c r="U86" s="5">
        <f t="shared" si="26"/>
        <v>63.199999999999989</v>
      </c>
      <c r="V86" s="5"/>
      <c r="W86" s="5"/>
      <c r="X86" s="1"/>
      <c r="Y86" s="1"/>
      <c r="Z86" s="1">
        <f t="shared" si="27"/>
        <v>12</v>
      </c>
      <c r="AA86" s="1">
        <f t="shared" si="28"/>
        <v>9.7588652482269502</v>
      </c>
      <c r="AB86" s="1">
        <v>26.6</v>
      </c>
      <c r="AC86" s="1">
        <v>16.2</v>
      </c>
      <c r="AD86" s="1">
        <v>13.2</v>
      </c>
      <c r="AE86" s="1">
        <v>12.4</v>
      </c>
      <c r="AF86" s="1">
        <v>19</v>
      </c>
      <c r="AG86" s="1">
        <v>29</v>
      </c>
      <c r="AH86" s="1">
        <v>21.6</v>
      </c>
      <c r="AI86" s="1">
        <v>3.4</v>
      </c>
      <c r="AJ86" s="1" t="s">
        <v>135</v>
      </c>
      <c r="AK86" s="1">
        <f t="shared" si="29"/>
        <v>3</v>
      </c>
      <c r="AL86" s="1">
        <f t="shared" si="30"/>
        <v>0</v>
      </c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</row>
    <row r="87" spans="1:53" x14ac:dyDescent="0.25">
      <c r="A87" s="1" t="s">
        <v>136</v>
      </c>
      <c r="B87" s="1" t="s">
        <v>42</v>
      </c>
      <c r="C87" s="1">
        <v>196</v>
      </c>
      <c r="D87" s="1">
        <v>73</v>
      </c>
      <c r="E87" s="1">
        <v>124</v>
      </c>
      <c r="F87" s="1">
        <v>143</v>
      </c>
      <c r="G87" s="8">
        <v>5.5E-2</v>
      </c>
      <c r="H87" s="1">
        <v>90</v>
      </c>
      <c r="I87" s="1" t="s">
        <v>38</v>
      </c>
      <c r="J87" s="1"/>
      <c r="K87" s="1">
        <v>125</v>
      </c>
      <c r="L87" s="1">
        <f t="shared" si="22"/>
        <v>-1</v>
      </c>
      <c r="M87" s="1">
        <f t="shared" si="23"/>
        <v>124</v>
      </c>
      <c r="N87" s="1"/>
      <c r="O87" s="1"/>
      <c r="P87" s="1"/>
      <c r="Q87" s="1">
        <v>153.4</v>
      </c>
      <c r="R87" s="1">
        <f t="shared" si="24"/>
        <v>24.8</v>
      </c>
      <c r="S87" s="5"/>
      <c r="T87" s="5"/>
      <c r="U87" s="5">
        <f t="shared" si="26"/>
        <v>0</v>
      </c>
      <c r="V87" s="5"/>
      <c r="W87" s="5"/>
      <c r="X87" s="1"/>
      <c r="Y87" s="1"/>
      <c r="Z87" s="1">
        <f t="shared" si="27"/>
        <v>11.951612903225806</v>
      </c>
      <c r="AA87" s="1">
        <f t="shared" si="28"/>
        <v>11.951612903225806</v>
      </c>
      <c r="AB87" s="1">
        <v>27.2</v>
      </c>
      <c r="AC87" s="1">
        <v>17.399999999999999</v>
      </c>
      <c r="AD87" s="1">
        <v>20</v>
      </c>
      <c r="AE87" s="1">
        <v>24.8</v>
      </c>
      <c r="AF87" s="1">
        <v>23.2</v>
      </c>
      <c r="AG87" s="1">
        <v>33.799999999999997</v>
      </c>
      <c r="AH87" s="1">
        <v>26.6</v>
      </c>
      <c r="AI87" s="1">
        <v>3.6</v>
      </c>
      <c r="AJ87" s="1"/>
      <c r="AK87" s="1">
        <f t="shared" si="29"/>
        <v>0</v>
      </c>
      <c r="AL87" s="1">
        <f t="shared" si="30"/>
        <v>0</v>
      </c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</row>
    <row r="88" spans="1:53" x14ac:dyDescent="0.25">
      <c r="A88" s="14" t="s">
        <v>137</v>
      </c>
      <c r="B88" s="14" t="s">
        <v>42</v>
      </c>
      <c r="C88" s="14">
        <v>25</v>
      </c>
      <c r="D88" s="14">
        <v>4</v>
      </c>
      <c r="E88" s="14">
        <v>18</v>
      </c>
      <c r="F88" s="14">
        <v>11</v>
      </c>
      <c r="G88" s="15">
        <v>0</v>
      </c>
      <c r="H88" s="14">
        <v>120</v>
      </c>
      <c r="I88" s="14" t="s">
        <v>113</v>
      </c>
      <c r="J88" s="14"/>
      <c r="K88" s="14">
        <v>18</v>
      </c>
      <c r="L88" s="14">
        <f t="shared" si="22"/>
        <v>0</v>
      </c>
      <c r="M88" s="14">
        <f t="shared" si="23"/>
        <v>18</v>
      </c>
      <c r="N88" s="14"/>
      <c r="O88" s="14"/>
      <c r="P88" s="14"/>
      <c r="Q88" s="14">
        <v>0</v>
      </c>
      <c r="R88" s="14">
        <f t="shared" si="24"/>
        <v>3.6</v>
      </c>
      <c r="S88" s="16"/>
      <c r="T88" s="16"/>
      <c r="U88" s="5">
        <f t="shared" si="26"/>
        <v>0</v>
      </c>
      <c r="V88" s="5"/>
      <c r="W88" s="16"/>
      <c r="X88" s="14"/>
      <c r="Y88" s="14"/>
      <c r="Z88" s="1">
        <f t="shared" si="27"/>
        <v>3.0555555555555554</v>
      </c>
      <c r="AA88" s="14">
        <f t="shared" si="28"/>
        <v>3.0555555555555554</v>
      </c>
      <c r="AB88" s="14">
        <v>4.8</v>
      </c>
      <c r="AC88" s="14">
        <v>4.8</v>
      </c>
      <c r="AD88" s="14">
        <v>4.5999999999999996</v>
      </c>
      <c r="AE88" s="14">
        <v>5</v>
      </c>
      <c r="AF88" s="14">
        <v>3</v>
      </c>
      <c r="AG88" s="14">
        <v>3.2</v>
      </c>
      <c r="AH88" s="14">
        <v>6.8</v>
      </c>
      <c r="AI88" s="14">
        <v>5.2</v>
      </c>
      <c r="AJ88" s="14"/>
      <c r="AK88" s="1">
        <f t="shared" si="29"/>
        <v>0</v>
      </c>
      <c r="AL88" s="1">
        <f t="shared" si="30"/>
        <v>0</v>
      </c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</row>
    <row r="89" spans="1:53" x14ac:dyDescent="0.25">
      <c r="A89" s="1" t="s">
        <v>138</v>
      </c>
      <c r="B89" s="1" t="s">
        <v>37</v>
      </c>
      <c r="C89" s="1">
        <v>3068.84</v>
      </c>
      <c r="D89" s="1">
        <v>2593.1170000000002</v>
      </c>
      <c r="E89" s="1">
        <v>2350.5590000000002</v>
      </c>
      <c r="F89" s="1">
        <v>3163.4479999999999</v>
      </c>
      <c r="G89" s="8">
        <v>1</v>
      </c>
      <c r="H89" s="1">
        <v>40</v>
      </c>
      <c r="I89" s="1" t="s">
        <v>38</v>
      </c>
      <c r="J89" s="1"/>
      <c r="K89" s="1">
        <v>2299.1880000000001</v>
      </c>
      <c r="L89" s="1">
        <f t="shared" si="22"/>
        <v>51.371000000000095</v>
      </c>
      <c r="M89" s="1">
        <f t="shared" si="23"/>
        <v>2350.5590000000002</v>
      </c>
      <c r="N89" s="1"/>
      <c r="O89" s="1"/>
      <c r="P89" s="1"/>
      <c r="Q89" s="1">
        <v>1292.596719999998</v>
      </c>
      <c r="R89" s="1">
        <f t="shared" si="24"/>
        <v>470.11180000000002</v>
      </c>
      <c r="S89" s="5">
        <f>12*R89-Q89-P89-O89-F89</f>
        <v>1185.2968800000021</v>
      </c>
      <c r="T89" s="5"/>
      <c r="U89" s="5">
        <f t="shared" si="26"/>
        <v>1185.2968800000021</v>
      </c>
      <c r="V89" s="5"/>
      <c r="W89" s="5"/>
      <c r="X89" s="1"/>
      <c r="Y89" s="1"/>
      <c r="Z89" s="1">
        <f t="shared" si="27"/>
        <v>11.999999999999998</v>
      </c>
      <c r="AA89" s="1">
        <f t="shared" si="28"/>
        <v>9.4786914942360472</v>
      </c>
      <c r="AB89" s="1">
        <v>472.96679999999998</v>
      </c>
      <c r="AC89" s="1">
        <v>450.98100000000011</v>
      </c>
      <c r="AD89" s="1">
        <v>456.99340000000001</v>
      </c>
      <c r="AE89" s="1">
        <v>422.887</v>
      </c>
      <c r="AF89" s="1">
        <v>412.44000000000011</v>
      </c>
      <c r="AG89" s="1">
        <v>441.93119999999999</v>
      </c>
      <c r="AH89" s="1">
        <v>430.85599999999988</v>
      </c>
      <c r="AI89" s="1">
        <v>459.0924</v>
      </c>
      <c r="AJ89" s="1" t="s">
        <v>48</v>
      </c>
      <c r="AK89" s="1">
        <f t="shared" si="29"/>
        <v>1185</v>
      </c>
      <c r="AL89" s="1">
        <f t="shared" si="30"/>
        <v>0</v>
      </c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</row>
    <row r="90" spans="1:53" x14ac:dyDescent="0.25">
      <c r="A90" s="17" t="s">
        <v>139</v>
      </c>
      <c r="B90" s="17" t="s">
        <v>37</v>
      </c>
      <c r="C90" s="17"/>
      <c r="D90" s="17"/>
      <c r="E90" s="17"/>
      <c r="F90" s="17"/>
      <c r="G90" s="18">
        <v>0</v>
      </c>
      <c r="H90" s="17">
        <v>60</v>
      </c>
      <c r="I90" s="17" t="s">
        <v>38</v>
      </c>
      <c r="J90" s="17"/>
      <c r="K90" s="17"/>
      <c r="L90" s="17">
        <f t="shared" si="22"/>
        <v>0</v>
      </c>
      <c r="M90" s="17">
        <f t="shared" si="23"/>
        <v>0</v>
      </c>
      <c r="N90" s="17"/>
      <c r="O90" s="17"/>
      <c r="P90" s="17"/>
      <c r="Q90" s="17">
        <v>0</v>
      </c>
      <c r="R90" s="17">
        <f t="shared" si="24"/>
        <v>0</v>
      </c>
      <c r="S90" s="19"/>
      <c r="T90" s="19"/>
      <c r="U90" s="5">
        <f t="shared" si="26"/>
        <v>0</v>
      </c>
      <c r="V90" s="5"/>
      <c r="W90" s="19"/>
      <c r="X90" s="17"/>
      <c r="Y90" s="17"/>
      <c r="Z90" s="1" t="e">
        <f t="shared" si="27"/>
        <v>#DIV/0!</v>
      </c>
      <c r="AA90" s="17" t="e">
        <f t="shared" si="28"/>
        <v>#DIV/0!</v>
      </c>
      <c r="AB90" s="17">
        <v>0</v>
      </c>
      <c r="AC90" s="17">
        <v>0</v>
      </c>
      <c r="AD90" s="17">
        <v>0</v>
      </c>
      <c r="AE90" s="17">
        <v>0</v>
      </c>
      <c r="AF90" s="17">
        <v>0</v>
      </c>
      <c r="AG90" s="17">
        <v>0</v>
      </c>
      <c r="AH90" s="17">
        <v>0</v>
      </c>
      <c r="AI90" s="17">
        <v>0</v>
      </c>
      <c r="AJ90" s="17" t="s">
        <v>140</v>
      </c>
      <c r="AK90" s="1">
        <f t="shared" si="29"/>
        <v>0</v>
      </c>
      <c r="AL90" s="1">
        <f t="shared" si="30"/>
        <v>0</v>
      </c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</row>
    <row r="91" spans="1:53" x14ac:dyDescent="0.25">
      <c r="A91" s="1" t="s">
        <v>141</v>
      </c>
      <c r="B91" s="1" t="s">
        <v>42</v>
      </c>
      <c r="C91" s="1">
        <v>405</v>
      </c>
      <c r="D91" s="1">
        <v>438</v>
      </c>
      <c r="E91" s="1">
        <v>352</v>
      </c>
      <c r="F91" s="1">
        <v>447</v>
      </c>
      <c r="G91" s="8">
        <v>0.3</v>
      </c>
      <c r="H91" s="1">
        <v>40</v>
      </c>
      <c r="I91" s="1" t="s">
        <v>38</v>
      </c>
      <c r="J91" s="1"/>
      <c r="K91" s="1">
        <v>378</v>
      </c>
      <c r="L91" s="1">
        <f t="shared" si="22"/>
        <v>-26</v>
      </c>
      <c r="M91" s="1">
        <f t="shared" si="23"/>
        <v>352</v>
      </c>
      <c r="N91" s="1"/>
      <c r="O91" s="1"/>
      <c r="P91" s="1"/>
      <c r="Q91" s="1">
        <v>192.64000000000021</v>
      </c>
      <c r="R91" s="1">
        <f t="shared" si="24"/>
        <v>70.400000000000006</v>
      </c>
      <c r="S91" s="5">
        <f t="shared" ref="S91:S92" si="32">12*R91-Q91-P91-O91-F91</f>
        <v>205.15999999999985</v>
      </c>
      <c r="T91" s="5"/>
      <c r="U91" s="5">
        <f t="shared" si="26"/>
        <v>205.15999999999985</v>
      </c>
      <c r="V91" s="5"/>
      <c r="W91" s="5"/>
      <c r="X91" s="1"/>
      <c r="Y91" s="1"/>
      <c r="Z91" s="1">
        <f t="shared" si="27"/>
        <v>12</v>
      </c>
      <c r="AA91" s="1">
        <f t="shared" si="28"/>
        <v>9.0857954545454565</v>
      </c>
      <c r="AB91" s="1">
        <v>69.2</v>
      </c>
      <c r="AC91" s="1">
        <v>66</v>
      </c>
      <c r="AD91" s="1">
        <v>66.400000000000006</v>
      </c>
      <c r="AE91" s="1">
        <v>64.2</v>
      </c>
      <c r="AF91" s="1">
        <v>65.400000000000006</v>
      </c>
      <c r="AG91" s="1">
        <v>58.4</v>
      </c>
      <c r="AH91" s="1">
        <v>57.8</v>
      </c>
      <c r="AI91" s="1">
        <v>70.599999999999994</v>
      </c>
      <c r="AJ91" s="1"/>
      <c r="AK91" s="1">
        <f t="shared" si="29"/>
        <v>62</v>
      </c>
      <c r="AL91" s="1">
        <f t="shared" si="30"/>
        <v>0</v>
      </c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</row>
    <row r="92" spans="1:53" x14ac:dyDescent="0.25">
      <c r="A92" s="1" t="s">
        <v>142</v>
      </c>
      <c r="B92" s="1" t="s">
        <v>42</v>
      </c>
      <c r="C92" s="1">
        <v>324</v>
      </c>
      <c r="D92" s="1">
        <v>303</v>
      </c>
      <c r="E92" s="1">
        <v>268</v>
      </c>
      <c r="F92" s="1">
        <v>330</v>
      </c>
      <c r="G92" s="8">
        <v>0.3</v>
      </c>
      <c r="H92" s="1">
        <v>40</v>
      </c>
      <c r="I92" s="1" t="s">
        <v>38</v>
      </c>
      <c r="J92" s="1"/>
      <c r="K92" s="1">
        <v>279</v>
      </c>
      <c r="L92" s="1">
        <f t="shared" si="22"/>
        <v>-11</v>
      </c>
      <c r="M92" s="1">
        <f t="shared" si="23"/>
        <v>268</v>
      </c>
      <c r="N92" s="1"/>
      <c r="O92" s="1"/>
      <c r="P92" s="1"/>
      <c r="Q92" s="1">
        <v>110</v>
      </c>
      <c r="R92" s="1">
        <f t="shared" si="24"/>
        <v>53.6</v>
      </c>
      <c r="S92" s="5">
        <f t="shared" si="32"/>
        <v>203.20000000000005</v>
      </c>
      <c r="T92" s="5"/>
      <c r="U92" s="5">
        <f t="shared" si="26"/>
        <v>203.20000000000005</v>
      </c>
      <c r="V92" s="5"/>
      <c r="W92" s="5"/>
      <c r="X92" s="1"/>
      <c r="Y92" s="1"/>
      <c r="Z92" s="1">
        <f t="shared" si="27"/>
        <v>12</v>
      </c>
      <c r="AA92" s="1">
        <f t="shared" si="28"/>
        <v>8.2089552238805972</v>
      </c>
      <c r="AB92" s="1">
        <v>49.4</v>
      </c>
      <c r="AC92" s="1">
        <v>49</v>
      </c>
      <c r="AD92" s="1">
        <v>51.8</v>
      </c>
      <c r="AE92" s="1">
        <v>49.4</v>
      </c>
      <c r="AF92" s="1">
        <v>49.8</v>
      </c>
      <c r="AG92" s="1">
        <v>46.6</v>
      </c>
      <c r="AH92" s="1">
        <v>47</v>
      </c>
      <c r="AI92" s="1">
        <v>56.2</v>
      </c>
      <c r="AJ92" s="1"/>
      <c r="AK92" s="1">
        <f t="shared" si="29"/>
        <v>61</v>
      </c>
      <c r="AL92" s="1">
        <f t="shared" si="30"/>
        <v>0</v>
      </c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</row>
    <row r="93" spans="1:53" x14ac:dyDescent="0.25">
      <c r="A93" s="14" t="s">
        <v>143</v>
      </c>
      <c r="B93" s="14" t="s">
        <v>37</v>
      </c>
      <c r="C93" s="14">
        <v>22.408999999999999</v>
      </c>
      <c r="D93" s="14">
        <v>36.085000000000001</v>
      </c>
      <c r="E93" s="14">
        <v>22.64</v>
      </c>
      <c r="F93" s="14"/>
      <c r="G93" s="15">
        <v>0</v>
      </c>
      <c r="H93" s="14">
        <v>45</v>
      </c>
      <c r="I93" s="14" t="s">
        <v>113</v>
      </c>
      <c r="J93" s="14"/>
      <c r="K93" s="14">
        <v>32.25</v>
      </c>
      <c r="L93" s="14">
        <f t="shared" si="22"/>
        <v>-9.61</v>
      </c>
      <c r="M93" s="14">
        <f t="shared" si="23"/>
        <v>22.64</v>
      </c>
      <c r="N93" s="14"/>
      <c r="O93" s="14"/>
      <c r="P93" s="14"/>
      <c r="Q93" s="14">
        <v>0</v>
      </c>
      <c r="R93" s="14">
        <f t="shared" si="24"/>
        <v>4.5280000000000005</v>
      </c>
      <c r="S93" s="16"/>
      <c r="T93" s="16"/>
      <c r="U93" s="5">
        <f t="shared" si="26"/>
        <v>0</v>
      </c>
      <c r="V93" s="5"/>
      <c r="W93" s="16"/>
      <c r="X93" s="14"/>
      <c r="Y93" s="14"/>
      <c r="Z93" s="1">
        <f t="shared" si="27"/>
        <v>0</v>
      </c>
      <c r="AA93" s="14">
        <f t="shared" si="28"/>
        <v>0</v>
      </c>
      <c r="AB93" s="14">
        <v>7.4154</v>
      </c>
      <c r="AC93" s="14">
        <v>11.9594</v>
      </c>
      <c r="AD93" s="14">
        <v>14.5464</v>
      </c>
      <c r="AE93" s="14">
        <v>14.007</v>
      </c>
      <c r="AF93" s="14">
        <v>13.933199999999999</v>
      </c>
      <c r="AG93" s="14">
        <v>13.707000000000001</v>
      </c>
      <c r="AH93" s="14">
        <v>8.5459999999999994</v>
      </c>
      <c r="AI93" s="14">
        <v>8.2263999999999999</v>
      </c>
      <c r="AJ93" s="14"/>
      <c r="AK93" s="1">
        <f t="shared" si="29"/>
        <v>0</v>
      </c>
      <c r="AL93" s="1">
        <f t="shared" si="30"/>
        <v>0</v>
      </c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</row>
    <row r="94" spans="1:53" x14ac:dyDescent="0.25">
      <c r="A94" s="1" t="s">
        <v>144</v>
      </c>
      <c r="B94" s="1" t="s">
        <v>37</v>
      </c>
      <c r="C94" s="1">
        <v>321.55500000000001</v>
      </c>
      <c r="D94" s="1">
        <v>273.58499999999998</v>
      </c>
      <c r="E94" s="1">
        <v>267.86399999999998</v>
      </c>
      <c r="F94" s="1">
        <v>317.09899999999999</v>
      </c>
      <c r="G94" s="8">
        <v>1</v>
      </c>
      <c r="H94" s="1">
        <v>50</v>
      </c>
      <c r="I94" s="1" t="s">
        <v>38</v>
      </c>
      <c r="J94" s="1"/>
      <c r="K94" s="1">
        <v>259</v>
      </c>
      <c r="L94" s="1">
        <f t="shared" si="22"/>
        <v>8.8639999999999759</v>
      </c>
      <c r="M94" s="1">
        <f t="shared" si="23"/>
        <v>267.86399999999998</v>
      </c>
      <c r="N94" s="1"/>
      <c r="O94" s="1"/>
      <c r="P94" s="1"/>
      <c r="Q94" s="1">
        <v>258.82380000000001</v>
      </c>
      <c r="R94" s="1">
        <f t="shared" si="24"/>
        <v>53.572799999999994</v>
      </c>
      <c r="S94" s="5">
        <f t="shared" ref="S94:S96" si="33">12*R94-Q94-P94-O94-F94</f>
        <v>66.950799999999902</v>
      </c>
      <c r="T94" s="5"/>
      <c r="U94" s="5">
        <f t="shared" si="26"/>
        <v>66.950799999999902</v>
      </c>
      <c r="V94" s="5">
        <f>$V$1*R94</f>
        <v>64.287359999999993</v>
      </c>
      <c r="W94" s="5"/>
      <c r="X94" s="1"/>
      <c r="Y94" s="1"/>
      <c r="Z94" s="1">
        <f t="shared" si="27"/>
        <v>13.200000000000001</v>
      </c>
      <c r="AA94" s="1">
        <f t="shared" si="28"/>
        <v>10.750283726069949</v>
      </c>
      <c r="AB94" s="1">
        <v>54.053400000000003</v>
      </c>
      <c r="AC94" s="1">
        <v>46.654400000000003</v>
      </c>
      <c r="AD94" s="1">
        <v>47.114800000000002</v>
      </c>
      <c r="AE94" s="1">
        <v>44.988</v>
      </c>
      <c r="AF94" s="1">
        <v>43.636000000000003</v>
      </c>
      <c r="AG94" s="1">
        <v>46.044800000000002</v>
      </c>
      <c r="AH94" s="1">
        <v>60.206200000000003</v>
      </c>
      <c r="AI94" s="1">
        <v>47.031599999999997</v>
      </c>
      <c r="AJ94" s="1"/>
      <c r="AK94" s="1">
        <f t="shared" si="29"/>
        <v>67</v>
      </c>
      <c r="AL94" s="1">
        <f t="shared" si="30"/>
        <v>64</v>
      </c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</row>
    <row r="95" spans="1:53" x14ac:dyDescent="0.25">
      <c r="A95" s="1" t="s">
        <v>145</v>
      </c>
      <c r="B95" s="1" t="s">
        <v>42</v>
      </c>
      <c r="C95" s="1">
        <v>274</v>
      </c>
      <c r="D95" s="1">
        <v>369</v>
      </c>
      <c r="E95" s="1">
        <v>228</v>
      </c>
      <c r="F95" s="1">
        <v>388</v>
      </c>
      <c r="G95" s="8">
        <v>0.3</v>
      </c>
      <c r="H95" s="1">
        <v>40</v>
      </c>
      <c r="I95" s="1" t="s">
        <v>38</v>
      </c>
      <c r="J95" s="1"/>
      <c r="K95" s="1">
        <v>237</v>
      </c>
      <c r="L95" s="1">
        <f t="shared" si="22"/>
        <v>-9</v>
      </c>
      <c r="M95" s="1">
        <f t="shared" si="23"/>
        <v>228</v>
      </c>
      <c r="N95" s="1"/>
      <c r="O95" s="1"/>
      <c r="P95" s="1"/>
      <c r="Q95" s="1">
        <v>39.000000000000057</v>
      </c>
      <c r="R95" s="1">
        <f t="shared" si="24"/>
        <v>45.6</v>
      </c>
      <c r="S95" s="5">
        <f t="shared" si="33"/>
        <v>120.19999999999999</v>
      </c>
      <c r="T95" s="5"/>
      <c r="U95" s="5">
        <f t="shared" si="26"/>
        <v>120.19999999999999</v>
      </c>
      <c r="V95" s="5"/>
      <c r="W95" s="5"/>
      <c r="X95" s="1"/>
      <c r="Y95" s="1"/>
      <c r="Z95" s="1">
        <f t="shared" si="27"/>
        <v>12</v>
      </c>
      <c r="AA95" s="1">
        <f t="shared" si="28"/>
        <v>9.3640350877192997</v>
      </c>
      <c r="AB95" s="1">
        <v>46.8</v>
      </c>
      <c r="AC95" s="1">
        <v>50.8</v>
      </c>
      <c r="AD95" s="1">
        <v>48</v>
      </c>
      <c r="AE95" s="1">
        <v>44.8</v>
      </c>
      <c r="AF95" s="1">
        <v>48.4</v>
      </c>
      <c r="AG95" s="1">
        <v>49</v>
      </c>
      <c r="AH95" s="1">
        <v>47.2</v>
      </c>
      <c r="AI95" s="1">
        <v>50.4</v>
      </c>
      <c r="AJ95" s="1"/>
      <c r="AK95" s="1">
        <f t="shared" si="29"/>
        <v>36</v>
      </c>
      <c r="AL95" s="1">
        <f t="shared" si="30"/>
        <v>0</v>
      </c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</row>
    <row r="96" spans="1:53" x14ac:dyDescent="0.25">
      <c r="A96" s="1" t="s">
        <v>146</v>
      </c>
      <c r="B96" s="1" t="s">
        <v>42</v>
      </c>
      <c r="C96" s="1">
        <v>116</v>
      </c>
      <c r="D96" s="1">
        <v>16</v>
      </c>
      <c r="E96" s="1">
        <v>88</v>
      </c>
      <c r="F96" s="1">
        <v>35</v>
      </c>
      <c r="G96" s="8">
        <v>0.12</v>
      </c>
      <c r="H96" s="1">
        <v>45</v>
      </c>
      <c r="I96" s="1" t="s">
        <v>38</v>
      </c>
      <c r="J96" s="1"/>
      <c r="K96" s="1">
        <v>95</v>
      </c>
      <c r="L96" s="1">
        <f t="shared" si="22"/>
        <v>-7</v>
      </c>
      <c r="M96" s="1">
        <f t="shared" si="23"/>
        <v>88</v>
      </c>
      <c r="N96" s="1"/>
      <c r="O96" s="1"/>
      <c r="P96" s="1"/>
      <c r="Q96" s="1">
        <v>101.2</v>
      </c>
      <c r="R96" s="1">
        <f t="shared" si="24"/>
        <v>17.600000000000001</v>
      </c>
      <c r="S96" s="5">
        <f t="shared" si="33"/>
        <v>75.000000000000014</v>
      </c>
      <c r="T96" s="5"/>
      <c r="U96" s="5">
        <f t="shared" si="26"/>
        <v>75.000000000000014</v>
      </c>
      <c r="V96" s="5"/>
      <c r="W96" s="5"/>
      <c r="X96" s="1"/>
      <c r="Y96" s="1"/>
      <c r="Z96" s="1">
        <f t="shared" si="27"/>
        <v>11.999999999999998</v>
      </c>
      <c r="AA96" s="1">
        <f t="shared" si="28"/>
        <v>7.7386363636363624</v>
      </c>
      <c r="AB96" s="1">
        <v>17.8</v>
      </c>
      <c r="AC96" s="1">
        <v>8.6</v>
      </c>
      <c r="AD96" s="1">
        <v>10.4</v>
      </c>
      <c r="AE96" s="1">
        <v>12.8</v>
      </c>
      <c r="AF96" s="1">
        <v>13</v>
      </c>
      <c r="AG96" s="1">
        <v>6.2</v>
      </c>
      <c r="AH96" s="1">
        <v>1.8</v>
      </c>
      <c r="AI96" s="1">
        <v>8.8000000000000007</v>
      </c>
      <c r="AJ96" s="1"/>
      <c r="AK96" s="1">
        <f t="shared" si="29"/>
        <v>9</v>
      </c>
      <c r="AL96" s="1">
        <f t="shared" si="30"/>
        <v>0</v>
      </c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</row>
    <row r="97" spans="1:53" x14ac:dyDescent="0.25">
      <c r="A97" s="12" t="s">
        <v>147</v>
      </c>
      <c r="B97" s="1" t="s">
        <v>37</v>
      </c>
      <c r="C97" s="1"/>
      <c r="D97" s="1"/>
      <c r="E97" s="1"/>
      <c r="F97" s="1"/>
      <c r="G97" s="8">
        <v>1</v>
      </c>
      <c r="H97" s="1">
        <v>180</v>
      </c>
      <c r="I97" s="1" t="s">
        <v>38</v>
      </c>
      <c r="J97" s="1"/>
      <c r="K97" s="1"/>
      <c r="L97" s="1">
        <f t="shared" si="22"/>
        <v>0</v>
      </c>
      <c r="M97" s="1">
        <f t="shared" si="23"/>
        <v>0</v>
      </c>
      <c r="N97" s="1"/>
      <c r="O97" s="1"/>
      <c r="P97" s="1"/>
      <c r="Q97" s="12"/>
      <c r="R97" s="1">
        <f t="shared" si="24"/>
        <v>0</v>
      </c>
      <c r="S97" s="20">
        <v>4</v>
      </c>
      <c r="T97" s="20"/>
      <c r="U97" s="5">
        <f t="shared" si="26"/>
        <v>4</v>
      </c>
      <c r="V97" s="5"/>
      <c r="W97" s="5"/>
      <c r="X97" s="1"/>
      <c r="Y97" s="1"/>
      <c r="Z97" s="1" t="e">
        <f t="shared" si="27"/>
        <v>#DIV/0!</v>
      </c>
      <c r="AA97" s="1" t="e">
        <f t="shared" si="28"/>
        <v>#DIV/0!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2" t="s">
        <v>148</v>
      </c>
      <c r="AK97" s="1">
        <f t="shared" si="29"/>
        <v>4</v>
      </c>
      <c r="AL97" s="1">
        <f t="shared" si="30"/>
        <v>0</v>
      </c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</row>
    <row r="98" spans="1:53" x14ac:dyDescent="0.25">
      <c r="A98" s="1"/>
      <c r="B98" s="1"/>
      <c r="C98" s="1"/>
      <c r="D98" s="1"/>
      <c r="E98" s="1"/>
      <c r="F98" s="1"/>
      <c r="G98" s="8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</row>
    <row r="99" spans="1:53" x14ac:dyDescent="0.25">
      <c r="A99" s="1"/>
      <c r="B99" s="1"/>
      <c r="C99" s="1"/>
      <c r="D99" s="1"/>
      <c r="E99" s="1"/>
      <c r="F99" s="1"/>
      <c r="G99" s="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</row>
    <row r="100" spans="1:53" x14ac:dyDescent="0.25">
      <c r="A100" s="1"/>
      <c r="B100" s="1"/>
      <c r="C100" s="1"/>
      <c r="D100" s="1"/>
      <c r="E100" s="1"/>
      <c r="F100" s="1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</row>
    <row r="101" spans="1:53" x14ac:dyDescent="0.25">
      <c r="A101" s="1"/>
      <c r="B101" s="1"/>
      <c r="C101" s="1"/>
      <c r="D101" s="1"/>
      <c r="E101" s="1"/>
      <c r="F101" s="1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</row>
    <row r="102" spans="1:53" x14ac:dyDescent="0.25">
      <c r="A102" s="1"/>
      <c r="B102" s="1"/>
      <c r="C102" s="1"/>
      <c r="D102" s="1"/>
      <c r="E102" s="1"/>
      <c r="F102" s="1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</row>
    <row r="103" spans="1:53" x14ac:dyDescent="0.25">
      <c r="A103" s="1"/>
      <c r="B103" s="1"/>
      <c r="C103" s="1"/>
      <c r="D103" s="1"/>
      <c r="E103" s="1"/>
      <c r="F103" s="1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</row>
    <row r="104" spans="1:53" x14ac:dyDescent="0.25">
      <c r="A104" s="1"/>
      <c r="B104" s="1"/>
      <c r="C104" s="1"/>
      <c r="D104" s="1"/>
      <c r="E104" s="1"/>
      <c r="F104" s="1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</row>
    <row r="105" spans="1:53" x14ac:dyDescent="0.25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</row>
    <row r="106" spans="1:53" x14ac:dyDescent="0.25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</row>
    <row r="107" spans="1:53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</row>
    <row r="108" spans="1:53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</row>
    <row r="109" spans="1:53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</row>
    <row r="110" spans="1:53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</row>
    <row r="111" spans="1:53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</row>
    <row r="112" spans="1:53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</row>
    <row r="113" spans="1:53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</row>
    <row r="114" spans="1:53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</row>
    <row r="115" spans="1:53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</row>
    <row r="116" spans="1:53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</row>
    <row r="117" spans="1:53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</row>
    <row r="118" spans="1:53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</row>
    <row r="119" spans="1:53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</row>
    <row r="120" spans="1:53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</row>
    <row r="121" spans="1:53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</row>
    <row r="122" spans="1:53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</row>
    <row r="123" spans="1:53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</row>
    <row r="124" spans="1:53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</row>
    <row r="125" spans="1:53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</row>
    <row r="126" spans="1:53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</row>
    <row r="127" spans="1:53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</row>
    <row r="128" spans="1:53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</row>
    <row r="129" spans="1:53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</row>
    <row r="130" spans="1:53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</row>
    <row r="131" spans="1:53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</row>
    <row r="132" spans="1:53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</row>
    <row r="133" spans="1:53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</row>
    <row r="134" spans="1:53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</row>
    <row r="135" spans="1:53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</row>
    <row r="136" spans="1:53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</row>
    <row r="137" spans="1:53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</row>
    <row r="138" spans="1:53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</row>
    <row r="139" spans="1:53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</row>
    <row r="140" spans="1:53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</row>
    <row r="141" spans="1:53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</row>
    <row r="142" spans="1:53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</row>
    <row r="143" spans="1:53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</row>
    <row r="144" spans="1:53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</row>
    <row r="145" spans="1:53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</row>
    <row r="146" spans="1:53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</row>
    <row r="147" spans="1:53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</row>
    <row r="148" spans="1:53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</row>
    <row r="149" spans="1:53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</row>
    <row r="150" spans="1:53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</row>
    <row r="151" spans="1:53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</row>
    <row r="152" spans="1:53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</row>
    <row r="153" spans="1:53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</row>
    <row r="154" spans="1:53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</row>
    <row r="155" spans="1:53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</row>
    <row r="156" spans="1:53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</row>
    <row r="157" spans="1:53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</row>
    <row r="158" spans="1:53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</row>
    <row r="159" spans="1:53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</row>
    <row r="160" spans="1:53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</row>
    <row r="161" spans="1:53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</row>
    <row r="162" spans="1:53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</row>
    <row r="163" spans="1:53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</row>
    <row r="164" spans="1:53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</row>
    <row r="165" spans="1:53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</row>
    <row r="166" spans="1:53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</row>
    <row r="167" spans="1:53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</row>
    <row r="168" spans="1:53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</row>
    <row r="169" spans="1:53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</row>
    <row r="170" spans="1:53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</row>
    <row r="171" spans="1:53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</row>
    <row r="172" spans="1:53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</row>
    <row r="173" spans="1:53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</row>
    <row r="174" spans="1:53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</row>
    <row r="175" spans="1:53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</row>
    <row r="176" spans="1:53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</row>
    <row r="177" spans="1:53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</row>
    <row r="178" spans="1:53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</row>
    <row r="179" spans="1:53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</row>
    <row r="180" spans="1:53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</row>
    <row r="181" spans="1:53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</row>
    <row r="182" spans="1:53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</row>
    <row r="183" spans="1:53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</row>
    <row r="184" spans="1:53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</row>
    <row r="185" spans="1:53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</row>
    <row r="186" spans="1:53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</row>
    <row r="187" spans="1:53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</row>
    <row r="188" spans="1:53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</row>
    <row r="189" spans="1:53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</row>
    <row r="190" spans="1:53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</row>
    <row r="191" spans="1:53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</row>
    <row r="192" spans="1:53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</row>
    <row r="193" spans="1:53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</row>
    <row r="194" spans="1:53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</row>
    <row r="195" spans="1:53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</row>
    <row r="196" spans="1:53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</row>
    <row r="197" spans="1:53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</row>
    <row r="198" spans="1:53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</row>
    <row r="199" spans="1:53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</row>
    <row r="200" spans="1:53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</row>
    <row r="201" spans="1:53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</row>
    <row r="202" spans="1:53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</row>
    <row r="203" spans="1:53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</row>
    <row r="204" spans="1:53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</row>
    <row r="205" spans="1:53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</row>
    <row r="206" spans="1:53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</row>
    <row r="207" spans="1:53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</row>
    <row r="208" spans="1:53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</row>
    <row r="209" spans="1:53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</row>
    <row r="210" spans="1:53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</row>
    <row r="211" spans="1:53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</row>
    <row r="212" spans="1:53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</row>
    <row r="213" spans="1:53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</row>
    <row r="214" spans="1:53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</row>
    <row r="215" spans="1:53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</row>
    <row r="216" spans="1:53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</row>
    <row r="217" spans="1:53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</row>
    <row r="218" spans="1:53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</row>
    <row r="219" spans="1:53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</row>
    <row r="220" spans="1:53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</row>
    <row r="221" spans="1:53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</row>
    <row r="222" spans="1:53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</row>
    <row r="223" spans="1:53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</row>
    <row r="224" spans="1:53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</row>
    <row r="225" spans="1:53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</row>
    <row r="226" spans="1:53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</row>
    <row r="227" spans="1:53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</row>
    <row r="228" spans="1:53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</row>
    <row r="229" spans="1:53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</row>
    <row r="230" spans="1:53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</row>
    <row r="231" spans="1:53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</row>
    <row r="232" spans="1:53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</row>
    <row r="233" spans="1:53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</row>
    <row r="234" spans="1:53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</row>
    <row r="235" spans="1:53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</row>
    <row r="236" spans="1:53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</row>
    <row r="237" spans="1:53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</row>
    <row r="238" spans="1:53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</row>
    <row r="239" spans="1:53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</row>
    <row r="240" spans="1:53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</row>
    <row r="241" spans="1:53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</row>
    <row r="242" spans="1:53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</row>
    <row r="243" spans="1:53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</row>
    <row r="244" spans="1:53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</row>
    <row r="245" spans="1:53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</row>
    <row r="246" spans="1:53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</row>
    <row r="247" spans="1:53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</row>
    <row r="248" spans="1:53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</row>
    <row r="249" spans="1:53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</row>
    <row r="250" spans="1:53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</row>
    <row r="251" spans="1:53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</row>
    <row r="252" spans="1:53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</row>
    <row r="253" spans="1:53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</row>
    <row r="254" spans="1:53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</row>
    <row r="255" spans="1:53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</row>
    <row r="256" spans="1:53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</row>
    <row r="257" spans="1:53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</row>
    <row r="258" spans="1:53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</row>
    <row r="259" spans="1:53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</row>
    <row r="260" spans="1:53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</row>
    <row r="261" spans="1:53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</row>
    <row r="262" spans="1:53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</row>
    <row r="263" spans="1:53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</row>
    <row r="264" spans="1:53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</row>
    <row r="265" spans="1:53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</row>
    <row r="266" spans="1:53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</row>
    <row r="267" spans="1:53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</row>
    <row r="268" spans="1:53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</row>
    <row r="269" spans="1:53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</row>
    <row r="270" spans="1:53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</row>
    <row r="271" spans="1:53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</row>
    <row r="272" spans="1:53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</row>
    <row r="273" spans="1:53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</row>
    <row r="274" spans="1:53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</row>
    <row r="275" spans="1:53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</row>
    <row r="276" spans="1:53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</row>
    <row r="277" spans="1:53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</row>
    <row r="278" spans="1:53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</row>
    <row r="279" spans="1:53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</row>
    <row r="280" spans="1:53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</row>
    <row r="281" spans="1:53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</row>
    <row r="282" spans="1:53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</row>
    <row r="283" spans="1:53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</row>
    <row r="284" spans="1:53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</row>
    <row r="285" spans="1:53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</row>
    <row r="286" spans="1:53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</row>
    <row r="287" spans="1:53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</row>
    <row r="288" spans="1:53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</row>
    <row r="289" spans="1:53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</row>
    <row r="290" spans="1:53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</row>
    <row r="291" spans="1:53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</row>
    <row r="292" spans="1:53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</row>
    <row r="293" spans="1:53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</row>
    <row r="294" spans="1:53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</row>
    <row r="295" spans="1:53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</row>
    <row r="296" spans="1:53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</row>
    <row r="297" spans="1:53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</row>
    <row r="298" spans="1:53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</row>
    <row r="299" spans="1:53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</row>
    <row r="300" spans="1:53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</row>
    <row r="301" spans="1:53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</row>
    <row r="302" spans="1:53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</row>
    <row r="303" spans="1:53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</row>
    <row r="304" spans="1:53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</row>
    <row r="305" spans="1:53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</row>
    <row r="306" spans="1:53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</row>
    <row r="307" spans="1:53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</row>
    <row r="308" spans="1:53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</row>
    <row r="309" spans="1:53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</row>
    <row r="310" spans="1:53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</row>
    <row r="311" spans="1:53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</row>
    <row r="312" spans="1:53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</row>
    <row r="313" spans="1:53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</row>
    <row r="314" spans="1:53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</row>
    <row r="315" spans="1:53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</row>
    <row r="316" spans="1:53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</row>
    <row r="317" spans="1:53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</row>
    <row r="318" spans="1:53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</row>
    <row r="319" spans="1:53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</row>
    <row r="320" spans="1:53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</row>
    <row r="321" spans="1:53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</row>
    <row r="322" spans="1:53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</row>
    <row r="323" spans="1:53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</row>
    <row r="324" spans="1:53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</row>
    <row r="325" spans="1:53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</row>
    <row r="326" spans="1:53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</row>
    <row r="327" spans="1:53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</row>
    <row r="328" spans="1:53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</row>
    <row r="329" spans="1:53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</row>
    <row r="330" spans="1:53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</row>
    <row r="331" spans="1:53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</row>
    <row r="332" spans="1:53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</row>
    <row r="333" spans="1:53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</row>
    <row r="334" spans="1:53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</row>
    <row r="335" spans="1:53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</row>
    <row r="336" spans="1:53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</row>
    <row r="337" spans="1:53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</row>
    <row r="338" spans="1:53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</row>
    <row r="339" spans="1:53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</row>
    <row r="340" spans="1:53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</row>
    <row r="341" spans="1:53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</row>
    <row r="342" spans="1:53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</row>
    <row r="343" spans="1:53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</row>
    <row r="344" spans="1:53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</row>
    <row r="345" spans="1:53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</row>
    <row r="346" spans="1:53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</row>
    <row r="347" spans="1:53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</row>
    <row r="348" spans="1:53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</row>
    <row r="349" spans="1:53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</row>
    <row r="350" spans="1:53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</row>
    <row r="351" spans="1:53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</row>
    <row r="352" spans="1:53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</row>
    <row r="353" spans="1:53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</row>
    <row r="354" spans="1:53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</row>
    <row r="355" spans="1:53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</row>
    <row r="356" spans="1:53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</row>
    <row r="357" spans="1:53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</row>
    <row r="358" spans="1:53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</row>
    <row r="359" spans="1:53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</row>
    <row r="360" spans="1:53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</row>
    <row r="361" spans="1:53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</row>
    <row r="362" spans="1:53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</row>
    <row r="363" spans="1:53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</row>
    <row r="364" spans="1:53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</row>
    <row r="365" spans="1:53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</row>
    <row r="366" spans="1:53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</row>
    <row r="367" spans="1:53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</row>
    <row r="368" spans="1:53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</row>
    <row r="369" spans="1:53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</row>
    <row r="370" spans="1:53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</row>
    <row r="371" spans="1:53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</row>
    <row r="372" spans="1:53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</row>
    <row r="373" spans="1:53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</row>
    <row r="374" spans="1:53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</row>
    <row r="375" spans="1:53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</row>
    <row r="376" spans="1:53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</row>
    <row r="377" spans="1:53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</row>
    <row r="378" spans="1:53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</row>
    <row r="379" spans="1:53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</row>
    <row r="380" spans="1:53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</row>
    <row r="381" spans="1:53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</row>
    <row r="382" spans="1:53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</row>
    <row r="383" spans="1:53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</row>
    <row r="384" spans="1:53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</row>
    <row r="385" spans="1:53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</row>
    <row r="386" spans="1:53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</row>
    <row r="387" spans="1:53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</row>
    <row r="388" spans="1:53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</row>
    <row r="389" spans="1:53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</row>
    <row r="390" spans="1:53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</row>
    <row r="391" spans="1:53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</row>
    <row r="392" spans="1:53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</row>
    <row r="393" spans="1:53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</row>
    <row r="394" spans="1:53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</row>
    <row r="395" spans="1:53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</row>
    <row r="396" spans="1:53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</row>
    <row r="397" spans="1:53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</row>
    <row r="398" spans="1:53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</row>
    <row r="399" spans="1:53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</row>
    <row r="400" spans="1:53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</row>
    <row r="401" spans="1:53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</row>
    <row r="402" spans="1:53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</row>
    <row r="403" spans="1:53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</row>
    <row r="404" spans="1:53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</row>
    <row r="405" spans="1:53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</row>
    <row r="406" spans="1:53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</row>
    <row r="407" spans="1:53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</row>
    <row r="408" spans="1:53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</row>
    <row r="409" spans="1:53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</row>
    <row r="410" spans="1:53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</row>
    <row r="411" spans="1:53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</row>
    <row r="412" spans="1:53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</row>
    <row r="413" spans="1:53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</row>
    <row r="414" spans="1:53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</row>
    <row r="415" spans="1:53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</row>
    <row r="416" spans="1:53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</row>
    <row r="417" spans="1:53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</row>
    <row r="418" spans="1:53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</row>
    <row r="419" spans="1:53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</row>
    <row r="420" spans="1:53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</row>
    <row r="421" spans="1:53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</row>
    <row r="422" spans="1:53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</row>
    <row r="423" spans="1:53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</row>
    <row r="424" spans="1:53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</row>
    <row r="425" spans="1:53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</row>
    <row r="426" spans="1:53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</row>
    <row r="427" spans="1:53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</row>
    <row r="428" spans="1:53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</row>
    <row r="429" spans="1:53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</row>
    <row r="430" spans="1:53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</row>
    <row r="431" spans="1:53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</row>
    <row r="432" spans="1:53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</row>
    <row r="433" spans="1:53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</row>
    <row r="434" spans="1:53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</row>
    <row r="435" spans="1:53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</row>
    <row r="436" spans="1:53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</row>
    <row r="437" spans="1:53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</row>
    <row r="438" spans="1:53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</row>
    <row r="439" spans="1:53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</row>
    <row r="440" spans="1:53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</row>
    <row r="441" spans="1:53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</row>
    <row r="442" spans="1:53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</row>
    <row r="443" spans="1:53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</row>
    <row r="444" spans="1:53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</row>
    <row r="445" spans="1:53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</row>
    <row r="446" spans="1:53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</row>
    <row r="447" spans="1:53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</row>
    <row r="448" spans="1:53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</row>
    <row r="449" spans="1:53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</row>
    <row r="450" spans="1:53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</row>
    <row r="451" spans="1:53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</row>
    <row r="452" spans="1:53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</row>
    <row r="453" spans="1:53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</row>
    <row r="454" spans="1:53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</row>
    <row r="455" spans="1:53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</row>
    <row r="456" spans="1:53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</row>
    <row r="457" spans="1:53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</row>
    <row r="458" spans="1:53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</row>
    <row r="459" spans="1:53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</row>
    <row r="460" spans="1:53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</row>
    <row r="461" spans="1:53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</row>
    <row r="462" spans="1:53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</row>
    <row r="463" spans="1:53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</row>
    <row r="464" spans="1:53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</row>
    <row r="465" spans="1:53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</row>
    <row r="466" spans="1:53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</row>
    <row r="467" spans="1:53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</row>
    <row r="468" spans="1:53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</row>
    <row r="469" spans="1:53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</row>
    <row r="470" spans="1:53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</row>
    <row r="471" spans="1:53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</row>
    <row r="472" spans="1:53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</row>
    <row r="473" spans="1:53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</row>
    <row r="474" spans="1:53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</row>
    <row r="475" spans="1:53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</row>
    <row r="476" spans="1:53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</row>
    <row r="477" spans="1:53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</row>
    <row r="478" spans="1:53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</row>
    <row r="479" spans="1:53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</row>
    <row r="480" spans="1:53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</row>
    <row r="481" spans="1:53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</row>
    <row r="482" spans="1:53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</row>
    <row r="483" spans="1:53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</row>
    <row r="484" spans="1:53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</row>
    <row r="485" spans="1:53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</row>
    <row r="486" spans="1:53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</row>
    <row r="487" spans="1:53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</row>
    <row r="488" spans="1:53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</row>
    <row r="489" spans="1:53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</row>
    <row r="490" spans="1:53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</row>
    <row r="491" spans="1:53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</row>
    <row r="492" spans="1:53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</row>
    <row r="493" spans="1:53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</row>
    <row r="494" spans="1:53" x14ac:dyDescent="0.25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</row>
    <row r="495" spans="1:53" x14ac:dyDescent="0.25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</row>
    <row r="496" spans="1:53" x14ac:dyDescent="0.25">
      <c r="A496" s="1"/>
      <c r="B496" s="1"/>
      <c r="C496" s="1"/>
      <c r="D496" s="1"/>
      <c r="E496" s="1"/>
      <c r="F496" s="1"/>
      <c r="G496" s="8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</row>
    <row r="497" spans="1:53" x14ac:dyDescent="0.25">
      <c r="A497" s="1"/>
      <c r="B497" s="1"/>
      <c r="C497" s="1"/>
      <c r="D497" s="1"/>
      <c r="E497" s="1"/>
      <c r="F497" s="1"/>
      <c r="G497" s="8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</row>
    <row r="498" spans="1:53" x14ac:dyDescent="0.25">
      <c r="A498" s="1"/>
      <c r="B498" s="1"/>
      <c r="C498" s="1"/>
      <c r="D498" s="1"/>
      <c r="E498" s="1"/>
      <c r="F498" s="1"/>
      <c r="G498" s="8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</row>
    <row r="499" spans="1:53" x14ac:dyDescent="0.25">
      <c r="A499" s="1"/>
      <c r="B499" s="1"/>
      <c r="C499" s="1"/>
      <c r="D499" s="1"/>
      <c r="E499" s="1"/>
      <c r="F499" s="1"/>
      <c r="G499" s="8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</row>
    <row r="500" spans="1:53" x14ac:dyDescent="0.25">
      <c r="A500" s="1"/>
      <c r="B500" s="1"/>
      <c r="C500" s="1"/>
      <c r="D500" s="1"/>
      <c r="E500" s="1"/>
      <c r="F500" s="1"/>
      <c r="G500" s="8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</row>
  </sheetData>
  <autoFilter ref="A3:AK97" xr:uid="{2E04ECBF-BE2C-4ACB-88EB-CBFB01FD85F9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2025-11-20T08:56:33Z</dcterms:created>
  <dcterms:modified xsi:type="dcterms:W3CDTF">2025-11-24T07:40:30Z</dcterms:modified>
</cp:coreProperties>
</file>