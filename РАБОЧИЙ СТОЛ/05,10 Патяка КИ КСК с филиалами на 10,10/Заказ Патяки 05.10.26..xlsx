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0A2294D-7743-4E03-A25E-17624999AA8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Y548" i="2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Z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P507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X475" i="2"/>
  <c r="X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P462" i="2"/>
  <c r="X459" i="2"/>
  <c r="X458" i="2"/>
  <c r="BO457" i="2"/>
  <c r="BM457" i="2"/>
  <c r="Y457" i="2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Y427" i="2"/>
  <c r="BN427" i="2" s="1"/>
  <c r="P427" i="2"/>
  <c r="BO426" i="2"/>
  <c r="BM426" i="2"/>
  <c r="Y426" i="2"/>
  <c r="P426" i="2"/>
  <c r="BO425" i="2"/>
  <c r="BM425" i="2"/>
  <c r="Y425" i="2"/>
  <c r="BP425" i="2" s="1"/>
  <c r="P425" i="2"/>
  <c r="X422" i="2"/>
  <c r="X421" i="2"/>
  <c r="BO420" i="2"/>
  <c r="BM420" i="2"/>
  <c r="Y420" i="2"/>
  <c r="Z420" i="2" s="1"/>
  <c r="P420" i="2"/>
  <c r="BO419" i="2"/>
  <c r="BM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Z413" i="2" s="1"/>
  <c r="P413" i="2"/>
  <c r="BO412" i="2"/>
  <c r="BM412" i="2"/>
  <c r="Y412" i="2"/>
  <c r="BP412" i="2" s="1"/>
  <c r="P412" i="2"/>
  <c r="X410" i="2"/>
  <c r="X409" i="2"/>
  <c r="BO408" i="2"/>
  <c r="BM408" i="2"/>
  <c r="Y408" i="2"/>
  <c r="BP408" i="2" s="1"/>
  <c r="P408" i="2"/>
  <c r="BO407" i="2"/>
  <c r="BM407" i="2"/>
  <c r="Y407" i="2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M376" i="2"/>
  <c r="Y376" i="2"/>
  <c r="Y384" i="2" s="1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Y341" i="2" s="1"/>
  <c r="P338" i="2"/>
  <c r="X335" i="2"/>
  <c r="X334" i="2"/>
  <c r="BO333" i="2"/>
  <c r="BM333" i="2"/>
  <c r="Y333" i="2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BP299" i="2" s="1"/>
  <c r="P299" i="2"/>
  <c r="BO298" i="2"/>
  <c r="BM298" i="2"/>
  <c r="Y298" i="2"/>
  <c r="Z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P253" i="2"/>
  <c r="BO252" i="2"/>
  <c r="BM252" i="2"/>
  <c r="Y252" i="2"/>
  <c r="BP252" i="2" s="1"/>
  <c r="P252" i="2"/>
  <c r="BO251" i="2"/>
  <c r="BM251" i="2"/>
  <c r="Y251" i="2"/>
  <c r="Y255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Y202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P192" i="2"/>
  <c r="BO191" i="2"/>
  <c r="BM191" i="2"/>
  <c r="Y191" i="2"/>
  <c r="P191" i="2"/>
  <c r="BO190" i="2"/>
  <c r="BM190" i="2"/>
  <c r="Y190" i="2"/>
  <c r="Y194" i="2" s="1"/>
  <c r="P190" i="2"/>
  <c r="X188" i="2"/>
  <c r="X187" i="2"/>
  <c r="BO186" i="2"/>
  <c r="BM186" i="2"/>
  <c r="Y186" i="2"/>
  <c r="Z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BP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P123" i="2"/>
  <c r="BO122" i="2"/>
  <c r="BM122" i="2"/>
  <c r="Y122" i="2"/>
  <c r="BP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BN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P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P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Z67" i="2" s="1"/>
  <c r="P67" i="2"/>
  <c r="X65" i="2"/>
  <c r="X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F10" i="2" s="1"/>
  <c r="D7" i="2"/>
  <c r="Q6" i="2"/>
  <c r="P2" i="2"/>
  <c r="Z286" i="2" l="1"/>
  <c r="BN286" i="2"/>
  <c r="Z207" i="2"/>
  <c r="BN207" i="2"/>
  <c r="Y416" i="2"/>
  <c r="Z58" i="2"/>
  <c r="BN58" i="2"/>
  <c r="Z145" i="2"/>
  <c r="BN145" i="2"/>
  <c r="Y146" i="2"/>
  <c r="Z150" i="2"/>
  <c r="Z239" i="2"/>
  <c r="BN239" i="2"/>
  <c r="Z348" i="2"/>
  <c r="BN348" i="2"/>
  <c r="Z479" i="2"/>
  <c r="BN479" i="2"/>
  <c r="Z82" i="2"/>
  <c r="BN82" i="2"/>
  <c r="Z182" i="2"/>
  <c r="Z227" i="2"/>
  <c r="Z272" i="2"/>
  <c r="BN272" i="2"/>
  <c r="Z330" i="2"/>
  <c r="BN330" i="2"/>
  <c r="Z386" i="2"/>
  <c r="BN386" i="2"/>
  <c r="Z436" i="2"/>
  <c r="Z513" i="2"/>
  <c r="BN513" i="2"/>
  <c r="X562" i="2"/>
  <c r="X565" i="2"/>
  <c r="Z27" i="2"/>
  <c r="BN27" i="2"/>
  <c r="Z68" i="2"/>
  <c r="BN68" i="2"/>
  <c r="Z96" i="2"/>
  <c r="BN96" i="2"/>
  <c r="Z111" i="2"/>
  <c r="BN111" i="2"/>
  <c r="Z134" i="2"/>
  <c r="Z136" i="2" s="1"/>
  <c r="BN134" i="2"/>
  <c r="Z211" i="2"/>
  <c r="BN211" i="2"/>
  <c r="Z243" i="2"/>
  <c r="BN243" i="2"/>
  <c r="Z276" i="2"/>
  <c r="BN276" i="2"/>
  <c r="Z306" i="2"/>
  <c r="BN306" i="2"/>
  <c r="Z338" i="2"/>
  <c r="Z366" i="2"/>
  <c r="BN366" i="2"/>
  <c r="Z400" i="2"/>
  <c r="Z427" i="2"/>
  <c r="Z489" i="2"/>
  <c r="BN489" i="2"/>
  <c r="Z536" i="2"/>
  <c r="Z537" i="2" s="1"/>
  <c r="BN536" i="2"/>
  <c r="BP536" i="2"/>
  <c r="Y77" i="2"/>
  <c r="Z279" i="2"/>
  <c r="BN279" i="2"/>
  <c r="Z299" i="2"/>
  <c r="Z300" i="2" s="1"/>
  <c r="BN299" i="2"/>
  <c r="Z304" i="2"/>
  <c r="Z310" i="2"/>
  <c r="BN310" i="2"/>
  <c r="Z322" i="2"/>
  <c r="BN322" i="2"/>
  <c r="Z340" i="2"/>
  <c r="BN340" i="2"/>
  <c r="Z524" i="2"/>
  <c r="BN524" i="2"/>
  <c r="Z540" i="2"/>
  <c r="Z541" i="2" s="1"/>
  <c r="Y264" i="2"/>
  <c r="B571" i="2"/>
  <c r="X563" i="2"/>
  <c r="X561" i="2"/>
  <c r="Z29" i="2"/>
  <c r="Z40" i="2"/>
  <c r="BN40" i="2"/>
  <c r="BP49" i="2"/>
  <c r="Z62" i="2"/>
  <c r="BN62" i="2"/>
  <c r="Z89" i="2"/>
  <c r="BN89" i="2"/>
  <c r="Z107" i="2"/>
  <c r="BN107" i="2"/>
  <c r="Z117" i="2"/>
  <c r="BN117" i="2"/>
  <c r="Z122" i="2"/>
  <c r="BN122" i="2"/>
  <c r="Y127" i="2"/>
  <c r="Z140" i="2"/>
  <c r="BN140" i="2"/>
  <c r="Z167" i="2"/>
  <c r="BN167" i="2"/>
  <c r="Z181" i="2"/>
  <c r="Z184" i="2"/>
  <c r="BN184" i="2"/>
  <c r="Z200" i="2"/>
  <c r="Z201" i="2" s="1"/>
  <c r="BN200" i="2"/>
  <c r="BP200" i="2"/>
  <c r="Y201" i="2"/>
  <c r="Z209" i="2"/>
  <c r="Z226" i="2"/>
  <c r="Z229" i="2"/>
  <c r="BN229" i="2"/>
  <c r="Z233" i="2"/>
  <c r="BN233" i="2"/>
  <c r="Z246" i="2"/>
  <c r="BN246" i="2"/>
  <c r="Z252" i="2"/>
  <c r="BN252" i="2"/>
  <c r="Z353" i="2"/>
  <c r="BN353" i="2"/>
  <c r="Y355" i="2"/>
  <c r="Z376" i="2"/>
  <c r="BN376" i="2"/>
  <c r="BP376" i="2"/>
  <c r="Z402" i="2"/>
  <c r="BN402" i="2"/>
  <c r="Z425" i="2"/>
  <c r="BN425" i="2"/>
  <c r="Z435" i="2"/>
  <c r="Z438" i="2"/>
  <c r="BN438" i="2"/>
  <c r="Y542" i="2"/>
  <c r="BP39" i="2"/>
  <c r="BN39" i="2"/>
  <c r="Z39" i="2"/>
  <c r="D571" i="2"/>
  <c r="BP47" i="2"/>
  <c r="BN47" i="2"/>
  <c r="Z47" i="2"/>
  <c r="BP63" i="2"/>
  <c r="BN63" i="2"/>
  <c r="Z63" i="2"/>
  <c r="BP90" i="2"/>
  <c r="BN90" i="2"/>
  <c r="Z90" i="2"/>
  <c r="BP99" i="2"/>
  <c r="BN99" i="2"/>
  <c r="Z99" i="2"/>
  <c r="BN108" i="2"/>
  <c r="Z108" i="2"/>
  <c r="BP108" i="2"/>
  <c r="BP206" i="2"/>
  <c r="Z206" i="2"/>
  <c r="Y214" i="2"/>
  <c r="Y218" i="2"/>
  <c r="Y219" i="2"/>
  <c r="Z217" i="2"/>
  <c r="Z218" i="2" s="1"/>
  <c r="BP224" i="2"/>
  <c r="BN224" i="2"/>
  <c r="Z224" i="2"/>
  <c r="BP228" i="2"/>
  <c r="BN228" i="2"/>
  <c r="Z228" i="2"/>
  <c r="BP232" i="2"/>
  <c r="BN232" i="2"/>
  <c r="Z232" i="2"/>
  <c r="Y258" i="2"/>
  <c r="Y259" i="2"/>
  <c r="Z257" i="2"/>
  <c r="Z258" i="2" s="1"/>
  <c r="BN273" i="2"/>
  <c r="Z273" i="2"/>
  <c r="BP273" i="2"/>
  <c r="BP307" i="2"/>
  <c r="BN307" i="2"/>
  <c r="Z307" i="2"/>
  <c r="BN314" i="2"/>
  <c r="Z314" i="2"/>
  <c r="Z315" i="2" s="1"/>
  <c r="Y316" i="2"/>
  <c r="Y315" i="2"/>
  <c r="BP314" i="2"/>
  <c r="Z22" i="2"/>
  <c r="Z24" i="2" s="1"/>
  <c r="BN22" i="2"/>
  <c r="BP22" i="2"/>
  <c r="BN23" i="2"/>
  <c r="BP23" i="2"/>
  <c r="Y24" i="2"/>
  <c r="Y25" i="2"/>
  <c r="Y33" i="2"/>
  <c r="Z28" i="2"/>
  <c r="BN28" i="2"/>
  <c r="BP29" i="2"/>
  <c r="BP31" i="2"/>
  <c r="BN31" i="2"/>
  <c r="Z31" i="2"/>
  <c r="BN41" i="2"/>
  <c r="Z41" i="2"/>
  <c r="E571" i="2"/>
  <c r="BN56" i="2"/>
  <c r="Z60" i="2"/>
  <c r="BP60" i="2"/>
  <c r="Z70" i="2"/>
  <c r="BP70" i="2"/>
  <c r="BN112" i="2"/>
  <c r="BP112" i="2"/>
  <c r="Y120" i="2"/>
  <c r="BP116" i="2"/>
  <c r="BN116" i="2"/>
  <c r="Z116" i="2"/>
  <c r="Y119" i="2"/>
  <c r="Z124" i="2"/>
  <c r="BP124" i="2"/>
  <c r="BP179" i="2"/>
  <c r="BN179" i="2"/>
  <c r="Z179" i="2"/>
  <c r="BP183" i="2"/>
  <c r="BN183" i="2"/>
  <c r="Z183" i="2"/>
  <c r="BN191" i="2"/>
  <c r="Z191" i="2"/>
  <c r="BP191" i="2"/>
  <c r="BP242" i="2"/>
  <c r="BN242" i="2"/>
  <c r="Z242" i="2"/>
  <c r="BN277" i="2"/>
  <c r="BP277" i="2"/>
  <c r="BN278" i="2"/>
  <c r="BP285" i="2"/>
  <c r="BN285" i="2"/>
  <c r="Z285" i="2"/>
  <c r="BN331" i="2"/>
  <c r="BP331" i="2"/>
  <c r="BN332" i="2"/>
  <c r="BP332" i="2"/>
  <c r="BP333" i="2"/>
  <c r="BN333" i="2"/>
  <c r="Z333" i="2"/>
  <c r="Y334" i="2"/>
  <c r="BN346" i="2"/>
  <c r="Z346" i="2"/>
  <c r="BP346" i="2"/>
  <c r="BP407" i="2"/>
  <c r="BN407" i="2"/>
  <c r="Z407" i="2"/>
  <c r="BP426" i="2"/>
  <c r="BN426" i="2"/>
  <c r="Z426" i="2"/>
  <c r="BN439" i="2"/>
  <c r="Z439" i="2"/>
  <c r="BP439" i="2"/>
  <c r="BN480" i="2"/>
  <c r="BP480" i="2"/>
  <c r="BN481" i="2"/>
  <c r="BP481" i="2"/>
  <c r="BP482" i="2"/>
  <c r="BN482" i="2"/>
  <c r="Z482" i="2"/>
  <c r="Y485" i="2"/>
  <c r="BN484" i="2"/>
  <c r="BP484" i="2"/>
  <c r="BP488" i="2"/>
  <c r="BN488" i="2"/>
  <c r="Z488" i="2"/>
  <c r="Y491" i="2"/>
  <c r="Y490" i="2"/>
  <c r="C571" i="2"/>
  <c r="Y52" i="2"/>
  <c r="Y78" i="2"/>
  <c r="BN76" i="2"/>
  <c r="Z80" i="2"/>
  <c r="Z83" i="2" s="1"/>
  <c r="Y84" i="2"/>
  <c r="Y83" i="2"/>
  <c r="BP80" i="2"/>
  <c r="BN80" i="2"/>
  <c r="Y100" i="2"/>
  <c r="Z97" i="2"/>
  <c r="BP106" i="2"/>
  <c r="BN106" i="2"/>
  <c r="Z106" i="2"/>
  <c r="BP110" i="2"/>
  <c r="BN110" i="2"/>
  <c r="Z110" i="2"/>
  <c r="BN118" i="2"/>
  <c r="Z118" i="2"/>
  <c r="BN135" i="2"/>
  <c r="BP135" i="2"/>
  <c r="Y136" i="2"/>
  <c r="Y137" i="2"/>
  <c r="Y142" i="2"/>
  <c r="BP139" i="2"/>
  <c r="BN139" i="2"/>
  <c r="Z139" i="2"/>
  <c r="BN159" i="2"/>
  <c r="Y161" i="2"/>
  <c r="J571" i="2"/>
  <c r="BP164" i="2"/>
  <c r="BN164" i="2"/>
  <c r="Z164" i="2"/>
  <c r="Y173" i="2"/>
  <c r="Y174" i="2"/>
  <c r="Z171" i="2"/>
  <c r="BN185" i="2"/>
  <c r="Z185" i="2"/>
  <c r="BP192" i="2"/>
  <c r="Z192" i="2"/>
  <c r="BP208" i="2"/>
  <c r="BN208" i="2"/>
  <c r="Z208" i="2"/>
  <c r="BP212" i="2"/>
  <c r="BN212" i="2"/>
  <c r="Z212" i="2"/>
  <c r="BN230" i="2"/>
  <c r="Z230" i="2"/>
  <c r="BN234" i="2"/>
  <c r="BP234" i="2"/>
  <c r="BN235" i="2"/>
  <c r="BN240" i="2"/>
  <c r="Z240" i="2"/>
  <c r="BN244" i="2"/>
  <c r="BP244" i="2"/>
  <c r="BN245" i="2"/>
  <c r="BP253" i="2"/>
  <c r="BN253" i="2"/>
  <c r="Z253" i="2"/>
  <c r="Y280" i="2"/>
  <c r="BP275" i="2"/>
  <c r="BN275" i="2"/>
  <c r="Z275" i="2"/>
  <c r="BN283" i="2"/>
  <c r="Z283" i="2"/>
  <c r="BN287" i="2"/>
  <c r="BP287" i="2"/>
  <c r="BN288" i="2"/>
  <c r="BP288" i="2"/>
  <c r="BP289" i="2"/>
  <c r="BN289" i="2"/>
  <c r="Z289" i="2"/>
  <c r="BN291" i="2"/>
  <c r="BP291" i="2"/>
  <c r="BN293" i="2"/>
  <c r="Y320" i="2"/>
  <c r="Y319" i="2"/>
  <c r="BP318" i="2"/>
  <c r="BN318" i="2"/>
  <c r="Z318" i="2"/>
  <c r="Z319" i="2" s="1"/>
  <c r="BN349" i="2"/>
  <c r="Z349" i="2"/>
  <c r="BP349" i="2"/>
  <c r="BN367" i="2"/>
  <c r="BP367" i="2"/>
  <c r="BN368" i="2"/>
  <c r="BP368" i="2"/>
  <c r="BP369" i="2"/>
  <c r="BN369" i="2"/>
  <c r="Z369" i="2"/>
  <c r="T571" i="2"/>
  <c r="BN371" i="2"/>
  <c r="BP371" i="2"/>
  <c r="BN387" i="2"/>
  <c r="BP387" i="2"/>
  <c r="BN388" i="2"/>
  <c r="BP388" i="2"/>
  <c r="BP389" i="2"/>
  <c r="BN389" i="2"/>
  <c r="Z389" i="2"/>
  <c r="Y390" i="2"/>
  <c r="Y391" i="2"/>
  <c r="Y397" i="2"/>
  <c r="Z393" i="2"/>
  <c r="BP393" i="2"/>
  <c r="BP446" i="2"/>
  <c r="Z446" i="2"/>
  <c r="BN456" i="2"/>
  <c r="BP456" i="2"/>
  <c r="BP457" i="2"/>
  <c r="BN457" i="2"/>
  <c r="Z457" i="2"/>
  <c r="Z458" i="2" s="1"/>
  <c r="Y458" i="2"/>
  <c r="Y459" i="2"/>
  <c r="X571" i="2"/>
  <c r="Z462" i="2"/>
  <c r="BP462" i="2"/>
  <c r="BN525" i="2"/>
  <c r="BP525" i="2"/>
  <c r="BN526" i="2"/>
  <c r="BP526" i="2"/>
  <c r="BP527" i="2"/>
  <c r="BN527" i="2"/>
  <c r="Z527" i="2"/>
  <c r="BN529" i="2"/>
  <c r="BP529" i="2"/>
  <c r="Y545" i="2"/>
  <c r="Y546" i="2"/>
  <c r="Y549" i="2"/>
  <c r="BN548" i="2"/>
  <c r="Z548" i="2"/>
  <c r="Z549" i="2" s="1"/>
  <c r="BP552" i="2"/>
  <c r="Z552" i="2"/>
  <c r="BN558" i="2"/>
  <c r="BN81" i="2"/>
  <c r="BP81" i="2"/>
  <c r="F571" i="2"/>
  <c r="BP87" i="2"/>
  <c r="BN91" i="2"/>
  <c r="BP91" i="2"/>
  <c r="BN92" i="2"/>
  <c r="BP92" i="2"/>
  <c r="G571" i="2"/>
  <c r="Y130" i="2"/>
  <c r="Y131" i="2"/>
  <c r="H571" i="2"/>
  <c r="I571" i="2"/>
  <c r="BN152" i="2"/>
  <c r="BP152" i="2"/>
  <c r="BN154" i="2"/>
  <c r="Y168" i="2"/>
  <c r="BP165" i="2"/>
  <c r="Y188" i="2"/>
  <c r="BN177" i="2"/>
  <c r="BP181" i="2"/>
  <c r="Y197" i="2"/>
  <c r="Y198" i="2"/>
  <c r="BP209" i="2"/>
  <c r="BN222" i="2"/>
  <c r="BP226" i="2"/>
  <c r="Y249" i="2"/>
  <c r="Y254" i="2"/>
  <c r="BN263" i="2"/>
  <c r="BN267" i="2"/>
  <c r="BP267" i="2"/>
  <c r="Y269" i="2"/>
  <c r="BN268" i="2"/>
  <c r="Y270" i="2"/>
  <c r="BN298" i="2"/>
  <c r="BP298" i="2"/>
  <c r="Y300" i="2"/>
  <c r="Y301" i="2"/>
  <c r="BP304" i="2"/>
  <c r="BN308" i="2"/>
  <c r="BP308" i="2"/>
  <c r="BN309" i="2"/>
  <c r="BP309" i="2"/>
  <c r="Y311" i="2"/>
  <c r="Y325" i="2"/>
  <c r="BP329" i="2"/>
  <c r="BN329" i="2"/>
  <c r="Z329" i="2"/>
  <c r="Y351" i="2"/>
  <c r="Z345" i="2"/>
  <c r="BP347" i="2"/>
  <c r="BN347" i="2"/>
  <c r="Z347" i="2"/>
  <c r="Y350" i="2"/>
  <c r="S571" i="2"/>
  <c r="Y363" i="2"/>
  <c r="BN360" i="2"/>
  <c r="BP360" i="2"/>
  <c r="Y374" i="2"/>
  <c r="BN377" i="2"/>
  <c r="BP377" i="2"/>
  <c r="BN378" i="2"/>
  <c r="BP378" i="2"/>
  <c r="BP379" i="2"/>
  <c r="BN379" i="2"/>
  <c r="Z379" i="2"/>
  <c r="BN381" i="2"/>
  <c r="BP381" i="2"/>
  <c r="BP395" i="2"/>
  <c r="BN395" i="2"/>
  <c r="Z395" i="2"/>
  <c r="BP401" i="2"/>
  <c r="BN401" i="2"/>
  <c r="Z401" i="2"/>
  <c r="U571" i="2"/>
  <c r="Y422" i="2"/>
  <c r="Y421" i="2"/>
  <c r="BP419" i="2"/>
  <c r="BN419" i="2"/>
  <c r="Z419" i="2"/>
  <c r="Z421" i="2" s="1"/>
  <c r="W571" i="2"/>
  <c r="BP433" i="2"/>
  <c r="BN433" i="2"/>
  <c r="Z433" i="2"/>
  <c r="BP437" i="2"/>
  <c r="BN437" i="2"/>
  <c r="Z437" i="2"/>
  <c r="Y448" i="2"/>
  <c r="BN445" i="2"/>
  <c r="Z445" i="2"/>
  <c r="BP471" i="2"/>
  <c r="Y475" i="2"/>
  <c r="BN472" i="2"/>
  <c r="BP472" i="2"/>
  <c r="Z571" i="2"/>
  <c r="Y496" i="2"/>
  <c r="Z494" i="2"/>
  <c r="Z495" i="2" s="1"/>
  <c r="AA571" i="2"/>
  <c r="BN506" i="2"/>
  <c r="BP506" i="2"/>
  <c r="BP507" i="2"/>
  <c r="BN507" i="2"/>
  <c r="Z507" i="2"/>
  <c r="Y515" i="2"/>
  <c r="BN509" i="2"/>
  <c r="BP509" i="2"/>
  <c r="BN511" i="2"/>
  <c r="BP518" i="2"/>
  <c r="Y522" i="2"/>
  <c r="BN519" i="2"/>
  <c r="BP519" i="2"/>
  <c r="Y532" i="2"/>
  <c r="BP338" i="2"/>
  <c r="Y356" i="2"/>
  <c r="Y404" i="2"/>
  <c r="BP399" i="2"/>
  <c r="BN413" i="2"/>
  <c r="BP413" i="2"/>
  <c r="BN420" i="2"/>
  <c r="BP420" i="2"/>
  <c r="Y429" i="2"/>
  <c r="BP427" i="2"/>
  <c r="Y428" i="2"/>
  <c r="BP435" i="2"/>
  <c r="BN451" i="2"/>
  <c r="Y571" i="2"/>
  <c r="BN499" i="2"/>
  <c r="Y538" i="2"/>
  <c r="BN553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24" i="2" s="1"/>
  <c r="Z359" i="2"/>
  <c r="Z362" i="2" s="1"/>
  <c r="BP361" i="2"/>
  <c r="Z370" i="2"/>
  <c r="BP372" i="2"/>
  <c r="Z380" i="2"/>
  <c r="BP382" i="2"/>
  <c r="Z412" i="2"/>
  <c r="Z415" i="2" s="1"/>
  <c r="BP414" i="2"/>
  <c r="Y441" i="2"/>
  <c r="BP450" i="2"/>
  <c r="Y464" i="2"/>
  <c r="Z471" i="2"/>
  <c r="Z474" i="2" s="1"/>
  <c r="BP473" i="2"/>
  <c r="Z483" i="2"/>
  <c r="BP498" i="2"/>
  <c r="Z508" i="2"/>
  <c r="BP510" i="2"/>
  <c r="Z518" i="2"/>
  <c r="Z521" i="2" s="1"/>
  <c r="BP520" i="2"/>
  <c r="Z528" i="2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64" i="2" s="1"/>
  <c r="Z293" i="2"/>
  <c r="Y442" i="2"/>
  <c r="Z451" i="2"/>
  <c r="Y465" i="2"/>
  <c r="Z499" i="2"/>
  <c r="Z511" i="2"/>
  <c r="Z558" i="2"/>
  <c r="Z559" i="2" s="1"/>
  <c r="R571" i="2"/>
  <c r="J9" i="2"/>
  <c r="Z71" i="2"/>
  <c r="Z172" i="2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69" i="2" s="1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408" i="2"/>
  <c r="Z434" i="2"/>
  <c r="Z444" i="2"/>
  <c r="Z467" i="2"/>
  <c r="Z468" i="2" s="1"/>
  <c r="BP494" i="2"/>
  <c r="Z514" i="2"/>
  <c r="BP540" i="2"/>
  <c r="Z48" i="2"/>
  <c r="Z59" i="2"/>
  <c r="Y114" i="2"/>
  <c r="Z180" i="2"/>
  <c r="Z190" i="2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Y559" i="2"/>
  <c r="BP48" i="2"/>
  <c r="Z57" i="2"/>
  <c r="Y93" i="2"/>
  <c r="Y101" i="2"/>
  <c r="BP123" i="2"/>
  <c r="Z144" i="2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8" i="2"/>
  <c r="Z109" i="2"/>
  <c r="BN144" i="2"/>
  <c r="BN155" i="2"/>
  <c r="Z166" i="2"/>
  <c r="Z210" i="2"/>
  <c r="Z231" i="2"/>
  <c r="Z241" i="2"/>
  <c r="Z251" i="2"/>
  <c r="Y265" i="2"/>
  <c r="Z274" i="2"/>
  <c r="BN294" i="2"/>
  <c r="Z305" i="2"/>
  <c r="Z328" i="2"/>
  <c r="Z339" i="2"/>
  <c r="Z394" i="2"/>
  <c r="BN406" i="2"/>
  <c r="Y409" i="2"/>
  <c r="Z440" i="2"/>
  <c r="BN452" i="2"/>
  <c r="Z463" i="2"/>
  <c r="BN500" i="2"/>
  <c r="BN512" i="2"/>
  <c r="BP548" i="2"/>
  <c r="Y560" i="2"/>
  <c r="AB571" i="2"/>
  <c r="BN57" i="2"/>
  <c r="Y94" i="2"/>
  <c r="Y237" i="2"/>
  <c r="BN251" i="2"/>
  <c r="Z334" i="2" l="1"/>
  <c r="Z146" i="2"/>
  <c r="Z485" i="2"/>
  <c r="Z390" i="2"/>
  <c r="Z464" i="2"/>
  <c r="Z341" i="2"/>
  <c r="Z383" i="2"/>
  <c r="Z141" i="2"/>
  <c r="Z428" i="2"/>
  <c r="X564" i="2"/>
  <c r="Z311" i="2"/>
  <c r="Z396" i="2"/>
  <c r="Z248" i="2"/>
  <c r="Z213" i="2"/>
  <c r="Z93" i="2"/>
  <c r="Z193" i="2"/>
  <c r="Z51" i="2"/>
  <c r="Z441" i="2"/>
  <c r="Z355" i="2"/>
  <c r="Z72" i="2"/>
  <c r="Z531" i="2"/>
  <c r="Z295" i="2"/>
  <c r="Z403" i="2"/>
  <c r="Z350" i="2"/>
  <c r="Z490" i="2"/>
  <c r="Z280" i="2"/>
  <c r="Z173" i="2"/>
  <c r="Z373" i="2"/>
  <c r="Z32" i="2"/>
  <c r="Y565" i="2"/>
  <c r="Z126" i="2"/>
  <c r="Y561" i="2"/>
  <c r="Z119" i="2"/>
  <c r="Z254" i="2"/>
  <c r="Z168" i="2"/>
  <c r="Z100" i="2"/>
  <c r="Z554" i="2"/>
  <c r="Z447" i="2"/>
  <c r="Z501" i="2"/>
  <c r="Z453" i="2"/>
  <c r="Z236" i="2"/>
  <c r="Y563" i="2"/>
  <c r="Z42" i="2"/>
  <c r="Y562" i="2"/>
  <c r="Y564" i="2" s="1"/>
  <c r="Z113" i="2"/>
  <c r="Z156" i="2"/>
  <c r="Z187" i="2"/>
  <c r="Z409" i="2"/>
  <c r="Z64" i="2"/>
  <c r="Z515" i="2"/>
  <c r="Z566" i="2" l="1"/>
</calcChain>
</file>

<file path=xl/sharedStrings.xml><?xml version="1.0" encoding="utf-8"?>
<sst xmlns="http://schemas.openxmlformats.org/spreadsheetml/2006/main" count="4312" uniqueCount="896">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</sst>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87" sqref="AA8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72"/>
      <c r="P5" s="27" t="s">
        <v>4</v>
      </c>
      <c r="Q5" s="1006">
        <v>46299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878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Воскресенье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4.1666666666666664E-2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120</v>
      </c>
      <c r="Y87" s="55">
        <f t="shared" ref="Y87:Y92" si="5">IFERROR(IF(X87="",0,CEILING((X87/$H87),1)*$H87),"")</f>
        <v>129.60000000000002</v>
      </c>
      <c r="Z87" s="41">
        <f>IFERROR(IF(Y87=0,"",ROUNDUP(Y87/H87,0)*0.01898),"")</f>
        <v>0.22776000000000002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124.55555555555556</v>
      </c>
      <c r="BN87" s="78">
        <f t="shared" ref="BN87:BN92" si="7">IFERROR(Y87*I87/H87,"0")</f>
        <v>134.52000000000001</v>
      </c>
      <c r="BO87" s="78">
        <f t="shared" ref="BO87:BO92" si="8">IFERROR(1/J87*(X87/H87),"0")</f>
        <v>0.1736111111111111</v>
      </c>
      <c r="BP87" s="78">
        <f t="shared" ref="BP87:BP92" si="9">IFERROR(1/J87*(Y87/H87),"0")</f>
        <v>0.18750000000000003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11.111111111111111</v>
      </c>
      <c r="Y93" s="43">
        <f>IFERROR(Y87/H87,"0")+IFERROR(Y88/H88,"0")+IFERROR(Y89/H89,"0")+IFERROR(Y90/H90,"0")+IFERROR(Y91/H91,"0")+IFERROR(Y92/H92,"0")</f>
        <v>12.000000000000002</v>
      </c>
      <c r="Z93" s="43">
        <f>IFERROR(IF(Z87="",0,Z87),"0")+IFERROR(IF(Z88="",0,Z88),"0")+IFERROR(IF(Z89="",0,Z89),"0")+IFERROR(IF(Z90="",0,Z90),"0")+IFERROR(IF(Z91="",0,Z91),"0")+IFERROR(IF(Z92="",0,Z92),"0")</f>
        <v>0.22776000000000002</v>
      </c>
      <c r="AA93" s="67"/>
      <c r="AB93" s="67"/>
      <c r="AC93" s="67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120</v>
      </c>
      <c r="Y94" s="43">
        <f>IFERROR(SUM(Y87:Y92),"0")</f>
        <v>129.60000000000002</v>
      </c>
      <c r="Z94" s="42"/>
      <c r="AA94" s="67"/>
      <c r="AB94" s="67"/>
      <c r="AC94" s="67"/>
    </row>
    <row r="95" spans="1:68" ht="14.25" hidden="1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81</v>
      </c>
      <c r="Y98" s="55">
        <f>IFERROR(IF(X98="",0,CEILING((X98/$H98),1)*$H98),"")</f>
        <v>81</v>
      </c>
      <c r="Z98" s="41">
        <f>IFERROR(IF(Y98=0,"",ROUNDUP(Y98/H98,0)*0.00651),"")</f>
        <v>0.1953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88.559999999999988</v>
      </c>
      <c r="BN98" s="78">
        <f>IFERROR(Y98*I98/H98,"0")</f>
        <v>88.559999999999988</v>
      </c>
      <c r="BO98" s="78">
        <f>IFERROR(1/J98*(X98/H98),"0")</f>
        <v>0.16483516483516483</v>
      </c>
      <c r="BP98" s="78">
        <f>IFERROR(1/J98*(Y98/H98),"0")</f>
        <v>0.16483516483516483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29.999999999999996</v>
      </c>
      <c r="Y100" s="43">
        <f>IFERROR(Y96/H96,"0")+IFERROR(Y97/H97,"0")+IFERROR(Y98/H98,"0")+IFERROR(Y99/H99,"0")</f>
        <v>29.999999999999996</v>
      </c>
      <c r="Z100" s="43">
        <f>IFERROR(IF(Z96="",0,Z96),"0")+IFERROR(IF(Z97="",0,Z97),"0")+IFERROR(IF(Z98="",0,Z98),"0")+IFERROR(IF(Z99="",0,Z99),"0")</f>
        <v>0.1953</v>
      </c>
      <c r="AA100" s="67"/>
      <c r="AB100" s="67"/>
      <c r="AC100" s="67"/>
    </row>
    <row r="101" spans="1:68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81</v>
      </c>
      <c r="Y101" s="43">
        <f>IFERROR(SUM(Y96:Y99),"0")</f>
        <v>81</v>
      </c>
      <c r="Z101" s="42"/>
      <c r="AA101" s="67"/>
      <c r="AB101" s="67"/>
      <c r="AC101" s="67"/>
    </row>
    <row r="102" spans="1:68" ht="16.5" hidden="1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120</v>
      </c>
      <c r="Y104" s="55">
        <f t="shared" ref="Y104:Y112" si="10">IFERROR(IF(X104="",0,CEILING((X104/$H104),1)*$H104),"")</f>
        <v>129.60000000000002</v>
      </c>
      <c r="Z104" s="41">
        <f>IFERROR(IF(Y104=0,"",ROUNDUP(Y104/H104,0)*0.01898),"")</f>
        <v>0.22776000000000002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124.55555555555556</v>
      </c>
      <c r="BN104" s="78">
        <f t="shared" ref="BN104:BN112" si="12">IFERROR(Y104*I104/H104,"0")</f>
        <v>134.52000000000001</v>
      </c>
      <c r="BO104" s="78">
        <f t="shared" ref="BO104:BO112" si="13">IFERROR(1/J104*(X104/H104),"0")</f>
        <v>0.1736111111111111</v>
      </c>
      <c r="BP104" s="78">
        <f t="shared" ref="BP104:BP112" si="14">IFERROR(1/J104*(Y104/H104),"0")</f>
        <v>0.18750000000000003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11.111111111111111</v>
      </c>
      <c r="Y113" s="43">
        <f>IFERROR(Y104/H104,"0")+IFERROR(Y105/H105,"0")+IFERROR(Y106/H106,"0")+IFERROR(Y107/H107,"0")+IFERROR(Y108/H108,"0")+IFERROR(Y109/H109,"0")+IFERROR(Y110/H110,"0")+IFERROR(Y111/H111,"0")+IFERROR(Y112/H112,"0")</f>
        <v>12.000000000000002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0.22776000000000002</v>
      </c>
      <c r="AA113" s="67"/>
      <c r="AB113" s="67"/>
      <c r="AC113" s="67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120</v>
      </c>
      <c r="Y114" s="43">
        <f>IFERROR(SUM(Y104:Y112),"0")</f>
        <v>129.60000000000002</v>
      </c>
      <c r="Z114" s="42"/>
      <c r="AA114" s="67"/>
      <c r="AB114" s="67"/>
      <c r="AC114" s="67"/>
    </row>
    <row r="115" spans="1:68" ht="14.25" hidden="1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67.5</v>
      </c>
      <c r="Y124" s="55">
        <f>IFERROR(IF(X124="",0,CEILING((X124/$H124),1)*$H124),"")</f>
        <v>67.5</v>
      </c>
      <c r="Z124" s="41">
        <f>IFERROR(IF(Y124=0,"",ROUNDUP(Y124/H124,0)*0.00651),"")</f>
        <v>0.16275000000000001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73.8</v>
      </c>
      <c r="BN124" s="78">
        <f>IFERROR(Y124*I124/H124,"0")</f>
        <v>73.8</v>
      </c>
      <c r="BO124" s="78">
        <f>IFERROR(1/J124*(X124/H124),"0")</f>
        <v>0.13736263736263737</v>
      </c>
      <c r="BP124" s="78">
        <f>IFERROR(1/J124*(Y124/H124),"0")</f>
        <v>0.13736263736263737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25</v>
      </c>
      <c r="Y126" s="43">
        <f>IFERROR(Y122/H122,"0")+IFERROR(Y123/H123,"0")+IFERROR(Y124/H124,"0")+IFERROR(Y125/H125,"0")</f>
        <v>25</v>
      </c>
      <c r="Z126" s="43">
        <f>IFERROR(IF(Z122="",0,Z122),"0")+IFERROR(IF(Z123="",0,Z123),"0")+IFERROR(IF(Z124="",0,Z124),"0")+IFERROR(IF(Z125="",0,Z125),"0")</f>
        <v>0.16275000000000001</v>
      </c>
      <c r="AA126" s="67"/>
      <c r="AB126" s="67"/>
      <c r="AC126" s="67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67.5</v>
      </c>
      <c r="Y127" s="43">
        <f>IFERROR(SUM(Y122:Y125),"0")</f>
        <v>67.5</v>
      </c>
      <c r="Z127" s="42"/>
      <c r="AA127" s="67"/>
      <c r="AB127" s="67"/>
      <c r="AC127" s="67"/>
    </row>
    <row r="128" spans="1:68" ht="14.25" hidden="1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200</v>
      </c>
      <c r="Y221" s="55">
        <f t="shared" ref="Y221:Y235" si="32">IFERROR(IF(X221="",0,CEILING((X221/$H221),1)*$H221),"")</f>
        <v>201.60000000000002</v>
      </c>
      <c r="Z221" s="41">
        <f>IFERROR(IF(Y221=0,"",ROUNDUP(Y221/H221,0)*0.00902),"")</f>
        <v>0.43296000000000001</v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211.9047619047619</v>
      </c>
      <c r="BN221" s="78">
        <f t="shared" ref="BN221:BN235" si="34">IFERROR(Y221*I221/H221,"0")</f>
        <v>213.60000000000002</v>
      </c>
      <c r="BO221" s="78">
        <f t="shared" ref="BO221:BO235" si="35">IFERROR(1/J221*(X221/H221),"0")</f>
        <v>0.36075036075036077</v>
      </c>
      <c r="BP221" s="78">
        <f t="shared" ref="BP221:BP235" si="36">IFERROR(1/J221*(Y221/H221),"0")</f>
        <v>0.36363636363636365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47.61904761904762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48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0.43296000000000001</v>
      </c>
      <c r="AA236" s="67"/>
      <c r="AB236" s="67"/>
      <c r="AC236" s="67"/>
    </row>
    <row r="237" spans="1:68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200</v>
      </c>
      <c r="Y237" s="43">
        <f>IFERROR(SUM(Y221:Y235),"0")</f>
        <v>201.60000000000002</v>
      </c>
      <c r="Z237" s="42"/>
      <c r="AA237" s="67"/>
      <c r="AB237" s="67"/>
      <c r="AC237" s="67"/>
    </row>
    <row r="238" spans="1:68" ht="14.25" hidden="1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50</v>
      </c>
      <c r="Y284" s="55">
        <f t="shared" si="48"/>
        <v>56.699999999999996</v>
      </c>
      <c r="Z284" s="41">
        <f>IFERROR(IF(Y284=0,"",ROUNDUP(Y284/H284,0)*0.01898),"")</f>
        <v>0.13286000000000001</v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52.938271604938272</v>
      </c>
      <c r="BN284" s="78">
        <f t="shared" si="50"/>
        <v>60.031999999999996</v>
      </c>
      <c r="BO284" s="78">
        <f t="shared" si="51"/>
        <v>9.6450617283950615E-2</v>
      </c>
      <c r="BP284" s="78">
        <f t="shared" si="52"/>
        <v>0.109375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240</v>
      </c>
      <c r="Y286" s="55">
        <f t="shared" si="48"/>
        <v>240</v>
      </c>
      <c r="Z286" s="41">
        <f>IFERROR(IF(Y286=0,"",ROUNDUP(Y286/H286,0)*0.00651),"")</f>
        <v>0.65100000000000002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267</v>
      </c>
      <c r="BN286" s="78">
        <f t="shared" si="50"/>
        <v>267</v>
      </c>
      <c r="BO286" s="78">
        <f t="shared" si="51"/>
        <v>0.5494505494505495</v>
      </c>
      <c r="BP286" s="78">
        <f t="shared" si="52"/>
        <v>0.5494505494505495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240</v>
      </c>
      <c r="Y289" s="55">
        <f t="shared" si="48"/>
        <v>240</v>
      </c>
      <c r="Z289" s="41">
        <f>IFERROR(IF(Y289=0,"",ROUNDUP(Y289/H289,0)*0.00651),"")</f>
        <v>0.65100000000000002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265.20000000000005</v>
      </c>
      <c r="BN289" s="78">
        <f t="shared" si="50"/>
        <v>265.20000000000005</v>
      </c>
      <c r="BO289" s="78">
        <f t="shared" si="51"/>
        <v>0.5494505494505495</v>
      </c>
      <c r="BP289" s="78">
        <f t="shared" si="52"/>
        <v>0.5494505494505495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240</v>
      </c>
      <c r="Y291" s="55">
        <f t="shared" si="48"/>
        <v>240</v>
      </c>
      <c r="Z291" s="41">
        <f>IFERROR(IF(Y291=0,"",ROUNDUP(Y291/H291,0)*0.00651),"")</f>
        <v>0.65100000000000002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265.20000000000005</v>
      </c>
      <c r="BN291" s="78">
        <f t="shared" si="50"/>
        <v>265.20000000000005</v>
      </c>
      <c r="BO291" s="78">
        <f t="shared" si="51"/>
        <v>0.5494505494505495</v>
      </c>
      <c r="BP291" s="78">
        <f t="shared" si="52"/>
        <v>0.5494505494505495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240</v>
      </c>
      <c r="Y293" s="55">
        <f t="shared" si="48"/>
        <v>240</v>
      </c>
      <c r="Z293" s="41">
        <f>IFERROR(IF(Y293=0,"",ROUNDUP(Y293/H293,0)*0.00651),"")</f>
        <v>0.65100000000000002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265.8</v>
      </c>
      <c r="BN293" s="78">
        <f t="shared" si="50"/>
        <v>265.8</v>
      </c>
      <c r="BO293" s="78">
        <f t="shared" si="51"/>
        <v>0.5494505494505495</v>
      </c>
      <c r="BP293" s="78">
        <f t="shared" si="52"/>
        <v>0.5494505494505495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406.17283950617286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407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2.7368600000000001</v>
      </c>
      <c r="AA295" s="67"/>
      <c r="AB295" s="67"/>
      <c r="AC295" s="67"/>
    </row>
    <row r="296" spans="1:68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1010</v>
      </c>
      <c r="Y296" s="43">
        <f>IFERROR(SUM(Y283:Y294),"0")</f>
        <v>1016.7</v>
      </c>
      <c r="Z296" s="42"/>
      <c r="AA296" s="67"/>
      <c r="AB296" s="67"/>
      <c r="AC296" s="67"/>
    </row>
    <row r="297" spans="1:68" ht="14.25" hidden="1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240</v>
      </c>
      <c r="Y298" s="55">
        <f>IFERROR(IF(X298="",0,CEILING((X298/$H298),1)*$H298),"")</f>
        <v>240</v>
      </c>
      <c r="Z298" s="41">
        <f>IFERROR(IF(Y298=0,"",ROUNDUP(Y298/H298,0)*0.00651),"")</f>
        <v>0.65100000000000002</v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265.20000000000005</v>
      </c>
      <c r="BN298" s="78">
        <f>IFERROR(Y298*I298/H298,"0")</f>
        <v>265.20000000000005</v>
      </c>
      <c r="BO298" s="78">
        <f>IFERROR(1/J298*(X298/H298),"0")</f>
        <v>0.5494505494505495</v>
      </c>
      <c r="BP298" s="78">
        <f>IFERROR(1/J298*(Y298/H298),"0")</f>
        <v>0.5494505494505495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100</v>
      </c>
      <c r="Y300" s="43">
        <f>IFERROR(Y298/H298,"0")+IFERROR(Y299/H299,"0")</f>
        <v>100</v>
      </c>
      <c r="Z300" s="43">
        <f>IFERROR(IF(Z298="",0,Z298),"0")+IFERROR(IF(Z299="",0,Z299),"0")</f>
        <v>0.65100000000000002</v>
      </c>
      <c r="AA300" s="67"/>
      <c r="AB300" s="67"/>
      <c r="AC300" s="67"/>
    </row>
    <row r="301" spans="1:68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240</v>
      </c>
      <c r="Y301" s="43">
        <f>IFERROR(SUM(Y298:Y299),"0")</f>
        <v>240</v>
      </c>
      <c r="Z301" s="42"/>
      <c r="AA301" s="67"/>
      <c r="AB301" s="67"/>
      <c r="AC301" s="67"/>
    </row>
    <row r="302" spans="1:68" ht="16.5" hidden="1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100</v>
      </c>
      <c r="Y376" s="55">
        <f t="shared" ref="Y376:Y382" si="68">IFERROR(IF(X376="",0,CEILING((X376/$H376),1)*$H376),"")</f>
        <v>100.80000000000001</v>
      </c>
      <c r="Z376" s="41">
        <f>IFERROR(IF(Y376=0,"",ROUNDUP(Y376/H376,0)*0.00902),"")</f>
        <v>0.21648000000000001</v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105.95238095238095</v>
      </c>
      <c r="BN376" s="78">
        <f t="shared" ref="BN376:BN382" si="70">IFERROR(Y376*I376/H376,"0")</f>
        <v>106.80000000000001</v>
      </c>
      <c r="BO376" s="78">
        <f t="shared" ref="BO376:BO382" si="71">IFERROR(1/J376*(X376/H376),"0")</f>
        <v>0.18037518037518038</v>
      </c>
      <c r="BP376" s="78">
        <f t="shared" ref="BP376:BP382" si="72">IFERROR(1/J376*(Y376/H376),"0")</f>
        <v>0.18181818181818182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23.80952380952381</v>
      </c>
      <c r="Y383" s="43">
        <f>IFERROR(Y376/H376,"0")+IFERROR(Y377/H377,"0")+IFERROR(Y378/H378,"0")+IFERROR(Y379/H379,"0")+IFERROR(Y380/H380,"0")+IFERROR(Y381/H381,"0")+IFERROR(Y382/H382,"0")</f>
        <v>24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0.21648000000000001</v>
      </c>
      <c r="AA383" s="67"/>
      <c r="AB383" s="67"/>
      <c r="AC383" s="67"/>
    </row>
    <row r="384" spans="1:68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100</v>
      </c>
      <c r="Y384" s="43">
        <f>IFERROR(SUM(Y376:Y382),"0")</f>
        <v>100.80000000000001</v>
      </c>
      <c r="Z384" s="42"/>
      <c r="AA384" s="67"/>
      <c r="AB384" s="67"/>
      <c r="AC384" s="67"/>
    </row>
    <row r="385" spans="1:68" ht="14.25" hidden="1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200</v>
      </c>
      <c r="Y393" s="55">
        <f>IFERROR(IF(X393="",0,CEILING((X393/$H393),1)*$H393),"")</f>
        <v>201.60000000000002</v>
      </c>
      <c r="Z393" s="41">
        <f>IFERROR(IF(Y393=0,"",ROUNDUP(Y393/H393,0)*0.01898),"")</f>
        <v>0.45552000000000004</v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211.76190476190476</v>
      </c>
      <c r="BN393" s="78">
        <f>IFERROR(Y393*I393/H393,"0")</f>
        <v>213.45600000000002</v>
      </c>
      <c r="BO393" s="78">
        <f>IFERROR(1/J393*(X393/H393),"0")</f>
        <v>0.37202380952380953</v>
      </c>
      <c r="BP393" s="78">
        <f>IFERROR(1/J393*(Y393/H393),"0")</f>
        <v>0.375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101.39999999999999</v>
      </c>
      <c r="Z394" s="41">
        <f>IFERROR(IF(Y394=0,"",ROUNDUP(Y394/H394,0)*0.01898),"")</f>
        <v>0.24674000000000001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106.33333333333334</v>
      </c>
      <c r="BN394" s="78">
        <f>IFERROR(Y394*I394/H394,"0")</f>
        <v>107.82199999999999</v>
      </c>
      <c r="BO394" s="78">
        <f>IFERROR(1/J394*(X394/H394),"0")</f>
        <v>0.20032051282051283</v>
      </c>
      <c r="BP394" s="78">
        <f>IFERROR(1/J394*(Y394/H394),"0")</f>
        <v>0.203125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50</v>
      </c>
      <c r="Y395" s="55">
        <f>IFERROR(IF(X395="",0,CEILING((X395/$H395),1)*$H395),"")</f>
        <v>50.400000000000006</v>
      </c>
      <c r="Z395" s="41">
        <f>IFERROR(IF(Y395=0,"",ROUNDUP(Y395/H395,0)*0.01898),"")</f>
        <v>0.11388000000000001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52.94047619047619</v>
      </c>
      <c r="BN395" s="78">
        <f>IFERROR(Y395*I395/H395,"0")</f>
        <v>53.364000000000004</v>
      </c>
      <c r="BO395" s="78">
        <f>IFERROR(1/J395*(X395/H395),"0")</f>
        <v>9.3005952380952384E-2</v>
      </c>
      <c r="BP395" s="78">
        <f>IFERROR(1/J395*(Y395/H395),"0")</f>
        <v>9.375E-2</v>
      </c>
    </row>
    <row r="396" spans="1:68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42.582417582417577</v>
      </c>
      <c r="Y396" s="43">
        <f>IFERROR(Y393/H393,"0")+IFERROR(Y394/H394,"0")+IFERROR(Y395/H395,"0")</f>
        <v>43</v>
      </c>
      <c r="Z396" s="43">
        <f>IFERROR(IF(Z393="",0,Z393),"0")+IFERROR(IF(Z394="",0,Z394),"0")+IFERROR(IF(Z395="",0,Z395),"0")</f>
        <v>0.81614000000000009</v>
      </c>
      <c r="AA396" s="67"/>
      <c r="AB396" s="67"/>
      <c r="AC396" s="67"/>
    </row>
    <row r="397" spans="1:68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350</v>
      </c>
      <c r="Y397" s="43">
        <f>IFERROR(SUM(Y393:Y395),"0")</f>
        <v>353.4</v>
      </c>
      <c r="Z397" s="42"/>
      <c r="AA397" s="67"/>
      <c r="AB397" s="67"/>
      <c r="AC397" s="67"/>
    </row>
    <row r="398" spans="1:68" ht="14.25" hidden="1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hidden="1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hidden="1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hidden="1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hidden="1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hidden="1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0</v>
      </c>
      <c r="Y441" s="43">
        <f>IFERROR(Y433/H433,"0")+IFERROR(Y434/H434,"0")+IFERROR(Y435/H435,"0")+IFERROR(Y436/H436,"0")+IFERROR(Y437/H437,"0")+IFERROR(Y438/H438,"0")+IFERROR(Y439/H439,"0")+IFERROR(Y440/H440,"0")</f>
        <v>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0</v>
      </c>
      <c r="Y442" s="43">
        <f>IFERROR(SUM(Y433:Y440),"0")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hidden="1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250</v>
      </c>
      <c r="Y451" s="55">
        <f>IFERROR(IF(X451="",0,CEILING((X451/$H451),1)*$H451),"")</f>
        <v>252</v>
      </c>
      <c r="Z451" s="41">
        <f>IFERROR(IF(Y451=0,"",ROUNDUP(Y451/H451,0)*0.01898),"")</f>
        <v>0.53144000000000002</v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263.72222222222223</v>
      </c>
      <c r="BN451" s="78">
        <f>IFERROR(Y451*I451/H451,"0")</f>
        <v>265.83199999999999</v>
      </c>
      <c r="BO451" s="78">
        <f>IFERROR(1/J451*(X451/H451),"0")</f>
        <v>0.43402777777777779</v>
      </c>
      <c r="BP451" s="78">
        <f>IFERROR(1/J451*(Y451/H451),"0")</f>
        <v>0.4375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27.777777777777779</v>
      </c>
      <c r="Y453" s="43">
        <f>IFERROR(Y450/H450,"0")+IFERROR(Y451/H451,"0")+IFERROR(Y452/H452,"0")</f>
        <v>28</v>
      </c>
      <c r="Z453" s="43">
        <f>IFERROR(IF(Z450="",0,Z450),"0")+IFERROR(IF(Z451="",0,Z451),"0")+IFERROR(IF(Z452="",0,Z452),"0")</f>
        <v>0.53144000000000002</v>
      </c>
      <c r="AA453" s="67"/>
      <c r="AB453" s="67"/>
      <c r="AC453" s="67"/>
    </row>
    <row r="454" spans="1:68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250</v>
      </c>
      <c r="Y454" s="43">
        <f>IFERROR(SUM(Y450:Y452),"0")</f>
        <v>252</v>
      </c>
      <c r="Z454" s="42"/>
      <c r="AA454" s="67"/>
      <c r="AB454" s="67"/>
      <c r="AC454" s="67"/>
    </row>
    <row r="455" spans="1:68" ht="14.25" hidden="1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400</v>
      </c>
      <c r="Y457" s="55">
        <f>IFERROR(IF(X457="",0,CEILING((X457/$H457),1)*$H457),"")</f>
        <v>405</v>
      </c>
      <c r="Z457" s="41">
        <f>IFERROR(IF(Y457=0,"",ROUNDUP(Y457/H457,0)*0.01898),"")</f>
        <v>0.85409999999999997</v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421.95555555555552</v>
      </c>
      <c r="BN457" s="78">
        <f>IFERROR(Y457*I457/H457,"0")</f>
        <v>427.22999999999996</v>
      </c>
      <c r="BO457" s="78">
        <f>IFERROR(1/J457*(X457/H457),"0")</f>
        <v>0.69444444444444442</v>
      </c>
      <c r="BP457" s="78">
        <f>IFERROR(1/J457*(Y457/H457),"0")</f>
        <v>0.703125</v>
      </c>
    </row>
    <row r="458" spans="1:68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44.444444444444443</v>
      </c>
      <c r="Y458" s="43">
        <f>IFERROR(Y456/H456,"0")+IFERROR(Y457/H457,"0")</f>
        <v>45</v>
      </c>
      <c r="Z458" s="43">
        <f>IFERROR(IF(Z456="",0,Z456),"0")+IFERROR(IF(Z457="",0,Z457),"0")</f>
        <v>0.85409999999999997</v>
      </c>
      <c r="AA458" s="67"/>
      <c r="AB458" s="67"/>
      <c r="AC458" s="67"/>
    </row>
    <row r="459" spans="1:68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400</v>
      </c>
      <c r="Y459" s="43">
        <f>IFERROR(SUM(Y456:Y457),"0")</f>
        <v>405</v>
      </c>
      <c r="Z459" s="42"/>
      <c r="AA459" s="67"/>
      <c r="AB459" s="67"/>
      <c r="AC459" s="67"/>
    </row>
    <row r="460" spans="1:68" ht="16.5" hidden="1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150</v>
      </c>
      <c r="Y479" s="55">
        <f t="shared" ref="Y479:Y484" si="78">IFERROR(IF(X479="",0,CEILING((X479/$H479),1)*$H479),"")</f>
        <v>151.20000000000002</v>
      </c>
      <c r="Z479" s="41">
        <f>IFERROR(IF(Y479=0,"",ROUNDUP(Y479/H479,0)*0.00902),"")</f>
        <v>0.25256000000000001</v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155.27777777777777</v>
      </c>
      <c r="BN479" s="78">
        <f t="shared" ref="BN479:BN484" si="80">IFERROR(Y479*I479/H479,"0")</f>
        <v>156.52000000000001</v>
      </c>
      <c r="BO479" s="78">
        <f t="shared" ref="BO479:BO484" si="81">IFERROR(1/J479*(X479/H479),"0")</f>
        <v>0.21043771043771042</v>
      </c>
      <c r="BP479" s="78">
        <f t="shared" ref="BP479:BP484" si="82">IFERROR(1/J479*(Y479/H479),"0")</f>
        <v>0.21212121212121213</v>
      </c>
    </row>
    <row r="480" spans="1:68" ht="27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300</v>
      </c>
      <c r="Y480" s="55">
        <f t="shared" si="78"/>
        <v>302.40000000000003</v>
      </c>
      <c r="Z480" s="41">
        <f>IFERROR(IF(Y480=0,"",ROUNDUP(Y480/H480,0)*0.00902),"")</f>
        <v>0.50512000000000001</v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310.55555555555554</v>
      </c>
      <c r="BN480" s="78">
        <f t="shared" si="80"/>
        <v>313.04000000000002</v>
      </c>
      <c r="BO480" s="78">
        <f t="shared" si="81"/>
        <v>0.42087542087542085</v>
      </c>
      <c r="BP480" s="78">
        <f t="shared" si="82"/>
        <v>0.42424242424242425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21</v>
      </c>
      <c r="Y484" s="55">
        <f t="shared" si="78"/>
        <v>21</v>
      </c>
      <c r="Z484" s="41">
        <f>IFERROR(IF(Y484=0,"",ROUNDUP(Y484/H484,0)*0.00502),"")</f>
        <v>5.0200000000000002E-2</v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22.299999999999997</v>
      </c>
      <c r="BN484" s="78">
        <f t="shared" si="80"/>
        <v>22.299999999999997</v>
      </c>
      <c r="BO484" s="78">
        <f t="shared" si="81"/>
        <v>4.2735042735042736E-2</v>
      </c>
      <c r="BP484" s="78">
        <f t="shared" si="82"/>
        <v>4.2735042735042736E-2</v>
      </c>
    </row>
    <row r="485" spans="1:68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93.333333333333329</v>
      </c>
      <c r="Y485" s="43">
        <f>IFERROR(Y479/H479,"0")+IFERROR(Y480/H480,"0")+IFERROR(Y481/H481,"0")+IFERROR(Y482/H482,"0")+IFERROR(Y483/H483,"0")+IFERROR(Y484/H484,"0")</f>
        <v>94</v>
      </c>
      <c r="Z485" s="43">
        <f>IFERROR(IF(Z479="",0,Z479),"0")+IFERROR(IF(Z480="",0,Z480),"0")+IFERROR(IF(Z481="",0,Z481),"0")+IFERROR(IF(Z482="",0,Z482),"0")+IFERROR(IF(Z483="",0,Z483),"0")+IFERROR(IF(Z484="",0,Z484),"0")</f>
        <v>0.80788000000000004</v>
      </c>
      <c r="AA485" s="67"/>
      <c r="AB485" s="67"/>
      <c r="AC485" s="67"/>
    </row>
    <row r="486" spans="1:68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471</v>
      </c>
      <c r="Y486" s="43">
        <f>IFERROR(SUM(Y479:Y484),"0")</f>
        <v>474.6</v>
      </c>
      <c r="Z486" s="42"/>
      <c r="AA486" s="67"/>
      <c r="AB486" s="67"/>
      <c r="AC486" s="67"/>
    </row>
    <row r="487" spans="1:68" ht="14.25" hidden="1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21</v>
      </c>
      <c r="Y494" s="55">
        <f>IFERROR(IF(X494="",0,CEILING((X494/$H494),1)*$H494),"")</f>
        <v>21</v>
      </c>
      <c r="Z494" s="41">
        <f>IFERROR(IF(Y494=0,"",ROUNDUP(Y494/H494,0)*0.00651),"")</f>
        <v>6.5100000000000005E-2</v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23.099999999999998</v>
      </c>
      <c r="BN494" s="78">
        <f>IFERROR(Y494*I494/H494,"0")</f>
        <v>23.099999999999998</v>
      </c>
      <c r="BO494" s="78">
        <f>IFERROR(1/J494*(X494/H494),"0")</f>
        <v>5.4945054945054951E-2</v>
      </c>
      <c r="BP494" s="78">
        <f>IFERROR(1/J494*(Y494/H494),"0")</f>
        <v>5.4945054945054951E-2</v>
      </c>
    </row>
    <row r="495" spans="1:68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10</v>
      </c>
      <c r="Y495" s="43">
        <f>IFERROR(Y494/H494,"0")</f>
        <v>10</v>
      </c>
      <c r="Z495" s="43">
        <f>IFERROR(IF(Z494="",0,Z494),"0")</f>
        <v>6.5100000000000005E-2</v>
      </c>
      <c r="AA495" s="67"/>
      <c r="AB495" s="67"/>
      <c r="AC495" s="67"/>
    </row>
    <row r="496" spans="1:68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21</v>
      </c>
      <c r="Y496" s="43">
        <f>IFERROR(SUM(Y494:Y494),"0")</f>
        <v>21</v>
      </c>
      <c r="Z496" s="42"/>
      <c r="AA496" s="67"/>
      <c r="AB496" s="67"/>
      <c r="AC496" s="67"/>
    </row>
    <row r="497" spans="1:68" ht="14.25" hidden="1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200</v>
      </c>
      <c r="Y498" s="55">
        <f>IFERROR(IF(X498="",0,CEILING((X498/$H498),1)*$H498),"")</f>
        <v>205.20000000000002</v>
      </c>
      <c r="Z498" s="41">
        <f>IFERROR(IF(Y498=0,"",ROUNDUP(Y498/H498,0)*0.00902),"")</f>
        <v>0.34276000000000001</v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207.03703703703701</v>
      </c>
      <c r="BN498" s="78">
        <f>IFERROR(Y498*I498/H498,"0")</f>
        <v>212.42</v>
      </c>
      <c r="BO498" s="78">
        <f>IFERROR(1/J498*(X498/H498),"0")</f>
        <v>0.28058361391694725</v>
      </c>
      <c r="BP498" s="78">
        <f>IFERROR(1/J498*(Y498/H498),"0")</f>
        <v>0.2878787878787879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37.037037037037038</v>
      </c>
      <c r="Y501" s="43">
        <f>IFERROR(Y498/H498,"0")+IFERROR(Y499/H499,"0")+IFERROR(Y500/H500,"0")</f>
        <v>38</v>
      </c>
      <c r="Z501" s="43">
        <f>IFERROR(IF(Z498="",0,Z498),"0")+IFERROR(IF(Z499="",0,Z499),"0")+IFERROR(IF(Z500="",0,Z500),"0")</f>
        <v>0.34276000000000001</v>
      </c>
      <c r="AA501" s="67"/>
      <c r="AB501" s="67"/>
      <c r="AC501" s="67"/>
    </row>
    <row r="502" spans="1:68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200</v>
      </c>
      <c r="Y502" s="43">
        <f>IFERROR(SUM(Y498:Y500),"0")</f>
        <v>205.20000000000002</v>
      </c>
      <c r="Z502" s="42"/>
      <c r="AA502" s="67"/>
      <c r="AB502" s="67"/>
      <c r="AC502" s="67"/>
    </row>
    <row r="503" spans="1:68" ht="27.75" hidden="1" customHeight="1" x14ac:dyDescent="0.2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50</v>
      </c>
      <c r="Y511" s="55">
        <f t="shared" si="83"/>
        <v>52.800000000000004</v>
      </c>
      <c r="Z511" s="41">
        <f t="shared" si="84"/>
        <v>0.1196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53.314393939393938</v>
      </c>
      <c r="BN511" s="78">
        <f t="shared" si="86"/>
        <v>56.3</v>
      </c>
      <c r="BO511" s="78">
        <f t="shared" si="87"/>
        <v>9.1054778554778545E-2</v>
      </c>
      <c r="BP511" s="78">
        <f t="shared" si="88"/>
        <v>9.6153846153846159E-2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9.4696969696969688</v>
      </c>
      <c r="Y515" s="43">
        <f>IFERROR(Y506/H506,"0")+IFERROR(Y507/H507,"0")+IFERROR(Y508/H508,"0")+IFERROR(Y509/H509,"0")+IFERROR(Y510/H510,"0")+IFERROR(Y511/H511,"0")+IFERROR(Y512/H512,"0")+IFERROR(Y513/H513,"0")+IFERROR(Y514/H514,"0")</f>
        <v>10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0.1196</v>
      </c>
      <c r="AA515" s="67"/>
      <c r="AB515" s="67"/>
      <c r="AC515" s="67"/>
    </row>
    <row r="516" spans="1:68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50</v>
      </c>
      <c r="Y516" s="43">
        <f>IFERROR(SUM(Y506:Y514),"0")</f>
        <v>52.800000000000004</v>
      </c>
      <c r="Z516" s="42"/>
      <c r="AA516" s="67"/>
      <c r="AB516" s="67"/>
      <c r="AC516" s="67"/>
    </row>
    <row r="517" spans="1:68" ht="14.25" hidden="1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150</v>
      </c>
      <c r="Y518" s="55">
        <f>IFERROR(IF(X518="",0,CEILING((X518/$H518),1)*$H518),"")</f>
        <v>153.12</v>
      </c>
      <c r="Z518" s="41">
        <f>IFERROR(IF(Y518=0,"",ROUNDUP(Y518/H518,0)*0.01196),"")</f>
        <v>0.34683999999999998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159.94318181818181</v>
      </c>
      <c r="BN518" s="78">
        <f>IFERROR(Y518*I518/H518,"0")</f>
        <v>163.26999999999998</v>
      </c>
      <c r="BO518" s="78">
        <f>IFERROR(1/J518*(X518/H518),"0")</f>
        <v>0.27316433566433568</v>
      </c>
      <c r="BP518" s="78">
        <f>IFERROR(1/J518*(Y518/H518),"0")</f>
        <v>0.27884615384615385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28.409090909090907</v>
      </c>
      <c r="Y521" s="43">
        <f>IFERROR(Y518/H518,"0")+IFERROR(Y519/H519,"0")+IFERROR(Y520/H520,"0")</f>
        <v>29</v>
      </c>
      <c r="Z521" s="43">
        <f>IFERROR(IF(Z518="",0,Z518),"0")+IFERROR(IF(Z519="",0,Z519),"0")+IFERROR(IF(Z520="",0,Z520),"0")</f>
        <v>0.34683999999999998</v>
      </c>
      <c r="AA521" s="67"/>
      <c r="AB521" s="67"/>
      <c r="AC521" s="67"/>
    </row>
    <row r="522" spans="1:68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150</v>
      </c>
      <c r="Y522" s="43">
        <f>IFERROR(SUM(Y518:Y520),"0")</f>
        <v>153.12</v>
      </c>
      <c r="Z522" s="42"/>
      <c r="AA522" s="67"/>
      <c r="AB522" s="67"/>
      <c r="AC522" s="67"/>
    </row>
    <row r="523" spans="1:68" ht="14.25" hidden="1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120</v>
      </c>
      <c r="Y524" s="55">
        <f t="shared" ref="Y524:Y530" si="89">IFERROR(IF(X524="",0,CEILING((X524/$H524),1)*$H524),"")</f>
        <v>121.44000000000001</v>
      </c>
      <c r="Z524" s="41">
        <f>IFERROR(IF(Y524=0,"",ROUNDUP(Y524/H524,0)*0.01196),"")</f>
        <v>0.27507999999999999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127.95454545454545</v>
      </c>
      <c r="BN524" s="78">
        <f t="shared" ref="BN524:BN530" si="91">IFERROR(Y524*I524/H524,"0")</f>
        <v>129.49</v>
      </c>
      <c r="BO524" s="78">
        <f t="shared" ref="BO524:BO530" si="92">IFERROR(1/J524*(X524/H524),"0")</f>
        <v>0.21853146853146854</v>
      </c>
      <c r="BP524" s="78">
        <f t="shared" ref="BP524:BP530" si="93">IFERROR(1/J524*(Y524/H524),"0")</f>
        <v>0.22115384615384617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50</v>
      </c>
      <c r="Y525" s="55">
        <f t="shared" si="89"/>
        <v>52.800000000000004</v>
      </c>
      <c r="Z525" s="41">
        <f>IFERROR(IF(Y525=0,"",ROUNDUP(Y525/H525,0)*0.01196),"")</f>
        <v>0.1196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53.314393939393938</v>
      </c>
      <c r="BN525" s="78">
        <f t="shared" si="91"/>
        <v>56.3</v>
      </c>
      <c r="BO525" s="78">
        <f t="shared" si="92"/>
        <v>9.1054778554778545E-2</v>
      </c>
      <c r="BP525" s="78">
        <f t="shared" si="93"/>
        <v>9.6153846153846159E-2</v>
      </c>
    </row>
    <row r="526" spans="1:68" ht="27" hidden="1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32.196969696969695</v>
      </c>
      <c r="Y531" s="43">
        <f>IFERROR(Y524/H524,"0")+IFERROR(Y525/H525,"0")+IFERROR(Y526/H526,"0")+IFERROR(Y527/H527,"0")+IFERROR(Y528/H528,"0")+IFERROR(Y529/H529,"0")+IFERROR(Y530/H530,"0")</f>
        <v>33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0.39467999999999998</v>
      </c>
      <c r="AA531" s="67"/>
      <c r="AB531" s="67"/>
      <c r="AC531" s="67"/>
    </row>
    <row r="532" spans="1:68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170</v>
      </c>
      <c r="Y532" s="43">
        <f>IFERROR(SUM(Y524:Y530),"0")</f>
        <v>174.24</v>
      </c>
      <c r="Z532" s="42"/>
      <c r="AA532" s="67"/>
      <c r="AB532" s="67"/>
      <c r="AC532" s="67"/>
    </row>
    <row r="533" spans="1:68" ht="27.75" hidden="1" customHeight="1" x14ac:dyDescent="0.2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hidden="1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100</v>
      </c>
      <c r="Y544" s="55">
        <f>IFERROR(IF(X544="",0,CEILING((X544/$H544),1)*$H544),"")</f>
        <v>100.80000000000001</v>
      </c>
      <c r="Z544" s="41">
        <f>IFERROR(IF(Y544=0,"",ROUNDUP(Y544/H544,0)*0.00902),"")</f>
        <v>0.21648000000000001</v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105.95238095238095</v>
      </c>
      <c r="BN544" s="78">
        <f>IFERROR(Y544*I544/H544,"0")</f>
        <v>106.80000000000001</v>
      </c>
      <c r="BO544" s="78">
        <f>IFERROR(1/J544*(X544/H544),"0")</f>
        <v>0.18037518037518038</v>
      </c>
      <c r="BP544" s="78">
        <f>IFERROR(1/J544*(Y544/H544),"0")</f>
        <v>0.18181818181818182</v>
      </c>
    </row>
    <row r="545" spans="1:68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23.80952380952381</v>
      </c>
      <c r="Y545" s="43">
        <f>IFERROR(Y544/H544,"0")</f>
        <v>24</v>
      </c>
      <c r="Z545" s="43">
        <f>IFERROR(IF(Z544="",0,Z544),"0")</f>
        <v>0.21648000000000001</v>
      </c>
      <c r="AA545" s="67"/>
      <c r="AB545" s="67"/>
      <c r="AC545" s="67"/>
    </row>
    <row r="546" spans="1:68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100</v>
      </c>
      <c r="Y546" s="43">
        <f>IFERROR(SUM(Y544:Y544),"0")</f>
        <v>100.80000000000001</v>
      </c>
      <c r="Z546" s="42"/>
      <c r="AA546" s="67"/>
      <c r="AB546" s="67"/>
      <c r="AC546" s="67"/>
    </row>
    <row r="547" spans="1:68" ht="14.25" hidden="1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4100.5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4158.96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4386.1292841109498</v>
      </c>
      <c r="Y562" s="43">
        <f>IFERROR(SUM(BN22:BN558),"0")</f>
        <v>4447.4760000000006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8</v>
      </c>
      <c r="Y563" s="44">
        <f>ROUNDUP(SUM(BP22:BP558),0)</f>
        <v>8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4586.1292841109498</v>
      </c>
      <c r="Y564" s="43">
        <f>GrossWeightTotalR+PalletQtyTotalR*25</f>
        <v>4647.4760000000006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1003.8839247172584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1012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9.3458899999999989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IFERROR(Y87*1,"0")+IFERROR(Y88*1,"0")+IFERROR(Y89*1,"0")+IFERROR(Y90*1,"0")+IFERROR(Y91*1,"0")+IFERROR(Y92*1,"0")+IFERROR(Y96*1,"0")+IFERROR(Y97*1,"0")+IFERROR(Y98*1,"0")+IFERROR(Y99*1,"0")</f>
        <v>210.60000000000002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197.10000000000002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201.60000000000002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1256.7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454.20000000000005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657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474.6</v>
      </c>
      <c r="Z571" s="52">
        <f>IFERROR(Y494*1,"0")+IFERROR(Y498*1,"0")+IFERROR(Y499*1,"0")+IFERROR(Y500*1,"0")</f>
        <v>226.20000000000002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380.16</v>
      </c>
      <c r="AB571" s="52">
        <f>IFERROR(Y536*1,"0")+IFERROR(Y540*1,"0")+IFERROR(Y544*1,"0")+IFERROR(Y548*1,"0")+IFERROR(Y552*1,"0")+IFERROR(Y553*1,"0")</f>
        <v>100.80000000000001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3,88"/>
        <filter val="1 010,00"/>
        <filter val="10,00"/>
        <filter val="100,00"/>
        <filter val="11,11"/>
        <filter val="120,00"/>
        <filter val="150,00"/>
        <filter val="170,00"/>
        <filter val="200,00"/>
        <filter val="21,00"/>
        <filter val="23,81"/>
        <filter val="240,00"/>
        <filter val="25,00"/>
        <filter val="250,00"/>
        <filter val="27,78"/>
        <filter val="28,41"/>
        <filter val="30,00"/>
        <filter val="300,00"/>
        <filter val="32,20"/>
        <filter val="350,00"/>
        <filter val="37,04"/>
        <filter val="4 100,50"/>
        <filter val="4 386,13"/>
        <filter val="4 586,13"/>
        <filter val="400,00"/>
        <filter val="406,17"/>
        <filter val="42,58"/>
        <filter val="44,44"/>
        <filter val="47,62"/>
        <filter val="471,00"/>
        <filter val="50,00"/>
        <filter val="67,50"/>
        <filter val="8"/>
        <filter val="81,00"/>
        <filter val="9,47"/>
        <filter val="93,33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9" spans="2:8" x14ac:dyDescent="0.2">
      <c r="B9" s="53" t="s">
        <v>884</v>
      </c>
      <c r="C9" s="53" t="s">
        <v>879</v>
      </c>
      <c r="D9" s="53" t="s">
        <v>46</v>
      </c>
      <c r="E9" s="53" t="s">
        <v>46</v>
      </c>
    </row>
    <row r="11" spans="2:8" x14ac:dyDescent="0.2">
      <c r="B11" s="53" t="s">
        <v>884</v>
      </c>
      <c r="C11" s="53" t="s">
        <v>882</v>
      </c>
      <c r="D11" s="53" t="s">
        <v>46</v>
      </c>
      <c r="E11" s="53" t="s">
        <v>46</v>
      </c>
    </row>
    <row r="13" spans="2:8" x14ac:dyDescent="0.2">
      <c r="B13" s="53" t="s">
        <v>885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2026-10-06T06:41:23Z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