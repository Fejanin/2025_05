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РАБОЧИЙ СТОЛ\20,12,25 Обрыньба ЛП ближ\"/>
    </mc:Choice>
  </mc:AlternateContent>
  <xr:revisionPtr revIDLastSave="0" documentId="13_ncr:1_{FBA44C34-41CE-4D92-A39C-9C7BDAD823F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Y492" i="1" l="1"/>
  <c r="X492" i="1"/>
  <c r="Y491" i="1"/>
  <c r="X491" i="1"/>
  <c r="BO490" i="1"/>
  <c r="BM490" i="1"/>
  <c r="Y490" i="1"/>
  <c r="Z503" i="1" s="1"/>
  <c r="P490" i="1"/>
  <c r="Y487" i="1"/>
  <c r="X487" i="1"/>
  <c r="Y486" i="1"/>
  <c r="X486" i="1"/>
  <c r="BO485" i="1"/>
  <c r="BM485" i="1"/>
  <c r="Z485" i="1"/>
  <c r="Y485" i="1"/>
  <c r="BP485" i="1" s="1"/>
  <c r="P485" i="1"/>
  <c r="BP484" i="1"/>
  <c r="BO484" i="1"/>
  <c r="BM484" i="1"/>
  <c r="Y484" i="1"/>
  <c r="BN484" i="1" s="1"/>
  <c r="P484" i="1"/>
  <c r="Y482" i="1"/>
  <c r="X482" i="1"/>
  <c r="Y481" i="1"/>
  <c r="X481" i="1"/>
  <c r="BP480" i="1"/>
  <c r="BO480" i="1"/>
  <c r="BM480" i="1"/>
  <c r="Y480" i="1"/>
  <c r="BN480" i="1" s="1"/>
  <c r="P480" i="1"/>
  <c r="Y478" i="1"/>
  <c r="X478" i="1"/>
  <c r="X477" i="1"/>
  <c r="BO476" i="1"/>
  <c r="BN476" i="1"/>
  <c r="BM476" i="1"/>
  <c r="Z476" i="1"/>
  <c r="Z477" i="1" s="1"/>
  <c r="Y476" i="1"/>
  <c r="Y477" i="1" s="1"/>
  <c r="P476" i="1"/>
  <c r="X474" i="1"/>
  <c r="X473" i="1"/>
  <c r="BO472" i="1"/>
  <c r="BN472" i="1"/>
  <c r="BM472" i="1"/>
  <c r="Z472" i="1"/>
  <c r="Y472" i="1"/>
  <c r="BP472" i="1" s="1"/>
  <c r="P472" i="1"/>
  <c r="BO471" i="1"/>
  <c r="BM471" i="1"/>
  <c r="Z471" i="1"/>
  <c r="Z473" i="1" s="1"/>
  <c r="Y471" i="1"/>
  <c r="BP471" i="1" s="1"/>
  <c r="P471" i="1"/>
  <c r="X469" i="1"/>
  <c r="X468" i="1"/>
  <c r="BO467" i="1"/>
  <c r="BN467" i="1"/>
  <c r="BM467" i="1"/>
  <c r="Z467" i="1"/>
  <c r="Y467" i="1"/>
  <c r="BP467" i="1" s="1"/>
  <c r="P467" i="1"/>
  <c r="BP466" i="1"/>
  <c r="BO466" i="1"/>
  <c r="BM466" i="1"/>
  <c r="Y466" i="1"/>
  <c r="BN466" i="1" s="1"/>
  <c r="P466" i="1"/>
  <c r="BP465" i="1"/>
  <c r="BO465" i="1"/>
  <c r="BN465" i="1"/>
  <c r="BM465" i="1"/>
  <c r="Z465" i="1"/>
  <c r="Y465" i="1"/>
  <c r="P465" i="1"/>
  <c r="BO464" i="1"/>
  <c r="BM464" i="1"/>
  <c r="Y464" i="1"/>
  <c r="Y503" i="1" s="1"/>
  <c r="P464" i="1"/>
  <c r="Y460" i="1"/>
  <c r="X460" i="1"/>
  <c r="Y459" i="1"/>
  <c r="X459" i="1"/>
  <c r="BP458" i="1"/>
  <c r="BO458" i="1"/>
  <c r="BN458" i="1"/>
  <c r="BM458" i="1"/>
  <c r="Z458" i="1"/>
  <c r="Z459" i="1" s="1"/>
  <c r="Y458" i="1"/>
  <c r="P458" i="1"/>
  <c r="X456" i="1"/>
  <c r="X455" i="1"/>
  <c r="BP454" i="1"/>
  <c r="BO454" i="1"/>
  <c r="BN454" i="1"/>
  <c r="BM454" i="1"/>
  <c r="Z454" i="1"/>
  <c r="Y454" i="1"/>
  <c r="P454" i="1"/>
  <c r="BP453" i="1"/>
  <c r="BO453" i="1"/>
  <c r="BN453" i="1"/>
  <c r="BM453" i="1"/>
  <c r="Y453" i="1"/>
  <c r="Z453" i="1" s="1"/>
  <c r="P453" i="1"/>
  <c r="BO452" i="1"/>
  <c r="BM452" i="1"/>
  <c r="Y452" i="1"/>
  <c r="BP452" i="1" s="1"/>
  <c r="P452" i="1"/>
  <c r="BP451" i="1"/>
  <c r="BO451" i="1"/>
  <c r="BM451" i="1"/>
  <c r="Y451" i="1"/>
  <c r="BN451" i="1" s="1"/>
  <c r="P451" i="1"/>
  <c r="BO450" i="1"/>
  <c r="BM450" i="1"/>
  <c r="Y450" i="1"/>
  <c r="BP450" i="1" s="1"/>
  <c r="P450" i="1"/>
  <c r="BP449" i="1"/>
  <c r="BO449" i="1"/>
  <c r="BM449" i="1"/>
  <c r="Z449" i="1"/>
  <c r="Y449" i="1"/>
  <c r="BN449" i="1" s="1"/>
  <c r="P449" i="1"/>
  <c r="Y447" i="1"/>
  <c r="X447" i="1"/>
  <c r="X446" i="1"/>
  <c r="BP445" i="1"/>
  <c r="BO445" i="1"/>
  <c r="BN445" i="1"/>
  <c r="BM445" i="1"/>
  <c r="Y445" i="1"/>
  <c r="Z445" i="1" s="1"/>
  <c r="P445" i="1"/>
  <c r="BO444" i="1"/>
  <c r="BM444" i="1"/>
  <c r="Y444" i="1"/>
  <c r="BP444" i="1" s="1"/>
  <c r="P444" i="1"/>
  <c r="BP443" i="1"/>
  <c r="BO443" i="1"/>
  <c r="BM443" i="1"/>
  <c r="Y443" i="1"/>
  <c r="BN443" i="1" s="1"/>
  <c r="P443" i="1"/>
  <c r="X441" i="1"/>
  <c r="X440" i="1"/>
  <c r="BP439" i="1"/>
  <c r="BO439" i="1"/>
  <c r="BN439" i="1"/>
  <c r="BM439" i="1"/>
  <c r="Y439" i="1"/>
  <c r="Z439" i="1" s="1"/>
  <c r="P439" i="1"/>
  <c r="BP438" i="1"/>
  <c r="BO438" i="1"/>
  <c r="BN438" i="1"/>
  <c r="BM438" i="1"/>
  <c r="Z438" i="1"/>
  <c r="Y438" i="1"/>
  <c r="P438" i="1"/>
  <c r="BP437" i="1"/>
  <c r="BO437" i="1"/>
  <c r="BN437" i="1"/>
  <c r="BM437" i="1"/>
  <c r="Y437" i="1"/>
  <c r="Z437" i="1" s="1"/>
  <c r="P437" i="1"/>
  <c r="BO436" i="1"/>
  <c r="BM436" i="1"/>
  <c r="Y436" i="1"/>
  <c r="BP436" i="1" s="1"/>
  <c r="P436" i="1"/>
  <c r="BP435" i="1"/>
  <c r="BO435" i="1"/>
  <c r="BM435" i="1"/>
  <c r="Y435" i="1"/>
  <c r="BN435" i="1" s="1"/>
  <c r="P435" i="1"/>
  <c r="BO434" i="1"/>
  <c r="BM434" i="1"/>
  <c r="Y434" i="1"/>
  <c r="BP434" i="1" s="1"/>
  <c r="P434" i="1"/>
  <c r="BO433" i="1"/>
  <c r="BM433" i="1"/>
  <c r="Y433" i="1"/>
  <c r="BP433" i="1" s="1"/>
  <c r="P433" i="1"/>
  <c r="BP432" i="1"/>
  <c r="BO432" i="1"/>
  <c r="BM432" i="1"/>
  <c r="Z432" i="1"/>
  <c r="Y432" i="1"/>
  <c r="BN432" i="1" s="1"/>
  <c r="P432" i="1"/>
  <c r="BP431" i="1"/>
  <c r="BO431" i="1"/>
  <c r="BM431" i="1"/>
  <c r="Z431" i="1"/>
  <c r="Y431" i="1"/>
  <c r="BN431" i="1" s="1"/>
  <c r="P431" i="1"/>
  <c r="BO430" i="1"/>
  <c r="BM430" i="1"/>
  <c r="Y430" i="1"/>
  <c r="BP430" i="1" s="1"/>
  <c r="P430" i="1"/>
  <c r="BO429" i="1"/>
  <c r="BM429" i="1"/>
  <c r="Z429" i="1"/>
  <c r="Y429" i="1"/>
  <c r="BP429" i="1" s="1"/>
  <c r="P429" i="1"/>
  <c r="BO428" i="1"/>
  <c r="BM428" i="1"/>
  <c r="Z428" i="1"/>
  <c r="Y428" i="1"/>
  <c r="X503" i="1" s="1"/>
  <c r="P428" i="1"/>
  <c r="X424" i="1"/>
  <c r="Y423" i="1"/>
  <c r="X423" i="1"/>
  <c r="BP422" i="1"/>
  <c r="BO422" i="1"/>
  <c r="BM422" i="1"/>
  <c r="Z422" i="1"/>
  <c r="Z423" i="1" s="1"/>
  <c r="Y422" i="1"/>
  <c r="W503" i="1" s="1"/>
  <c r="P422" i="1"/>
  <c r="Y419" i="1"/>
  <c r="X419" i="1"/>
  <c r="X418" i="1"/>
  <c r="BP417" i="1"/>
  <c r="BO417" i="1"/>
  <c r="BM417" i="1"/>
  <c r="Y417" i="1"/>
  <c r="BN417" i="1" s="1"/>
  <c r="P417" i="1"/>
  <c r="BP416" i="1"/>
  <c r="BO416" i="1"/>
  <c r="BM416" i="1"/>
  <c r="Y416" i="1"/>
  <c r="BN416" i="1" s="1"/>
  <c r="P416" i="1"/>
  <c r="BO415" i="1"/>
  <c r="BM415" i="1"/>
  <c r="Y415" i="1"/>
  <c r="BP415" i="1" s="1"/>
  <c r="P415" i="1"/>
  <c r="BO414" i="1"/>
  <c r="BM414" i="1"/>
  <c r="Y414" i="1"/>
  <c r="Y418" i="1" s="1"/>
  <c r="P414" i="1"/>
  <c r="Y412" i="1"/>
  <c r="X412" i="1"/>
  <c r="X411" i="1"/>
  <c r="BP410" i="1"/>
  <c r="BO410" i="1"/>
  <c r="BN410" i="1"/>
  <c r="BM410" i="1"/>
  <c r="Y410" i="1"/>
  <c r="V503" i="1" s="1"/>
  <c r="P410" i="1"/>
  <c r="Y407" i="1"/>
  <c r="X407" i="1"/>
  <c r="Y406" i="1"/>
  <c r="X406" i="1"/>
  <c r="BP405" i="1"/>
  <c r="BO405" i="1"/>
  <c r="BN405" i="1"/>
  <c r="BM405" i="1"/>
  <c r="Z405" i="1"/>
  <c r="Y405" i="1"/>
  <c r="P405" i="1"/>
  <c r="BP404" i="1"/>
  <c r="BO404" i="1"/>
  <c r="BN404" i="1"/>
  <c r="BM404" i="1"/>
  <c r="Z404" i="1"/>
  <c r="Z406" i="1" s="1"/>
  <c r="Y404" i="1"/>
  <c r="P404" i="1"/>
  <c r="Y402" i="1"/>
  <c r="X402" i="1"/>
  <c r="X401" i="1"/>
  <c r="BP400" i="1"/>
  <c r="BO400" i="1"/>
  <c r="BN400" i="1"/>
  <c r="BM400" i="1"/>
  <c r="Z400" i="1"/>
  <c r="Y400" i="1"/>
  <c r="P400" i="1"/>
  <c r="BO399" i="1"/>
  <c r="BN399" i="1"/>
  <c r="BM399" i="1"/>
  <c r="Z399" i="1"/>
  <c r="Y399" i="1"/>
  <c r="BP399" i="1" s="1"/>
  <c r="P399" i="1"/>
  <c r="BP398" i="1"/>
  <c r="BO398" i="1"/>
  <c r="BN398" i="1"/>
  <c r="BM398" i="1"/>
  <c r="Z398" i="1"/>
  <c r="Y398" i="1"/>
  <c r="P398" i="1"/>
  <c r="BP397" i="1"/>
  <c r="BO397" i="1"/>
  <c r="BN397" i="1"/>
  <c r="BM397" i="1"/>
  <c r="Y397" i="1"/>
  <c r="Z397" i="1" s="1"/>
  <c r="P397" i="1"/>
  <c r="BP396" i="1"/>
  <c r="BO396" i="1"/>
  <c r="BN396" i="1"/>
  <c r="BM396" i="1"/>
  <c r="Z396" i="1"/>
  <c r="Y396" i="1"/>
  <c r="P396" i="1"/>
  <c r="BP395" i="1"/>
  <c r="BO395" i="1"/>
  <c r="BN395" i="1"/>
  <c r="BM395" i="1"/>
  <c r="Y395" i="1"/>
  <c r="Z395" i="1" s="1"/>
  <c r="P395" i="1"/>
  <c r="BP394" i="1"/>
  <c r="BO394" i="1"/>
  <c r="BN394" i="1"/>
  <c r="BM394" i="1"/>
  <c r="Y394" i="1"/>
  <c r="Z394" i="1" s="1"/>
  <c r="P394" i="1"/>
  <c r="BP393" i="1"/>
  <c r="BO393" i="1"/>
  <c r="BN393" i="1"/>
  <c r="BM393" i="1"/>
  <c r="Y393" i="1"/>
  <c r="Z393" i="1" s="1"/>
  <c r="P393" i="1"/>
  <c r="BP392" i="1"/>
  <c r="BO392" i="1"/>
  <c r="BM392" i="1"/>
  <c r="Y392" i="1"/>
  <c r="U503" i="1" s="1"/>
  <c r="P392" i="1"/>
  <c r="Y388" i="1"/>
  <c r="X388" i="1"/>
  <c r="X387" i="1"/>
  <c r="BP386" i="1"/>
  <c r="BO386" i="1"/>
  <c r="BN386" i="1"/>
  <c r="BM386" i="1"/>
  <c r="Z386" i="1"/>
  <c r="Y386" i="1"/>
  <c r="P386" i="1"/>
  <c r="BP385" i="1"/>
  <c r="BO385" i="1"/>
  <c r="BN385" i="1"/>
  <c r="BM385" i="1"/>
  <c r="Y385" i="1"/>
  <c r="Z385" i="1" s="1"/>
  <c r="P385" i="1"/>
  <c r="BP384" i="1"/>
  <c r="BO384" i="1"/>
  <c r="BN384" i="1"/>
  <c r="BM384" i="1"/>
  <c r="Y384" i="1"/>
  <c r="Y387" i="1" s="1"/>
  <c r="P384" i="1"/>
  <c r="Y382" i="1"/>
  <c r="X382" i="1"/>
  <c r="Y381" i="1"/>
  <c r="X381" i="1"/>
  <c r="BP380" i="1"/>
  <c r="BO380" i="1"/>
  <c r="BN380" i="1"/>
  <c r="BM380" i="1"/>
  <c r="Z380" i="1"/>
  <c r="Y380" i="1"/>
  <c r="P380" i="1"/>
  <c r="BP379" i="1"/>
  <c r="BO379" i="1"/>
  <c r="BN379" i="1"/>
  <c r="BM379" i="1"/>
  <c r="Y379" i="1"/>
  <c r="Z379" i="1" s="1"/>
  <c r="Z381" i="1" s="1"/>
  <c r="P379" i="1"/>
  <c r="Y377" i="1"/>
  <c r="X377" i="1"/>
  <c r="Y376" i="1"/>
  <c r="X376" i="1"/>
  <c r="BO375" i="1"/>
  <c r="BN375" i="1"/>
  <c r="BM375" i="1"/>
  <c r="Z375" i="1"/>
  <c r="Y375" i="1"/>
  <c r="BP375" i="1" s="1"/>
  <c r="P375" i="1"/>
  <c r="BP374" i="1"/>
  <c r="BO374" i="1"/>
  <c r="BN374" i="1"/>
  <c r="BM374" i="1"/>
  <c r="Z374" i="1"/>
  <c r="Z376" i="1" s="1"/>
  <c r="Y374" i="1"/>
  <c r="T503" i="1" s="1"/>
  <c r="P374" i="1"/>
  <c r="X371" i="1"/>
  <c r="X370" i="1"/>
  <c r="BO369" i="1"/>
  <c r="BM369" i="1"/>
  <c r="Z369" i="1"/>
  <c r="Z370" i="1" s="1"/>
  <c r="Y369" i="1"/>
  <c r="Y371" i="1" s="1"/>
  <c r="P369" i="1"/>
  <c r="X367" i="1"/>
  <c r="X366" i="1"/>
  <c r="BP365" i="1"/>
  <c r="BO365" i="1"/>
  <c r="BM365" i="1"/>
  <c r="Y365" i="1"/>
  <c r="BN365" i="1" s="1"/>
  <c r="P365" i="1"/>
  <c r="BP364" i="1"/>
  <c r="BO364" i="1"/>
  <c r="BM364" i="1"/>
  <c r="Z364" i="1"/>
  <c r="Y364" i="1"/>
  <c r="BN364" i="1" s="1"/>
  <c r="P364" i="1"/>
  <c r="X362" i="1"/>
  <c r="X361" i="1"/>
  <c r="BP360" i="1"/>
  <c r="BO360" i="1"/>
  <c r="BM360" i="1"/>
  <c r="Y360" i="1"/>
  <c r="BN360" i="1" s="1"/>
  <c r="P360" i="1"/>
  <c r="BO359" i="1"/>
  <c r="BM359" i="1"/>
  <c r="Y359" i="1"/>
  <c r="BP359" i="1" s="1"/>
  <c r="P359" i="1"/>
  <c r="X357" i="1"/>
  <c r="X356" i="1"/>
  <c r="BP355" i="1"/>
  <c r="BO355" i="1"/>
  <c r="BN355" i="1"/>
  <c r="BM355" i="1"/>
  <c r="Y355" i="1"/>
  <c r="Z355" i="1" s="1"/>
  <c r="P355" i="1"/>
  <c r="BP354" i="1"/>
  <c r="BO354" i="1"/>
  <c r="BN354" i="1"/>
  <c r="BM354" i="1"/>
  <c r="Y354" i="1"/>
  <c r="Z354" i="1" s="1"/>
  <c r="P354" i="1"/>
  <c r="BP353" i="1"/>
  <c r="BO353" i="1"/>
  <c r="BM353" i="1"/>
  <c r="Y353" i="1"/>
  <c r="BN353" i="1" s="1"/>
  <c r="P353" i="1"/>
  <c r="BP352" i="1"/>
  <c r="BO352" i="1"/>
  <c r="BM352" i="1"/>
  <c r="Y352" i="1"/>
  <c r="BN352" i="1" s="1"/>
  <c r="P352" i="1"/>
  <c r="BO351" i="1"/>
  <c r="BM351" i="1"/>
  <c r="Y351" i="1"/>
  <c r="BP351" i="1" s="1"/>
  <c r="P351" i="1"/>
  <c r="BO350" i="1"/>
  <c r="BM350" i="1"/>
  <c r="Y350" i="1"/>
  <c r="BP350" i="1" s="1"/>
  <c r="P350" i="1"/>
  <c r="BP349" i="1"/>
  <c r="BO349" i="1"/>
  <c r="BM349" i="1"/>
  <c r="Z349" i="1"/>
  <c r="Y349" i="1"/>
  <c r="BN349" i="1" s="1"/>
  <c r="P349" i="1"/>
  <c r="Y345" i="1"/>
  <c r="X345" i="1"/>
  <c r="X344" i="1"/>
  <c r="BP343" i="1"/>
  <c r="BO343" i="1"/>
  <c r="BM343" i="1"/>
  <c r="Y343" i="1"/>
  <c r="BN343" i="1" s="1"/>
  <c r="P343" i="1"/>
  <c r="BP342" i="1"/>
  <c r="BO342" i="1"/>
  <c r="BM342" i="1"/>
  <c r="Y342" i="1"/>
  <c r="BN342" i="1" s="1"/>
  <c r="P342" i="1"/>
  <c r="BO341" i="1"/>
  <c r="BM341" i="1"/>
  <c r="Y341" i="1"/>
  <c r="BP341" i="1" s="1"/>
  <c r="P341" i="1"/>
  <c r="Y338" i="1"/>
  <c r="X338" i="1"/>
  <c r="X337" i="1"/>
  <c r="BP336" i="1"/>
  <c r="BO336" i="1"/>
  <c r="BN336" i="1"/>
  <c r="BM336" i="1"/>
  <c r="Y336" i="1"/>
  <c r="Z336" i="1" s="1"/>
  <c r="P336" i="1"/>
  <c r="BP335" i="1"/>
  <c r="BO335" i="1"/>
  <c r="BN335" i="1"/>
  <c r="BM335" i="1"/>
  <c r="Y335" i="1"/>
  <c r="Z335" i="1" s="1"/>
  <c r="P335" i="1"/>
  <c r="BP334" i="1"/>
  <c r="BO334" i="1"/>
  <c r="BM334" i="1"/>
  <c r="Y334" i="1"/>
  <c r="BN334" i="1" s="1"/>
  <c r="P334" i="1"/>
  <c r="Y332" i="1"/>
  <c r="X332" i="1"/>
  <c r="X331" i="1"/>
  <c r="BP330" i="1"/>
  <c r="BO330" i="1"/>
  <c r="BN330" i="1"/>
  <c r="BM330" i="1"/>
  <c r="Z330" i="1"/>
  <c r="Y330" i="1"/>
  <c r="P330" i="1"/>
  <c r="BP329" i="1"/>
  <c r="BO329" i="1"/>
  <c r="BN329" i="1"/>
  <c r="BM329" i="1"/>
  <c r="Y329" i="1"/>
  <c r="Z329" i="1" s="1"/>
  <c r="P329" i="1"/>
  <c r="BP328" i="1"/>
  <c r="BO328" i="1"/>
  <c r="BN328" i="1"/>
  <c r="BM328" i="1"/>
  <c r="Y328" i="1"/>
  <c r="Z328" i="1" s="1"/>
  <c r="P328" i="1"/>
  <c r="BP327" i="1"/>
  <c r="BO327" i="1"/>
  <c r="BN327" i="1"/>
  <c r="BM327" i="1"/>
  <c r="Y327" i="1"/>
  <c r="Y331" i="1" s="1"/>
  <c r="P327" i="1"/>
  <c r="Y325" i="1"/>
  <c r="X325" i="1"/>
  <c r="X324" i="1"/>
  <c r="BP323" i="1"/>
  <c r="BO323" i="1"/>
  <c r="BN323" i="1"/>
  <c r="BM323" i="1"/>
  <c r="Y323" i="1"/>
  <c r="Z323" i="1" s="1"/>
  <c r="P323" i="1"/>
  <c r="BP322" i="1"/>
  <c r="BO322" i="1"/>
  <c r="BN322" i="1"/>
  <c r="BM322" i="1"/>
  <c r="Z322" i="1"/>
  <c r="Y322" i="1"/>
  <c r="P322" i="1"/>
  <c r="BP321" i="1"/>
  <c r="BO321" i="1"/>
  <c r="BN321" i="1"/>
  <c r="BM321" i="1"/>
  <c r="Y321" i="1"/>
  <c r="Y324" i="1" s="1"/>
  <c r="P321" i="1"/>
  <c r="Y319" i="1"/>
  <c r="X319" i="1"/>
  <c r="X318" i="1"/>
  <c r="BO317" i="1"/>
  <c r="BN317" i="1"/>
  <c r="BM317" i="1"/>
  <c r="Z317" i="1"/>
  <c r="Y317" i="1"/>
  <c r="BP317" i="1" s="1"/>
  <c r="P317" i="1"/>
  <c r="BP316" i="1"/>
  <c r="BO316" i="1"/>
  <c r="BN316" i="1"/>
  <c r="BM316" i="1"/>
  <c r="Z316" i="1"/>
  <c r="Y316" i="1"/>
  <c r="P316" i="1"/>
  <c r="BP315" i="1"/>
  <c r="BO315" i="1"/>
  <c r="BN315" i="1"/>
  <c r="BM315" i="1"/>
  <c r="Y315" i="1"/>
  <c r="Z315" i="1" s="1"/>
  <c r="Z318" i="1" s="1"/>
  <c r="P315" i="1"/>
  <c r="BP314" i="1"/>
  <c r="BO314" i="1"/>
  <c r="BN314" i="1"/>
  <c r="BM314" i="1"/>
  <c r="Z314" i="1"/>
  <c r="Y314" i="1"/>
  <c r="Y318" i="1" s="1"/>
  <c r="P314" i="1"/>
  <c r="Y312" i="1"/>
  <c r="X312" i="1"/>
  <c r="X311" i="1"/>
  <c r="BP310" i="1"/>
  <c r="BO310" i="1"/>
  <c r="BN310" i="1"/>
  <c r="BM310" i="1"/>
  <c r="Z310" i="1"/>
  <c r="Y310" i="1"/>
  <c r="P310" i="1"/>
  <c r="BO309" i="1"/>
  <c r="BN309" i="1"/>
  <c r="BM309" i="1"/>
  <c r="Z309" i="1"/>
  <c r="Y309" i="1"/>
  <c r="BP309" i="1" s="1"/>
  <c r="P309" i="1"/>
  <c r="BP308" i="1"/>
  <c r="BO308" i="1"/>
  <c r="BN308" i="1"/>
  <c r="BM308" i="1"/>
  <c r="Z308" i="1"/>
  <c r="Y308" i="1"/>
  <c r="P308" i="1"/>
  <c r="BP307" i="1"/>
  <c r="BO307" i="1"/>
  <c r="BN307" i="1"/>
  <c r="BM307" i="1"/>
  <c r="Y307" i="1"/>
  <c r="Z307" i="1" s="1"/>
  <c r="P307" i="1"/>
  <c r="BP306" i="1"/>
  <c r="BO306" i="1"/>
  <c r="BN306" i="1"/>
  <c r="BM306" i="1"/>
  <c r="Z306" i="1"/>
  <c r="Y306" i="1"/>
  <c r="P306" i="1"/>
  <c r="BP305" i="1"/>
  <c r="BO305" i="1"/>
  <c r="BN305" i="1"/>
  <c r="BM305" i="1"/>
  <c r="Y305" i="1"/>
  <c r="Y311" i="1" s="1"/>
  <c r="P305" i="1"/>
  <c r="Y303" i="1"/>
  <c r="X303" i="1"/>
  <c r="X302" i="1"/>
  <c r="BO301" i="1"/>
  <c r="BN301" i="1"/>
  <c r="BM301" i="1"/>
  <c r="Z301" i="1"/>
  <c r="Y301" i="1"/>
  <c r="BP301" i="1" s="1"/>
  <c r="P301" i="1"/>
  <c r="BP300" i="1"/>
  <c r="BO300" i="1"/>
  <c r="BN300" i="1"/>
  <c r="BM300" i="1"/>
  <c r="Z300" i="1"/>
  <c r="Y300" i="1"/>
  <c r="P300" i="1"/>
  <c r="BP299" i="1"/>
  <c r="BO299" i="1"/>
  <c r="BN299" i="1"/>
  <c r="BM299" i="1"/>
  <c r="Y299" i="1"/>
  <c r="Z299" i="1" s="1"/>
  <c r="P299" i="1"/>
  <c r="BP298" i="1"/>
  <c r="BO298" i="1"/>
  <c r="BN298" i="1"/>
  <c r="BM298" i="1"/>
  <c r="Z298" i="1"/>
  <c r="Y298" i="1"/>
  <c r="P298" i="1"/>
  <c r="BP297" i="1"/>
  <c r="BO297" i="1"/>
  <c r="BN297" i="1"/>
  <c r="BM297" i="1"/>
  <c r="Y297" i="1"/>
  <c r="Z297" i="1" s="1"/>
  <c r="P297" i="1"/>
  <c r="BP296" i="1"/>
  <c r="BO296" i="1"/>
  <c r="BN296" i="1"/>
  <c r="BM296" i="1"/>
  <c r="Y296" i="1"/>
  <c r="Y302" i="1" s="1"/>
  <c r="P296" i="1"/>
  <c r="Y293" i="1"/>
  <c r="X293" i="1"/>
  <c r="Y292" i="1"/>
  <c r="X292" i="1"/>
  <c r="BP291" i="1"/>
  <c r="BO291" i="1"/>
  <c r="BN291" i="1"/>
  <c r="BM291" i="1"/>
  <c r="Z291" i="1"/>
  <c r="Y291" i="1"/>
  <c r="P291" i="1"/>
  <c r="BP290" i="1"/>
  <c r="BO290" i="1"/>
  <c r="BN290" i="1"/>
  <c r="BM290" i="1"/>
  <c r="Y290" i="1"/>
  <c r="Z290" i="1" s="1"/>
  <c r="Z292" i="1" s="1"/>
  <c r="P290" i="1"/>
  <c r="Y288" i="1"/>
  <c r="X288" i="1"/>
  <c r="Y287" i="1"/>
  <c r="X287" i="1"/>
  <c r="BO286" i="1"/>
  <c r="BN286" i="1"/>
  <c r="BM286" i="1"/>
  <c r="Z286" i="1"/>
  <c r="Y286" i="1"/>
  <c r="BP286" i="1" s="1"/>
  <c r="P286" i="1"/>
  <c r="BP285" i="1"/>
  <c r="BO285" i="1"/>
  <c r="BN285" i="1"/>
  <c r="BM285" i="1"/>
  <c r="Z285" i="1"/>
  <c r="Z287" i="1" s="1"/>
  <c r="Y285" i="1"/>
  <c r="P503" i="1" s="1"/>
  <c r="P285" i="1"/>
  <c r="X282" i="1"/>
  <c r="X281" i="1"/>
  <c r="BO280" i="1"/>
  <c r="BM280" i="1"/>
  <c r="Z280" i="1"/>
  <c r="Y280" i="1"/>
  <c r="BP280" i="1" s="1"/>
  <c r="P280" i="1"/>
  <c r="BO279" i="1"/>
  <c r="BN279" i="1"/>
  <c r="BM279" i="1"/>
  <c r="Z279" i="1"/>
  <c r="Y279" i="1"/>
  <c r="BP279" i="1" s="1"/>
  <c r="P279" i="1"/>
  <c r="BO278" i="1"/>
  <c r="BM278" i="1"/>
  <c r="Y278" i="1"/>
  <c r="BP278" i="1" s="1"/>
  <c r="P278" i="1"/>
  <c r="X275" i="1"/>
  <c r="X274" i="1"/>
  <c r="BO273" i="1"/>
  <c r="BM273" i="1"/>
  <c r="Y273" i="1"/>
  <c r="Y274" i="1" s="1"/>
  <c r="P273" i="1"/>
  <c r="BO272" i="1"/>
  <c r="BN272" i="1"/>
  <c r="BM272" i="1"/>
  <c r="Z272" i="1"/>
  <c r="Y272" i="1"/>
  <c r="BP272" i="1" s="1"/>
  <c r="P272" i="1"/>
  <c r="BO271" i="1"/>
  <c r="BM271" i="1"/>
  <c r="Z271" i="1"/>
  <c r="Y271" i="1"/>
  <c r="BP271" i="1" s="1"/>
  <c r="P271" i="1"/>
  <c r="BO270" i="1"/>
  <c r="BN270" i="1"/>
  <c r="BM270" i="1"/>
  <c r="Z270" i="1"/>
  <c r="Y270" i="1"/>
  <c r="Y275" i="1" s="1"/>
  <c r="P270" i="1"/>
  <c r="X267" i="1"/>
  <c r="X266" i="1"/>
  <c r="BP265" i="1"/>
  <c r="BO265" i="1"/>
  <c r="BM265" i="1"/>
  <c r="Y265" i="1"/>
  <c r="BN265" i="1" s="1"/>
  <c r="P265" i="1"/>
  <c r="BO264" i="1"/>
  <c r="BM264" i="1"/>
  <c r="Y264" i="1"/>
  <c r="Y266" i="1" s="1"/>
  <c r="P264" i="1"/>
  <c r="BO263" i="1"/>
  <c r="BN263" i="1"/>
  <c r="BM263" i="1"/>
  <c r="Z263" i="1"/>
  <c r="Y263" i="1"/>
  <c r="BP263" i="1" s="1"/>
  <c r="P263" i="1"/>
  <c r="BO262" i="1"/>
  <c r="BM262" i="1"/>
  <c r="Z262" i="1"/>
  <c r="Y262" i="1"/>
  <c r="BP262" i="1" s="1"/>
  <c r="P262" i="1"/>
  <c r="BO261" i="1"/>
  <c r="BN261" i="1"/>
  <c r="BM261" i="1"/>
  <c r="Z261" i="1"/>
  <c r="Y261" i="1"/>
  <c r="Y267" i="1" s="1"/>
  <c r="P261" i="1"/>
  <c r="X258" i="1"/>
  <c r="X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Z253" i="1"/>
  <c r="Y253" i="1"/>
  <c r="BP253" i="1" s="1"/>
  <c r="P253" i="1"/>
  <c r="BO252" i="1"/>
  <c r="BN252" i="1"/>
  <c r="BM252" i="1"/>
  <c r="Z252" i="1"/>
  <c r="Y252" i="1"/>
  <c r="Y258" i="1" s="1"/>
  <c r="P252" i="1"/>
  <c r="X250" i="1"/>
  <c r="X249" i="1"/>
  <c r="BP248" i="1"/>
  <c r="BO248" i="1"/>
  <c r="BM248" i="1"/>
  <c r="Y248" i="1"/>
  <c r="Y250" i="1" s="1"/>
  <c r="P248" i="1"/>
  <c r="X246" i="1"/>
  <c r="Y245" i="1"/>
  <c r="X245" i="1"/>
  <c r="BP244" i="1"/>
  <c r="BO244" i="1"/>
  <c r="BM244" i="1"/>
  <c r="Y244" i="1"/>
  <c r="BN244" i="1" s="1"/>
  <c r="P244" i="1"/>
  <c r="Y242" i="1"/>
  <c r="X242" i="1"/>
  <c r="X241" i="1"/>
  <c r="BP240" i="1"/>
  <c r="BO240" i="1"/>
  <c r="BN240" i="1"/>
  <c r="BM240" i="1"/>
  <c r="Y240" i="1"/>
  <c r="Z240" i="1" s="1"/>
  <c r="P240" i="1"/>
  <c r="BP239" i="1"/>
  <c r="BO239" i="1"/>
  <c r="BN239" i="1"/>
  <c r="BM239" i="1"/>
  <c r="Y239" i="1"/>
  <c r="Z239" i="1" s="1"/>
  <c r="P239" i="1"/>
  <c r="BP238" i="1"/>
  <c r="BO238" i="1"/>
  <c r="BN238" i="1"/>
  <c r="BM238" i="1"/>
  <c r="Y238" i="1"/>
  <c r="Z238" i="1" s="1"/>
  <c r="P238" i="1"/>
  <c r="BP237" i="1"/>
  <c r="BO237" i="1"/>
  <c r="BM237" i="1"/>
  <c r="Y237" i="1"/>
  <c r="BN237" i="1" s="1"/>
  <c r="P237" i="1"/>
  <c r="BP236" i="1"/>
  <c r="BO236" i="1"/>
  <c r="BM236" i="1"/>
  <c r="Y236" i="1"/>
  <c r="BN236" i="1" s="1"/>
  <c r="P236" i="1"/>
  <c r="BP235" i="1"/>
  <c r="BO235" i="1"/>
  <c r="BM235" i="1"/>
  <c r="Y235" i="1"/>
  <c r="BN235" i="1" s="1"/>
  <c r="P235" i="1"/>
  <c r="BP234" i="1"/>
  <c r="BO234" i="1"/>
  <c r="BM234" i="1"/>
  <c r="Z234" i="1"/>
  <c r="Y234" i="1"/>
  <c r="BN234" i="1" s="1"/>
  <c r="P234" i="1"/>
  <c r="BO233" i="1"/>
  <c r="BM233" i="1"/>
  <c r="Y233" i="1"/>
  <c r="BP233" i="1" s="1"/>
  <c r="P233" i="1"/>
  <c r="BP232" i="1"/>
  <c r="BO232" i="1"/>
  <c r="BM232" i="1"/>
  <c r="Y232" i="1"/>
  <c r="Y241" i="1" s="1"/>
  <c r="P232" i="1"/>
  <c r="X229" i="1"/>
  <c r="Y228" i="1"/>
  <c r="X228" i="1"/>
  <c r="BP227" i="1"/>
  <c r="BO227" i="1"/>
  <c r="BM227" i="1"/>
  <c r="Y227" i="1"/>
  <c r="BN227" i="1" s="1"/>
  <c r="P227" i="1"/>
  <c r="BP226" i="1"/>
  <c r="BO226" i="1"/>
  <c r="BM226" i="1"/>
  <c r="Y226" i="1"/>
  <c r="BN226" i="1" s="1"/>
  <c r="P226" i="1"/>
  <c r="X224" i="1"/>
  <c r="X223" i="1"/>
  <c r="BP222" i="1"/>
  <c r="BO222" i="1"/>
  <c r="BN222" i="1"/>
  <c r="BM222" i="1"/>
  <c r="Y222" i="1"/>
  <c r="Z222" i="1" s="1"/>
  <c r="P222" i="1"/>
  <c r="BP221" i="1"/>
  <c r="BO221" i="1"/>
  <c r="BN221" i="1"/>
  <c r="BM221" i="1"/>
  <c r="Y221" i="1"/>
  <c r="Z221" i="1" s="1"/>
  <c r="P221" i="1"/>
  <c r="BP220" i="1"/>
  <c r="BO220" i="1"/>
  <c r="BM220" i="1"/>
  <c r="Y220" i="1"/>
  <c r="BN220" i="1" s="1"/>
  <c r="P220" i="1"/>
  <c r="BP219" i="1"/>
  <c r="BO219" i="1"/>
  <c r="BM219" i="1"/>
  <c r="Y219" i="1"/>
  <c r="BN219" i="1" s="1"/>
  <c r="P219" i="1"/>
  <c r="BP218" i="1"/>
  <c r="BO218" i="1"/>
  <c r="BM218" i="1"/>
  <c r="Y218" i="1"/>
  <c r="BN218" i="1" s="1"/>
  <c r="P218" i="1"/>
  <c r="BP217" i="1"/>
  <c r="BO217" i="1"/>
  <c r="BM217" i="1"/>
  <c r="Z217" i="1"/>
  <c r="Y217" i="1"/>
  <c r="BN217" i="1" s="1"/>
  <c r="P217" i="1"/>
  <c r="BO216" i="1"/>
  <c r="BM216" i="1"/>
  <c r="Y216" i="1"/>
  <c r="BP216" i="1" s="1"/>
  <c r="P216" i="1"/>
  <c r="BP215" i="1"/>
  <c r="BO215" i="1"/>
  <c r="BM215" i="1"/>
  <c r="Y215" i="1"/>
  <c r="BN215" i="1" s="1"/>
  <c r="P215" i="1"/>
  <c r="BO214" i="1"/>
  <c r="BM214" i="1"/>
  <c r="Y214" i="1"/>
  <c r="Y224" i="1" s="1"/>
  <c r="P214" i="1"/>
  <c r="X212" i="1"/>
  <c r="X211" i="1"/>
  <c r="BP210" i="1"/>
  <c r="BO210" i="1"/>
  <c r="BM210" i="1"/>
  <c r="Y210" i="1"/>
  <c r="BN210" i="1" s="1"/>
  <c r="P210" i="1"/>
  <c r="BP209" i="1"/>
  <c r="BO209" i="1"/>
  <c r="BM209" i="1"/>
  <c r="Z209" i="1"/>
  <c r="Y209" i="1"/>
  <c r="BN209" i="1" s="1"/>
  <c r="P209" i="1"/>
  <c r="BO208" i="1"/>
  <c r="BM208" i="1"/>
  <c r="Y208" i="1"/>
  <c r="BP208" i="1" s="1"/>
  <c r="P208" i="1"/>
  <c r="BP207" i="1"/>
  <c r="BO207" i="1"/>
  <c r="BM207" i="1"/>
  <c r="Y207" i="1"/>
  <c r="BN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Z204" i="1"/>
  <c r="Y204" i="1"/>
  <c r="BP204" i="1" s="1"/>
  <c r="P204" i="1"/>
  <c r="BO203" i="1"/>
  <c r="BM203" i="1"/>
  <c r="Z203" i="1"/>
  <c r="Y203" i="1"/>
  <c r="Y212" i="1" s="1"/>
  <c r="P203" i="1"/>
  <c r="X201" i="1"/>
  <c r="X200" i="1"/>
  <c r="BP199" i="1"/>
  <c r="BO199" i="1"/>
  <c r="BM199" i="1"/>
  <c r="Y199" i="1"/>
  <c r="BN199" i="1" s="1"/>
  <c r="P199" i="1"/>
  <c r="BO198" i="1"/>
  <c r="BM198" i="1"/>
  <c r="Y198" i="1"/>
  <c r="Y201" i="1" s="1"/>
  <c r="P198" i="1"/>
  <c r="X196" i="1"/>
  <c r="Y195" i="1"/>
  <c r="X195" i="1"/>
  <c r="BP194" i="1"/>
  <c r="BO194" i="1"/>
  <c r="BM194" i="1"/>
  <c r="Y194" i="1"/>
  <c r="BN194" i="1" s="1"/>
  <c r="P194" i="1"/>
  <c r="BP193" i="1"/>
  <c r="BO193" i="1"/>
  <c r="BM193" i="1"/>
  <c r="Z193" i="1"/>
  <c r="Y193" i="1"/>
  <c r="Y196" i="1" s="1"/>
  <c r="P193" i="1"/>
  <c r="Y190" i="1"/>
  <c r="X190" i="1"/>
  <c r="Y189" i="1"/>
  <c r="X189" i="1"/>
  <c r="BP188" i="1"/>
  <c r="BO188" i="1"/>
  <c r="BN188" i="1"/>
  <c r="BM188" i="1"/>
  <c r="Y188" i="1"/>
  <c r="Z188" i="1" s="1"/>
  <c r="Z189" i="1" s="1"/>
  <c r="P188" i="1"/>
  <c r="Y186" i="1"/>
  <c r="X186" i="1"/>
  <c r="X185" i="1"/>
  <c r="BP184" i="1"/>
  <c r="BO184" i="1"/>
  <c r="BN184" i="1"/>
  <c r="BM184" i="1"/>
  <c r="Y184" i="1"/>
  <c r="Z184" i="1" s="1"/>
  <c r="P184" i="1"/>
  <c r="BP183" i="1"/>
  <c r="BO183" i="1"/>
  <c r="BN183" i="1"/>
  <c r="BM183" i="1"/>
  <c r="Z183" i="1"/>
  <c r="Y183" i="1"/>
  <c r="P183" i="1"/>
  <c r="BP182" i="1"/>
  <c r="BO182" i="1"/>
  <c r="BN182" i="1"/>
  <c r="BM182" i="1"/>
  <c r="Y182" i="1"/>
  <c r="Y185" i="1" s="1"/>
  <c r="P182" i="1"/>
  <c r="X180" i="1"/>
  <c r="X179" i="1"/>
  <c r="BO178" i="1"/>
  <c r="BN178" i="1"/>
  <c r="BM178" i="1"/>
  <c r="Z178" i="1"/>
  <c r="Y178" i="1"/>
  <c r="BP178" i="1" s="1"/>
  <c r="P178" i="1"/>
  <c r="BP177" i="1"/>
  <c r="BO177" i="1"/>
  <c r="BN177" i="1"/>
  <c r="BM177" i="1"/>
  <c r="Z177" i="1"/>
  <c r="Y177" i="1"/>
  <c r="P177" i="1"/>
  <c r="BP176" i="1"/>
  <c r="BO176" i="1"/>
  <c r="BN176" i="1"/>
  <c r="BM176" i="1"/>
  <c r="Y176" i="1"/>
  <c r="Z176" i="1" s="1"/>
  <c r="P176" i="1"/>
  <c r="BP175" i="1"/>
  <c r="BO175" i="1"/>
  <c r="BN175" i="1"/>
  <c r="BM175" i="1"/>
  <c r="Z175" i="1"/>
  <c r="Y175" i="1"/>
  <c r="P175" i="1"/>
  <c r="BP174" i="1"/>
  <c r="BO174" i="1"/>
  <c r="BN174" i="1"/>
  <c r="BM174" i="1"/>
  <c r="Y174" i="1"/>
  <c r="Z174" i="1" s="1"/>
  <c r="P174" i="1"/>
  <c r="BP173" i="1"/>
  <c r="BO173" i="1"/>
  <c r="BN173" i="1"/>
  <c r="BM173" i="1"/>
  <c r="Y173" i="1"/>
  <c r="Z173" i="1" s="1"/>
  <c r="P173" i="1"/>
  <c r="BP172" i="1"/>
  <c r="BO172" i="1"/>
  <c r="BN172" i="1"/>
  <c r="BM172" i="1"/>
  <c r="Y172" i="1"/>
  <c r="Z172" i="1" s="1"/>
  <c r="P172" i="1"/>
  <c r="BP171" i="1"/>
  <c r="BO171" i="1"/>
  <c r="BM171" i="1"/>
  <c r="Y171" i="1"/>
  <c r="BN171" i="1" s="1"/>
  <c r="P171" i="1"/>
  <c r="BP170" i="1"/>
  <c r="BO170" i="1"/>
  <c r="BM170" i="1"/>
  <c r="Y170" i="1"/>
  <c r="BN170" i="1" s="1"/>
  <c r="P170" i="1"/>
  <c r="BP169" i="1"/>
  <c r="BO169" i="1"/>
  <c r="BM169" i="1"/>
  <c r="Y169" i="1"/>
  <c r="BN169" i="1" s="1"/>
  <c r="P169" i="1"/>
  <c r="BP168" i="1"/>
  <c r="BO168" i="1"/>
  <c r="BM168" i="1"/>
  <c r="Z168" i="1"/>
  <c r="Y168" i="1"/>
  <c r="BN168" i="1" s="1"/>
  <c r="P168" i="1"/>
  <c r="BP167" i="1"/>
  <c r="BO167" i="1"/>
  <c r="BM167" i="1"/>
  <c r="Y167" i="1"/>
  <c r="Y179" i="1" s="1"/>
  <c r="P167" i="1"/>
  <c r="Y165" i="1"/>
  <c r="X165" i="1"/>
  <c r="X164" i="1"/>
  <c r="BP163" i="1"/>
  <c r="BO163" i="1"/>
  <c r="BM163" i="1"/>
  <c r="Y163" i="1"/>
  <c r="Y164" i="1" s="1"/>
  <c r="P163" i="1"/>
  <c r="Y159" i="1"/>
  <c r="X159" i="1"/>
  <c r="Y158" i="1"/>
  <c r="X158" i="1"/>
  <c r="BP157" i="1"/>
  <c r="BO157" i="1"/>
  <c r="BN157" i="1"/>
  <c r="BM157" i="1"/>
  <c r="Z157" i="1"/>
  <c r="Z158" i="1" s="1"/>
  <c r="Y157" i="1"/>
  <c r="P157" i="1"/>
  <c r="X155" i="1"/>
  <c r="X154" i="1"/>
  <c r="BP153" i="1"/>
  <c r="BO153" i="1"/>
  <c r="BN153" i="1"/>
  <c r="BM153" i="1"/>
  <c r="Z153" i="1"/>
  <c r="Y153" i="1"/>
  <c r="P153" i="1"/>
  <c r="BO152" i="1"/>
  <c r="BN152" i="1"/>
  <c r="BM152" i="1"/>
  <c r="Z152" i="1"/>
  <c r="Y152" i="1"/>
  <c r="BP152" i="1" s="1"/>
  <c r="P152" i="1"/>
  <c r="BP151" i="1"/>
  <c r="BO151" i="1"/>
  <c r="BN151" i="1"/>
  <c r="BM151" i="1"/>
  <c r="Z151" i="1"/>
  <c r="Y151" i="1"/>
  <c r="P151" i="1"/>
  <c r="BP150" i="1"/>
  <c r="BO150" i="1"/>
  <c r="BN150" i="1"/>
  <c r="BM150" i="1"/>
  <c r="Y150" i="1"/>
  <c r="Z150" i="1" s="1"/>
  <c r="BO149" i="1"/>
  <c r="BN149" i="1"/>
  <c r="BM149" i="1"/>
  <c r="Z149" i="1"/>
  <c r="Y149" i="1"/>
  <c r="BP149" i="1" s="1"/>
  <c r="BO148" i="1"/>
  <c r="BM148" i="1"/>
  <c r="Y148" i="1"/>
  <c r="BP148" i="1" s="1"/>
  <c r="X146" i="1"/>
  <c r="X145" i="1"/>
  <c r="BP144" i="1"/>
  <c r="BO144" i="1"/>
  <c r="BM144" i="1"/>
  <c r="Y144" i="1"/>
  <c r="BN144" i="1" s="1"/>
  <c r="P144" i="1"/>
  <c r="BP143" i="1"/>
  <c r="BO143" i="1"/>
  <c r="BM143" i="1"/>
  <c r="Y143" i="1"/>
  <c r="BN143" i="1" s="1"/>
  <c r="P143" i="1"/>
  <c r="Y140" i="1"/>
  <c r="X140" i="1"/>
  <c r="Y139" i="1"/>
  <c r="X139" i="1"/>
  <c r="BP138" i="1"/>
  <c r="BO138" i="1"/>
  <c r="BM138" i="1"/>
  <c r="Y138" i="1"/>
  <c r="BN138" i="1" s="1"/>
  <c r="P138" i="1"/>
  <c r="BP137" i="1"/>
  <c r="BO137" i="1"/>
  <c r="BM137" i="1"/>
  <c r="Y137" i="1"/>
  <c r="BN137" i="1" s="1"/>
  <c r="P137" i="1"/>
  <c r="Y135" i="1"/>
  <c r="X135" i="1"/>
  <c r="Y134" i="1"/>
  <c r="X134" i="1"/>
  <c r="BP133" i="1"/>
  <c r="BO133" i="1"/>
  <c r="BN133" i="1"/>
  <c r="BM133" i="1"/>
  <c r="Y133" i="1"/>
  <c r="Z133" i="1" s="1"/>
  <c r="P133" i="1"/>
  <c r="BP132" i="1"/>
  <c r="BO132" i="1"/>
  <c r="BN132" i="1"/>
  <c r="BM132" i="1"/>
  <c r="Y132" i="1"/>
  <c r="Z132" i="1" s="1"/>
  <c r="P132" i="1"/>
  <c r="Y130" i="1"/>
  <c r="X130" i="1"/>
  <c r="X129" i="1"/>
  <c r="BP128" i="1"/>
  <c r="BO128" i="1"/>
  <c r="BN128" i="1"/>
  <c r="BM128" i="1"/>
  <c r="Y128" i="1"/>
  <c r="Z128" i="1" s="1"/>
  <c r="Z129" i="1" s="1"/>
  <c r="P128" i="1"/>
  <c r="BP127" i="1"/>
  <c r="BO127" i="1"/>
  <c r="BN127" i="1"/>
  <c r="BM127" i="1"/>
  <c r="Z127" i="1"/>
  <c r="Y127" i="1"/>
  <c r="Y129" i="1" s="1"/>
  <c r="P127" i="1"/>
  <c r="Y124" i="1"/>
  <c r="X124" i="1"/>
  <c r="Y123" i="1"/>
  <c r="X123" i="1"/>
  <c r="BP122" i="1"/>
  <c r="BO122" i="1"/>
  <c r="BN122" i="1"/>
  <c r="BM122" i="1"/>
  <c r="Z122" i="1"/>
  <c r="Z123" i="1" s="1"/>
  <c r="Y122" i="1"/>
  <c r="P122" i="1"/>
  <c r="X120" i="1"/>
  <c r="X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Z110" i="1"/>
  <c r="Y110" i="1"/>
  <c r="BP110" i="1" s="1"/>
  <c r="P110" i="1"/>
  <c r="BO109" i="1"/>
  <c r="BM109" i="1"/>
  <c r="Z109" i="1"/>
  <c r="Y109" i="1"/>
  <c r="BP109" i="1" s="1"/>
  <c r="P109" i="1"/>
  <c r="BO108" i="1"/>
  <c r="BM108" i="1"/>
  <c r="Y108" i="1"/>
  <c r="BP108" i="1" s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Z93" i="1"/>
  <c r="Y93" i="1"/>
  <c r="BP93" i="1" s="1"/>
  <c r="P93" i="1"/>
  <c r="BO92" i="1"/>
  <c r="BM92" i="1"/>
  <c r="Z92" i="1"/>
  <c r="Y92" i="1"/>
  <c r="Y97" i="1" s="1"/>
  <c r="P92" i="1"/>
  <c r="X90" i="1"/>
  <c r="X89" i="1"/>
  <c r="BP88" i="1"/>
  <c r="BO88" i="1"/>
  <c r="BM88" i="1"/>
  <c r="Y88" i="1"/>
  <c r="BN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Z85" i="1"/>
  <c r="Y85" i="1"/>
  <c r="E503" i="1" s="1"/>
  <c r="P85" i="1"/>
  <c r="X82" i="1"/>
  <c r="X81" i="1"/>
  <c r="BP80" i="1"/>
  <c r="BO80" i="1"/>
  <c r="BM80" i="1"/>
  <c r="Y80" i="1"/>
  <c r="BN80" i="1" s="1"/>
  <c r="P80" i="1"/>
  <c r="BP79" i="1"/>
  <c r="BO79" i="1"/>
  <c r="BM79" i="1"/>
  <c r="Y79" i="1"/>
  <c r="BN79" i="1" s="1"/>
  <c r="P79" i="1"/>
  <c r="X77" i="1"/>
  <c r="X76" i="1"/>
  <c r="BP75" i="1"/>
  <c r="BO75" i="1"/>
  <c r="BM75" i="1"/>
  <c r="Y75" i="1"/>
  <c r="BN75" i="1" s="1"/>
  <c r="P75" i="1"/>
  <c r="BP74" i="1"/>
  <c r="BO74" i="1"/>
  <c r="BM74" i="1"/>
  <c r="Y74" i="1"/>
  <c r="BN74" i="1" s="1"/>
  <c r="P74" i="1"/>
  <c r="BO73" i="1"/>
  <c r="BM73" i="1"/>
  <c r="Y73" i="1"/>
  <c r="BP73" i="1" s="1"/>
  <c r="P73" i="1"/>
  <c r="BP72" i="1"/>
  <c r="BO72" i="1"/>
  <c r="BM72" i="1"/>
  <c r="Y72" i="1"/>
  <c r="BN72" i="1" s="1"/>
  <c r="P72" i="1"/>
  <c r="Y70" i="1"/>
  <c r="X70" i="1"/>
  <c r="X69" i="1"/>
  <c r="BP68" i="1"/>
  <c r="BO68" i="1"/>
  <c r="BN68" i="1"/>
  <c r="BM68" i="1"/>
  <c r="Y68" i="1"/>
  <c r="Z68" i="1" s="1"/>
  <c r="P68" i="1"/>
  <c r="BP67" i="1"/>
  <c r="BO67" i="1"/>
  <c r="BM67" i="1"/>
  <c r="Y67" i="1"/>
  <c r="BN67" i="1" s="1"/>
  <c r="P67" i="1"/>
  <c r="Y65" i="1"/>
  <c r="X65" i="1"/>
  <c r="X64" i="1"/>
  <c r="BP63" i="1"/>
  <c r="BO63" i="1"/>
  <c r="BN63" i="1"/>
  <c r="BM63" i="1"/>
  <c r="Y63" i="1"/>
  <c r="Z63" i="1" s="1"/>
  <c r="P63" i="1"/>
  <c r="BP62" i="1"/>
  <c r="BO62" i="1"/>
  <c r="BN62" i="1"/>
  <c r="BM62" i="1"/>
  <c r="Y62" i="1"/>
  <c r="Z62" i="1" s="1"/>
  <c r="P62" i="1"/>
  <c r="BP61" i="1"/>
  <c r="BO61" i="1"/>
  <c r="BN61" i="1"/>
  <c r="BM61" i="1"/>
  <c r="Y61" i="1"/>
  <c r="Y64" i="1" s="1"/>
  <c r="P61" i="1"/>
  <c r="Y59" i="1"/>
  <c r="X59" i="1"/>
  <c r="X58" i="1"/>
  <c r="BP57" i="1"/>
  <c r="BO57" i="1"/>
  <c r="BN57" i="1"/>
  <c r="BM57" i="1"/>
  <c r="Y57" i="1"/>
  <c r="Z57" i="1" s="1"/>
  <c r="P57" i="1"/>
  <c r="BP56" i="1"/>
  <c r="BO56" i="1"/>
  <c r="BN56" i="1"/>
  <c r="BM56" i="1"/>
  <c r="Z56" i="1"/>
  <c r="Y56" i="1"/>
  <c r="P56" i="1"/>
  <c r="BP55" i="1"/>
  <c r="BO55" i="1"/>
  <c r="BN55" i="1"/>
  <c r="BM55" i="1"/>
  <c r="Y55" i="1"/>
  <c r="Z55" i="1" s="1"/>
  <c r="P55" i="1"/>
  <c r="BP54" i="1"/>
  <c r="BO54" i="1"/>
  <c r="BN54" i="1"/>
  <c r="BM54" i="1"/>
  <c r="Y54" i="1"/>
  <c r="Z54" i="1" s="1"/>
  <c r="P54" i="1"/>
  <c r="BP53" i="1"/>
  <c r="BO53" i="1"/>
  <c r="BN53" i="1"/>
  <c r="BM53" i="1"/>
  <c r="Y53" i="1"/>
  <c r="Z53" i="1" s="1"/>
  <c r="P53" i="1"/>
  <c r="BP52" i="1"/>
  <c r="BO52" i="1"/>
  <c r="BN52" i="1"/>
  <c r="BM52" i="1"/>
  <c r="Y52" i="1"/>
  <c r="D503" i="1" s="1"/>
  <c r="P52" i="1"/>
  <c r="Y49" i="1"/>
  <c r="X49" i="1"/>
  <c r="Y48" i="1"/>
  <c r="X48" i="1"/>
  <c r="BP47" i="1"/>
  <c r="BO47" i="1"/>
  <c r="BN47" i="1"/>
  <c r="BM47" i="1"/>
  <c r="Z47" i="1"/>
  <c r="Z48" i="1" s="1"/>
  <c r="Y47" i="1"/>
  <c r="P47" i="1"/>
  <c r="Y45" i="1"/>
  <c r="X45" i="1"/>
  <c r="Y44" i="1"/>
  <c r="X44" i="1"/>
  <c r="BP43" i="1"/>
  <c r="BO43" i="1"/>
  <c r="BN43" i="1"/>
  <c r="BM43" i="1"/>
  <c r="Z43" i="1"/>
  <c r="Y43" i="1"/>
  <c r="P43" i="1"/>
  <c r="BO42" i="1"/>
  <c r="BN42" i="1"/>
  <c r="BM42" i="1"/>
  <c r="Z42" i="1"/>
  <c r="Y42" i="1"/>
  <c r="BP42" i="1" s="1"/>
  <c r="P42" i="1"/>
  <c r="BP41" i="1"/>
  <c r="BO41" i="1"/>
  <c r="BN41" i="1"/>
  <c r="BM41" i="1"/>
  <c r="Z41" i="1"/>
  <c r="Z44" i="1" s="1"/>
  <c r="Y41" i="1"/>
  <c r="C503" i="1" s="1"/>
  <c r="P41" i="1"/>
  <c r="X37" i="1"/>
  <c r="X36" i="1"/>
  <c r="BO35" i="1"/>
  <c r="BM35" i="1"/>
  <c r="Y35" i="1"/>
  <c r="BP35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Z29" i="1"/>
  <c r="Y29" i="1"/>
  <c r="BP29" i="1" s="1"/>
  <c r="P29" i="1"/>
  <c r="BO28" i="1"/>
  <c r="BM28" i="1"/>
  <c r="Y28" i="1"/>
  <c r="Z28" i="1" s="1"/>
  <c r="P28" i="1"/>
  <c r="BO27" i="1"/>
  <c r="BM27" i="1"/>
  <c r="Y27" i="1"/>
  <c r="BP27" i="1" s="1"/>
  <c r="P27" i="1"/>
  <c r="X25" i="1"/>
  <c r="X493" i="1" s="1"/>
  <c r="X24" i="1"/>
  <c r="X497" i="1" s="1"/>
  <c r="BO23" i="1"/>
  <c r="BM23" i="1"/>
  <c r="Y23" i="1"/>
  <c r="BP23" i="1" s="1"/>
  <c r="P23" i="1"/>
  <c r="BO22" i="1"/>
  <c r="X495" i="1" s="1"/>
  <c r="BM22" i="1"/>
  <c r="X494" i="1" s="1"/>
  <c r="Y22" i="1"/>
  <c r="BP22" i="1" s="1"/>
  <c r="P22" i="1"/>
  <c r="H10" i="1"/>
  <c r="A9" i="1"/>
  <c r="F10" i="1" s="1"/>
  <c r="D7" i="1"/>
  <c r="Q6" i="1"/>
  <c r="P2" i="1"/>
  <c r="X496" i="1" l="1"/>
  <c r="Z134" i="1"/>
  <c r="Y36" i="1"/>
  <c r="Z23" i="1"/>
  <c r="Z31" i="1"/>
  <c r="Y81" i="1"/>
  <c r="Z87" i="1"/>
  <c r="Z95" i="1"/>
  <c r="Z104" i="1"/>
  <c r="Y145" i="1"/>
  <c r="Y180" i="1"/>
  <c r="Z198" i="1"/>
  <c r="Z206" i="1"/>
  <c r="Z214" i="1"/>
  <c r="Z255" i="1"/>
  <c r="Z264" i="1"/>
  <c r="Z266" i="1" s="1"/>
  <c r="Z273" i="1"/>
  <c r="Z274" i="1" s="1"/>
  <c r="Y366" i="1"/>
  <c r="Z430" i="1"/>
  <c r="Z440" i="1" s="1"/>
  <c r="Z464" i="1"/>
  <c r="F503" i="1"/>
  <c r="Z73" i="1"/>
  <c r="BN101" i="1"/>
  <c r="BN117" i="1"/>
  <c r="BN203" i="1"/>
  <c r="Z350" i="1"/>
  <c r="Z356" i="1" s="1"/>
  <c r="Y361" i="1"/>
  <c r="Z414" i="1"/>
  <c r="Z418" i="1" s="1"/>
  <c r="Z433" i="1"/>
  <c r="G503" i="1"/>
  <c r="BN28" i="1"/>
  <c r="Y37" i="1"/>
  <c r="Y76" i="1"/>
  <c r="BN92" i="1"/>
  <c r="BN109" i="1"/>
  <c r="BN23" i="1"/>
  <c r="BN31" i="1"/>
  <c r="Z52" i="1"/>
  <c r="Z58" i="1" s="1"/>
  <c r="BN87" i="1"/>
  <c r="BN95" i="1"/>
  <c r="BN104" i="1"/>
  <c r="Y113" i="1"/>
  <c r="Z163" i="1"/>
  <c r="Z164" i="1" s="1"/>
  <c r="Z171" i="1"/>
  <c r="BN198" i="1"/>
  <c r="BN206" i="1"/>
  <c r="BN214" i="1"/>
  <c r="Z220" i="1"/>
  <c r="Y223" i="1"/>
  <c r="Z237" i="1"/>
  <c r="BN255" i="1"/>
  <c r="BN264" i="1"/>
  <c r="BN273" i="1"/>
  <c r="Z334" i="1"/>
  <c r="Z337" i="1" s="1"/>
  <c r="Y337" i="1"/>
  <c r="Z343" i="1"/>
  <c r="Z353" i="1"/>
  <c r="Y356" i="1"/>
  <c r="Z392" i="1"/>
  <c r="Z401" i="1" s="1"/>
  <c r="Z417" i="1"/>
  <c r="BN430" i="1"/>
  <c r="Z436" i="1"/>
  <c r="Z444" i="1"/>
  <c r="Z452" i="1"/>
  <c r="Y455" i="1"/>
  <c r="BN464" i="1"/>
  <c r="H503" i="1"/>
  <c r="BP28" i="1"/>
  <c r="Y495" i="1" s="1"/>
  <c r="Y58" i="1"/>
  <c r="BN73" i="1"/>
  <c r="Y82" i="1"/>
  <c r="BP92" i="1"/>
  <c r="Y146" i="1"/>
  <c r="Z182" i="1"/>
  <c r="Z185" i="1" s="1"/>
  <c r="BN193" i="1"/>
  <c r="BP203" i="1"/>
  <c r="BP252" i="1"/>
  <c r="BP261" i="1"/>
  <c r="BP270" i="1"/>
  <c r="Z305" i="1"/>
  <c r="Z311" i="1" s="1"/>
  <c r="Z321" i="1"/>
  <c r="Z324" i="1" s="1"/>
  <c r="BN350" i="1"/>
  <c r="Y367" i="1"/>
  <c r="BN414" i="1"/>
  <c r="Y424" i="1"/>
  <c r="BN433" i="1"/>
  <c r="I503" i="1"/>
  <c r="Y77" i="1"/>
  <c r="Y154" i="1"/>
  <c r="BN163" i="1"/>
  <c r="BP198" i="1"/>
  <c r="BP214" i="1"/>
  <c r="Y229" i="1"/>
  <c r="Y246" i="1"/>
  <c r="BP264" i="1"/>
  <c r="BP273" i="1"/>
  <c r="Y362" i="1"/>
  <c r="BN392" i="1"/>
  <c r="Y401" i="1"/>
  <c r="BN436" i="1"/>
  <c r="BN444" i="1"/>
  <c r="BN452" i="1"/>
  <c r="BP464" i="1"/>
  <c r="Z480" i="1"/>
  <c r="Z481" i="1" s="1"/>
  <c r="J503" i="1"/>
  <c r="F9" i="1"/>
  <c r="Z115" i="1"/>
  <c r="Z119" i="1" s="1"/>
  <c r="Z148" i="1"/>
  <c r="Z154" i="1" s="1"/>
  <c r="Y357" i="1"/>
  <c r="BP414" i="1"/>
  <c r="Y456" i="1"/>
  <c r="BN485" i="1"/>
  <c r="K503" i="1"/>
  <c r="Y24" i="1"/>
  <c r="Y473" i="1"/>
  <c r="L503" i="1"/>
  <c r="Y112" i="1"/>
  <c r="Z88" i="1"/>
  <c r="Z256" i="1"/>
  <c r="Z265" i="1"/>
  <c r="Y468" i="1"/>
  <c r="M503" i="1"/>
  <c r="H9" i="1"/>
  <c r="Y32" i="1"/>
  <c r="Z79" i="1"/>
  <c r="BN115" i="1"/>
  <c r="Z199" i="1"/>
  <c r="Z207" i="1"/>
  <c r="Z215" i="1"/>
  <c r="Z232" i="1"/>
  <c r="Z74" i="1"/>
  <c r="BN93" i="1"/>
  <c r="BN102" i="1"/>
  <c r="BN110" i="1"/>
  <c r="BN118" i="1"/>
  <c r="Z137" i="1"/>
  <c r="Z169" i="1"/>
  <c r="Z194" i="1"/>
  <c r="Z195" i="1" s="1"/>
  <c r="BN204" i="1"/>
  <c r="Z210" i="1"/>
  <c r="Z218" i="1"/>
  <c r="Z226" i="1"/>
  <c r="Z235" i="1"/>
  <c r="BN253" i="1"/>
  <c r="BN262" i="1"/>
  <c r="BN271" i="1"/>
  <c r="BN280" i="1"/>
  <c r="Z341" i="1"/>
  <c r="Z344" i="1" s="1"/>
  <c r="Y344" i="1"/>
  <c r="Z351" i="1"/>
  <c r="Z359" i="1"/>
  <c r="BN369" i="1"/>
  <c r="Z415" i="1"/>
  <c r="BN428" i="1"/>
  <c r="Z434" i="1"/>
  <c r="Z450" i="1"/>
  <c r="Z455" i="1" s="1"/>
  <c r="O503" i="1"/>
  <c r="Y96" i="1"/>
  <c r="Y105" i="1"/>
  <c r="J9" i="1"/>
  <c r="Z143" i="1"/>
  <c r="Z145" i="1" s="1"/>
  <c r="BN148" i="1"/>
  <c r="Y155" i="1"/>
  <c r="Z248" i="1"/>
  <c r="Z249" i="1" s="1"/>
  <c r="A10" i="1"/>
  <c r="BN29" i="1"/>
  <c r="Y69" i="1"/>
  <c r="BN85" i="1"/>
  <c r="Y25" i="1"/>
  <c r="Y33" i="1"/>
  <c r="Z61" i="1"/>
  <c r="Z64" i="1" s="1"/>
  <c r="Y106" i="1"/>
  <c r="BP115" i="1"/>
  <c r="BN232" i="1"/>
  <c r="BN248" i="1"/>
  <c r="BN256" i="1"/>
  <c r="Z327" i="1"/>
  <c r="Z331" i="1" s="1"/>
  <c r="Z410" i="1"/>
  <c r="Z411" i="1" s="1"/>
  <c r="Y440" i="1"/>
  <c r="Y474" i="1"/>
  <c r="BP85" i="1"/>
  <c r="BN341" i="1"/>
  <c r="BN351" i="1"/>
  <c r="BN359" i="1"/>
  <c r="BP369" i="1"/>
  <c r="BN415" i="1"/>
  <c r="BP428" i="1"/>
  <c r="BN434" i="1"/>
  <c r="BN450" i="1"/>
  <c r="Y469" i="1"/>
  <c r="Q503" i="1"/>
  <c r="R503" i="1"/>
  <c r="Z278" i="1"/>
  <c r="Z281" i="1" s="1"/>
  <c r="Y281" i="1"/>
  <c r="Y370" i="1"/>
  <c r="Y441" i="1"/>
  <c r="S503" i="1"/>
  <c r="Z30" i="1"/>
  <c r="Z86" i="1"/>
  <c r="Z89" i="1" s="1"/>
  <c r="Z94" i="1"/>
  <c r="Z96" i="1" s="1"/>
  <c r="Y200" i="1"/>
  <c r="Z205" i="1"/>
  <c r="Z211" i="1" s="1"/>
  <c r="Y249" i="1"/>
  <c r="Z254" i="1"/>
  <c r="Z257" i="1" s="1"/>
  <c r="Y257" i="1"/>
  <c r="Z100" i="1"/>
  <c r="Z105" i="1" s="1"/>
  <c r="BN35" i="1"/>
  <c r="Z208" i="1"/>
  <c r="Y211" i="1"/>
  <c r="Z216" i="1"/>
  <c r="Z233" i="1"/>
  <c r="BN278" i="1"/>
  <c r="Z365" i="1"/>
  <c r="Z366" i="1" s="1"/>
  <c r="Z466" i="1"/>
  <c r="Z108" i="1"/>
  <c r="Z116" i="1"/>
  <c r="Z22" i="1"/>
  <c r="Z24" i="1" s="1"/>
  <c r="BN27" i="1"/>
  <c r="BN30" i="1"/>
  <c r="BN86" i="1"/>
  <c r="BN103" i="1"/>
  <c r="Z138" i="1"/>
  <c r="Z170" i="1"/>
  <c r="BN205" i="1"/>
  <c r="Z219" i="1"/>
  <c r="Z227" i="1"/>
  <c r="Z236" i="1"/>
  <c r="Z244" i="1"/>
  <c r="Z245" i="1" s="1"/>
  <c r="BN254" i="1"/>
  <c r="Y282" i="1"/>
  <c r="Z342" i="1"/>
  <c r="Z352" i="1"/>
  <c r="Z360" i="1"/>
  <c r="Y411" i="1"/>
  <c r="Z416" i="1"/>
  <c r="BN429" i="1"/>
  <c r="Z435" i="1"/>
  <c r="Z443" i="1"/>
  <c r="Z446" i="1" s="1"/>
  <c r="Y446" i="1"/>
  <c r="Z451" i="1"/>
  <c r="BN471" i="1"/>
  <c r="Z490" i="1"/>
  <c r="Z491" i="1" s="1"/>
  <c r="Z27" i="1"/>
  <c r="Z32" i="1" s="1"/>
  <c r="Z35" i="1"/>
  <c r="Z36" i="1" s="1"/>
  <c r="BN100" i="1"/>
  <c r="BN108" i="1"/>
  <c r="BN116" i="1"/>
  <c r="BN216" i="1"/>
  <c r="BN233" i="1"/>
  <c r="Z296" i="1"/>
  <c r="Z302" i="1" s="1"/>
  <c r="Z384" i="1"/>
  <c r="Z387" i="1" s="1"/>
  <c r="BN422" i="1"/>
  <c r="BP476" i="1"/>
  <c r="Z484" i="1"/>
  <c r="Z486" i="1" s="1"/>
  <c r="B503" i="1"/>
  <c r="Y119" i="1"/>
  <c r="Y89" i="1"/>
  <c r="Z103" i="1"/>
  <c r="Z111" i="1"/>
  <c r="Z72" i="1"/>
  <c r="Z76" i="1" s="1"/>
  <c r="Z80" i="1"/>
  <c r="Z144" i="1"/>
  <c r="Z167" i="1"/>
  <c r="Z179" i="1" s="1"/>
  <c r="BN22" i="1"/>
  <c r="Z67" i="1"/>
  <c r="Z69" i="1" s="1"/>
  <c r="Z75" i="1"/>
  <c r="BN94" i="1"/>
  <c r="BN111" i="1"/>
  <c r="Y90" i="1"/>
  <c r="BN167" i="1"/>
  <c r="BN208" i="1"/>
  <c r="BN490" i="1"/>
  <c r="BP490" i="1"/>
  <c r="Z81" i="1" l="1"/>
  <c r="Z228" i="1"/>
  <c r="Z468" i="1"/>
  <c r="Z139" i="1"/>
  <c r="Z112" i="1"/>
  <c r="Z498" i="1" s="1"/>
  <c r="Y494" i="1"/>
  <c r="Y496" i="1" s="1"/>
  <c r="Y497" i="1"/>
  <c r="Z223" i="1"/>
  <c r="Z200" i="1"/>
  <c r="Z361" i="1"/>
  <c r="Z241" i="1"/>
  <c r="Y493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<sst xmlns="http://schemas.openxmlformats.org/spreadsheetml/2006/main" count="2367" uniqueCount="778">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</sst>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12" sqref="Z1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16" t="s">
        <v>0</v>
      </c>
      <c r="E1" s="575"/>
      <c r="F1" s="575"/>
      <c r="G1" s="14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69"/>
      <c r="P5" s="26" t="s">
        <v>10</v>
      </c>
      <c r="Q5" s="858">
        <v>46013</v>
      </c>
      <c r="R5" s="672"/>
      <c r="T5" s="731" t="s">
        <v>11</v>
      </c>
      <c r="U5" s="732"/>
      <c r="V5" s="733" t="s">
        <v>12</v>
      </c>
      <c r="W5" s="672"/>
      <c r="AB5" s="57"/>
      <c r="AC5" s="57"/>
      <c r="AD5" s="57"/>
      <c r="AE5" s="57"/>
    </row>
    <row r="6" spans="1:32" s="17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70"/>
      <c r="P6" s="26" t="s">
        <v>15</v>
      </c>
      <c r="Q6" s="866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737" t="s">
        <v>16</v>
      </c>
      <c r="U6" s="732"/>
      <c r="V6" s="774" t="s">
        <v>17</v>
      </c>
      <c r="W6" s="58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71"/>
      <c r="P7" s="26"/>
      <c r="Q7" s="46"/>
      <c r="R7" s="46"/>
      <c r="T7" s="559"/>
      <c r="U7" s="732"/>
      <c r="V7" s="775"/>
      <c r="W7" s="776"/>
      <c r="AB7" s="57"/>
      <c r="AC7" s="57"/>
      <c r="AD7" s="57"/>
      <c r="AE7" s="57"/>
    </row>
    <row r="8" spans="1:32" s="17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72"/>
      <c r="P8" s="26" t="s">
        <v>20</v>
      </c>
      <c r="Q8" s="694">
        <v>0.54166666666666663</v>
      </c>
      <c r="R8" s="626"/>
      <c r="T8" s="559"/>
      <c r="U8" s="732"/>
      <c r="V8" s="775"/>
      <c r="W8" s="776"/>
      <c r="AB8" s="57"/>
      <c r="AC8" s="57"/>
      <c r="AD8" s="57"/>
      <c r="AE8" s="57"/>
    </row>
    <row r="9" spans="1:32" s="17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67"/>
      <c r="P9" s="29" t="s">
        <v>21</v>
      </c>
      <c r="Q9" s="669"/>
      <c r="R9" s="670"/>
      <c r="T9" s="559"/>
      <c r="U9" s="732"/>
      <c r="V9" s="777"/>
      <c r="W9" s="7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68"/>
      <c r="P10" s="29" t="s">
        <v>22</v>
      </c>
      <c r="Q10" s="738"/>
      <c r="R10" s="739"/>
      <c r="U10" s="26" t="s">
        <v>23</v>
      </c>
      <c r="V10" s="581" t="s">
        <v>24</v>
      </c>
      <c r="W10" s="58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71"/>
      <c r="R11" s="672"/>
      <c r="U11" s="26" t="s">
        <v>27</v>
      </c>
      <c r="V11" s="818" t="s">
        <v>28</v>
      </c>
      <c r="W11" s="67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73"/>
      <c r="P12" s="26" t="s">
        <v>30</v>
      </c>
      <c r="Q12" s="694"/>
      <c r="R12" s="626"/>
      <c r="S12" s="27"/>
      <c r="U12" s="26"/>
      <c r="V12" s="575"/>
      <c r="W12" s="559"/>
      <c r="AB12" s="57"/>
      <c r="AC12" s="57"/>
      <c r="AD12" s="57"/>
      <c r="AE12" s="57"/>
    </row>
    <row r="13" spans="1:32" s="17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73"/>
      <c r="O13" s="29"/>
      <c r="P13" s="29" t="s">
        <v>32</v>
      </c>
      <c r="Q13" s="818"/>
      <c r="R13" s="670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74"/>
      <c r="P15" s="705" t="s">
        <v>35</v>
      </c>
      <c r="Q15" s="575"/>
      <c r="R15" s="575"/>
      <c r="S15" s="575"/>
      <c r="T15" s="57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77"/>
      <c r="BD17" s="76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78" t="s">
        <v>61</v>
      </c>
      <c r="V18" s="78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77"/>
      <c r="BD18" s="76"/>
    </row>
    <row r="19" spans="1:68" ht="27.75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52"/>
      <c r="AB19" s="52"/>
      <c r="AC19" s="52"/>
    </row>
    <row r="20" spans="1:68" ht="16.5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62"/>
      <c r="AB20" s="62"/>
      <c r="AC20" s="62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3"/>
      <c r="AB21" s="63"/>
      <c r="AC21" s="63"/>
    </row>
    <row r="22" spans="1:68" ht="27" customHeight="1" x14ac:dyDescent="0.25">
      <c r="A22" s="60" t="s">
        <v>65</v>
      </c>
      <c r="B22" s="60" t="s">
        <v>66</v>
      </c>
      <c r="C22" s="34">
        <v>4301031446</v>
      </c>
      <c r="D22" s="560">
        <v>4680115887510</v>
      </c>
      <c r="E22" s="561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7"/>
      <c r="V22" s="37"/>
      <c r="W22" s="38" t="s">
        <v>69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70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71</v>
      </c>
      <c r="B23" s="60" t="s">
        <v>72</v>
      </c>
      <c r="C23" s="34">
        <v>4301031278</v>
      </c>
      <c r="D23" s="560">
        <v>4680115886643</v>
      </c>
      <c r="E23" s="561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73</v>
      </c>
      <c r="L23" s="35"/>
      <c r="M23" s="36" t="s">
        <v>68</v>
      </c>
      <c r="N23" s="36"/>
      <c r="O23" s="35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7"/>
      <c r="V23" s="37"/>
      <c r="W23" s="38" t="s">
        <v>69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74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40" t="s">
        <v>76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40" t="s">
        <v>69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3"/>
      <c r="AB26" s="63"/>
      <c r="AC26" s="63"/>
    </row>
    <row r="27" spans="1:68" ht="27" customHeight="1" x14ac:dyDescent="0.25">
      <c r="A27" s="60" t="s">
        <v>78</v>
      </c>
      <c r="B27" s="60" t="s">
        <v>79</v>
      </c>
      <c r="C27" s="34">
        <v>4301051866</v>
      </c>
      <c r="D27" s="560">
        <v>4680115885912</v>
      </c>
      <c r="E27" s="5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80</v>
      </c>
      <c r="N27" s="36"/>
      <c r="O27" s="35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7"/>
      <c r="V27" s="37"/>
      <c r="W27" s="38" t="s">
        <v>69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81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82</v>
      </c>
      <c r="B28" s="60" t="s">
        <v>83</v>
      </c>
      <c r="C28" s="34">
        <v>4301051776</v>
      </c>
      <c r="D28" s="560">
        <v>4607091388237</v>
      </c>
      <c r="E28" s="5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80</v>
      </c>
      <c r="N28" s="36"/>
      <c r="O28" s="35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7"/>
      <c r="V28" s="37"/>
      <c r="W28" s="38" t="s">
        <v>69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81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84</v>
      </c>
      <c r="B29" s="60" t="s">
        <v>85</v>
      </c>
      <c r="C29" s="34">
        <v>4301052063</v>
      </c>
      <c r="D29" s="560">
        <v>4680115887350</v>
      </c>
      <c r="E29" s="5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86</v>
      </c>
      <c r="N29" s="36"/>
      <c r="O29" s="35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7"/>
      <c r="V29" s="37"/>
      <c r="W29" s="38" t="s">
        <v>69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87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88</v>
      </c>
      <c r="B30" s="60" t="s">
        <v>89</v>
      </c>
      <c r="C30" s="34">
        <v>4301051863</v>
      </c>
      <c r="D30" s="560">
        <v>4680115885905</v>
      </c>
      <c r="E30" s="5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90</v>
      </c>
      <c r="M30" s="36" t="s">
        <v>86</v>
      </c>
      <c r="N30" s="36"/>
      <c r="O30" s="35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7"/>
      <c r="V30" s="37"/>
      <c r="W30" s="38" t="s">
        <v>69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91</v>
      </c>
      <c r="AG30" s="75"/>
      <c r="AJ30" s="79" t="s">
        <v>92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93</v>
      </c>
      <c r="B31" s="60" t="s">
        <v>94</v>
      </c>
      <c r="C31" s="34">
        <v>4301051851</v>
      </c>
      <c r="D31" s="560">
        <v>4607091388244</v>
      </c>
      <c r="E31" s="561"/>
      <c r="F31" s="59">
        <v>0.42</v>
      </c>
      <c r="G31" s="35">
        <v>6</v>
      </c>
      <c r="H31" s="59">
        <v>2.52</v>
      </c>
      <c r="I31" s="59">
        <v>2.766</v>
      </c>
      <c r="J31" s="35">
        <v>182</v>
      </c>
      <c r="K31" s="35" t="s">
        <v>67</v>
      </c>
      <c r="L31" s="35" t="s">
        <v>90</v>
      </c>
      <c r="M31" s="36" t="s">
        <v>86</v>
      </c>
      <c r="N31" s="36"/>
      <c r="O31" s="35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7"/>
      <c r="V31" s="37"/>
      <c r="W31" s="38" t="s">
        <v>69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 t="s">
        <v>92</v>
      </c>
      <c r="AK31" s="79">
        <v>35.28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40" t="s">
        <v>76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40" t="s">
        <v>69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63"/>
      <c r="AB34" s="63"/>
      <c r="AC34" s="63"/>
    </row>
    <row r="35" spans="1:68" ht="27" customHeight="1" x14ac:dyDescent="0.25">
      <c r="A35" s="60" t="s">
        <v>96</v>
      </c>
      <c r="B35" s="60" t="s">
        <v>97</v>
      </c>
      <c r="C35" s="34">
        <v>4301032013</v>
      </c>
      <c r="D35" s="560">
        <v>4607091388503</v>
      </c>
      <c r="E35" s="561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67</v>
      </c>
      <c r="L35" s="35"/>
      <c r="M35" s="36" t="s">
        <v>98</v>
      </c>
      <c r="N35" s="36"/>
      <c r="O35" s="35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7"/>
      <c r="V35" s="37"/>
      <c r="W35" s="38" t="s">
        <v>69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99</v>
      </c>
      <c r="AG35" s="75"/>
      <c r="AJ35" s="79"/>
      <c r="AK35" s="79">
        <v>0</v>
      </c>
      <c r="BB35" s="96" t="s">
        <v>100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40" t="s">
        <v>76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40" t="s">
        <v>69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52"/>
      <c r="AB38" s="52"/>
      <c r="AC38" s="52"/>
    </row>
    <row r="39" spans="1:68" ht="16.5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62"/>
      <c r="AB39" s="62"/>
      <c r="AC39" s="62"/>
    </row>
    <row r="40" spans="1:68" ht="14.25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63"/>
      <c r="AB40" s="63"/>
      <c r="AC40" s="63"/>
    </row>
    <row r="41" spans="1:68" ht="16.5" customHeight="1" x14ac:dyDescent="0.25">
      <c r="A41" s="60" t="s">
        <v>104</v>
      </c>
      <c r="B41" s="60" t="s">
        <v>105</v>
      </c>
      <c r="C41" s="34">
        <v>4301011380</v>
      </c>
      <c r="D41" s="560">
        <v>4607091385670</v>
      </c>
      <c r="E41" s="561"/>
      <c r="F41" s="59">
        <v>1.35</v>
      </c>
      <c r="G41" s="35">
        <v>8</v>
      </c>
      <c r="H41" s="59">
        <v>10.8</v>
      </c>
      <c r="I41" s="59">
        <v>11.21</v>
      </c>
      <c r="J41" s="35">
        <v>64</v>
      </c>
      <c r="K41" s="35" t="s">
        <v>106</v>
      </c>
      <c r="L41" s="35" t="s">
        <v>107</v>
      </c>
      <c r="M41" s="36" t="s">
        <v>108</v>
      </c>
      <c r="N41" s="36"/>
      <c r="O41" s="35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7"/>
      <c r="V41" s="37"/>
      <c r="W41" s="38" t="s">
        <v>69</v>
      </c>
      <c r="X41" s="56">
        <v>172</v>
      </c>
      <c r="Y41" s="53">
        <f>IFERROR(IF(X41="",0,CEILING((X41/$H41),1)*$H41),"")</f>
        <v>172.8</v>
      </c>
      <c r="Z41" s="39">
        <f>IFERROR(IF(Y41=0,"",ROUNDUP(Y41/H41,0)*0.01898),"")</f>
        <v>0.30368000000000001</v>
      </c>
      <c r="AA41" s="65"/>
      <c r="AB41" s="66"/>
      <c r="AC41" s="97" t="s">
        <v>109</v>
      </c>
      <c r="AG41" s="75"/>
      <c r="AJ41" s="79" t="s">
        <v>92</v>
      </c>
      <c r="AK41" s="79">
        <v>86.4</v>
      </c>
      <c r="BB41" s="98" t="s">
        <v>1</v>
      </c>
      <c r="BM41" s="75">
        <f>IFERROR(X41*I41/H41,"0")</f>
        <v>178.52962962962962</v>
      </c>
      <c r="BN41" s="75">
        <f>IFERROR(Y41*I41/H41,"0")</f>
        <v>179.36</v>
      </c>
      <c r="BO41" s="75">
        <f>IFERROR(1/J41*(X41/H41),"0")</f>
        <v>0.24884259259259259</v>
      </c>
      <c r="BP41" s="75">
        <f>IFERROR(1/J41*(Y41/H41),"0")</f>
        <v>0.25</v>
      </c>
    </row>
    <row r="42" spans="1:68" ht="27" customHeight="1" x14ac:dyDescent="0.25">
      <c r="A42" s="60" t="s">
        <v>110</v>
      </c>
      <c r="B42" s="60" t="s">
        <v>111</v>
      </c>
      <c r="C42" s="34">
        <v>4301011565</v>
      </c>
      <c r="D42" s="560">
        <v>4680115882539</v>
      </c>
      <c r="E42" s="561"/>
      <c r="F42" s="59">
        <v>0.37</v>
      </c>
      <c r="G42" s="35">
        <v>10</v>
      </c>
      <c r="H42" s="59">
        <v>3.7</v>
      </c>
      <c r="I42" s="59">
        <v>3.89</v>
      </c>
      <c r="J42" s="35">
        <v>132</v>
      </c>
      <c r="K42" s="35" t="s">
        <v>112</v>
      </c>
      <c r="L42" s="35"/>
      <c r="M42" s="36" t="s">
        <v>80</v>
      </c>
      <c r="N42" s="36"/>
      <c r="O42" s="35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7"/>
      <c r="V42" s="37"/>
      <c r="W42" s="38" t="s">
        <v>69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109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113</v>
      </c>
      <c r="B43" s="60" t="s">
        <v>114</v>
      </c>
      <c r="C43" s="34">
        <v>4301011382</v>
      </c>
      <c r="D43" s="560">
        <v>4607091385687</v>
      </c>
      <c r="E43" s="561"/>
      <c r="F43" s="59">
        <v>0.4</v>
      </c>
      <c r="G43" s="35">
        <v>10</v>
      </c>
      <c r="H43" s="59">
        <v>4</v>
      </c>
      <c r="I43" s="59">
        <v>4.1900000000000004</v>
      </c>
      <c r="J43" s="35">
        <v>132</v>
      </c>
      <c r="K43" s="35" t="s">
        <v>112</v>
      </c>
      <c r="L43" s="35" t="s">
        <v>115</v>
      </c>
      <c r="M43" s="36" t="s">
        <v>80</v>
      </c>
      <c r="N43" s="36"/>
      <c r="O43" s="35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7"/>
      <c r="V43" s="37"/>
      <c r="W43" s="38" t="s">
        <v>69</v>
      </c>
      <c r="X43" s="56">
        <v>40</v>
      </c>
      <c r="Y43" s="53">
        <f>IFERROR(IF(X43="",0,CEILING((X43/$H43),1)*$H43),"")</f>
        <v>40</v>
      </c>
      <c r="Z43" s="39">
        <f>IFERROR(IF(Y43=0,"",ROUNDUP(Y43/H43,0)*0.00902),"")</f>
        <v>9.0200000000000002E-2</v>
      </c>
      <c r="AA43" s="65"/>
      <c r="AB43" s="66"/>
      <c r="AC43" s="101" t="s">
        <v>109</v>
      </c>
      <c r="AG43" s="75"/>
      <c r="AJ43" s="79" t="s">
        <v>92</v>
      </c>
      <c r="AK43" s="79">
        <v>48</v>
      </c>
      <c r="BB43" s="102" t="s">
        <v>1</v>
      </c>
      <c r="BM43" s="75">
        <f>IFERROR(X43*I43/H43,"0")</f>
        <v>41.900000000000006</v>
      </c>
      <c r="BN43" s="75">
        <f>IFERROR(Y43*I43/H43,"0")</f>
        <v>41.900000000000006</v>
      </c>
      <c r="BO43" s="75">
        <f>IFERROR(1/J43*(X43/H43),"0")</f>
        <v>7.575757575757576E-2</v>
      </c>
      <c r="BP43" s="75">
        <f>IFERROR(1/J43*(Y43/H43),"0")</f>
        <v>7.575757575757576E-2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40" t="s">
        <v>76</v>
      </c>
      <c r="X44" s="41">
        <f>IFERROR(X41/H41,"0")+IFERROR(X42/H42,"0")+IFERROR(X43/H43,"0")</f>
        <v>25.925925925925924</v>
      </c>
      <c r="Y44" s="41">
        <f>IFERROR(Y41/H41,"0")+IFERROR(Y42/H42,"0")+IFERROR(Y43/H43,"0")</f>
        <v>26</v>
      </c>
      <c r="Z44" s="41">
        <f>IFERROR(IF(Z41="",0,Z41),"0")+IFERROR(IF(Z42="",0,Z42),"0")+IFERROR(IF(Z43="",0,Z43),"0")</f>
        <v>0.39388000000000001</v>
      </c>
      <c r="AA44" s="64"/>
      <c r="AB44" s="64"/>
      <c r="AC44" s="64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40" t="s">
        <v>69</v>
      </c>
      <c r="X45" s="41">
        <f>IFERROR(SUM(X41:X43),"0")</f>
        <v>212</v>
      </c>
      <c r="Y45" s="41">
        <f>IFERROR(SUM(Y41:Y43),"0")</f>
        <v>212.8</v>
      </c>
      <c r="Z45" s="40"/>
      <c r="AA45" s="64"/>
      <c r="AB45" s="64"/>
      <c r="AC45" s="64"/>
    </row>
    <row r="46" spans="1:68" ht="14.25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63"/>
      <c r="AB46" s="63"/>
      <c r="AC46" s="63"/>
    </row>
    <row r="47" spans="1:68" ht="16.5" customHeight="1" x14ac:dyDescent="0.25">
      <c r="A47" s="60" t="s">
        <v>116</v>
      </c>
      <c r="B47" s="60" t="s">
        <v>117</v>
      </c>
      <c r="C47" s="34">
        <v>4301051820</v>
      </c>
      <c r="D47" s="560">
        <v>4680115884915</v>
      </c>
      <c r="E47" s="561"/>
      <c r="F47" s="59">
        <v>0.3</v>
      </c>
      <c r="G47" s="35">
        <v>6</v>
      </c>
      <c r="H47" s="59">
        <v>1.8</v>
      </c>
      <c r="I47" s="59">
        <v>1.98</v>
      </c>
      <c r="J47" s="35">
        <v>182</v>
      </c>
      <c r="K47" s="35" t="s">
        <v>67</v>
      </c>
      <c r="L47" s="35" t="s">
        <v>90</v>
      </c>
      <c r="M47" s="36" t="s">
        <v>80</v>
      </c>
      <c r="N47" s="36"/>
      <c r="O47" s="35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7"/>
      <c r="V47" s="37"/>
      <c r="W47" s="38" t="s">
        <v>69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/>
      <c r="AB47" s="66"/>
      <c r="AC47" s="103" t="s">
        <v>118</v>
      </c>
      <c r="AG47" s="75"/>
      <c r="AJ47" s="79" t="s">
        <v>92</v>
      </c>
      <c r="AK47" s="79">
        <v>25.2</v>
      </c>
      <c r="BB47" s="104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40" t="s">
        <v>76</v>
      </c>
      <c r="X48" s="41">
        <f>IFERROR(X47/H47,"0")</f>
        <v>0</v>
      </c>
      <c r="Y48" s="41">
        <f>IFERROR(Y47/H47,"0")</f>
        <v>0</v>
      </c>
      <c r="Z48" s="41">
        <f>IFERROR(IF(Z47="",0,Z47),"0")</f>
        <v>0</v>
      </c>
      <c r="AA48" s="64"/>
      <c r="AB48" s="64"/>
      <c r="AC48" s="64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40" t="s">
        <v>69</v>
      </c>
      <c r="X49" s="41">
        <f>IFERROR(SUM(X47:X47),"0")</f>
        <v>0</v>
      </c>
      <c r="Y49" s="41">
        <f>IFERROR(SUM(Y47:Y47),"0")</f>
        <v>0</v>
      </c>
      <c r="Z49" s="40"/>
      <c r="AA49" s="64"/>
      <c r="AB49" s="64"/>
      <c r="AC49" s="64"/>
    </row>
    <row r="50" spans="1:68" ht="16.5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62"/>
      <c r="AB50" s="62"/>
      <c r="AC50" s="62"/>
    </row>
    <row r="51" spans="1:68" ht="14.25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63"/>
      <c r="AB51" s="63"/>
      <c r="AC51" s="63"/>
    </row>
    <row r="52" spans="1:68" ht="27" customHeight="1" x14ac:dyDescent="0.25">
      <c r="A52" s="60" t="s">
        <v>120</v>
      </c>
      <c r="B52" s="60" t="s">
        <v>121</v>
      </c>
      <c r="C52" s="34">
        <v>4301012030</v>
      </c>
      <c r="D52" s="560">
        <v>4680115885882</v>
      </c>
      <c r="E52" s="561"/>
      <c r="F52" s="59">
        <v>1.4</v>
      </c>
      <c r="G52" s="35">
        <v>8</v>
      </c>
      <c r="H52" s="59">
        <v>11.2</v>
      </c>
      <c r="I52" s="59">
        <v>11.61</v>
      </c>
      <c r="J52" s="35">
        <v>64</v>
      </c>
      <c r="K52" s="35" t="s">
        <v>106</v>
      </c>
      <c r="L52" s="35" t="s">
        <v>107</v>
      </c>
      <c r="M52" s="36" t="s">
        <v>80</v>
      </c>
      <c r="N52" s="36"/>
      <c r="O52" s="35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7"/>
      <c r="V52" s="37"/>
      <c r="W52" s="38" t="s">
        <v>69</v>
      </c>
      <c r="X52" s="56">
        <v>0</v>
      </c>
      <c r="Y52" s="53">
        <f t="shared" ref="Y52:Y57" si="0">IFERROR(IF(X52="",0,CEILING((X52/$H52),1)*$H52),"")</f>
        <v>0</v>
      </c>
      <c r="Z52" s="39" t="str">
        <f>IFERROR(IF(Y52=0,"",ROUNDUP(Y52/H52,0)*0.01898),"")</f>
        <v/>
      </c>
      <c r="AA52" s="65"/>
      <c r="AB52" s="66"/>
      <c r="AC52" s="105" t="s">
        <v>122</v>
      </c>
      <c r="AG52" s="75"/>
      <c r="AJ52" s="79" t="s">
        <v>92</v>
      </c>
      <c r="AK52" s="79">
        <v>89.6</v>
      </c>
      <c r="BB52" s="106" t="s">
        <v>1</v>
      </c>
      <c r="BM52" s="75">
        <f t="shared" ref="BM52:BM57" si="1">IFERROR(X52*I52/H52,"0")</f>
        <v>0</v>
      </c>
      <c r="BN52" s="75">
        <f t="shared" ref="BN52:BN57" si="2">IFERROR(Y52*I52/H52,"0")</f>
        <v>0</v>
      </c>
      <c r="BO52" s="75">
        <f t="shared" ref="BO52:BO57" si="3">IFERROR(1/J52*(X52/H52),"0")</f>
        <v>0</v>
      </c>
      <c r="BP52" s="75">
        <f t="shared" ref="BP52:BP57" si="4">IFERROR(1/J52*(Y52/H52),"0")</f>
        <v>0</v>
      </c>
    </row>
    <row r="53" spans="1:68" ht="27" customHeight="1" x14ac:dyDescent="0.25">
      <c r="A53" s="60" t="s">
        <v>123</v>
      </c>
      <c r="B53" s="60" t="s">
        <v>124</v>
      </c>
      <c r="C53" s="34">
        <v>4301011816</v>
      </c>
      <c r="D53" s="560">
        <v>4680115881426</v>
      </c>
      <c r="E53" s="561"/>
      <c r="F53" s="59">
        <v>1.35</v>
      </c>
      <c r="G53" s="35">
        <v>8</v>
      </c>
      <c r="H53" s="59">
        <v>10.8</v>
      </c>
      <c r="I53" s="59">
        <v>11.21</v>
      </c>
      <c r="J53" s="35">
        <v>64</v>
      </c>
      <c r="K53" s="35" t="s">
        <v>106</v>
      </c>
      <c r="L53" s="35"/>
      <c r="M53" s="36" t="s">
        <v>108</v>
      </c>
      <c r="N53" s="36"/>
      <c r="O53" s="35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7"/>
      <c r="V53" s="37"/>
      <c r="W53" s="38" t="s">
        <v>69</v>
      </c>
      <c r="X53" s="56">
        <v>0</v>
      </c>
      <c r="Y53" s="53">
        <f t="shared" si="0"/>
        <v>0</v>
      </c>
      <c r="Z53" s="39" t="str">
        <f>IFERROR(IF(Y53=0,"",ROUNDUP(Y53/H53,0)*0.01898),"")</f>
        <v/>
      </c>
      <c r="AA53" s="65"/>
      <c r="AB53" s="66"/>
      <c r="AC53" s="107" t="s">
        <v>125</v>
      </c>
      <c r="AG53" s="75"/>
      <c r="AJ53" s="79"/>
      <c r="AK53" s="79">
        <v>0</v>
      </c>
      <c r="BB53" s="108" t="s">
        <v>1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27" customHeight="1" x14ac:dyDescent="0.25">
      <c r="A54" s="60" t="s">
        <v>126</v>
      </c>
      <c r="B54" s="60" t="s">
        <v>127</v>
      </c>
      <c r="C54" s="34">
        <v>4301011386</v>
      </c>
      <c r="D54" s="560">
        <v>4680115880283</v>
      </c>
      <c r="E54" s="561"/>
      <c r="F54" s="59">
        <v>0.6</v>
      </c>
      <c r="G54" s="35">
        <v>8</v>
      </c>
      <c r="H54" s="59">
        <v>4.8</v>
      </c>
      <c r="I54" s="59">
        <v>4.99</v>
      </c>
      <c r="J54" s="35">
        <v>132</v>
      </c>
      <c r="K54" s="35" t="s">
        <v>112</v>
      </c>
      <c r="L54" s="35"/>
      <c r="M54" s="36" t="s">
        <v>108</v>
      </c>
      <c r="N54" s="36"/>
      <c r="O54" s="35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7"/>
      <c r="V54" s="37"/>
      <c r="W54" s="38" t="s">
        <v>69</v>
      </c>
      <c r="X54" s="56">
        <v>9.6</v>
      </c>
      <c r="Y54" s="53">
        <f t="shared" si="0"/>
        <v>9.6</v>
      </c>
      <c r="Z54" s="39">
        <f>IFERROR(IF(Y54=0,"",ROUNDUP(Y54/H54,0)*0.00902),"")</f>
        <v>1.804E-2</v>
      </c>
      <c r="AA54" s="65"/>
      <c r="AB54" s="66"/>
      <c r="AC54" s="109" t="s">
        <v>128</v>
      </c>
      <c r="AG54" s="75"/>
      <c r="AJ54" s="79"/>
      <c r="AK54" s="79">
        <v>0</v>
      </c>
      <c r="BB54" s="110" t="s">
        <v>1</v>
      </c>
      <c r="BM54" s="75">
        <f t="shared" si="1"/>
        <v>9.98</v>
      </c>
      <c r="BN54" s="75">
        <f t="shared" si="2"/>
        <v>9.98</v>
      </c>
      <c r="BO54" s="75">
        <f t="shared" si="3"/>
        <v>1.5151515151515152E-2</v>
      </c>
      <c r="BP54" s="75">
        <f t="shared" si="4"/>
        <v>1.5151515151515152E-2</v>
      </c>
    </row>
    <row r="55" spans="1:68" ht="16.5" customHeight="1" x14ac:dyDescent="0.25">
      <c r="A55" s="60" t="s">
        <v>129</v>
      </c>
      <c r="B55" s="60" t="s">
        <v>130</v>
      </c>
      <c r="C55" s="34">
        <v>4301011806</v>
      </c>
      <c r="D55" s="560">
        <v>4680115881525</v>
      </c>
      <c r="E55" s="561"/>
      <c r="F55" s="59">
        <v>0.4</v>
      </c>
      <c r="G55" s="35">
        <v>10</v>
      </c>
      <c r="H55" s="59">
        <v>4</v>
      </c>
      <c r="I55" s="59">
        <v>4.1900000000000004</v>
      </c>
      <c r="J55" s="35">
        <v>132</v>
      </c>
      <c r="K55" s="35" t="s">
        <v>112</v>
      </c>
      <c r="L55" s="35"/>
      <c r="M55" s="36" t="s">
        <v>108</v>
      </c>
      <c r="N55" s="36"/>
      <c r="O55" s="35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7"/>
      <c r="V55" s="37"/>
      <c r="W55" s="38" t="s">
        <v>69</v>
      </c>
      <c r="X55" s="56">
        <v>0</v>
      </c>
      <c r="Y55" s="53">
        <f t="shared" si="0"/>
        <v>0</v>
      </c>
      <c r="Z55" s="39" t="str">
        <f>IFERROR(IF(Y55=0,"",ROUNDUP(Y55/H55,0)*0.00902),"")</f>
        <v/>
      </c>
      <c r="AA55" s="65"/>
      <c r="AB55" s="66"/>
      <c r="AC55" s="111" t="s">
        <v>131</v>
      </c>
      <c r="AG55" s="75"/>
      <c r="AJ55" s="79"/>
      <c r="AK55" s="79">
        <v>0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132</v>
      </c>
      <c r="B56" s="60" t="s">
        <v>133</v>
      </c>
      <c r="C56" s="34">
        <v>4301011589</v>
      </c>
      <c r="D56" s="560">
        <v>4680115885899</v>
      </c>
      <c r="E56" s="561"/>
      <c r="F56" s="59">
        <v>0.35</v>
      </c>
      <c r="G56" s="35">
        <v>6</v>
      </c>
      <c r="H56" s="59">
        <v>2.1</v>
      </c>
      <c r="I56" s="59">
        <v>2.2799999999999998</v>
      </c>
      <c r="J56" s="35">
        <v>182</v>
      </c>
      <c r="K56" s="35" t="s">
        <v>67</v>
      </c>
      <c r="L56" s="35" t="s">
        <v>90</v>
      </c>
      <c r="M56" s="36" t="s">
        <v>86</v>
      </c>
      <c r="N56" s="36"/>
      <c r="O56" s="35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7"/>
      <c r="V56" s="37"/>
      <c r="W56" s="38" t="s">
        <v>69</v>
      </c>
      <c r="X56" s="56">
        <v>0</v>
      </c>
      <c r="Y56" s="53">
        <f t="shared" si="0"/>
        <v>0</v>
      </c>
      <c r="Z56" s="39" t="str">
        <f>IFERROR(IF(Y56=0,"",ROUNDUP(Y56/H56,0)*0.00651),"")</f>
        <v/>
      </c>
      <c r="AA56" s="65"/>
      <c r="AB56" s="66"/>
      <c r="AC56" s="113" t="s">
        <v>134</v>
      </c>
      <c r="AG56" s="75"/>
      <c r="AJ56" s="79" t="s">
        <v>92</v>
      </c>
      <c r="AK56" s="79">
        <v>29.4</v>
      </c>
      <c r="BB56" s="114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135</v>
      </c>
      <c r="B57" s="60" t="s">
        <v>136</v>
      </c>
      <c r="C57" s="34">
        <v>4301011801</v>
      </c>
      <c r="D57" s="560">
        <v>4680115881419</v>
      </c>
      <c r="E57" s="561"/>
      <c r="F57" s="59">
        <v>0.45</v>
      </c>
      <c r="G57" s="35">
        <v>10</v>
      </c>
      <c r="H57" s="59">
        <v>4.5</v>
      </c>
      <c r="I57" s="59">
        <v>4.6900000000000004</v>
      </c>
      <c r="J57" s="35">
        <v>132</v>
      </c>
      <c r="K57" s="35" t="s">
        <v>112</v>
      </c>
      <c r="L57" s="35"/>
      <c r="M57" s="36" t="s">
        <v>108</v>
      </c>
      <c r="N57" s="36"/>
      <c r="O57" s="35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7"/>
      <c r="V57" s="37"/>
      <c r="W57" s="38" t="s">
        <v>69</v>
      </c>
      <c r="X57" s="56">
        <v>45</v>
      </c>
      <c r="Y57" s="53">
        <f t="shared" si="0"/>
        <v>45</v>
      </c>
      <c r="Z57" s="39">
        <f>IFERROR(IF(Y57=0,"",ROUNDUP(Y57/H57,0)*0.00902),"")</f>
        <v>9.0200000000000002E-2</v>
      </c>
      <c r="AA57" s="65"/>
      <c r="AB57" s="66"/>
      <c r="AC57" s="115" t="s">
        <v>137</v>
      </c>
      <c r="AG57" s="75"/>
      <c r="AJ57" s="79"/>
      <c r="AK57" s="79">
        <v>0</v>
      </c>
      <c r="BB57" s="116" t="s">
        <v>1</v>
      </c>
      <c r="BM57" s="75">
        <f t="shared" si="1"/>
        <v>46.900000000000006</v>
      </c>
      <c r="BN57" s="75">
        <f t="shared" si="2"/>
        <v>46.900000000000006</v>
      </c>
      <c r="BO57" s="75">
        <f t="shared" si="3"/>
        <v>7.575757575757576E-2</v>
      </c>
      <c r="BP57" s="75">
        <f t="shared" si="4"/>
        <v>7.575757575757576E-2</v>
      </c>
    </row>
    <row r="58" spans="1:68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40" t="s">
        <v>76</v>
      </c>
      <c r="X58" s="41">
        <f>IFERROR(X52/H52,"0")+IFERROR(X53/H53,"0")+IFERROR(X54/H54,"0")+IFERROR(X55/H55,"0")+IFERROR(X56/H56,"0")+IFERROR(X57/H57,"0")</f>
        <v>12</v>
      </c>
      <c r="Y58" s="41">
        <f>IFERROR(Y52/H52,"0")+IFERROR(Y53/H53,"0")+IFERROR(Y54/H54,"0")+IFERROR(Y55/H55,"0")+IFERROR(Y56/H56,"0")+IFERROR(Y57/H57,"0")</f>
        <v>12</v>
      </c>
      <c r="Z58" s="41">
        <f>IFERROR(IF(Z52="",0,Z52),"0")+IFERROR(IF(Z53="",0,Z53),"0")+IFERROR(IF(Z54="",0,Z54),"0")+IFERROR(IF(Z55="",0,Z55),"0")+IFERROR(IF(Z56="",0,Z56),"0")+IFERROR(IF(Z57="",0,Z57),"0")</f>
        <v>0.10824</v>
      </c>
      <c r="AA58" s="64"/>
      <c r="AB58" s="64"/>
      <c r="AC58" s="64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40" t="s">
        <v>69</v>
      </c>
      <c r="X59" s="41">
        <f>IFERROR(SUM(X52:X57),"0")</f>
        <v>54.6</v>
      </c>
      <c r="Y59" s="41">
        <f>IFERROR(SUM(Y52:Y57),"0")</f>
        <v>54.6</v>
      </c>
      <c r="Z59" s="40"/>
      <c r="AA59" s="64"/>
      <c r="AB59" s="64"/>
      <c r="AC59" s="64"/>
    </row>
    <row r="60" spans="1:68" ht="14.25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63"/>
      <c r="AB60" s="63"/>
      <c r="AC60" s="63"/>
    </row>
    <row r="61" spans="1:68" ht="16.5" customHeight="1" x14ac:dyDescent="0.25">
      <c r="A61" s="60" t="s">
        <v>139</v>
      </c>
      <c r="B61" s="60" t="s">
        <v>140</v>
      </c>
      <c r="C61" s="34">
        <v>4301020298</v>
      </c>
      <c r="D61" s="560">
        <v>4680115881440</v>
      </c>
      <c r="E61" s="561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106</v>
      </c>
      <c r="L61" s="35" t="s">
        <v>107</v>
      </c>
      <c r="M61" s="36" t="s">
        <v>108</v>
      </c>
      <c r="N61" s="36"/>
      <c r="O61" s="35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7"/>
      <c r="V61" s="37"/>
      <c r="W61" s="38" t="s">
        <v>69</v>
      </c>
      <c r="X61" s="56">
        <v>172</v>
      </c>
      <c r="Y61" s="53">
        <f>IFERROR(IF(X61="",0,CEILING((X61/$H61),1)*$H61),"")</f>
        <v>172.8</v>
      </c>
      <c r="Z61" s="39">
        <f>IFERROR(IF(Y61=0,"",ROUNDUP(Y61/H61,0)*0.01898),"")</f>
        <v>0.30368000000000001</v>
      </c>
      <c r="AA61" s="65"/>
      <c r="AB61" s="66"/>
      <c r="AC61" s="117" t="s">
        <v>141</v>
      </c>
      <c r="AG61" s="75"/>
      <c r="AJ61" s="79" t="s">
        <v>92</v>
      </c>
      <c r="AK61" s="79">
        <v>86.4</v>
      </c>
      <c r="BB61" s="118" t="s">
        <v>1</v>
      </c>
      <c r="BM61" s="75">
        <f>IFERROR(X61*I61/H61,"0")</f>
        <v>178.52962962962962</v>
      </c>
      <c r="BN61" s="75">
        <f>IFERROR(Y61*I61/H61,"0")</f>
        <v>179.36</v>
      </c>
      <c r="BO61" s="75">
        <f>IFERROR(1/J61*(X61/H61),"0")</f>
        <v>0.24884259259259259</v>
      </c>
      <c r="BP61" s="75">
        <f>IFERROR(1/J61*(Y61/H61),"0")</f>
        <v>0.25</v>
      </c>
    </row>
    <row r="62" spans="1:68" ht="16.5" customHeight="1" x14ac:dyDescent="0.25">
      <c r="A62" s="60" t="s">
        <v>142</v>
      </c>
      <c r="B62" s="60" t="s">
        <v>143</v>
      </c>
      <c r="C62" s="34">
        <v>4301020358</v>
      </c>
      <c r="D62" s="560">
        <v>4680115885950</v>
      </c>
      <c r="E62" s="561"/>
      <c r="F62" s="59">
        <v>0.37</v>
      </c>
      <c r="G62" s="35">
        <v>6</v>
      </c>
      <c r="H62" s="59">
        <v>2.2200000000000002</v>
      </c>
      <c r="I62" s="59">
        <v>2.4</v>
      </c>
      <c r="J62" s="35">
        <v>182</v>
      </c>
      <c r="K62" s="35" t="s">
        <v>67</v>
      </c>
      <c r="L62" s="35"/>
      <c r="M62" s="36" t="s">
        <v>80</v>
      </c>
      <c r="N62" s="36"/>
      <c r="O62" s="35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7"/>
      <c r="V62" s="37"/>
      <c r="W62" s="38" t="s">
        <v>69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/>
      <c r="AB62" s="66"/>
      <c r="AC62" s="119" t="s">
        <v>141</v>
      </c>
      <c r="AG62" s="75"/>
      <c r="AJ62" s="79"/>
      <c r="AK62" s="79">
        <v>0</v>
      </c>
      <c r="BB62" s="120" t="s">
        <v>1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4301020296</v>
      </c>
      <c r="D63" s="560">
        <v>4680115881433</v>
      </c>
      <c r="E63" s="561"/>
      <c r="F63" s="59">
        <v>0.45</v>
      </c>
      <c r="G63" s="35">
        <v>6</v>
      </c>
      <c r="H63" s="59">
        <v>2.7</v>
      </c>
      <c r="I63" s="59">
        <v>2.88</v>
      </c>
      <c r="J63" s="35">
        <v>182</v>
      </c>
      <c r="K63" s="35" t="s">
        <v>67</v>
      </c>
      <c r="L63" s="35"/>
      <c r="M63" s="36" t="s">
        <v>108</v>
      </c>
      <c r="N63" s="36"/>
      <c r="O63" s="35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7"/>
      <c r="V63" s="37"/>
      <c r="W63" s="38" t="s">
        <v>69</v>
      </c>
      <c r="X63" s="56">
        <v>27</v>
      </c>
      <c r="Y63" s="53">
        <f>IFERROR(IF(X63="",0,CEILING((X63/$H63),1)*$H63),"")</f>
        <v>27</v>
      </c>
      <c r="Z63" s="39">
        <f>IFERROR(IF(Y63=0,"",ROUNDUP(Y63/H63,0)*0.00651),"")</f>
        <v>6.5100000000000005E-2</v>
      </c>
      <c r="AA63" s="65"/>
      <c r="AB63" s="66"/>
      <c r="AC63" s="121" t="s">
        <v>141</v>
      </c>
      <c r="AG63" s="75"/>
      <c r="AJ63" s="79"/>
      <c r="AK63" s="79">
        <v>0</v>
      </c>
      <c r="BB63" s="122" t="s">
        <v>1</v>
      </c>
      <c r="BM63" s="75">
        <f>IFERROR(X63*I63/H63,"0")</f>
        <v>28.799999999999994</v>
      </c>
      <c r="BN63" s="75">
        <f>IFERROR(Y63*I63/H63,"0")</f>
        <v>28.799999999999994</v>
      </c>
      <c r="BO63" s="75">
        <f>IFERROR(1/J63*(X63/H63),"0")</f>
        <v>5.4945054945054951E-2</v>
      </c>
      <c r="BP63" s="75">
        <f>IFERROR(1/J63*(Y63/H63),"0")</f>
        <v>5.4945054945054951E-2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40" t="s">
        <v>76</v>
      </c>
      <c r="X64" s="41">
        <f>IFERROR(X61/H61,"0")+IFERROR(X62/H62,"0")+IFERROR(X63/H63,"0")</f>
        <v>25.925925925925924</v>
      </c>
      <c r="Y64" s="41">
        <f>IFERROR(Y61/H61,"0")+IFERROR(Y62/H62,"0")+IFERROR(Y63/H63,"0")</f>
        <v>26</v>
      </c>
      <c r="Z64" s="41">
        <f>IFERROR(IF(Z61="",0,Z61),"0")+IFERROR(IF(Z62="",0,Z62),"0")+IFERROR(IF(Z63="",0,Z63),"0")</f>
        <v>0.36878</v>
      </c>
      <c r="AA64" s="64"/>
      <c r="AB64" s="64"/>
      <c r="AC64" s="64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40" t="s">
        <v>69</v>
      </c>
      <c r="X65" s="41">
        <f>IFERROR(SUM(X61:X63),"0")</f>
        <v>199</v>
      </c>
      <c r="Y65" s="41">
        <f>IFERROR(SUM(Y61:Y63),"0")</f>
        <v>199.8</v>
      </c>
      <c r="Z65" s="40"/>
      <c r="AA65" s="64"/>
      <c r="AB65" s="64"/>
      <c r="AC65" s="64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63"/>
      <c r="AB66" s="63"/>
      <c r="AC66" s="63"/>
    </row>
    <row r="67" spans="1:68" ht="27" customHeight="1" x14ac:dyDescent="0.25">
      <c r="A67" s="60" t="s">
        <v>146</v>
      </c>
      <c r="B67" s="60" t="s">
        <v>147</v>
      </c>
      <c r="C67" s="34">
        <v>4301031243</v>
      </c>
      <c r="D67" s="560">
        <v>4680115885073</v>
      </c>
      <c r="E67" s="56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73</v>
      </c>
      <c r="L67" s="35"/>
      <c r="M67" s="36" t="s">
        <v>68</v>
      </c>
      <c r="N67" s="36"/>
      <c r="O67" s="35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7"/>
      <c r="V67" s="37"/>
      <c r="W67" s="38" t="s">
        <v>69</v>
      </c>
      <c r="X67" s="56">
        <v>7.2</v>
      </c>
      <c r="Y67" s="53">
        <f>IFERROR(IF(X67="",0,CEILING((X67/$H67),1)*$H67),"")</f>
        <v>7.2</v>
      </c>
      <c r="Z67" s="39">
        <f>IFERROR(IF(Y67=0,"",ROUNDUP(Y67/H67,0)*0.00502),"")</f>
        <v>2.0080000000000001E-2</v>
      </c>
      <c r="AA67" s="65"/>
      <c r="AB67" s="66"/>
      <c r="AC67" s="123" t="s">
        <v>148</v>
      </c>
      <c r="AG67" s="75"/>
      <c r="AJ67" s="79"/>
      <c r="AK67" s="79">
        <v>0</v>
      </c>
      <c r="BB67" s="124" t="s">
        <v>1</v>
      </c>
      <c r="BM67" s="75">
        <f>IFERROR(X67*I67/H67,"0")</f>
        <v>7.6</v>
      </c>
      <c r="BN67" s="75">
        <f>IFERROR(Y67*I67/H67,"0")</f>
        <v>7.6</v>
      </c>
      <c r="BO67" s="75">
        <f>IFERROR(1/J67*(X67/H67),"0")</f>
        <v>1.7094017094017096E-2</v>
      </c>
      <c r="BP67" s="75">
        <f>IFERROR(1/J67*(Y67/H67),"0")</f>
        <v>1.7094017094017096E-2</v>
      </c>
    </row>
    <row r="68" spans="1:68" ht="27" customHeight="1" x14ac:dyDescent="0.25">
      <c r="A68" s="60" t="s">
        <v>149</v>
      </c>
      <c r="B68" s="60" t="s">
        <v>150</v>
      </c>
      <c r="C68" s="34">
        <v>4301031316</v>
      </c>
      <c r="D68" s="560">
        <v>4680115885097</v>
      </c>
      <c r="E68" s="561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73</v>
      </c>
      <c r="L68" s="35"/>
      <c r="M68" s="36" t="s">
        <v>68</v>
      </c>
      <c r="N68" s="36"/>
      <c r="O68" s="35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7"/>
      <c r="V68" s="37"/>
      <c r="W68" s="38" t="s">
        <v>69</v>
      </c>
      <c r="X68" s="56">
        <v>5.4</v>
      </c>
      <c r="Y68" s="53">
        <f>IFERROR(IF(X68="",0,CEILING((X68/$H68),1)*$H68),"")</f>
        <v>5.4</v>
      </c>
      <c r="Z68" s="39">
        <f>IFERROR(IF(Y68=0,"",ROUNDUP(Y68/H68,0)*0.00502),"")</f>
        <v>1.506E-2</v>
      </c>
      <c r="AA68" s="65"/>
      <c r="AB68" s="66"/>
      <c r="AC68" s="125" t="s">
        <v>151</v>
      </c>
      <c r="AG68" s="75"/>
      <c r="AJ68" s="79"/>
      <c r="AK68" s="79">
        <v>0</v>
      </c>
      <c r="BB68" s="126" t="s">
        <v>1</v>
      </c>
      <c r="BM68" s="75">
        <f>IFERROR(X68*I68/H68,"0")</f>
        <v>5.7</v>
      </c>
      <c r="BN68" s="75">
        <f>IFERROR(Y68*I68/H68,"0")</f>
        <v>5.7</v>
      </c>
      <c r="BO68" s="75">
        <f>IFERROR(1/J68*(X68/H68),"0")</f>
        <v>1.2820512820512822E-2</v>
      </c>
      <c r="BP68" s="75">
        <f>IFERROR(1/J68*(Y68/H68),"0")</f>
        <v>1.2820512820512822E-2</v>
      </c>
    </row>
    <row r="69" spans="1:68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40" t="s">
        <v>76</v>
      </c>
      <c r="X69" s="41">
        <f>IFERROR(X67/H67,"0")+IFERROR(X68/H68,"0")</f>
        <v>7</v>
      </c>
      <c r="Y69" s="41">
        <f>IFERROR(Y67/H67,"0")+IFERROR(Y68/H68,"0")</f>
        <v>7</v>
      </c>
      <c r="Z69" s="41">
        <f>IFERROR(IF(Z67="",0,Z67),"0")+IFERROR(IF(Z68="",0,Z68),"0")</f>
        <v>3.5140000000000005E-2</v>
      </c>
      <c r="AA69" s="64"/>
      <c r="AB69" s="64"/>
      <c r="AC69" s="64"/>
    </row>
    <row r="70" spans="1:68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40" t="s">
        <v>69</v>
      </c>
      <c r="X70" s="41">
        <f>IFERROR(SUM(X67:X68),"0")</f>
        <v>12.600000000000001</v>
      </c>
      <c r="Y70" s="41">
        <f>IFERROR(SUM(Y67:Y68),"0")</f>
        <v>12.600000000000001</v>
      </c>
      <c r="Z70" s="40"/>
      <c r="AA70" s="64"/>
      <c r="AB70" s="64"/>
      <c r="AC70" s="64"/>
    </row>
    <row r="71" spans="1:68" ht="14.25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63"/>
      <c r="AB71" s="63"/>
      <c r="AC71" s="63"/>
    </row>
    <row r="72" spans="1:68" ht="27" customHeight="1" x14ac:dyDescent="0.25">
      <c r="A72" s="60" t="s">
        <v>152</v>
      </c>
      <c r="B72" s="60" t="s">
        <v>153</v>
      </c>
      <c r="C72" s="34">
        <v>4301051846</v>
      </c>
      <c r="D72" s="560">
        <v>4680115885769</v>
      </c>
      <c r="E72" s="561"/>
      <c r="F72" s="59">
        <v>1.4</v>
      </c>
      <c r="G72" s="35">
        <v>6</v>
      </c>
      <c r="H72" s="59">
        <v>8.4</v>
      </c>
      <c r="I72" s="59">
        <v>8.81</v>
      </c>
      <c r="J72" s="35">
        <v>64</v>
      </c>
      <c r="K72" s="35" t="s">
        <v>106</v>
      </c>
      <c r="L72" s="35"/>
      <c r="M72" s="36" t="s">
        <v>80</v>
      </c>
      <c r="N72" s="36"/>
      <c r="O72" s="35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7"/>
      <c r="V72" s="37"/>
      <c r="W72" s="38" t="s">
        <v>69</v>
      </c>
      <c r="X72" s="56">
        <v>8.4</v>
      </c>
      <c r="Y72" s="53">
        <f>IFERROR(IF(X72="",0,CEILING((X72/$H72),1)*$H72),"")</f>
        <v>8.4</v>
      </c>
      <c r="Z72" s="39">
        <f>IFERROR(IF(Y72=0,"",ROUNDUP(Y72/H72,0)*0.01898),"")</f>
        <v>1.898E-2</v>
      </c>
      <c r="AA72" s="65"/>
      <c r="AB72" s="66"/>
      <c r="AC72" s="127" t="s">
        <v>154</v>
      </c>
      <c r="AG72" s="75"/>
      <c r="AJ72" s="79"/>
      <c r="AK72" s="79">
        <v>0</v>
      </c>
      <c r="BB72" s="128" t="s">
        <v>1</v>
      </c>
      <c r="BM72" s="75">
        <f>IFERROR(X72*I72/H72,"0")</f>
        <v>8.81</v>
      </c>
      <c r="BN72" s="75">
        <f>IFERROR(Y72*I72/H72,"0")</f>
        <v>8.81</v>
      </c>
      <c r="BO72" s="75">
        <f>IFERROR(1/J72*(X72/H72),"0")</f>
        <v>1.5625E-2</v>
      </c>
      <c r="BP72" s="75">
        <f>IFERROR(1/J72*(Y72/H72),"0")</f>
        <v>1.5625E-2</v>
      </c>
    </row>
    <row r="73" spans="1:68" ht="16.5" customHeight="1" x14ac:dyDescent="0.25">
      <c r="A73" s="60" t="s">
        <v>155</v>
      </c>
      <c r="B73" s="60" t="s">
        <v>156</v>
      </c>
      <c r="C73" s="34">
        <v>4301051837</v>
      </c>
      <c r="D73" s="560">
        <v>4680115884311</v>
      </c>
      <c r="E73" s="561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67</v>
      </c>
      <c r="L73" s="35" t="s">
        <v>90</v>
      </c>
      <c r="M73" s="36" t="s">
        <v>80</v>
      </c>
      <c r="N73" s="36"/>
      <c r="O73" s="35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7"/>
      <c r="V73" s="37"/>
      <c r="W73" s="38" t="s">
        <v>69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29" t="s">
        <v>157</v>
      </c>
      <c r="AG73" s="75"/>
      <c r="AJ73" s="79" t="s">
        <v>92</v>
      </c>
      <c r="AK73" s="79">
        <v>25.2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158</v>
      </c>
      <c r="B74" s="60" t="s">
        <v>159</v>
      </c>
      <c r="C74" s="34">
        <v>4301051844</v>
      </c>
      <c r="D74" s="560">
        <v>4680115885929</v>
      </c>
      <c r="E74" s="561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67</v>
      </c>
      <c r="L74" s="35"/>
      <c r="M74" s="36" t="s">
        <v>80</v>
      </c>
      <c r="N74" s="36"/>
      <c r="O74" s="35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7"/>
      <c r="V74" s="37"/>
      <c r="W74" s="38" t="s">
        <v>69</v>
      </c>
      <c r="X74" s="56">
        <v>2.52</v>
      </c>
      <c r="Y74" s="53">
        <f>IFERROR(IF(X74="",0,CEILING((X74/$H74),1)*$H74),"")</f>
        <v>2.52</v>
      </c>
      <c r="Z74" s="39">
        <f>IFERROR(IF(Y74=0,"",ROUNDUP(Y74/H74,0)*0.00651),"")</f>
        <v>6.5100000000000002E-3</v>
      </c>
      <c r="AA74" s="65"/>
      <c r="AB74" s="66"/>
      <c r="AC74" s="131" t="s">
        <v>154</v>
      </c>
      <c r="AG74" s="75"/>
      <c r="AJ74" s="79"/>
      <c r="AK74" s="79">
        <v>0</v>
      </c>
      <c r="BB74" s="132" t="s">
        <v>1</v>
      </c>
      <c r="BM74" s="75">
        <f>IFERROR(X74*I74/H74,"0")</f>
        <v>2.7</v>
      </c>
      <c r="BN74" s="75">
        <f>IFERROR(Y74*I74/H74,"0")</f>
        <v>2.7</v>
      </c>
      <c r="BO74" s="75">
        <f>IFERROR(1/J74*(X74/H74),"0")</f>
        <v>5.4945054945054949E-3</v>
      </c>
      <c r="BP74" s="75">
        <f>IFERROR(1/J74*(Y74/H74),"0")</f>
        <v>5.4945054945054949E-3</v>
      </c>
    </row>
    <row r="75" spans="1:68" ht="27" customHeight="1" x14ac:dyDescent="0.25">
      <c r="A75" s="60" t="s">
        <v>160</v>
      </c>
      <c r="B75" s="60" t="s">
        <v>161</v>
      </c>
      <c r="C75" s="34">
        <v>4301051929</v>
      </c>
      <c r="D75" s="560">
        <v>4680115884403</v>
      </c>
      <c r="E75" s="561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67</v>
      </c>
      <c r="L75" s="35" t="s">
        <v>90</v>
      </c>
      <c r="M75" s="36" t="s">
        <v>80</v>
      </c>
      <c r="N75" s="36"/>
      <c r="O75" s="35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7"/>
      <c r="V75" s="37"/>
      <c r="W75" s="38" t="s">
        <v>69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/>
      <c r="AB75" s="66"/>
      <c r="AC75" s="133" t="s">
        <v>162</v>
      </c>
      <c r="AG75" s="75"/>
      <c r="AJ75" s="79" t="s">
        <v>92</v>
      </c>
      <c r="AK75" s="79">
        <v>25.2</v>
      </c>
      <c r="BB75" s="134" t="s">
        <v>1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40" t="s">
        <v>76</v>
      </c>
      <c r="X76" s="41">
        <f>IFERROR(X72/H72,"0")+IFERROR(X73/H73,"0")+IFERROR(X74/H74,"0")+IFERROR(X75/H75,"0")</f>
        <v>2</v>
      </c>
      <c r="Y76" s="41">
        <f>IFERROR(Y72/H72,"0")+IFERROR(Y73/H73,"0")+IFERROR(Y74/H74,"0")+IFERROR(Y75/H75,"0")</f>
        <v>2</v>
      </c>
      <c r="Z76" s="41">
        <f>IFERROR(IF(Z72="",0,Z72),"0")+IFERROR(IF(Z73="",0,Z73),"0")+IFERROR(IF(Z74="",0,Z74),"0")+IFERROR(IF(Z75="",0,Z75),"0")</f>
        <v>2.5489999999999999E-2</v>
      </c>
      <c r="AA76" s="64"/>
      <c r="AB76" s="64"/>
      <c r="AC76" s="64"/>
    </row>
    <row r="77" spans="1:68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40" t="s">
        <v>69</v>
      </c>
      <c r="X77" s="41">
        <f>IFERROR(SUM(X72:X75),"0")</f>
        <v>10.92</v>
      </c>
      <c r="Y77" s="41">
        <f>IFERROR(SUM(Y72:Y75),"0")</f>
        <v>10.92</v>
      </c>
      <c r="Z77" s="40"/>
      <c r="AA77" s="64"/>
      <c r="AB77" s="64"/>
      <c r="AC77" s="64"/>
    </row>
    <row r="78" spans="1:68" ht="14.25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63"/>
      <c r="AB78" s="63"/>
      <c r="AC78" s="63"/>
    </row>
    <row r="79" spans="1:68" ht="27" customHeight="1" x14ac:dyDescent="0.25">
      <c r="A79" s="60" t="s">
        <v>164</v>
      </c>
      <c r="B79" s="60" t="s">
        <v>165</v>
      </c>
      <c r="C79" s="34">
        <v>4301060455</v>
      </c>
      <c r="D79" s="560">
        <v>4680115881532</v>
      </c>
      <c r="E79" s="561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106</v>
      </c>
      <c r="L79" s="35" t="s">
        <v>107</v>
      </c>
      <c r="M79" s="36" t="s">
        <v>86</v>
      </c>
      <c r="N79" s="36"/>
      <c r="O79" s="35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7"/>
      <c r="V79" s="37"/>
      <c r="W79" s="38" t="s">
        <v>69</v>
      </c>
      <c r="X79" s="56">
        <v>15.6</v>
      </c>
      <c r="Y79" s="53">
        <f>IFERROR(IF(X79="",0,CEILING((X79/$H79),1)*$H79),"")</f>
        <v>15.6</v>
      </c>
      <c r="Z79" s="39">
        <f>IFERROR(IF(Y79=0,"",ROUNDUP(Y79/H79,0)*0.01898),"")</f>
        <v>3.7960000000000001E-2</v>
      </c>
      <c r="AA79" s="65"/>
      <c r="AB79" s="66"/>
      <c r="AC79" s="135" t="s">
        <v>166</v>
      </c>
      <c r="AG79" s="75"/>
      <c r="AJ79" s="79" t="s">
        <v>92</v>
      </c>
      <c r="AK79" s="79">
        <v>62.4</v>
      </c>
      <c r="BB79" s="136" t="s">
        <v>1</v>
      </c>
      <c r="BM79" s="75">
        <f>IFERROR(X79*I79/H79,"0")</f>
        <v>16.420000000000002</v>
      </c>
      <c r="BN79" s="75">
        <f>IFERROR(Y79*I79/H79,"0")</f>
        <v>16.420000000000002</v>
      </c>
      <c r="BO79" s="75">
        <f>IFERROR(1/J79*(X79/H79),"0")</f>
        <v>3.125E-2</v>
      </c>
      <c r="BP79" s="75">
        <f>IFERROR(1/J79*(Y79/H79),"0")</f>
        <v>3.125E-2</v>
      </c>
    </row>
    <row r="80" spans="1:68" ht="27" customHeight="1" x14ac:dyDescent="0.25">
      <c r="A80" s="60" t="s">
        <v>167</v>
      </c>
      <c r="B80" s="60" t="s">
        <v>168</v>
      </c>
      <c r="C80" s="34">
        <v>4301060351</v>
      </c>
      <c r="D80" s="560">
        <v>4680115881464</v>
      </c>
      <c r="E80" s="5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112</v>
      </c>
      <c r="L80" s="35" t="s">
        <v>115</v>
      </c>
      <c r="M80" s="36" t="s">
        <v>80</v>
      </c>
      <c r="N80" s="36"/>
      <c r="O80" s="35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7"/>
      <c r="V80" s="37"/>
      <c r="W80" s="38" t="s">
        <v>69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/>
      <c r="AB80" s="66"/>
      <c r="AC80" s="137" t="s">
        <v>169</v>
      </c>
      <c r="AG80" s="75"/>
      <c r="AJ80" s="79" t="s">
        <v>92</v>
      </c>
      <c r="AK80" s="79">
        <v>28.8</v>
      </c>
      <c r="BB80" s="138" t="s">
        <v>1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40" t="s">
        <v>76</v>
      </c>
      <c r="X81" s="41">
        <f>IFERROR(X79/H79,"0")+IFERROR(X80/H80,"0")</f>
        <v>2</v>
      </c>
      <c r="Y81" s="41">
        <f>IFERROR(Y79/H79,"0")+IFERROR(Y80/H80,"0")</f>
        <v>2</v>
      </c>
      <c r="Z81" s="41">
        <f>IFERROR(IF(Z79="",0,Z79),"0")+IFERROR(IF(Z80="",0,Z80),"0")</f>
        <v>3.7960000000000001E-2</v>
      </c>
      <c r="AA81" s="64"/>
      <c r="AB81" s="64"/>
      <c r="AC81" s="64"/>
    </row>
    <row r="82" spans="1:68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40" t="s">
        <v>69</v>
      </c>
      <c r="X82" s="41">
        <f>IFERROR(SUM(X79:X80),"0")</f>
        <v>15.6</v>
      </c>
      <c r="Y82" s="41">
        <f>IFERROR(SUM(Y79:Y80),"0")</f>
        <v>15.6</v>
      </c>
      <c r="Z82" s="40"/>
      <c r="AA82" s="64"/>
      <c r="AB82" s="64"/>
      <c r="AC82" s="64"/>
    </row>
    <row r="83" spans="1:68" ht="16.5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62"/>
      <c r="AB83" s="62"/>
      <c r="AC83" s="62"/>
    </row>
    <row r="84" spans="1:68" ht="14.25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63"/>
      <c r="AB84" s="63"/>
      <c r="AC84" s="63"/>
    </row>
    <row r="85" spans="1:68" ht="27" customHeight="1" x14ac:dyDescent="0.25">
      <c r="A85" s="60" t="s">
        <v>171</v>
      </c>
      <c r="B85" s="60" t="s">
        <v>172</v>
      </c>
      <c r="C85" s="34">
        <v>4301011468</v>
      </c>
      <c r="D85" s="560">
        <v>4680115881327</v>
      </c>
      <c r="E85" s="5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106</v>
      </c>
      <c r="L85" s="35" t="s">
        <v>107</v>
      </c>
      <c r="M85" s="36" t="s">
        <v>86</v>
      </c>
      <c r="N85" s="36"/>
      <c r="O85" s="35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7"/>
      <c r="V85" s="37"/>
      <c r="W85" s="38" t="s">
        <v>69</v>
      </c>
      <c r="X85" s="56">
        <v>75.599999999999994</v>
      </c>
      <c r="Y85" s="53">
        <f>IFERROR(IF(X85="",0,CEILING((X85/$H85),1)*$H85),"")</f>
        <v>75.600000000000009</v>
      </c>
      <c r="Z85" s="39">
        <f>IFERROR(IF(Y85=0,"",ROUNDUP(Y85/H85,0)*0.01898),"")</f>
        <v>0.13286000000000001</v>
      </c>
      <c r="AA85" s="65"/>
      <c r="AB85" s="66"/>
      <c r="AC85" s="139" t="s">
        <v>173</v>
      </c>
      <c r="AG85" s="75"/>
      <c r="AJ85" s="79" t="s">
        <v>92</v>
      </c>
      <c r="AK85" s="79">
        <v>86.4</v>
      </c>
      <c r="BB85" s="140" t="s">
        <v>1</v>
      </c>
      <c r="BM85" s="75">
        <f>IFERROR(X85*I85/H85,"0")</f>
        <v>78.47</v>
      </c>
      <c r="BN85" s="75">
        <f>IFERROR(Y85*I85/H85,"0")</f>
        <v>78.47</v>
      </c>
      <c r="BO85" s="75">
        <f>IFERROR(1/J85*(X85/H85),"0")</f>
        <v>0.10937499999999999</v>
      </c>
      <c r="BP85" s="75">
        <f>IFERROR(1/J85*(Y85/H85),"0")</f>
        <v>0.109375</v>
      </c>
    </row>
    <row r="86" spans="1:68" ht="27" customHeight="1" x14ac:dyDescent="0.25">
      <c r="A86" s="60" t="s">
        <v>174</v>
      </c>
      <c r="B86" s="60" t="s">
        <v>175</v>
      </c>
      <c r="C86" s="34">
        <v>4301011261</v>
      </c>
      <c r="D86" s="560">
        <v>4680115887732</v>
      </c>
      <c r="E86" s="5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176</v>
      </c>
      <c r="L86" s="35"/>
      <c r="M86" s="36" t="s">
        <v>68</v>
      </c>
      <c r="N86" s="36"/>
      <c r="O86" s="35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7"/>
      <c r="V86" s="37"/>
      <c r="W86" s="38" t="s">
        <v>69</v>
      </c>
      <c r="X86" s="56">
        <v>3.4</v>
      </c>
      <c r="Y86" s="53">
        <f>IFERROR(IF(X86="",0,CEILING((X86/$H86),1)*$H86),"")</f>
        <v>3.4</v>
      </c>
      <c r="Z86" s="39">
        <f>IFERROR(IF(Y86=0,"",ROUNDUP(Y86/H86,0)*0.00726),"")</f>
        <v>1.452E-2</v>
      </c>
      <c r="AA86" s="65"/>
      <c r="AB86" s="66"/>
      <c r="AC86" s="141" t="s">
        <v>177</v>
      </c>
      <c r="AG86" s="75"/>
      <c r="AJ86" s="79"/>
      <c r="AK86" s="79">
        <v>0</v>
      </c>
      <c r="BB86" s="142" t="s">
        <v>1</v>
      </c>
      <c r="BM86" s="75">
        <f>IFERROR(X86*I86/H86,"0")</f>
        <v>3.6</v>
      </c>
      <c r="BN86" s="75">
        <f>IFERROR(Y86*I86/H86,"0")</f>
        <v>3.6</v>
      </c>
      <c r="BO86" s="75">
        <f>IFERROR(1/J86*(X86/H86),"0")</f>
        <v>1.0416666666666666E-2</v>
      </c>
      <c r="BP86" s="75">
        <f>IFERROR(1/J86*(Y86/H86),"0")</f>
        <v>1.0416666666666666E-2</v>
      </c>
    </row>
    <row r="87" spans="1:68" ht="27" customHeight="1" x14ac:dyDescent="0.25">
      <c r="A87" s="60" t="s">
        <v>178</v>
      </c>
      <c r="B87" s="60" t="s">
        <v>179</v>
      </c>
      <c r="C87" s="34">
        <v>4301011476</v>
      </c>
      <c r="D87" s="560">
        <v>4680115881518</v>
      </c>
      <c r="E87" s="561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112</v>
      </c>
      <c r="L87" s="35"/>
      <c r="M87" s="36" t="s">
        <v>80</v>
      </c>
      <c r="N87" s="36"/>
      <c r="O87" s="35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7"/>
      <c r="V87" s="37"/>
      <c r="W87" s="38" t="s">
        <v>69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43" t="s">
        <v>173</v>
      </c>
      <c r="AG87" s="75"/>
      <c r="AJ87" s="79"/>
      <c r="AK87" s="79">
        <v>0</v>
      </c>
      <c r="BB87" s="144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180</v>
      </c>
      <c r="B88" s="60" t="s">
        <v>181</v>
      </c>
      <c r="C88" s="34">
        <v>4301011443</v>
      </c>
      <c r="D88" s="560">
        <v>4680115881303</v>
      </c>
      <c r="E88" s="561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112</v>
      </c>
      <c r="L88" s="35" t="s">
        <v>115</v>
      </c>
      <c r="M88" s="36" t="s">
        <v>86</v>
      </c>
      <c r="N88" s="36"/>
      <c r="O88" s="35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7"/>
      <c r="V88" s="37"/>
      <c r="W88" s="38" t="s">
        <v>69</v>
      </c>
      <c r="X88" s="56">
        <v>31.5</v>
      </c>
      <c r="Y88" s="53">
        <f>IFERROR(IF(X88="",0,CEILING((X88/$H88),1)*$H88),"")</f>
        <v>31.5</v>
      </c>
      <c r="Z88" s="39">
        <f>IFERROR(IF(Y88=0,"",ROUNDUP(Y88/H88,0)*0.00902),"")</f>
        <v>6.3140000000000002E-2</v>
      </c>
      <c r="AA88" s="65"/>
      <c r="AB88" s="66"/>
      <c r="AC88" s="145" t="s">
        <v>173</v>
      </c>
      <c r="AG88" s="75"/>
      <c r="AJ88" s="79" t="s">
        <v>92</v>
      </c>
      <c r="AK88" s="79">
        <v>54</v>
      </c>
      <c r="BB88" s="146" t="s">
        <v>1</v>
      </c>
      <c r="BM88" s="75">
        <f>IFERROR(X88*I88/H88,"0")</f>
        <v>32.830000000000005</v>
      </c>
      <c r="BN88" s="75">
        <f>IFERROR(Y88*I88/H88,"0")</f>
        <v>32.830000000000005</v>
      </c>
      <c r="BO88" s="75">
        <f>IFERROR(1/J88*(X88/H88),"0")</f>
        <v>5.3030303030303032E-2</v>
      </c>
      <c r="BP88" s="75">
        <f>IFERROR(1/J88*(Y88/H88),"0")</f>
        <v>5.3030303030303032E-2</v>
      </c>
    </row>
    <row r="89" spans="1:68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40" t="s">
        <v>76</v>
      </c>
      <c r="X89" s="41">
        <f>IFERROR(X85/H85,"0")+IFERROR(X86/H86,"0")+IFERROR(X87/H87,"0")+IFERROR(X88/H88,"0")</f>
        <v>16</v>
      </c>
      <c r="Y89" s="41">
        <f>IFERROR(Y85/H85,"0")+IFERROR(Y86/H86,"0")+IFERROR(Y87/H87,"0")+IFERROR(Y88/H88,"0")</f>
        <v>16</v>
      </c>
      <c r="Z89" s="41">
        <f>IFERROR(IF(Z85="",0,Z85),"0")+IFERROR(IF(Z86="",0,Z86),"0")+IFERROR(IF(Z87="",0,Z87),"0")+IFERROR(IF(Z88="",0,Z88),"0")</f>
        <v>0.21052000000000001</v>
      </c>
      <c r="AA89" s="64"/>
      <c r="AB89" s="64"/>
      <c r="AC89" s="64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40" t="s">
        <v>69</v>
      </c>
      <c r="X90" s="41">
        <f>IFERROR(SUM(X85:X88),"0")</f>
        <v>110.5</v>
      </c>
      <c r="Y90" s="41">
        <f>IFERROR(SUM(Y85:Y88),"0")</f>
        <v>110.50000000000001</v>
      </c>
      <c r="Z90" s="40"/>
      <c r="AA90" s="64"/>
      <c r="AB90" s="64"/>
      <c r="AC90" s="64"/>
    </row>
    <row r="91" spans="1:68" ht="14.25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63"/>
      <c r="AB91" s="63"/>
      <c r="AC91" s="63"/>
    </row>
    <row r="92" spans="1:68" ht="27" customHeight="1" x14ac:dyDescent="0.25">
      <c r="A92" s="60" t="s">
        <v>182</v>
      </c>
      <c r="B92" s="60" t="s">
        <v>183</v>
      </c>
      <c r="C92" s="34">
        <v>4301051712</v>
      </c>
      <c r="D92" s="560">
        <v>4607091386967</v>
      </c>
      <c r="E92" s="561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106</v>
      </c>
      <c r="L92" s="35" t="s">
        <v>107</v>
      </c>
      <c r="M92" s="36" t="s">
        <v>86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7"/>
      <c r="V92" s="37"/>
      <c r="W92" s="38" t="s">
        <v>69</v>
      </c>
      <c r="X92" s="56">
        <v>40.5</v>
      </c>
      <c r="Y92" s="53">
        <f>IFERROR(IF(X92="",0,CEILING((X92/$H92),1)*$H92),"")</f>
        <v>40.5</v>
      </c>
      <c r="Z92" s="39">
        <f>IFERROR(IF(Y92=0,"",ROUNDUP(Y92/H92,0)*0.01898),"")</f>
        <v>9.4899999999999998E-2</v>
      </c>
      <c r="AA92" s="65"/>
      <c r="AB92" s="66"/>
      <c r="AC92" s="147" t="s">
        <v>184</v>
      </c>
      <c r="AG92" s="75"/>
      <c r="AJ92" s="79" t="s">
        <v>92</v>
      </c>
      <c r="AK92" s="79">
        <v>64.8</v>
      </c>
      <c r="BB92" s="148" t="s">
        <v>1</v>
      </c>
      <c r="BM92" s="75">
        <f>IFERROR(X92*I92/H92,"0")</f>
        <v>42.97</v>
      </c>
      <c r="BN92" s="75">
        <f>IFERROR(Y92*I92/H92,"0")</f>
        <v>42.97</v>
      </c>
      <c r="BO92" s="75">
        <f>IFERROR(1/J92*(X92/H92),"0")</f>
        <v>7.8125E-2</v>
      </c>
      <c r="BP92" s="75">
        <f>IFERROR(1/J92*(Y92/H92),"0")</f>
        <v>7.8125E-2</v>
      </c>
    </row>
    <row r="93" spans="1:68" ht="27" customHeight="1" x14ac:dyDescent="0.25">
      <c r="A93" s="60" t="s">
        <v>185</v>
      </c>
      <c r="B93" s="60" t="s">
        <v>186</v>
      </c>
      <c r="C93" s="34">
        <v>4301051788</v>
      </c>
      <c r="D93" s="560">
        <v>4680115884953</v>
      </c>
      <c r="E93" s="561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67</v>
      </c>
      <c r="L93" s="35"/>
      <c r="M93" s="36" t="s">
        <v>80</v>
      </c>
      <c r="N93" s="36"/>
      <c r="O93" s="35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7"/>
      <c r="V93" s="37"/>
      <c r="W93" s="38" t="s">
        <v>69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187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188</v>
      </c>
      <c r="B94" s="60" t="s">
        <v>189</v>
      </c>
      <c r="C94" s="34">
        <v>4301051718</v>
      </c>
      <c r="D94" s="560">
        <v>4607091385731</v>
      </c>
      <c r="E94" s="561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67</v>
      </c>
      <c r="L94" s="35"/>
      <c r="M94" s="36" t="s">
        <v>86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7"/>
      <c r="V94" s="37"/>
      <c r="W94" s="38" t="s">
        <v>69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184</v>
      </c>
      <c r="AG94" s="75"/>
      <c r="AJ94" s="79"/>
      <c r="AK94" s="79">
        <v>0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customHeight="1" x14ac:dyDescent="0.25">
      <c r="A95" s="60" t="s">
        <v>190</v>
      </c>
      <c r="B95" s="60" t="s">
        <v>191</v>
      </c>
      <c r="C95" s="34">
        <v>4301051438</v>
      </c>
      <c r="D95" s="560">
        <v>4680115880894</v>
      </c>
      <c r="E95" s="561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67</v>
      </c>
      <c r="L95" s="35" t="s">
        <v>90</v>
      </c>
      <c r="M95" s="36" t="s">
        <v>80</v>
      </c>
      <c r="N95" s="36"/>
      <c r="O95" s="35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7"/>
      <c r="V95" s="37"/>
      <c r="W95" s="38" t="s">
        <v>69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3" t="s">
        <v>192</v>
      </c>
      <c r="AG95" s="75"/>
      <c r="AJ95" s="79" t="s">
        <v>92</v>
      </c>
      <c r="AK95" s="79">
        <v>27.72</v>
      </c>
      <c r="BB95" s="154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40" t="s">
        <v>76</v>
      </c>
      <c r="X96" s="41">
        <f>IFERROR(X92/H92,"0")+IFERROR(X93/H93,"0")+IFERROR(X94/H94,"0")+IFERROR(X95/H95,"0")</f>
        <v>5</v>
      </c>
      <c r="Y96" s="41">
        <f>IFERROR(Y92/H92,"0")+IFERROR(Y93/H93,"0")+IFERROR(Y94/H94,"0")+IFERROR(Y95/H95,"0")</f>
        <v>5</v>
      </c>
      <c r="Z96" s="41">
        <f>IFERROR(IF(Z92="",0,Z92),"0")+IFERROR(IF(Z93="",0,Z93),"0")+IFERROR(IF(Z94="",0,Z94),"0")+IFERROR(IF(Z95="",0,Z95),"0")</f>
        <v>9.4899999999999998E-2</v>
      </c>
      <c r="AA96" s="64"/>
      <c r="AB96" s="64"/>
      <c r="AC96" s="64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40" t="s">
        <v>69</v>
      </c>
      <c r="X97" s="41">
        <f>IFERROR(SUM(X92:X95),"0")</f>
        <v>40.5</v>
      </c>
      <c r="Y97" s="41">
        <f>IFERROR(SUM(Y92:Y95),"0")</f>
        <v>40.5</v>
      </c>
      <c r="Z97" s="40"/>
      <c r="AA97" s="64"/>
      <c r="AB97" s="64"/>
      <c r="AC97" s="64"/>
    </row>
    <row r="98" spans="1:68" ht="16.5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62"/>
      <c r="AB98" s="62"/>
      <c r="AC98" s="62"/>
    </row>
    <row r="99" spans="1:68" ht="14.25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63"/>
      <c r="AB99" s="63"/>
      <c r="AC99" s="63"/>
    </row>
    <row r="100" spans="1:68" ht="37.5" customHeight="1" x14ac:dyDescent="0.25">
      <c r="A100" s="60" t="s">
        <v>194</v>
      </c>
      <c r="B100" s="60" t="s">
        <v>195</v>
      </c>
      <c r="C100" s="34">
        <v>4301011514</v>
      </c>
      <c r="D100" s="560">
        <v>4680115882133</v>
      </c>
      <c r="E100" s="561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106</v>
      </c>
      <c r="L100" s="35" t="s">
        <v>107</v>
      </c>
      <c r="M100" s="36" t="s">
        <v>108</v>
      </c>
      <c r="N100" s="36"/>
      <c r="O100" s="35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7"/>
      <c r="V100" s="37"/>
      <c r="W100" s="38" t="s">
        <v>69</v>
      </c>
      <c r="X100" s="56">
        <v>0</v>
      </c>
      <c r="Y100" s="53">
        <f>IFERROR(IF(X100="",0,CEILING((X100/$H100),1)*$H100),"")</f>
        <v>0</v>
      </c>
      <c r="Z100" s="39" t="str">
        <f>IFERROR(IF(Y100=0,"",ROUNDUP(Y100/H100,0)*0.01898),"")</f>
        <v/>
      </c>
      <c r="AA100" s="65"/>
      <c r="AB100" s="66"/>
      <c r="AC100" s="155" t="s">
        <v>196</v>
      </c>
      <c r="AG100" s="75"/>
      <c r="AJ100" s="79" t="s">
        <v>92</v>
      </c>
      <c r="AK100" s="79">
        <v>86.4</v>
      </c>
      <c r="BB100" s="156" t="s">
        <v>1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27" customHeight="1" x14ac:dyDescent="0.25">
      <c r="A101" s="60" t="s">
        <v>197</v>
      </c>
      <c r="B101" s="60" t="s">
        <v>198</v>
      </c>
      <c r="C101" s="34">
        <v>4301012051</v>
      </c>
      <c r="D101" s="560">
        <v>4680115887718</v>
      </c>
      <c r="E101" s="561"/>
      <c r="F101" s="59">
        <v>0.11</v>
      </c>
      <c r="G101" s="35">
        <v>10</v>
      </c>
      <c r="H101" s="59">
        <v>1.1000000000000001</v>
      </c>
      <c r="I101" s="59">
        <v>1.31</v>
      </c>
      <c r="J101" s="35">
        <v>192</v>
      </c>
      <c r="K101" s="35" t="s">
        <v>176</v>
      </c>
      <c r="L101" s="35"/>
      <c r="M101" s="36" t="s">
        <v>68</v>
      </c>
      <c r="N101" s="36"/>
      <c r="O101" s="35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7"/>
      <c r="V101" s="37"/>
      <c r="W101" s="38" t="s">
        <v>69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IFERROR(IF(Y101=0,"",ROUNDUP(Y101/H101,0)*0.00726),"")</f>
        <v/>
      </c>
      <c r="AA101" s="65"/>
      <c r="AB101" s="66"/>
      <c r="AC101" s="157" t="s">
        <v>199</v>
      </c>
      <c r="AG101" s="75"/>
      <c r="AJ101" s="79"/>
      <c r="AK101" s="79">
        <v>0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200</v>
      </c>
      <c r="B102" s="60" t="s">
        <v>201</v>
      </c>
      <c r="C102" s="34">
        <v>4301011417</v>
      </c>
      <c r="D102" s="560">
        <v>4680115880269</v>
      </c>
      <c r="E102" s="561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112</v>
      </c>
      <c r="L102" s="35" t="s">
        <v>115</v>
      </c>
      <c r="M102" s="36" t="s">
        <v>80</v>
      </c>
      <c r="N102" s="36"/>
      <c r="O102" s="35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7"/>
      <c r="V102" s="37"/>
      <c r="W102" s="38" t="s">
        <v>69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196</v>
      </c>
      <c r="AG102" s="75"/>
      <c r="AJ102" s="79" t="s">
        <v>92</v>
      </c>
      <c r="AK102" s="79">
        <v>45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202</v>
      </c>
      <c r="B103" s="60" t="s">
        <v>203</v>
      </c>
      <c r="C103" s="34">
        <v>4301011415</v>
      </c>
      <c r="D103" s="560">
        <v>4680115880429</v>
      </c>
      <c r="E103" s="561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112</v>
      </c>
      <c r="L103" s="35" t="s">
        <v>115</v>
      </c>
      <c r="M103" s="36" t="s">
        <v>80</v>
      </c>
      <c r="N103" s="36"/>
      <c r="O103" s="35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7"/>
      <c r="V103" s="37"/>
      <c r="W103" s="38" t="s">
        <v>69</v>
      </c>
      <c r="X103" s="56">
        <v>22.5</v>
      </c>
      <c r="Y103" s="53">
        <f>IFERROR(IF(X103="",0,CEILING((X103/$H103),1)*$H103),"")</f>
        <v>22.5</v>
      </c>
      <c r="Z103" s="39">
        <f>IFERROR(IF(Y103=0,"",ROUNDUP(Y103/H103,0)*0.00902),"")</f>
        <v>4.5100000000000001E-2</v>
      </c>
      <c r="AA103" s="65"/>
      <c r="AB103" s="66"/>
      <c r="AC103" s="161" t="s">
        <v>196</v>
      </c>
      <c r="AG103" s="75"/>
      <c r="AJ103" s="79" t="s">
        <v>92</v>
      </c>
      <c r="AK103" s="79">
        <v>54</v>
      </c>
      <c r="BB103" s="162" t="s">
        <v>1</v>
      </c>
      <c r="BM103" s="75">
        <f>IFERROR(X103*I103/H103,"0")</f>
        <v>23.450000000000003</v>
      </c>
      <c r="BN103" s="75">
        <f>IFERROR(Y103*I103/H103,"0")</f>
        <v>23.450000000000003</v>
      </c>
      <c r="BO103" s="75">
        <f>IFERROR(1/J103*(X103/H103),"0")</f>
        <v>3.787878787878788E-2</v>
      </c>
      <c r="BP103" s="75">
        <f>IFERROR(1/J103*(Y103/H103),"0")</f>
        <v>3.787878787878788E-2</v>
      </c>
    </row>
    <row r="104" spans="1:68" ht="37.5" customHeight="1" x14ac:dyDescent="0.25">
      <c r="A104" s="60" t="s">
        <v>204</v>
      </c>
      <c r="B104" s="60" t="s">
        <v>205</v>
      </c>
      <c r="C104" s="34">
        <v>4301011462</v>
      </c>
      <c r="D104" s="560">
        <v>4680115881457</v>
      </c>
      <c r="E104" s="561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112</v>
      </c>
      <c r="L104" s="35"/>
      <c r="M104" s="36" t="s">
        <v>80</v>
      </c>
      <c r="N104" s="36"/>
      <c r="O104" s="35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7"/>
      <c r="V104" s="37"/>
      <c r="W104" s="38" t="s">
        <v>69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/>
      <c r="AB104" s="66"/>
      <c r="AC104" s="163" t="s">
        <v>196</v>
      </c>
      <c r="AG104" s="75"/>
      <c r="AJ104" s="79"/>
      <c r="AK104" s="79">
        <v>0</v>
      </c>
      <c r="BB104" s="164" t="s">
        <v>1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40" t="s">
        <v>76</v>
      </c>
      <c r="X105" s="41">
        <f>IFERROR(X100/H100,"0")+IFERROR(X101/H101,"0")+IFERROR(X102/H102,"0")+IFERROR(X103/H103,"0")+IFERROR(X104/H104,"0")</f>
        <v>5</v>
      </c>
      <c r="Y105" s="41">
        <f>IFERROR(Y100/H100,"0")+IFERROR(Y101/H101,"0")+IFERROR(Y102/H102,"0")+IFERROR(Y103/H103,"0")+IFERROR(Y104/H104,"0")</f>
        <v>5</v>
      </c>
      <c r="Z105" s="41">
        <f>IFERROR(IF(Z100="",0,Z100),"0")+IFERROR(IF(Z101="",0,Z101),"0")+IFERROR(IF(Z102="",0,Z102),"0")+IFERROR(IF(Z103="",0,Z103),"0")+IFERROR(IF(Z104="",0,Z104),"0")</f>
        <v>4.5100000000000001E-2</v>
      </c>
      <c r="AA105" s="64"/>
      <c r="AB105" s="64"/>
      <c r="AC105" s="64"/>
    </row>
    <row r="106" spans="1:68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40" t="s">
        <v>69</v>
      </c>
      <c r="X106" s="41">
        <f>IFERROR(SUM(X100:X104),"0")</f>
        <v>22.5</v>
      </c>
      <c r="Y106" s="41">
        <f>IFERROR(SUM(Y100:Y104),"0")</f>
        <v>22.5</v>
      </c>
      <c r="Z106" s="40"/>
      <c r="AA106" s="64"/>
      <c r="AB106" s="64"/>
      <c r="AC106" s="64"/>
    </row>
    <row r="107" spans="1:68" ht="14.25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63"/>
      <c r="AB107" s="63"/>
      <c r="AC107" s="63"/>
    </row>
    <row r="108" spans="1:68" ht="16.5" customHeight="1" x14ac:dyDescent="0.25">
      <c r="A108" s="60" t="s">
        <v>206</v>
      </c>
      <c r="B108" s="60" t="s">
        <v>207</v>
      </c>
      <c r="C108" s="34">
        <v>4301020345</v>
      </c>
      <c r="D108" s="560">
        <v>4680115881488</v>
      </c>
      <c r="E108" s="561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106</v>
      </c>
      <c r="L108" s="35"/>
      <c r="M108" s="36" t="s">
        <v>108</v>
      </c>
      <c r="N108" s="36"/>
      <c r="O108" s="35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7"/>
      <c r="V108" s="37"/>
      <c r="W108" s="38" t="s">
        <v>69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/>
      <c r="AB108" s="66"/>
      <c r="AC108" s="165" t="s">
        <v>208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customHeight="1" x14ac:dyDescent="0.25">
      <c r="A109" s="60" t="s">
        <v>209</v>
      </c>
      <c r="B109" s="60" t="s">
        <v>210</v>
      </c>
      <c r="C109" s="34">
        <v>4301020186</v>
      </c>
      <c r="D109" s="560">
        <v>4680115887664</v>
      </c>
      <c r="E109" s="561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211</v>
      </c>
      <c r="L109" s="35"/>
      <c r="M109" s="36" t="s">
        <v>68</v>
      </c>
      <c r="N109" s="36"/>
      <c r="O109" s="35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7"/>
      <c r="V109" s="37"/>
      <c r="W109" s="38" t="s">
        <v>69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/>
      <c r="AB109" s="66"/>
      <c r="AC109" s="167" t="s">
        <v>212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16.5" customHeight="1" x14ac:dyDescent="0.25">
      <c r="A110" s="60" t="s">
        <v>213</v>
      </c>
      <c r="B110" s="60" t="s">
        <v>214</v>
      </c>
      <c r="C110" s="34">
        <v>4301020346</v>
      </c>
      <c r="D110" s="560">
        <v>4680115882775</v>
      </c>
      <c r="E110" s="561"/>
      <c r="F110" s="59">
        <v>0.3</v>
      </c>
      <c r="G110" s="35">
        <v>8</v>
      </c>
      <c r="H110" s="59">
        <v>2.4</v>
      </c>
      <c r="I110" s="59">
        <v>2.5</v>
      </c>
      <c r="J110" s="35">
        <v>234</v>
      </c>
      <c r="K110" s="35" t="s">
        <v>73</v>
      </c>
      <c r="L110" s="35"/>
      <c r="M110" s="36" t="s">
        <v>108</v>
      </c>
      <c r="N110" s="36"/>
      <c r="O110" s="35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7"/>
      <c r="V110" s="37"/>
      <c r="W110" s="38" t="s">
        <v>69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IFERROR(IF(Y110=0,"",ROUNDUP(Y110/H110,0)*0.00502),"")</f>
        <v/>
      </c>
      <c r="AA110" s="65"/>
      <c r="AB110" s="66"/>
      <c r="AC110" s="169" t="s">
        <v>208</v>
      </c>
      <c r="AG110" s="75"/>
      <c r="AJ110" s="79"/>
      <c r="AK110" s="79">
        <v>0</v>
      </c>
      <c r="BB110" s="170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215</v>
      </c>
      <c r="B111" s="60" t="s">
        <v>216</v>
      </c>
      <c r="C111" s="34">
        <v>4301020344</v>
      </c>
      <c r="D111" s="560">
        <v>4680115880658</v>
      </c>
      <c r="E111" s="5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67</v>
      </c>
      <c r="L111" s="35"/>
      <c r="M111" s="36" t="s">
        <v>108</v>
      </c>
      <c r="N111" s="36"/>
      <c r="O111" s="35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7"/>
      <c r="V111" s="37"/>
      <c r="W111" s="38" t="s">
        <v>69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IFERROR(IF(Y111=0,"",ROUNDUP(Y111/H111,0)*0.00651),"")</f>
        <v/>
      </c>
      <c r="AA111" s="65"/>
      <c r="AB111" s="66"/>
      <c r="AC111" s="171" t="s">
        <v>208</v>
      </c>
      <c r="AG111" s="75"/>
      <c r="AJ111" s="79"/>
      <c r="AK111" s="79">
        <v>0</v>
      </c>
      <c r="BB111" s="172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40" t="s">
        <v>76</v>
      </c>
      <c r="X112" s="41">
        <f>IFERROR(X108/H108,"0")+IFERROR(X109/H109,"0")+IFERROR(X110/H110,"0")+IFERROR(X111/H111,"0")</f>
        <v>0</v>
      </c>
      <c r="Y112" s="41">
        <f>IFERROR(Y108/H108,"0")+IFERROR(Y109/H109,"0")+IFERROR(Y110/H110,"0")+IFERROR(Y111/H111,"0")</f>
        <v>0</v>
      </c>
      <c r="Z112" s="41">
        <f>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40" t="s">
        <v>69</v>
      </c>
      <c r="X113" s="41">
        <f>IFERROR(SUM(X108:X111),"0")</f>
        <v>0</v>
      </c>
      <c r="Y113" s="41">
        <f>IFERROR(SUM(Y108:Y111),"0")</f>
        <v>0</v>
      </c>
      <c r="Z113" s="40"/>
      <c r="AA113" s="64"/>
      <c r="AB113" s="64"/>
      <c r="AC113" s="64"/>
    </row>
    <row r="114" spans="1:68" ht="14.25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63"/>
      <c r="AB114" s="63"/>
      <c r="AC114" s="63"/>
    </row>
    <row r="115" spans="1:68" ht="27" customHeight="1" x14ac:dyDescent="0.25">
      <c r="A115" s="60" t="s">
        <v>217</v>
      </c>
      <c r="B115" s="60" t="s">
        <v>218</v>
      </c>
      <c r="C115" s="34">
        <v>4301051724</v>
      </c>
      <c r="D115" s="560">
        <v>4607091385168</v>
      </c>
      <c r="E115" s="561"/>
      <c r="F115" s="59">
        <v>1.35</v>
      </c>
      <c r="G115" s="35">
        <v>6</v>
      </c>
      <c r="H115" s="59">
        <v>8.1</v>
      </c>
      <c r="I115" s="59">
        <v>8.5879999999999992</v>
      </c>
      <c r="J115" s="35">
        <v>64</v>
      </c>
      <c r="K115" s="35" t="s">
        <v>106</v>
      </c>
      <c r="L115" s="35" t="s">
        <v>107</v>
      </c>
      <c r="M115" s="36" t="s">
        <v>86</v>
      </c>
      <c r="N115" s="36"/>
      <c r="O115" s="35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7"/>
      <c r="V115" s="37"/>
      <c r="W115" s="38" t="s">
        <v>69</v>
      </c>
      <c r="X115" s="56">
        <v>40.5</v>
      </c>
      <c r="Y115" s="53">
        <f>IFERROR(IF(X115="",0,CEILING((X115/$H115),1)*$H115),"")</f>
        <v>40.5</v>
      </c>
      <c r="Z115" s="39">
        <f>IFERROR(IF(Y115=0,"",ROUNDUP(Y115/H115,0)*0.01898),"")</f>
        <v>9.4899999999999998E-2</v>
      </c>
      <c r="AA115" s="65"/>
      <c r="AB115" s="66"/>
      <c r="AC115" s="173" t="s">
        <v>219</v>
      </c>
      <c r="AG115" s="75"/>
      <c r="AJ115" s="79" t="s">
        <v>92</v>
      </c>
      <c r="AK115" s="79">
        <v>64.8</v>
      </c>
      <c r="BB115" s="174" t="s">
        <v>1</v>
      </c>
      <c r="BM115" s="75">
        <f>IFERROR(X115*I115/H115,"0")</f>
        <v>42.94</v>
      </c>
      <c r="BN115" s="75">
        <f>IFERROR(Y115*I115/H115,"0")</f>
        <v>42.94</v>
      </c>
      <c r="BO115" s="75">
        <f>IFERROR(1/J115*(X115/H115),"0")</f>
        <v>7.8125E-2</v>
      </c>
      <c r="BP115" s="75">
        <f>IFERROR(1/J115*(Y115/H115),"0")</f>
        <v>7.8125E-2</v>
      </c>
    </row>
    <row r="116" spans="1:68" ht="27" customHeight="1" x14ac:dyDescent="0.25">
      <c r="A116" s="60" t="s">
        <v>220</v>
      </c>
      <c r="B116" s="60" t="s">
        <v>221</v>
      </c>
      <c r="C116" s="34">
        <v>4301051730</v>
      </c>
      <c r="D116" s="560">
        <v>4607091383256</v>
      </c>
      <c r="E116" s="561"/>
      <c r="F116" s="59">
        <v>0.33</v>
      </c>
      <c r="G116" s="35">
        <v>6</v>
      </c>
      <c r="H116" s="59">
        <v>1.98</v>
      </c>
      <c r="I116" s="59">
        <v>2.226</v>
      </c>
      <c r="J116" s="35">
        <v>182</v>
      </c>
      <c r="K116" s="35" t="s">
        <v>67</v>
      </c>
      <c r="L116" s="35" t="s">
        <v>90</v>
      </c>
      <c r="M116" s="36" t="s">
        <v>86</v>
      </c>
      <c r="N116" s="36"/>
      <c r="O116" s="35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7"/>
      <c r="V116" s="37"/>
      <c r="W116" s="38" t="s">
        <v>69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75" t="s">
        <v>219</v>
      </c>
      <c r="AG116" s="75"/>
      <c r="AJ116" s="79" t="s">
        <v>92</v>
      </c>
      <c r="AK116" s="79">
        <v>27.72</v>
      </c>
      <c r="BB116" s="176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222</v>
      </c>
      <c r="B117" s="60" t="s">
        <v>223</v>
      </c>
      <c r="C117" s="34">
        <v>4301051721</v>
      </c>
      <c r="D117" s="560">
        <v>4607091385748</v>
      </c>
      <c r="E117" s="561"/>
      <c r="F117" s="59">
        <v>0.45</v>
      </c>
      <c r="G117" s="35">
        <v>6</v>
      </c>
      <c r="H117" s="59">
        <v>2.7</v>
      </c>
      <c r="I117" s="59">
        <v>2.952</v>
      </c>
      <c r="J117" s="35">
        <v>182</v>
      </c>
      <c r="K117" s="35" t="s">
        <v>67</v>
      </c>
      <c r="L117" s="35" t="s">
        <v>90</v>
      </c>
      <c r="M117" s="36" t="s">
        <v>86</v>
      </c>
      <c r="N117" s="36"/>
      <c r="O117" s="35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7"/>
      <c r="V117" s="37"/>
      <c r="W117" s="38" t="s">
        <v>69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/>
      <c r="AB117" s="66"/>
      <c r="AC117" s="177" t="s">
        <v>219</v>
      </c>
      <c r="AG117" s="75"/>
      <c r="AJ117" s="79" t="s">
        <v>92</v>
      </c>
      <c r="AK117" s="79">
        <v>37.799999999999997</v>
      </c>
      <c r="BB117" s="178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16.5" customHeight="1" x14ac:dyDescent="0.25">
      <c r="A118" s="60" t="s">
        <v>224</v>
      </c>
      <c r="B118" s="60" t="s">
        <v>225</v>
      </c>
      <c r="C118" s="34">
        <v>4301051740</v>
      </c>
      <c r="D118" s="560">
        <v>4680115884533</v>
      </c>
      <c r="E118" s="561"/>
      <c r="F118" s="59">
        <v>0.3</v>
      </c>
      <c r="G118" s="35">
        <v>6</v>
      </c>
      <c r="H118" s="59">
        <v>1.8</v>
      </c>
      <c r="I118" s="59">
        <v>1.98</v>
      </c>
      <c r="J118" s="35">
        <v>182</v>
      </c>
      <c r="K118" s="35" t="s">
        <v>67</v>
      </c>
      <c r="L118" s="35" t="s">
        <v>90</v>
      </c>
      <c r="M118" s="36" t="s">
        <v>80</v>
      </c>
      <c r="N118" s="36"/>
      <c r="O118" s="35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7"/>
      <c r="V118" s="37"/>
      <c r="W118" s="38" t="s">
        <v>69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79" t="s">
        <v>226</v>
      </c>
      <c r="AG118" s="75"/>
      <c r="AJ118" s="79" t="s">
        <v>92</v>
      </c>
      <c r="AK118" s="79">
        <v>25.2</v>
      </c>
      <c r="BB118" s="180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40" t="s">
        <v>76</v>
      </c>
      <c r="X119" s="41">
        <f>IFERROR(X115/H115,"0")+IFERROR(X116/H116,"0")+IFERROR(X117/H117,"0")+IFERROR(X118/H118,"0")</f>
        <v>5</v>
      </c>
      <c r="Y119" s="41">
        <f>IFERROR(Y115/H115,"0")+IFERROR(Y116/H116,"0")+IFERROR(Y117/H117,"0")+IFERROR(Y118/H118,"0")</f>
        <v>5</v>
      </c>
      <c r="Z119" s="41">
        <f>IFERROR(IF(Z115="",0,Z115),"0")+IFERROR(IF(Z116="",0,Z116),"0")+IFERROR(IF(Z117="",0,Z117),"0")+IFERROR(IF(Z118="",0,Z118),"0")</f>
        <v>9.4899999999999998E-2</v>
      </c>
      <c r="AA119" s="64"/>
      <c r="AB119" s="64"/>
      <c r="AC119" s="64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40" t="s">
        <v>69</v>
      </c>
      <c r="X120" s="41">
        <f>IFERROR(SUM(X115:X118),"0")</f>
        <v>40.5</v>
      </c>
      <c r="Y120" s="41">
        <f>IFERROR(SUM(Y115:Y118),"0")</f>
        <v>40.5</v>
      </c>
      <c r="Z120" s="40"/>
      <c r="AA120" s="64"/>
      <c r="AB120" s="64"/>
      <c r="AC120" s="64"/>
    </row>
    <row r="121" spans="1:68" ht="14.25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63"/>
      <c r="AB121" s="63"/>
      <c r="AC121" s="63"/>
    </row>
    <row r="122" spans="1:68" ht="16.5" customHeight="1" x14ac:dyDescent="0.25">
      <c r="A122" s="60" t="s">
        <v>227</v>
      </c>
      <c r="B122" s="60" t="s">
        <v>228</v>
      </c>
      <c r="C122" s="34">
        <v>4301060317</v>
      </c>
      <c r="D122" s="560">
        <v>4680115880238</v>
      </c>
      <c r="E122" s="561"/>
      <c r="F122" s="59">
        <v>0.33</v>
      </c>
      <c r="G122" s="35">
        <v>6</v>
      </c>
      <c r="H122" s="59">
        <v>1.98</v>
      </c>
      <c r="I122" s="59">
        <v>2.238</v>
      </c>
      <c r="J122" s="35">
        <v>182</v>
      </c>
      <c r="K122" s="35" t="s">
        <v>67</v>
      </c>
      <c r="L122" s="35" t="s">
        <v>90</v>
      </c>
      <c r="M122" s="36" t="s">
        <v>80</v>
      </c>
      <c r="N122" s="36"/>
      <c r="O122" s="35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7"/>
      <c r="V122" s="37"/>
      <c r="W122" s="38" t="s">
        <v>69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1" t="s">
        <v>229</v>
      </c>
      <c r="AG122" s="75"/>
      <c r="AJ122" s="79" t="s">
        <v>92</v>
      </c>
      <c r="AK122" s="79">
        <v>27.72</v>
      </c>
      <c r="BB122" s="182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40" t="s">
        <v>76</v>
      </c>
      <c r="X123" s="41">
        <f>IFERROR(X122/H122,"0")</f>
        <v>0</v>
      </c>
      <c r="Y123" s="41">
        <f>IFERROR(Y122/H122,"0")</f>
        <v>0</v>
      </c>
      <c r="Z123" s="41">
        <f>IFERROR(IF(Z122="",0,Z122),"0")</f>
        <v>0</v>
      </c>
      <c r="AA123" s="64"/>
      <c r="AB123" s="64"/>
      <c r="AC123" s="64"/>
    </row>
    <row r="124" spans="1:68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40" t="s">
        <v>69</v>
      </c>
      <c r="X124" s="41">
        <f>IFERROR(SUM(X122:X122),"0")</f>
        <v>0</v>
      </c>
      <c r="Y124" s="41">
        <f>IFERROR(SUM(Y122:Y122),"0")</f>
        <v>0</v>
      </c>
      <c r="Z124" s="40"/>
      <c r="AA124" s="64"/>
      <c r="AB124" s="64"/>
      <c r="AC124" s="64"/>
    </row>
    <row r="125" spans="1:68" ht="16.5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62"/>
      <c r="AB125" s="62"/>
      <c r="AC125" s="62"/>
    </row>
    <row r="126" spans="1:68" ht="14.25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63"/>
      <c r="AB126" s="63"/>
      <c r="AC126" s="63"/>
    </row>
    <row r="127" spans="1:68" ht="27" customHeight="1" x14ac:dyDescent="0.25">
      <c r="A127" s="60" t="s">
        <v>231</v>
      </c>
      <c r="B127" s="60" t="s">
        <v>232</v>
      </c>
      <c r="C127" s="34">
        <v>4301011562</v>
      </c>
      <c r="D127" s="560">
        <v>4680115882577</v>
      </c>
      <c r="E127" s="561"/>
      <c r="F127" s="59">
        <v>0.4</v>
      </c>
      <c r="G127" s="35">
        <v>8</v>
      </c>
      <c r="H127" s="59">
        <v>3.2</v>
      </c>
      <c r="I127" s="59">
        <v>3.38</v>
      </c>
      <c r="J127" s="35">
        <v>182</v>
      </c>
      <c r="K127" s="35" t="s">
        <v>67</v>
      </c>
      <c r="L127" s="35" t="s">
        <v>90</v>
      </c>
      <c r="M127" s="36" t="s">
        <v>98</v>
      </c>
      <c r="N127" s="36"/>
      <c r="O127" s="35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7"/>
      <c r="V127" s="37"/>
      <c r="W127" s="38" t="s">
        <v>69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83" t="s">
        <v>233</v>
      </c>
      <c r="AG127" s="75"/>
      <c r="AJ127" s="79" t="s">
        <v>92</v>
      </c>
      <c r="AK127" s="79">
        <v>44.8</v>
      </c>
      <c r="BB127" s="18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t="27" customHeight="1" x14ac:dyDescent="0.25">
      <c r="A128" s="60" t="s">
        <v>231</v>
      </c>
      <c r="B128" s="60" t="s">
        <v>234</v>
      </c>
      <c r="C128" s="34">
        <v>4301011564</v>
      </c>
      <c r="D128" s="560">
        <v>4680115882577</v>
      </c>
      <c r="E128" s="561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67</v>
      </c>
      <c r="L128" s="35" t="s">
        <v>90</v>
      </c>
      <c r="M128" s="36" t="s">
        <v>98</v>
      </c>
      <c r="N128" s="36"/>
      <c r="O128" s="35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7"/>
      <c r="V128" s="37"/>
      <c r="W128" s="38" t="s">
        <v>69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85" t="s">
        <v>233</v>
      </c>
      <c r="AG128" s="75"/>
      <c r="AJ128" s="79" t="s">
        <v>92</v>
      </c>
      <c r="AK128" s="79">
        <v>44.8</v>
      </c>
      <c r="BB128" s="18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40" t="s">
        <v>76</v>
      </c>
      <c r="X129" s="41">
        <f>IFERROR(X127/H127,"0")+IFERROR(X128/H128,"0")</f>
        <v>0</v>
      </c>
      <c r="Y129" s="41">
        <f>IFERROR(Y127/H127,"0")+IFERROR(Y128/H128,"0")</f>
        <v>0</v>
      </c>
      <c r="Z129" s="41">
        <f>IFERROR(IF(Z127="",0,Z127),"0")+IFERROR(IF(Z128="",0,Z128),"0")</f>
        <v>0</v>
      </c>
      <c r="AA129" s="64"/>
      <c r="AB129" s="64"/>
      <c r="AC129" s="64"/>
    </row>
    <row r="130" spans="1:68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40" t="s">
        <v>69</v>
      </c>
      <c r="X130" s="41">
        <f>IFERROR(SUM(X127:X128),"0")</f>
        <v>0</v>
      </c>
      <c r="Y130" s="41">
        <f>IFERROR(SUM(Y127:Y128),"0")</f>
        <v>0</v>
      </c>
      <c r="Z130" s="40"/>
      <c r="AA130" s="64"/>
      <c r="AB130" s="64"/>
      <c r="AC130" s="64"/>
    </row>
    <row r="131" spans="1:68" ht="14.25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63"/>
      <c r="AB131" s="63"/>
      <c r="AC131" s="63"/>
    </row>
    <row r="132" spans="1:68" ht="27" customHeight="1" x14ac:dyDescent="0.25">
      <c r="A132" s="60" t="s">
        <v>235</v>
      </c>
      <c r="B132" s="60" t="s">
        <v>236</v>
      </c>
      <c r="C132" s="34">
        <v>4301031235</v>
      </c>
      <c r="D132" s="560">
        <v>4680115883444</v>
      </c>
      <c r="E132" s="561"/>
      <c r="F132" s="59">
        <v>0.35</v>
      </c>
      <c r="G132" s="35">
        <v>8</v>
      </c>
      <c r="H132" s="59">
        <v>2.8</v>
      </c>
      <c r="I132" s="59">
        <v>3.0680000000000001</v>
      </c>
      <c r="J132" s="35">
        <v>182</v>
      </c>
      <c r="K132" s="35" t="s">
        <v>67</v>
      </c>
      <c r="L132" s="35" t="s">
        <v>90</v>
      </c>
      <c r="M132" s="36" t="s">
        <v>98</v>
      </c>
      <c r="N132" s="36"/>
      <c r="O132" s="35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7"/>
      <c r="V132" s="37"/>
      <c r="W132" s="38" t="s">
        <v>69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87" t="s">
        <v>237</v>
      </c>
      <c r="AG132" s="75"/>
      <c r="AJ132" s="79" t="s">
        <v>92</v>
      </c>
      <c r="AK132" s="79">
        <v>39.200000000000003</v>
      </c>
      <c r="BB132" s="188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235</v>
      </c>
      <c r="B133" s="60" t="s">
        <v>238</v>
      </c>
      <c r="C133" s="34">
        <v>4301031234</v>
      </c>
      <c r="D133" s="560">
        <v>4680115883444</v>
      </c>
      <c r="E133" s="561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67</v>
      </c>
      <c r="L133" s="35" t="s">
        <v>90</v>
      </c>
      <c r="M133" s="36" t="s">
        <v>98</v>
      </c>
      <c r="N133" s="36"/>
      <c r="O133" s="35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7"/>
      <c r="V133" s="37"/>
      <c r="W133" s="38" t="s">
        <v>69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89" t="s">
        <v>237</v>
      </c>
      <c r="AG133" s="75"/>
      <c r="AJ133" s="79" t="s">
        <v>92</v>
      </c>
      <c r="AK133" s="79">
        <v>39.200000000000003</v>
      </c>
      <c r="BB133" s="190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40" t="s">
        <v>76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40" t="s">
        <v>69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63"/>
      <c r="AB136" s="63"/>
      <c r="AC136" s="63"/>
    </row>
    <row r="137" spans="1:68" ht="16.5" customHeight="1" x14ac:dyDescent="0.25">
      <c r="A137" s="60" t="s">
        <v>239</v>
      </c>
      <c r="B137" s="60" t="s">
        <v>240</v>
      </c>
      <c r="C137" s="34">
        <v>4301051477</v>
      </c>
      <c r="D137" s="560">
        <v>4680115882584</v>
      </c>
      <c r="E137" s="561"/>
      <c r="F137" s="59">
        <v>0.33</v>
      </c>
      <c r="G137" s="35">
        <v>8</v>
      </c>
      <c r="H137" s="59">
        <v>2.64</v>
      </c>
      <c r="I137" s="59">
        <v>2.9079999999999999</v>
      </c>
      <c r="J137" s="35">
        <v>182</v>
      </c>
      <c r="K137" s="35" t="s">
        <v>67</v>
      </c>
      <c r="L137" s="35"/>
      <c r="M137" s="36" t="s">
        <v>98</v>
      </c>
      <c r="N137" s="36"/>
      <c r="O137" s="35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7"/>
      <c r="V137" s="37"/>
      <c r="W137" s="38" t="s">
        <v>69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1" t="s">
        <v>233</v>
      </c>
      <c r="AG137" s="75"/>
      <c r="AJ137" s="79"/>
      <c r="AK137" s="79">
        <v>0</v>
      </c>
      <c r="BB137" s="192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customHeight="1" x14ac:dyDescent="0.25">
      <c r="A138" s="60" t="s">
        <v>239</v>
      </c>
      <c r="B138" s="60" t="s">
        <v>241</v>
      </c>
      <c r="C138" s="34">
        <v>4301051476</v>
      </c>
      <c r="D138" s="560">
        <v>4680115882584</v>
      </c>
      <c r="E138" s="561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67</v>
      </c>
      <c r="L138" s="35" t="s">
        <v>90</v>
      </c>
      <c r="M138" s="36" t="s">
        <v>98</v>
      </c>
      <c r="N138" s="36"/>
      <c r="O138" s="35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7"/>
      <c r="V138" s="37"/>
      <c r="W138" s="38" t="s">
        <v>69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193" t="s">
        <v>233</v>
      </c>
      <c r="AG138" s="75"/>
      <c r="AJ138" s="79" t="s">
        <v>92</v>
      </c>
      <c r="AK138" s="79">
        <v>36.96</v>
      </c>
      <c r="BB138" s="194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40" t="s">
        <v>76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40" t="s">
        <v>69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6.5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62"/>
      <c r="AB141" s="62"/>
      <c r="AC141" s="62"/>
    </row>
    <row r="142" spans="1:68" ht="14.25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63"/>
      <c r="AB142" s="63"/>
      <c r="AC142" s="63"/>
    </row>
    <row r="143" spans="1:68" ht="27" customHeight="1" x14ac:dyDescent="0.25">
      <c r="A143" s="60" t="s">
        <v>242</v>
      </c>
      <c r="B143" s="60" t="s">
        <v>243</v>
      </c>
      <c r="C143" s="34">
        <v>4301012244</v>
      </c>
      <c r="D143" s="560">
        <v>4680115887374</v>
      </c>
      <c r="E143" s="561"/>
      <c r="F143" s="59">
        <v>1.6</v>
      </c>
      <c r="G143" s="35">
        <v>8</v>
      </c>
      <c r="H143" s="59">
        <v>12.8</v>
      </c>
      <c r="I143" s="59">
        <v>13.21</v>
      </c>
      <c r="J143" s="35">
        <v>64</v>
      </c>
      <c r="K143" s="35" t="s">
        <v>106</v>
      </c>
      <c r="L143" s="35"/>
      <c r="M143" s="36" t="s">
        <v>108</v>
      </c>
      <c r="N143" s="36"/>
      <c r="O143" s="35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7"/>
      <c r="V143" s="37"/>
      <c r="W143" s="38" t="s">
        <v>69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IFERROR(IF(Y143=0,"",ROUNDUP(Y143/H143,0)*0.01898),"")</f>
        <v/>
      </c>
      <c r="AA143" s="65"/>
      <c r="AB143" s="66"/>
      <c r="AC143" s="195" t="s">
        <v>244</v>
      </c>
      <c r="AG143" s="75"/>
      <c r="AJ143" s="79"/>
      <c r="AK143" s="79">
        <v>0</v>
      </c>
      <c r="BB143" s="19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customHeight="1" x14ac:dyDescent="0.25">
      <c r="A144" s="60" t="s">
        <v>245</v>
      </c>
      <c r="B144" s="60" t="s">
        <v>246</v>
      </c>
      <c r="C144" s="34">
        <v>4301011705</v>
      </c>
      <c r="D144" s="560">
        <v>4607091384604</v>
      </c>
      <c r="E144" s="561"/>
      <c r="F144" s="59">
        <v>0.4</v>
      </c>
      <c r="G144" s="35">
        <v>10</v>
      </c>
      <c r="H144" s="59">
        <v>4</v>
      </c>
      <c r="I144" s="59">
        <v>4.1900000000000004</v>
      </c>
      <c r="J144" s="35">
        <v>132</v>
      </c>
      <c r="K144" s="35" t="s">
        <v>112</v>
      </c>
      <c r="L144" s="35" t="s">
        <v>115</v>
      </c>
      <c r="M144" s="36" t="s">
        <v>108</v>
      </c>
      <c r="N144" s="36"/>
      <c r="O144" s="35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7"/>
      <c r="V144" s="37"/>
      <c r="W144" s="38" t="s">
        <v>69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IFERROR(IF(Y144=0,"",ROUNDUP(Y144/H144,0)*0.00902),"")</f>
        <v/>
      </c>
      <c r="AA144" s="65"/>
      <c r="AB144" s="66"/>
      <c r="AC144" s="197" t="s">
        <v>247</v>
      </c>
      <c r="AG144" s="75"/>
      <c r="AJ144" s="79" t="s">
        <v>92</v>
      </c>
      <c r="AK144" s="79">
        <v>48</v>
      </c>
      <c r="BB144" s="19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40" t="s">
        <v>76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40" t="s">
        <v>69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63"/>
      <c r="AB147" s="63"/>
      <c r="AC147" s="63"/>
    </row>
    <row r="148" spans="1:68" ht="16.5" customHeight="1" x14ac:dyDescent="0.25">
      <c r="A148" s="60" t="s">
        <v>248</v>
      </c>
      <c r="B148" s="60" t="s">
        <v>249</v>
      </c>
      <c r="C148" s="34">
        <v>4301031450</v>
      </c>
      <c r="D148" s="560">
        <v>4680115887428</v>
      </c>
      <c r="E148" s="561"/>
      <c r="F148" s="59">
        <v>0.7</v>
      </c>
      <c r="G148" s="35">
        <v>6</v>
      </c>
      <c r="H148" s="59">
        <v>4.2</v>
      </c>
      <c r="I148" s="59">
        <v>4.3899999999999997</v>
      </c>
      <c r="J148" s="35">
        <v>132</v>
      </c>
      <c r="K148" s="35" t="s">
        <v>112</v>
      </c>
      <c r="L148" s="35"/>
      <c r="M148" s="36" t="s">
        <v>68</v>
      </c>
      <c r="N148" s="36"/>
      <c r="O148" s="35">
        <v>40</v>
      </c>
      <c r="P148" s="630" t="s">
        <v>250</v>
      </c>
      <c r="Q148" s="563"/>
      <c r="R148" s="563"/>
      <c r="S148" s="563"/>
      <c r="T148" s="564"/>
      <c r="U148" s="37"/>
      <c r="V148" s="37"/>
      <c r="W148" s="38" t="s">
        <v>69</v>
      </c>
      <c r="X148" s="56">
        <v>0</v>
      </c>
      <c r="Y148" s="53">
        <f t="shared" ref="Y148:Y153" si="5">IFERROR(IF(X148="",0,CEILING((X148/$H148),1)*$H148),"")</f>
        <v>0</v>
      </c>
      <c r="Z148" s="39" t="str">
        <f>IFERROR(IF(Y148=0,"",ROUNDUP(Y148/H148,0)*0.00902),"")</f>
        <v/>
      </c>
      <c r="AA148" s="65"/>
      <c r="AB148" s="66" t="s">
        <v>251</v>
      </c>
      <c r="AC148" s="199" t="s">
        <v>252</v>
      </c>
      <c r="AG148" s="75"/>
      <c r="AJ148" s="79"/>
      <c r="AK148" s="79">
        <v>0</v>
      </c>
      <c r="BB148" s="200" t="s">
        <v>1</v>
      </c>
      <c r="BM148" s="75">
        <f t="shared" ref="BM148:BM153" si="6">IFERROR(X148*I148/H148,"0")</f>
        <v>0</v>
      </c>
      <c r="BN148" s="75">
        <f t="shared" ref="BN148:BN153" si="7">IFERROR(Y148*I148/H148,"0")</f>
        <v>0</v>
      </c>
      <c r="BO148" s="75">
        <f t="shared" ref="BO148:BO153" si="8">IFERROR(1/J148*(X148/H148),"0")</f>
        <v>0</v>
      </c>
      <c r="BP148" s="75">
        <f t="shared" ref="BP148:BP153" si="9">IFERROR(1/J148*(Y148/H148),"0")</f>
        <v>0</v>
      </c>
    </row>
    <row r="149" spans="1:68" ht="27" customHeight="1" x14ac:dyDescent="0.25">
      <c r="A149" s="60" t="s">
        <v>253</v>
      </c>
      <c r="B149" s="60" t="s">
        <v>254</v>
      </c>
      <c r="C149" s="34">
        <v>4301031453</v>
      </c>
      <c r="D149" s="560">
        <v>4680115887336</v>
      </c>
      <c r="E149" s="561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112</v>
      </c>
      <c r="L149" s="35"/>
      <c r="M149" s="36" t="s">
        <v>68</v>
      </c>
      <c r="N149" s="36"/>
      <c r="O149" s="35">
        <v>40</v>
      </c>
      <c r="P149" s="870" t="s">
        <v>255</v>
      </c>
      <c r="Q149" s="563"/>
      <c r="R149" s="563"/>
      <c r="S149" s="563"/>
      <c r="T149" s="564"/>
      <c r="U149" s="37"/>
      <c r="V149" s="37"/>
      <c r="W149" s="38" t="s">
        <v>69</v>
      </c>
      <c r="X149" s="56">
        <v>0</v>
      </c>
      <c r="Y149" s="53">
        <f t="shared" si="5"/>
        <v>0</v>
      </c>
      <c r="Z149" s="39" t="str">
        <f>IFERROR(IF(Y149=0,"",ROUNDUP(Y149/H149,0)*0.00902),"")</f>
        <v/>
      </c>
      <c r="AA149" s="65"/>
      <c r="AB149" s="66" t="s">
        <v>251</v>
      </c>
      <c r="AC149" s="201" t="s">
        <v>256</v>
      </c>
      <c r="AG149" s="75"/>
      <c r="AJ149" s="79"/>
      <c r="AK149" s="79">
        <v>0</v>
      </c>
      <c r="BB149" s="202" t="s">
        <v>1</v>
      </c>
      <c r="BM149" s="75">
        <f t="shared" si="6"/>
        <v>0</v>
      </c>
      <c r="BN149" s="75">
        <f t="shared" si="7"/>
        <v>0</v>
      </c>
      <c r="BO149" s="75">
        <f t="shared" si="8"/>
        <v>0</v>
      </c>
      <c r="BP149" s="75">
        <f t="shared" si="9"/>
        <v>0</v>
      </c>
    </row>
    <row r="150" spans="1:68" ht="27" customHeight="1" x14ac:dyDescent="0.25">
      <c r="A150" s="60" t="s">
        <v>257</v>
      </c>
      <c r="B150" s="60" t="s">
        <v>258</v>
      </c>
      <c r="C150" s="34">
        <v>4301031456</v>
      </c>
      <c r="D150" s="560">
        <v>4680115887398</v>
      </c>
      <c r="E150" s="561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112</v>
      </c>
      <c r="L150" s="35"/>
      <c r="M150" s="36" t="s">
        <v>68</v>
      </c>
      <c r="N150" s="36"/>
      <c r="O150" s="35">
        <v>40</v>
      </c>
      <c r="P150" s="661" t="s">
        <v>259</v>
      </c>
      <c r="Q150" s="563"/>
      <c r="R150" s="563"/>
      <c r="S150" s="563"/>
      <c r="T150" s="564"/>
      <c r="U150" s="37"/>
      <c r="V150" s="37"/>
      <c r="W150" s="38" t="s">
        <v>69</v>
      </c>
      <c r="X150" s="56">
        <v>0</v>
      </c>
      <c r="Y150" s="53">
        <f t="shared" si="5"/>
        <v>0</v>
      </c>
      <c r="Z150" s="39" t="str">
        <f>IFERROR(IF(Y150=0,"",ROUNDUP(Y150/H150,0)*0.00902),"")</f>
        <v/>
      </c>
      <c r="AA150" s="65"/>
      <c r="AB150" s="66" t="s">
        <v>251</v>
      </c>
      <c r="AC150" s="203" t="s">
        <v>260</v>
      </c>
      <c r="AG150" s="75"/>
      <c r="AJ150" s="79"/>
      <c r="AK150" s="79">
        <v>0</v>
      </c>
      <c r="BB150" s="204" t="s">
        <v>1</v>
      </c>
      <c r="BM150" s="75">
        <f t="shared" si="6"/>
        <v>0</v>
      </c>
      <c r="BN150" s="75">
        <f t="shared" si="7"/>
        <v>0</v>
      </c>
      <c r="BO150" s="75">
        <f t="shared" si="8"/>
        <v>0</v>
      </c>
      <c r="BP150" s="75">
        <f t="shared" si="9"/>
        <v>0</v>
      </c>
    </row>
    <row r="151" spans="1:68" ht="16.5" customHeight="1" x14ac:dyDescent="0.25">
      <c r="A151" s="60" t="s">
        <v>261</v>
      </c>
      <c r="B151" s="60" t="s">
        <v>262</v>
      </c>
      <c r="C151" s="34">
        <v>4301030895</v>
      </c>
      <c r="D151" s="560">
        <v>4607091387667</v>
      </c>
      <c r="E151" s="561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106</v>
      </c>
      <c r="L151" s="35" t="s">
        <v>107</v>
      </c>
      <c r="M151" s="36" t="s">
        <v>108</v>
      </c>
      <c r="N151" s="36"/>
      <c r="O151" s="35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7"/>
      <c r="V151" s="37"/>
      <c r="W151" s="38" t="s">
        <v>69</v>
      </c>
      <c r="X151" s="56">
        <v>27</v>
      </c>
      <c r="Y151" s="53">
        <f t="shared" si="5"/>
        <v>27</v>
      </c>
      <c r="Z151" s="39">
        <f>IFERROR(IF(Y151=0,"",ROUNDUP(Y151/H151,0)*0.01898),"")</f>
        <v>5.6940000000000004E-2</v>
      </c>
      <c r="AA151" s="65"/>
      <c r="AB151" s="66"/>
      <c r="AC151" s="205" t="s">
        <v>263</v>
      </c>
      <c r="AG151" s="75"/>
      <c r="AJ151" s="79" t="s">
        <v>92</v>
      </c>
      <c r="AK151" s="79">
        <v>72</v>
      </c>
      <c r="BB151" s="206" t="s">
        <v>1</v>
      </c>
      <c r="BM151" s="75">
        <f t="shared" si="6"/>
        <v>28.68</v>
      </c>
      <c r="BN151" s="75">
        <f t="shared" si="7"/>
        <v>28.68</v>
      </c>
      <c r="BO151" s="75">
        <f t="shared" si="8"/>
        <v>4.6875E-2</v>
      </c>
      <c r="BP151" s="75">
        <f t="shared" si="9"/>
        <v>4.6875E-2</v>
      </c>
    </row>
    <row r="152" spans="1:68" ht="16.5" customHeight="1" x14ac:dyDescent="0.25">
      <c r="A152" s="60" t="s">
        <v>264</v>
      </c>
      <c r="B152" s="60" t="s">
        <v>265</v>
      </c>
      <c r="C152" s="34">
        <v>4301030961</v>
      </c>
      <c r="D152" s="560">
        <v>4607091387636</v>
      </c>
      <c r="E152" s="561"/>
      <c r="F152" s="59">
        <v>0.7</v>
      </c>
      <c r="G152" s="35">
        <v>6</v>
      </c>
      <c r="H152" s="59">
        <v>4.2</v>
      </c>
      <c r="I152" s="59">
        <v>4.47</v>
      </c>
      <c r="J152" s="35">
        <v>182</v>
      </c>
      <c r="K152" s="35" t="s">
        <v>67</v>
      </c>
      <c r="L152" s="35"/>
      <c r="M152" s="36" t="s">
        <v>68</v>
      </c>
      <c r="N152" s="36"/>
      <c r="O152" s="35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7"/>
      <c r="V152" s="37"/>
      <c r="W152" s="38" t="s">
        <v>69</v>
      </c>
      <c r="X152" s="56">
        <v>0</v>
      </c>
      <c r="Y152" s="53">
        <f t="shared" si="5"/>
        <v>0</v>
      </c>
      <c r="Z152" s="39" t="str">
        <f>IFERROR(IF(Y152=0,"",ROUNDUP(Y152/H152,0)*0.00651),"")</f>
        <v/>
      </c>
      <c r="AA152" s="65"/>
      <c r="AB152" s="66"/>
      <c r="AC152" s="207" t="s">
        <v>266</v>
      </c>
      <c r="AG152" s="75"/>
      <c r="AJ152" s="79"/>
      <c r="AK152" s="79">
        <v>0</v>
      </c>
      <c r="BB152" s="208" t="s">
        <v>1</v>
      </c>
      <c r="BM152" s="75">
        <f t="shared" si="6"/>
        <v>0</v>
      </c>
      <c r="BN152" s="75">
        <f t="shared" si="7"/>
        <v>0</v>
      </c>
      <c r="BO152" s="75">
        <f t="shared" si="8"/>
        <v>0</v>
      </c>
      <c r="BP152" s="75">
        <f t="shared" si="9"/>
        <v>0</v>
      </c>
    </row>
    <row r="153" spans="1:68" ht="27" customHeight="1" x14ac:dyDescent="0.25">
      <c r="A153" s="60" t="s">
        <v>267</v>
      </c>
      <c r="B153" s="60" t="s">
        <v>268</v>
      </c>
      <c r="C153" s="34">
        <v>4301030963</v>
      </c>
      <c r="D153" s="560">
        <v>4607091382426</v>
      </c>
      <c r="E153" s="561"/>
      <c r="F153" s="59">
        <v>0.9</v>
      </c>
      <c r="G153" s="35">
        <v>10</v>
      </c>
      <c r="H153" s="59">
        <v>9</v>
      </c>
      <c r="I153" s="59">
        <v>9.56</v>
      </c>
      <c r="J153" s="35">
        <v>64</v>
      </c>
      <c r="K153" s="35" t="s">
        <v>106</v>
      </c>
      <c r="L153" s="35" t="s">
        <v>107</v>
      </c>
      <c r="M153" s="36" t="s">
        <v>68</v>
      </c>
      <c r="N153" s="36"/>
      <c r="O153" s="35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7"/>
      <c r="V153" s="37"/>
      <c r="W153" s="38" t="s">
        <v>69</v>
      </c>
      <c r="X153" s="56">
        <v>9</v>
      </c>
      <c r="Y153" s="53">
        <f t="shared" si="5"/>
        <v>9</v>
      </c>
      <c r="Z153" s="39">
        <f>IFERROR(IF(Y153=0,"",ROUNDUP(Y153/H153,0)*0.01898),"")</f>
        <v>1.898E-2</v>
      </c>
      <c r="AA153" s="65"/>
      <c r="AB153" s="66"/>
      <c r="AC153" s="209" t="s">
        <v>269</v>
      </c>
      <c r="AG153" s="75"/>
      <c r="AJ153" s="79" t="s">
        <v>92</v>
      </c>
      <c r="AK153" s="79">
        <v>72</v>
      </c>
      <c r="BB153" s="210" t="s">
        <v>1</v>
      </c>
      <c r="BM153" s="75">
        <f t="shared" si="6"/>
        <v>9.56</v>
      </c>
      <c r="BN153" s="75">
        <f t="shared" si="7"/>
        <v>9.56</v>
      </c>
      <c r="BO153" s="75">
        <f t="shared" si="8"/>
        <v>1.5625E-2</v>
      </c>
      <c r="BP153" s="75">
        <f t="shared" si="9"/>
        <v>1.5625E-2</v>
      </c>
    </row>
    <row r="154" spans="1:68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40" t="s">
        <v>76</v>
      </c>
      <c r="X154" s="41">
        <f>IFERROR(X148/H148,"0")+IFERROR(X149/H149,"0")+IFERROR(X150/H150,"0")+IFERROR(X151/H151,"0")+IFERROR(X152/H152,"0")+IFERROR(X153/H153,"0")</f>
        <v>4</v>
      </c>
      <c r="Y154" s="41">
        <f>IFERROR(Y148/H148,"0")+IFERROR(Y149/H149,"0")+IFERROR(Y150/H150,"0")+IFERROR(Y151/H151,"0")+IFERROR(Y152/H152,"0")+IFERROR(Y153/H153,"0")</f>
        <v>4</v>
      </c>
      <c r="Z154" s="41">
        <f>IFERROR(IF(Z148="",0,Z148),"0")+IFERROR(IF(Z149="",0,Z149),"0")+IFERROR(IF(Z150="",0,Z150),"0")+IFERROR(IF(Z151="",0,Z151),"0")+IFERROR(IF(Z152="",0,Z152),"0")+IFERROR(IF(Z153="",0,Z153),"0")</f>
        <v>7.5920000000000001E-2</v>
      </c>
      <c r="AA154" s="64"/>
      <c r="AB154" s="64"/>
      <c r="AC154" s="64"/>
    </row>
    <row r="155" spans="1:68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40" t="s">
        <v>69</v>
      </c>
      <c r="X155" s="41">
        <f>IFERROR(SUM(X148:X153),"0")</f>
        <v>36</v>
      </c>
      <c r="Y155" s="41">
        <f>IFERROR(SUM(Y148:Y153),"0")</f>
        <v>36</v>
      </c>
      <c r="Z155" s="40"/>
      <c r="AA155" s="64"/>
      <c r="AB155" s="64"/>
      <c r="AC155" s="64"/>
    </row>
    <row r="156" spans="1:68" ht="14.25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3"/>
      <c r="AB156" s="63"/>
      <c r="AC156" s="63"/>
    </row>
    <row r="157" spans="1:68" ht="27" customHeight="1" x14ac:dyDescent="0.25">
      <c r="A157" s="60" t="s">
        <v>270</v>
      </c>
      <c r="B157" s="60" t="s">
        <v>271</v>
      </c>
      <c r="C157" s="34">
        <v>4301052064</v>
      </c>
      <c r="D157" s="560">
        <v>4680115887459</v>
      </c>
      <c r="E157" s="561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67</v>
      </c>
      <c r="L157" s="35"/>
      <c r="M157" s="36" t="s">
        <v>80</v>
      </c>
      <c r="N157" s="36"/>
      <c r="O157" s="35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7"/>
      <c r="V157" s="37"/>
      <c r="W157" s="38" t="s">
        <v>69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/>
      <c r="AB157" s="66"/>
      <c r="AC157" s="211" t="s">
        <v>272</v>
      </c>
      <c r="AG157" s="75"/>
      <c r="AJ157" s="79"/>
      <c r="AK157" s="79">
        <v>0</v>
      </c>
      <c r="BB157" s="212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40" t="s">
        <v>76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40" t="s">
        <v>69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52"/>
      <c r="AB160" s="52"/>
      <c r="AC160" s="52"/>
    </row>
    <row r="161" spans="1:68" ht="16.5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62"/>
      <c r="AB161" s="62"/>
      <c r="AC161" s="62"/>
    </row>
    <row r="162" spans="1:68" ht="14.25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3"/>
      <c r="AB162" s="63"/>
      <c r="AC162" s="63"/>
    </row>
    <row r="163" spans="1:68" ht="27" customHeight="1" x14ac:dyDescent="0.25">
      <c r="A163" s="60" t="s">
        <v>275</v>
      </c>
      <c r="B163" s="60" t="s">
        <v>276</v>
      </c>
      <c r="C163" s="34">
        <v>4301020323</v>
      </c>
      <c r="D163" s="560">
        <v>4680115886223</v>
      </c>
      <c r="E163" s="561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73</v>
      </c>
      <c r="L163" s="35"/>
      <c r="M163" s="36" t="s">
        <v>68</v>
      </c>
      <c r="N163" s="36"/>
      <c r="O163" s="35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7"/>
      <c r="V163" s="37"/>
      <c r="W163" s="38" t="s">
        <v>69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/>
      <c r="AB163" s="66"/>
      <c r="AC163" s="213" t="s">
        <v>277</v>
      </c>
      <c r="AG163" s="75"/>
      <c r="AJ163" s="79"/>
      <c r="AK163" s="79">
        <v>0</v>
      </c>
      <c r="BB163" s="214" t="s">
        <v>1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40" t="s">
        <v>76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40" t="s">
        <v>69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3"/>
      <c r="AB166" s="63"/>
      <c r="AC166" s="63"/>
    </row>
    <row r="167" spans="1:68" ht="27" customHeight="1" x14ac:dyDescent="0.25">
      <c r="A167" s="60" t="s">
        <v>278</v>
      </c>
      <c r="B167" s="60" t="s">
        <v>279</v>
      </c>
      <c r="C167" s="34">
        <v>4301031191</v>
      </c>
      <c r="D167" s="560">
        <v>4680115880993</v>
      </c>
      <c r="E167" s="561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112</v>
      </c>
      <c r="L167" s="35" t="s">
        <v>115</v>
      </c>
      <c r="M167" s="36" t="s">
        <v>68</v>
      </c>
      <c r="N167" s="36"/>
      <c r="O167" s="35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7"/>
      <c r="V167" s="37"/>
      <c r="W167" s="38" t="s">
        <v>69</v>
      </c>
      <c r="X167" s="56">
        <v>25.2</v>
      </c>
      <c r="Y167" s="53">
        <f t="shared" ref="Y167:Y178" si="10">IFERROR(IF(X167="",0,CEILING((X167/$H167),1)*$H167),"")</f>
        <v>25.200000000000003</v>
      </c>
      <c r="Z167" s="39">
        <f>IFERROR(IF(Y167=0,"",ROUNDUP(Y167/H167,0)*0.00902),"")</f>
        <v>5.4120000000000001E-2</v>
      </c>
      <c r="AA167" s="65"/>
      <c r="AB167" s="66"/>
      <c r="AC167" s="215" t="s">
        <v>280</v>
      </c>
      <c r="AG167" s="75"/>
      <c r="AJ167" s="79" t="s">
        <v>92</v>
      </c>
      <c r="AK167" s="79">
        <v>50.4</v>
      </c>
      <c r="BB167" s="216" t="s">
        <v>1</v>
      </c>
      <c r="BM167" s="75">
        <f t="shared" ref="BM167:BM178" si="11">IFERROR(X167*I167/H167,"0")</f>
        <v>26.7</v>
      </c>
      <c r="BN167" s="75">
        <f t="shared" ref="BN167:BN178" si="12">IFERROR(Y167*I167/H167,"0")</f>
        <v>26.700000000000003</v>
      </c>
      <c r="BO167" s="75">
        <f t="shared" ref="BO167:BO178" si="13">IFERROR(1/J167*(X167/H167),"0")</f>
        <v>4.5454545454545456E-2</v>
      </c>
      <c r="BP167" s="75">
        <f t="shared" ref="BP167:BP178" si="14">IFERROR(1/J167*(Y167/H167),"0")</f>
        <v>4.5454545454545456E-2</v>
      </c>
    </row>
    <row r="168" spans="1:68" ht="27" customHeight="1" x14ac:dyDescent="0.25">
      <c r="A168" s="60" t="s">
        <v>281</v>
      </c>
      <c r="B168" s="60" t="s">
        <v>282</v>
      </c>
      <c r="C168" s="34">
        <v>4301031204</v>
      </c>
      <c r="D168" s="560">
        <v>4680115881761</v>
      </c>
      <c r="E168" s="561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112</v>
      </c>
      <c r="L168" s="35"/>
      <c r="M168" s="36" t="s">
        <v>68</v>
      </c>
      <c r="N168" s="36"/>
      <c r="O168" s="35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7"/>
      <c r="V168" s="37"/>
      <c r="W168" s="38" t="s">
        <v>69</v>
      </c>
      <c r="X168" s="56">
        <v>25.2</v>
      </c>
      <c r="Y168" s="53">
        <f t="shared" si="10"/>
        <v>25.200000000000003</v>
      </c>
      <c r="Z168" s="39">
        <f>IFERROR(IF(Y168=0,"",ROUNDUP(Y168/H168,0)*0.00902),"")</f>
        <v>5.4120000000000001E-2</v>
      </c>
      <c r="AA168" s="65"/>
      <c r="AB168" s="66"/>
      <c r="AC168" s="217" t="s">
        <v>283</v>
      </c>
      <c r="AG168" s="75"/>
      <c r="AJ168" s="79"/>
      <c r="AK168" s="79">
        <v>0</v>
      </c>
      <c r="BB168" s="218" t="s">
        <v>1</v>
      </c>
      <c r="BM168" s="75">
        <f t="shared" si="11"/>
        <v>26.7</v>
      </c>
      <c r="BN168" s="75">
        <f t="shared" si="12"/>
        <v>26.700000000000003</v>
      </c>
      <c r="BO168" s="75">
        <f t="shared" si="13"/>
        <v>4.5454545454545456E-2</v>
      </c>
      <c r="BP168" s="75">
        <f t="shared" si="14"/>
        <v>4.5454545454545456E-2</v>
      </c>
    </row>
    <row r="169" spans="1:68" ht="27" customHeight="1" x14ac:dyDescent="0.25">
      <c r="A169" s="60" t="s">
        <v>284</v>
      </c>
      <c r="B169" s="60" t="s">
        <v>285</v>
      </c>
      <c r="C169" s="34">
        <v>4301031201</v>
      </c>
      <c r="D169" s="560">
        <v>4680115881563</v>
      </c>
      <c r="E169" s="561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112</v>
      </c>
      <c r="L169" s="35" t="s">
        <v>115</v>
      </c>
      <c r="M169" s="36" t="s">
        <v>68</v>
      </c>
      <c r="N169" s="36"/>
      <c r="O169" s="35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7"/>
      <c r="V169" s="37"/>
      <c r="W169" s="38" t="s">
        <v>69</v>
      </c>
      <c r="X169" s="56">
        <v>25.2</v>
      </c>
      <c r="Y169" s="53">
        <f t="shared" si="10"/>
        <v>25.200000000000003</v>
      </c>
      <c r="Z169" s="39">
        <f>IFERROR(IF(Y169=0,"",ROUNDUP(Y169/H169,0)*0.00902),"")</f>
        <v>5.4120000000000001E-2</v>
      </c>
      <c r="AA169" s="65"/>
      <c r="AB169" s="66"/>
      <c r="AC169" s="219" t="s">
        <v>286</v>
      </c>
      <c r="AG169" s="75"/>
      <c r="AJ169" s="79" t="s">
        <v>92</v>
      </c>
      <c r="AK169" s="79">
        <v>50.4</v>
      </c>
      <c r="BB169" s="220" t="s">
        <v>1</v>
      </c>
      <c r="BM169" s="75">
        <f t="shared" si="11"/>
        <v>26.339999999999996</v>
      </c>
      <c r="BN169" s="75">
        <f t="shared" si="12"/>
        <v>26.34</v>
      </c>
      <c r="BO169" s="75">
        <f t="shared" si="13"/>
        <v>4.5454545454545456E-2</v>
      </c>
      <c r="BP169" s="75">
        <f t="shared" si="14"/>
        <v>4.5454545454545456E-2</v>
      </c>
    </row>
    <row r="170" spans="1:68" ht="37.5" customHeight="1" x14ac:dyDescent="0.25">
      <c r="A170" s="60" t="s">
        <v>287</v>
      </c>
      <c r="B170" s="60" t="s">
        <v>288</v>
      </c>
      <c r="C170" s="34">
        <v>4301031447</v>
      </c>
      <c r="D170" s="560">
        <v>4680115887565</v>
      </c>
      <c r="E170" s="561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73</v>
      </c>
      <c r="L170" s="35"/>
      <c r="M170" s="36" t="s">
        <v>68</v>
      </c>
      <c r="N170" s="36"/>
      <c r="O170" s="35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7"/>
      <c r="V170" s="37"/>
      <c r="W170" s="38" t="s">
        <v>69</v>
      </c>
      <c r="X170" s="56">
        <v>0.8</v>
      </c>
      <c r="Y170" s="53">
        <f t="shared" si="10"/>
        <v>0.8</v>
      </c>
      <c r="Z170" s="39">
        <f>IFERROR(IF(Y170=0,"",ROUNDUP(Y170/H170,0)*0.00556),"")</f>
        <v>5.5599999999999998E-3</v>
      </c>
      <c r="AA170" s="65"/>
      <c r="AB170" s="66"/>
      <c r="AC170" s="221" t="s">
        <v>289</v>
      </c>
      <c r="AG170" s="75"/>
      <c r="AJ170" s="79"/>
      <c r="AK170" s="79">
        <v>0</v>
      </c>
      <c r="BB170" s="222" t="s">
        <v>1</v>
      </c>
      <c r="BM170" s="75">
        <f t="shared" si="11"/>
        <v>0.93</v>
      </c>
      <c r="BN170" s="75">
        <f t="shared" si="12"/>
        <v>0.93</v>
      </c>
      <c r="BO170" s="75">
        <f t="shared" si="13"/>
        <v>4.6296296296296294E-3</v>
      </c>
      <c r="BP170" s="75">
        <f t="shared" si="14"/>
        <v>4.6296296296296294E-3</v>
      </c>
    </row>
    <row r="171" spans="1:68" ht="27" customHeight="1" x14ac:dyDescent="0.25">
      <c r="A171" s="60" t="s">
        <v>290</v>
      </c>
      <c r="B171" s="60" t="s">
        <v>291</v>
      </c>
      <c r="C171" s="34">
        <v>4301031199</v>
      </c>
      <c r="D171" s="560">
        <v>4680115880986</v>
      </c>
      <c r="E171" s="561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73</v>
      </c>
      <c r="L171" s="35" t="s">
        <v>292</v>
      </c>
      <c r="M171" s="36" t="s">
        <v>68</v>
      </c>
      <c r="N171" s="36"/>
      <c r="O171" s="35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7"/>
      <c r="V171" s="37"/>
      <c r="W171" s="38" t="s">
        <v>69</v>
      </c>
      <c r="X171" s="56">
        <v>10.5</v>
      </c>
      <c r="Y171" s="53">
        <f t="shared" si="10"/>
        <v>10.5</v>
      </c>
      <c r="Z171" s="39">
        <f>IFERROR(IF(Y171=0,"",ROUNDUP(Y171/H171,0)*0.00502),"")</f>
        <v>2.5100000000000001E-2</v>
      </c>
      <c r="AA171" s="65"/>
      <c r="AB171" s="66"/>
      <c r="AC171" s="223" t="s">
        <v>280</v>
      </c>
      <c r="AG171" s="75"/>
      <c r="AJ171" s="79" t="s">
        <v>92</v>
      </c>
      <c r="AK171" s="79">
        <v>37.799999999999997</v>
      </c>
      <c r="BB171" s="224" t="s">
        <v>1</v>
      </c>
      <c r="BM171" s="75">
        <f t="shared" si="11"/>
        <v>11.149999999999999</v>
      </c>
      <c r="BN171" s="75">
        <f t="shared" si="12"/>
        <v>11.149999999999999</v>
      </c>
      <c r="BO171" s="75">
        <f t="shared" si="13"/>
        <v>2.1367521367521368E-2</v>
      </c>
      <c r="BP171" s="75">
        <f t="shared" si="14"/>
        <v>2.1367521367521368E-2</v>
      </c>
    </row>
    <row r="172" spans="1:68" ht="27" customHeight="1" x14ac:dyDescent="0.25">
      <c r="A172" s="60" t="s">
        <v>293</v>
      </c>
      <c r="B172" s="60" t="s">
        <v>294</v>
      </c>
      <c r="C172" s="34">
        <v>4301031443</v>
      </c>
      <c r="D172" s="560">
        <v>4680115887213</v>
      </c>
      <c r="E172" s="561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73</v>
      </c>
      <c r="L172" s="35"/>
      <c r="M172" s="36" t="s">
        <v>68</v>
      </c>
      <c r="N172" s="36"/>
      <c r="O172" s="35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7"/>
      <c r="V172" s="37"/>
      <c r="W172" s="38" t="s">
        <v>69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25" t="s">
        <v>295</v>
      </c>
      <c r="AG172" s="75"/>
      <c r="AJ172" s="79"/>
      <c r="AK172" s="79">
        <v>0</v>
      </c>
      <c r="BB172" s="22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customHeight="1" x14ac:dyDescent="0.25">
      <c r="A173" s="60" t="s">
        <v>296</v>
      </c>
      <c r="B173" s="60" t="s">
        <v>297</v>
      </c>
      <c r="C173" s="34">
        <v>4301031205</v>
      </c>
      <c r="D173" s="560">
        <v>4680115881785</v>
      </c>
      <c r="E173" s="561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73</v>
      </c>
      <c r="L173" s="35" t="s">
        <v>292</v>
      </c>
      <c r="M173" s="36" t="s">
        <v>68</v>
      </c>
      <c r="N173" s="36"/>
      <c r="O173" s="35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7"/>
      <c r="V173" s="37"/>
      <c r="W173" s="38" t="s">
        <v>69</v>
      </c>
      <c r="X173" s="56">
        <v>10.5</v>
      </c>
      <c r="Y173" s="53">
        <f t="shared" si="10"/>
        <v>10.5</v>
      </c>
      <c r="Z173" s="39">
        <f>IFERROR(IF(Y173=0,"",ROUNDUP(Y173/H173,0)*0.00502),"")</f>
        <v>2.5100000000000001E-2</v>
      </c>
      <c r="AA173" s="65"/>
      <c r="AB173" s="66"/>
      <c r="AC173" s="227" t="s">
        <v>283</v>
      </c>
      <c r="AG173" s="75"/>
      <c r="AJ173" s="79" t="s">
        <v>92</v>
      </c>
      <c r="AK173" s="79">
        <v>37.799999999999997</v>
      </c>
      <c r="BB173" s="228" t="s">
        <v>1</v>
      </c>
      <c r="BM173" s="75">
        <f t="shared" si="11"/>
        <v>11.149999999999999</v>
      </c>
      <c r="BN173" s="75">
        <f t="shared" si="12"/>
        <v>11.149999999999999</v>
      </c>
      <c r="BO173" s="75">
        <f t="shared" si="13"/>
        <v>2.1367521367521368E-2</v>
      </c>
      <c r="BP173" s="75">
        <f t="shared" si="14"/>
        <v>2.1367521367521368E-2</v>
      </c>
    </row>
    <row r="174" spans="1:68" ht="27" customHeight="1" x14ac:dyDescent="0.25">
      <c r="A174" s="60" t="s">
        <v>298</v>
      </c>
      <c r="B174" s="60" t="s">
        <v>299</v>
      </c>
      <c r="C174" s="34">
        <v>4301031399</v>
      </c>
      <c r="D174" s="560">
        <v>4680115886537</v>
      </c>
      <c r="E174" s="561"/>
      <c r="F174" s="59">
        <v>0.3</v>
      </c>
      <c r="G174" s="35">
        <v>6</v>
      </c>
      <c r="H174" s="59">
        <v>1.8</v>
      </c>
      <c r="I174" s="59">
        <v>1.93</v>
      </c>
      <c r="J174" s="35">
        <v>234</v>
      </c>
      <c r="K174" s="35" t="s">
        <v>73</v>
      </c>
      <c r="L174" s="35"/>
      <c r="M174" s="36" t="s">
        <v>68</v>
      </c>
      <c r="N174" s="36"/>
      <c r="O174" s="35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7"/>
      <c r="V174" s="37"/>
      <c r="W174" s="38" t="s">
        <v>69</v>
      </c>
      <c r="X174" s="56">
        <v>9</v>
      </c>
      <c r="Y174" s="53">
        <f t="shared" si="10"/>
        <v>9</v>
      </c>
      <c r="Z174" s="39">
        <f>IFERROR(IF(Y174=0,"",ROUNDUP(Y174/H174,0)*0.00502),"")</f>
        <v>2.5100000000000001E-2</v>
      </c>
      <c r="AA174" s="65"/>
      <c r="AB174" s="66"/>
      <c r="AC174" s="229" t="s">
        <v>300</v>
      </c>
      <c r="AG174" s="75"/>
      <c r="AJ174" s="79"/>
      <c r="AK174" s="79">
        <v>0</v>
      </c>
      <c r="BB174" s="230" t="s">
        <v>1</v>
      </c>
      <c r="BM174" s="75">
        <f t="shared" si="11"/>
        <v>9.65</v>
      </c>
      <c r="BN174" s="75">
        <f t="shared" si="12"/>
        <v>9.65</v>
      </c>
      <c r="BO174" s="75">
        <f t="shared" si="13"/>
        <v>2.1367521367521368E-2</v>
      </c>
      <c r="BP174" s="75">
        <f t="shared" si="14"/>
        <v>2.1367521367521368E-2</v>
      </c>
    </row>
    <row r="175" spans="1:68" ht="27" customHeight="1" x14ac:dyDescent="0.25">
      <c r="A175" s="60" t="s">
        <v>301</v>
      </c>
      <c r="B175" s="60" t="s">
        <v>302</v>
      </c>
      <c r="C175" s="34">
        <v>4301031279</v>
      </c>
      <c r="D175" s="560">
        <v>4680115887596</v>
      </c>
      <c r="E175" s="561"/>
      <c r="F175" s="59">
        <v>0.08</v>
      </c>
      <c r="G175" s="35">
        <v>10</v>
      </c>
      <c r="H175" s="59">
        <v>0.8</v>
      </c>
      <c r="I175" s="59">
        <v>1.01</v>
      </c>
      <c r="J175" s="35">
        <v>336</v>
      </c>
      <c r="K175" s="35" t="s">
        <v>176</v>
      </c>
      <c r="L175" s="35"/>
      <c r="M175" s="36" t="s">
        <v>68</v>
      </c>
      <c r="N175" s="36"/>
      <c r="O175" s="35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7"/>
      <c r="V175" s="37"/>
      <c r="W175" s="38" t="s">
        <v>69</v>
      </c>
      <c r="X175" s="56">
        <v>0.8</v>
      </c>
      <c r="Y175" s="53">
        <f t="shared" si="10"/>
        <v>0.8</v>
      </c>
      <c r="Z175" s="39">
        <f>IFERROR(IF(Y175=0,"",ROUNDUP(Y175/H175,0)*0.00417),"")</f>
        <v>4.1700000000000001E-3</v>
      </c>
      <c r="AA175" s="65"/>
      <c r="AB175" s="66"/>
      <c r="AC175" s="231" t="s">
        <v>303</v>
      </c>
      <c r="AG175" s="75"/>
      <c r="AJ175" s="79"/>
      <c r="AK175" s="79">
        <v>0</v>
      </c>
      <c r="BB175" s="232" t="s">
        <v>1</v>
      </c>
      <c r="BM175" s="75">
        <f t="shared" si="11"/>
        <v>1.01</v>
      </c>
      <c r="BN175" s="75">
        <f t="shared" si="12"/>
        <v>1.01</v>
      </c>
      <c r="BO175" s="75">
        <f t="shared" si="13"/>
        <v>2.976190476190476E-3</v>
      </c>
      <c r="BP175" s="75">
        <f t="shared" si="14"/>
        <v>2.976190476190476E-3</v>
      </c>
    </row>
    <row r="176" spans="1:68" ht="37.5" customHeight="1" x14ac:dyDescent="0.25">
      <c r="A176" s="60" t="s">
        <v>304</v>
      </c>
      <c r="B176" s="60" t="s">
        <v>305</v>
      </c>
      <c r="C176" s="34">
        <v>4301031202</v>
      </c>
      <c r="D176" s="560">
        <v>4680115881679</v>
      </c>
      <c r="E176" s="561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73</v>
      </c>
      <c r="L176" s="35" t="s">
        <v>292</v>
      </c>
      <c r="M176" s="36" t="s">
        <v>68</v>
      </c>
      <c r="N176" s="36"/>
      <c r="O176" s="35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7"/>
      <c r="V176" s="37"/>
      <c r="W176" s="38" t="s">
        <v>69</v>
      </c>
      <c r="X176" s="56">
        <v>10.5</v>
      </c>
      <c r="Y176" s="53">
        <f t="shared" si="10"/>
        <v>10.5</v>
      </c>
      <c r="Z176" s="39">
        <f>IFERROR(IF(Y176=0,"",ROUNDUP(Y176/H176,0)*0.00502),"")</f>
        <v>2.5100000000000001E-2</v>
      </c>
      <c r="AA176" s="65"/>
      <c r="AB176" s="66"/>
      <c r="AC176" s="233" t="s">
        <v>286</v>
      </c>
      <c r="AG176" s="75"/>
      <c r="AJ176" s="79" t="s">
        <v>92</v>
      </c>
      <c r="AK176" s="79">
        <v>37.799999999999997</v>
      </c>
      <c r="BB176" s="234" t="s">
        <v>1</v>
      </c>
      <c r="BM176" s="75">
        <f t="shared" si="11"/>
        <v>11</v>
      </c>
      <c r="BN176" s="75">
        <f t="shared" si="12"/>
        <v>11</v>
      </c>
      <c r="BO176" s="75">
        <f t="shared" si="13"/>
        <v>2.1367521367521368E-2</v>
      </c>
      <c r="BP176" s="75">
        <f t="shared" si="14"/>
        <v>2.1367521367521368E-2</v>
      </c>
    </row>
    <row r="177" spans="1:68" ht="27" customHeight="1" x14ac:dyDescent="0.25">
      <c r="A177" s="60" t="s">
        <v>306</v>
      </c>
      <c r="B177" s="60" t="s">
        <v>307</v>
      </c>
      <c r="C177" s="34">
        <v>4301031158</v>
      </c>
      <c r="D177" s="560">
        <v>4680115880191</v>
      </c>
      <c r="E177" s="561"/>
      <c r="F177" s="59">
        <v>0.4</v>
      </c>
      <c r="G177" s="35">
        <v>6</v>
      </c>
      <c r="H177" s="59">
        <v>2.4</v>
      </c>
      <c r="I177" s="59">
        <v>2.58</v>
      </c>
      <c r="J177" s="35">
        <v>182</v>
      </c>
      <c r="K177" s="35" t="s">
        <v>67</v>
      </c>
      <c r="L177" s="35"/>
      <c r="M177" s="36" t="s">
        <v>68</v>
      </c>
      <c r="N177" s="36"/>
      <c r="O177" s="35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7"/>
      <c r="V177" s="37"/>
      <c r="W177" s="38" t="s">
        <v>69</v>
      </c>
      <c r="X177" s="56">
        <v>0</v>
      </c>
      <c r="Y177" s="53">
        <f t="shared" si="10"/>
        <v>0</v>
      </c>
      <c r="Z177" s="39" t="str">
        <f>IFERROR(IF(Y177=0,"",ROUNDUP(Y177/H177,0)*0.00651),"")</f>
        <v/>
      </c>
      <c r="AA177" s="65"/>
      <c r="AB177" s="66"/>
      <c r="AC177" s="235" t="s">
        <v>286</v>
      </c>
      <c r="AG177" s="75"/>
      <c r="AJ177" s="79"/>
      <c r="AK177" s="79">
        <v>0</v>
      </c>
      <c r="BB177" s="23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t="27" customHeight="1" x14ac:dyDescent="0.25">
      <c r="A178" s="60" t="s">
        <v>308</v>
      </c>
      <c r="B178" s="60" t="s">
        <v>309</v>
      </c>
      <c r="C178" s="34">
        <v>4301031245</v>
      </c>
      <c r="D178" s="560">
        <v>4680115883963</v>
      </c>
      <c r="E178" s="561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73</v>
      </c>
      <c r="L178" s="35"/>
      <c r="M178" s="36" t="s">
        <v>68</v>
      </c>
      <c r="N178" s="36"/>
      <c r="O178" s="35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7"/>
      <c r="V178" s="37"/>
      <c r="W178" s="38" t="s">
        <v>69</v>
      </c>
      <c r="X178" s="56">
        <v>0</v>
      </c>
      <c r="Y178" s="53">
        <f t="shared" si="10"/>
        <v>0</v>
      </c>
      <c r="Z178" s="39" t="str">
        <f>IFERROR(IF(Y178=0,"",ROUNDUP(Y178/H178,0)*0.00502),"")</f>
        <v/>
      </c>
      <c r="AA178" s="65"/>
      <c r="AB178" s="66"/>
      <c r="AC178" s="237" t="s">
        <v>310</v>
      </c>
      <c r="AG178" s="75"/>
      <c r="AJ178" s="79"/>
      <c r="AK178" s="79">
        <v>0</v>
      </c>
      <c r="BB178" s="238" t="s">
        <v>1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40" t="s">
        <v>76</v>
      </c>
      <c r="X179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40</v>
      </c>
      <c r="Y179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40</v>
      </c>
      <c r="Z179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0.27249000000000007</v>
      </c>
      <c r="AA179" s="64"/>
      <c r="AB179" s="64"/>
      <c r="AC179" s="64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40" t="s">
        <v>69</v>
      </c>
      <c r="X180" s="41">
        <f>IFERROR(SUM(X167:X178),"0")</f>
        <v>117.69999999999999</v>
      </c>
      <c r="Y180" s="41">
        <f>IFERROR(SUM(Y167:Y178),"0")</f>
        <v>117.7</v>
      </c>
      <c r="Z180" s="40"/>
      <c r="AA180" s="64"/>
      <c r="AB180" s="64"/>
      <c r="AC180" s="64"/>
    </row>
    <row r="181" spans="1:68" ht="14.25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63"/>
      <c r="AB181" s="63"/>
      <c r="AC181" s="63"/>
    </row>
    <row r="182" spans="1:68" ht="27" customHeight="1" x14ac:dyDescent="0.25">
      <c r="A182" s="60" t="s">
        <v>311</v>
      </c>
      <c r="B182" s="60" t="s">
        <v>312</v>
      </c>
      <c r="C182" s="34">
        <v>4301032053</v>
      </c>
      <c r="D182" s="560">
        <v>4680115886780</v>
      </c>
      <c r="E182" s="561"/>
      <c r="F182" s="59">
        <v>7.0000000000000007E-2</v>
      </c>
      <c r="G182" s="35">
        <v>18</v>
      </c>
      <c r="H182" s="59">
        <v>1.26</v>
      </c>
      <c r="I182" s="59">
        <v>1.45</v>
      </c>
      <c r="J182" s="35">
        <v>216</v>
      </c>
      <c r="K182" s="35" t="s">
        <v>313</v>
      </c>
      <c r="L182" s="35"/>
      <c r="M182" s="36" t="s">
        <v>314</v>
      </c>
      <c r="N182" s="36"/>
      <c r="O182" s="35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7"/>
      <c r="V182" s="37"/>
      <c r="W182" s="38" t="s">
        <v>69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IFERROR(IF(Y182=0,"",ROUNDUP(Y182/H182,0)*0.0059),"")</f>
        <v/>
      </c>
      <c r="AA182" s="65"/>
      <c r="AB182" s="66"/>
      <c r="AC182" s="239" t="s">
        <v>315</v>
      </c>
      <c r="AG182" s="75"/>
      <c r="AJ182" s="79"/>
      <c r="AK182" s="79">
        <v>0</v>
      </c>
      <c r="BB182" s="240" t="s">
        <v>1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customHeight="1" x14ac:dyDescent="0.25">
      <c r="A183" s="60" t="s">
        <v>316</v>
      </c>
      <c r="B183" s="60" t="s">
        <v>317</v>
      </c>
      <c r="C183" s="34">
        <v>4301032051</v>
      </c>
      <c r="D183" s="560">
        <v>4680115886742</v>
      </c>
      <c r="E183" s="561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313</v>
      </c>
      <c r="L183" s="35"/>
      <c r="M183" s="36" t="s">
        <v>314</v>
      </c>
      <c r="N183" s="36"/>
      <c r="O183" s="35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7"/>
      <c r="V183" s="37"/>
      <c r="W183" s="38" t="s">
        <v>69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/>
      <c r="AB183" s="66"/>
      <c r="AC183" s="241" t="s">
        <v>318</v>
      </c>
      <c r="AG183" s="75"/>
      <c r="AJ183" s="79"/>
      <c r="AK183" s="79">
        <v>0</v>
      </c>
      <c r="BB183" s="24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customHeight="1" x14ac:dyDescent="0.25">
      <c r="A184" s="60" t="s">
        <v>319</v>
      </c>
      <c r="B184" s="60" t="s">
        <v>320</v>
      </c>
      <c r="C184" s="34">
        <v>4301032052</v>
      </c>
      <c r="D184" s="560">
        <v>4680115886766</v>
      </c>
      <c r="E184" s="561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313</v>
      </c>
      <c r="L184" s="35"/>
      <c r="M184" s="36" t="s">
        <v>314</v>
      </c>
      <c r="N184" s="36"/>
      <c r="O184" s="35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7"/>
      <c r="V184" s="37"/>
      <c r="W184" s="38" t="s">
        <v>69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/>
      <c r="AB184" s="66"/>
      <c r="AC184" s="243" t="s">
        <v>318</v>
      </c>
      <c r="AG184" s="75"/>
      <c r="AJ184" s="79"/>
      <c r="AK184" s="79">
        <v>0</v>
      </c>
      <c r="BB184" s="244" t="s">
        <v>1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40" t="s">
        <v>76</v>
      </c>
      <c r="X185" s="41">
        <f>IFERROR(X182/H182,"0")+IFERROR(X183/H183,"0")+IFERROR(X184/H184,"0")</f>
        <v>0</v>
      </c>
      <c r="Y185" s="41">
        <f>IFERROR(Y182/H182,"0")+IFERROR(Y183/H183,"0")+IFERROR(Y184/H184,"0")</f>
        <v>0</v>
      </c>
      <c r="Z185" s="41">
        <f>IFERROR(IF(Z182="",0,Z182),"0")+IFERROR(IF(Z183="",0,Z183),"0")+IFERROR(IF(Z184="",0,Z184),"0")</f>
        <v>0</v>
      </c>
      <c r="AA185" s="64"/>
      <c r="AB185" s="64"/>
      <c r="AC185" s="64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40" t="s">
        <v>69</v>
      </c>
      <c r="X186" s="41">
        <f>IFERROR(SUM(X182:X184),"0")</f>
        <v>0</v>
      </c>
      <c r="Y186" s="41">
        <f>IFERROR(SUM(Y182:Y184),"0")</f>
        <v>0</v>
      </c>
      <c r="Z186" s="40"/>
      <c r="AA186" s="64"/>
      <c r="AB186" s="64"/>
      <c r="AC186" s="64"/>
    </row>
    <row r="187" spans="1:68" ht="14.25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63"/>
      <c r="AB187" s="63"/>
      <c r="AC187" s="63"/>
    </row>
    <row r="188" spans="1:68" ht="27" customHeight="1" x14ac:dyDescent="0.25">
      <c r="A188" s="60" t="s">
        <v>322</v>
      </c>
      <c r="B188" s="60" t="s">
        <v>323</v>
      </c>
      <c r="C188" s="34">
        <v>4301170013</v>
      </c>
      <c r="D188" s="560">
        <v>4680115886797</v>
      </c>
      <c r="E188" s="561"/>
      <c r="F188" s="59">
        <v>7.0000000000000007E-2</v>
      </c>
      <c r="G188" s="35">
        <v>18</v>
      </c>
      <c r="H188" s="59">
        <v>1.26</v>
      </c>
      <c r="I188" s="59">
        <v>1.45</v>
      </c>
      <c r="J188" s="35">
        <v>216</v>
      </c>
      <c r="K188" s="35" t="s">
        <v>313</v>
      </c>
      <c r="L188" s="35"/>
      <c r="M188" s="36" t="s">
        <v>314</v>
      </c>
      <c r="N188" s="36"/>
      <c r="O188" s="35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7"/>
      <c r="V188" s="37"/>
      <c r="W188" s="38" t="s">
        <v>69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/>
      <c r="AB188" s="66"/>
      <c r="AC188" s="245" t="s">
        <v>318</v>
      </c>
      <c r="AG188" s="75"/>
      <c r="AJ188" s="79"/>
      <c r="AK188" s="79">
        <v>0</v>
      </c>
      <c r="BB188" s="246" t="s">
        <v>1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40" t="s">
        <v>76</v>
      </c>
      <c r="X189" s="41">
        <f>IFERROR(X188/H188,"0")</f>
        <v>0</v>
      </c>
      <c r="Y189" s="41">
        <f>IFERROR(Y188/H188,"0")</f>
        <v>0</v>
      </c>
      <c r="Z189" s="41">
        <f>IFERROR(IF(Z188="",0,Z188),"0")</f>
        <v>0</v>
      </c>
      <c r="AA189" s="64"/>
      <c r="AB189" s="64"/>
      <c r="AC189" s="64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40" t="s">
        <v>69</v>
      </c>
      <c r="X190" s="41">
        <f>IFERROR(SUM(X188:X188),"0")</f>
        <v>0</v>
      </c>
      <c r="Y190" s="41">
        <f>IFERROR(SUM(Y188:Y188),"0")</f>
        <v>0</v>
      </c>
      <c r="Z190" s="40"/>
      <c r="AA190" s="64"/>
      <c r="AB190" s="64"/>
      <c r="AC190" s="64"/>
    </row>
    <row r="191" spans="1:68" ht="16.5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62"/>
      <c r="AB191" s="62"/>
      <c r="AC191" s="62"/>
    </row>
    <row r="192" spans="1:68" ht="14.25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63"/>
      <c r="AB192" s="63"/>
      <c r="AC192" s="63"/>
    </row>
    <row r="193" spans="1:68" ht="27" customHeight="1" x14ac:dyDescent="0.25">
      <c r="A193" s="60" t="s">
        <v>325</v>
      </c>
      <c r="B193" s="60" t="s">
        <v>326</v>
      </c>
      <c r="C193" s="34">
        <v>4301011450</v>
      </c>
      <c r="D193" s="560">
        <v>4680115881402</v>
      </c>
      <c r="E193" s="561"/>
      <c r="F193" s="59">
        <v>1.35</v>
      </c>
      <c r="G193" s="35">
        <v>8</v>
      </c>
      <c r="H193" s="59">
        <v>10.8</v>
      </c>
      <c r="I193" s="59">
        <v>11.21</v>
      </c>
      <c r="J193" s="35">
        <v>64</v>
      </c>
      <c r="K193" s="35" t="s">
        <v>106</v>
      </c>
      <c r="L193" s="35"/>
      <c r="M193" s="36" t="s">
        <v>108</v>
      </c>
      <c r="N193" s="36"/>
      <c r="O193" s="35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7"/>
      <c r="V193" s="37"/>
      <c r="W193" s="38" t="s">
        <v>69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IFERROR(IF(Y193=0,"",ROUNDUP(Y193/H193,0)*0.01898),"")</f>
        <v/>
      </c>
      <c r="AA193" s="65"/>
      <c r="AB193" s="66"/>
      <c r="AC193" s="247" t="s">
        <v>327</v>
      </c>
      <c r="AG193" s="75"/>
      <c r="AJ193" s="79"/>
      <c r="AK193" s="79">
        <v>0</v>
      </c>
      <c r="BB193" s="248" t="s">
        <v>1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t="27" customHeight="1" x14ac:dyDescent="0.25">
      <c r="A194" s="60" t="s">
        <v>328</v>
      </c>
      <c r="B194" s="60" t="s">
        <v>329</v>
      </c>
      <c r="C194" s="34">
        <v>4301011768</v>
      </c>
      <c r="D194" s="560">
        <v>4680115881396</v>
      </c>
      <c r="E194" s="561"/>
      <c r="F194" s="59">
        <v>0.45</v>
      </c>
      <c r="G194" s="35">
        <v>6</v>
      </c>
      <c r="H194" s="59">
        <v>2.7</v>
      </c>
      <c r="I194" s="59">
        <v>2.88</v>
      </c>
      <c r="J194" s="35">
        <v>182</v>
      </c>
      <c r="K194" s="35" t="s">
        <v>67</v>
      </c>
      <c r="L194" s="35" t="s">
        <v>90</v>
      </c>
      <c r="M194" s="36" t="s">
        <v>108</v>
      </c>
      <c r="N194" s="36"/>
      <c r="O194" s="35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7"/>
      <c r="V194" s="37"/>
      <c r="W194" s="38" t="s">
        <v>69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IFERROR(IF(Y194=0,"",ROUNDUP(Y194/H194,0)*0.00651),"")</f>
        <v/>
      </c>
      <c r="AA194" s="65"/>
      <c r="AB194" s="66"/>
      <c r="AC194" s="249" t="s">
        <v>327</v>
      </c>
      <c r="AG194" s="75"/>
      <c r="AJ194" s="79" t="s">
        <v>92</v>
      </c>
      <c r="AK194" s="79">
        <v>37.799999999999997</v>
      </c>
      <c r="BB194" s="250" t="s">
        <v>1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40" t="s">
        <v>76</v>
      </c>
      <c r="X195" s="41">
        <f>IFERROR(X193/H193,"0")+IFERROR(X194/H194,"0")</f>
        <v>0</v>
      </c>
      <c r="Y195" s="41">
        <f>IFERROR(Y193/H193,"0")+IFERROR(Y194/H194,"0")</f>
        <v>0</v>
      </c>
      <c r="Z195" s="41">
        <f>IFERROR(IF(Z193="",0,Z193),"0")+IFERROR(IF(Z194="",0,Z194),"0")</f>
        <v>0</v>
      </c>
      <c r="AA195" s="64"/>
      <c r="AB195" s="64"/>
      <c r="AC195" s="64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40" t="s">
        <v>69</v>
      </c>
      <c r="X196" s="41">
        <f>IFERROR(SUM(X193:X194),"0")</f>
        <v>0</v>
      </c>
      <c r="Y196" s="41">
        <f>IFERROR(SUM(Y193:Y194),"0")</f>
        <v>0</v>
      </c>
      <c r="Z196" s="40"/>
      <c r="AA196" s="64"/>
      <c r="AB196" s="64"/>
      <c r="AC196" s="64"/>
    </row>
    <row r="197" spans="1:68" ht="14.25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63"/>
      <c r="AB197" s="63"/>
      <c r="AC197" s="63"/>
    </row>
    <row r="198" spans="1:68" ht="16.5" customHeight="1" x14ac:dyDescent="0.25">
      <c r="A198" s="60" t="s">
        <v>330</v>
      </c>
      <c r="B198" s="60" t="s">
        <v>331</v>
      </c>
      <c r="C198" s="34">
        <v>4301020261</v>
      </c>
      <c r="D198" s="560">
        <v>4680115882935</v>
      </c>
      <c r="E198" s="561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106</v>
      </c>
      <c r="L198" s="35"/>
      <c r="M198" s="36" t="s">
        <v>108</v>
      </c>
      <c r="N198" s="36"/>
      <c r="O198" s="35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7"/>
      <c r="V198" s="37"/>
      <c r="W198" s="38" t="s">
        <v>69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1" t="s">
        <v>332</v>
      </c>
      <c r="AG198" s="75"/>
      <c r="AJ198" s="79"/>
      <c r="AK198" s="79">
        <v>0</v>
      </c>
      <c r="BB198" s="252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16.5" customHeight="1" x14ac:dyDescent="0.25">
      <c r="A199" s="60" t="s">
        <v>333</v>
      </c>
      <c r="B199" s="60" t="s">
        <v>334</v>
      </c>
      <c r="C199" s="34">
        <v>4301020220</v>
      </c>
      <c r="D199" s="560">
        <v>4680115880764</v>
      </c>
      <c r="E199" s="561"/>
      <c r="F199" s="59">
        <v>0.35</v>
      </c>
      <c r="G199" s="35">
        <v>6</v>
      </c>
      <c r="H199" s="59">
        <v>2.1</v>
      </c>
      <c r="I199" s="59">
        <v>2.2799999999999998</v>
      </c>
      <c r="J199" s="35">
        <v>182</v>
      </c>
      <c r="K199" s="35" t="s">
        <v>67</v>
      </c>
      <c r="L199" s="35"/>
      <c r="M199" s="36" t="s">
        <v>108</v>
      </c>
      <c r="N199" s="36"/>
      <c r="O199" s="35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7"/>
      <c r="V199" s="37"/>
      <c r="W199" s="38" t="s">
        <v>69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/>
      <c r="AB199" s="66"/>
      <c r="AC199" s="253" t="s">
        <v>332</v>
      </c>
      <c r="AG199" s="75"/>
      <c r="AJ199" s="79"/>
      <c r="AK199" s="79">
        <v>0</v>
      </c>
      <c r="BB199" s="254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40" t="s">
        <v>76</v>
      </c>
      <c r="X200" s="41">
        <f>IFERROR(X198/H198,"0")+IFERROR(X199/H199,"0")</f>
        <v>0</v>
      </c>
      <c r="Y200" s="41">
        <f>IFERROR(Y198/H198,"0")+IFERROR(Y199/H199,"0")</f>
        <v>0</v>
      </c>
      <c r="Z200" s="41">
        <f>IFERROR(IF(Z198="",0,Z198),"0")+IFERROR(IF(Z199="",0,Z199),"0")</f>
        <v>0</v>
      </c>
      <c r="AA200" s="64"/>
      <c r="AB200" s="64"/>
      <c r="AC200" s="64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40" t="s">
        <v>69</v>
      </c>
      <c r="X201" s="41">
        <f>IFERROR(SUM(X198:X199),"0")</f>
        <v>0</v>
      </c>
      <c r="Y201" s="41">
        <f>IFERROR(SUM(Y198:Y199),"0")</f>
        <v>0</v>
      </c>
      <c r="Z201" s="40"/>
      <c r="AA201" s="64"/>
      <c r="AB201" s="64"/>
      <c r="AC201" s="64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63"/>
      <c r="AB202" s="63"/>
      <c r="AC202" s="63"/>
    </row>
    <row r="203" spans="1:68" ht="27" customHeight="1" x14ac:dyDescent="0.25">
      <c r="A203" s="60" t="s">
        <v>335</v>
      </c>
      <c r="B203" s="60" t="s">
        <v>336</v>
      </c>
      <c r="C203" s="34">
        <v>4301031224</v>
      </c>
      <c r="D203" s="560">
        <v>4680115882683</v>
      </c>
      <c r="E203" s="561"/>
      <c r="F203" s="59">
        <v>0.9</v>
      </c>
      <c r="G203" s="35">
        <v>6</v>
      </c>
      <c r="H203" s="59">
        <v>5.4</v>
      </c>
      <c r="I203" s="59">
        <v>5.59</v>
      </c>
      <c r="J203" s="35">
        <v>132</v>
      </c>
      <c r="K203" s="35" t="s">
        <v>112</v>
      </c>
      <c r="L203" s="35" t="s">
        <v>115</v>
      </c>
      <c r="M203" s="36" t="s">
        <v>68</v>
      </c>
      <c r="N203" s="36"/>
      <c r="O203" s="35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7"/>
      <c r="V203" s="37"/>
      <c r="W203" s="38" t="s">
        <v>69</v>
      </c>
      <c r="X203" s="56">
        <v>27</v>
      </c>
      <c r="Y203" s="53">
        <f t="shared" ref="Y203:Y210" si="15">IFERROR(IF(X203="",0,CEILING((X203/$H203),1)*$H203),"")</f>
        <v>27</v>
      </c>
      <c r="Z203" s="39">
        <f>IFERROR(IF(Y203=0,"",ROUNDUP(Y203/H203,0)*0.00902),"")</f>
        <v>4.5100000000000001E-2</v>
      </c>
      <c r="AA203" s="65"/>
      <c r="AB203" s="66"/>
      <c r="AC203" s="255" t="s">
        <v>337</v>
      </c>
      <c r="AG203" s="75"/>
      <c r="AJ203" s="79" t="s">
        <v>92</v>
      </c>
      <c r="AK203" s="79">
        <v>64.8</v>
      </c>
      <c r="BB203" s="256" t="s">
        <v>1</v>
      </c>
      <c r="BM203" s="75">
        <f t="shared" ref="BM203:BM210" si="16">IFERROR(X203*I203/H203,"0")</f>
        <v>27.95</v>
      </c>
      <c r="BN203" s="75">
        <f t="shared" ref="BN203:BN210" si="17">IFERROR(Y203*I203/H203,"0")</f>
        <v>27.95</v>
      </c>
      <c r="BO203" s="75">
        <f t="shared" ref="BO203:BO210" si="18">IFERROR(1/J203*(X203/H203),"0")</f>
        <v>3.787878787878788E-2</v>
      </c>
      <c r="BP203" s="75">
        <f t="shared" ref="BP203:BP210" si="19">IFERROR(1/J203*(Y203/H203),"0")</f>
        <v>3.787878787878788E-2</v>
      </c>
    </row>
    <row r="204" spans="1:68" ht="27" customHeight="1" x14ac:dyDescent="0.25">
      <c r="A204" s="60" t="s">
        <v>338</v>
      </c>
      <c r="B204" s="60" t="s">
        <v>339</v>
      </c>
      <c r="C204" s="34">
        <v>4301031230</v>
      </c>
      <c r="D204" s="560">
        <v>4680115882690</v>
      </c>
      <c r="E204" s="561"/>
      <c r="F204" s="59">
        <v>0.9</v>
      </c>
      <c r="G204" s="35">
        <v>6</v>
      </c>
      <c r="H204" s="59">
        <v>5.4</v>
      </c>
      <c r="I204" s="59">
        <v>5.59</v>
      </c>
      <c r="J204" s="35">
        <v>132</v>
      </c>
      <c r="K204" s="35" t="s">
        <v>112</v>
      </c>
      <c r="L204" s="35" t="s">
        <v>115</v>
      </c>
      <c r="M204" s="36" t="s">
        <v>68</v>
      </c>
      <c r="N204" s="36"/>
      <c r="O204" s="35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7"/>
      <c r="V204" s="37"/>
      <c r="W204" s="38" t="s">
        <v>69</v>
      </c>
      <c r="X204" s="56">
        <v>0</v>
      </c>
      <c r="Y204" s="53">
        <f t="shared" si="15"/>
        <v>0</v>
      </c>
      <c r="Z204" s="39" t="str">
        <f>IFERROR(IF(Y204=0,"",ROUNDUP(Y204/H204,0)*0.00902),"")</f>
        <v/>
      </c>
      <c r="AA204" s="65"/>
      <c r="AB204" s="66"/>
      <c r="AC204" s="257" t="s">
        <v>340</v>
      </c>
      <c r="AG204" s="75"/>
      <c r="AJ204" s="79" t="s">
        <v>92</v>
      </c>
      <c r="AK204" s="79">
        <v>64.8</v>
      </c>
      <c r="BB204" s="258" t="s">
        <v>1</v>
      </c>
      <c r="BM204" s="75">
        <f t="shared" si="16"/>
        <v>0</v>
      </c>
      <c r="BN204" s="75">
        <f t="shared" si="17"/>
        <v>0</v>
      </c>
      <c r="BO204" s="75">
        <f t="shared" si="18"/>
        <v>0</v>
      </c>
      <c r="BP204" s="75">
        <f t="shared" si="19"/>
        <v>0</v>
      </c>
    </row>
    <row r="205" spans="1:68" ht="27" customHeight="1" x14ac:dyDescent="0.25">
      <c r="A205" s="60" t="s">
        <v>341</v>
      </c>
      <c r="B205" s="60" t="s">
        <v>342</v>
      </c>
      <c r="C205" s="34">
        <v>4301031220</v>
      </c>
      <c r="D205" s="560">
        <v>4680115882669</v>
      </c>
      <c r="E205" s="561"/>
      <c r="F205" s="59">
        <v>0.9</v>
      </c>
      <c r="G205" s="35">
        <v>6</v>
      </c>
      <c r="H205" s="59">
        <v>5.4</v>
      </c>
      <c r="I205" s="59">
        <v>5.59</v>
      </c>
      <c r="J205" s="35">
        <v>132</v>
      </c>
      <c r="K205" s="35" t="s">
        <v>112</v>
      </c>
      <c r="L205" s="35" t="s">
        <v>115</v>
      </c>
      <c r="M205" s="36" t="s">
        <v>68</v>
      </c>
      <c r="N205" s="36"/>
      <c r="O205" s="35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7"/>
      <c r="V205" s="37"/>
      <c r="W205" s="38" t="s">
        <v>69</v>
      </c>
      <c r="X205" s="56">
        <v>27</v>
      </c>
      <c r="Y205" s="53">
        <f t="shared" si="15"/>
        <v>27</v>
      </c>
      <c r="Z205" s="39">
        <f>IFERROR(IF(Y205=0,"",ROUNDUP(Y205/H205,0)*0.00902),"")</f>
        <v>4.5100000000000001E-2</v>
      </c>
      <c r="AA205" s="65"/>
      <c r="AB205" s="66"/>
      <c r="AC205" s="259" t="s">
        <v>343</v>
      </c>
      <c r="AG205" s="75"/>
      <c r="AJ205" s="79" t="s">
        <v>92</v>
      </c>
      <c r="AK205" s="79">
        <v>64.8</v>
      </c>
      <c r="BB205" s="260" t="s">
        <v>1</v>
      </c>
      <c r="BM205" s="75">
        <f t="shared" si="16"/>
        <v>27.95</v>
      </c>
      <c r="BN205" s="75">
        <f t="shared" si="17"/>
        <v>27.95</v>
      </c>
      <c r="BO205" s="75">
        <f t="shared" si="18"/>
        <v>3.787878787878788E-2</v>
      </c>
      <c r="BP205" s="75">
        <f t="shared" si="19"/>
        <v>3.787878787878788E-2</v>
      </c>
    </row>
    <row r="206" spans="1:68" ht="27" customHeight="1" x14ac:dyDescent="0.25">
      <c r="A206" s="60" t="s">
        <v>344</v>
      </c>
      <c r="B206" s="60" t="s">
        <v>345</v>
      </c>
      <c r="C206" s="34">
        <v>4301031221</v>
      </c>
      <c r="D206" s="560">
        <v>4680115882676</v>
      </c>
      <c r="E206" s="561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112</v>
      </c>
      <c r="L206" s="35" t="s">
        <v>115</v>
      </c>
      <c r="M206" s="36" t="s">
        <v>68</v>
      </c>
      <c r="N206" s="36"/>
      <c r="O206" s="35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7"/>
      <c r="V206" s="37"/>
      <c r="W206" s="38" t="s">
        <v>69</v>
      </c>
      <c r="X206" s="56">
        <v>27</v>
      </c>
      <c r="Y206" s="53">
        <f t="shared" si="15"/>
        <v>27</v>
      </c>
      <c r="Z206" s="39">
        <f>IFERROR(IF(Y206=0,"",ROUNDUP(Y206/H206,0)*0.00902),"")</f>
        <v>4.5100000000000001E-2</v>
      </c>
      <c r="AA206" s="65"/>
      <c r="AB206" s="66"/>
      <c r="AC206" s="261" t="s">
        <v>346</v>
      </c>
      <c r="AG206" s="75"/>
      <c r="AJ206" s="79" t="s">
        <v>92</v>
      </c>
      <c r="AK206" s="79">
        <v>64.8</v>
      </c>
      <c r="BB206" s="262" t="s">
        <v>1</v>
      </c>
      <c r="BM206" s="75">
        <f t="shared" si="16"/>
        <v>27.95</v>
      </c>
      <c r="BN206" s="75">
        <f t="shared" si="17"/>
        <v>27.95</v>
      </c>
      <c r="BO206" s="75">
        <f t="shared" si="18"/>
        <v>3.787878787878788E-2</v>
      </c>
      <c r="BP206" s="75">
        <f t="shared" si="19"/>
        <v>3.787878787878788E-2</v>
      </c>
    </row>
    <row r="207" spans="1:68" ht="27" customHeight="1" x14ac:dyDescent="0.25">
      <c r="A207" s="60" t="s">
        <v>347</v>
      </c>
      <c r="B207" s="60" t="s">
        <v>348</v>
      </c>
      <c r="C207" s="34">
        <v>4301031223</v>
      </c>
      <c r="D207" s="560">
        <v>4680115884014</v>
      </c>
      <c r="E207" s="561"/>
      <c r="F207" s="59">
        <v>0.3</v>
      </c>
      <c r="G207" s="35">
        <v>6</v>
      </c>
      <c r="H207" s="59">
        <v>1.8</v>
      </c>
      <c r="I207" s="59">
        <v>1.93</v>
      </c>
      <c r="J207" s="35">
        <v>234</v>
      </c>
      <c r="K207" s="35" t="s">
        <v>73</v>
      </c>
      <c r="L207" s="35" t="s">
        <v>292</v>
      </c>
      <c r="M207" s="36" t="s">
        <v>68</v>
      </c>
      <c r="N207" s="36"/>
      <c r="O207" s="35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7"/>
      <c r="V207" s="37"/>
      <c r="W207" s="38" t="s">
        <v>69</v>
      </c>
      <c r="X207" s="56">
        <v>7.2</v>
      </c>
      <c r="Y207" s="53">
        <f t="shared" si="15"/>
        <v>7.2</v>
      </c>
      <c r="Z207" s="39">
        <f>IFERROR(IF(Y207=0,"",ROUNDUP(Y207/H207,0)*0.00502),"")</f>
        <v>2.0080000000000001E-2</v>
      </c>
      <c r="AA207" s="65"/>
      <c r="AB207" s="66"/>
      <c r="AC207" s="263" t="s">
        <v>337</v>
      </c>
      <c r="AG207" s="75"/>
      <c r="AJ207" s="79" t="s">
        <v>92</v>
      </c>
      <c r="AK207" s="79">
        <v>32.4</v>
      </c>
      <c r="BB207" s="264" t="s">
        <v>1</v>
      </c>
      <c r="BM207" s="75">
        <f t="shared" si="16"/>
        <v>7.7199999999999989</v>
      </c>
      <c r="BN207" s="75">
        <f t="shared" si="17"/>
        <v>7.7199999999999989</v>
      </c>
      <c r="BO207" s="75">
        <f t="shared" si="18"/>
        <v>1.7094017094017096E-2</v>
      </c>
      <c r="BP207" s="75">
        <f t="shared" si="19"/>
        <v>1.7094017094017096E-2</v>
      </c>
    </row>
    <row r="208" spans="1:68" ht="27" customHeight="1" x14ac:dyDescent="0.25">
      <c r="A208" s="60" t="s">
        <v>349</v>
      </c>
      <c r="B208" s="60" t="s">
        <v>350</v>
      </c>
      <c r="C208" s="34">
        <v>4301031222</v>
      </c>
      <c r="D208" s="560">
        <v>4680115884007</v>
      </c>
      <c r="E208" s="561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73</v>
      </c>
      <c r="L208" s="35" t="s">
        <v>292</v>
      </c>
      <c r="M208" s="36" t="s">
        <v>68</v>
      </c>
      <c r="N208" s="36"/>
      <c r="O208" s="35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7"/>
      <c r="V208" s="37"/>
      <c r="W208" s="38" t="s">
        <v>69</v>
      </c>
      <c r="X208" s="56">
        <v>7.2</v>
      </c>
      <c r="Y208" s="53">
        <f t="shared" si="15"/>
        <v>7.2</v>
      </c>
      <c r="Z208" s="39">
        <f>IFERROR(IF(Y208=0,"",ROUNDUP(Y208/H208,0)*0.00502),"")</f>
        <v>2.0080000000000001E-2</v>
      </c>
      <c r="AA208" s="65"/>
      <c r="AB208" s="66"/>
      <c r="AC208" s="265" t="s">
        <v>340</v>
      </c>
      <c r="AG208" s="75"/>
      <c r="AJ208" s="79" t="s">
        <v>92</v>
      </c>
      <c r="AK208" s="79">
        <v>32.4</v>
      </c>
      <c r="BB208" s="266" t="s">
        <v>1</v>
      </c>
      <c r="BM208" s="75">
        <f t="shared" si="16"/>
        <v>7.6</v>
      </c>
      <c r="BN208" s="75">
        <f t="shared" si="17"/>
        <v>7.6</v>
      </c>
      <c r="BO208" s="75">
        <f t="shared" si="18"/>
        <v>1.7094017094017096E-2</v>
      </c>
      <c r="BP208" s="75">
        <f t="shared" si="19"/>
        <v>1.7094017094017096E-2</v>
      </c>
    </row>
    <row r="209" spans="1:68" ht="27" customHeight="1" x14ac:dyDescent="0.25">
      <c r="A209" s="60" t="s">
        <v>351</v>
      </c>
      <c r="B209" s="60" t="s">
        <v>352</v>
      </c>
      <c r="C209" s="34">
        <v>4301031229</v>
      </c>
      <c r="D209" s="560">
        <v>4680115884038</v>
      </c>
      <c r="E209" s="561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73</v>
      </c>
      <c r="L209" s="35"/>
      <c r="M209" s="36" t="s">
        <v>68</v>
      </c>
      <c r="N209" s="36"/>
      <c r="O209" s="35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7"/>
      <c r="V209" s="37"/>
      <c r="W209" s="38" t="s">
        <v>69</v>
      </c>
      <c r="X209" s="56">
        <v>7.2</v>
      </c>
      <c r="Y209" s="53">
        <f t="shared" si="15"/>
        <v>7.2</v>
      </c>
      <c r="Z209" s="39">
        <f>IFERROR(IF(Y209=0,"",ROUNDUP(Y209/H209,0)*0.00502),"")</f>
        <v>2.0080000000000001E-2</v>
      </c>
      <c r="AA209" s="65"/>
      <c r="AB209" s="66"/>
      <c r="AC209" s="267" t="s">
        <v>343</v>
      </c>
      <c r="AG209" s="75"/>
      <c r="AJ209" s="79"/>
      <c r="AK209" s="79">
        <v>0</v>
      </c>
      <c r="BB209" s="268" t="s">
        <v>1</v>
      </c>
      <c r="BM209" s="75">
        <f t="shared" si="16"/>
        <v>7.6</v>
      </c>
      <c r="BN209" s="75">
        <f t="shared" si="17"/>
        <v>7.6</v>
      </c>
      <c r="BO209" s="75">
        <f t="shared" si="18"/>
        <v>1.7094017094017096E-2</v>
      </c>
      <c r="BP209" s="75">
        <f t="shared" si="19"/>
        <v>1.7094017094017096E-2</v>
      </c>
    </row>
    <row r="210" spans="1:68" ht="27" customHeight="1" x14ac:dyDescent="0.25">
      <c r="A210" s="60" t="s">
        <v>353</v>
      </c>
      <c r="B210" s="60" t="s">
        <v>354</v>
      </c>
      <c r="C210" s="34">
        <v>4301031225</v>
      </c>
      <c r="D210" s="560">
        <v>4680115884021</v>
      </c>
      <c r="E210" s="561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73</v>
      </c>
      <c r="L210" s="35" t="s">
        <v>292</v>
      </c>
      <c r="M210" s="36" t="s">
        <v>68</v>
      </c>
      <c r="N210" s="36"/>
      <c r="O210" s="35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7"/>
      <c r="V210" s="37"/>
      <c r="W210" s="38" t="s">
        <v>69</v>
      </c>
      <c r="X210" s="56">
        <v>7.2</v>
      </c>
      <c r="Y210" s="53">
        <f t="shared" si="15"/>
        <v>7.2</v>
      </c>
      <c r="Z210" s="39">
        <f>IFERROR(IF(Y210=0,"",ROUNDUP(Y210/H210,0)*0.00502),"")</f>
        <v>2.0080000000000001E-2</v>
      </c>
      <c r="AA210" s="65"/>
      <c r="AB210" s="66"/>
      <c r="AC210" s="269" t="s">
        <v>346</v>
      </c>
      <c r="AG210" s="75"/>
      <c r="AJ210" s="79" t="s">
        <v>92</v>
      </c>
      <c r="AK210" s="79">
        <v>32.4</v>
      </c>
      <c r="BB210" s="270" t="s">
        <v>1</v>
      </c>
      <c r="BM210" s="75">
        <f t="shared" si="16"/>
        <v>7.6</v>
      </c>
      <c r="BN210" s="75">
        <f t="shared" si="17"/>
        <v>7.6</v>
      </c>
      <c r="BO210" s="75">
        <f t="shared" si="18"/>
        <v>1.7094017094017096E-2</v>
      </c>
      <c r="BP210" s="75">
        <f t="shared" si="19"/>
        <v>1.7094017094017096E-2</v>
      </c>
    </row>
    <row r="211" spans="1:68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40" t="s">
        <v>76</v>
      </c>
      <c r="X211" s="41">
        <f>IFERROR(X203/H203,"0")+IFERROR(X204/H204,"0")+IFERROR(X205/H205,"0")+IFERROR(X206/H206,"0")+IFERROR(X207/H207,"0")+IFERROR(X208/H208,"0")+IFERROR(X209/H209,"0")+IFERROR(X210/H210,"0")</f>
        <v>31</v>
      </c>
      <c r="Y211" s="41">
        <f>IFERROR(Y203/H203,"0")+IFERROR(Y204/H204,"0")+IFERROR(Y205/H205,"0")+IFERROR(Y206/H206,"0")+IFERROR(Y207/H207,"0")+IFERROR(Y208/H208,"0")+IFERROR(Y209/H209,"0")+IFERROR(Y210/H210,"0")</f>
        <v>31</v>
      </c>
      <c r="Z211" s="4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0.21561999999999998</v>
      </c>
      <c r="AA211" s="64"/>
      <c r="AB211" s="64"/>
      <c r="AC211" s="64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40" t="s">
        <v>69</v>
      </c>
      <c r="X212" s="41">
        <f>IFERROR(SUM(X203:X210),"0")</f>
        <v>109.80000000000001</v>
      </c>
      <c r="Y212" s="41">
        <f>IFERROR(SUM(Y203:Y210),"0")</f>
        <v>109.80000000000001</v>
      </c>
      <c r="Z212" s="40"/>
      <c r="AA212" s="64"/>
      <c r="AB212" s="64"/>
      <c r="AC212" s="64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63"/>
      <c r="AB213" s="63"/>
      <c r="AC213" s="63"/>
    </row>
    <row r="214" spans="1:68" ht="27" customHeight="1" x14ac:dyDescent="0.25">
      <c r="A214" s="60" t="s">
        <v>355</v>
      </c>
      <c r="B214" s="60" t="s">
        <v>356</v>
      </c>
      <c r="C214" s="34">
        <v>4301051408</v>
      </c>
      <c r="D214" s="560">
        <v>4680115881594</v>
      </c>
      <c r="E214" s="561"/>
      <c r="F214" s="59">
        <v>1.35</v>
      </c>
      <c r="G214" s="35">
        <v>6</v>
      </c>
      <c r="H214" s="59">
        <v>8.1</v>
      </c>
      <c r="I214" s="59">
        <v>8.5939999999999994</v>
      </c>
      <c r="J214" s="35">
        <v>64</v>
      </c>
      <c r="K214" s="35" t="s">
        <v>106</v>
      </c>
      <c r="L214" s="35"/>
      <c r="M214" s="36" t="s">
        <v>80</v>
      </c>
      <c r="N214" s="36"/>
      <c r="O214" s="35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7"/>
      <c r="V214" s="37"/>
      <c r="W214" s="38" t="s">
        <v>69</v>
      </c>
      <c r="X214" s="56">
        <v>8.1</v>
      </c>
      <c r="Y214" s="53">
        <f t="shared" ref="Y214:Y222" si="20">IFERROR(IF(X214="",0,CEILING((X214/$H214),1)*$H214),"")</f>
        <v>8.1</v>
      </c>
      <c r="Z214" s="39">
        <f>IFERROR(IF(Y214=0,"",ROUNDUP(Y214/H214,0)*0.01898),"")</f>
        <v>1.898E-2</v>
      </c>
      <c r="AA214" s="65"/>
      <c r="AB214" s="66"/>
      <c r="AC214" s="271" t="s">
        <v>357</v>
      </c>
      <c r="AG214" s="75"/>
      <c r="AJ214" s="79"/>
      <c r="AK214" s="79">
        <v>0</v>
      </c>
      <c r="BB214" s="272" t="s">
        <v>1</v>
      </c>
      <c r="BM214" s="75">
        <f t="shared" ref="BM214:BM222" si="21">IFERROR(X214*I214/H214,"0")</f>
        <v>8.5939999999999994</v>
      </c>
      <c r="BN214" s="75">
        <f t="shared" ref="BN214:BN222" si="22">IFERROR(Y214*I214/H214,"0")</f>
        <v>8.5939999999999994</v>
      </c>
      <c r="BO214" s="75">
        <f t="shared" ref="BO214:BO222" si="23">IFERROR(1/J214*(X214/H214),"0")</f>
        <v>1.5625E-2</v>
      </c>
      <c r="BP214" s="75">
        <f t="shared" ref="BP214:BP222" si="24">IFERROR(1/J214*(Y214/H214),"0")</f>
        <v>1.5625E-2</v>
      </c>
    </row>
    <row r="215" spans="1:68" ht="27" customHeight="1" x14ac:dyDescent="0.25">
      <c r="A215" s="60" t="s">
        <v>358</v>
      </c>
      <c r="B215" s="60" t="s">
        <v>359</v>
      </c>
      <c r="C215" s="34">
        <v>4301051411</v>
      </c>
      <c r="D215" s="560">
        <v>4680115881617</v>
      </c>
      <c r="E215" s="561"/>
      <c r="F215" s="59">
        <v>1.35</v>
      </c>
      <c r="G215" s="35">
        <v>6</v>
      </c>
      <c r="H215" s="59">
        <v>8.1</v>
      </c>
      <c r="I215" s="59">
        <v>8.5760000000000005</v>
      </c>
      <c r="J215" s="35">
        <v>64</v>
      </c>
      <c r="K215" s="35" t="s">
        <v>106</v>
      </c>
      <c r="L215" s="35"/>
      <c r="M215" s="36" t="s">
        <v>80</v>
      </c>
      <c r="N215" s="36"/>
      <c r="O215" s="35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7"/>
      <c r="V215" s="37"/>
      <c r="W215" s="38" t="s">
        <v>69</v>
      </c>
      <c r="X215" s="56">
        <v>8.1</v>
      </c>
      <c r="Y215" s="53">
        <f t="shared" si="20"/>
        <v>8.1</v>
      </c>
      <c r="Z215" s="39">
        <f>IFERROR(IF(Y215=0,"",ROUNDUP(Y215/H215,0)*0.01898),"")</f>
        <v>1.898E-2</v>
      </c>
      <c r="AA215" s="65"/>
      <c r="AB215" s="66"/>
      <c r="AC215" s="273" t="s">
        <v>360</v>
      </c>
      <c r="AG215" s="75"/>
      <c r="AJ215" s="79"/>
      <c r="AK215" s="79">
        <v>0</v>
      </c>
      <c r="BB215" s="274" t="s">
        <v>1</v>
      </c>
      <c r="BM215" s="75">
        <f t="shared" si="21"/>
        <v>8.5760000000000005</v>
      </c>
      <c r="BN215" s="75">
        <f t="shared" si="22"/>
        <v>8.5760000000000005</v>
      </c>
      <c r="BO215" s="75">
        <f t="shared" si="23"/>
        <v>1.5625E-2</v>
      </c>
      <c r="BP215" s="75">
        <f t="shared" si="24"/>
        <v>1.5625E-2</v>
      </c>
    </row>
    <row r="216" spans="1:68" ht="27" customHeight="1" x14ac:dyDescent="0.25">
      <c r="A216" s="60" t="s">
        <v>361</v>
      </c>
      <c r="B216" s="60" t="s">
        <v>362</v>
      </c>
      <c r="C216" s="34">
        <v>4301051656</v>
      </c>
      <c r="D216" s="560">
        <v>4680115880573</v>
      </c>
      <c r="E216" s="561"/>
      <c r="F216" s="59">
        <v>1.45</v>
      </c>
      <c r="G216" s="35">
        <v>6</v>
      </c>
      <c r="H216" s="59">
        <v>8.6999999999999993</v>
      </c>
      <c r="I216" s="59">
        <v>9.1940000000000008</v>
      </c>
      <c r="J216" s="35">
        <v>64</v>
      </c>
      <c r="K216" s="35" t="s">
        <v>106</v>
      </c>
      <c r="L216" s="35" t="s">
        <v>107</v>
      </c>
      <c r="M216" s="36" t="s">
        <v>80</v>
      </c>
      <c r="N216" s="36"/>
      <c r="O216" s="35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7"/>
      <c r="V216" s="37"/>
      <c r="W216" s="38" t="s">
        <v>69</v>
      </c>
      <c r="X216" s="56">
        <v>8.6999999999999993</v>
      </c>
      <c r="Y216" s="53">
        <f t="shared" si="20"/>
        <v>8.6999999999999993</v>
      </c>
      <c r="Z216" s="39">
        <f>IFERROR(IF(Y216=0,"",ROUNDUP(Y216/H216,0)*0.01898),"")</f>
        <v>1.898E-2</v>
      </c>
      <c r="AA216" s="65"/>
      <c r="AB216" s="66"/>
      <c r="AC216" s="275" t="s">
        <v>363</v>
      </c>
      <c r="AG216" s="75"/>
      <c r="AJ216" s="79" t="s">
        <v>92</v>
      </c>
      <c r="AK216" s="79">
        <v>69.599999999999994</v>
      </c>
      <c r="BB216" s="276" t="s">
        <v>1</v>
      </c>
      <c r="BM216" s="75">
        <f t="shared" si="21"/>
        <v>9.1940000000000008</v>
      </c>
      <c r="BN216" s="75">
        <f t="shared" si="22"/>
        <v>9.1940000000000008</v>
      </c>
      <c r="BO216" s="75">
        <f t="shared" si="23"/>
        <v>1.5625E-2</v>
      </c>
      <c r="BP216" s="75">
        <f t="shared" si="24"/>
        <v>1.5625E-2</v>
      </c>
    </row>
    <row r="217" spans="1:68" ht="27" customHeight="1" x14ac:dyDescent="0.25">
      <c r="A217" s="60" t="s">
        <v>364</v>
      </c>
      <c r="B217" s="60" t="s">
        <v>365</v>
      </c>
      <c r="C217" s="34">
        <v>4301051407</v>
      </c>
      <c r="D217" s="560">
        <v>4680115882195</v>
      </c>
      <c r="E217" s="561"/>
      <c r="F217" s="59">
        <v>0.4</v>
      </c>
      <c r="G217" s="35">
        <v>6</v>
      </c>
      <c r="H217" s="59">
        <v>2.4</v>
      </c>
      <c r="I217" s="59">
        <v>2.67</v>
      </c>
      <c r="J217" s="35">
        <v>182</v>
      </c>
      <c r="K217" s="35" t="s">
        <v>67</v>
      </c>
      <c r="L217" s="35" t="s">
        <v>90</v>
      </c>
      <c r="M217" s="36" t="s">
        <v>80</v>
      </c>
      <c r="N217" s="36"/>
      <c r="O217" s="35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7"/>
      <c r="V217" s="37"/>
      <c r="W217" s="38" t="s">
        <v>69</v>
      </c>
      <c r="X217" s="56">
        <v>0</v>
      </c>
      <c r="Y217" s="53">
        <f t="shared" si="20"/>
        <v>0</v>
      </c>
      <c r="Z217" s="39" t="str">
        <f t="shared" ref="Z217:Z222" si="25">IFERROR(IF(Y217=0,"",ROUNDUP(Y217/H217,0)*0.00651),"")</f>
        <v/>
      </c>
      <c r="AA217" s="65"/>
      <c r="AB217" s="66"/>
      <c r="AC217" s="277" t="s">
        <v>357</v>
      </c>
      <c r="AG217" s="75"/>
      <c r="AJ217" s="79" t="s">
        <v>92</v>
      </c>
      <c r="AK217" s="79">
        <v>33.6</v>
      </c>
      <c r="BB217" s="278" t="s">
        <v>1</v>
      </c>
      <c r="BM217" s="75">
        <f t="shared" si="21"/>
        <v>0</v>
      </c>
      <c r="BN217" s="75">
        <f t="shared" si="22"/>
        <v>0</v>
      </c>
      <c r="BO217" s="75">
        <f t="shared" si="23"/>
        <v>0</v>
      </c>
      <c r="BP217" s="75">
        <f t="shared" si="24"/>
        <v>0</v>
      </c>
    </row>
    <row r="218" spans="1:68" ht="27" customHeight="1" x14ac:dyDescent="0.25">
      <c r="A218" s="60" t="s">
        <v>366</v>
      </c>
      <c r="B218" s="60" t="s">
        <v>367</v>
      </c>
      <c r="C218" s="34">
        <v>4301051752</v>
      </c>
      <c r="D218" s="560">
        <v>4680115882607</v>
      </c>
      <c r="E218" s="561"/>
      <c r="F218" s="59">
        <v>0.3</v>
      </c>
      <c r="G218" s="35">
        <v>6</v>
      </c>
      <c r="H218" s="59">
        <v>1.8</v>
      </c>
      <c r="I218" s="59">
        <v>2.052</v>
      </c>
      <c r="J218" s="35">
        <v>182</v>
      </c>
      <c r="K218" s="35" t="s">
        <v>67</v>
      </c>
      <c r="L218" s="35" t="s">
        <v>90</v>
      </c>
      <c r="M218" s="36" t="s">
        <v>86</v>
      </c>
      <c r="N218" s="36"/>
      <c r="O218" s="35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7"/>
      <c r="V218" s="37"/>
      <c r="W218" s="38" t="s">
        <v>69</v>
      </c>
      <c r="X218" s="56">
        <v>0</v>
      </c>
      <c r="Y218" s="53">
        <f t="shared" si="20"/>
        <v>0</v>
      </c>
      <c r="Z218" s="39" t="str">
        <f t="shared" si="25"/>
        <v/>
      </c>
      <c r="AA218" s="65"/>
      <c r="AB218" s="66"/>
      <c r="AC218" s="279" t="s">
        <v>363</v>
      </c>
      <c r="AG218" s="75"/>
      <c r="AJ218" s="79" t="s">
        <v>92</v>
      </c>
      <c r="AK218" s="79">
        <v>25.2</v>
      </c>
      <c r="BB218" s="280" t="s">
        <v>1</v>
      </c>
      <c r="BM218" s="75">
        <f t="shared" si="21"/>
        <v>0</v>
      </c>
      <c r="BN218" s="75">
        <f t="shared" si="22"/>
        <v>0</v>
      </c>
      <c r="BO218" s="75">
        <f t="shared" si="23"/>
        <v>0</v>
      </c>
      <c r="BP218" s="75">
        <f t="shared" si="24"/>
        <v>0</v>
      </c>
    </row>
    <row r="219" spans="1:68" ht="27" customHeight="1" x14ac:dyDescent="0.25">
      <c r="A219" s="60" t="s">
        <v>368</v>
      </c>
      <c r="B219" s="60" t="s">
        <v>369</v>
      </c>
      <c r="C219" s="34">
        <v>4301051666</v>
      </c>
      <c r="D219" s="560">
        <v>4680115880092</v>
      </c>
      <c r="E219" s="561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67</v>
      </c>
      <c r="L219" s="35" t="s">
        <v>90</v>
      </c>
      <c r="M219" s="36" t="s">
        <v>80</v>
      </c>
      <c r="N219" s="36"/>
      <c r="O219" s="35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7"/>
      <c r="V219" s="37"/>
      <c r="W219" s="38" t="s">
        <v>69</v>
      </c>
      <c r="X219" s="56">
        <v>0</v>
      </c>
      <c r="Y219" s="53">
        <f t="shared" si="20"/>
        <v>0</v>
      </c>
      <c r="Z219" s="39" t="str">
        <f t="shared" si="25"/>
        <v/>
      </c>
      <c r="AA219" s="65"/>
      <c r="AB219" s="66"/>
      <c r="AC219" s="281" t="s">
        <v>363</v>
      </c>
      <c r="AG219" s="75"/>
      <c r="AJ219" s="79" t="s">
        <v>92</v>
      </c>
      <c r="AK219" s="79">
        <v>33.6</v>
      </c>
      <c r="BB219" s="282" t="s">
        <v>1</v>
      </c>
      <c r="BM219" s="75">
        <f t="shared" si="21"/>
        <v>0</v>
      </c>
      <c r="BN219" s="75">
        <f t="shared" si="22"/>
        <v>0</v>
      </c>
      <c r="BO219" s="75">
        <f t="shared" si="23"/>
        <v>0</v>
      </c>
      <c r="BP219" s="75">
        <f t="shared" si="24"/>
        <v>0</v>
      </c>
    </row>
    <row r="220" spans="1:68" ht="27" customHeight="1" x14ac:dyDescent="0.25">
      <c r="A220" s="60" t="s">
        <v>370</v>
      </c>
      <c r="B220" s="60" t="s">
        <v>371</v>
      </c>
      <c r="C220" s="34">
        <v>4301051668</v>
      </c>
      <c r="D220" s="560">
        <v>4680115880221</v>
      </c>
      <c r="E220" s="561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67</v>
      </c>
      <c r="L220" s="35" t="s">
        <v>90</v>
      </c>
      <c r="M220" s="36" t="s">
        <v>80</v>
      </c>
      <c r="N220" s="36"/>
      <c r="O220" s="35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7"/>
      <c r="V220" s="37"/>
      <c r="W220" s="38" t="s">
        <v>69</v>
      </c>
      <c r="X220" s="56">
        <v>0</v>
      </c>
      <c r="Y220" s="53">
        <f t="shared" si="20"/>
        <v>0</v>
      </c>
      <c r="Z220" s="39" t="str">
        <f t="shared" si="25"/>
        <v/>
      </c>
      <c r="AA220" s="65"/>
      <c r="AB220" s="66"/>
      <c r="AC220" s="283" t="s">
        <v>363</v>
      </c>
      <c r="AG220" s="75"/>
      <c r="AJ220" s="79" t="s">
        <v>92</v>
      </c>
      <c r="AK220" s="79">
        <v>33.6</v>
      </c>
      <c r="BB220" s="284" t="s">
        <v>1</v>
      </c>
      <c r="BM220" s="75">
        <f t="shared" si="21"/>
        <v>0</v>
      </c>
      <c r="BN220" s="75">
        <f t="shared" si="22"/>
        <v>0</v>
      </c>
      <c r="BO220" s="75">
        <f t="shared" si="23"/>
        <v>0</v>
      </c>
      <c r="BP220" s="75">
        <f t="shared" si="24"/>
        <v>0</v>
      </c>
    </row>
    <row r="221" spans="1:68" ht="27" customHeight="1" x14ac:dyDescent="0.25">
      <c r="A221" s="60" t="s">
        <v>372</v>
      </c>
      <c r="B221" s="60" t="s">
        <v>373</v>
      </c>
      <c r="C221" s="34">
        <v>4301051945</v>
      </c>
      <c r="D221" s="560">
        <v>4680115880504</v>
      </c>
      <c r="E221" s="561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67</v>
      </c>
      <c r="L221" s="35" t="s">
        <v>90</v>
      </c>
      <c r="M221" s="36" t="s">
        <v>86</v>
      </c>
      <c r="N221" s="36"/>
      <c r="O221" s="35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7"/>
      <c r="V221" s="37"/>
      <c r="W221" s="38" t="s">
        <v>69</v>
      </c>
      <c r="X221" s="56">
        <v>0</v>
      </c>
      <c r="Y221" s="53">
        <f t="shared" si="20"/>
        <v>0</v>
      </c>
      <c r="Z221" s="39" t="str">
        <f t="shared" si="25"/>
        <v/>
      </c>
      <c r="AA221" s="65"/>
      <c r="AB221" s="66"/>
      <c r="AC221" s="285" t="s">
        <v>374</v>
      </c>
      <c r="AG221" s="75"/>
      <c r="AJ221" s="79" t="s">
        <v>92</v>
      </c>
      <c r="AK221" s="79">
        <v>33.6</v>
      </c>
      <c r="BB221" s="286" t="s">
        <v>1</v>
      </c>
      <c r="BM221" s="75">
        <f t="shared" si="21"/>
        <v>0</v>
      </c>
      <c r="BN221" s="75">
        <f t="shared" si="22"/>
        <v>0</v>
      </c>
      <c r="BO221" s="75">
        <f t="shared" si="23"/>
        <v>0</v>
      </c>
      <c r="BP221" s="75">
        <f t="shared" si="24"/>
        <v>0</v>
      </c>
    </row>
    <row r="222" spans="1:68" ht="27" customHeight="1" x14ac:dyDescent="0.25">
      <c r="A222" s="60" t="s">
        <v>375</v>
      </c>
      <c r="B222" s="60" t="s">
        <v>376</v>
      </c>
      <c r="C222" s="34">
        <v>4301051410</v>
      </c>
      <c r="D222" s="560">
        <v>4680115882164</v>
      </c>
      <c r="E222" s="561"/>
      <c r="F222" s="59">
        <v>0.4</v>
      </c>
      <c r="G222" s="35">
        <v>6</v>
      </c>
      <c r="H222" s="59">
        <v>2.4</v>
      </c>
      <c r="I222" s="59">
        <v>2.6579999999999999</v>
      </c>
      <c r="J222" s="35">
        <v>182</v>
      </c>
      <c r="K222" s="35" t="s">
        <v>67</v>
      </c>
      <c r="L222" s="35" t="s">
        <v>90</v>
      </c>
      <c r="M222" s="36" t="s">
        <v>80</v>
      </c>
      <c r="N222" s="36"/>
      <c r="O222" s="35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7"/>
      <c r="V222" s="37"/>
      <c r="W222" s="38" t="s">
        <v>69</v>
      </c>
      <c r="X222" s="56">
        <v>0</v>
      </c>
      <c r="Y222" s="53">
        <f t="shared" si="20"/>
        <v>0</v>
      </c>
      <c r="Z222" s="39" t="str">
        <f t="shared" si="25"/>
        <v/>
      </c>
      <c r="AA222" s="65"/>
      <c r="AB222" s="66"/>
      <c r="AC222" s="287" t="s">
        <v>360</v>
      </c>
      <c r="AG222" s="75"/>
      <c r="AJ222" s="79" t="s">
        <v>92</v>
      </c>
      <c r="AK222" s="79">
        <v>33.6</v>
      </c>
      <c r="BB222" s="288" t="s">
        <v>1</v>
      </c>
      <c r="BM222" s="75">
        <f t="shared" si="21"/>
        <v>0</v>
      </c>
      <c r="BN222" s="75">
        <f t="shared" si="22"/>
        <v>0</v>
      </c>
      <c r="BO222" s="75">
        <f t="shared" si="23"/>
        <v>0</v>
      </c>
      <c r="BP222" s="75">
        <f t="shared" si="24"/>
        <v>0</v>
      </c>
    </row>
    <row r="223" spans="1:68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40" t="s">
        <v>76</v>
      </c>
      <c r="X223" s="41">
        <f>IFERROR(X214/H214,"0")+IFERROR(X215/H215,"0")+IFERROR(X216/H216,"0")+IFERROR(X217/H217,"0")+IFERROR(X218/H218,"0")+IFERROR(X219/H219,"0")+IFERROR(X220/H220,"0")+IFERROR(X221/H221,"0")+IFERROR(X222/H222,"0")</f>
        <v>3</v>
      </c>
      <c r="Y223" s="41">
        <f>IFERROR(Y214/H214,"0")+IFERROR(Y215/H215,"0")+IFERROR(Y216/H216,"0")+IFERROR(Y217/H217,"0")+IFERROR(Y218/H218,"0")+IFERROR(Y219/H219,"0")+IFERROR(Y220/H220,"0")+IFERROR(Y221/H221,"0")+IFERROR(Y222/H222,"0")</f>
        <v>3</v>
      </c>
      <c r="Z223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5.6940000000000004E-2</v>
      </c>
      <c r="AA223" s="64"/>
      <c r="AB223" s="64"/>
      <c r="AC223" s="64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40" t="s">
        <v>69</v>
      </c>
      <c r="X224" s="41">
        <f>IFERROR(SUM(X214:X222),"0")</f>
        <v>24.9</v>
      </c>
      <c r="Y224" s="41">
        <f>IFERROR(SUM(Y214:Y222),"0")</f>
        <v>24.9</v>
      </c>
      <c r="Z224" s="40"/>
      <c r="AA224" s="64"/>
      <c r="AB224" s="64"/>
      <c r="AC224" s="64"/>
    </row>
    <row r="225" spans="1:68" ht="14.25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63"/>
      <c r="AB225" s="63"/>
      <c r="AC225" s="63"/>
    </row>
    <row r="226" spans="1:68" ht="27" customHeight="1" x14ac:dyDescent="0.25">
      <c r="A226" s="60" t="s">
        <v>377</v>
      </c>
      <c r="B226" s="60" t="s">
        <v>378</v>
      </c>
      <c r="C226" s="34">
        <v>4301060463</v>
      </c>
      <c r="D226" s="560">
        <v>4680115880818</v>
      </c>
      <c r="E226" s="561"/>
      <c r="F226" s="59">
        <v>0.4</v>
      </c>
      <c r="G226" s="35">
        <v>6</v>
      </c>
      <c r="H226" s="59">
        <v>2.4</v>
      </c>
      <c r="I226" s="59">
        <v>2.6520000000000001</v>
      </c>
      <c r="J226" s="35">
        <v>182</v>
      </c>
      <c r="K226" s="35" t="s">
        <v>67</v>
      </c>
      <c r="L226" s="35" t="s">
        <v>90</v>
      </c>
      <c r="M226" s="36" t="s">
        <v>86</v>
      </c>
      <c r="N226" s="36"/>
      <c r="O226" s="35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7"/>
      <c r="V226" s="37"/>
      <c r="W226" s="38" t="s">
        <v>69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IFERROR(IF(Y226=0,"",ROUNDUP(Y226/H226,0)*0.00651),"")</f>
        <v/>
      </c>
      <c r="AA226" s="65"/>
      <c r="AB226" s="66"/>
      <c r="AC226" s="289" t="s">
        <v>379</v>
      </c>
      <c r="AG226" s="75"/>
      <c r="AJ226" s="79" t="s">
        <v>92</v>
      </c>
      <c r="AK226" s="79">
        <v>33.6</v>
      </c>
      <c r="BB226" s="290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t="37.5" customHeight="1" x14ac:dyDescent="0.25">
      <c r="A227" s="60" t="s">
        <v>380</v>
      </c>
      <c r="B227" s="60" t="s">
        <v>381</v>
      </c>
      <c r="C227" s="34">
        <v>4301060389</v>
      </c>
      <c r="D227" s="560">
        <v>4680115880801</v>
      </c>
      <c r="E227" s="561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67</v>
      </c>
      <c r="L227" s="35"/>
      <c r="M227" s="36" t="s">
        <v>80</v>
      </c>
      <c r="N227" s="36"/>
      <c r="O227" s="35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7"/>
      <c r="V227" s="37"/>
      <c r="W227" s="38" t="s">
        <v>69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/>
      <c r="AB227" s="66"/>
      <c r="AC227" s="291" t="s">
        <v>382</v>
      </c>
      <c r="AG227" s="75"/>
      <c r="AJ227" s="79"/>
      <c r="AK227" s="79">
        <v>0</v>
      </c>
      <c r="BB227" s="292" t="s">
        <v>1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40" t="s">
        <v>76</v>
      </c>
      <c r="X228" s="41">
        <f>IFERROR(X226/H226,"0")+IFERROR(X227/H227,"0")</f>
        <v>0</v>
      </c>
      <c r="Y228" s="41">
        <f>IFERROR(Y226/H226,"0")+IFERROR(Y227/H227,"0")</f>
        <v>0</v>
      </c>
      <c r="Z228" s="41">
        <f>IFERROR(IF(Z226="",0,Z226),"0")+IFERROR(IF(Z227="",0,Z227),"0")</f>
        <v>0</v>
      </c>
      <c r="AA228" s="64"/>
      <c r="AB228" s="64"/>
      <c r="AC228" s="64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40" t="s">
        <v>69</v>
      </c>
      <c r="X229" s="41">
        <f>IFERROR(SUM(X226:X227),"0")</f>
        <v>0</v>
      </c>
      <c r="Y229" s="41">
        <f>IFERROR(SUM(Y226:Y227),"0")</f>
        <v>0</v>
      </c>
      <c r="Z229" s="40"/>
      <c r="AA229" s="64"/>
      <c r="AB229" s="64"/>
      <c r="AC229" s="64"/>
    </row>
    <row r="230" spans="1:68" ht="16.5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62"/>
      <c r="AB230" s="62"/>
      <c r="AC230" s="62"/>
    </row>
    <row r="231" spans="1:68" ht="14.25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63"/>
      <c r="AB231" s="63"/>
      <c r="AC231" s="63"/>
    </row>
    <row r="232" spans="1:68" ht="27" customHeight="1" x14ac:dyDescent="0.25">
      <c r="A232" s="60" t="s">
        <v>384</v>
      </c>
      <c r="B232" s="60" t="s">
        <v>385</v>
      </c>
      <c r="C232" s="34">
        <v>4301011826</v>
      </c>
      <c r="D232" s="560">
        <v>4680115884137</v>
      </c>
      <c r="E232" s="561"/>
      <c r="F232" s="59">
        <v>1.45</v>
      </c>
      <c r="G232" s="35">
        <v>8</v>
      </c>
      <c r="H232" s="59">
        <v>11.6</v>
      </c>
      <c r="I232" s="59">
        <v>12.01</v>
      </c>
      <c r="J232" s="35">
        <v>64</v>
      </c>
      <c r="K232" s="35" t="s">
        <v>106</v>
      </c>
      <c r="L232" s="35"/>
      <c r="M232" s="36" t="s">
        <v>108</v>
      </c>
      <c r="N232" s="36"/>
      <c r="O232" s="35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7"/>
      <c r="V232" s="37"/>
      <c r="W232" s="38" t="s">
        <v>69</v>
      </c>
      <c r="X232" s="56">
        <v>0</v>
      </c>
      <c r="Y232" s="53">
        <f t="shared" ref="Y232:Y240" si="26">IFERROR(IF(X232="",0,CEILING((X232/$H232),1)*$H232),"")</f>
        <v>0</v>
      </c>
      <c r="Z232" s="39" t="str">
        <f>IFERROR(IF(Y232=0,"",ROUNDUP(Y232/H232,0)*0.01898),"")</f>
        <v/>
      </c>
      <c r="AA232" s="65"/>
      <c r="AB232" s="66"/>
      <c r="AC232" s="293" t="s">
        <v>386</v>
      </c>
      <c r="AG232" s="75"/>
      <c r="AJ232" s="79"/>
      <c r="AK232" s="79">
        <v>0</v>
      </c>
      <c r="BB232" s="294" t="s">
        <v>1</v>
      </c>
      <c r="BM232" s="75">
        <f t="shared" ref="BM232:BM240" si="27">IFERROR(X232*I232/H232,"0")</f>
        <v>0</v>
      </c>
      <c r="BN232" s="75">
        <f t="shared" ref="BN232:BN240" si="28">IFERROR(Y232*I232/H232,"0")</f>
        <v>0</v>
      </c>
      <c r="BO232" s="75">
        <f t="shared" ref="BO232:BO240" si="29">IFERROR(1/J232*(X232/H232),"0")</f>
        <v>0</v>
      </c>
      <c r="BP232" s="75">
        <f t="shared" ref="BP232:BP240" si="30">IFERROR(1/J232*(Y232/H232),"0")</f>
        <v>0</v>
      </c>
    </row>
    <row r="233" spans="1:68" ht="27" customHeight="1" x14ac:dyDescent="0.25">
      <c r="A233" s="60" t="s">
        <v>387</v>
      </c>
      <c r="B233" s="60" t="s">
        <v>388</v>
      </c>
      <c r="C233" s="34">
        <v>4301011724</v>
      </c>
      <c r="D233" s="560">
        <v>4680115884236</v>
      </c>
      <c r="E233" s="561"/>
      <c r="F233" s="59">
        <v>1.45</v>
      </c>
      <c r="G233" s="35">
        <v>8</v>
      </c>
      <c r="H233" s="59">
        <v>11.6</v>
      </c>
      <c r="I233" s="59">
        <v>12.01</v>
      </c>
      <c r="J233" s="35">
        <v>64</v>
      </c>
      <c r="K233" s="35" t="s">
        <v>106</v>
      </c>
      <c r="L233" s="35"/>
      <c r="M233" s="36" t="s">
        <v>108</v>
      </c>
      <c r="N233" s="36"/>
      <c r="O233" s="35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7"/>
      <c r="V233" s="37"/>
      <c r="W233" s="38" t="s">
        <v>69</v>
      </c>
      <c r="X233" s="56">
        <v>0</v>
      </c>
      <c r="Y233" s="53">
        <f t="shared" si="26"/>
        <v>0</v>
      </c>
      <c r="Z233" s="39" t="str">
        <f>IFERROR(IF(Y233=0,"",ROUNDUP(Y233/H233,0)*0.01898),"")</f>
        <v/>
      </c>
      <c r="AA233" s="65"/>
      <c r="AB233" s="66"/>
      <c r="AC233" s="295" t="s">
        <v>389</v>
      </c>
      <c r="AG233" s="75"/>
      <c r="AJ233" s="79"/>
      <c r="AK233" s="79">
        <v>0</v>
      </c>
      <c r="BB233" s="296" t="s">
        <v>1</v>
      </c>
      <c r="BM233" s="75">
        <f t="shared" si="27"/>
        <v>0</v>
      </c>
      <c r="BN233" s="75">
        <f t="shared" si="28"/>
        <v>0</v>
      </c>
      <c r="BO233" s="75">
        <f t="shared" si="29"/>
        <v>0</v>
      </c>
      <c r="BP233" s="75">
        <f t="shared" si="30"/>
        <v>0</v>
      </c>
    </row>
    <row r="234" spans="1:68" ht="27" customHeight="1" x14ac:dyDescent="0.25">
      <c r="A234" s="60" t="s">
        <v>390</v>
      </c>
      <c r="B234" s="60" t="s">
        <v>391</v>
      </c>
      <c r="C234" s="34">
        <v>4301011721</v>
      </c>
      <c r="D234" s="560">
        <v>4680115884175</v>
      </c>
      <c r="E234" s="561"/>
      <c r="F234" s="59">
        <v>1.45</v>
      </c>
      <c r="G234" s="35">
        <v>8</v>
      </c>
      <c r="H234" s="59">
        <v>11.6</v>
      </c>
      <c r="I234" s="59">
        <v>12.01</v>
      </c>
      <c r="J234" s="35">
        <v>64</v>
      </c>
      <c r="K234" s="35" t="s">
        <v>106</v>
      </c>
      <c r="L234" s="35"/>
      <c r="M234" s="36" t="s">
        <v>108</v>
      </c>
      <c r="N234" s="36"/>
      <c r="O234" s="35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7"/>
      <c r="V234" s="37"/>
      <c r="W234" s="38" t="s">
        <v>69</v>
      </c>
      <c r="X234" s="56">
        <v>0</v>
      </c>
      <c r="Y234" s="53">
        <f t="shared" si="26"/>
        <v>0</v>
      </c>
      <c r="Z234" s="39" t="str">
        <f>IFERROR(IF(Y234=0,"",ROUNDUP(Y234/H234,0)*0.01898),"")</f>
        <v/>
      </c>
      <c r="AA234" s="65"/>
      <c r="AB234" s="66"/>
      <c r="AC234" s="297" t="s">
        <v>392</v>
      </c>
      <c r="AG234" s="75"/>
      <c r="AJ234" s="79"/>
      <c r="AK234" s="79">
        <v>0</v>
      </c>
      <c r="BB234" s="298" t="s">
        <v>1</v>
      </c>
      <c r="BM234" s="75">
        <f t="shared" si="27"/>
        <v>0</v>
      </c>
      <c r="BN234" s="75">
        <f t="shared" si="28"/>
        <v>0</v>
      </c>
      <c r="BO234" s="75">
        <f t="shared" si="29"/>
        <v>0</v>
      </c>
      <c r="BP234" s="75">
        <f t="shared" si="30"/>
        <v>0</v>
      </c>
    </row>
    <row r="235" spans="1:68" ht="27" customHeight="1" x14ac:dyDescent="0.25">
      <c r="A235" s="60" t="s">
        <v>393</v>
      </c>
      <c r="B235" s="60" t="s">
        <v>394</v>
      </c>
      <c r="C235" s="34">
        <v>4301011824</v>
      </c>
      <c r="D235" s="560">
        <v>4680115884144</v>
      </c>
      <c r="E235" s="561"/>
      <c r="F235" s="59">
        <v>0.4</v>
      </c>
      <c r="G235" s="35">
        <v>10</v>
      </c>
      <c r="H235" s="59">
        <v>4</v>
      </c>
      <c r="I235" s="59">
        <v>4.1900000000000004</v>
      </c>
      <c r="J235" s="35">
        <v>132</v>
      </c>
      <c r="K235" s="35" t="s">
        <v>112</v>
      </c>
      <c r="L235" s="35" t="s">
        <v>115</v>
      </c>
      <c r="M235" s="36" t="s">
        <v>108</v>
      </c>
      <c r="N235" s="36"/>
      <c r="O235" s="35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7"/>
      <c r="V235" s="37"/>
      <c r="W235" s="38" t="s">
        <v>69</v>
      </c>
      <c r="X235" s="56">
        <v>0</v>
      </c>
      <c r="Y235" s="53">
        <f t="shared" si="26"/>
        <v>0</v>
      </c>
      <c r="Z235" s="39" t="str">
        <f>IFERROR(IF(Y235=0,"",ROUNDUP(Y235/H235,0)*0.00902),"")</f>
        <v/>
      </c>
      <c r="AA235" s="65"/>
      <c r="AB235" s="66"/>
      <c r="AC235" s="299" t="s">
        <v>386</v>
      </c>
      <c r="AG235" s="75"/>
      <c r="AJ235" s="79" t="s">
        <v>92</v>
      </c>
      <c r="AK235" s="79">
        <v>48</v>
      </c>
      <c r="BB235" s="300" t="s">
        <v>1</v>
      </c>
      <c r="BM235" s="75">
        <f t="shared" si="27"/>
        <v>0</v>
      </c>
      <c r="BN235" s="75">
        <f t="shared" si="28"/>
        <v>0</v>
      </c>
      <c r="BO235" s="75">
        <f t="shared" si="29"/>
        <v>0</v>
      </c>
      <c r="BP235" s="75">
        <f t="shared" si="30"/>
        <v>0</v>
      </c>
    </row>
    <row r="236" spans="1:68" ht="27" customHeight="1" x14ac:dyDescent="0.25">
      <c r="A236" s="60" t="s">
        <v>393</v>
      </c>
      <c r="B236" s="60" t="s">
        <v>395</v>
      </c>
      <c r="C236" s="34">
        <v>4301012196</v>
      </c>
      <c r="D236" s="560">
        <v>4680115884144</v>
      </c>
      <c r="E236" s="561"/>
      <c r="F236" s="59">
        <v>0.4</v>
      </c>
      <c r="G236" s="35">
        <v>10</v>
      </c>
      <c r="H236" s="59">
        <v>4</v>
      </c>
      <c r="I236" s="59">
        <v>4.1900000000000004</v>
      </c>
      <c r="J236" s="35">
        <v>132</v>
      </c>
      <c r="K236" s="35" t="s">
        <v>112</v>
      </c>
      <c r="L236" s="35"/>
      <c r="M236" s="36" t="s">
        <v>108</v>
      </c>
      <c r="N236" s="36"/>
      <c r="O236" s="35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7"/>
      <c r="V236" s="37"/>
      <c r="W236" s="38" t="s">
        <v>69</v>
      </c>
      <c r="X236" s="56">
        <v>0</v>
      </c>
      <c r="Y236" s="53">
        <f t="shared" si="26"/>
        <v>0</v>
      </c>
      <c r="Z236" s="39" t="str">
        <f>IFERROR(IF(Y236=0,"",ROUNDUP(Y236/H236,0)*0.00902),"")</f>
        <v/>
      </c>
      <c r="AA236" s="65"/>
      <c r="AB236" s="66"/>
      <c r="AC236" s="301" t="s">
        <v>386</v>
      </c>
      <c r="AG236" s="75"/>
      <c r="AJ236" s="79"/>
      <c r="AK236" s="79">
        <v>0</v>
      </c>
      <c r="BB236" s="302" t="s">
        <v>1</v>
      </c>
      <c r="BM236" s="75">
        <f t="shared" si="27"/>
        <v>0</v>
      </c>
      <c r="BN236" s="75">
        <f t="shared" si="28"/>
        <v>0</v>
      </c>
      <c r="BO236" s="75">
        <f t="shared" si="29"/>
        <v>0</v>
      </c>
      <c r="BP236" s="75">
        <f t="shared" si="30"/>
        <v>0</v>
      </c>
    </row>
    <row r="237" spans="1:68" ht="27" customHeight="1" x14ac:dyDescent="0.25">
      <c r="A237" s="60" t="s">
        <v>396</v>
      </c>
      <c r="B237" s="60" t="s">
        <v>397</v>
      </c>
      <c r="C237" s="34">
        <v>4301012149</v>
      </c>
      <c r="D237" s="560">
        <v>4680115886551</v>
      </c>
      <c r="E237" s="561"/>
      <c r="F237" s="59">
        <v>0.4</v>
      </c>
      <c r="G237" s="35">
        <v>10</v>
      </c>
      <c r="H237" s="59">
        <v>4</v>
      </c>
      <c r="I237" s="59">
        <v>4.1900000000000004</v>
      </c>
      <c r="J237" s="35">
        <v>132</v>
      </c>
      <c r="K237" s="35" t="s">
        <v>112</v>
      </c>
      <c r="L237" s="35"/>
      <c r="M237" s="36" t="s">
        <v>108</v>
      </c>
      <c r="N237" s="36"/>
      <c r="O237" s="35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7"/>
      <c r="V237" s="37"/>
      <c r="W237" s="38" t="s">
        <v>69</v>
      </c>
      <c r="X237" s="56">
        <v>0</v>
      </c>
      <c r="Y237" s="53">
        <f t="shared" si="26"/>
        <v>0</v>
      </c>
      <c r="Z237" s="39" t="str">
        <f>IFERROR(IF(Y237=0,"",ROUNDUP(Y237/H237,0)*0.00902),"")</f>
        <v/>
      </c>
      <c r="AA237" s="65"/>
      <c r="AB237" s="66"/>
      <c r="AC237" s="303" t="s">
        <v>398</v>
      </c>
      <c r="AG237" s="75"/>
      <c r="AJ237" s="79"/>
      <c r="AK237" s="79">
        <v>0</v>
      </c>
      <c r="BB237" s="304" t="s">
        <v>1</v>
      </c>
      <c r="BM237" s="75">
        <f t="shared" si="27"/>
        <v>0</v>
      </c>
      <c r="BN237" s="75">
        <f t="shared" si="28"/>
        <v>0</v>
      </c>
      <c r="BO237" s="75">
        <f t="shared" si="29"/>
        <v>0</v>
      </c>
      <c r="BP237" s="75">
        <f t="shared" si="30"/>
        <v>0</v>
      </c>
    </row>
    <row r="238" spans="1:68" ht="27" customHeight="1" x14ac:dyDescent="0.25">
      <c r="A238" s="60" t="s">
        <v>399</v>
      </c>
      <c r="B238" s="60" t="s">
        <v>400</v>
      </c>
      <c r="C238" s="34">
        <v>4301012228</v>
      </c>
      <c r="D238" s="560">
        <v>4680115887282</v>
      </c>
      <c r="E238" s="5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67</v>
      </c>
      <c r="L238" s="35"/>
      <c r="M238" s="36" t="s">
        <v>108</v>
      </c>
      <c r="N238" s="36"/>
      <c r="O238" s="35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7"/>
      <c r="V238" s="37"/>
      <c r="W238" s="38" t="s">
        <v>69</v>
      </c>
      <c r="X238" s="56">
        <v>0</v>
      </c>
      <c r="Y238" s="53">
        <f t="shared" si="26"/>
        <v>0</v>
      </c>
      <c r="Z238" s="39" t="str">
        <f>IFERROR(IF(Y238=0,"",ROUNDUP(Y238/H238,0)*0.00651),"")</f>
        <v/>
      </c>
      <c r="AA238" s="65"/>
      <c r="AB238" s="66"/>
      <c r="AC238" s="305" t="s">
        <v>389</v>
      </c>
      <c r="AG238" s="75"/>
      <c r="AJ238" s="79"/>
      <c r="AK238" s="79">
        <v>0</v>
      </c>
      <c r="BB238" s="306" t="s">
        <v>1</v>
      </c>
      <c r="BM238" s="75">
        <f t="shared" si="27"/>
        <v>0</v>
      </c>
      <c r="BN238" s="75">
        <f t="shared" si="28"/>
        <v>0</v>
      </c>
      <c r="BO238" s="75">
        <f t="shared" si="29"/>
        <v>0</v>
      </c>
      <c r="BP238" s="75">
        <f t="shared" si="30"/>
        <v>0</v>
      </c>
    </row>
    <row r="239" spans="1:68" ht="27" customHeight="1" x14ac:dyDescent="0.25">
      <c r="A239" s="60" t="s">
        <v>401</v>
      </c>
      <c r="B239" s="60" t="s">
        <v>402</v>
      </c>
      <c r="C239" s="34">
        <v>4301011722</v>
      </c>
      <c r="D239" s="560">
        <v>4680115884205</v>
      </c>
      <c r="E239" s="561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112</v>
      </c>
      <c r="L239" s="35" t="s">
        <v>115</v>
      </c>
      <c r="M239" s="36" t="s">
        <v>108</v>
      </c>
      <c r="N239" s="36"/>
      <c r="O239" s="35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7"/>
      <c r="V239" s="37"/>
      <c r="W239" s="38" t="s">
        <v>69</v>
      </c>
      <c r="X239" s="56">
        <v>0</v>
      </c>
      <c r="Y239" s="53">
        <f t="shared" si="26"/>
        <v>0</v>
      </c>
      <c r="Z239" s="39" t="str">
        <f>IFERROR(IF(Y239=0,"",ROUNDUP(Y239/H239,0)*0.00902),"")</f>
        <v/>
      </c>
      <c r="AA239" s="65"/>
      <c r="AB239" s="66"/>
      <c r="AC239" s="307" t="s">
        <v>392</v>
      </c>
      <c r="AG239" s="75"/>
      <c r="AJ239" s="79" t="s">
        <v>92</v>
      </c>
      <c r="AK239" s="79">
        <v>48</v>
      </c>
      <c r="BB239" s="308" t="s">
        <v>1</v>
      </c>
      <c r="BM239" s="75">
        <f t="shared" si="27"/>
        <v>0</v>
      </c>
      <c r="BN239" s="75">
        <f t="shared" si="28"/>
        <v>0</v>
      </c>
      <c r="BO239" s="75">
        <f t="shared" si="29"/>
        <v>0</v>
      </c>
      <c r="BP239" s="75">
        <f t="shared" si="30"/>
        <v>0</v>
      </c>
    </row>
    <row r="240" spans="1:68" ht="27" customHeight="1" x14ac:dyDescent="0.25">
      <c r="A240" s="60" t="s">
        <v>401</v>
      </c>
      <c r="B240" s="60" t="s">
        <v>403</v>
      </c>
      <c r="C240" s="34">
        <v>4301012195</v>
      </c>
      <c r="D240" s="560">
        <v>4680115884205</v>
      </c>
      <c r="E240" s="561"/>
      <c r="F240" s="59">
        <v>0.4</v>
      </c>
      <c r="G240" s="35">
        <v>10</v>
      </c>
      <c r="H240" s="59">
        <v>4</v>
      </c>
      <c r="I240" s="59">
        <v>4.1900000000000004</v>
      </c>
      <c r="J240" s="35">
        <v>132</v>
      </c>
      <c r="K240" s="35" t="s">
        <v>112</v>
      </c>
      <c r="L240" s="35"/>
      <c r="M240" s="36" t="s">
        <v>108</v>
      </c>
      <c r="N240" s="36"/>
      <c r="O240" s="35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7"/>
      <c r="V240" s="37"/>
      <c r="W240" s="38" t="s">
        <v>69</v>
      </c>
      <c r="X240" s="56">
        <v>0</v>
      </c>
      <c r="Y240" s="53">
        <f t="shared" si="26"/>
        <v>0</v>
      </c>
      <c r="Z240" s="39" t="str">
        <f>IFERROR(IF(Y240=0,"",ROUNDUP(Y240/H240,0)*0.00902),"")</f>
        <v/>
      </c>
      <c r="AA240" s="65"/>
      <c r="AB240" s="66"/>
      <c r="AC240" s="309" t="s">
        <v>392</v>
      </c>
      <c r="AG240" s="75"/>
      <c r="AJ240" s="79"/>
      <c r="AK240" s="79">
        <v>0</v>
      </c>
      <c r="BB240" s="310" t="s">
        <v>1</v>
      </c>
      <c r="BM240" s="75">
        <f t="shared" si="27"/>
        <v>0</v>
      </c>
      <c r="BN240" s="75">
        <f t="shared" si="28"/>
        <v>0</v>
      </c>
      <c r="BO240" s="75">
        <f t="shared" si="29"/>
        <v>0</v>
      </c>
      <c r="BP240" s="75">
        <f t="shared" si="30"/>
        <v>0</v>
      </c>
    </row>
    <row r="241" spans="1:68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40" t="s">
        <v>76</v>
      </c>
      <c r="X241" s="41">
        <f>IFERROR(X232/H232,"0")+IFERROR(X233/H233,"0")+IFERROR(X234/H234,"0")+IFERROR(X235/H235,"0")+IFERROR(X236/H236,"0")+IFERROR(X237/H237,"0")+IFERROR(X238/H238,"0")+IFERROR(X239/H239,"0")+IFERROR(X240/H240,"0")</f>
        <v>0</v>
      </c>
      <c r="Y241" s="41">
        <f>IFERROR(Y232/H232,"0")+IFERROR(Y233/H233,"0")+IFERROR(Y234/H234,"0")+IFERROR(Y235/H235,"0")+IFERROR(Y236/H236,"0")+IFERROR(Y237/H237,"0")+IFERROR(Y238/H238,"0")+IFERROR(Y239/H239,"0")+IFERROR(Y240/H240,"0")</f>
        <v>0</v>
      </c>
      <c r="Z241" s="4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40" t="s">
        <v>69</v>
      </c>
      <c r="X242" s="41">
        <f>IFERROR(SUM(X232:X240),"0")</f>
        <v>0</v>
      </c>
      <c r="Y242" s="41">
        <f>IFERROR(SUM(Y232:Y240),"0")</f>
        <v>0</v>
      </c>
      <c r="Z242" s="40"/>
      <c r="AA242" s="64"/>
      <c r="AB242" s="64"/>
      <c r="AC242" s="64"/>
    </row>
    <row r="243" spans="1:68" ht="14.25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63"/>
      <c r="AB243" s="63"/>
      <c r="AC243" s="63"/>
    </row>
    <row r="244" spans="1:68" ht="27" customHeight="1" x14ac:dyDescent="0.25">
      <c r="A244" s="60" t="s">
        <v>404</v>
      </c>
      <c r="B244" s="60" t="s">
        <v>405</v>
      </c>
      <c r="C244" s="34">
        <v>4301020377</v>
      </c>
      <c r="D244" s="560">
        <v>4680115885981</v>
      </c>
      <c r="E244" s="561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73</v>
      </c>
      <c r="L244" s="35"/>
      <c r="M244" s="36" t="s">
        <v>80</v>
      </c>
      <c r="N244" s="36"/>
      <c r="O244" s="35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7"/>
      <c r="V244" s="37"/>
      <c r="W244" s="38" t="s">
        <v>69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/>
      <c r="AB244" s="66"/>
      <c r="AC244" s="311" t="s">
        <v>406</v>
      </c>
      <c r="AG244" s="75"/>
      <c r="AJ244" s="79"/>
      <c r="AK244" s="79">
        <v>0</v>
      </c>
      <c r="BB244" s="312" t="s">
        <v>1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40" t="s">
        <v>76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40" t="s">
        <v>69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4.25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63"/>
      <c r="AB247" s="63"/>
      <c r="AC247" s="63"/>
    </row>
    <row r="248" spans="1:68" ht="27" customHeight="1" x14ac:dyDescent="0.25">
      <c r="A248" s="60" t="s">
        <v>408</v>
      </c>
      <c r="B248" s="60" t="s">
        <v>409</v>
      </c>
      <c r="C248" s="34">
        <v>4301040362</v>
      </c>
      <c r="D248" s="560">
        <v>4680115886803</v>
      </c>
      <c r="E248" s="561"/>
      <c r="F248" s="59">
        <v>0.12</v>
      </c>
      <c r="G248" s="35">
        <v>15</v>
      </c>
      <c r="H248" s="59">
        <v>1.8</v>
      </c>
      <c r="I248" s="59">
        <v>1.9750000000000001</v>
      </c>
      <c r="J248" s="35">
        <v>216</v>
      </c>
      <c r="K248" s="35" t="s">
        <v>313</v>
      </c>
      <c r="L248" s="35"/>
      <c r="M248" s="36" t="s">
        <v>314</v>
      </c>
      <c r="N248" s="36"/>
      <c r="O248" s="35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7"/>
      <c r="V248" s="37"/>
      <c r="W248" s="38" t="s">
        <v>69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13" t="s">
        <v>410</v>
      </c>
      <c r="AG248" s="75"/>
      <c r="AJ248" s="79"/>
      <c r="AK248" s="79">
        <v>0</v>
      </c>
      <c r="BB248" s="31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40" t="s">
        <v>76</v>
      </c>
      <c r="X249" s="41">
        <f>IFERROR(X248/H248,"0")</f>
        <v>0</v>
      </c>
      <c r="Y249" s="41">
        <f>IFERROR(Y248/H248,"0")</f>
        <v>0</v>
      </c>
      <c r="Z249" s="41">
        <f>IFERROR(IF(Z248="",0,Z248),"0")</f>
        <v>0</v>
      </c>
      <c r="AA249" s="64"/>
      <c r="AB249" s="64"/>
      <c r="AC249" s="64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40" t="s">
        <v>69</v>
      </c>
      <c r="X250" s="41">
        <f>IFERROR(SUM(X248:X248),"0")</f>
        <v>0</v>
      </c>
      <c r="Y250" s="41">
        <f>IFERROR(SUM(Y248:Y248),"0")</f>
        <v>0</v>
      </c>
      <c r="Z250" s="40"/>
      <c r="AA250" s="64"/>
      <c r="AB250" s="64"/>
      <c r="AC250" s="64"/>
    </row>
    <row r="251" spans="1:68" ht="14.25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63"/>
      <c r="AB251" s="63"/>
      <c r="AC251" s="63"/>
    </row>
    <row r="252" spans="1:68" ht="27" customHeight="1" x14ac:dyDescent="0.25">
      <c r="A252" s="60" t="s">
        <v>412</v>
      </c>
      <c r="B252" s="60" t="s">
        <v>413</v>
      </c>
      <c r="C252" s="34">
        <v>4301041004</v>
      </c>
      <c r="D252" s="560">
        <v>4680115886704</v>
      </c>
      <c r="E252" s="561"/>
      <c r="F252" s="59">
        <v>5.5E-2</v>
      </c>
      <c r="G252" s="35">
        <v>18</v>
      </c>
      <c r="H252" s="59">
        <v>0.99</v>
      </c>
      <c r="I252" s="59">
        <v>1.18</v>
      </c>
      <c r="J252" s="35">
        <v>216</v>
      </c>
      <c r="K252" s="35" t="s">
        <v>313</v>
      </c>
      <c r="L252" s="35"/>
      <c r="M252" s="36" t="s">
        <v>314</v>
      </c>
      <c r="N252" s="36"/>
      <c r="O252" s="35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7"/>
      <c r="V252" s="37"/>
      <c r="W252" s="38" t="s">
        <v>69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15" t="s">
        <v>414</v>
      </c>
      <c r="AG252" s="75"/>
      <c r="AJ252" s="79"/>
      <c r="AK252" s="79">
        <v>0</v>
      </c>
      <c r="BB252" s="31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customHeight="1" x14ac:dyDescent="0.25">
      <c r="A253" s="60" t="s">
        <v>415</v>
      </c>
      <c r="B253" s="60" t="s">
        <v>416</v>
      </c>
      <c r="C253" s="34">
        <v>4301041008</v>
      </c>
      <c r="D253" s="560">
        <v>4680115886681</v>
      </c>
      <c r="E253" s="561"/>
      <c r="F253" s="59">
        <v>0.12</v>
      </c>
      <c r="G253" s="35">
        <v>15</v>
      </c>
      <c r="H253" s="59">
        <v>1.8</v>
      </c>
      <c r="I253" s="59">
        <v>1.9750000000000001</v>
      </c>
      <c r="J253" s="35">
        <v>216</v>
      </c>
      <c r="K253" s="35" t="s">
        <v>313</v>
      </c>
      <c r="L253" s="35"/>
      <c r="M253" s="36" t="s">
        <v>314</v>
      </c>
      <c r="N253" s="36"/>
      <c r="O253" s="35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7"/>
      <c r="V253" s="37"/>
      <c r="W253" s="38" t="s">
        <v>69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/>
      <c r="AB253" s="66"/>
      <c r="AC253" s="317" t="s">
        <v>414</v>
      </c>
      <c r="AG253" s="75"/>
      <c r="AJ253" s="79"/>
      <c r="AK253" s="79">
        <v>0</v>
      </c>
      <c r="BB253" s="318" t="s">
        <v>1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417</v>
      </c>
      <c r="B254" s="60" t="s">
        <v>418</v>
      </c>
      <c r="C254" s="34">
        <v>4301041007</v>
      </c>
      <c r="D254" s="560">
        <v>4680115886735</v>
      </c>
      <c r="E254" s="561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313</v>
      </c>
      <c r="L254" s="35"/>
      <c r="M254" s="36" t="s">
        <v>314</v>
      </c>
      <c r="N254" s="36"/>
      <c r="O254" s="35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7"/>
      <c r="V254" s="37"/>
      <c r="W254" s="38" t="s">
        <v>69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/>
      <c r="AB254" s="66"/>
      <c r="AC254" s="319" t="s">
        <v>414</v>
      </c>
      <c r="AG254" s="75"/>
      <c r="AJ254" s="79"/>
      <c r="AK254" s="79">
        <v>0</v>
      </c>
      <c r="BB254" s="320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419</v>
      </c>
      <c r="B255" s="60" t="s">
        <v>420</v>
      </c>
      <c r="C255" s="34">
        <v>4301041006</v>
      </c>
      <c r="D255" s="560">
        <v>4680115886728</v>
      </c>
      <c r="E255" s="561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313</v>
      </c>
      <c r="L255" s="35"/>
      <c r="M255" s="36" t="s">
        <v>314</v>
      </c>
      <c r="N255" s="36"/>
      <c r="O255" s="35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7"/>
      <c r="V255" s="37"/>
      <c r="W255" s="38" t="s">
        <v>69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/>
      <c r="AB255" s="66"/>
      <c r="AC255" s="321" t="s">
        <v>414</v>
      </c>
      <c r="AG255" s="75"/>
      <c r="AJ255" s="79"/>
      <c r="AK255" s="79">
        <v>0</v>
      </c>
      <c r="BB255" s="322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421</v>
      </c>
      <c r="B256" s="60" t="s">
        <v>422</v>
      </c>
      <c r="C256" s="34">
        <v>4301041005</v>
      </c>
      <c r="D256" s="560">
        <v>4680115886711</v>
      </c>
      <c r="E256" s="561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313</v>
      </c>
      <c r="L256" s="35"/>
      <c r="M256" s="36" t="s">
        <v>314</v>
      </c>
      <c r="N256" s="36"/>
      <c r="O256" s="35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7"/>
      <c r="V256" s="37"/>
      <c r="W256" s="38" t="s">
        <v>69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/>
      <c r="AB256" s="66"/>
      <c r="AC256" s="323" t="s">
        <v>414</v>
      </c>
      <c r="AG256" s="75"/>
      <c r="AJ256" s="79"/>
      <c r="AK256" s="79">
        <v>0</v>
      </c>
      <c r="BB256" s="324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40" t="s">
        <v>76</v>
      </c>
      <c r="X257" s="41">
        <f>IFERROR(X252/H252,"0")+IFERROR(X253/H253,"0")+IFERROR(X254/H254,"0")+IFERROR(X255/H255,"0")+IFERROR(X256/H256,"0")</f>
        <v>0</v>
      </c>
      <c r="Y257" s="41">
        <f>IFERROR(Y252/H252,"0")+IFERROR(Y253/H253,"0")+IFERROR(Y254/H254,"0")+IFERROR(Y255/H255,"0")+IFERROR(Y256/H256,"0")</f>
        <v>0</v>
      </c>
      <c r="Z257" s="41">
        <f>IFERROR(IF(Z252="",0,Z252),"0")+IFERROR(IF(Z253="",0,Z253),"0")+IFERROR(IF(Z254="",0,Z254),"0")+IFERROR(IF(Z255="",0,Z255),"0")+IFERROR(IF(Z256="",0,Z256),"0")</f>
        <v>0</v>
      </c>
      <c r="AA257" s="64"/>
      <c r="AB257" s="64"/>
      <c r="AC257" s="64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40" t="s">
        <v>69</v>
      </c>
      <c r="X258" s="41">
        <f>IFERROR(SUM(X252:X256),"0")</f>
        <v>0</v>
      </c>
      <c r="Y258" s="41">
        <f>IFERROR(SUM(Y252:Y256),"0")</f>
        <v>0</v>
      </c>
      <c r="Z258" s="40"/>
      <c r="AA258" s="64"/>
      <c r="AB258" s="64"/>
      <c r="AC258" s="64"/>
    </row>
    <row r="259" spans="1:68" ht="16.5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62"/>
      <c r="AB259" s="62"/>
      <c r="AC259" s="62"/>
    </row>
    <row r="260" spans="1:68" ht="14.25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63"/>
      <c r="AB260" s="63"/>
      <c r="AC260" s="63"/>
    </row>
    <row r="261" spans="1:68" ht="27" customHeight="1" x14ac:dyDescent="0.25">
      <c r="A261" s="60" t="s">
        <v>424</v>
      </c>
      <c r="B261" s="60" t="s">
        <v>425</v>
      </c>
      <c r="C261" s="34">
        <v>4301011855</v>
      </c>
      <c r="D261" s="560">
        <v>4680115885837</v>
      </c>
      <c r="E261" s="5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106</v>
      </c>
      <c r="L261" s="35" t="s">
        <v>107</v>
      </c>
      <c r="M261" s="36" t="s">
        <v>108</v>
      </c>
      <c r="N261" s="36"/>
      <c r="O261" s="35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7"/>
      <c r="V261" s="37"/>
      <c r="W261" s="38" t="s">
        <v>69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/>
      <c r="AB261" s="66"/>
      <c r="AC261" s="325" t="s">
        <v>426</v>
      </c>
      <c r="AG261" s="75"/>
      <c r="AJ261" s="79" t="s">
        <v>92</v>
      </c>
      <c r="AK261" s="79">
        <v>86.4</v>
      </c>
      <c r="BB261" s="326" t="s">
        <v>1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37.5" customHeight="1" x14ac:dyDescent="0.25">
      <c r="A262" s="60" t="s">
        <v>427</v>
      </c>
      <c r="B262" s="60" t="s">
        <v>428</v>
      </c>
      <c r="C262" s="34">
        <v>4301011853</v>
      </c>
      <c r="D262" s="560">
        <v>4680115885851</v>
      </c>
      <c r="E262" s="5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106</v>
      </c>
      <c r="L262" s="35"/>
      <c r="M262" s="36" t="s">
        <v>108</v>
      </c>
      <c r="N262" s="36"/>
      <c r="O262" s="35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7"/>
      <c r="V262" s="37"/>
      <c r="W262" s="38" t="s">
        <v>69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7" t="s">
        <v>429</v>
      </c>
      <c r="AG262" s="75"/>
      <c r="AJ262" s="79"/>
      <c r="AK262" s="79">
        <v>0</v>
      </c>
      <c r="BB262" s="328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customHeight="1" x14ac:dyDescent="0.25">
      <c r="A263" s="60" t="s">
        <v>430</v>
      </c>
      <c r="B263" s="60" t="s">
        <v>431</v>
      </c>
      <c r="C263" s="34">
        <v>4301011850</v>
      </c>
      <c r="D263" s="560">
        <v>4680115885806</v>
      </c>
      <c r="E263" s="561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106</v>
      </c>
      <c r="L263" s="35" t="s">
        <v>107</v>
      </c>
      <c r="M263" s="36" t="s">
        <v>108</v>
      </c>
      <c r="N263" s="36"/>
      <c r="O263" s="35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7"/>
      <c r="V263" s="37"/>
      <c r="W263" s="38" t="s">
        <v>69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/>
      <c r="AB263" s="66"/>
      <c r="AC263" s="329" t="s">
        <v>432</v>
      </c>
      <c r="AG263" s="75"/>
      <c r="AJ263" s="79" t="s">
        <v>92</v>
      </c>
      <c r="AK263" s="79">
        <v>86.4</v>
      </c>
      <c r="BB263" s="330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433</v>
      </c>
      <c r="B264" s="60" t="s">
        <v>434</v>
      </c>
      <c r="C264" s="34">
        <v>4301011852</v>
      </c>
      <c r="D264" s="560">
        <v>4680115885844</v>
      </c>
      <c r="E264" s="561"/>
      <c r="F264" s="59">
        <v>0.4</v>
      </c>
      <c r="G264" s="35">
        <v>10</v>
      </c>
      <c r="H264" s="59">
        <v>4</v>
      </c>
      <c r="I264" s="59">
        <v>4.1900000000000004</v>
      </c>
      <c r="J264" s="35">
        <v>132</v>
      </c>
      <c r="K264" s="35" t="s">
        <v>112</v>
      </c>
      <c r="L264" s="35"/>
      <c r="M264" s="36" t="s">
        <v>108</v>
      </c>
      <c r="N264" s="36"/>
      <c r="O264" s="35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7"/>
      <c r="V264" s="37"/>
      <c r="W264" s="38" t="s">
        <v>69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IFERROR(IF(Y264=0,"",ROUNDUP(Y264/H264,0)*0.00902),"")</f>
        <v/>
      </c>
      <c r="AA264" s="65"/>
      <c r="AB264" s="66"/>
      <c r="AC264" s="331" t="s">
        <v>435</v>
      </c>
      <c r="AG264" s="75"/>
      <c r="AJ264" s="79"/>
      <c r="AK264" s="79">
        <v>0</v>
      </c>
      <c r="BB264" s="332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37.5" customHeight="1" x14ac:dyDescent="0.25">
      <c r="A265" s="60" t="s">
        <v>436</v>
      </c>
      <c r="B265" s="60" t="s">
        <v>437</v>
      </c>
      <c r="C265" s="34">
        <v>4301011851</v>
      </c>
      <c r="D265" s="560">
        <v>4680115885820</v>
      </c>
      <c r="E265" s="561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112</v>
      </c>
      <c r="L265" s="35" t="s">
        <v>115</v>
      </c>
      <c r="M265" s="36" t="s">
        <v>108</v>
      </c>
      <c r="N265" s="36"/>
      <c r="O265" s="35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7"/>
      <c r="V265" s="37"/>
      <c r="W265" s="38" t="s">
        <v>69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/>
      <c r="AB265" s="66"/>
      <c r="AC265" s="333" t="s">
        <v>438</v>
      </c>
      <c r="AG265" s="75"/>
      <c r="AJ265" s="79" t="s">
        <v>92</v>
      </c>
      <c r="AK265" s="79">
        <v>48</v>
      </c>
      <c r="BB265" s="334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40" t="s">
        <v>76</v>
      </c>
      <c r="X266" s="41">
        <f>IFERROR(X261/H261,"0")+IFERROR(X262/H262,"0")+IFERROR(X263/H263,"0")+IFERROR(X264/H264,"0")+IFERROR(X265/H265,"0")</f>
        <v>0</v>
      </c>
      <c r="Y266" s="41">
        <f>IFERROR(Y261/H261,"0")+IFERROR(Y262/H262,"0")+IFERROR(Y263/H263,"0")+IFERROR(Y264/H264,"0")+IFERROR(Y265/H265,"0")</f>
        <v>0</v>
      </c>
      <c r="Z266" s="41">
        <f>IFERROR(IF(Z261="",0,Z261),"0")+IFERROR(IF(Z262="",0,Z262),"0")+IFERROR(IF(Z263="",0,Z263),"0")+IFERROR(IF(Z264="",0,Z264),"0")+IFERROR(IF(Z265="",0,Z265),"0")</f>
        <v>0</v>
      </c>
      <c r="AA266" s="64"/>
      <c r="AB266" s="64"/>
      <c r="AC266" s="64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40" t="s">
        <v>69</v>
      </c>
      <c r="X267" s="41">
        <f>IFERROR(SUM(X261:X265),"0")</f>
        <v>0</v>
      </c>
      <c r="Y267" s="41">
        <f>IFERROR(SUM(Y261:Y265),"0")</f>
        <v>0</v>
      </c>
      <c r="Z267" s="40"/>
      <c r="AA267" s="64"/>
      <c r="AB267" s="64"/>
      <c r="AC267" s="64"/>
    </row>
    <row r="268" spans="1:68" ht="16.5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62"/>
      <c r="AB268" s="62"/>
      <c r="AC268" s="62"/>
    </row>
    <row r="269" spans="1:68" ht="14.25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63"/>
      <c r="AB269" s="63"/>
      <c r="AC269" s="63"/>
    </row>
    <row r="270" spans="1:68" ht="27" customHeight="1" x14ac:dyDescent="0.25">
      <c r="A270" s="60" t="s">
        <v>440</v>
      </c>
      <c r="B270" s="60" t="s">
        <v>441</v>
      </c>
      <c r="C270" s="34">
        <v>4301011223</v>
      </c>
      <c r="D270" s="560">
        <v>4607091383423</v>
      </c>
      <c r="E270" s="561"/>
      <c r="F270" s="59">
        <v>1.35</v>
      </c>
      <c r="G270" s="35">
        <v>8</v>
      </c>
      <c r="H270" s="59">
        <v>10.8</v>
      </c>
      <c r="I270" s="59">
        <v>11.305999999999999</v>
      </c>
      <c r="J270" s="35">
        <v>64</v>
      </c>
      <c r="K270" s="35" t="s">
        <v>106</v>
      </c>
      <c r="L270" s="35"/>
      <c r="M270" s="36" t="s">
        <v>80</v>
      </c>
      <c r="N270" s="36"/>
      <c r="O270" s="35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7"/>
      <c r="V270" s="37"/>
      <c r="W270" s="38" t="s">
        <v>69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/>
      <c r="AB270" s="66"/>
      <c r="AC270" s="335" t="s">
        <v>109</v>
      </c>
      <c r="AG270" s="75"/>
      <c r="AJ270" s="79"/>
      <c r="AK270" s="79">
        <v>0</v>
      </c>
      <c r="BB270" s="336" t="s">
        <v>1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442</v>
      </c>
      <c r="B271" s="60" t="s">
        <v>443</v>
      </c>
      <c r="C271" s="34">
        <v>4301012199</v>
      </c>
      <c r="D271" s="560">
        <v>4680115886957</v>
      </c>
      <c r="E271" s="561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106</v>
      </c>
      <c r="L271" s="35"/>
      <c r="M271" s="36" t="s">
        <v>80</v>
      </c>
      <c r="N271" s="36"/>
      <c r="O271" s="35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7"/>
      <c r="V271" s="37"/>
      <c r="W271" s="38" t="s">
        <v>69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/>
      <c r="AB271" s="66"/>
      <c r="AC271" s="337" t="s">
        <v>444</v>
      </c>
      <c r="AG271" s="75"/>
      <c r="AJ271" s="79"/>
      <c r="AK271" s="79">
        <v>0</v>
      </c>
      <c r="BB271" s="338" t="s">
        <v>1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445</v>
      </c>
      <c r="B272" s="60" t="s">
        <v>446</v>
      </c>
      <c r="C272" s="34">
        <v>4301012098</v>
      </c>
      <c r="D272" s="560">
        <v>4680115885660</v>
      </c>
      <c r="E272" s="561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106</v>
      </c>
      <c r="L272" s="35"/>
      <c r="M272" s="36" t="s">
        <v>80</v>
      </c>
      <c r="N272" s="36"/>
      <c r="O272" s="35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7"/>
      <c r="V272" s="37"/>
      <c r="W272" s="38" t="s">
        <v>69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/>
      <c r="AB272" s="66"/>
      <c r="AC272" s="339" t="s">
        <v>392</v>
      </c>
      <c r="AG272" s="75"/>
      <c r="AJ272" s="79"/>
      <c r="AK272" s="79">
        <v>0</v>
      </c>
      <c r="BB272" s="340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37.5" customHeight="1" x14ac:dyDescent="0.25">
      <c r="A273" s="60" t="s">
        <v>447</v>
      </c>
      <c r="B273" s="60" t="s">
        <v>448</v>
      </c>
      <c r="C273" s="34">
        <v>4301012176</v>
      </c>
      <c r="D273" s="560">
        <v>4680115886773</v>
      </c>
      <c r="E273" s="561"/>
      <c r="F273" s="59">
        <v>0.9</v>
      </c>
      <c r="G273" s="35">
        <v>10</v>
      </c>
      <c r="H273" s="59">
        <v>9</v>
      </c>
      <c r="I273" s="59">
        <v>9.41</v>
      </c>
      <c r="J273" s="35">
        <v>64</v>
      </c>
      <c r="K273" s="35" t="s">
        <v>106</v>
      </c>
      <c r="L273" s="35"/>
      <c r="M273" s="36" t="s">
        <v>108</v>
      </c>
      <c r="N273" s="36"/>
      <c r="O273" s="35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7"/>
      <c r="V273" s="37"/>
      <c r="W273" s="38" t="s">
        <v>69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/>
      <c r="AB273" s="66"/>
      <c r="AC273" s="341" t="s">
        <v>449</v>
      </c>
      <c r="AG273" s="75"/>
      <c r="AJ273" s="79"/>
      <c r="AK273" s="79">
        <v>0</v>
      </c>
      <c r="BB273" s="342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40" t="s">
        <v>76</v>
      </c>
      <c r="X274" s="41">
        <f>IFERROR(X270/H270,"0")+IFERROR(X271/H271,"0")+IFERROR(X272/H272,"0")+IFERROR(X273/H273,"0")</f>
        <v>0</v>
      </c>
      <c r="Y274" s="41">
        <f>IFERROR(Y270/H270,"0")+IFERROR(Y271/H271,"0")+IFERROR(Y272/H272,"0")+IFERROR(Y273/H273,"0")</f>
        <v>0</v>
      </c>
      <c r="Z274" s="41">
        <f>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40" t="s">
        <v>69</v>
      </c>
      <c r="X275" s="41">
        <f>IFERROR(SUM(X270:X273),"0")</f>
        <v>0</v>
      </c>
      <c r="Y275" s="41">
        <f>IFERROR(SUM(Y270:Y273),"0")</f>
        <v>0</v>
      </c>
      <c r="Z275" s="40"/>
      <c r="AA275" s="64"/>
      <c r="AB275" s="64"/>
      <c r="AC275" s="64"/>
    </row>
    <row r="276" spans="1:68" ht="16.5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62"/>
      <c r="AB276" s="62"/>
      <c r="AC276" s="62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63"/>
      <c r="AB277" s="63"/>
      <c r="AC277" s="63"/>
    </row>
    <row r="278" spans="1:68" ht="27" customHeight="1" x14ac:dyDescent="0.25">
      <c r="A278" s="60" t="s">
        <v>451</v>
      </c>
      <c r="B278" s="60" t="s">
        <v>452</v>
      </c>
      <c r="C278" s="34">
        <v>4301051893</v>
      </c>
      <c r="D278" s="560">
        <v>4680115886186</v>
      </c>
      <c r="E278" s="561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67</v>
      </c>
      <c r="L278" s="35"/>
      <c r="M278" s="36" t="s">
        <v>80</v>
      </c>
      <c r="N278" s="36"/>
      <c r="O278" s="35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7"/>
      <c r="V278" s="37"/>
      <c r="W278" s="38" t="s">
        <v>69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43" t="s">
        <v>453</v>
      </c>
      <c r="AG278" s="75"/>
      <c r="AJ278" s="79"/>
      <c r="AK278" s="79">
        <v>0</v>
      </c>
      <c r="BB278" s="344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454</v>
      </c>
      <c r="B279" s="60" t="s">
        <v>455</v>
      </c>
      <c r="C279" s="34">
        <v>4301051795</v>
      </c>
      <c r="D279" s="560">
        <v>4680115881228</v>
      </c>
      <c r="E279" s="561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67</v>
      </c>
      <c r="L279" s="35"/>
      <c r="M279" s="36" t="s">
        <v>86</v>
      </c>
      <c r="N279" s="36"/>
      <c r="O279" s="35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7"/>
      <c r="V279" s="37"/>
      <c r="W279" s="38" t="s">
        <v>69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/>
      <c r="AB279" s="66"/>
      <c r="AC279" s="345" t="s">
        <v>456</v>
      </c>
      <c r="AG279" s="75"/>
      <c r="AJ279" s="79"/>
      <c r="AK279" s="79">
        <v>0</v>
      </c>
      <c r="BB279" s="346" t="s">
        <v>1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457</v>
      </c>
      <c r="B280" s="60" t="s">
        <v>458</v>
      </c>
      <c r="C280" s="34">
        <v>4301051388</v>
      </c>
      <c r="D280" s="560">
        <v>4680115881211</v>
      </c>
      <c r="E280" s="561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67</v>
      </c>
      <c r="L280" s="35" t="s">
        <v>90</v>
      </c>
      <c r="M280" s="36" t="s">
        <v>80</v>
      </c>
      <c r="N280" s="36"/>
      <c r="O280" s="35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7"/>
      <c r="V280" s="37"/>
      <c r="W280" s="38" t="s">
        <v>69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47" t="s">
        <v>453</v>
      </c>
      <c r="AG280" s="75"/>
      <c r="AJ280" s="79" t="s">
        <v>92</v>
      </c>
      <c r="AK280" s="79">
        <v>33.6</v>
      </c>
      <c r="BB280" s="348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40" t="s">
        <v>76</v>
      </c>
      <c r="X281" s="41">
        <f>IFERROR(X278/H278,"0")+IFERROR(X279/H279,"0")+IFERROR(X280/H280,"0")</f>
        <v>0</v>
      </c>
      <c r="Y281" s="41">
        <f>IFERROR(Y278/H278,"0")+IFERROR(Y279/H279,"0")+IFERROR(Y280/H280,"0")</f>
        <v>0</v>
      </c>
      <c r="Z281" s="41">
        <f>IFERROR(IF(Z278="",0,Z278),"0")+IFERROR(IF(Z279="",0,Z279),"0")+IFERROR(IF(Z280="",0,Z280),"0")</f>
        <v>0</v>
      </c>
      <c r="AA281" s="64"/>
      <c r="AB281" s="64"/>
      <c r="AC281" s="64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40" t="s">
        <v>69</v>
      </c>
      <c r="X282" s="41">
        <f>IFERROR(SUM(X278:X280),"0")</f>
        <v>0</v>
      </c>
      <c r="Y282" s="41">
        <f>IFERROR(SUM(Y278:Y280),"0")</f>
        <v>0</v>
      </c>
      <c r="Z282" s="40"/>
      <c r="AA282" s="64"/>
      <c r="AB282" s="64"/>
      <c r="AC282" s="64"/>
    </row>
    <row r="283" spans="1:68" ht="16.5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62"/>
      <c r="AB283" s="62"/>
      <c r="AC283" s="62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63"/>
      <c r="AB284" s="63"/>
      <c r="AC284" s="63"/>
    </row>
    <row r="285" spans="1:68" ht="27" customHeight="1" x14ac:dyDescent="0.25">
      <c r="A285" s="60" t="s">
        <v>460</v>
      </c>
      <c r="B285" s="60" t="s">
        <v>461</v>
      </c>
      <c r="C285" s="34">
        <v>4301031307</v>
      </c>
      <c r="D285" s="560">
        <v>4680115880344</v>
      </c>
      <c r="E285" s="561"/>
      <c r="F285" s="59">
        <v>0.28000000000000003</v>
      </c>
      <c r="G285" s="35">
        <v>6</v>
      </c>
      <c r="H285" s="59">
        <v>1.68</v>
      </c>
      <c r="I285" s="59">
        <v>1.78</v>
      </c>
      <c r="J285" s="35">
        <v>234</v>
      </c>
      <c r="K285" s="35" t="s">
        <v>73</v>
      </c>
      <c r="L285" s="35"/>
      <c r="M285" s="36" t="s">
        <v>68</v>
      </c>
      <c r="N285" s="36"/>
      <c r="O285" s="35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7"/>
      <c r="V285" s="37"/>
      <c r="W285" s="38" t="s">
        <v>69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IFERROR(IF(Y285=0,"",ROUNDUP(Y285/H285,0)*0.00502),"")</f>
        <v/>
      </c>
      <c r="AA285" s="65"/>
      <c r="AB285" s="66"/>
      <c r="AC285" s="349" t="s">
        <v>462</v>
      </c>
      <c r="AG285" s="75"/>
      <c r="AJ285" s="79"/>
      <c r="AK285" s="79">
        <v>0</v>
      </c>
      <c r="BB285" s="350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463</v>
      </c>
      <c r="B286" s="60" t="s">
        <v>464</v>
      </c>
      <c r="C286" s="34">
        <v>4301031429</v>
      </c>
      <c r="D286" s="560">
        <v>4680115886919</v>
      </c>
      <c r="E286" s="561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67</v>
      </c>
      <c r="L286" s="35"/>
      <c r="M286" s="36" t="s">
        <v>68</v>
      </c>
      <c r="N286" s="36"/>
      <c r="O286" s="35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7"/>
      <c r="V286" s="37"/>
      <c r="W286" s="38" t="s">
        <v>69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/>
      <c r="AB286" s="66"/>
      <c r="AC286" s="351" t="s">
        <v>465</v>
      </c>
      <c r="AG286" s="75"/>
      <c r="AJ286" s="79"/>
      <c r="AK286" s="79">
        <v>0</v>
      </c>
      <c r="BB286" s="35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40" t="s">
        <v>76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40" t="s">
        <v>69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63"/>
      <c r="AB289" s="63"/>
      <c r="AC289" s="63"/>
    </row>
    <row r="290" spans="1:68" ht="37.5" customHeight="1" x14ac:dyDescent="0.25">
      <c r="A290" s="60" t="s">
        <v>466</v>
      </c>
      <c r="B290" s="60" t="s">
        <v>467</v>
      </c>
      <c r="C290" s="34">
        <v>4301051782</v>
      </c>
      <c r="D290" s="560">
        <v>4680115884618</v>
      </c>
      <c r="E290" s="561"/>
      <c r="F290" s="59">
        <v>0.6</v>
      </c>
      <c r="G290" s="35">
        <v>6</v>
      </c>
      <c r="H290" s="59">
        <v>3.6</v>
      </c>
      <c r="I290" s="59">
        <v>3.79</v>
      </c>
      <c r="J290" s="35">
        <v>132</v>
      </c>
      <c r="K290" s="35" t="s">
        <v>112</v>
      </c>
      <c r="L290" s="35" t="s">
        <v>115</v>
      </c>
      <c r="M290" s="36" t="s">
        <v>80</v>
      </c>
      <c r="N290" s="36"/>
      <c r="O290" s="35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7"/>
      <c r="V290" s="37"/>
      <c r="W290" s="38" t="s">
        <v>69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IFERROR(IF(Y290=0,"",ROUNDUP(Y290/H290,0)*0.00902),"")</f>
        <v/>
      </c>
      <c r="AA290" s="65"/>
      <c r="AB290" s="66"/>
      <c r="AC290" s="353" t="s">
        <v>468</v>
      </c>
      <c r="AG290" s="75"/>
      <c r="AJ290" s="79" t="s">
        <v>92</v>
      </c>
      <c r="AK290" s="79">
        <v>43.2</v>
      </c>
      <c r="BB290" s="354" t="s">
        <v>1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customHeight="1" x14ac:dyDescent="0.25">
      <c r="A291" s="60" t="s">
        <v>469</v>
      </c>
      <c r="B291" s="60" t="s">
        <v>470</v>
      </c>
      <c r="C291" s="34">
        <v>4301052057</v>
      </c>
      <c r="D291" s="560">
        <v>4680115887114</v>
      </c>
      <c r="E291" s="561"/>
      <c r="F291" s="59">
        <v>0.55000000000000004</v>
      </c>
      <c r="G291" s="35">
        <v>6</v>
      </c>
      <c r="H291" s="59">
        <v>3.3</v>
      </c>
      <c r="I291" s="59">
        <v>3.49</v>
      </c>
      <c r="J291" s="35">
        <v>132</v>
      </c>
      <c r="K291" s="35" t="s">
        <v>112</v>
      </c>
      <c r="L291" s="35"/>
      <c r="M291" s="36" t="s">
        <v>80</v>
      </c>
      <c r="N291" s="36"/>
      <c r="O291" s="35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7"/>
      <c r="V291" s="37"/>
      <c r="W291" s="38" t="s">
        <v>69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/>
      <c r="AB291" s="66"/>
      <c r="AC291" s="355" t="s">
        <v>471</v>
      </c>
      <c r="AG291" s="75"/>
      <c r="AJ291" s="79"/>
      <c r="AK291" s="79">
        <v>0</v>
      </c>
      <c r="BB291" s="356" t="s">
        <v>1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40" t="s">
        <v>76</v>
      </c>
      <c r="X292" s="41">
        <f>IFERROR(X290/H290,"0")+IFERROR(X291/H291,"0")</f>
        <v>0</v>
      </c>
      <c r="Y292" s="41">
        <f>IFERROR(Y290/H290,"0")+IFERROR(Y291/H291,"0")</f>
        <v>0</v>
      </c>
      <c r="Z292" s="41">
        <f>IFERROR(IF(Z290="",0,Z290),"0")+IFERROR(IF(Z291="",0,Z291),"0")</f>
        <v>0</v>
      </c>
      <c r="AA292" s="64"/>
      <c r="AB292" s="64"/>
      <c r="AC292" s="64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40" t="s">
        <v>69</v>
      </c>
      <c r="X293" s="41">
        <f>IFERROR(SUM(X290:X291),"0")</f>
        <v>0</v>
      </c>
      <c r="Y293" s="41">
        <f>IFERROR(SUM(Y290:Y291),"0")</f>
        <v>0</v>
      </c>
      <c r="Z293" s="40"/>
      <c r="AA293" s="64"/>
      <c r="AB293" s="64"/>
      <c r="AC293" s="64"/>
    </row>
    <row r="294" spans="1:68" ht="16.5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62"/>
      <c r="AB294" s="62"/>
      <c r="AC294" s="62"/>
    </row>
    <row r="295" spans="1:68" ht="14.25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63"/>
      <c r="AB295" s="63"/>
      <c r="AC295" s="63"/>
    </row>
    <row r="296" spans="1:68" ht="27" customHeight="1" x14ac:dyDescent="0.25">
      <c r="A296" s="60" t="s">
        <v>473</v>
      </c>
      <c r="B296" s="60" t="s">
        <v>474</v>
      </c>
      <c r="C296" s="34">
        <v>4301012126</v>
      </c>
      <c r="D296" s="560">
        <v>4607091386004</v>
      </c>
      <c r="E296" s="561"/>
      <c r="F296" s="59">
        <v>1.35</v>
      </c>
      <c r="G296" s="35">
        <v>8</v>
      </c>
      <c r="H296" s="59">
        <v>10.8</v>
      </c>
      <c r="I296" s="59">
        <v>11.21</v>
      </c>
      <c r="J296" s="35">
        <v>64</v>
      </c>
      <c r="K296" s="35" t="s">
        <v>106</v>
      </c>
      <c r="L296" s="35"/>
      <c r="M296" s="36" t="s">
        <v>108</v>
      </c>
      <c r="N296" s="36"/>
      <c r="O296" s="35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7"/>
      <c r="V296" s="37"/>
      <c r="W296" s="38" t="s">
        <v>69</v>
      </c>
      <c r="X296" s="56">
        <v>710</v>
      </c>
      <c r="Y296" s="53">
        <f t="shared" ref="Y296:Y301" si="31">IFERROR(IF(X296="",0,CEILING((X296/$H296),1)*$H296),"")</f>
        <v>712.80000000000007</v>
      </c>
      <c r="Z296" s="39">
        <f>IFERROR(IF(Y296=0,"",ROUNDUP(Y296/H296,0)*0.01898),"")</f>
        <v>1.25268</v>
      </c>
      <c r="AA296" s="65"/>
      <c r="AB296" s="66"/>
      <c r="AC296" s="357" t="s">
        <v>475</v>
      </c>
      <c r="AG296" s="75"/>
      <c r="AJ296" s="79"/>
      <c r="AK296" s="79">
        <v>0</v>
      </c>
      <c r="BB296" s="358" t="s">
        <v>1</v>
      </c>
      <c r="BM296" s="75">
        <f t="shared" ref="BM296:BM301" si="32">IFERROR(X296*I296/H296,"0")</f>
        <v>736.9537037037037</v>
      </c>
      <c r="BN296" s="75">
        <f t="shared" ref="BN296:BN301" si="33">IFERROR(Y296*I296/H296,"0")</f>
        <v>739.86</v>
      </c>
      <c r="BO296" s="75">
        <f t="shared" ref="BO296:BO301" si="34">IFERROR(1/J296*(X296/H296),"0")</f>
        <v>1.027199074074074</v>
      </c>
      <c r="BP296" s="75">
        <f t="shared" ref="BP296:BP301" si="35">IFERROR(1/J296*(Y296/H296),"0")</f>
        <v>1.03125</v>
      </c>
    </row>
    <row r="297" spans="1:68" ht="27" customHeight="1" x14ac:dyDescent="0.25">
      <c r="A297" s="60" t="s">
        <v>476</v>
      </c>
      <c r="B297" s="60" t="s">
        <v>477</v>
      </c>
      <c r="C297" s="34">
        <v>4301012024</v>
      </c>
      <c r="D297" s="560">
        <v>4680115885615</v>
      </c>
      <c r="E297" s="561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106</v>
      </c>
      <c r="L297" s="35" t="s">
        <v>107</v>
      </c>
      <c r="M297" s="36" t="s">
        <v>80</v>
      </c>
      <c r="N297" s="36"/>
      <c r="O297" s="35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7"/>
      <c r="V297" s="37"/>
      <c r="W297" s="38" t="s">
        <v>69</v>
      </c>
      <c r="X297" s="56">
        <v>108</v>
      </c>
      <c r="Y297" s="53">
        <f t="shared" si="31"/>
        <v>108</v>
      </c>
      <c r="Z297" s="39">
        <f>IFERROR(IF(Y297=0,"",ROUNDUP(Y297/H297,0)*0.01898),"")</f>
        <v>0.1898</v>
      </c>
      <c r="AA297" s="65"/>
      <c r="AB297" s="66"/>
      <c r="AC297" s="359" t="s">
        <v>478</v>
      </c>
      <c r="AG297" s="75"/>
      <c r="AJ297" s="79" t="s">
        <v>92</v>
      </c>
      <c r="AK297" s="79">
        <v>86.4</v>
      </c>
      <c r="BB297" s="360" t="s">
        <v>1</v>
      </c>
      <c r="BM297" s="75">
        <f t="shared" si="32"/>
        <v>112.1</v>
      </c>
      <c r="BN297" s="75">
        <f t="shared" si="33"/>
        <v>112.1</v>
      </c>
      <c r="BO297" s="75">
        <f t="shared" si="34"/>
        <v>0.15625</v>
      </c>
      <c r="BP297" s="75">
        <f t="shared" si="35"/>
        <v>0.15625</v>
      </c>
    </row>
    <row r="298" spans="1:68" ht="37.5" customHeight="1" x14ac:dyDescent="0.25">
      <c r="A298" s="60" t="s">
        <v>479</v>
      </c>
      <c r="B298" s="60" t="s">
        <v>480</v>
      </c>
      <c r="C298" s="34">
        <v>4301011858</v>
      </c>
      <c r="D298" s="560">
        <v>4680115885646</v>
      </c>
      <c r="E298" s="561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106</v>
      </c>
      <c r="L298" s="35" t="s">
        <v>107</v>
      </c>
      <c r="M298" s="36" t="s">
        <v>108</v>
      </c>
      <c r="N298" s="36"/>
      <c r="O298" s="35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7"/>
      <c r="V298" s="37"/>
      <c r="W298" s="38" t="s">
        <v>69</v>
      </c>
      <c r="X298" s="56">
        <v>54</v>
      </c>
      <c r="Y298" s="53">
        <f t="shared" si="31"/>
        <v>54</v>
      </c>
      <c r="Z298" s="39">
        <f>IFERROR(IF(Y298=0,"",ROUNDUP(Y298/H298,0)*0.01898),"")</f>
        <v>9.4899999999999998E-2</v>
      </c>
      <c r="AA298" s="65"/>
      <c r="AB298" s="66"/>
      <c r="AC298" s="361" t="s">
        <v>481</v>
      </c>
      <c r="AG298" s="75"/>
      <c r="AJ298" s="79" t="s">
        <v>92</v>
      </c>
      <c r="AK298" s="79">
        <v>86.4</v>
      </c>
      <c r="BB298" s="362" t="s">
        <v>1</v>
      </c>
      <c r="BM298" s="75">
        <f t="shared" si="32"/>
        <v>56.05</v>
      </c>
      <c r="BN298" s="75">
        <f t="shared" si="33"/>
        <v>56.05</v>
      </c>
      <c r="BO298" s="75">
        <f t="shared" si="34"/>
        <v>7.8125E-2</v>
      </c>
      <c r="BP298" s="75">
        <f t="shared" si="35"/>
        <v>7.8125E-2</v>
      </c>
    </row>
    <row r="299" spans="1:68" ht="27" customHeight="1" x14ac:dyDescent="0.25">
      <c r="A299" s="60" t="s">
        <v>482</v>
      </c>
      <c r="B299" s="60" t="s">
        <v>483</v>
      </c>
      <c r="C299" s="34">
        <v>4301012016</v>
      </c>
      <c r="D299" s="560">
        <v>4680115885554</v>
      </c>
      <c r="E299" s="561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106</v>
      </c>
      <c r="L299" s="35"/>
      <c r="M299" s="36" t="s">
        <v>80</v>
      </c>
      <c r="N299" s="36"/>
      <c r="O299" s="35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7"/>
      <c r="V299" s="37"/>
      <c r="W299" s="38" t="s">
        <v>69</v>
      </c>
      <c r="X299" s="56">
        <v>0</v>
      </c>
      <c r="Y299" s="53">
        <f t="shared" si="31"/>
        <v>0</v>
      </c>
      <c r="Z299" s="39" t="str">
        <f>IFERROR(IF(Y299=0,"",ROUNDUP(Y299/H299,0)*0.01898),"")</f>
        <v/>
      </c>
      <c r="AA299" s="65"/>
      <c r="AB299" s="66"/>
      <c r="AC299" s="363" t="s">
        <v>484</v>
      </c>
      <c r="AG299" s="75"/>
      <c r="AJ299" s="79"/>
      <c r="AK299" s="79">
        <v>0</v>
      </c>
      <c r="BB299" s="364" t="s">
        <v>1</v>
      </c>
      <c r="BM299" s="75">
        <f t="shared" si="32"/>
        <v>0</v>
      </c>
      <c r="BN299" s="75">
        <f t="shared" si="33"/>
        <v>0</v>
      </c>
      <c r="BO299" s="75">
        <f t="shared" si="34"/>
        <v>0</v>
      </c>
      <c r="BP299" s="75">
        <f t="shared" si="35"/>
        <v>0</v>
      </c>
    </row>
    <row r="300" spans="1:68" ht="27" customHeight="1" x14ac:dyDescent="0.25">
      <c r="A300" s="60" t="s">
        <v>485</v>
      </c>
      <c r="B300" s="60" t="s">
        <v>486</v>
      </c>
      <c r="C300" s="34">
        <v>4301011857</v>
      </c>
      <c r="D300" s="560">
        <v>4680115885622</v>
      </c>
      <c r="E300" s="561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112</v>
      </c>
      <c r="L300" s="35" t="s">
        <v>115</v>
      </c>
      <c r="M300" s="36" t="s">
        <v>108</v>
      </c>
      <c r="N300" s="36"/>
      <c r="O300" s="35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7"/>
      <c r="V300" s="37"/>
      <c r="W300" s="38" t="s">
        <v>69</v>
      </c>
      <c r="X300" s="56">
        <v>40</v>
      </c>
      <c r="Y300" s="53">
        <f t="shared" si="31"/>
        <v>40</v>
      </c>
      <c r="Z300" s="39">
        <f>IFERROR(IF(Y300=0,"",ROUNDUP(Y300/H300,0)*0.00902),"")</f>
        <v>9.0200000000000002E-2</v>
      </c>
      <c r="AA300" s="65"/>
      <c r="AB300" s="66"/>
      <c r="AC300" s="365" t="s">
        <v>478</v>
      </c>
      <c r="AG300" s="75"/>
      <c r="AJ300" s="79" t="s">
        <v>92</v>
      </c>
      <c r="AK300" s="79">
        <v>48</v>
      </c>
      <c r="BB300" s="366" t="s">
        <v>1</v>
      </c>
      <c r="BM300" s="75">
        <f t="shared" si="32"/>
        <v>41.900000000000006</v>
      </c>
      <c r="BN300" s="75">
        <f t="shared" si="33"/>
        <v>41.900000000000006</v>
      </c>
      <c r="BO300" s="75">
        <f t="shared" si="34"/>
        <v>7.575757575757576E-2</v>
      </c>
      <c r="BP300" s="75">
        <f t="shared" si="35"/>
        <v>7.575757575757576E-2</v>
      </c>
    </row>
    <row r="301" spans="1:68" ht="27" customHeight="1" x14ac:dyDescent="0.25">
      <c r="A301" s="60" t="s">
        <v>487</v>
      </c>
      <c r="B301" s="60" t="s">
        <v>488</v>
      </c>
      <c r="C301" s="34">
        <v>4301011859</v>
      </c>
      <c r="D301" s="560">
        <v>4680115885608</v>
      </c>
      <c r="E301" s="561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112</v>
      </c>
      <c r="L301" s="35" t="s">
        <v>115</v>
      </c>
      <c r="M301" s="36" t="s">
        <v>108</v>
      </c>
      <c r="N301" s="36"/>
      <c r="O301" s="35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7"/>
      <c r="V301" s="37"/>
      <c r="W301" s="38" t="s">
        <v>69</v>
      </c>
      <c r="X301" s="56">
        <v>40</v>
      </c>
      <c r="Y301" s="53">
        <f t="shared" si="31"/>
        <v>40</v>
      </c>
      <c r="Z301" s="39">
        <f>IFERROR(IF(Y301=0,"",ROUNDUP(Y301/H301,0)*0.00902),"")</f>
        <v>9.0200000000000002E-2</v>
      </c>
      <c r="AA301" s="65"/>
      <c r="AB301" s="66"/>
      <c r="AC301" s="367" t="s">
        <v>489</v>
      </c>
      <c r="AG301" s="75"/>
      <c r="AJ301" s="79" t="s">
        <v>92</v>
      </c>
      <c r="AK301" s="79">
        <v>48</v>
      </c>
      <c r="BB301" s="368" t="s">
        <v>1</v>
      </c>
      <c r="BM301" s="75">
        <f t="shared" si="32"/>
        <v>41.900000000000006</v>
      </c>
      <c r="BN301" s="75">
        <f t="shared" si="33"/>
        <v>41.900000000000006</v>
      </c>
      <c r="BO301" s="75">
        <f t="shared" si="34"/>
        <v>7.575757575757576E-2</v>
      </c>
      <c r="BP301" s="75">
        <f t="shared" si="35"/>
        <v>7.575757575757576E-2</v>
      </c>
    </row>
    <row r="302" spans="1:68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40" t="s">
        <v>76</v>
      </c>
      <c r="X302" s="41">
        <f>IFERROR(X296/H296,"0")+IFERROR(X297/H297,"0")+IFERROR(X298/H298,"0")+IFERROR(X299/H299,"0")+IFERROR(X300/H300,"0")+IFERROR(X301/H301,"0")</f>
        <v>100.74074074074073</v>
      </c>
      <c r="Y302" s="41">
        <f>IFERROR(Y296/H296,"0")+IFERROR(Y297/H297,"0")+IFERROR(Y298/H298,"0")+IFERROR(Y299/H299,"0")+IFERROR(Y300/H300,"0")+IFERROR(Y301/H301,"0")</f>
        <v>101</v>
      </c>
      <c r="Z302" s="41">
        <f>IFERROR(IF(Z296="",0,Z296),"0")+IFERROR(IF(Z297="",0,Z297),"0")+IFERROR(IF(Z298="",0,Z298),"0")+IFERROR(IF(Z299="",0,Z299),"0")+IFERROR(IF(Z300="",0,Z300),"0")+IFERROR(IF(Z301="",0,Z301),"0")</f>
        <v>1.7177800000000001</v>
      </c>
      <c r="AA302" s="64"/>
      <c r="AB302" s="64"/>
      <c r="AC302" s="64"/>
    </row>
    <row r="303" spans="1:68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40" t="s">
        <v>69</v>
      </c>
      <c r="X303" s="41">
        <f>IFERROR(SUM(X296:X301),"0")</f>
        <v>952</v>
      </c>
      <c r="Y303" s="41">
        <f>IFERROR(SUM(Y296:Y301),"0")</f>
        <v>954.80000000000007</v>
      </c>
      <c r="Z303" s="40"/>
      <c r="AA303" s="64"/>
      <c r="AB303" s="64"/>
      <c r="AC303" s="64"/>
    </row>
    <row r="304" spans="1:68" ht="14.25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3"/>
      <c r="AB304" s="63"/>
      <c r="AC304" s="63"/>
    </row>
    <row r="305" spans="1:68" ht="27" customHeight="1" x14ac:dyDescent="0.25">
      <c r="A305" s="60" t="s">
        <v>490</v>
      </c>
      <c r="B305" s="60" t="s">
        <v>491</v>
      </c>
      <c r="C305" s="34">
        <v>4301030878</v>
      </c>
      <c r="D305" s="560">
        <v>4607091387193</v>
      </c>
      <c r="E305" s="561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112</v>
      </c>
      <c r="L305" s="35" t="s">
        <v>115</v>
      </c>
      <c r="M305" s="36" t="s">
        <v>68</v>
      </c>
      <c r="N305" s="36"/>
      <c r="O305" s="35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7"/>
      <c r="V305" s="37"/>
      <c r="W305" s="38" t="s">
        <v>69</v>
      </c>
      <c r="X305" s="56">
        <v>210</v>
      </c>
      <c r="Y305" s="53">
        <f t="shared" ref="Y305:Y310" si="36">IFERROR(IF(X305="",0,CEILING((X305/$H305),1)*$H305),"")</f>
        <v>210</v>
      </c>
      <c r="Z305" s="39">
        <f>IFERROR(IF(Y305=0,"",ROUNDUP(Y305/H305,0)*0.00902),"")</f>
        <v>0.45100000000000001</v>
      </c>
      <c r="AA305" s="65"/>
      <c r="AB305" s="66"/>
      <c r="AC305" s="369" t="s">
        <v>492</v>
      </c>
      <c r="AG305" s="75"/>
      <c r="AJ305" s="79" t="s">
        <v>92</v>
      </c>
      <c r="AK305" s="79">
        <v>50.4</v>
      </c>
      <c r="BB305" s="370" t="s">
        <v>1</v>
      </c>
      <c r="BM305" s="75">
        <f t="shared" ref="BM305:BM310" si="37">IFERROR(X305*I305/H305,"0")</f>
        <v>222.5</v>
      </c>
      <c r="BN305" s="75">
        <f t="shared" ref="BN305:BN310" si="38">IFERROR(Y305*I305/H305,"0")</f>
        <v>222.5</v>
      </c>
      <c r="BO305" s="75">
        <f t="shared" ref="BO305:BO310" si="39">IFERROR(1/J305*(X305/H305),"0")</f>
        <v>0.37878787878787878</v>
      </c>
      <c r="BP305" s="75">
        <f t="shared" ref="BP305:BP310" si="40">IFERROR(1/J305*(Y305/H305),"0")</f>
        <v>0.37878787878787878</v>
      </c>
    </row>
    <row r="306" spans="1:68" ht="27" customHeight="1" x14ac:dyDescent="0.25">
      <c r="A306" s="60" t="s">
        <v>493</v>
      </c>
      <c r="B306" s="60" t="s">
        <v>494</v>
      </c>
      <c r="C306" s="34">
        <v>4301031153</v>
      </c>
      <c r="D306" s="560">
        <v>4607091387230</v>
      </c>
      <c r="E306" s="561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112</v>
      </c>
      <c r="L306" s="35" t="s">
        <v>115</v>
      </c>
      <c r="M306" s="36" t="s">
        <v>68</v>
      </c>
      <c r="N306" s="36"/>
      <c r="O306" s="35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7"/>
      <c r="V306" s="37"/>
      <c r="W306" s="38" t="s">
        <v>69</v>
      </c>
      <c r="X306" s="56">
        <v>84</v>
      </c>
      <c r="Y306" s="53">
        <f t="shared" si="36"/>
        <v>84</v>
      </c>
      <c r="Z306" s="39">
        <f>IFERROR(IF(Y306=0,"",ROUNDUP(Y306/H306,0)*0.00902),"")</f>
        <v>0.1804</v>
      </c>
      <c r="AA306" s="65"/>
      <c r="AB306" s="66"/>
      <c r="AC306" s="371" t="s">
        <v>495</v>
      </c>
      <c r="AG306" s="75"/>
      <c r="AJ306" s="79" t="s">
        <v>92</v>
      </c>
      <c r="AK306" s="79">
        <v>50.4</v>
      </c>
      <c r="BB306" s="372" t="s">
        <v>1</v>
      </c>
      <c r="BM306" s="75">
        <f t="shared" si="37"/>
        <v>89</v>
      </c>
      <c r="BN306" s="75">
        <f t="shared" si="38"/>
        <v>89</v>
      </c>
      <c r="BO306" s="75">
        <f t="shared" si="39"/>
        <v>0.15151515151515152</v>
      </c>
      <c r="BP306" s="75">
        <f t="shared" si="40"/>
        <v>0.15151515151515152</v>
      </c>
    </row>
    <row r="307" spans="1:68" ht="27" customHeight="1" x14ac:dyDescent="0.25">
      <c r="A307" s="60" t="s">
        <v>496</v>
      </c>
      <c r="B307" s="60" t="s">
        <v>497</v>
      </c>
      <c r="C307" s="34">
        <v>4301031154</v>
      </c>
      <c r="D307" s="560">
        <v>4607091387292</v>
      </c>
      <c r="E307" s="561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112</v>
      </c>
      <c r="L307" s="35"/>
      <c r="M307" s="36" t="s">
        <v>68</v>
      </c>
      <c r="N307" s="36"/>
      <c r="O307" s="35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7"/>
      <c r="V307" s="37"/>
      <c r="W307" s="38" t="s">
        <v>69</v>
      </c>
      <c r="X307" s="56">
        <v>43.8</v>
      </c>
      <c r="Y307" s="53">
        <f t="shared" si="36"/>
        <v>43.8</v>
      </c>
      <c r="Z307" s="39">
        <f>IFERROR(IF(Y307=0,"",ROUNDUP(Y307/H307,0)*0.00902),"")</f>
        <v>9.0200000000000002E-2</v>
      </c>
      <c r="AA307" s="65"/>
      <c r="AB307" s="66"/>
      <c r="AC307" s="373" t="s">
        <v>498</v>
      </c>
      <c r="AG307" s="75"/>
      <c r="AJ307" s="79"/>
      <c r="AK307" s="79">
        <v>0</v>
      </c>
      <c r="BB307" s="374" t="s">
        <v>1</v>
      </c>
      <c r="BM307" s="75">
        <f t="shared" si="37"/>
        <v>46.3</v>
      </c>
      <c r="BN307" s="75">
        <f t="shared" si="38"/>
        <v>46.3</v>
      </c>
      <c r="BO307" s="75">
        <f t="shared" si="39"/>
        <v>7.575757575757576E-2</v>
      </c>
      <c r="BP307" s="75">
        <f t="shared" si="40"/>
        <v>7.575757575757576E-2</v>
      </c>
    </row>
    <row r="308" spans="1:68" ht="27" customHeight="1" x14ac:dyDescent="0.25">
      <c r="A308" s="60" t="s">
        <v>499</v>
      </c>
      <c r="B308" s="60" t="s">
        <v>500</v>
      </c>
      <c r="C308" s="34">
        <v>4301031152</v>
      </c>
      <c r="D308" s="560">
        <v>4607091387285</v>
      </c>
      <c r="E308" s="561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73</v>
      </c>
      <c r="L308" s="35" t="s">
        <v>292</v>
      </c>
      <c r="M308" s="36" t="s">
        <v>68</v>
      </c>
      <c r="N308" s="36"/>
      <c r="O308" s="35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7"/>
      <c r="V308" s="37"/>
      <c r="W308" s="38" t="s">
        <v>69</v>
      </c>
      <c r="X308" s="56">
        <v>10.5</v>
      </c>
      <c r="Y308" s="53">
        <f t="shared" si="36"/>
        <v>10.5</v>
      </c>
      <c r="Z308" s="39">
        <f>IFERROR(IF(Y308=0,"",ROUNDUP(Y308/H308,0)*0.00502),"")</f>
        <v>2.5100000000000001E-2</v>
      </c>
      <c r="AA308" s="65"/>
      <c r="AB308" s="66"/>
      <c r="AC308" s="375" t="s">
        <v>495</v>
      </c>
      <c r="AG308" s="75"/>
      <c r="AJ308" s="79" t="s">
        <v>92</v>
      </c>
      <c r="AK308" s="79">
        <v>37.799999999999997</v>
      </c>
      <c r="BB308" s="376" t="s">
        <v>1</v>
      </c>
      <c r="BM308" s="75">
        <f t="shared" si="37"/>
        <v>11.149999999999999</v>
      </c>
      <c r="BN308" s="75">
        <f t="shared" si="38"/>
        <v>11.149999999999999</v>
      </c>
      <c r="BO308" s="75">
        <f t="shared" si="39"/>
        <v>2.1367521367521368E-2</v>
      </c>
      <c r="BP308" s="75">
        <f t="shared" si="40"/>
        <v>2.1367521367521368E-2</v>
      </c>
    </row>
    <row r="309" spans="1:68" ht="27" customHeight="1" x14ac:dyDescent="0.25">
      <c r="A309" s="60" t="s">
        <v>501</v>
      </c>
      <c r="B309" s="60" t="s">
        <v>502</v>
      </c>
      <c r="C309" s="34">
        <v>4301031305</v>
      </c>
      <c r="D309" s="560">
        <v>4607091389845</v>
      </c>
      <c r="E309" s="561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73</v>
      </c>
      <c r="L309" s="35" t="s">
        <v>292</v>
      </c>
      <c r="M309" s="36" t="s">
        <v>68</v>
      </c>
      <c r="N309" s="36"/>
      <c r="O309" s="35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7"/>
      <c r="V309" s="37"/>
      <c r="W309" s="38" t="s">
        <v>69</v>
      </c>
      <c r="X309" s="56">
        <v>10.5</v>
      </c>
      <c r="Y309" s="53">
        <f t="shared" si="36"/>
        <v>10.5</v>
      </c>
      <c r="Z309" s="39">
        <f>IFERROR(IF(Y309=0,"",ROUNDUP(Y309/H309,0)*0.00502),"")</f>
        <v>2.5100000000000001E-2</v>
      </c>
      <c r="AA309" s="65"/>
      <c r="AB309" s="66"/>
      <c r="AC309" s="377" t="s">
        <v>503</v>
      </c>
      <c r="AG309" s="75"/>
      <c r="AJ309" s="79" t="s">
        <v>92</v>
      </c>
      <c r="AK309" s="79">
        <v>37.799999999999997</v>
      </c>
      <c r="BB309" s="378" t="s">
        <v>1</v>
      </c>
      <c r="BM309" s="75">
        <f t="shared" si="37"/>
        <v>11</v>
      </c>
      <c r="BN309" s="75">
        <f t="shared" si="38"/>
        <v>11</v>
      </c>
      <c r="BO309" s="75">
        <f t="shared" si="39"/>
        <v>2.1367521367521368E-2</v>
      </c>
      <c r="BP309" s="75">
        <f t="shared" si="40"/>
        <v>2.1367521367521368E-2</v>
      </c>
    </row>
    <row r="310" spans="1:68" ht="27" customHeight="1" x14ac:dyDescent="0.25">
      <c r="A310" s="60" t="s">
        <v>504</v>
      </c>
      <c r="B310" s="60" t="s">
        <v>505</v>
      </c>
      <c r="C310" s="34">
        <v>4301031066</v>
      </c>
      <c r="D310" s="560">
        <v>4607091383836</v>
      </c>
      <c r="E310" s="561"/>
      <c r="F310" s="59">
        <v>0.3</v>
      </c>
      <c r="G310" s="35">
        <v>6</v>
      </c>
      <c r="H310" s="59">
        <v>1.8</v>
      </c>
      <c r="I310" s="59">
        <v>2.028</v>
      </c>
      <c r="J310" s="35">
        <v>182</v>
      </c>
      <c r="K310" s="35" t="s">
        <v>67</v>
      </c>
      <c r="L310" s="35" t="s">
        <v>90</v>
      </c>
      <c r="M310" s="36" t="s">
        <v>68</v>
      </c>
      <c r="N310" s="36"/>
      <c r="O310" s="35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7"/>
      <c r="V310" s="37"/>
      <c r="W310" s="38" t="s">
        <v>69</v>
      </c>
      <c r="X310" s="56">
        <v>0</v>
      </c>
      <c r="Y310" s="53">
        <f t="shared" si="36"/>
        <v>0</v>
      </c>
      <c r="Z310" s="39" t="str">
        <f>IFERROR(IF(Y310=0,"",ROUNDUP(Y310/H310,0)*0.00651),"")</f>
        <v/>
      </c>
      <c r="AA310" s="65"/>
      <c r="AB310" s="66"/>
      <c r="AC310" s="379" t="s">
        <v>506</v>
      </c>
      <c r="AG310" s="75"/>
      <c r="AJ310" s="79" t="s">
        <v>92</v>
      </c>
      <c r="AK310" s="79">
        <v>25.2</v>
      </c>
      <c r="BB310" s="380" t="s">
        <v>1</v>
      </c>
      <c r="BM310" s="75">
        <f t="shared" si="37"/>
        <v>0</v>
      </c>
      <c r="BN310" s="75">
        <f t="shared" si="38"/>
        <v>0</v>
      </c>
      <c r="BO310" s="75">
        <f t="shared" si="39"/>
        <v>0</v>
      </c>
      <c r="BP310" s="75">
        <f t="shared" si="40"/>
        <v>0</v>
      </c>
    </row>
    <row r="311" spans="1:68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40" t="s">
        <v>76</v>
      </c>
      <c r="X311" s="41">
        <f>IFERROR(X305/H305,"0")+IFERROR(X306/H306,"0")+IFERROR(X307/H307,"0")+IFERROR(X308/H308,"0")+IFERROR(X309/H309,"0")+IFERROR(X310/H310,"0")</f>
        <v>90</v>
      </c>
      <c r="Y311" s="41">
        <f>IFERROR(Y305/H305,"0")+IFERROR(Y306/H306,"0")+IFERROR(Y307/H307,"0")+IFERROR(Y308/H308,"0")+IFERROR(Y309/H309,"0")+IFERROR(Y310/H310,"0")</f>
        <v>90</v>
      </c>
      <c r="Z311" s="41">
        <f>IFERROR(IF(Z305="",0,Z305),"0")+IFERROR(IF(Z306="",0,Z306),"0")+IFERROR(IF(Z307="",0,Z307),"0")+IFERROR(IF(Z308="",0,Z308),"0")+IFERROR(IF(Z309="",0,Z309),"0")+IFERROR(IF(Z310="",0,Z310),"0")</f>
        <v>0.77180000000000004</v>
      </c>
      <c r="AA311" s="64"/>
      <c r="AB311" s="64"/>
      <c r="AC311" s="64"/>
    </row>
    <row r="312" spans="1:68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40" t="s">
        <v>69</v>
      </c>
      <c r="X312" s="41">
        <f>IFERROR(SUM(X305:X310),"0")</f>
        <v>358.8</v>
      </c>
      <c r="Y312" s="41">
        <f>IFERROR(SUM(Y305:Y310),"0")</f>
        <v>358.8</v>
      </c>
      <c r="Z312" s="40"/>
      <c r="AA312" s="64"/>
      <c r="AB312" s="64"/>
      <c r="AC312" s="64"/>
    </row>
    <row r="313" spans="1:68" ht="14.25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63"/>
      <c r="AB313" s="63"/>
      <c r="AC313" s="63"/>
    </row>
    <row r="314" spans="1:68" ht="27" customHeight="1" x14ac:dyDescent="0.25">
      <c r="A314" s="60" t="s">
        <v>507</v>
      </c>
      <c r="B314" s="60" t="s">
        <v>508</v>
      </c>
      <c r="C314" s="34">
        <v>4301051100</v>
      </c>
      <c r="D314" s="560">
        <v>4607091387766</v>
      </c>
      <c r="E314" s="561"/>
      <c r="F314" s="59">
        <v>1.3</v>
      </c>
      <c r="G314" s="35">
        <v>6</v>
      </c>
      <c r="H314" s="59">
        <v>7.8</v>
      </c>
      <c r="I314" s="59">
        <v>8.2880000000000003</v>
      </c>
      <c r="J314" s="35">
        <v>64</v>
      </c>
      <c r="K314" s="35" t="s">
        <v>106</v>
      </c>
      <c r="L314" s="35" t="s">
        <v>107</v>
      </c>
      <c r="M314" s="36" t="s">
        <v>80</v>
      </c>
      <c r="N314" s="36"/>
      <c r="O314" s="35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7"/>
      <c r="V314" s="37"/>
      <c r="W314" s="38" t="s">
        <v>69</v>
      </c>
      <c r="X314" s="56">
        <v>520</v>
      </c>
      <c r="Y314" s="53">
        <f>IFERROR(IF(X314="",0,CEILING((X314/$H314),1)*$H314),"")</f>
        <v>522.6</v>
      </c>
      <c r="Z314" s="39">
        <f>IFERROR(IF(Y314=0,"",ROUNDUP(Y314/H314,0)*0.01898),"")</f>
        <v>1.27166</v>
      </c>
      <c r="AA314" s="65"/>
      <c r="AB314" s="66"/>
      <c r="AC314" s="381" t="s">
        <v>509</v>
      </c>
      <c r="AG314" s="75"/>
      <c r="AJ314" s="79" t="s">
        <v>92</v>
      </c>
      <c r="AK314" s="79">
        <v>62.4</v>
      </c>
      <c r="BB314" s="382" t="s">
        <v>1</v>
      </c>
      <c r="BM314" s="75">
        <f>IFERROR(X314*I314/H314,"0")</f>
        <v>552.53333333333342</v>
      </c>
      <c r="BN314" s="75">
        <f>IFERROR(Y314*I314/H314,"0")</f>
        <v>555.29600000000005</v>
      </c>
      <c r="BO314" s="75">
        <f>IFERROR(1/J314*(X314/H314),"0")</f>
        <v>1.0416666666666667</v>
      </c>
      <c r="BP314" s="75">
        <f>IFERROR(1/J314*(Y314/H314),"0")</f>
        <v>1.046875</v>
      </c>
    </row>
    <row r="315" spans="1:68" ht="27" customHeight="1" x14ac:dyDescent="0.25">
      <c r="A315" s="60" t="s">
        <v>510</v>
      </c>
      <c r="B315" s="60" t="s">
        <v>511</v>
      </c>
      <c r="C315" s="34">
        <v>4301051818</v>
      </c>
      <c r="D315" s="560">
        <v>4607091387957</v>
      </c>
      <c r="E315" s="561"/>
      <c r="F315" s="59">
        <v>1.3</v>
      </c>
      <c r="G315" s="35">
        <v>6</v>
      </c>
      <c r="H315" s="59">
        <v>7.8</v>
      </c>
      <c r="I315" s="59">
        <v>8.2940000000000005</v>
      </c>
      <c r="J315" s="35">
        <v>64</v>
      </c>
      <c r="K315" s="35" t="s">
        <v>106</v>
      </c>
      <c r="L315" s="35"/>
      <c r="M315" s="36" t="s">
        <v>80</v>
      </c>
      <c r="N315" s="36"/>
      <c r="O315" s="35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7"/>
      <c r="V315" s="37"/>
      <c r="W315" s="38" t="s">
        <v>69</v>
      </c>
      <c r="X315" s="56">
        <v>7.8</v>
      </c>
      <c r="Y315" s="53">
        <f>IFERROR(IF(X315="",0,CEILING((X315/$H315),1)*$H315),"")</f>
        <v>7.8</v>
      </c>
      <c r="Z315" s="39">
        <f>IFERROR(IF(Y315=0,"",ROUNDUP(Y315/H315,0)*0.01898),"")</f>
        <v>1.898E-2</v>
      </c>
      <c r="AA315" s="65"/>
      <c r="AB315" s="66"/>
      <c r="AC315" s="383" t="s">
        <v>512</v>
      </c>
      <c r="AG315" s="75"/>
      <c r="AJ315" s="79"/>
      <c r="AK315" s="79">
        <v>0</v>
      </c>
      <c r="BB315" s="384" t="s">
        <v>1</v>
      </c>
      <c r="BM315" s="75">
        <f>IFERROR(X315*I315/H315,"0")</f>
        <v>8.2940000000000005</v>
      </c>
      <c r="BN315" s="75">
        <f>IFERROR(Y315*I315/H315,"0")</f>
        <v>8.2940000000000005</v>
      </c>
      <c r="BO315" s="75">
        <f>IFERROR(1/J315*(X315/H315),"0")</f>
        <v>1.5625E-2</v>
      </c>
      <c r="BP315" s="75">
        <f>IFERROR(1/J315*(Y315/H315),"0")</f>
        <v>1.5625E-2</v>
      </c>
    </row>
    <row r="316" spans="1:68" ht="27" customHeight="1" x14ac:dyDescent="0.25">
      <c r="A316" s="60" t="s">
        <v>513</v>
      </c>
      <c r="B316" s="60" t="s">
        <v>514</v>
      </c>
      <c r="C316" s="34">
        <v>4301051819</v>
      </c>
      <c r="D316" s="560">
        <v>4607091387964</v>
      </c>
      <c r="E316" s="561"/>
      <c r="F316" s="59">
        <v>1.35</v>
      </c>
      <c r="G316" s="35">
        <v>6</v>
      </c>
      <c r="H316" s="59">
        <v>8.1</v>
      </c>
      <c r="I316" s="59">
        <v>8.5760000000000005</v>
      </c>
      <c r="J316" s="35">
        <v>64</v>
      </c>
      <c r="K316" s="35" t="s">
        <v>106</v>
      </c>
      <c r="L316" s="35"/>
      <c r="M316" s="36" t="s">
        <v>80</v>
      </c>
      <c r="N316" s="36"/>
      <c r="O316" s="35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7"/>
      <c r="V316" s="37"/>
      <c r="W316" s="38" t="s">
        <v>69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85" t="s">
        <v>515</v>
      </c>
      <c r="AG316" s="75"/>
      <c r="AJ316" s="79"/>
      <c r="AK316" s="79">
        <v>0</v>
      </c>
      <c r="BB316" s="386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516</v>
      </c>
      <c r="B317" s="60" t="s">
        <v>517</v>
      </c>
      <c r="C317" s="34">
        <v>4301051734</v>
      </c>
      <c r="D317" s="560">
        <v>4680115884588</v>
      </c>
      <c r="E317" s="561"/>
      <c r="F317" s="59">
        <v>0.5</v>
      </c>
      <c r="G317" s="35">
        <v>6</v>
      </c>
      <c r="H317" s="59">
        <v>3</v>
      </c>
      <c r="I317" s="59">
        <v>3.246</v>
      </c>
      <c r="J317" s="35">
        <v>182</v>
      </c>
      <c r="K317" s="35" t="s">
        <v>67</v>
      </c>
      <c r="L317" s="35" t="s">
        <v>90</v>
      </c>
      <c r="M317" s="36" t="s">
        <v>80</v>
      </c>
      <c r="N317" s="36"/>
      <c r="O317" s="35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7"/>
      <c r="V317" s="37"/>
      <c r="W317" s="38" t="s">
        <v>69</v>
      </c>
      <c r="X317" s="56">
        <v>6</v>
      </c>
      <c r="Y317" s="53">
        <f>IFERROR(IF(X317="",0,CEILING((X317/$H317),1)*$H317),"")</f>
        <v>6</v>
      </c>
      <c r="Z317" s="39">
        <f>IFERROR(IF(Y317=0,"",ROUNDUP(Y317/H317,0)*0.00651),"")</f>
        <v>1.302E-2</v>
      </c>
      <c r="AA317" s="65"/>
      <c r="AB317" s="66"/>
      <c r="AC317" s="387" t="s">
        <v>518</v>
      </c>
      <c r="AG317" s="75"/>
      <c r="AJ317" s="79" t="s">
        <v>92</v>
      </c>
      <c r="AK317" s="79">
        <v>42</v>
      </c>
      <c r="BB317" s="388" t="s">
        <v>1</v>
      </c>
      <c r="BM317" s="75">
        <f>IFERROR(X317*I317/H317,"0")</f>
        <v>6.492</v>
      </c>
      <c r="BN317" s="75">
        <f>IFERROR(Y317*I317/H317,"0")</f>
        <v>6.492</v>
      </c>
      <c r="BO317" s="75">
        <f>IFERROR(1/J317*(X317/H317),"0")</f>
        <v>1.098901098901099E-2</v>
      </c>
      <c r="BP317" s="75">
        <f>IFERROR(1/J317*(Y317/H317),"0")</f>
        <v>1.098901098901099E-2</v>
      </c>
    </row>
    <row r="318" spans="1:68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40" t="s">
        <v>76</v>
      </c>
      <c r="X318" s="41">
        <f>IFERROR(X314/H314,"0")+IFERROR(X315/H315,"0")+IFERROR(X316/H316,"0")+IFERROR(X317/H317,"0")</f>
        <v>69.666666666666671</v>
      </c>
      <c r="Y318" s="41">
        <f>IFERROR(Y314/H314,"0")+IFERROR(Y315/H315,"0")+IFERROR(Y316/H316,"0")+IFERROR(Y317/H317,"0")</f>
        <v>70</v>
      </c>
      <c r="Z318" s="41">
        <f>IFERROR(IF(Z314="",0,Z314),"0")+IFERROR(IF(Z315="",0,Z315),"0")+IFERROR(IF(Z316="",0,Z316),"0")+IFERROR(IF(Z317="",0,Z317),"0")</f>
        <v>1.30366</v>
      </c>
      <c r="AA318" s="64"/>
      <c r="AB318" s="64"/>
      <c r="AC318" s="64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40" t="s">
        <v>69</v>
      </c>
      <c r="X319" s="41">
        <f>IFERROR(SUM(X314:X317),"0")</f>
        <v>533.79999999999995</v>
      </c>
      <c r="Y319" s="41">
        <f>IFERROR(SUM(Y314:Y317),"0")</f>
        <v>536.4</v>
      </c>
      <c r="Z319" s="40"/>
      <c r="AA319" s="64"/>
      <c r="AB319" s="64"/>
      <c r="AC319" s="64"/>
    </row>
    <row r="320" spans="1:68" ht="14.25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63"/>
      <c r="AB320" s="63"/>
      <c r="AC320" s="63"/>
    </row>
    <row r="321" spans="1:68" ht="27" customHeight="1" x14ac:dyDescent="0.25">
      <c r="A321" s="60" t="s">
        <v>519</v>
      </c>
      <c r="B321" s="60" t="s">
        <v>520</v>
      </c>
      <c r="C321" s="34">
        <v>4301060387</v>
      </c>
      <c r="D321" s="560">
        <v>4607091380880</v>
      </c>
      <c r="E321" s="561"/>
      <c r="F321" s="59">
        <v>1.4</v>
      </c>
      <c r="G321" s="35">
        <v>6</v>
      </c>
      <c r="H321" s="59">
        <v>8.4</v>
      </c>
      <c r="I321" s="59">
        <v>8.8940000000000001</v>
      </c>
      <c r="J321" s="35">
        <v>64</v>
      </c>
      <c r="K321" s="35" t="s">
        <v>106</v>
      </c>
      <c r="L321" s="35" t="s">
        <v>107</v>
      </c>
      <c r="M321" s="36" t="s">
        <v>80</v>
      </c>
      <c r="N321" s="36"/>
      <c r="O321" s="35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7"/>
      <c r="V321" s="37"/>
      <c r="W321" s="38" t="s">
        <v>69</v>
      </c>
      <c r="X321" s="56">
        <v>42</v>
      </c>
      <c r="Y321" s="53">
        <f>IFERROR(IF(X321="",0,CEILING((X321/$H321),1)*$H321),"")</f>
        <v>42</v>
      </c>
      <c r="Z321" s="39">
        <f>IFERROR(IF(Y321=0,"",ROUNDUP(Y321/H321,0)*0.01898),"")</f>
        <v>9.4899999999999998E-2</v>
      </c>
      <c r="AA321" s="65"/>
      <c r="AB321" s="66"/>
      <c r="AC321" s="389" t="s">
        <v>521</v>
      </c>
      <c r="AG321" s="75"/>
      <c r="AJ321" s="79" t="s">
        <v>92</v>
      </c>
      <c r="AK321" s="79">
        <v>67.2</v>
      </c>
      <c r="BB321" s="390" t="s">
        <v>1</v>
      </c>
      <c r="BM321" s="75">
        <f>IFERROR(X321*I321/H321,"0")</f>
        <v>44.47</v>
      </c>
      <c r="BN321" s="75">
        <f>IFERROR(Y321*I321/H321,"0")</f>
        <v>44.47</v>
      </c>
      <c r="BO321" s="75">
        <f>IFERROR(1/J321*(X321/H321),"0")</f>
        <v>7.8125E-2</v>
      </c>
      <c r="BP321" s="75">
        <f>IFERROR(1/J321*(Y321/H321),"0")</f>
        <v>7.8125E-2</v>
      </c>
    </row>
    <row r="322" spans="1:68" ht="27" customHeight="1" x14ac:dyDescent="0.25">
      <c r="A322" s="60" t="s">
        <v>522</v>
      </c>
      <c r="B322" s="60" t="s">
        <v>523</v>
      </c>
      <c r="C322" s="34">
        <v>4301060406</v>
      </c>
      <c r="D322" s="560">
        <v>4607091384482</v>
      </c>
      <c r="E322" s="561"/>
      <c r="F322" s="59">
        <v>1.3</v>
      </c>
      <c r="G322" s="35">
        <v>6</v>
      </c>
      <c r="H322" s="59">
        <v>7.8</v>
      </c>
      <c r="I322" s="59">
        <v>8.2940000000000005</v>
      </c>
      <c r="J322" s="35">
        <v>64</v>
      </c>
      <c r="K322" s="35" t="s">
        <v>106</v>
      </c>
      <c r="L322" s="35" t="s">
        <v>107</v>
      </c>
      <c r="M322" s="36" t="s">
        <v>80</v>
      </c>
      <c r="N322" s="36"/>
      <c r="O322" s="35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7"/>
      <c r="V322" s="37"/>
      <c r="W322" s="38" t="s">
        <v>69</v>
      </c>
      <c r="X322" s="56">
        <v>39</v>
      </c>
      <c r="Y322" s="53">
        <f>IFERROR(IF(X322="",0,CEILING((X322/$H322),1)*$H322),"")</f>
        <v>39</v>
      </c>
      <c r="Z322" s="39">
        <f>IFERROR(IF(Y322=0,"",ROUNDUP(Y322/H322,0)*0.01898),"")</f>
        <v>9.4899999999999998E-2</v>
      </c>
      <c r="AA322" s="65"/>
      <c r="AB322" s="66"/>
      <c r="AC322" s="391" t="s">
        <v>524</v>
      </c>
      <c r="AG322" s="75"/>
      <c r="AJ322" s="79" t="s">
        <v>92</v>
      </c>
      <c r="AK322" s="79">
        <v>62.4</v>
      </c>
      <c r="BB322" s="392" t="s">
        <v>1</v>
      </c>
      <c r="BM322" s="75">
        <f>IFERROR(X322*I322/H322,"0")</f>
        <v>41.47</v>
      </c>
      <c r="BN322" s="75">
        <f>IFERROR(Y322*I322/H322,"0")</f>
        <v>41.47</v>
      </c>
      <c r="BO322" s="75">
        <f>IFERROR(1/J322*(X322/H322),"0")</f>
        <v>7.8125E-2</v>
      </c>
      <c r="BP322" s="75">
        <f>IFERROR(1/J322*(Y322/H322),"0")</f>
        <v>7.8125E-2</v>
      </c>
    </row>
    <row r="323" spans="1:68" ht="16.5" customHeight="1" x14ac:dyDescent="0.25">
      <c r="A323" s="60" t="s">
        <v>525</v>
      </c>
      <c r="B323" s="60" t="s">
        <v>526</v>
      </c>
      <c r="C323" s="34">
        <v>4301060484</v>
      </c>
      <c r="D323" s="560">
        <v>4607091380897</v>
      </c>
      <c r="E323" s="561"/>
      <c r="F323" s="59">
        <v>1.4</v>
      </c>
      <c r="G323" s="35">
        <v>6</v>
      </c>
      <c r="H323" s="59">
        <v>8.4</v>
      </c>
      <c r="I323" s="59">
        <v>8.8940000000000001</v>
      </c>
      <c r="J323" s="35">
        <v>64</v>
      </c>
      <c r="K323" s="35" t="s">
        <v>106</v>
      </c>
      <c r="L323" s="35" t="s">
        <v>107</v>
      </c>
      <c r="M323" s="36" t="s">
        <v>86</v>
      </c>
      <c r="N323" s="36"/>
      <c r="O323" s="35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7"/>
      <c r="V323" s="37"/>
      <c r="W323" s="38" t="s">
        <v>69</v>
      </c>
      <c r="X323" s="56">
        <v>42</v>
      </c>
      <c r="Y323" s="53">
        <f>IFERROR(IF(X323="",0,CEILING((X323/$H323),1)*$H323),"")</f>
        <v>42</v>
      </c>
      <c r="Z323" s="39">
        <f>IFERROR(IF(Y323=0,"",ROUNDUP(Y323/H323,0)*0.01898),"")</f>
        <v>9.4899999999999998E-2</v>
      </c>
      <c r="AA323" s="65"/>
      <c r="AB323" s="66"/>
      <c r="AC323" s="393" t="s">
        <v>527</v>
      </c>
      <c r="AG323" s="75"/>
      <c r="AJ323" s="79" t="s">
        <v>92</v>
      </c>
      <c r="AK323" s="79">
        <v>67.2</v>
      </c>
      <c r="BB323" s="394" t="s">
        <v>1</v>
      </c>
      <c r="BM323" s="75">
        <f>IFERROR(X323*I323/H323,"0")</f>
        <v>44.47</v>
      </c>
      <c r="BN323" s="75">
        <f>IFERROR(Y323*I323/H323,"0")</f>
        <v>44.47</v>
      </c>
      <c r="BO323" s="75">
        <f>IFERROR(1/J323*(X323/H323),"0")</f>
        <v>7.8125E-2</v>
      </c>
      <c r="BP323" s="75">
        <f>IFERROR(1/J323*(Y323/H323),"0")</f>
        <v>7.8125E-2</v>
      </c>
    </row>
    <row r="324" spans="1:68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40" t="s">
        <v>76</v>
      </c>
      <c r="X324" s="41">
        <f>IFERROR(X321/H321,"0")+IFERROR(X322/H322,"0")+IFERROR(X323/H323,"0")</f>
        <v>15</v>
      </c>
      <c r="Y324" s="41">
        <f>IFERROR(Y321/H321,"0")+IFERROR(Y322/H322,"0")+IFERROR(Y323/H323,"0")</f>
        <v>15</v>
      </c>
      <c r="Z324" s="41">
        <f>IFERROR(IF(Z321="",0,Z321),"0")+IFERROR(IF(Z322="",0,Z322),"0")+IFERROR(IF(Z323="",0,Z323),"0")</f>
        <v>0.28470000000000001</v>
      </c>
      <c r="AA324" s="64"/>
      <c r="AB324" s="64"/>
      <c r="AC324" s="64"/>
    </row>
    <row r="325" spans="1:68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40" t="s">
        <v>69</v>
      </c>
      <c r="X325" s="41">
        <f>IFERROR(SUM(X321:X323),"0")</f>
        <v>123</v>
      </c>
      <c r="Y325" s="41">
        <f>IFERROR(SUM(Y321:Y323),"0")</f>
        <v>123</v>
      </c>
      <c r="Z325" s="40"/>
      <c r="AA325" s="64"/>
      <c r="AB325" s="64"/>
      <c r="AC325" s="64"/>
    </row>
    <row r="326" spans="1:68" ht="14.25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63"/>
      <c r="AB326" s="63"/>
      <c r="AC326" s="63"/>
    </row>
    <row r="327" spans="1:68" ht="27" customHeight="1" x14ac:dyDescent="0.25">
      <c r="A327" s="60" t="s">
        <v>528</v>
      </c>
      <c r="B327" s="60" t="s">
        <v>529</v>
      </c>
      <c r="C327" s="34">
        <v>4301030235</v>
      </c>
      <c r="D327" s="560">
        <v>4607091388381</v>
      </c>
      <c r="E327" s="561"/>
      <c r="F327" s="59">
        <v>0.38</v>
      </c>
      <c r="G327" s="35">
        <v>8</v>
      </c>
      <c r="H327" s="59">
        <v>3.04</v>
      </c>
      <c r="I327" s="59">
        <v>3.31</v>
      </c>
      <c r="J327" s="35">
        <v>132</v>
      </c>
      <c r="K327" s="35" t="s">
        <v>112</v>
      </c>
      <c r="L327" s="35"/>
      <c r="M327" s="36" t="s">
        <v>98</v>
      </c>
      <c r="N327" s="36"/>
      <c r="O327" s="35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7"/>
      <c r="V327" s="37"/>
      <c r="W327" s="38" t="s">
        <v>69</v>
      </c>
      <c r="X327" s="56">
        <v>6.08</v>
      </c>
      <c r="Y327" s="53">
        <f>IFERROR(IF(X327="",0,CEILING((X327/$H327),1)*$H327),"")</f>
        <v>6.08</v>
      </c>
      <c r="Z327" s="39">
        <f>IFERROR(IF(Y327=0,"",ROUNDUP(Y327/H327,0)*0.00902),"")</f>
        <v>1.804E-2</v>
      </c>
      <c r="AA327" s="65"/>
      <c r="AB327" s="66"/>
      <c r="AC327" s="395" t="s">
        <v>530</v>
      </c>
      <c r="AG327" s="75"/>
      <c r="AJ327" s="79"/>
      <c r="AK327" s="79">
        <v>0</v>
      </c>
      <c r="BB327" s="396" t="s">
        <v>1</v>
      </c>
      <c r="BM327" s="75">
        <f>IFERROR(X327*I327/H327,"0")</f>
        <v>6.62</v>
      </c>
      <c r="BN327" s="75">
        <f>IFERROR(Y327*I327/H327,"0")</f>
        <v>6.62</v>
      </c>
      <c r="BO327" s="75">
        <f>IFERROR(1/J327*(X327/H327),"0")</f>
        <v>1.5151515151515152E-2</v>
      </c>
      <c r="BP327" s="75">
        <f>IFERROR(1/J327*(Y327/H327),"0")</f>
        <v>1.5151515151515152E-2</v>
      </c>
    </row>
    <row r="328" spans="1:68" ht="27" customHeight="1" x14ac:dyDescent="0.25">
      <c r="A328" s="60" t="s">
        <v>531</v>
      </c>
      <c r="B328" s="60" t="s">
        <v>532</v>
      </c>
      <c r="C328" s="34">
        <v>4301030232</v>
      </c>
      <c r="D328" s="560">
        <v>4607091388374</v>
      </c>
      <c r="E328" s="561"/>
      <c r="F328" s="59">
        <v>0.38</v>
      </c>
      <c r="G328" s="35">
        <v>8</v>
      </c>
      <c r="H328" s="59">
        <v>3.04</v>
      </c>
      <c r="I328" s="59">
        <v>3.27</v>
      </c>
      <c r="J328" s="35">
        <v>132</v>
      </c>
      <c r="K328" s="35" t="s">
        <v>112</v>
      </c>
      <c r="L328" s="35"/>
      <c r="M328" s="36" t="s">
        <v>98</v>
      </c>
      <c r="N328" s="36"/>
      <c r="O328" s="35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7"/>
      <c r="V328" s="37"/>
      <c r="W328" s="38" t="s">
        <v>69</v>
      </c>
      <c r="X328" s="56">
        <v>6.08</v>
      </c>
      <c r="Y328" s="53">
        <f>IFERROR(IF(X328="",0,CEILING((X328/$H328),1)*$H328),"")</f>
        <v>6.08</v>
      </c>
      <c r="Z328" s="39">
        <f>IFERROR(IF(Y328=0,"",ROUNDUP(Y328/H328,0)*0.00902),"")</f>
        <v>1.804E-2</v>
      </c>
      <c r="AA328" s="65"/>
      <c r="AB328" s="66"/>
      <c r="AC328" s="397" t="s">
        <v>530</v>
      </c>
      <c r="AG328" s="75"/>
      <c r="AJ328" s="79"/>
      <c r="AK328" s="79">
        <v>0</v>
      </c>
      <c r="BB328" s="398" t="s">
        <v>1</v>
      </c>
      <c r="BM328" s="75">
        <f>IFERROR(X328*I328/H328,"0")</f>
        <v>6.5399999999999991</v>
      </c>
      <c r="BN328" s="75">
        <f>IFERROR(Y328*I328/H328,"0")</f>
        <v>6.5399999999999991</v>
      </c>
      <c r="BO328" s="75">
        <f>IFERROR(1/J328*(X328/H328),"0")</f>
        <v>1.5151515151515152E-2</v>
      </c>
      <c r="BP328" s="75">
        <f>IFERROR(1/J328*(Y328/H328),"0")</f>
        <v>1.5151515151515152E-2</v>
      </c>
    </row>
    <row r="329" spans="1:68" ht="27" customHeight="1" x14ac:dyDescent="0.25">
      <c r="A329" s="60" t="s">
        <v>533</v>
      </c>
      <c r="B329" s="60" t="s">
        <v>534</v>
      </c>
      <c r="C329" s="34">
        <v>4301032015</v>
      </c>
      <c r="D329" s="560">
        <v>4607091383102</v>
      </c>
      <c r="E329" s="561"/>
      <c r="F329" s="59">
        <v>0.17</v>
      </c>
      <c r="G329" s="35">
        <v>15</v>
      </c>
      <c r="H329" s="59">
        <v>2.5499999999999998</v>
      </c>
      <c r="I329" s="59">
        <v>2.9550000000000001</v>
      </c>
      <c r="J329" s="35">
        <v>182</v>
      </c>
      <c r="K329" s="35" t="s">
        <v>67</v>
      </c>
      <c r="L329" s="35"/>
      <c r="M329" s="36" t="s">
        <v>98</v>
      </c>
      <c r="N329" s="36"/>
      <c r="O329" s="35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7"/>
      <c r="V329" s="37"/>
      <c r="W329" s="38" t="s">
        <v>69</v>
      </c>
      <c r="X329" s="56">
        <v>2.5499999999999998</v>
      </c>
      <c r="Y329" s="53">
        <f>IFERROR(IF(X329="",0,CEILING((X329/$H329),1)*$H329),"")</f>
        <v>2.5499999999999998</v>
      </c>
      <c r="Z329" s="39">
        <f>IFERROR(IF(Y329=0,"",ROUNDUP(Y329/H329,0)*0.00651),"")</f>
        <v>6.5100000000000002E-3</v>
      </c>
      <c r="AA329" s="65"/>
      <c r="AB329" s="66"/>
      <c r="AC329" s="399" t="s">
        <v>535</v>
      </c>
      <c r="AG329" s="75"/>
      <c r="AJ329" s="79"/>
      <c r="AK329" s="79">
        <v>0</v>
      </c>
      <c r="BB329" s="400" t="s">
        <v>1</v>
      </c>
      <c r="BM329" s="75">
        <f>IFERROR(X329*I329/H329,"0")</f>
        <v>2.9550000000000001</v>
      </c>
      <c r="BN329" s="75">
        <f>IFERROR(Y329*I329/H329,"0")</f>
        <v>2.9550000000000001</v>
      </c>
      <c r="BO329" s="75">
        <f>IFERROR(1/J329*(X329/H329),"0")</f>
        <v>5.4945054945054949E-3</v>
      </c>
      <c r="BP329" s="75">
        <f>IFERROR(1/J329*(Y329/H329),"0")</f>
        <v>5.4945054945054949E-3</v>
      </c>
    </row>
    <row r="330" spans="1:68" ht="27" customHeight="1" x14ac:dyDescent="0.25">
      <c r="A330" s="60" t="s">
        <v>536</v>
      </c>
      <c r="B330" s="60" t="s">
        <v>537</v>
      </c>
      <c r="C330" s="34">
        <v>4301030233</v>
      </c>
      <c r="D330" s="560">
        <v>4607091388404</v>
      </c>
      <c r="E330" s="561"/>
      <c r="F330" s="59">
        <v>0.17</v>
      </c>
      <c r="G330" s="35">
        <v>15</v>
      </c>
      <c r="H330" s="59">
        <v>2.5499999999999998</v>
      </c>
      <c r="I330" s="59">
        <v>2.88</v>
      </c>
      <c r="J330" s="35">
        <v>182</v>
      </c>
      <c r="K330" s="35" t="s">
        <v>67</v>
      </c>
      <c r="L330" s="35" t="s">
        <v>90</v>
      </c>
      <c r="M330" s="36" t="s">
        <v>98</v>
      </c>
      <c r="N330" s="36"/>
      <c r="O330" s="35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7"/>
      <c r="V330" s="37"/>
      <c r="W330" s="38" t="s">
        <v>69</v>
      </c>
      <c r="X330" s="56">
        <v>2.5499999999999998</v>
      </c>
      <c r="Y330" s="53">
        <f>IFERROR(IF(X330="",0,CEILING((X330/$H330),1)*$H330),"")</f>
        <v>2.5499999999999998</v>
      </c>
      <c r="Z330" s="39">
        <f>IFERROR(IF(Y330=0,"",ROUNDUP(Y330/H330,0)*0.00651),"")</f>
        <v>6.5100000000000002E-3</v>
      </c>
      <c r="AA330" s="65"/>
      <c r="AB330" s="66"/>
      <c r="AC330" s="401" t="s">
        <v>530</v>
      </c>
      <c r="AG330" s="75"/>
      <c r="AJ330" s="79" t="s">
        <v>92</v>
      </c>
      <c r="AK330" s="79">
        <v>35.700000000000003</v>
      </c>
      <c r="BB330" s="402" t="s">
        <v>1</v>
      </c>
      <c r="BM330" s="75">
        <f>IFERROR(X330*I330/H330,"0")</f>
        <v>2.88</v>
      </c>
      <c r="BN330" s="75">
        <f>IFERROR(Y330*I330/H330,"0")</f>
        <v>2.88</v>
      </c>
      <c r="BO330" s="75">
        <f>IFERROR(1/J330*(X330/H330),"0")</f>
        <v>5.4945054945054949E-3</v>
      </c>
      <c r="BP330" s="75">
        <f>IFERROR(1/J330*(Y330/H330),"0")</f>
        <v>5.4945054945054949E-3</v>
      </c>
    </row>
    <row r="331" spans="1:68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40" t="s">
        <v>76</v>
      </c>
      <c r="X331" s="41">
        <f>IFERROR(X327/H327,"0")+IFERROR(X328/H328,"0")+IFERROR(X329/H329,"0")+IFERROR(X330/H330,"0")</f>
        <v>6</v>
      </c>
      <c r="Y331" s="41">
        <f>IFERROR(Y327/H327,"0")+IFERROR(Y328/H328,"0")+IFERROR(Y329/H329,"0")+IFERROR(Y330/H330,"0")</f>
        <v>6</v>
      </c>
      <c r="Z331" s="41">
        <f>IFERROR(IF(Z327="",0,Z327),"0")+IFERROR(IF(Z328="",0,Z328),"0")+IFERROR(IF(Z329="",0,Z329),"0")+IFERROR(IF(Z330="",0,Z330),"0")</f>
        <v>4.9100000000000005E-2</v>
      </c>
      <c r="AA331" s="64"/>
      <c r="AB331" s="64"/>
      <c r="AC331" s="64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40" t="s">
        <v>69</v>
      </c>
      <c r="X332" s="41">
        <f>IFERROR(SUM(X327:X330),"0")</f>
        <v>17.260000000000002</v>
      </c>
      <c r="Y332" s="41">
        <f>IFERROR(SUM(Y327:Y330),"0")</f>
        <v>17.260000000000002</v>
      </c>
      <c r="Z332" s="40"/>
      <c r="AA332" s="64"/>
      <c r="AB332" s="64"/>
      <c r="AC332" s="64"/>
    </row>
    <row r="333" spans="1:68" ht="14.25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63"/>
      <c r="AB333" s="63"/>
      <c r="AC333" s="63"/>
    </row>
    <row r="334" spans="1:68" ht="16.5" customHeight="1" x14ac:dyDescent="0.25">
      <c r="A334" s="60" t="s">
        <v>539</v>
      </c>
      <c r="B334" s="60" t="s">
        <v>540</v>
      </c>
      <c r="C334" s="34">
        <v>4301180007</v>
      </c>
      <c r="D334" s="560">
        <v>4680115881808</v>
      </c>
      <c r="E334" s="561"/>
      <c r="F334" s="59">
        <v>0.1</v>
      </c>
      <c r="G334" s="35">
        <v>20</v>
      </c>
      <c r="H334" s="59">
        <v>2</v>
      </c>
      <c r="I334" s="59">
        <v>2.2400000000000002</v>
      </c>
      <c r="J334" s="35">
        <v>238</v>
      </c>
      <c r="K334" s="35" t="s">
        <v>67</v>
      </c>
      <c r="L334" s="35"/>
      <c r="M334" s="36" t="s">
        <v>541</v>
      </c>
      <c r="N334" s="36"/>
      <c r="O334" s="35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7"/>
      <c r="V334" s="37"/>
      <c r="W334" s="38" t="s">
        <v>69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IFERROR(IF(Y334=0,"",ROUNDUP(Y334/H334,0)*0.00474),"")</f>
        <v/>
      </c>
      <c r="AA334" s="65"/>
      <c r="AB334" s="66"/>
      <c r="AC334" s="403" t="s">
        <v>542</v>
      </c>
      <c r="AG334" s="75"/>
      <c r="AJ334" s="79"/>
      <c r="AK334" s="79">
        <v>0</v>
      </c>
      <c r="BB334" s="404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543</v>
      </c>
      <c r="B335" s="60" t="s">
        <v>544</v>
      </c>
      <c r="C335" s="34">
        <v>4301180006</v>
      </c>
      <c r="D335" s="560">
        <v>4680115881822</v>
      </c>
      <c r="E335" s="561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67</v>
      </c>
      <c r="L335" s="35"/>
      <c r="M335" s="36" t="s">
        <v>541</v>
      </c>
      <c r="N335" s="36"/>
      <c r="O335" s="35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7"/>
      <c r="V335" s="37"/>
      <c r="W335" s="38" t="s">
        <v>69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/>
      <c r="AB335" s="66"/>
      <c r="AC335" s="405" t="s">
        <v>542</v>
      </c>
      <c r="AG335" s="75"/>
      <c r="AJ335" s="79"/>
      <c r="AK335" s="79">
        <v>0</v>
      </c>
      <c r="BB335" s="406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545</v>
      </c>
      <c r="B336" s="60" t="s">
        <v>546</v>
      </c>
      <c r="C336" s="34">
        <v>4301180001</v>
      </c>
      <c r="D336" s="560">
        <v>4680115880016</v>
      </c>
      <c r="E336" s="561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67</v>
      </c>
      <c r="L336" s="35"/>
      <c r="M336" s="36" t="s">
        <v>541</v>
      </c>
      <c r="N336" s="36"/>
      <c r="O336" s="35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7"/>
      <c r="V336" s="37"/>
      <c r="W336" s="38" t="s">
        <v>69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/>
      <c r="AB336" s="66"/>
      <c r="AC336" s="407" t="s">
        <v>542</v>
      </c>
      <c r="AG336" s="75"/>
      <c r="AJ336" s="79"/>
      <c r="AK336" s="79">
        <v>0</v>
      </c>
      <c r="BB336" s="408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40" t="s">
        <v>76</v>
      </c>
      <c r="X337" s="41">
        <f>IFERROR(X334/H334,"0")+IFERROR(X335/H335,"0")+IFERROR(X336/H336,"0")</f>
        <v>0</v>
      </c>
      <c r="Y337" s="41">
        <f>IFERROR(Y334/H334,"0")+IFERROR(Y335/H335,"0")+IFERROR(Y336/H336,"0")</f>
        <v>0</v>
      </c>
      <c r="Z337" s="41">
        <f>IFERROR(IF(Z334="",0,Z334),"0")+IFERROR(IF(Z335="",0,Z335),"0")+IFERROR(IF(Z336="",0,Z336),"0")</f>
        <v>0</v>
      </c>
      <c r="AA337" s="64"/>
      <c r="AB337" s="64"/>
      <c r="AC337" s="64"/>
    </row>
    <row r="338" spans="1:68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40" t="s">
        <v>69</v>
      </c>
      <c r="X338" s="41">
        <f>IFERROR(SUM(X334:X336),"0")</f>
        <v>0</v>
      </c>
      <c r="Y338" s="41">
        <f>IFERROR(SUM(Y334:Y336),"0")</f>
        <v>0</v>
      </c>
      <c r="Z338" s="40"/>
      <c r="AA338" s="64"/>
      <c r="AB338" s="64"/>
      <c r="AC338" s="64"/>
    </row>
    <row r="339" spans="1:68" ht="16.5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62"/>
      <c r="AB339" s="62"/>
      <c r="AC339" s="62"/>
    </row>
    <row r="340" spans="1:68" ht="14.25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63"/>
      <c r="AB340" s="63"/>
      <c r="AC340" s="63"/>
    </row>
    <row r="341" spans="1:68" ht="27" customHeight="1" x14ac:dyDescent="0.25">
      <c r="A341" s="60" t="s">
        <v>548</v>
      </c>
      <c r="B341" s="60" t="s">
        <v>549</v>
      </c>
      <c r="C341" s="34">
        <v>4301051489</v>
      </c>
      <c r="D341" s="560">
        <v>4607091387919</v>
      </c>
      <c r="E341" s="561"/>
      <c r="F341" s="59">
        <v>1.35</v>
      </c>
      <c r="G341" s="35">
        <v>6</v>
      </c>
      <c r="H341" s="59">
        <v>8.1</v>
      </c>
      <c r="I341" s="59">
        <v>8.5939999999999994</v>
      </c>
      <c r="J341" s="35">
        <v>64</v>
      </c>
      <c r="K341" s="35" t="s">
        <v>106</v>
      </c>
      <c r="L341" s="35" t="s">
        <v>107</v>
      </c>
      <c r="M341" s="36" t="s">
        <v>86</v>
      </c>
      <c r="N341" s="36"/>
      <c r="O341" s="35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7"/>
      <c r="V341" s="37"/>
      <c r="W341" s="38" t="s">
        <v>69</v>
      </c>
      <c r="X341" s="56">
        <v>40.5</v>
      </c>
      <c r="Y341" s="53">
        <f>IFERROR(IF(X341="",0,CEILING((X341/$H341),1)*$H341),"")</f>
        <v>40.5</v>
      </c>
      <c r="Z341" s="39">
        <f>IFERROR(IF(Y341=0,"",ROUNDUP(Y341/H341,0)*0.01898),"")</f>
        <v>9.4899999999999998E-2</v>
      </c>
      <c r="AA341" s="65"/>
      <c r="AB341" s="66"/>
      <c r="AC341" s="409" t="s">
        <v>550</v>
      </c>
      <c r="AG341" s="75"/>
      <c r="AJ341" s="79" t="s">
        <v>92</v>
      </c>
      <c r="AK341" s="79">
        <v>64.8</v>
      </c>
      <c r="BB341" s="410" t="s">
        <v>1</v>
      </c>
      <c r="BM341" s="75">
        <f>IFERROR(X341*I341/H341,"0")</f>
        <v>42.97</v>
      </c>
      <c r="BN341" s="75">
        <f>IFERROR(Y341*I341/H341,"0")</f>
        <v>42.97</v>
      </c>
      <c r="BO341" s="75">
        <f>IFERROR(1/J341*(X341/H341),"0")</f>
        <v>7.8125E-2</v>
      </c>
      <c r="BP341" s="75">
        <f>IFERROR(1/J341*(Y341/H341),"0")</f>
        <v>7.8125E-2</v>
      </c>
    </row>
    <row r="342" spans="1:68" ht="27" customHeight="1" x14ac:dyDescent="0.25">
      <c r="A342" s="60" t="s">
        <v>551</v>
      </c>
      <c r="B342" s="60" t="s">
        <v>552</v>
      </c>
      <c r="C342" s="34">
        <v>4301051461</v>
      </c>
      <c r="D342" s="560">
        <v>4680115883604</v>
      </c>
      <c r="E342" s="561"/>
      <c r="F342" s="59">
        <v>0.35</v>
      </c>
      <c r="G342" s="35">
        <v>6</v>
      </c>
      <c r="H342" s="59">
        <v>2.1</v>
      </c>
      <c r="I342" s="59">
        <v>2.3519999999999999</v>
      </c>
      <c r="J342" s="35">
        <v>182</v>
      </c>
      <c r="K342" s="35" t="s">
        <v>67</v>
      </c>
      <c r="L342" s="35" t="s">
        <v>90</v>
      </c>
      <c r="M342" s="36" t="s">
        <v>80</v>
      </c>
      <c r="N342" s="36"/>
      <c r="O342" s="35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7"/>
      <c r="V342" s="37"/>
      <c r="W342" s="38" t="s">
        <v>69</v>
      </c>
      <c r="X342" s="56">
        <v>6.3</v>
      </c>
      <c r="Y342" s="53">
        <f>IFERROR(IF(X342="",0,CEILING((X342/$H342),1)*$H342),"")</f>
        <v>6.3000000000000007</v>
      </c>
      <c r="Z342" s="39">
        <f>IFERROR(IF(Y342=0,"",ROUNDUP(Y342/H342,0)*0.00651),"")</f>
        <v>1.9529999999999999E-2</v>
      </c>
      <c r="AA342" s="65"/>
      <c r="AB342" s="66"/>
      <c r="AC342" s="411" t="s">
        <v>553</v>
      </c>
      <c r="AG342" s="75"/>
      <c r="AJ342" s="79" t="s">
        <v>92</v>
      </c>
      <c r="AK342" s="79">
        <v>29.4</v>
      </c>
      <c r="BB342" s="412" t="s">
        <v>1</v>
      </c>
      <c r="BM342" s="75">
        <f>IFERROR(X342*I342/H342,"0")</f>
        <v>7.0559999999999992</v>
      </c>
      <c r="BN342" s="75">
        <f>IFERROR(Y342*I342/H342,"0")</f>
        <v>7.056</v>
      </c>
      <c r="BO342" s="75">
        <f>IFERROR(1/J342*(X342/H342),"0")</f>
        <v>1.6483516483516484E-2</v>
      </c>
      <c r="BP342" s="75">
        <f>IFERROR(1/J342*(Y342/H342),"0")</f>
        <v>1.6483516483516484E-2</v>
      </c>
    </row>
    <row r="343" spans="1:68" ht="27" customHeight="1" x14ac:dyDescent="0.25">
      <c r="A343" s="60" t="s">
        <v>554</v>
      </c>
      <c r="B343" s="60" t="s">
        <v>555</v>
      </c>
      <c r="C343" s="34">
        <v>4301051864</v>
      </c>
      <c r="D343" s="560">
        <v>4680115883567</v>
      </c>
      <c r="E343" s="561"/>
      <c r="F343" s="59">
        <v>0.35</v>
      </c>
      <c r="G343" s="35">
        <v>6</v>
      </c>
      <c r="H343" s="59">
        <v>2.1</v>
      </c>
      <c r="I343" s="59">
        <v>2.34</v>
      </c>
      <c r="J343" s="35">
        <v>182</v>
      </c>
      <c r="K343" s="35" t="s">
        <v>67</v>
      </c>
      <c r="L343" s="35" t="s">
        <v>90</v>
      </c>
      <c r="M343" s="36" t="s">
        <v>86</v>
      </c>
      <c r="N343" s="36"/>
      <c r="O343" s="35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7"/>
      <c r="V343" s="37"/>
      <c r="W343" s="38" t="s">
        <v>69</v>
      </c>
      <c r="X343" s="56">
        <v>4.2</v>
      </c>
      <c r="Y343" s="53">
        <f>IFERROR(IF(X343="",0,CEILING((X343/$H343),1)*$H343),"")</f>
        <v>4.2</v>
      </c>
      <c r="Z343" s="39">
        <f>IFERROR(IF(Y343=0,"",ROUNDUP(Y343/H343,0)*0.00651),"")</f>
        <v>1.302E-2</v>
      </c>
      <c r="AA343" s="65"/>
      <c r="AB343" s="66"/>
      <c r="AC343" s="413" t="s">
        <v>556</v>
      </c>
      <c r="AG343" s="75"/>
      <c r="AJ343" s="79" t="s">
        <v>92</v>
      </c>
      <c r="AK343" s="79">
        <v>29.4</v>
      </c>
      <c r="BB343" s="414" t="s">
        <v>1</v>
      </c>
      <c r="BM343" s="75">
        <f>IFERROR(X343*I343/H343,"0")</f>
        <v>4.68</v>
      </c>
      <c r="BN343" s="75">
        <f>IFERROR(Y343*I343/H343,"0")</f>
        <v>4.68</v>
      </c>
      <c r="BO343" s="75">
        <f>IFERROR(1/J343*(X343/H343),"0")</f>
        <v>1.098901098901099E-2</v>
      </c>
      <c r="BP343" s="75">
        <f>IFERROR(1/J343*(Y343/H343),"0")</f>
        <v>1.098901098901099E-2</v>
      </c>
    </row>
    <row r="344" spans="1:68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40" t="s">
        <v>76</v>
      </c>
      <c r="X344" s="41">
        <f>IFERROR(X341/H341,"0")+IFERROR(X342/H342,"0")+IFERROR(X343/H343,"0")</f>
        <v>10</v>
      </c>
      <c r="Y344" s="41">
        <f>IFERROR(Y341/H341,"0")+IFERROR(Y342/H342,"0")+IFERROR(Y343/H343,"0")</f>
        <v>10</v>
      </c>
      <c r="Z344" s="41">
        <f>IFERROR(IF(Z341="",0,Z341),"0")+IFERROR(IF(Z342="",0,Z342),"0")+IFERROR(IF(Z343="",0,Z343),"0")</f>
        <v>0.12745000000000001</v>
      </c>
      <c r="AA344" s="64"/>
      <c r="AB344" s="64"/>
      <c r="AC344" s="64"/>
    </row>
    <row r="345" spans="1:68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40" t="s">
        <v>69</v>
      </c>
      <c r="X345" s="41">
        <f>IFERROR(SUM(X341:X343),"0")</f>
        <v>51</v>
      </c>
      <c r="Y345" s="41">
        <f>IFERROR(SUM(Y341:Y343),"0")</f>
        <v>51</v>
      </c>
      <c r="Z345" s="40"/>
      <c r="AA345" s="64"/>
      <c r="AB345" s="64"/>
      <c r="AC345" s="64"/>
    </row>
    <row r="346" spans="1:68" ht="27.75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52"/>
      <c r="AB346" s="52"/>
      <c r="AC346" s="52"/>
    </row>
    <row r="347" spans="1:68" ht="16.5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62"/>
      <c r="AB347" s="62"/>
      <c r="AC347" s="62"/>
    </row>
    <row r="348" spans="1:68" ht="14.25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63"/>
      <c r="AB348" s="63"/>
      <c r="AC348" s="63"/>
    </row>
    <row r="349" spans="1:68" ht="37.5" customHeight="1" x14ac:dyDescent="0.25">
      <c r="A349" s="60" t="s">
        <v>559</v>
      </c>
      <c r="B349" s="60" t="s">
        <v>560</v>
      </c>
      <c r="C349" s="34">
        <v>4301011869</v>
      </c>
      <c r="D349" s="560">
        <v>4680115884847</v>
      </c>
      <c r="E349" s="561"/>
      <c r="F349" s="59">
        <v>2.5</v>
      </c>
      <c r="G349" s="35">
        <v>6</v>
      </c>
      <c r="H349" s="59">
        <v>15</v>
      </c>
      <c r="I349" s="59">
        <v>15.47</v>
      </c>
      <c r="J349" s="35">
        <v>48</v>
      </c>
      <c r="K349" s="35" t="s">
        <v>106</v>
      </c>
      <c r="L349" s="35"/>
      <c r="M349" s="36" t="s">
        <v>68</v>
      </c>
      <c r="N349" s="36"/>
      <c r="O349" s="35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7"/>
      <c r="V349" s="37"/>
      <c r="W349" s="38" t="s">
        <v>69</v>
      </c>
      <c r="X349" s="56">
        <v>465</v>
      </c>
      <c r="Y349" s="53">
        <f t="shared" ref="Y349:Y355" si="41">IFERROR(IF(X349="",0,CEILING((X349/$H349),1)*$H349),"")</f>
        <v>465</v>
      </c>
      <c r="Z349" s="39">
        <f>IFERROR(IF(Y349=0,"",ROUNDUP(Y349/H349,0)*0.02175),"")</f>
        <v>0.6742499999999999</v>
      </c>
      <c r="AA349" s="65"/>
      <c r="AB349" s="66"/>
      <c r="AC349" s="415" t="s">
        <v>561</v>
      </c>
      <c r="AG349" s="75"/>
      <c r="AJ349" s="79"/>
      <c r="AK349" s="79">
        <v>0</v>
      </c>
      <c r="BB349" s="416" t="s">
        <v>1</v>
      </c>
      <c r="BM349" s="75">
        <f t="shared" ref="BM349:BM355" si="42">IFERROR(X349*I349/H349,"0")</f>
        <v>479.57</v>
      </c>
      <c r="BN349" s="75">
        <f t="shared" ref="BN349:BN355" si="43">IFERROR(Y349*I349/H349,"0")</f>
        <v>479.57</v>
      </c>
      <c r="BO349" s="75">
        <f t="shared" ref="BO349:BO355" si="44">IFERROR(1/J349*(X349/H349),"0")</f>
        <v>0.64583333333333326</v>
      </c>
      <c r="BP349" s="75">
        <f t="shared" ref="BP349:BP355" si="45">IFERROR(1/J349*(Y349/H349),"0")</f>
        <v>0.64583333333333326</v>
      </c>
    </row>
    <row r="350" spans="1:68" ht="27" customHeight="1" x14ac:dyDescent="0.25">
      <c r="A350" s="60" t="s">
        <v>562</v>
      </c>
      <c r="B350" s="60" t="s">
        <v>563</v>
      </c>
      <c r="C350" s="34">
        <v>4301011870</v>
      </c>
      <c r="D350" s="560">
        <v>4680115884854</v>
      </c>
      <c r="E350" s="561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106</v>
      </c>
      <c r="L350" s="35"/>
      <c r="M350" s="36" t="s">
        <v>68</v>
      </c>
      <c r="N350" s="36"/>
      <c r="O350" s="35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7"/>
      <c r="V350" s="37"/>
      <c r="W350" s="38" t="s">
        <v>69</v>
      </c>
      <c r="X350" s="56">
        <v>750</v>
      </c>
      <c r="Y350" s="53">
        <f t="shared" si="41"/>
        <v>750</v>
      </c>
      <c r="Z350" s="39">
        <f>IFERROR(IF(Y350=0,"",ROUNDUP(Y350/H350,0)*0.02175),"")</f>
        <v>1.0874999999999999</v>
      </c>
      <c r="AA350" s="65"/>
      <c r="AB350" s="66"/>
      <c r="AC350" s="417" t="s">
        <v>564</v>
      </c>
      <c r="AG350" s="75"/>
      <c r="AJ350" s="79"/>
      <c r="AK350" s="79">
        <v>0</v>
      </c>
      <c r="BB350" s="418" t="s">
        <v>1</v>
      </c>
      <c r="BM350" s="75">
        <f t="shared" si="42"/>
        <v>773.5</v>
      </c>
      <c r="BN350" s="75">
        <f t="shared" si="43"/>
        <v>773.5</v>
      </c>
      <c r="BO350" s="75">
        <f t="shared" si="44"/>
        <v>1.0416666666666665</v>
      </c>
      <c r="BP350" s="75">
        <f t="shared" si="45"/>
        <v>1.0416666666666665</v>
      </c>
    </row>
    <row r="351" spans="1:68" ht="27" customHeight="1" x14ac:dyDescent="0.25">
      <c r="A351" s="60" t="s">
        <v>565</v>
      </c>
      <c r="B351" s="60" t="s">
        <v>566</v>
      </c>
      <c r="C351" s="34">
        <v>4301012215</v>
      </c>
      <c r="D351" s="560">
        <v>4680115887046</v>
      </c>
      <c r="E351" s="561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106</v>
      </c>
      <c r="L351" s="35"/>
      <c r="M351" s="36" t="s">
        <v>86</v>
      </c>
      <c r="N351" s="36"/>
      <c r="O351" s="35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7"/>
      <c r="V351" s="37"/>
      <c r="W351" s="38" t="s">
        <v>69</v>
      </c>
      <c r="X351" s="56">
        <v>750</v>
      </c>
      <c r="Y351" s="53">
        <f t="shared" si="41"/>
        <v>750</v>
      </c>
      <c r="Z351" s="39">
        <f>IFERROR(IF(Y351=0,"",ROUNDUP(Y351/H351,0)*0.02175),"")</f>
        <v>1.0874999999999999</v>
      </c>
      <c r="AA351" s="65"/>
      <c r="AB351" s="66"/>
      <c r="AC351" s="419" t="s">
        <v>567</v>
      </c>
      <c r="AG351" s="75"/>
      <c r="AJ351" s="79"/>
      <c r="AK351" s="79">
        <v>0</v>
      </c>
      <c r="BB351" s="420" t="s">
        <v>1</v>
      </c>
      <c r="BM351" s="75">
        <f t="shared" si="42"/>
        <v>773.5</v>
      </c>
      <c r="BN351" s="75">
        <f t="shared" si="43"/>
        <v>773.5</v>
      </c>
      <c r="BO351" s="75">
        <f t="shared" si="44"/>
        <v>1.0416666666666665</v>
      </c>
      <c r="BP351" s="75">
        <f t="shared" si="45"/>
        <v>1.0416666666666665</v>
      </c>
    </row>
    <row r="352" spans="1:68" ht="37.5" customHeight="1" x14ac:dyDescent="0.25">
      <c r="A352" s="60" t="s">
        <v>568</v>
      </c>
      <c r="B352" s="60" t="s">
        <v>569</v>
      </c>
      <c r="C352" s="34">
        <v>4301011867</v>
      </c>
      <c r="D352" s="560">
        <v>4680115884830</v>
      </c>
      <c r="E352" s="561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106</v>
      </c>
      <c r="L352" s="35"/>
      <c r="M352" s="36" t="s">
        <v>68</v>
      </c>
      <c r="N352" s="36"/>
      <c r="O352" s="35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7"/>
      <c r="V352" s="37"/>
      <c r="W352" s="38" t="s">
        <v>69</v>
      </c>
      <c r="X352" s="56">
        <v>0</v>
      </c>
      <c r="Y352" s="53">
        <f t="shared" si="41"/>
        <v>0</v>
      </c>
      <c r="Z352" s="39" t="str">
        <f>IFERROR(IF(Y352=0,"",ROUNDUP(Y352/H352,0)*0.02175),"")</f>
        <v/>
      </c>
      <c r="AA352" s="65"/>
      <c r="AB352" s="66"/>
      <c r="AC352" s="421" t="s">
        <v>570</v>
      </c>
      <c r="AG352" s="75"/>
      <c r="AJ352" s="79"/>
      <c r="AK352" s="79">
        <v>0</v>
      </c>
      <c r="BB352" s="422" t="s">
        <v>1</v>
      </c>
      <c r="BM352" s="75">
        <f t="shared" si="42"/>
        <v>0</v>
      </c>
      <c r="BN352" s="75">
        <f t="shared" si="43"/>
        <v>0</v>
      </c>
      <c r="BO352" s="75">
        <f t="shared" si="44"/>
        <v>0</v>
      </c>
      <c r="BP352" s="75">
        <f t="shared" si="45"/>
        <v>0</v>
      </c>
    </row>
    <row r="353" spans="1:68" ht="27" customHeight="1" x14ac:dyDescent="0.25">
      <c r="A353" s="60" t="s">
        <v>571</v>
      </c>
      <c r="B353" s="60" t="s">
        <v>572</v>
      </c>
      <c r="C353" s="34">
        <v>4301011433</v>
      </c>
      <c r="D353" s="560">
        <v>4680115882638</v>
      </c>
      <c r="E353" s="561"/>
      <c r="F353" s="59">
        <v>0.4</v>
      </c>
      <c r="G353" s="35">
        <v>10</v>
      </c>
      <c r="H353" s="59">
        <v>4</v>
      </c>
      <c r="I353" s="59">
        <v>4.1900000000000004</v>
      </c>
      <c r="J353" s="35">
        <v>132</v>
      </c>
      <c r="K353" s="35" t="s">
        <v>112</v>
      </c>
      <c r="L353" s="35"/>
      <c r="M353" s="36" t="s">
        <v>108</v>
      </c>
      <c r="N353" s="36"/>
      <c r="O353" s="35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7"/>
      <c r="V353" s="37"/>
      <c r="W353" s="38" t="s">
        <v>69</v>
      </c>
      <c r="X353" s="56">
        <v>0</v>
      </c>
      <c r="Y353" s="53">
        <f t="shared" si="41"/>
        <v>0</v>
      </c>
      <c r="Z353" s="39" t="str">
        <f>IFERROR(IF(Y353=0,"",ROUNDUP(Y353/H353,0)*0.00902),"")</f>
        <v/>
      </c>
      <c r="AA353" s="65"/>
      <c r="AB353" s="66"/>
      <c r="AC353" s="423" t="s">
        <v>573</v>
      </c>
      <c r="AG353" s="75"/>
      <c r="AJ353" s="79"/>
      <c r="AK353" s="79">
        <v>0</v>
      </c>
      <c r="BB353" s="424" t="s">
        <v>1</v>
      </c>
      <c r="BM353" s="75">
        <f t="shared" si="42"/>
        <v>0</v>
      </c>
      <c r="BN353" s="75">
        <f t="shared" si="43"/>
        <v>0</v>
      </c>
      <c r="BO353" s="75">
        <f t="shared" si="44"/>
        <v>0</v>
      </c>
      <c r="BP353" s="75">
        <f t="shared" si="45"/>
        <v>0</v>
      </c>
    </row>
    <row r="354" spans="1:68" ht="27" customHeight="1" x14ac:dyDescent="0.25">
      <c r="A354" s="60" t="s">
        <v>574</v>
      </c>
      <c r="B354" s="60" t="s">
        <v>575</v>
      </c>
      <c r="C354" s="34">
        <v>4301011952</v>
      </c>
      <c r="D354" s="560">
        <v>4680115884922</v>
      </c>
      <c r="E354" s="561"/>
      <c r="F354" s="59">
        <v>0.5</v>
      </c>
      <c r="G354" s="35">
        <v>10</v>
      </c>
      <c r="H354" s="59">
        <v>5</v>
      </c>
      <c r="I354" s="59">
        <v>5.19</v>
      </c>
      <c r="J354" s="35">
        <v>132</v>
      </c>
      <c r="K354" s="35" t="s">
        <v>112</v>
      </c>
      <c r="L354" s="35"/>
      <c r="M354" s="36" t="s">
        <v>68</v>
      </c>
      <c r="N354" s="36"/>
      <c r="O354" s="35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7"/>
      <c r="V354" s="37"/>
      <c r="W354" s="38" t="s">
        <v>69</v>
      </c>
      <c r="X354" s="56">
        <v>0</v>
      </c>
      <c r="Y354" s="53">
        <f t="shared" si="41"/>
        <v>0</v>
      </c>
      <c r="Z354" s="39" t="str">
        <f>IFERROR(IF(Y354=0,"",ROUNDUP(Y354/H354,0)*0.00902),"")</f>
        <v/>
      </c>
      <c r="AA354" s="65"/>
      <c r="AB354" s="66"/>
      <c r="AC354" s="425" t="s">
        <v>564</v>
      </c>
      <c r="AG354" s="75"/>
      <c r="AJ354" s="79"/>
      <c r="AK354" s="79">
        <v>0</v>
      </c>
      <c r="BB354" s="426" t="s">
        <v>1</v>
      </c>
      <c r="BM354" s="75">
        <f t="shared" si="42"/>
        <v>0</v>
      </c>
      <c r="BN354" s="75">
        <f t="shared" si="43"/>
        <v>0</v>
      </c>
      <c r="BO354" s="75">
        <f t="shared" si="44"/>
        <v>0</v>
      </c>
      <c r="BP354" s="75">
        <f t="shared" si="45"/>
        <v>0</v>
      </c>
    </row>
    <row r="355" spans="1:68" ht="37.5" customHeight="1" x14ac:dyDescent="0.25">
      <c r="A355" s="60" t="s">
        <v>576</v>
      </c>
      <c r="B355" s="60" t="s">
        <v>577</v>
      </c>
      <c r="C355" s="34">
        <v>4301011868</v>
      </c>
      <c r="D355" s="560">
        <v>4680115884861</v>
      </c>
      <c r="E355" s="561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112</v>
      </c>
      <c r="L355" s="35" t="s">
        <v>115</v>
      </c>
      <c r="M355" s="36" t="s">
        <v>68</v>
      </c>
      <c r="N355" s="36"/>
      <c r="O355" s="35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7"/>
      <c r="V355" s="37"/>
      <c r="W355" s="38" t="s">
        <v>69</v>
      </c>
      <c r="X355" s="56">
        <v>0</v>
      </c>
      <c r="Y355" s="53">
        <f t="shared" si="41"/>
        <v>0</v>
      </c>
      <c r="Z355" s="39" t="str">
        <f>IFERROR(IF(Y355=0,"",ROUNDUP(Y355/H355,0)*0.00902),"")</f>
        <v/>
      </c>
      <c r="AA355" s="65"/>
      <c r="AB355" s="66"/>
      <c r="AC355" s="427" t="s">
        <v>570</v>
      </c>
      <c r="AG355" s="75"/>
      <c r="AJ355" s="79" t="s">
        <v>92</v>
      </c>
      <c r="AK355" s="79">
        <v>60</v>
      </c>
      <c r="BB355" s="428" t="s">
        <v>1</v>
      </c>
      <c r="BM355" s="75">
        <f t="shared" si="42"/>
        <v>0</v>
      </c>
      <c r="BN355" s="75">
        <f t="shared" si="43"/>
        <v>0</v>
      </c>
      <c r="BO355" s="75">
        <f t="shared" si="44"/>
        <v>0</v>
      </c>
      <c r="BP355" s="75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40" t="s">
        <v>76</v>
      </c>
      <c r="X356" s="41">
        <f>IFERROR(X349/H349,"0")+IFERROR(X350/H350,"0")+IFERROR(X351/H351,"0")+IFERROR(X352/H352,"0")+IFERROR(X353/H353,"0")+IFERROR(X354/H354,"0")+IFERROR(X355/H355,"0")</f>
        <v>131</v>
      </c>
      <c r="Y356" s="41">
        <f>IFERROR(Y349/H349,"0")+IFERROR(Y350/H350,"0")+IFERROR(Y351/H351,"0")+IFERROR(Y352/H352,"0")+IFERROR(Y353/H353,"0")+IFERROR(Y354/H354,"0")+IFERROR(Y355/H355,"0")</f>
        <v>131</v>
      </c>
      <c r="Z356" s="41">
        <f>IFERROR(IF(Z349="",0,Z349),"0")+IFERROR(IF(Z350="",0,Z350),"0")+IFERROR(IF(Z351="",0,Z351),"0")+IFERROR(IF(Z352="",0,Z352),"0")+IFERROR(IF(Z353="",0,Z353),"0")+IFERROR(IF(Z354="",0,Z354),"0")+IFERROR(IF(Z355="",0,Z355),"0")</f>
        <v>2.8492499999999996</v>
      </c>
      <c r="AA356" s="64"/>
      <c r="AB356" s="64"/>
      <c r="AC356" s="64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40" t="s">
        <v>69</v>
      </c>
      <c r="X357" s="41">
        <f>IFERROR(SUM(X349:X355),"0")</f>
        <v>1965</v>
      </c>
      <c r="Y357" s="41">
        <f>IFERROR(SUM(Y349:Y355),"0")</f>
        <v>1965</v>
      </c>
      <c r="Z357" s="40"/>
      <c r="AA357" s="64"/>
      <c r="AB357" s="64"/>
      <c r="AC357" s="64"/>
    </row>
    <row r="358" spans="1:68" ht="14.25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63"/>
      <c r="AB358" s="63"/>
      <c r="AC358" s="63"/>
    </row>
    <row r="359" spans="1:68" ht="27" customHeight="1" x14ac:dyDescent="0.25">
      <c r="A359" s="60" t="s">
        <v>578</v>
      </c>
      <c r="B359" s="60" t="s">
        <v>579</v>
      </c>
      <c r="C359" s="34">
        <v>4301020178</v>
      </c>
      <c r="D359" s="560">
        <v>4607091383980</v>
      </c>
      <c r="E359" s="561"/>
      <c r="F359" s="59">
        <v>2.5</v>
      </c>
      <c r="G359" s="35">
        <v>6</v>
      </c>
      <c r="H359" s="59">
        <v>15</v>
      </c>
      <c r="I359" s="59">
        <v>15.47</v>
      </c>
      <c r="J359" s="35">
        <v>48</v>
      </c>
      <c r="K359" s="35" t="s">
        <v>106</v>
      </c>
      <c r="L359" s="35"/>
      <c r="M359" s="36" t="s">
        <v>108</v>
      </c>
      <c r="N359" s="36"/>
      <c r="O359" s="35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7"/>
      <c r="V359" s="37"/>
      <c r="W359" s="38" t="s">
        <v>69</v>
      </c>
      <c r="X359" s="56">
        <v>750</v>
      </c>
      <c r="Y359" s="53">
        <f>IFERROR(IF(X359="",0,CEILING((X359/$H359),1)*$H359),"")</f>
        <v>750</v>
      </c>
      <c r="Z359" s="39">
        <f>IFERROR(IF(Y359=0,"",ROUNDUP(Y359/H359,0)*0.02175),"")</f>
        <v>1.0874999999999999</v>
      </c>
      <c r="AA359" s="65"/>
      <c r="AB359" s="66"/>
      <c r="AC359" s="429" t="s">
        <v>580</v>
      </c>
      <c r="AG359" s="75"/>
      <c r="AJ359" s="79"/>
      <c r="AK359" s="79">
        <v>0</v>
      </c>
      <c r="BB359" s="430" t="s">
        <v>1</v>
      </c>
      <c r="BM359" s="75">
        <f>IFERROR(X359*I359/H359,"0")</f>
        <v>773.5</v>
      </c>
      <c r="BN359" s="75">
        <f>IFERROR(Y359*I359/H359,"0")</f>
        <v>773.5</v>
      </c>
      <c r="BO359" s="75">
        <f>IFERROR(1/J359*(X359/H359),"0")</f>
        <v>1.0416666666666665</v>
      </c>
      <c r="BP359" s="75">
        <f>IFERROR(1/J359*(Y359/H359),"0")</f>
        <v>1.0416666666666665</v>
      </c>
    </row>
    <row r="360" spans="1:68" ht="27" customHeight="1" x14ac:dyDescent="0.25">
      <c r="A360" s="60" t="s">
        <v>581</v>
      </c>
      <c r="B360" s="60" t="s">
        <v>582</v>
      </c>
      <c r="C360" s="34">
        <v>4301020179</v>
      </c>
      <c r="D360" s="560">
        <v>4607091384178</v>
      </c>
      <c r="E360" s="561"/>
      <c r="F360" s="59">
        <v>0.4</v>
      </c>
      <c r="G360" s="35">
        <v>10</v>
      </c>
      <c r="H360" s="59">
        <v>4</v>
      </c>
      <c r="I360" s="59">
        <v>4.1900000000000004</v>
      </c>
      <c r="J360" s="35">
        <v>132</v>
      </c>
      <c r="K360" s="35" t="s">
        <v>112</v>
      </c>
      <c r="L360" s="35"/>
      <c r="M360" s="36" t="s">
        <v>108</v>
      </c>
      <c r="N360" s="36"/>
      <c r="O360" s="35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7"/>
      <c r="V360" s="37"/>
      <c r="W360" s="38" t="s">
        <v>69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IFERROR(IF(Y360=0,"",ROUNDUP(Y360/H360,0)*0.00902),"")</f>
        <v/>
      </c>
      <c r="AA360" s="65"/>
      <c r="AB360" s="66"/>
      <c r="AC360" s="431" t="s">
        <v>583</v>
      </c>
      <c r="AG360" s="75"/>
      <c r="AJ360" s="79"/>
      <c r="AK360" s="79">
        <v>0</v>
      </c>
      <c r="BB360" s="432" t="s">
        <v>1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40" t="s">
        <v>76</v>
      </c>
      <c r="X361" s="41">
        <f>IFERROR(X359/H359,"0")+IFERROR(X360/H360,"0")</f>
        <v>50</v>
      </c>
      <c r="Y361" s="41">
        <f>IFERROR(Y359/H359,"0")+IFERROR(Y360/H360,"0")</f>
        <v>50</v>
      </c>
      <c r="Z361" s="41">
        <f>IFERROR(IF(Z359="",0,Z359),"0")+IFERROR(IF(Z360="",0,Z360),"0")</f>
        <v>1.0874999999999999</v>
      </c>
      <c r="AA361" s="64"/>
      <c r="AB361" s="64"/>
      <c r="AC361" s="64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40" t="s">
        <v>69</v>
      </c>
      <c r="X362" s="41">
        <f>IFERROR(SUM(X359:X360),"0")</f>
        <v>750</v>
      </c>
      <c r="Y362" s="41">
        <f>IFERROR(SUM(Y359:Y360),"0")</f>
        <v>750</v>
      </c>
      <c r="Z362" s="40"/>
      <c r="AA362" s="64"/>
      <c r="AB362" s="64"/>
      <c r="AC362" s="64"/>
    </row>
    <row r="363" spans="1:68" ht="14.25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63"/>
      <c r="AB363" s="63"/>
      <c r="AC363" s="63"/>
    </row>
    <row r="364" spans="1:68" ht="27" customHeight="1" x14ac:dyDescent="0.25">
      <c r="A364" s="60" t="s">
        <v>584</v>
      </c>
      <c r="B364" s="60" t="s">
        <v>585</v>
      </c>
      <c r="C364" s="34">
        <v>4301051903</v>
      </c>
      <c r="D364" s="560">
        <v>4607091383928</v>
      </c>
      <c r="E364" s="561"/>
      <c r="F364" s="59">
        <v>1.5</v>
      </c>
      <c r="G364" s="35">
        <v>6</v>
      </c>
      <c r="H364" s="59">
        <v>9</v>
      </c>
      <c r="I364" s="59">
        <v>9.5</v>
      </c>
      <c r="J364" s="35">
        <v>64</v>
      </c>
      <c r="K364" s="35" t="s">
        <v>106</v>
      </c>
      <c r="L364" s="35" t="s">
        <v>107</v>
      </c>
      <c r="M364" s="36" t="s">
        <v>80</v>
      </c>
      <c r="N364" s="36"/>
      <c r="O364" s="35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7"/>
      <c r="V364" s="37"/>
      <c r="W364" s="38" t="s">
        <v>69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33" t="s">
        <v>586</v>
      </c>
      <c r="AG364" s="75"/>
      <c r="AJ364" s="79" t="s">
        <v>92</v>
      </c>
      <c r="AK364" s="79">
        <v>72</v>
      </c>
      <c r="BB364" s="43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587</v>
      </c>
      <c r="B365" s="60" t="s">
        <v>588</v>
      </c>
      <c r="C365" s="34">
        <v>4301051897</v>
      </c>
      <c r="D365" s="560">
        <v>4607091384260</v>
      </c>
      <c r="E365" s="561"/>
      <c r="F365" s="59">
        <v>1.5</v>
      </c>
      <c r="G365" s="35">
        <v>6</v>
      </c>
      <c r="H365" s="59">
        <v>9</v>
      </c>
      <c r="I365" s="59">
        <v>9.4939999999999998</v>
      </c>
      <c r="J365" s="35">
        <v>64</v>
      </c>
      <c r="K365" s="35" t="s">
        <v>106</v>
      </c>
      <c r="L365" s="35" t="s">
        <v>107</v>
      </c>
      <c r="M365" s="36" t="s">
        <v>80</v>
      </c>
      <c r="N365" s="36"/>
      <c r="O365" s="35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7"/>
      <c r="V365" s="37"/>
      <c r="W365" s="38" t="s">
        <v>69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35" t="s">
        <v>589</v>
      </c>
      <c r="AG365" s="75"/>
      <c r="AJ365" s="79" t="s">
        <v>92</v>
      </c>
      <c r="AK365" s="79">
        <v>72</v>
      </c>
      <c r="BB365" s="43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40" t="s">
        <v>76</v>
      </c>
      <c r="X366" s="41">
        <f>IFERROR(X364/H364,"0")+IFERROR(X365/H365,"0")</f>
        <v>0</v>
      </c>
      <c r="Y366" s="41">
        <f>IFERROR(Y364/H364,"0")+IFERROR(Y365/H365,"0")</f>
        <v>0</v>
      </c>
      <c r="Z366" s="41">
        <f>IFERROR(IF(Z364="",0,Z364),"0")+IFERROR(IF(Z365="",0,Z365),"0")</f>
        <v>0</v>
      </c>
      <c r="AA366" s="64"/>
      <c r="AB366" s="64"/>
      <c r="AC366" s="64"/>
    </row>
    <row r="367" spans="1:68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40" t="s">
        <v>69</v>
      </c>
      <c r="X367" s="41">
        <f>IFERROR(SUM(X364:X365),"0")</f>
        <v>0</v>
      </c>
      <c r="Y367" s="41">
        <f>IFERROR(SUM(Y364:Y365),"0")</f>
        <v>0</v>
      </c>
      <c r="Z367" s="40"/>
      <c r="AA367" s="64"/>
      <c r="AB367" s="64"/>
      <c r="AC367" s="64"/>
    </row>
    <row r="368" spans="1:68" ht="14.25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63"/>
      <c r="AB368" s="63"/>
      <c r="AC368" s="63"/>
    </row>
    <row r="369" spans="1:68" ht="16.5" customHeight="1" x14ac:dyDescent="0.25">
      <c r="A369" s="60" t="s">
        <v>590</v>
      </c>
      <c r="B369" s="60" t="s">
        <v>591</v>
      </c>
      <c r="C369" s="34">
        <v>4301060524</v>
      </c>
      <c r="D369" s="560">
        <v>4607091384673</v>
      </c>
      <c r="E369" s="561"/>
      <c r="F369" s="59">
        <v>1.5</v>
      </c>
      <c r="G369" s="35">
        <v>6</v>
      </c>
      <c r="H369" s="59">
        <v>9</v>
      </c>
      <c r="I369" s="59">
        <v>9.4939999999999998</v>
      </c>
      <c r="J369" s="35">
        <v>64</v>
      </c>
      <c r="K369" s="35" t="s">
        <v>106</v>
      </c>
      <c r="L369" s="35"/>
      <c r="M369" s="36" t="s">
        <v>80</v>
      </c>
      <c r="N369" s="36"/>
      <c r="O369" s="35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7"/>
      <c r="V369" s="37"/>
      <c r="W369" s="38" t="s">
        <v>69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IFERROR(IF(Y369=0,"",ROUNDUP(Y369/H369,0)*0.01898),"")</f>
        <v/>
      </c>
      <c r="AA369" s="65"/>
      <c r="AB369" s="66"/>
      <c r="AC369" s="437" t="s">
        <v>592</v>
      </c>
      <c r="AG369" s="75"/>
      <c r="AJ369" s="79"/>
      <c r="AK369" s="79">
        <v>0</v>
      </c>
      <c r="BB369" s="438" t="s">
        <v>1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40" t="s">
        <v>76</v>
      </c>
      <c r="X370" s="41">
        <f>IFERROR(X369/H369,"0")</f>
        <v>0</v>
      </c>
      <c r="Y370" s="41">
        <f>IFERROR(Y369/H369,"0")</f>
        <v>0</v>
      </c>
      <c r="Z370" s="41">
        <f>IFERROR(IF(Z369="",0,Z369),"0")</f>
        <v>0</v>
      </c>
      <c r="AA370" s="64"/>
      <c r="AB370" s="64"/>
      <c r="AC370" s="64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40" t="s">
        <v>69</v>
      </c>
      <c r="X371" s="41">
        <f>IFERROR(SUM(X369:X369),"0")</f>
        <v>0</v>
      </c>
      <c r="Y371" s="41">
        <f>IFERROR(SUM(Y369:Y369),"0")</f>
        <v>0</v>
      </c>
      <c r="Z371" s="40"/>
      <c r="AA371" s="64"/>
      <c r="AB371" s="64"/>
      <c r="AC371" s="64"/>
    </row>
    <row r="372" spans="1:68" ht="16.5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62"/>
      <c r="AB372" s="62"/>
      <c r="AC372" s="62"/>
    </row>
    <row r="373" spans="1:68" ht="14.25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63"/>
      <c r="AB373" s="63"/>
      <c r="AC373" s="63"/>
    </row>
    <row r="374" spans="1:68" ht="37.5" customHeight="1" x14ac:dyDescent="0.25">
      <c r="A374" s="60" t="s">
        <v>594</v>
      </c>
      <c r="B374" s="60" t="s">
        <v>595</v>
      </c>
      <c r="C374" s="34">
        <v>4301011875</v>
      </c>
      <c r="D374" s="560">
        <v>4680115884885</v>
      </c>
      <c r="E374" s="561"/>
      <c r="F374" s="59">
        <v>0.8</v>
      </c>
      <c r="G374" s="35">
        <v>15</v>
      </c>
      <c r="H374" s="59">
        <v>12</v>
      </c>
      <c r="I374" s="59">
        <v>12.41</v>
      </c>
      <c r="J374" s="35">
        <v>64</v>
      </c>
      <c r="K374" s="35" t="s">
        <v>106</v>
      </c>
      <c r="L374" s="35" t="s">
        <v>107</v>
      </c>
      <c r="M374" s="36" t="s">
        <v>68</v>
      </c>
      <c r="N374" s="36"/>
      <c r="O374" s="35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7"/>
      <c r="V374" s="37"/>
      <c r="W374" s="38" t="s">
        <v>69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/>
      <c r="AB374" s="66"/>
      <c r="AC374" s="439" t="s">
        <v>596</v>
      </c>
      <c r="AG374" s="75"/>
      <c r="AJ374" s="79" t="s">
        <v>92</v>
      </c>
      <c r="AK374" s="79">
        <v>96</v>
      </c>
      <c r="BB374" s="440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37.5" customHeight="1" x14ac:dyDescent="0.25">
      <c r="A375" s="60" t="s">
        <v>597</v>
      </c>
      <c r="B375" s="60" t="s">
        <v>598</v>
      </c>
      <c r="C375" s="34">
        <v>4301011871</v>
      </c>
      <c r="D375" s="560">
        <v>4680115884908</v>
      </c>
      <c r="E375" s="561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112</v>
      </c>
      <c r="L375" s="35" t="s">
        <v>115</v>
      </c>
      <c r="M375" s="36" t="s">
        <v>68</v>
      </c>
      <c r="N375" s="36"/>
      <c r="O375" s="35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7"/>
      <c r="V375" s="37"/>
      <c r="W375" s="38" t="s">
        <v>69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IFERROR(IF(Y375=0,"",ROUNDUP(Y375/H375,0)*0.00902),"")</f>
        <v/>
      </c>
      <c r="AA375" s="65"/>
      <c r="AB375" s="66"/>
      <c r="AC375" s="441" t="s">
        <v>596</v>
      </c>
      <c r="AG375" s="75"/>
      <c r="AJ375" s="79" t="s">
        <v>92</v>
      </c>
      <c r="AK375" s="79">
        <v>48</v>
      </c>
      <c r="BB375" s="442" t="s">
        <v>1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40" t="s">
        <v>76</v>
      </c>
      <c r="X376" s="41">
        <f>IFERROR(X374/H374,"0")+IFERROR(X375/H375,"0")</f>
        <v>0</v>
      </c>
      <c r="Y376" s="41">
        <f>IFERROR(Y374/H374,"0")+IFERROR(Y375/H375,"0")</f>
        <v>0</v>
      </c>
      <c r="Z376" s="41">
        <f>IFERROR(IF(Z374="",0,Z374),"0")+IFERROR(IF(Z375="",0,Z375),"0")</f>
        <v>0</v>
      </c>
      <c r="AA376" s="64"/>
      <c r="AB376" s="64"/>
      <c r="AC376" s="64"/>
    </row>
    <row r="377" spans="1:68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40" t="s">
        <v>69</v>
      </c>
      <c r="X377" s="41">
        <f>IFERROR(SUM(X374:X375),"0")</f>
        <v>0</v>
      </c>
      <c r="Y377" s="41">
        <f>IFERROR(SUM(Y374:Y375),"0")</f>
        <v>0</v>
      </c>
      <c r="Z377" s="40"/>
      <c r="AA377" s="64"/>
      <c r="AB377" s="64"/>
      <c r="AC377" s="64"/>
    </row>
    <row r="378" spans="1:68" ht="14.25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63"/>
      <c r="AB378" s="63"/>
      <c r="AC378" s="63"/>
    </row>
    <row r="379" spans="1:68" ht="27" customHeight="1" x14ac:dyDescent="0.25">
      <c r="A379" s="60" t="s">
        <v>599</v>
      </c>
      <c r="B379" s="60" t="s">
        <v>600</v>
      </c>
      <c r="C379" s="34">
        <v>4301031457</v>
      </c>
      <c r="D379" s="560">
        <v>4607091384802</v>
      </c>
      <c r="E379" s="561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112</v>
      </c>
      <c r="L379" s="35"/>
      <c r="M379" s="36" t="s">
        <v>68</v>
      </c>
      <c r="N379" s="36"/>
      <c r="O379" s="35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7"/>
      <c r="V379" s="37"/>
      <c r="W379" s="38" t="s">
        <v>69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/>
      <c r="AB379" s="66"/>
      <c r="AC379" s="443" t="s">
        <v>601</v>
      </c>
      <c r="AG379" s="75"/>
      <c r="AJ379" s="79"/>
      <c r="AK379" s="79">
        <v>0</v>
      </c>
      <c r="BB379" s="44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599</v>
      </c>
      <c r="B380" s="60" t="s">
        <v>602</v>
      </c>
      <c r="C380" s="34">
        <v>4301031303</v>
      </c>
      <c r="D380" s="560">
        <v>4607091384802</v>
      </c>
      <c r="E380" s="561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112</v>
      </c>
      <c r="L380" s="35" t="s">
        <v>115</v>
      </c>
      <c r="M380" s="36" t="s">
        <v>68</v>
      </c>
      <c r="N380" s="36"/>
      <c r="O380" s="35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7"/>
      <c r="V380" s="37"/>
      <c r="W380" s="38" t="s">
        <v>69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/>
      <c r="AB380" s="66"/>
      <c r="AC380" s="445" t="s">
        <v>603</v>
      </c>
      <c r="AG380" s="75"/>
      <c r="AJ380" s="79" t="s">
        <v>92</v>
      </c>
      <c r="AK380" s="79">
        <v>52.56</v>
      </c>
      <c r="BB380" s="44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40" t="s">
        <v>76</v>
      </c>
      <c r="X381" s="41">
        <f>IFERROR(X379/H379,"0")+IFERROR(X380/H380,"0")</f>
        <v>0</v>
      </c>
      <c r="Y381" s="41">
        <f>IFERROR(Y379/H379,"0")+IFERROR(Y380/H380,"0")</f>
        <v>0</v>
      </c>
      <c r="Z381" s="41">
        <f>IFERROR(IF(Z379="",0,Z379),"0")+IFERROR(IF(Z380="",0,Z380),"0")</f>
        <v>0</v>
      </c>
      <c r="AA381" s="64"/>
      <c r="AB381" s="64"/>
      <c r="AC381" s="64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40" t="s">
        <v>69</v>
      </c>
      <c r="X382" s="41">
        <f>IFERROR(SUM(X379:X380),"0")</f>
        <v>0</v>
      </c>
      <c r="Y382" s="41">
        <f>IFERROR(SUM(Y379:Y380),"0")</f>
        <v>0</v>
      </c>
      <c r="Z382" s="40"/>
      <c r="AA382" s="64"/>
      <c r="AB382" s="64"/>
      <c r="AC382" s="64"/>
    </row>
    <row r="383" spans="1:68" ht="14.25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3"/>
      <c r="AB383" s="63"/>
      <c r="AC383" s="63"/>
    </row>
    <row r="384" spans="1:68" ht="27" customHeight="1" x14ac:dyDescent="0.25">
      <c r="A384" s="60" t="s">
        <v>604</v>
      </c>
      <c r="B384" s="60" t="s">
        <v>605</v>
      </c>
      <c r="C384" s="34">
        <v>4301051899</v>
      </c>
      <c r="D384" s="560">
        <v>4607091384246</v>
      </c>
      <c r="E384" s="561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106</v>
      </c>
      <c r="L384" s="35" t="s">
        <v>107</v>
      </c>
      <c r="M384" s="36" t="s">
        <v>80</v>
      </c>
      <c r="N384" s="36"/>
      <c r="O384" s="35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7"/>
      <c r="V384" s="37"/>
      <c r="W384" s="38" t="s">
        <v>69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/>
      <c r="AB384" s="66"/>
      <c r="AC384" s="447" t="s">
        <v>606</v>
      </c>
      <c r="AG384" s="75"/>
      <c r="AJ384" s="79" t="s">
        <v>92</v>
      </c>
      <c r="AK384" s="79">
        <v>72</v>
      </c>
      <c r="BB384" s="448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607</v>
      </c>
      <c r="B385" s="60" t="s">
        <v>608</v>
      </c>
      <c r="C385" s="34">
        <v>4301051660</v>
      </c>
      <c r="D385" s="560">
        <v>4607091384253</v>
      </c>
      <c r="E385" s="561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67</v>
      </c>
      <c r="L385" s="35" t="s">
        <v>90</v>
      </c>
      <c r="M385" s="36" t="s">
        <v>80</v>
      </c>
      <c r="N385" s="36"/>
      <c r="O385" s="35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7"/>
      <c r="V385" s="37"/>
      <c r="W385" s="38" t="s">
        <v>69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/>
      <c r="AB385" s="66"/>
      <c r="AC385" s="449" t="s">
        <v>606</v>
      </c>
      <c r="AG385" s="75"/>
      <c r="AJ385" s="79" t="s">
        <v>92</v>
      </c>
      <c r="AK385" s="79">
        <v>33.6</v>
      </c>
      <c r="BB385" s="450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607</v>
      </c>
      <c r="B386" s="60" t="s">
        <v>609</v>
      </c>
      <c r="C386" s="34">
        <v>4301052069</v>
      </c>
      <c r="D386" s="560">
        <v>4607091384253</v>
      </c>
      <c r="E386" s="561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67</v>
      </c>
      <c r="L386" s="35"/>
      <c r="M386" s="36" t="s">
        <v>80</v>
      </c>
      <c r="N386" s="36"/>
      <c r="O386" s="35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7"/>
      <c r="V386" s="37"/>
      <c r="W386" s="38" t="s">
        <v>69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51" t="s">
        <v>610</v>
      </c>
      <c r="AG386" s="75"/>
      <c r="AJ386" s="79"/>
      <c r="AK386" s="79">
        <v>0</v>
      </c>
      <c r="BB386" s="45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40" t="s">
        <v>76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40" t="s">
        <v>69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27.75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52"/>
      <c r="AB389" s="52"/>
      <c r="AC389" s="52"/>
    </row>
    <row r="390" spans="1:68" ht="16.5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62"/>
      <c r="AB390" s="62"/>
      <c r="AC390" s="62"/>
    </row>
    <row r="391" spans="1:68" ht="14.25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3"/>
      <c r="AB391" s="63"/>
      <c r="AC391" s="63"/>
    </row>
    <row r="392" spans="1:68" ht="27" customHeight="1" x14ac:dyDescent="0.25">
      <c r="A392" s="60" t="s">
        <v>613</v>
      </c>
      <c r="B392" s="60" t="s">
        <v>614</v>
      </c>
      <c r="C392" s="34">
        <v>4301031405</v>
      </c>
      <c r="D392" s="560">
        <v>4680115886100</v>
      </c>
      <c r="E392" s="561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112</v>
      </c>
      <c r="L392" s="35" t="s">
        <v>115</v>
      </c>
      <c r="M392" s="36" t="s">
        <v>68</v>
      </c>
      <c r="N392" s="36"/>
      <c r="O392" s="35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7"/>
      <c r="V392" s="37"/>
      <c r="W392" s="38" t="s">
        <v>69</v>
      </c>
      <c r="X392" s="56">
        <v>16.2</v>
      </c>
      <c r="Y392" s="53">
        <f t="shared" ref="Y392:Y400" si="46">IFERROR(IF(X392="",0,CEILING((X392/$H392),1)*$H392),"")</f>
        <v>16.200000000000003</v>
      </c>
      <c r="Z392" s="39">
        <f>IFERROR(IF(Y392=0,"",ROUNDUP(Y392/H392,0)*0.00902),"")</f>
        <v>2.7060000000000001E-2</v>
      </c>
      <c r="AA392" s="65"/>
      <c r="AB392" s="66"/>
      <c r="AC392" s="453" t="s">
        <v>615</v>
      </c>
      <c r="AG392" s="75"/>
      <c r="AJ392" s="79" t="s">
        <v>92</v>
      </c>
      <c r="AK392" s="79">
        <v>64.8</v>
      </c>
      <c r="BB392" s="454" t="s">
        <v>1</v>
      </c>
      <c r="BM392" s="75">
        <f t="shared" ref="BM392:BM400" si="47">IFERROR(X392*I392/H392,"0")</f>
        <v>16.769999999999996</v>
      </c>
      <c r="BN392" s="75">
        <f t="shared" ref="BN392:BN400" si="48">IFERROR(Y392*I392/H392,"0")</f>
        <v>16.77</v>
      </c>
      <c r="BO392" s="75">
        <f t="shared" ref="BO392:BO400" si="49">IFERROR(1/J392*(X392/H392),"0")</f>
        <v>2.2727272727272724E-2</v>
      </c>
      <c r="BP392" s="75">
        <f t="shared" ref="BP392:BP400" si="50">IFERROR(1/J392*(Y392/H392),"0")</f>
        <v>2.2727272727272731E-2</v>
      </c>
    </row>
    <row r="393" spans="1:68" ht="27" customHeight="1" x14ac:dyDescent="0.25">
      <c r="A393" s="60" t="s">
        <v>616</v>
      </c>
      <c r="B393" s="60" t="s">
        <v>617</v>
      </c>
      <c r="C393" s="34">
        <v>4301031406</v>
      </c>
      <c r="D393" s="560">
        <v>4680115886117</v>
      </c>
      <c r="E393" s="561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112</v>
      </c>
      <c r="L393" s="35"/>
      <c r="M393" s="36" t="s">
        <v>68</v>
      </c>
      <c r="N393" s="36"/>
      <c r="O393" s="35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7"/>
      <c r="V393" s="37"/>
      <c r="W393" s="38" t="s">
        <v>69</v>
      </c>
      <c r="X393" s="56">
        <v>16.2</v>
      </c>
      <c r="Y393" s="53">
        <f t="shared" si="46"/>
        <v>16.200000000000003</v>
      </c>
      <c r="Z393" s="39">
        <f>IFERROR(IF(Y393=0,"",ROUNDUP(Y393/H393,0)*0.00902),"")</f>
        <v>2.7060000000000001E-2</v>
      </c>
      <c r="AA393" s="65"/>
      <c r="AB393" s="66"/>
      <c r="AC393" s="455" t="s">
        <v>618</v>
      </c>
      <c r="AG393" s="75"/>
      <c r="AJ393" s="79"/>
      <c r="AK393" s="79">
        <v>0</v>
      </c>
      <c r="BB393" s="456" t="s">
        <v>1</v>
      </c>
      <c r="BM393" s="75">
        <f t="shared" si="47"/>
        <v>16.769999999999996</v>
      </c>
      <c r="BN393" s="75">
        <f t="shared" si="48"/>
        <v>16.77</v>
      </c>
      <c r="BO393" s="75">
        <f t="shared" si="49"/>
        <v>2.2727272727272724E-2</v>
      </c>
      <c r="BP393" s="75">
        <f t="shared" si="50"/>
        <v>2.2727272727272731E-2</v>
      </c>
    </row>
    <row r="394" spans="1:68" ht="27" customHeight="1" x14ac:dyDescent="0.25">
      <c r="A394" s="60" t="s">
        <v>619</v>
      </c>
      <c r="B394" s="60" t="s">
        <v>620</v>
      </c>
      <c r="C394" s="34">
        <v>4301031402</v>
      </c>
      <c r="D394" s="560">
        <v>4680115886124</v>
      </c>
      <c r="E394" s="561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112</v>
      </c>
      <c r="L394" s="35" t="s">
        <v>115</v>
      </c>
      <c r="M394" s="36" t="s">
        <v>68</v>
      </c>
      <c r="N394" s="36"/>
      <c r="O394" s="35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7"/>
      <c r="V394" s="37"/>
      <c r="W394" s="38" t="s">
        <v>69</v>
      </c>
      <c r="X394" s="56">
        <v>0</v>
      </c>
      <c r="Y394" s="53">
        <f t="shared" si="46"/>
        <v>0</v>
      </c>
      <c r="Z394" s="39" t="str">
        <f>IFERROR(IF(Y394=0,"",ROUNDUP(Y394/H394,0)*0.00902),"")</f>
        <v/>
      </c>
      <c r="AA394" s="65"/>
      <c r="AB394" s="66"/>
      <c r="AC394" s="457" t="s">
        <v>621</v>
      </c>
      <c r="AG394" s="75"/>
      <c r="AJ394" s="79" t="s">
        <v>92</v>
      </c>
      <c r="AK394" s="79">
        <v>64.8</v>
      </c>
      <c r="BB394" s="458" t="s">
        <v>1</v>
      </c>
      <c r="BM394" s="75">
        <f t="shared" si="47"/>
        <v>0</v>
      </c>
      <c r="BN394" s="75">
        <f t="shared" si="48"/>
        <v>0</v>
      </c>
      <c r="BO394" s="75">
        <f t="shared" si="49"/>
        <v>0</v>
      </c>
      <c r="BP394" s="75">
        <f t="shared" si="50"/>
        <v>0</v>
      </c>
    </row>
    <row r="395" spans="1:68" ht="27" customHeight="1" x14ac:dyDescent="0.25">
      <c r="A395" s="60" t="s">
        <v>622</v>
      </c>
      <c r="B395" s="60" t="s">
        <v>623</v>
      </c>
      <c r="C395" s="34">
        <v>4301031366</v>
      </c>
      <c r="D395" s="560">
        <v>4680115883147</v>
      </c>
      <c r="E395" s="561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73</v>
      </c>
      <c r="L395" s="35"/>
      <c r="M395" s="36" t="s">
        <v>68</v>
      </c>
      <c r="N395" s="36"/>
      <c r="O395" s="35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7"/>
      <c r="V395" s="37"/>
      <c r="W395" s="38" t="s">
        <v>69</v>
      </c>
      <c r="X395" s="56">
        <v>0</v>
      </c>
      <c r="Y395" s="53">
        <f t="shared" si="46"/>
        <v>0</v>
      </c>
      <c r="Z395" s="39" t="str">
        <f t="shared" ref="Z395:Z400" si="51">IFERROR(IF(Y395=0,"",ROUNDUP(Y395/H395,0)*0.00502),"")</f>
        <v/>
      </c>
      <c r="AA395" s="65"/>
      <c r="AB395" s="66"/>
      <c r="AC395" s="459" t="s">
        <v>615</v>
      </c>
      <c r="AG395" s="75"/>
      <c r="AJ395" s="79"/>
      <c r="AK395" s="79">
        <v>0</v>
      </c>
      <c r="BB395" s="460" t="s">
        <v>1</v>
      </c>
      <c r="BM395" s="75">
        <f t="shared" si="47"/>
        <v>0</v>
      </c>
      <c r="BN395" s="75">
        <f t="shared" si="48"/>
        <v>0</v>
      </c>
      <c r="BO395" s="75">
        <f t="shared" si="49"/>
        <v>0</v>
      </c>
      <c r="BP395" s="75">
        <f t="shared" si="50"/>
        <v>0</v>
      </c>
    </row>
    <row r="396" spans="1:68" ht="27" customHeight="1" x14ac:dyDescent="0.25">
      <c r="A396" s="60" t="s">
        <v>624</v>
      </c>
      <c r="B396" s="60" t="s">
        <v>625</v>
      </c>
      <c r="C396" s="34">
        <v>4301031362</v>
      </c>
      <c r="D396" s="560">
        <v>4607091384338</v>
      </c>
      <c r="E396" s="561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73</v>
      </c>
      <c r="L396" s="35"/>
      <c r="M396" s="36" t="s">
        <v>68</v>
      </c>
      <c r="N396" s="36"/>
      <c r="O396" s="35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7"/>
      <c r="V396" s="37"/>
      <c r="W396" s="38" t="s">
        <v>69</v>
      </c>
      <c r="X396" s="56">
        <v>10.5</v>
      </c>
      <c r="Y396" s="53">
        <f t="shared" si="46"/>
        <v>10.5</v>
      </c>
      <c r="Z396" s="39">
        <f t="shared" si="51"/>
        <v>2.5100000000000001E-2</v>
      </c>
      <c r="AA396" s="65"/>
      <c r="AB396" s="66"/>
      <c r="AC396" s="461" t="s">
        <v>615</v>
      </c>
      <c r="AG396" s="75"/>
      <c r="AJ396" s="79"/>
      <c r="AK396" s="79">
        <v>0</v>
      </c>
      <c r="BB396" s="462" t="s">
        <v>1</v>
      </c>
      <c r="BM396" s="75">
        <f t="shared" si="47"/>
        <v>11.149999999999999</v>
      </c>
      <c r="BN396" s="75">
        <f t="shared" si="48"/>
        <v>11.149999999999999</v>
      </c>
      <c r="BO396" s="75">
        <f t="shared" si="49"/>
        <v>2.1367521367521368E-2</v>
      </c>
      <c r="BP396" s="75">
        <f t="shared" si="50"/>
        <v>2.1367521367521368E-2</v>
      </c>
    </row>
    <row r="397" spans="1:68" ht="37.5" customHeight="1" x14ac:dyDescent="0.25">
      <c r="A397" s="60" t="s">
        <v>626</v>
      </c>
      <c r="B397" s="60" t="s">
        <v>627</v>
      </c>
      <c r="C397" s="34">
        <v>4301031361</v>
      </c>
      <c r="D397" s="560">
        <v>4607091389524</v>
      </c>
      <c r="E397" s="561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73</v>
      </c>
      <c r="L397" s="35"/>
      <c r="M397" s="36" t="s">
        <v>68</v>
      </c>
      <c r="N397" s="36"/>
      <c r="O397" s="35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7"/>
      <c r="V397" s="37"/>
      <c r="W397" s="38" t="s">
        <v>69</v>
      </c>
      <c r="X397" s="56">
        <v>0</v>
      </c>
      <c r="Y397" s="53">
        <f t="shared" si="46"/>
        <v>0</v>
      </c>
      <c r="Z397" s="39" t="str">
        <f t="shared" si="51"/>
        <v/>
      </c>
      <c r="AA397" s="65"/>
      <c r="AB397" s="66"/>
      <c r="AC397" s="463" t="s">
        <v>628</v>
      </c>
      <c r="AG397" s="75"/>
      <c r="AJ397" s="79"/>
      <c r="AK397" s="79">
        <v>0</v>
      </c>
      <c r="BB397" s="464" t="s">
        <v>1</v>
      </c>
      <c r="BM397" s="75">
        <f t="shared" si="47"/>
        <v>0</v>
      </c>
      <c r="BN397" s="75">
        <f t="shared" si="48"/>
        <v>0</v>
      </c>
      <c r="BO397" s="75">
        <f t="shared" si="49"/>
        <v>0</v>
      </c>
      <c r="BP397" s="75">
        <f t="shared" si="50"/>
        <v>0</v>
      </c>
    </row>
    <row r="398" spans="1:68" ht="27" customHeight="1" x14ac:dyDescent="0.25">
      <c r="A398" s="60" t="s">
        <v>629</v>
      </c>
      <c r="B398" s="60" t="s">
        <v>630</v>
      </c>
      <c r="C398" s="34">
        <v>4301031364</v>
      </c>
      <c r="D398" s="560">
        <v>4680115883161</v>
      </c>
      <c r="E398" s="561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73</v>
      </c>
      <c r="L398" s="35"/>
      <c r="M398" s="36" t="s">
        <v>68</v>
      </c>
      <c r="N398" s="36"/>
      <c r="O398" s="35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7"/>
      <c r="V398" s="37"/>
      <c r="W398" s="38" t="s">
        <v>69</v>
      </c>
      <c r="X398" s="56">
        <v>0</v>
      </c>
      <c r="Y398" s="53">
        <f t="shared" si="46"/>
        <v>0</v>
      </c>
      <c r="Z398" s="39" t="str">
        <f t="shared" si="51"/>
        <v/>
      </c>
      <c r="AA398" s="65"/>
      <c r="AB398" s="66"/>
      <c r="AC398" s="465" t="s">
        <v>631</v>
      </c>
      <c r="AG398" s="75"/>
      <c r="AJ398" s="79"/>
      <c r="AK398" s="79">
        <v>0</v>
      </c>
      <c r="BB398" s="466" t="s">
        <v>1</v>
      </c>
      <c r="BM398" s="75">
        <f t="shared" si="47"/>
        <v>0</v>
      </c>
      <c r="BN398" s="75">
        <f t="shared" si="48"/>
        <v>0</v>
      </c>
      <c r="BO398" s="75">
        <f t="shared" si="49"/>
        <v>0</v>
      </c>
      <c r="BP398" s="75">
        <f t="shared" si="50"/>
        <v>0</v>
      </c>
    </row>
    <row r="399" spans="1:68" ht="27" customHeight="1" x14ac:dyDescent="0.25">
      <c r="A399" s="60" t="s">
        <v>632</v>
      </c>
      <c r="B399" s="60" t="s">
        <v>633</v>
      </c>
      <c r="C399" s="34">
        <v>4301031358</v>
      </c>
      <c r="D399" s="560">
        <v>4607091389531</v>
      </c>
      <c r="E399" s="561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73</v>
      </c>
      <c r="L399" s="35"/>
      <c r="M399" s="36" t="s">
        <v>68</v>
      </c>
      <c r="N399" s="36"/>
      <c r="O399" s="35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7"/>
      <c r="V399" s="37"/>
      <c r="W399" s="38" t="s">
        <v>69</v>
      </c>
      <c r="X399" s="56">
        <v>10.5</v>
      </c>
      <c r="Y399" s="53">
        <f t="shared" si="46"/>
        <v>10.5</v>
      </c>
      <c r="Z399" s="39">
        <f t="shared" si="51"/>
        <v>2.5100000000000001E-2</v>
      </c>
      <c r="AA399" s="65"/>
      <c r="AB399" s="66"/>
      <c r="AC399" s="467" t="s">
        <v>634</v>
      </c>
      <c r="AG399" s="75"/>
      <c r="AJ399" s="79"/>
      <c r="AK399" s="79">
        <v>0</v>
      </c>
      <c r="BB399" s="468" t="s">
        <v>1</v>
      </c>
      <c r="BM399" s="75">
        <f t="shared" si="47"/>
        <v>11.149999999999999</v>
      </c>
      <c r="BN399" s="75">
        <f t="shared" si="48"/>
        <v>11.149999999999999</v>
      </c>
      <c r="BO399" s="75">
        <f t="shared" si="49"/>
        <v>2.1367521367521368E-2</v>
      </c>
      <c r="BP399" s="75">
        <f t="shared" si="50"/>
        <v>2.1367521367521368E-2</v>
      </c>
    </row>
    <row r="400" spans="1:68" ht="37.5" customHeight="1" x14ac:dyDescent="0.25">
      <c r="A400" s="60" t="s">
        <v>635</v>
      </c>
      <c r="B400" s="60" t="s">
        <v>636</v>
      </c>
      <c r="C400" s="34">
        <v>4301031360</v>
      </c>
      <c r="D400" s="560">
        <v>4607091384345</v>
      </c>
      <c r="E400" s="561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73</v>
      </c>
      <c r="L400" s="35"/>
      <c r="M400" s="36" t="s">
        <v>68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7"/>
      <c r="V400" s="37"/>
      <c r="W400" s="38" t="s">
        <v>69</v>
      </c>
      <c r="X400" s="56">
        <v>10.5</v>
      </c>
      <c r="Y400" s="53">
        <f t="shared" si="46"/>
        <v>10.5</v>
      </c>
      <c r="Z400" s="39">
        <f t="shared" si="51"/>
        <v>2.5100000000000001E-2</v>
      </c>
      <c r="AA400" s="65"/>
      <c r="AB400" s="66"/>
      <c r="AC400" s="469" t="s">
        <v>631</v>
      </c>
      <c r="AG400" s="75"/>
      <c r="AJ400" s="79"/>
      <c r="AK400" s="79">
        <v>0</v>
      </c>
      <c r="BB400" s="470" t="s">
        <v>1</v>
      </c>
      <c r="BM400" s="75">
        <f t="shared" si="47"/>
        <v>11.149999999999999</v>
      </c>
      <c r="BN400" s="75">
        <f t="shared" si="48"/>
        <v>11.149999999999999</v>
      </c>
      <c r="BO400" s="75">
        <f t="shared" si="49"/>
        <v>2.1367521367521368E-2</v>
      </c>
      <c r="BP400" s="75">
        <f t="shared" si="50"/>
        <v>2.1367521367521368E-2</v>
      </c>
    </row>
    <row r="401" spans="1:68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40" t="s">
        <v>76</v>
      </c>
      <c r="X401" s="41">
        <f>IFERROR(X392/H392,"0")+IFERROR(X393/H393,"0")+IFERROR(X394/H394,"0")+IFERROR(X395/H395,"0")+IFERROR(X396/H396,"0")+IFERROR(X397/H397,"0")+IFERROR(X398/H398,"0")+IFERROR(X399/H399,"0")+IFERROR(X400/H400,"0")</f>
        <v>21</v>
      </c>
      <c r="Y401" s="41">
        <f>IFERROR(Y392/H392,"0")+IFERROR(Y393/H393,"0")+IFERROR(Y394/H394,"0")+IFERROR(Y395/H395,"0")+IFERROR(Y396/H396,"0")+IFERROR(Y397/H397,"0")+IFERROR(Y398/H398,"0")+IFERROR(Y399/H399,"0")+IFERROR(Y400/H400,"0")</f>
        <v>21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0.12942000000000001</v>
      </c>
      <c r="AA401" s="64"/>
      <c r="AB401" s="64"/>
      <c r="AC401" s="64"/>
    </row>
    <row r="402" spans="1:68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40" t="s">
        <v>69</v>
      </c>
      <c r="X402" s="41">
        <f>IFERROR(SUM(X392:X400),"0")</f>
        <v>63.9</v>
      </c>
      <c r="Y402" s="41">
        <f>IFERROR(SUM(Y392:Y400),"0")</f>
        <v>63.900000000000006</v>
      </c>
      <c r="Z402" s="40"/>
      <c r="AA402" s="64"/>
      <c r="AB402" s="64"/>
      <c r="AC402" s="64"/>
    </row>
    <row r="403" spans="1:68" ht="14.25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3"/>
      <c r="AB403" s="63"/>
      <c r="AC403" s="63"/>
    </row>
    <row r="404" spans="1:68" ht="27" customHeight="1" x14ac:dyDescent="0.25">
      <c r="A404" s="60" t="s">
        <v>637</v>
      </c>
      <c r="B404" s="60" t="s">
        <v>638</v>
      </c>
      <c r="C404" s="34">
        <v>4301051284</v>
      </c>
      <c r="D404" s="560">
        <v>4607091384352</v>
      </c>
      <c r="E404" s="561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112</v>
      </c>
      <c r="L404" s="35" t="s">
        <v>115</v>
      </c>
      <c r="M404" s="36" t="s">
        <v>80</v>
      </c>
      <c r="N404" s="36"/>
      <c r="O404" s="35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7"/>
      <c r="V404" s="37"/>
      <c r="W404" s="38" t="s">
        <v>69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/>
      <c r="AB404" s="66"/>
      <c r="AC404" s="471" t="s">
        <v>639</v>
      </c>
      <c r="AG404" s="75"/>
      <c r="AJ404" s="79" t="s">
        <v>92</v>
      </c>
      <c r="AK404" s="79">
        <v>28.8</v>
      </c>
      <c r="BB404" s="472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640</v>
      </c>
      <c r="B405" s="60" t="s">
        <v>641</v>
      </c>
      <c r="C405" s="34">
        <v>4301051431</v>
      </c>
      <c r="D405" s="560">
        <v>4607091389654</v>
      </c>
      <c r="E405" s="561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67</v>
      </c>
      <c r="L405" s="35" t="s">
        <v>90</v>
      </c>
      <c r="M405" s="36" t="s">
        <v>80</v>
      </c>
      <c r="N405" s="36"/>
      <c r="O405" s="35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7"/>
      <c r="V405" s="37"/>
      <c r="W405" s="38" t="s">
        <v>69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/>
      <c r="AB405" s="66"/>
      <c r="AC405" s="473" t="s">
        <v>642</v>
      </c>
      <c r="AG405" s="75"/>
      <c r="AJ405" s="79" t="s">
        <v>92</v>
      </c>
      <c r="AK405" s="79">
        <v>27.72</v>
      </c>
      <c r="BB405" s="47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40" t="s">
        <v>76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40" t="s">
        <v>69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62"/>
      <c r="AB408" s="62"/>
      <c r="AC408" s="62"/>
    </row>
    <row r="409" spans="1:68" ht="14.25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3"/>
      <c r="AB409" s="63"/>
      <c r="AC409" s="63"/>
    </row>
    <row r="410" spans="1:68" ht="27" customHeight="1" x14ac:dyDescent="0.25">
      <c r="A410" s="60" t="s">
        <v>644</v>
      </c>
      <c r="B410" s="60" t="s">
        <v>645</v>
      </c>
      <c r="C410" s="34">
        <v>4301020319</v>
      </c>
      <c r="D410" s="560">
        <v>4680115885240</v>
      </c>
      <c r="E410" s="561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67</v>
      </c>
      <c r="L410" s="35"/>
      <c r="M410" s="36" t="s">
        <v>68</v>
      </c>
      <c r="N410" s="36"/>
      <c r="O410" s="35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7"/>
      <c r="V410" s="37"/>
      <c r="W410" s="38" t="s">
        <v>69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/>
      <c r="AB410" s="66"/>
      <c r="AC410" s="475" t="s">
        <v>646</v>
      </c>
      <c r="AG410" s="75"/>
      <c r="AJ410" s="79"/>
      <c r="AK410" s="79">
        <v>0</v>
      </c>
      <c r="BB410" s="476" t="s">
        <v>1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40" t="s">
        <v>76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40" t="s">
        <v>69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3"/>
      <c r="AB413" s="63"/>
      <c r="AC413" s="63"/>
    </row>
    <row r="414" spans="1:68" ht="27" customHeight="1" x14ac:dyDescent="0.25">
      <c r="A414" s="60" t="s">
        <v>647</v>
      </c>
      <c r="B414" s="60" t="s">
        <v>648</v>
      </c>
      <c r="C414" s="34">
        <v>4301031403</v>
      </c>
      <c r="D414" s="560">
        <v>4680115886094</v>
      </c>
      <c r="E414" s="561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112</v>
      </c>
      <c r="L414" s="35" t="s">
        <v>115</v>
      </c>
      <c r="M414" s="36" t="s">
        <v>108</v>
      </c>
      <c r="N414" s="36"/>
      <c r="O414" s="35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7"/>
      <c r="V414" s="37"/>
      <c r="W414" s="38" t="s">
        <v>69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/>
      <c r="AB414" s="66"/>
      <c r="AC414" s="477" t="s">
        <v>649</v>
      </c>
      <c r="AG414" s="75"/>
      <c r="AJ414" s="79" t="s">
        <v>92</v>
      </c>
      <c r="AK414" s="79">
        <v>64.8</v>
      </c>
      <c r="BB414" s="478" t="s">
        <v>1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650</v>
      </c>
      <c r="B415" s="60" t="s">
        <v>651</v>
      </c>
      <c r="C415" s="34">
        <v>4301031363</v>
      </c>
      <c r="D415" s="560">
        <v>4607091389425</v>
      </c>
      <c r="E415" s="561"/>
      <c r="F415" s="59">
        <v>0.35</v>
      </c>
      <c r="G415" s="35">
        <v>6</v>
      </c>
      <c r="H415" s="59">
        <v>2.1</v>
      </c>
      <c r="I415" s="59">
        <v>2.23</v>
      </c>
      <c r="J415" s="35">
        <v>234</v>
      </c>
      <c r="K415" s="35" t="s">
        <v>73</v>
      </c>
      <c r="L415" s="35"/>
      <c r="M415" s="36" t="s">
        <v>68</v>
      </c>
      <c r="N415" s="36"/>
      <c r="O415" s="35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7"/>
      <c r="V415" s="37"/>
      <c r="W415" s="38" t="s">
        <v>69</v>
      </c>
      <c r="X415" s="56">
        <v>10.5</v>
      </c>
      <c r="Y415" s="53">
        <f>IFERROR(IF(X415="",0,CEILING((X415/$H415),1)*$H415),"")</f>
        <v>10.5</v>
      </c>
      <c r="Z415" s="39">
        <f>IFERROR(IF(Y415=0,"",ROUNDUP(Y415/H415,0)*0.00502),"")</f>
        <v>2.5100000000000001E-2</v>
      </c>
      <c r="AA415" s="65"/>
      <c r="AB415" s="66"/>
      <c r="AC415" s="479" t="s">
        <v>652</v>
      </c>
      <c r="AG415" s="75"/>
      <c r="AJ415" s="79"/>
      <c r="AK415" s="79">
        <v>0</v>
      </c>
      <c r="BB415" s="480" t="s">
        <v>1</v>
      </c>
      <c r="BM415" s="75">
        <f>IFERROR(X415*I415/H415,"0")</f>
        <v>11.149999999999999</v>
      </c>
      <c r="BN415" s="75">
        <f>IFERROR(Y415*I415/H415,"0")</f>
        <v>11.149999999999999</v>
      </c>
      <c r="BO415" s="75">
        <f>IFERROR(1/J415*(X415/H415),"0")</f>
        <v>2.1367521367521368E-2</v>
      </c>
      <c r="BP415" s="75">
        <f>IFERROR(1/J415*(Y415/H415),"0")</f>
        <v>2.1367521367521368E-2</v>
      </c>
    </row>
    <row r="416" spans="1:68" ht="27" customHeight="1" x14ac:dyDescent="0.25">
      <c r="A416" s="60" t="s">
        <v>653</v>
      </c>
      <c r="B416" s="60" t="s">
        <v>654</v>
      </c>
      <c r="C416" s="34">
        <v>4301031373</v>
      </c>
      <c r="D416" s="560">
        <v>4680115880771</v>
      </c>
      <c r="E416" s="561"/>
      <c r="F416" s="59">
        <v>0.28000000000000003</v>
      </c>
      <c r="G416" s="35">
        <v>6</v>
      </c>
      <c r="H416" s="59">
        <v>1.68</v>
      </c>
      <c r="I416" s="59">
        <v>1.81</v>
      </c>
      <c r="J416" s="35">
        <v>234</v>
      </c>
      <c r="K416" s="35" t="s">
        <v>73</v>
      </c>
      <c r="L416" s="35"/>
      <c r="M416" s="36" t="s">
        <v>68</v>
      </c>
      <c r="N416" s="36"/>
      <c r="O416" s="35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7"/>
      <c r="V416" s="37"/>
      <c r="W416" s="38" t="s">
        <v>69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/>
      <c r="AB416" s="66"/>
      <c r="AC416" s="481" t="s">
        <v>655</v>
      </c>
      <c r="AG416" s="75"/>
      <c r="AJ416" s="79"/>
      <c r="AK416" s="79">
        <v>0</v>
      </c>
      <c r="BB416" s="482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656</v>
      </c>
      <c r="B417" s="60" t="s">
        <v>657</v>
      </c>
      <c r="C417" s="34">
        <v>4301031359</v>
      </c>
      <c r="D417" s="560">
        <v>4607091389500</v>
      </c>
      <c r="E417" s="561"/>
      <c r="F417" s="59">
        <v>0.35</v>
      </c>
      <c r="G417" s="35">
        <v>6</v>
      </c>
      <c r="H417" s="59">
        <v>2.1</v>
      </c>
      <c r="I417" s="59">
        <v>2.23</v>
      </c>
      <c r="J417" s="35">
        <v>234</v>
      </c>
      <c r="K417" s="35" t="s">
        <v>73</v>
      </c>
      <c r="L417" s="35"/>
      <c r="M417" s="36" t="s">
        <v>68</v>
      </c>
      <c r="N417" s="36"/>
      <c r="O417" s="35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7"/>
      <c r="V417" s="37"/>
      <c r="W417" s="38" t="s">
        <v>69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IFERROR(IF(Y417=0,"",ROUNDUP(Y417/H417,0)*0.00502),"")</f>
        <v/>
      </c>
      <c r="AA417" s="65"/>
      <c r="AB417" s="66"/>
      <c r="AC417" s="483" t="s">
        <v>655</v>
      </c>
      <c r="AG417" s="75"/>
      <c r="AJ417" s="79"/>
      <c r="AK417" s="79">
        <v>0</v>
      </c>
      <c r="BB417" s="484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40" t="s">
        <v>76</v>
      </c>
      <c r="X418" s="41">
        <f>IFERROR(X414/H414,"0")+IFERROR(X415/H415,"0")+IFERROR(X416/H416,"0")+IFERROR(X417/H417,"0")</f>
        <v>5</v>
      </c>
      <c r="Y418" s="41">
        <f>IFERROR(Y414/H414,"0")+IFERROR(Y415/H415,"0")+IFERROR(Y416/H416,"0")+IFERROR(Y417/H417,"0")</f>
        <v>5</v>
      </c>
      <c r="Z418" s="41">
        <f>IFERROR(IF(Z414="",0,Z414),"0")+IFERROR(IF(Z415="",0,Z415),"0")+IFERROR(IF(Z416="",0,Z416),"0")+IFERROR(IF(Z417="",0,Z417),"0")</f>
        <v>2.5100000000000001E-2</v>
      </c>
      <c r="AA418" s="64"/>
      <c r="AB418" s="64"/>
      <c r="AC418" s="64"/>
    </row>
    <row r="419" spans="1:68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40" t="s">
        <v>69</v>
      </c>
      <c r="X419" s="41">
        <f>IFERROR(SUM(X414:X417),"0")</f>
        <v>10.5</v>
      </c>
      <c r="Y419" s="41">
        <f>IFERROR(SUM(Y414:Y417),"0")</f>
        <v>10.5</v>
      </c>
      <c r="Z419" s="40"/>
      <c r="AA419" s="64"/>
      <c r="AB419" s="64"/>
      <c r="AC419" s="64"/>
    </row>
    <row r="420" spans="1:68" ht="16.5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2"/>
      <c r="AB420" s="62"/>
      <c r="AC420" s="62"/>
    </row>
    <row r="421" spans="1:68" ht="14.25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63"/>
      <c r="AB421" s="63"/>
      <c r="AC421" s="63"/>
    </row>
    <row r="422" spans="1:68" ht="27" customHeight="1" x14ac:dyDescent="0.25">
      <c r="A422" s="60" t="s">
        <v>659</v>
      </c>
      <c r="B422" s="60" t="s">
        <v>660</v>
      </c>
      <c r="C422" s="34">
        <v>4301031347</v>
      </c>
      <c r="D422" s="560">
        <v>4680115885110</v>
      </c>
      <c r="E422" s="561"/>
      <c r="F422" s="59">
        <v>0.2</v>
      </c>
      <c r="G422" s="35">
        <v>6</v>
      </c>
      <c r="H422" s="59">
        <v>1.2</v>
      </c>
      <c r="I422" s="59">
        <v>2.1</v>
      </c>
      <c r="J422" s="35">
        <v>182</v>
      </c>
      <c r="K422" s="35" t="s">
        <v>67</v>
      </c>
      <c r="L422" s="35"/>
      <c r="M422" s="36" t="s">
        <v>68</v>
      </c>
      <c r="N422" s="36"/>
      <c r="O422" s="35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7"/>
      <c r="V422" s="37"/>
      <c r="W422" s="38" t="s">
        <v>69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/>
      <c r="AB422" s="66"/>
      <c r="AC422" s="485" t="s">
        <v>661</v>
      </c>
      <c r="AG422" s="75"/>
      <c r="AJ422" s="79"/>
      <c r="AK422" s="79">
        <v>0</v>
      </c>
      <c r="BB422" s="486" t="s">
        <v>1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40" t="s">
        <v>76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40" t="s">
        <v>69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27.75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52"/>
      <c r="AB425" s="52"/>
      <c r="AC425" s="52"/>
    </row>
    <row r="426" spans="1:68" ht="16.5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2"/>
      <c r="AB426" s="62"/>
      <c r="AC426" s="62"/>
    </row>
    <row r="427" spans="1:68" ht="14.25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63"/>
      <c r="AB427" s="63"/>
      <c r="AC427" s="63"/>
    </row>
    <row r="428" spans="1:68" ht="27" customHeight="1" x14ac:dyDescent="0.25">
      <c r="A428" s="60" t="s">
        <v>663</v>
      </c>
      <c r="B428" s="60" t="s">
        <v>664</v>
      </c>
      <c r="C428" s="34">
        <v>4301011795</v>
      </c>
      <c r="D428" s="560">
        <v>4607091389067</v>
      </c>
      <c r="E428" s="561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106</v>
      </c>
      <c r="L428" s="35" t="s">
        <v>107</v>
      </c>
      <c r="M428" s="36" t="s">
        <v>108</v>
      </c>
      <c r="N428" s="36"/>
      <c r="O428" s="35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7"/>
      <c r="V428" s="37"/>
      <c r="W428" s="38" t="s">
        <v>69</v>
      </c>
      <c r="X428" s="56">
        <v>0</v>
      </c>
      <c r="Y428" s="53">
        <f t="shared" ref="Y428:Y439" si="52">IFERROR(IF(X428="",0,CEILING((X428/$H428),1)*$H428),"")</f>
        <v>0</v>
      </c>
      <c r="Z428" s="39" t="str">
        <f t="shared" ref="Z428:Z434" si="53">IFERROR(IF(Y428=0,"",ROUNDUP(Y428/H428,0)*0.01196),"")</f>
        <v/>
      </c>
      <c r="AA428" s="65"/>
      <c r="AB428" s="66"/>
      <c r="AC428" s="487" t="s">
        <v>109</v>
      </c>
      <c r="AG428" s="75"/>
      <c r="AJ428" s="79" t="s">
        <v>92</v>
      </c>
      <c r="AK428" s="79">
        <v>42.24</v>
      </c>
      <c r="BB428" s="488" t="s">
        <v>1</v>
      </c>
      <c r="BM428" s="75">
        <f t="shared" ref="BM428:BM439" si="54">IFERROR(X428*I428/H428,"0")</f>
        <v>0</v>
      </c>
      <c r="BN428" s="75">
        <f t="shared" ref="BN428:BN439" si="55">IFERROR(Y428*I428/H428,"0")</f>
        <v>0</v>
      </c>
      <c r="BO428" s="75">
        <f t="shared" ref="BO428:BO439" si="56">IFERROR(1/J428*(X428/H428),"0")</f>
        <v>0</v>
      </c>
      <c r="BP428" s="75">
        <f t="shared" ref="BP428:BP439" si="57">IFERROR(1/J428*(Y428/H428),"0")</f>
        <v>0</v>
      </c>
    </row>
    <row r="429" spans="1:68" ht="27" customHeight="1" x14ac:dyDescent="0.25">
      <c r="A429" s="60" t="s">
        <v>665</v>
      </c>
      <c r="B429" s="60" t="s">
        <v>666</v>
      </c>
      <c r="C429" s="34">
        <v>4301012145</v>
      </c>
      <c r="D429" s="560">
        <v>4607091383522</v>
      </c>
      <c r="E429" s="561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106</v>
      </c>
      <c r="L429" s="35"/>
      <c r="M429" s="36" t="s">
        <v>108</v>
      </c>
      <c r="N429" s="36"/>
      <c r="O429" s="35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7"/>
      <c r="V429" s="37"/>
      <c r="W429" s="38" t="s">
        <v>69</v>
      </c>
      <c r="X429" s="56">
        <v>26.4</v>
      </c>
      <c r="Y429" s="53">
        <f t="shared" si="52"/>
        <v>26.400000000000002</v>
      </c>
      <c r="Z429" s="39">
        <f t="shared" si="53"/>
        <v>5.9799999999999999E-2</v>
      </c>
      <c r="AA429" s="65"/>
      <c r="AB429" s="66"/>
      <c r="AC429" s="489" t="s">
        <v>667</v>
      </c>
      <c r="AG429" s="75"/>
      <c r="AJ429" s="79"/>
      <c r="AK429" s="79">
        <v>0</v>
      </c>
      <c r="BB429" s="490" t="s">
        <v>1</v>
      </c>
      <c r="BM429" s="75">
        <f t="shared" si="54"/>
        <v>28.149999999999995</v>
      </c>
      <c r="BN429" s="75">
        <f t="shared" si="55"/>
        <v>28.15</v>
      </c>
      <c r="BO429" s="75">
        <f t="shared" si="56"/>
        <v>4.8076923076923073E-2</v>
      </c>
      <c r="BP429" s="75">
        <f t="shared" si="57"/>
        <v>4.807692307692308E-2</v>
      </c>
    </row>
    <row r="430" spans="1:68" ht="27" customHeight="1" x14ac:dyDescent="0.25">
      <c r="A430" s="60" t="s">
        <v>665</v>
      </c>
      <c r="B430" s="60" t="s">
        <v>668</v>
      </c>
      <c r="C430" s="34">
        <v>4301012210</v>
      </c>
      <c r="D430" s="560">
        <v>4607091383522</v>
      </c>
      <c r="E430" s="561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106</v>
      </c>
      <c r="L430" s="35"/>
      <c r="M430" s="36" t="s">
        <v>108</v>
      </c>
      <c r="N430" s="36"/>
      <c r="O430" s="35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7"/>
      <c r="V430" s="37"/>
      <c r="W430" s="38" t="s">
        <v>69</v>
      </c>
      <c r="X430" s="56">
        <v>0</v>
      </c>
      <c r="Y430" s="53">
        <f t="shared" si="52"/>
        <v>0</v>
      </c>
      <c r="Z430" s="39" t="str">
        <f t="shared" si="53"/>
        <v/>
      </c>
      <c r="AA430" s="65"/>
      <c r="AB430" s="66"/>
      <c r="AC430" s="491" t="s">
        <v>667</v>
      </c>
      <c r="AG430" s="75"/>
      <c r="AJ430" s="79"/>
      <c r="AK430" s="79">
        <v>0</v>
      </c>
      <c r="BB430" s="492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customHeight="1" x14ac:dyDescent="0.25">
      <c r="A431" s="60" t="s">
        <v>669</v>
      </c>
      <c r="B431" s="60" t="s">
        <v>670</v>
      </c>
      <c r="C431" s="34">
        <v>4301011961</v>
      </c>
      <c r="D431" s="560">
        <v>4680115885271</v>
      </c>
      <c r="E431" s="561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106</v>
      </c>
      <c r="L431" s="35" t="s">
        <v>107</v>
      </c>
      <c r="M431" s="36" t="s">
        <v>108</v>
      </c>
      <c r="N431" s="36"/>
      <c r="O431" s="35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7"/>
      <c r="V431" s="37"/>
      <c r="W431" s="38" t="s">
        <v>69</v>
      </c>
      <c r="X431" s="56">
        <v>0</v>
      </c>
      <c r="Y431" s="53">
        <f t="shared" si="52"/>
        <v>0</v>
      </c>
      <c r="Z431" s="39" t="str">
        <f t="shared" si="53"/>
        <v/>
      </c>
      <c r="AA431" s="65"/>
      <c r="AB431" s="66"/>
      <c r="AC431" s="493" t="s">
        <v>671</v>
      </c>
      <c r="AG431" s="75"/>
      <c r="AJ431" s="79" t="s">
        <v>92</v>
      </c>
      <c r="AK431" s="79">
        <v>42.24</v>
      </c>
      <c r="BB431" s="494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672</v>
      </c>
      <c r="B432" s="60" t="s">
        <v>673</v>
      </c>
      <c r="C432" s="34">
        <v>4301011376</v>
      </c>
      <c r="D432" s="560">
        <v>4680115885226</v>
      </c>
      <c r="E432" s="561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106</v>
      </c>
      <c r="L432" s="35" t="s">
        <v>107</v>
      </c>
      <c r="M432" s="36" t="s">
        <v>80</v>
      </c>
      <c r="N432" s="36"/>
      <c r="O432" s="35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7"/>
      <c r="V432" s="37"/>
      <c r="W432" s="38" t="s">
        <v>69</v>
      </c>
      <c r="X432" s="56">
        <v>26.4</v>
      </c>
      <c r="Y432" s="53">
        <f t="shared" si="52"/>
        <v>26.400000000000002</v>
      </c>
      <c r="Z432" s="39">
        <f t="shared" si="53"/>
        <v>5.9799999999999999E-2</v>
      </c>
      <c r="AA432" s="65"/>
      <c r="AB432" s="66"/>
      <c r="AC432" s="495" t="s">
        <v>674</v>
      </c>
      <c r="AG432" s="75"/>
      <c r="AJ432" s="79" t="s">
        <v>92</v>
      </c>
      <c r="AK432" s="79">
        <v>42.24</v>
      </c>
      <c r="BB432" s="496" t="s">
        <v>1</v>
      </c>
      <c r="BM432" s="75">
        <f t="shared" si="54"/>
        <v>28.149999999999995</v>
      </c>
      <c r="BN432" s="75">
        <f t="shared" si="55"/>
        <v>28.15</v>
      </c>
      <c r="BO432" s="75">
        <f t="shared" si="56"/>
        <v>4.8076923076923073E-2</v>
      </c>
      <c r="BP432" s="75">
        <f t="shared" si="57"/>
        <v>4.807692307692308E-2</v>
      </c>
    </row>
    <row r="433" spans="1:68" ht="16.5" customHeight="1" x14ac:dyDescent="0.25">
      <c r="A433" s="60" t="s">
        <v>675</v>
      </c>
      <c r="B433" s="60" t="s">
        <v>676</v>
      </c>
      <c r="C433" s="34">
        <v>4301011774</v>
      </c>
      <c r="D433" s="560">
        <v>4680115884502</v>
      </c>
      <c r="E433" s="561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106</v>
      </c>
      <c r="L433" s="35"/>
      <c r="M433" s="36" t="s">
        <v>108</v>
      </c>
      <c r="N433" s="36"/>
      <c r="O433" s="35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7"/>
      <c r="V433" s="37"/>
      <c r="W433" s="38" t="s">
        <v>69</v>
      </c>
      <c r="X433" s="56">
        <v>0</v>
      </c>
      <c r="Y433" s="53">
        <f t="shared" si="52"/>
        <v>0</v>
      </c>
      <c r="Z433" s="39" t="str">
        <f t="shared" si="53"/>
        <v/>
      </c>
      <c r="AA433" s="65"/>
      <c r="AB433" s="66"/>
      <c r="AC433" s="497" t="s">
        <v>677</v>
      </c>
      <c r="AG433" s="75"/>
      <c r="AJ433" s="79"/>
      <c r="AK433" s="79">
        <v>0</v>
      </c>
      <c r="BB433" s="498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ht="27" customHeight="1" x14ac:dyDescent="0.25">
      <c r="A434" s="60" t="s">
        <v>678</v>
      </c>
      <c r="B434" s="60" t="s">
        <v>679</v>
      </c>
      <c r="C434" s="34">
        <v>4301011771</v>
      </c>
      <c r="D434" s="560">
        <v>4607091389104</v>
      </c>
      <c r="E434" s="561"/>
      <c r="F434" s="59">
        <v>0.88</v>
      </c>
      <c r="G434" s="35">
        <v>6</v>
      </c>
      <c r="H434" s="59">
        <v>5.28</v>
      </c>
      <c r="I434" s="59">
        <v>5.63</v>
      </c>
      <c r="J434" s="35">
        <v>104</v>
      </c>
      <c r="K434" s="35" t="s">
        <v>106</v>
      </c>
      <c r="L434" s="35" t="s">
        <v>107</v>
      </c>
      <c r="M434" s="36" t="s">
        <v>108</v>
      </c>
      <c r="N434" s="36"/>
      <c r="O434" s="35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7"/>
      <c r="V434" s="37"/>
      <c r="W434" s="38" t="s">
        <v>69</v>
      </c>
      <c r="X434" s="56">
        <v>15.84</v>
      </c>
      <c r="Y434" s="53">
        <f t="shared" si="52"/>
        <v>15.84</v>
      </c>
      <c r="Z434" s="39">
        <f t="shared" si="53"/>
        <v>3.5880000000000002E-2</v>
      </c>
      <c r="AA434" s="65"/>
      <c r="AB434" s="66"/>
      <c r="AC434" s="499" t="s">
        <v>680</v>
      </c>
      <c r="AG434" s="75"/>
      <c r="AJ434" s="79" t="s">
        <v>92</v>
      </c>
      <c r="AK434" s="79">
        <v>42.24</v>
      </c>
      <c r="BB434" s="500" t="s">
        <v>1</v>
      </c>
      <c r="BM434" s="75">
        <f t="shared" si="54"/>
        <v>16.889999999999997</v>
      </c>
      <c r="BN434" s="75">
        <f t="shared" si="55"/>
        <v>16.889999999999997</v>
      </c>
      <c r="BO434" s="75">
        <f t="shared" si="56"/>
        <v>2.8846153846153848E-2</v>
      </c>
      <c r="BP434" s="75">
        <f t="shared" si="57"/>
        <v>2.8846153846153848E-2</v>
      </c>
    </row>
    <row r="435" spans="1:68" ht="27" customHeight="1" x14ac:dyDescent="0.25">
      <c r="A435" s="60" t="s">
        <v>681</v>
      </c>
      <c r="B435" s="60" t="s">
        <v>682</v>
      </c>
      <c r="C435" s="34">
        <v>4301012125</v>
      </c>
      <c r="D435" s="560">
        <v>4680115886391</v>
      </c>
      <c r="E435" s="561"/>
      <c r="F435" s="59">
        <v>0.4</v>
      </c>
      <c r="G435" s="35">
        <v>6</v>
      </c>
      <c r="H435" s="59">
        <v>2.4</v>
      </c>
      <c r="I435" s="59">
        <v>2.58</v>
      </c>
      <c r="J435" s="35">
        <v>182</v>
      </c>
      <c r="K435" s="35" t="s">
        <v>67</v>
      </c>
      <c r="L435" s="35"/>
      <c r="M435" s="36" t="s">
        <v>80</v>
      </c>
      <c r="N435" s="36"/>
      <c r="O435" s="35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7"/>
      <c r="V435" s="37"/>
      <c r="W435" s="38" t="s">
        <v>69</v>
      </c>
      <c r="X435" s="56">
        <v>0</v>
      </c>
      <c r="Y435" s="53">
        <f t="shared" si="52"/>
        <v>0</v>
      </c>
      <c r="Z435" s="39" t="str">
        <f>IFERROR(IF(Y435=0,"",ROUNDUP(Y435/H435,0)*0.00651),"")</f>
        <v/>
      </c>
      <c r="AA435" s="65"/>
      <c r="AB435" s="66"/>
      <c r="AC435" s="501" t="s">
        <v>109</v>
      </c>
      <c r="AG435" s="75"/>
      <c r="AJ435" s="79"/>
      <c r="AK435" s="79">
        <v>0</v>
      </c>
      <c r="BB435" s="502" t="s">
        <v>1</v>
      </c>
      <c r="BM435" s="75">
        <f t="shared" si="54"/>
        <v>0</v>
      </c>
      <c r="BN435" s="75">
        <f t="shared" si="55"/>
        <v>0</v>
      </c>
      <c r="BO435" s="75">
        <f t="shared" si="56"/>
        <v>0</v>
      </c>
      <c r="BP435" s="75">
        <f t="shared" si="57"/>
        <v>0</v>
      </c>
    </row>
    <row r="436" spans="1:68" ht="27" customHeight="1" x14ac:dyDescent="0.25">
      <c r="A436" s="60" t="s">
        <v>683</v>
      </c>
      <c r="B436" s="60" t="s">
        <v>684</v>
      </c>
      <c r="C436" s="34">
        <v>4301012035</v>
      </c>
      <c r="D436" s="560">
        <v>4680115880603</v>
      </c>
      <c r="E436" s="561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112</v>
      </c>
      <c r="L436" s="35"/>
      <c r="M436" s="36" t="s">
        <v>108</v>
      </c>
      <c r="N436" s="36"/>
      <c r="O436" s="35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7"/>
      <c r="V436" s="37"/>
      <c r="W436" s="38" t="s">
        <v>69</v>
      </c>
      <c r="X436" s="56">
        <v>0</v>
      </c>
      <c r="Y436" s="53">
        <f t="shared" si="52"/>
        <v>0</v>
      </c>
      <c r="Z436" s="39" t="str">
        <f>IFERROR(IF(Y436=0,"",ROUNDUP(Y436/H436,0)*0.00902),"")</f>
        <v/>
      </c>
      <c r="AA436" s="65"/>
      <c r="AB436" s="66"/>
      <c r="AC436" s="503" t="s">
        <v>109</v>
      </c>
      <c r="AG436" s="75"/>
      <c r="AJ436" s="79"/>
      <c r="AK436" s="79">
        <v>0</v>
      </c>
      <c r="BB436" s="504" t="s">
        <v>1</v>
      </c>
      <c r="BM436" s="75">
        <f t="shared" si="54"/>
        <v>0</v>
      </c>
      <c r="BN436" s="75">
        <f t="shared" si="55"/>
        <v>0</v>
      </c>
      <c r="BO436" s="75">
        <f t="shared" si="56"/>
        <v>0</v>
      </c>
      <c r="BP436" s="75">
        <f t="shared" si="57"/>
        <v>0</v>
      </c>
    </row>
    <row r="437" spans="1:68" ht="27" customHeight="1" x14ac:dyDescent="0.25">
      <c r="A437" s="60" t="s">
        <v>685</v>
      </c>
      <c r="B437" s="60" t="s">
        <v>686</v>
      </c>
      <c r="C437" s="34">
        <v>4301012036</v>
      </c>
      <c r="D437" s="560">
        <v>4680115882782</v>
      </c>
      <c r="E437" s="561"/>
      <c r="F437" s="59">
        <v>0.6</v>
      </c>
      <c r="G437" s="35">
        <v>8</v>
      </c>
      <c r="H437" s="59">
        <v>4.8</v>
      </c>
      <c r="I437" s="59">
        <v>6.96</v>
      </c>
      <c r="J437" s="35">
        <v>120</v>
      </c>
      <c r="K437" s="35" t="s">
        <v>112</v>
      </c>
      <c r="L437" s="35"/>
      <c r="M437" s="36" t="s">
        <v>108</v>
      </c>
      <c r="N437" s="36"/>
      <c r="O437" s="35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7"/>
      <c r="V437" s="37"/>
      <c r="W437" s="38" t="s">
        <v>69</v>
      </c>
      <c r="X437" s="56">
        <v>0</v>
      </c>
      <c r="Y437" s="53">
        <f t="shared" si="52"/>
        <v>0</v>
      </c>
      <c r="Z437" s="39" t="str">
        <f>IFERROR(IF(Y437=0,"",ROUNDUP(Y437/H437,0)*0.00937),"")</f>
        <v/>
      </c>
      <c r="AA437" s="65"/>
      <c r="AB437" s="66"/>
      <c r="AC437" s="505" t="s">
        <v>671</v>
      </c>
      <c r="AG437" s="75"/>
      <c r="AJ437" s="79"/>
      <c r="AK437" s="79">
        <v>0</v>
      </c>
      <c r="BB437" s="506" t="s">
        <v>1</v>
      </c>
      <c r="BM437" s="75">
        <f t="shared" si="54"/>
        <v>0</v>
      </c>
      <c r="BN437" s="75">
        <f t="shared" si="55"/>
        <v>0</v>
      </c>
      <c r="BO437" s="75">
        <f t="shared" si="56"/>
        <v>0</v>
      </c>
      <c r="BP437" s="75">
        <f t="shared" si="57"/>
        <v>0</v>
      </c>
    </row>
    <row r="438" spans="1:68" ht="27" customHeight="1" x14ac:dyDescent="0.25">
      <c r="A438" s="60" t="s">
        <v>687</v>
      </c>
      <c r="B438" s="60" t="s">
        <v>688</v>
      </c>
      <c r="C438" s="34">
        <v>4301012050</v>
      </c>
      <c r="D438" s="560">
        <v>4680115885479</v>
      </c>
      <c r="E438" s="561"/>
      <c r="F438" s="59">
        <v>0.4</v>
      </c>
      <c r="G438" s="35">
        <v>6</v>
      </c>
      <c r="H438" s="59">
        <v>2.4</v>
      </c>
      <c r="I438" s="59">
        <v>2.58</v>
      </c>
      <c r="J438" s="35">
        <v>182</v>
      </c>
      <c r="K438" s="35" t="s">
        <v>67</v>
      </c>
      <c r="L438" s="35"/>
      <c r="M438" s="36" t="s">
        <v>108</v>
      </c>
      <c r="N438" s="36"/>
      <c r="O438" s="35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7"/>
      <c r="V438" s="37"/>
      <c r="W438" s="38" t="s">
        <v>69</v>
      </c>
      <c r="X438" s="56">
        <v>0</v>
      </c>
      <c r="Y438" s="53">
        <f t="shared" si="52"/>
        <v>0</v>
      </c>
      <c r="Z438" s="39" t="str">
        <f>IFERROR(IF(Y438=0,"",ROUNDUP(Y438/H438,0)*0.00651),"")</f>
        <v/>
      </c>
      <c r="AA438" s="65"/>
      <c r="AB438" s="66"/>
      <c r="AC438" s="507" t="s">
        <v>689</v>
      </c>
      <c r="AG438" s="75"/>
      <c r="AJ438" s="79"/>
      <c r="AK438" s="79">
        <v>0</v>
      </c>
      <c r="BB438" s="508" t="s">
        <v>1</v>
      </c>
      <c r="BM438" s="75">
        <f t="shared" si="54"/>
        <v>0</v>
      </c>
      <c r="BN438" s="75">
        <f t="shared" si="55"/>
        <v>0</v>
      </c>
      <c r="BO438" s="75">
        <f t="shared" si="56"/>
        <v>0</v>
      </c>
      <c r="BP438" s="75">
        <f t="shared" si="57"/>
        <v>0</v>
      </c>
    </row>
    <row r="439" spans="1:68" ht="27" customHeight="1" x14ac:dyDescent="0.25">
      <c r="A439" s="60" t="s">
        <v>690</v>
      </c>
      <c r="B439" s="60" t="s">
        <v>691</v>
      </c>
      <c r="C439" s="34">
        <v>4301012034</v>
      </c>
      <c r="D439" s="560">
        <v>4607091389982</v>
      </c>
      <c r="E439" s="561"/>
      <c r="F439" s="59">
        <v>0.6</v>
      </c>
      <c r="G439" s="35">
        <v>8</v>
      </c>
      <c r="H439" s="59">
        <v>4.8</v>
      </c>
      <c r="I439" s="59">
        <v>6.91</v>
      </c>
      <c r="J439" s="35">
        <v>132</v>
      </c>
      <c r="K439" s="35" t="s">
        <v>112</v>
      </c>
      <c r="L439" s="35"/>
      <c r="M439" s="36" t="s">
        <v>108</v>
      </c>
      <c r="N439" s="36"/>
      <c r="O439" s="35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7"/>
      <c r="V439" s="37"/>
      <c r="W439" s="38" t="s">
        <v>69</v>
      </c>
      <c r="X439" s="56">
        <v>0</v>
      </c>
      <c r="Y439" s="53">
        <f t="shared" si="52"/>
        <v>0</v>
      </c>
      <c r="Z439" s="39" t="str">
        <f>IFERROR(IF(Y439=0,"",ROUNDUP(Y439/H439,0)*0.00902),"")</f>
        <v/>
      </c>
      <c r="AA439" s="65"/>
      <c r="AB439" s="66"/>
      <c r="AC439" s="509" t="s">
        <v>680</v>
      </c>
      <c r="AG439" s="75"/>
      <c r="AJ439" s="79"/>
      <c r="AK439" s="79">
        <v>0</v>
      </c>
      <c r="BB439" s="510" t="s">
        <v>1</v>
      </c>
      <c r="BM439" s="75">
        <f t="shared" si="54"/>
        <v>0</v>
      </c>
      <c r="BN439" s="75">
        <f t="shared" si="55"/>
        <v>0</v>
      </c>
      <c r="BO439" s="75">
        <f t="shared" si="56"/>
        <v>0</v>
      </c>
      <c r="BP439" s="75">
        <f t="shared" si="57"/>
        <v>0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40" t="s">
        <v>76</v>
      </c>
      <c r="X440" s="4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12.999999999999998</v>
      </c>
      <c r="Y440" s="4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13</v>
      </c>
      <c r="Z440" s="4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0.15548000000000001</v>
      </c>
      <c r="AA440" s="64"/>
      <c r="AB440" s="64"/>
      <c r="AC440" s="64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40" t="s">
        <v>69</v>
      </c>
      <c r="X441" s="41">
        <f>IFERROR(SUM(X428:X439),"0")</f>
        <v>68.64</v>
      </c>
      <c r="Y441" s="41">
        <f>IFERROR(SUM(Y428:Y439),"0")</f>
        <v>68.64</v>
      </c>
      <c r="Z441" s="40"/>
      <c r="AA441" s="64"/>
      <c r="AB441" s="64"/>
      <c r="AC441" s="64"/>
    </row>
    <row r="442" spans="1:68" ht="14.25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63"/>
      <c r="AB442" s="63"/>
      <c r="AC442" s="63"/>
    </row>
    <row r="443" spans="1:68" ht="16.5" customHeight="1" x14ac:dyDescent="0.25">
      <c r="A443" s="60" t="s">
        <v>692</v>
      </c>
      <c r="B443" s="60" t="s">
        <v>693</v>
      </c>
      <c r="C443" s="34">
        <v>4301020334</v>
      </c>
      <c r="D443" s="560">
        <v>4607091388930</v>
      </c>
      <c r="E443" s="561"/>
      <c r="F443" s="59">
        <v>0.88</v>
      </c>
      <c r="G443" s="35">
        <v>6</v>
      </c>
      <c r="H443" s="59">
        <v>5.28</v>
      </c>
      <c r="I443" s="59">
        <v>5.63</v>
      </c>
      <c r="J443" s="35">
        <v>104</v>
      </c>
      <c r="K443" s="35" t="s">
        <v>106</v>
      </c>
      <c r="L443" s="35" t="s">
        <v>107</v>
      </c>
      <c r="M443" s="36" t="s">
        <v>80</v>
      </c>
      <c r="N443" s="36"/>
      <c r="O443" s="35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7"/>
      <c r="V443" s="37"/>
      <c r="W443" s="38" t="s">
        <v>69</v>
      </c>
      <c r="X443" s="56">
        <v>26.4</v>
      </c>
      <c r="Y443" s="53">
        <f>IFERROR(IF(X443="",0,CEILING((X443/$H443),1)*$H443),"")</f>
        <v>26.400000000000002</v>
      </c>
      <c r="Z443" s="39">
        <f>IFERROR(IF(Y443=0,"",ROUNDUP(Y443/H443,0)*0.01196),"")</f>
        <v>5.9799999999999999E-2</v>
      </c>
      <c r="AA443" s="65"/>
      <c r="AB443" s="66"/>
      <c r="AC443" s="511" t="s">
        <v>694</v>
      </c>
      <c r="AG443" s="75"/>
      <c r="AJ443" s="79" t="s">
        <v>92</v>
      </c>
      <c r="AK443" s="79">
        <v>42.24</v>
      </c>
      <c r="BB443" s="512" t="s">
        <v>1</v>
      </c>
      <c r="BM443" s="75">
        <f>IFERROR(X443*I443/H443,"0")</f>
        <v>28.149999999999995</v>
      </c>
      <c r="BN443" s="75">
        <f>IFERROR(Y443*I443/H443,"0")</f>
        <v>28.15</v>
      </c>
      <c r="BO443" s="75">
        <f>IFERROR(1/J443*(X443/H443),"0")</f>
        <v>4.8076923076923073E-2</v>
      </c>
      <c r="BP443" s="75">
        <f>IFERROR(1/J443*(Y443/H443),"0")</f>
        <v>4.807692307692308E-2</v>
      </c>
    </row>
    <row r="444" spans="1:68" ht="16.5" customHeight="1" x14ac:dyDescent="0.25">
      <c r="A444" s="60" t="s">
        <v>695</v>
      </c>
      <c r="B444" s="60" t="s">
        <v>696</v>
      </c>
      <c r="C444" s="34">
        <v>4301020384</v>
      </c>
      <c r="D444" s="560">
        <v>4680115886407</v>
      </c>
      <c r="E444" s="561"/>
      <c r="F444" s="59">
        <v>0.4</v>
      </c>
      <c r="G444" s="35">
        <v>6</v>
      </c>
      <c r="H444" s="59">
        <v>2.4</v>
      </c>
      <c r="I444" s="59">
        <v>2.58</v>
      </c>
      <c r="J444" s="35">
        <v>182</v>
      </c>
      <c r="K444" s="35" t="s">
        <v>67</v>
      </c>
      <c r="L444" s="35"/>
      <c r="M444" s="36" t="s">
        <v>80</v>
      </c>
      <c r="N444" s="36"/>
      <c r="O444" s="35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7"/>
      <c r="V444" s="37"/>
      <c r="W444" s="38" t="s">
        <v>69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IFERROR(IF(Y444=0,"",ROUNDUP(Y444/H444,0)*0.00651),"")</f>
        <v/>
      </c>
      <c r="AA444" s="65"/>
      <c r="AB444" s="66"/>
      <c r="AC444" s="513" t="s">
        <v>694</v>
      </c>
      <c r="AG444" s="75"/>
      <c r="AJ444" s="79"/>
      <c r="AK444" s="79">
        <v>0</v>
      </c>
      <c r="BB444" s="514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customHeight="1" x14ac:dyDescent="0.25">
      <c r="A445" s="60" t="s">
        <v>697</v>
      </c>
      <c r="B445" s="60" t="s">
        <v>698</v>
      </c>
      <c r="C445" s="34">
        <v>4301020385</v>
      </c>
      <c r="D445" s="560">
        <v>4680115880054</v>
      </c>
      <c r="E445" s="561"/>
      <c r="F445" s="59">
        <v>0.6</v>
      </c>
      <c r="G445" s="35">
        <v>8</v>
      </c>
      <c r="H445" s="59">
        <v>4.8</v>
      </c>
      <c r="I445" s="59">
        <v>6.91</v>
      </c>
      <c r="J445" s="35">
        <v>132</v>
      </c>
      <c r="K445" s="35" t="s">
        <v>112</v>
      </c>
      <c r="L445" s="35"/>
      <c r="M445" s="36" t="s">
        <v>108</v>
      </c>
      <c r="N445" s="36"/>
      <c r="O445" s="35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7"/>
      <c r="V445" s="37"/>
      <c r="W445" s="38" t="s">
        <v>69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/>
      <c r="AB445" s="66"/>
      <c r="AC445" s="515" t="s">
        <v>694</v>
      </c>
      <c r="AG445" s="75"/>
      <c r="AJ445" s="79"/>
      <c r="AK445" s="79">
        <v>0</v>
      </c>
      <c r="BB445" s="516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40" t="s">
        <v>76</v>
      </c>
      <c r="X446" s="41">
        <f>IFERROR(X443/H443,"0")+IFERROR(X444/H444,"0")+IFERROR(X445/H445,"0")</f>
        <v>4.9999999999999991</v>
      </c>
      <c r="Y446" s="41">
        <f>IFERROR(Y443/H443,"0")+IFERROR(Y444/H444,"0")+IFERROR(Y445/H445,"0")</f>
        <v>5</v>
      </c>
      <c r="Z446" s="41">
        <f>IFERROR(IF(Z443="",0,Z443),"0")+IFERROR(IF(Z444="",0,Z444),"0")+IFERROR(IF(Z445="",0,Z445),"0")</f>
        <v>5.9799999999999999E-2</v>
      </c>
      <c r="AA446" s="64"/>
      <c r="AB446" s="64"/>
      <c r="AC446" s="64"/>
    </row>
    <row r="447" spans="1:68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40" t="s">
        <v>69</v>
      </c>
      <c r="X447" s="41">
        <f>IFERROR(SUM(X443:X445),"0")</f>
        <v>26.4</v>
      </c>
      <c r="Y447" s="41">
        <f>IFERROR(SUM(Y443:Y445),"0")</f>
        <v>26.400000000000002</v>
      </c>
      <c r="Z447" s="40"/>
      <c r="AA447" s="64"/>
      <c r="AB447" s="64"/>
      <c r="AC447" s="64"/>
    </row>
    <row r="448" spans="1:68" ht="14.25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63"/>
      <c r="AB448" s="63"/>
      <c r="AC448" s="63"/>
    </row>
    <row r="449" spans="1:68" ht="27" customHeight="1" x14ac:dyDescent="0.25">
      <c r="A449" s="60" t="s">
        <v>699</v>
      </c>
      <c r="B449" s="60" t="s">
        <v>700</v>
      </c>
      <c r="C449" s="34">
        <v>4301031349</v>
      </c>
      <c r="D449" s="560">
        <v>4680115883116</v>
      </c>
      <c r="E449" s="561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106</v>
      </c>
      <c r="L449" s="35" t="s">
        <v>107</v>
      </c>
      <c r="M449" s="36" t="s">
        <v>108</v>
      </c>
      <c r="N449" s="36"/>
      <c r="O449" s="35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7"/>
      <c r="V449" s="37"/>
      <c r="W449" s="38" t="s">
        <v>69</v>
      </c>
      <c r="X449" s="56">
        <v>15.84</v>
      </c>
      <c r="Y449" s="53">
        <f t="shared" ref="Y449:Y454" si="58">IFERROR(IF(X449="",0,CEILING((X449/$H449),1)*$H449),"")</f>
        <v>15.84</v>
      </c>
      <c r="Z449" s="39">
        <f>IFERROR(IF(Y449=0,"",ROUNDUP(Y449/H449,0)*0.01196),"")</f>
        <v>3.5880000000000002E-2</v>
      </c>
      <c r="AA449" s="65"/>
      <c r="AB449" s="66"/>
      <c r="AC449" s="517" t="s">
        <v>701</v>
      </c>
      <c r="AG449" s="75"/>
      <c r="AJ449" s="79" t="s">
        <v>92</v>
      </c>
      <c r="AK449" s="79">
        <v>42.24</v>
      </c>
      <c r="BB449" s="518" t="s">
        <v>1</v>
      </c>
      <c r="BM449" s="75">
        <f t="shared" ref="BM449:BM454" si="59">IFERROR(X449*I449/H449,"0")</f>
        <v>16.889999999999997</v>
      </c>
      <c r="BN449" s="75">
        <f t="shared" ref="BN449:BN454" si="60">IFERROR(Y449*I449/H449,"0")</f>
        <v>16.889999999999997</v>
      </c>
      <c r="BO449" s="75">
        <f t="shared" ref="BO449:BO454" si="61">IFERROR(1/J449*(X449/H449),"0")</f>
        <v>2.8846153846153848E-2</v>
      </c>
      <c r="BP449" s="75">
        <f t="shared" ref="BP449:BP454" si="62">IFERROR(1/J449*(Y449/H449),"0")</f>
        <v>2.8846153846153848E-2</v>
      </c>
    </row>
    <row r="450" spans="1:68" ht="27" customHeight="1" x14ac:dyDescent="0.25">
      <c r="A450" s="60" t="s">
        <v>702</v>
      </c>
      <c r="B450" s="60" t="s">
        <v>703</v>
      </c>
      <c r="C450" s="34">
        <v>4301031350</v>
      </c>
      <c r="D450" s="560">
        <v>4680115883093</v>
      </c>
      <c r="E450" s="561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106</v>
      </c>
      <c r="L450" s="35" t="s">
        <v>107</v>
      </c>
      <c r="M450" s="36" t="s">
        <v>68</v>
      </c>
      <c r="N450" s="36"/>
      <c r="O450" s="35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7"/>
      <c r="V450" s="37"/>
      <c r="W450" s="38" t="s">
        <v>69</v>
      </c>
      <c r="X450" s="56">
        <v>15.84</v>
      </c>
      <c r="Y450" s="53">
        <f t="shared" si="58"/>
        <v>15.84</v>
      </c>
      <c r="Z450" s="39">
        <f>IFERROR(IF(Y450=0,"",ROUNDUP(Y450/H450,0)*0.01196),"")</f>
        <v>3.5880000000000002E-2</v>
      </c>
      <c r="AA450" s="65"/>
      <c r="AB450" s="66"/>
      <c r="AC450" s="519" t="s">
        <v>704</v>
      </c>
      <c r="AG450" s="75"/>
      <c r="AJ450" s="79" t="s">
        <v>92</v>
      </c>
      <c r="AK450" s="79">
        <v>42.24</v>
      </c>
      <c r="BB450" s="520" t="s">
        <v>1</v>
      </c>
      <c r="BM450" s="75">
        <f t="shared" si="59"/>
        <v>16.889999999999997</v>
      </c>
      <c r="BN450" s="75">
        <f t="shared" si="60"/>
        <v>16.889999999999997</v>
      </c>
      <c r="BO450" s="75">
        <f t="shared" si="61"/>
        <v>2.8846153846153848E-2</v>
      </c>
      <c r="BP450" s="75">
        <f t="shared" si="62"/>
        <v>2.8846153846153848E-2</v>
      </c>
    </row>
    <row r="451" spans="1:68" ht="27" customHeight="1" x14ac:dyDescent="0.25">
      <c r="A451" s="60" t="s">
        <v>705</v>
      </c>
      <c r="B451" s="60" t="s">
        <v>706</v>
      </c>
      <c r="C451" s="34">
        <v>4301031353</v>
      </c>
      <c r="D451" s="560">
        <v>4680115883109</v>
      </c>
      <c r="E451" s="561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106</v>
      </c>
      <c r="L451" s="35" t="s">
        <v>107</v>
      </c>
      <c r="M451" s="36" t="s">
        <v>68</v>
      </c>
      <c r="N451" s="36"/>
      <c r="O451" s="35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7"/>
      <c r="V451" s="37"/>
      <c r="W451" s="38" t="s">
        <v>69</v>
      </c>
      <c r="X451" s="56">
        <v>15.84</v>
      </c>
      <c r="Y451" s="53">
        <f t="shared" si="58"/>
        <v>15.84</v>
      </c>
      <c r="Z451" s="39">
        <f>IFERROR(IF(Y451=0,"",ROUNDUP(Y451/H451,0)*0.01196),"")</f>
        <v>3.5880000000000002E-2</v>
      </c>
      <c r="AA451" s="65"/>
      <c r="AB451" s="66"/>
      <c r="AC451" s="521" t="s">
        <v>707</v>
      </c>
      <c r="AG451" s="75"/>
      <c r="AJ451" s="79" t="s">
        <v>92</v>
      </c>
      <c r="AK451" s="79">
        <v>42.24</v>
      </c>
      <c r="BB451" s="522" t="s">
        <v>1</v>
      </c>
      <c r="BM451" s="75">
        <f t="shared" si="59"/>
        <v>16.889999999999997</v>
      </c>
      <c r="BN451" s="75">
        <f t="shared" si="60"/>
        <v>16.889999999999997</v>
      </c>
      <c r="BO451" s="75">
        <f t="shared" si="61"/>
        <v>2.8846153846153848E-2</v>
      </c>
      <c r="BP451" s="75">
        <f t="shared" si="62"/>
        <v>2.8846153846153848E-2</v>
      </c>
    </row>
    <row r="452" spans="1:68" ht="27" customHeight="1" x14ac:dyDescent="0.25">
      <c r="A452" s="60" t="s">
        <v>708</v>
      </c>
      <c r="B452" s="60" t="s">
        <v>709</v>
      </c>
      <c r="C452" s="34">
        <v>4301031419</v>
      </c>
      <c r="D452" s="560">
        <v>4680115882072</v>
      </c>
      <c r="E452" s="561"/>
      <c r="F452" s="59">
        <v>0.6</v>
      </c>
      <c r="G452" s="35">
        <v>8</v>
      </c>
      <c r="H452" s="59">
        <v>4.8</v>
      </c>
      <c r="I452" s="59">
        <v>6.91</v>
      </c>
      <c r="J452" s="35">
        <v>132</v>
      </c>
      <c r="K452" s="35" t="s">
        <v>112</v>
      </c>
      <c r="L452" s="35"/>
      <c r="M452" s="36" t="s">
        <v>108</v>
      </c>
      <c r="N452" s="36"/>
      <c r="O452" s="35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7"/>
      <c r="V452" s="37"/>
      <c r="W452" s="38" t="s">
        <v>69</v>
      </c>
      <c r="X452" s="56">
        <v>0</v>
      </c>
      <c r="Y452" s="53">
        <f t="shared" si="58"/>
        <v>0</v>
      </c>
      <c r="Z452" s="39" t="str">
        <f>IFERROR(IF(Y452=0,"",ROUNDUP(Y452/H452,0)*0.00902),"")</f>
        <v/>
      </c>
      <c r="AA452" s="65"/>
      <c r="AB452" s="66"/>
      <c r="AC452" s="523" t="s">
        <v>701</v>
      </c>
      <c r="AG452" s="75"/>
      <c r="AJ452" s="79"/>
      <c r="AK452" s="79">
        <v>0</v>
      </c>
      <c r="BB452" s="524" t="s">
        <v>1</v>
      </c>
      <c r="BM452" s="75">
        <f t="shared" si="59"/>
        <v>0</v>
      </c>
      <c r="BN452" s="75">
        <f t="shared" si="60"/>
        <v>0</v>
      </c>
      <c r="BO452" s="75">
        <f t="shared" si="61"/>
        <v>0</v>
      </c>
      <c r="BP452" s="75">
        <f t="shared" si="62"/>
        <v>0</v>
      </c>
    </row>
    <row r="453" spans="1:68" ht="27" customHeight="1" x14ac:dyDescent="0.25">
      <c r="A453" s="60" t="s">
        <v>710</v>
      </c>
      <c r="B453" s="60" t="s">
        <v>711</v>
      </c>
      <c r="C453" s="34">
        <v>4301031418</v>
      </c>
      <c r="D453" s="560">
        <v>4680115882102</v>
      </c>
      <c r="E453" s="561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112</v>
      </c>
      <c r="L453" s="35"/>
      <c r="M453" s="36" t="s">
        <v>68</v>
      </c>
      <c r="N453" s="36"/>
      <c r="O453" s="35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7"/>
      <c r="V453" s="37"/>
      <c r="W453" s="38" t="s">
        <v>69</v>
      </c>
      <c r="X453" s="56">
        <v>0</v>
      </c>
      <c r="Y453" s="53">
        <f t="shared" si="58"/>
        <v>0</v>
      </c>
      <c r="Z453" s="39" t="str">
        <f>IFERROR(IF(Y453=0,"",ROUNDUP(Y453/H453,0)*0.00902),"")</f>
        <v/>
      </c>
      <c r="AA453" s="65"/>
      <c r="AB453" s="66"/>
      <c r="AC453" s="525" t="s">
        <v>704</v>
      </c>
      <c r="AG453" s="75"/>
      <c r="AJ453" s="79"/>
      <c r="AK453" s="79">
        <v>0</v>
      </c>
      <c r="BB453" s="526" t="s">
        <v>1</v>
      </c>
      <c r="BM453" s="75">
        <f t="shared" si="59"/>
        <v>0</v>
      </c>
      <c r="BN453" s="75">
        <f t="shared" si="60"/>
        <v>0</v>
      </c>
      <c r="BO453" s="75">
        <f t="shared" si="61"/>
        <v>0</v>
      </c>
      <c r="BP453" s="75">
        <f t="shared" si="62"/>
        <v>0</v>
      </c>
    </row>
    <row r="454" spans="1:68" ht="27" customHeight="1" x14ac:dyDescent="0.25">
      <c r="A454" s="60" t="s">
        <v>712</v>
      </c>
      <c r="B454" s="60" t="s">
        <v>713</v>
      </c>
      <c r="C454" s="34">
        <v>4301031417</v>
      </c>
      <c r="D454" s="560">
        <v>4680115882096</v>
      </c>
      <c r="E454" s="561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112</v>
      </c>
      <c r="L454" s="35"/>
      <c r="M454" s="36" t="s">
        <v>68</v>
      </c>
      <c r="N454" s="36"/>
      <c r="O454" s="35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7"/>
      <c r="V454" s="37"/>
      <c r="W454" s="38" t="s">
        <v>69</v>
      </c>
      <c r="X454" s="56">
        <v>0</v>
      </c>
      <c r="Y454" s="53">
        <f t="shared" si="58"/>
        <v>0</v>
      </c>
      <c r="Z454" s="39" t="str">
        <f>IFERROR(IF(Y454=0,"",ROUNDUP(Y454/H454,0)*0.00902),"")</f>
        <v/>
      </c>
      <c r="AA454" s="65"/>
      <c r="AB454" s="66"/>
      <c r="AC454" s="527" t="s">
        <v>707</v>
      </c>
      <c r="AG454" s="75"/>
      <c r="AJ454" s="79"/>
      <c r="AK454" s="79">
        <v>0</v>
      </c>
      <c r="BB454" s="528" t="s">
        <v>1</v>
      </c>
      <c r="BM454" s="75">
        <f t="shared" si="59"/>
        <v>0</v>
      </c>
      <c r="BN454" s="75">
        <f t="shared" si="60"/>
        <v>0</v>
      </c>
      <c r="BO454" s="75">
        <f t="shared" si="61"/>
        <v>0</v>
      </c>
      <c r="BP454" s="75">
        <f t="shared" si="62"/>
        <v>0</v>
      </c>
    </row>
    <row r="455" spans="1:68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40" t="s">
        <v>76</v>
      </c>
      <c r="X455" s="41">
        <f>IFERROR(X449/H449,"0")+IFERROR(X450/H450,"0")+IFERROR(X451/H451,"0")+IFERROR(X452/H452,"0")+IFERROR(X453/H453,"0")+IFERROR(X454/H454,"0")</f>
        <v>9</v>
      </c>
      <c r="Y455" s="41">
        <f>IFERROR(Y449/H449,"0")+IFERROR(Y450/H450,"0")+IFERROR(Y451/H451,"0")+IFERROR(Y452/H452,"0")+IFERROR(Y453/H453,"0")+IFERROR(Y454/H454,"0")</f>
        <v>9</v>
      </c>
      <c r="Z455" s="41">
        <f>IFERROR(IF(Z449="",0,Z449),"0")+IFERROR(IF(Z450="",0,Z450),"0")+IFERROR(IF(Z451="",0,Z451),"0")+IFERROR(IF(Z452="",0,Z452),"0")+IFERROR(IF(Z453="",0,Z453),"0")+IFERROR(IF(Z454="",0,Z454),"0")</f>
        <v>0.10764000000000001</v>
      </c>
      <c r="AA455" s="64"/>
      <c r="AB455" s="64"/>
      <c r="AC455" s="64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40" t="s">
        <v>69</v>
      </c>
      <c r="X456" s="41">
        <f>IFERROR(SUM(X449:X454),"0")</f>
        <v>47.519999999999996</v>
      </c>
      <c r="Y456" s="41">
        <f>IFERROR(SUM(Y449:Y454),"0")</f>
        <v>47.519999999999996</v>
      </c>
      <c r="Z456" s="40"/>
      <c r="AA456" s="64"/>
      <c r="AB456" s="64"/>
      <c r="AC456" s="64"/>
    </row>
    <row r="457" spans="1:68" ht="14.25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63"/>
      <c r="AB457" s="63"/>
      <c r="AC457" s="63"/>
    </row>
    <row r="458" spans="1:68" ht="27" customHeight="1" x14ac:dyDescent="0.25">
      <c r="A458" s="60" t="s">
        <v>714</v>
      </c>
      <c r="B458" s="60" t="s">
        <v>715</v>
      </c>
      <c r="C458" s="34">
        <v>4301051064</v>
      </c>
      <c r="D458" s="560">
        <v>4680115883536</v>
      </c>
      <c r="E458" s="561"/>
      <c r="F458" s="59">
        <v>0.3</v>
      </c>
      <c r="G458" s="35">
        <v>6</v>
      </c>
      <c r="H458" s="59">
        <v>1.8</v>
      </c>
      <c r="I458" s="59">
        <v>2.0459999999999998</v>
      </c>
      <c r="J458" s="35">
        <v>182</v>
      </c>
      <c r="K458" s="35" t="s">
        <v>67</v>
      </c>
      <c r="L458" s="35"/>
      <c r="M458" s="36" t="s">
        <v>80</v>
      </c>
      <c r="N458" s="36"/>
      <c r="O458" s="35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7"/>
      <c r="V458" s="37"/>
      <c r="W458" s="38" t="s">
        <v>69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29" t="s">
        <v>716</v>
      </c>
      <c r="AG458" s="75"/>
      <c r="AJ458" s="79"/>
      <c r="AK458" s="79">
        <v>0</v>
      </c>
      <c r="BB458" s="530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40" t="s">
        <v>76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40" t="s">
        <v>69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27.75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52"/>
      <c r="AB461" s="52"/>
      <c r="AC461" s="52"/>
    </row>
    <row r="462" spans="1:68" ht="16.5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62"/>
      <c r="AB462" s="62"/>
      <c r="AC462" s="62"/>
    </row>
    <row r="463" spans="1:68" ht="14.25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63"/>
      <c r="AB463" s="63"/>
      <c r="AC463" s="63"/>
    </row>
    <row r="464" spans="1:68" ht="27" customHeight="1" x14ac:dyDescent="0.25">
      <c r="A464" s="60" t="s">
        <v>718</v>
      </c>
      <c r="B464" s="60" t="s">
        <v>719</v>
      </c>
      <c r="C464" s="34">
        <v>4301011763</v>
      </c>
      <c r="D464" s="560">
        <v>4640242181011</v>
      </c>
      <c r="E464" s="561"/>
      <c r="F464" s="59">
        <v>1.35</v>
      </c>
      <c r="G464" s="35">
        <v>8</v>
      </c>
      <c r="H464" s="59">
        <v>10.8</v>
      </c>
      <c r="I464" s="59">
        <v>11.21</v>
      </c>
      <c r="J464" s="35">
        <v>64</v>
      </c>
      <c r="K464" s="35" t="s">
        <v>106</v>
      </c>
      <c r="L464" s="35"/>
      <c r="M464" s="36" t="s">
        <v>80</v>
      </c>
      <c r="N464" s="36"/>
      <c r="O464" s="35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7"/>
      <c r="V464" s="37"/>
      <c r="W464" s="38" t="s">
        <v>69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31" t="s">
        <v>720</v>
      </c>
      <c r="AG464" s="75"/>
      <c r="AJ464" s="79"/>
      <c r="AK464" s="79">
        <v>0</v>
      </c>
      <c r="BB464" s="532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721</v>
      </c>
      <c r="B465" s="60" t="s">
        <v>722</v>
      </c>
      <c r="C465" s="34">
        <v>4301011585</v>
      </c>
      <c r="D465" s="560">
        <v>4640242180441</v>
      </c>
      <c r="E465" s="561"/>
      <c r="F465" s="59">
        <v>1.5</v>
      </c>
      <c r="G465" s="35">
        <v>8</v>
      </c>
      <c r="H465" s="59">
        <v>12</v>
      </c>
      <c r="I465" s="59">
        <v>12.41</v>
      </c>
      <c r="J465" s="35">
        <v>64</v>
      </c>
      <c r="K465" s="35" t="s">
        <v>106</v>
      </c>
      <c r="L465" s="35"/>
      <c r="M465" s="36" t="s">
        <v>108</v>
      </c>
      <c r="N465" s="36"/>
      <c r="O465" s="35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7"/>
      <c r="V465" s="37"/>
      <c r="W465" s="38" t="s">
        <v>69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/>
      <c r="AB465" s="66"/>
      <c r="AC465" s="533" t="s">
        <v>723</v>
      </c>
      <c r="AG465" s="75"/>
      <c r="AJ465" s="79"/>
      <c r="AK465" s="79">
        <v>0</v>
      </c>
      <c r="BB465" s="534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724</v>
      </c>
      <c r="B466" s="60" t="s">
        <v>725</v>
      </c>
      <c r="C466" s="34">
        <v>4301011584</v>
      </c>
      <c r="D466" s="560">
        <v>4640242180564</v>
      </c>
      <c r="E466" s="561"/>
      <c r="F466" s="59">
        <v>1.5</v>
      </c>
      <c r="G466" s="35">
        <v>8</v>
      </c>
      <c r="H466" s="59">
        <v>12</v>
      </c>
      <c r="I466" s="59">
        <v>12.41</v>
      </c>
      <c r="J466" s="35">
        <v>64</v>
      </c>
      <c r="K466" s="35" t="s">
        <v>106</v>
      </c>
      <c r="L466" s="35" t="s">
        <v>107</v>
      </c>
      <c r="M466" s="36" t="s">
        <v>108</v>
      </c>
      <c r="N466" s="36"/>
      <c r="O466" s="35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7"/>
      <c r="V466" s="37"/>
      <c r="W466" s="38" t="s">
        <v>69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/>
      <c r="AB466" s="66"/>
      <c r="AC466" s="535" t="s">
        <v>726</v>
      </c>
      <c r="AG466" s="75"/>
      <c r="AJ466" s="79" t="s">
        <v>92</v>
      </c>
      <c r="AK466" s="79">
        <v>96</v>
      </c>
      <c r="BB466" s="536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727</v>
      </c>
      <c r="B467" s="60" t="s">
        <v>728</v>
      </c>
      <c r="C467" s="34">
        <v>4301011764</v>
      </c>
      <c r="D467" s="560">
        <v>4640242181189</v>
      </c>
      <c r="E467" s="561"/>
      <c r="F467" s="59">
        <v>0.4</v>
      </c>
      <c r="G467" s="35">
        <v>10</v>
      </c>
      <c r="H467" s="59">
        <v>4</v>
      </c>
      <c r="I467" s="59">
        <v>4.1900000000000004</v>
      </c>
      <c r="J467" s="35">
        <v>132</v>
      </c>
      <c r="K467" s="35" t="s">
        <v>112</v>
      </c>
      <c r="L467" s="35"/>
      <c r="M467" s="36" t="s">
        <v>80</v>
      </c>
      <c r="N467" s="36"/>
      <c r="O467" s="35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7"/>
      <c r="V467" s="37"/>
      <c r="W467" s="38" t="s">
        <v>69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/>
      <c r="AB467" s="66"/>
      <c r="AC467" s="537" t="s">
        <v>720</v>
      </c>
      <c r="AG467" s="75"/>
      <c r="AJ467" s="79"/>
      <c r="AK467" s="79">
        <v>0</v>
      </c>
      <c r="BB467" s="538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40" t="s">
        <v>76</v>
      </c>
      <c r="X468" s="41">
        <f>IFERROR(X464/H464,"0")+IFERROR(X465/H465,"0")+IFERROR(X466/H466,"0")+IFERROR(X467/H467,"0")</f>
        <v>0</v>
      </c>
      <c r="Y468" s="41">
        <f>IFERROR(Y464/H464,"0")+IFERROR(Y465/H465,"0")+IFERROR(Y466/H466,"0")+IFERROR(Y467/H467,"0")</f>
        <v>0</v>
      </c>
      <c r="Z468" s="41">
        <f>IFERROR(IF(Z464="",0,Z464),"0")+IFERROR(IF(Z465="",0,Z465),"0")+IFERROR(IF(Z466="",0,Z466),"0")+IFERROR(IF(Z467="",0,Z467),"0")</f>
        <v>0</v>
      </c>
      <c r="AA468" s="64"/>
      <c r="AB468" s="64"/>
      <c r="AC468" s="64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40" t="s">
        <v>69</v>
      </c>
      <c r="X469" s="41">
        <f>IFERROR(SUM(X464:X467),"0")</f>
        <v>0</v>
      </c>
      <c r="Y469" s="41">
        <f>IFERROR(SUM(Y464:Y467),"0")</f>
        <v>0</v>
      </c>
      <c r="Z469" s="40"/>
      <c r="AA469" s="64"/>
      <c r="AB469" s="64"/>
      <c r="AC469" s="64"/>
    </row>
    <row r="470" spans="1:68" ht="14.25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3"/>
      <c r="AB470" s="63"/>
      <c r="AC470" s="63"/>
    </row>
    <row r="471" spans="1:68" ht="27" customHeight="1" x14ac:dyDescent="0.25">
      <c r="A471" s="60" t="s">
        <v>729</v>
      </c>
      <c r="B471" s="60" t="s">
        <v>730</v>
      </c>
      <c r="C471" s="34">
        <v>4301020400</v>
      </c>
      <c r="D471" s="560">
        <v>4640242180519</v>
      </c>
      <c r="E471" s="561"/>
      <c r="F471" s="59">
        <v>1.5</v>
      </c>
      <c r="G471" s="35">
        <v>8</v>
      </c>
      <c r="H471" s="59">
        <v>12</v>
      </c>
      <c r="I471" s="59">
        <v>12.41</v>
      </c>
      <c r="J471" s="35">
        <v>64</v>
      </c>
      <c r="K471" s="35" t="s">
        <v>106</v>
      </c>
      <c r="L471" s="35"/>
      <c r="M471" s="36" t="s">
        <v>108</v>
      </c>
      <c r="N471" s="36"/>
      <c r="O471" s="35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7"/>
      <c r="V471" s="37"/>
      <c r="W471" s="38" t="s">
        <v>69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IFERROR(IF(Y471=0,"",ROUNDUP(Y471/H471,0)*0.01898),"")</f>
        <v/>
      </c>
      <c r="AA471" s="65"/>
      <c r="AB471" s="66"/>
      <c r="AC471" s="539" t="s">
        <v>731</v>
      </c>
      <c r="AG471" s="75"/>
      <c r="AJ471" s="79"/>
      <c r="AK471" s="79">
        <v>0</v>
      </c>
      <c r="BB471" s="540" t="s">
        <v>1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732</v>
      </c>
      <c r="B472" s="60" t="s">
        <v>733</v>
      </c>
      <c r="C472" s="34">
        <v>4301020260</v>
      </c>
      <c r="D472" s="560">
        <v>4640242180526</v>
      </c>
      <c r="E472" s="561"/>
      <c r="F472" s="59">
        <v>1.8</v>
      </c>
      <c r="G472" s="35">
        <v>6</v>
      </c>
      <c r="H472" s="59">
        <v>10.8</v>
      </c>
      <c r="I472" s="59">
        <v>11.21</v>
      </c>
      <c r="J472" s="35">
        <v>64</v>
      </c>
      <c r="K472" s="35" t="s">
        <v>106</v>
      </c>
      <c r="L472" s="35"/>
      <c r="M472" s="36" t="s">
        <v>108</v>
      </c>
      <c r="N472" s="36"/>
      <c r="O472" s="35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7"/>
      <c r="V472" s="37"/>
      <c r="W472" s="38" t="s">
        <v>69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IFERROR(IF(Y472=0,"",ROUNDUP(Y472/H472,0)*0.01898),"")</f>
        <v/>
      </c>
      <c r="AA472" s="65"/>
      <c r="AB472" s="66"/>
      <c r="AC472" s="541" t="s">
        <v>734</v>
      </c>
      <c r="AG472" s="75"/>
      <c r="AJ472" s="79"/>
      <c r="AK472" s="79">
        <v>0</v>
      </c>
      <c r="BB472" s="542" t="s">
        <v>1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40" t="s">
        <v>76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40" t="s">
        <v>69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63"/>
      <c r="AB475" s="63"/>
      <c r="AC475" s="63"/>
    </row>
    <row r="476" spans="1:68" ht="27" customHeight="1" x14ac:dyDescent="0.25">
      <c r="A476" s="60" t="s">
        <v>735</v>
      </c>
      <c r="B476" s="60" t="s">
        <v>736</v>
      </c>
      <c r="C476" s="34">
        <v>4301031244</v>
      </c>
      <c r="D476" s="560">
        <v>4640242180595</v>
      </c>
      <c r="E476" s="561"/>
      <c r="F476" s="59">
        <v>0.7</v>
      </c>
      <c r="G476" s="35">
        <v>6</v>
      </c>
      <c r="H476" s="59">
        <v>4.2</v>
      </c>
      <c r="I476" s="59">
        <v>4.45</v>
      </c>
      <c r="J476" s="35">
        <v>132</v>
      </c>
      <c r="K476" s="35" t="s">
        <v>112</v>
      </c>
      <c r="L476" s="35" t="s">
        <v>115</v>
      </c>
      <c r="M476" s="36" t="s">
        <v>68</v>
      </c>
      <c r="N476" s="36"/>
      <c r="O476" s="35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7"/>
      <c r="V476" s="37"/>
      <c r="W476" s="38" t="s">
        <v>69</v>
      </c>
      <c r="X476" s="56">
        <v>21</v>
      </c>
      <c r="Y476" s="53">
        <f>IFERROR(IF(X476="",0,CEILING((X476/$H476),1)*$H476),"")</f>
        <v>21</v>
      </c>
      <c r="Z476" s="39">
        <f>IFERROR(IF(Y476=0,"",ROUNDUP(Y476/H476,0)*0.00902),"")</f>
        <v>4.5100000000000001E-2</v>
      </c>
      <c r="AA476" s="65"/>
      <c r="AB476" s="66"/>
      <c r="AC476" s="543" t="s">
        <v>737</v>
      </c>
      <c r="AG476" s="75"/>
      <c r="AJ476" s="79" t="s">
        <v>92</v>
      </c>
      <c r="AK476" s="79">
        <v>50.4</v>
      </c>
      <c r="BB476" s="544" t="s">
        <v>1</v>
      </c>
      <c r="BM476" s="75">
        <f>IFERROR(X476*I476/H476,"0")</f>
        <v>22.25</v>
      </c>
      <c r="BN476" s="75">
        <f>IFERROR(Y476*I476/H476,"0")</f>
        <v>22.25</v>
      </c>
      <c r="BO476" s="75">
        <f>IFERROR(1/J476*(X476/H476),"0")</f>
        <v>3.787878787878788E-2</v>
      </c>
      <c r="BP476" s="75">
        <f>IFERROR(1/J476*(Y476/H476),"0")</f>
        <v>3.787878787878788E-2</v>
      </c>
    </row>
    <row r="477" spans="1:68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40" t="s">
        <v>76</v>
      </c>
      <c r="X477" s="41">
        <f>IFERROR(X476/H476,"0")</f>
        <v>5</v>
      </c>
      <c r="Y477" s="41">
        <f>IFERROR(Y476/H476,"0")</f>
        <v>5</v>
      </c>
      <c r="Z477" s="41">
        <f>IFERROR(IF(Z476="",0,Z476),"0")</f>
        <v>4.5100000000000001E-2</v>
      </c>
      <c r="AA477" s="64"/>
      <c r="AB477" s="64"/>
      <c r="AC477" s="64"/>
    </row>
    <row r="478" spans="1:68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40" t="s">
        <v>69</v>
      </c>
      <c r="X478" s="41">
        <f>IFERROR(SUM(X476:X476),"0")</f>
        <v>21</v>
      </c>
      <c r="Y478" s="41">
        <f>IFERROR(SUM(Y476:Y476),"0")</f>
        <v>21</v>
      </c>
      <c r="Z478" s="40"/>
      <c r="AA478" s="64"/>
      <c r="AB478" s="64"/>
      <c r="AC478" s="64"/>
    </row>
    <row r="479" spans="1:68" ht="14.25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63"/>
      <c r="AB479" s="63"/>
      <c r="AC479" s="63"/>
    </row>
    <row r="480" spans="1:68" ht="27" customHeight="1" x14ac:dyDescent="0.25">
      <c r="A480" s="60" t="s">
        <v>738</v>
      </c>
      <c r="B480" s="60" t="s">
        <v>739</v>
      </c>
      <c r="C480" s="34">
        <v>4301052046</v>
      </c>
      <c r="D480" s="560">
        <v>4640242180533</v>
      </c>
      <c r="E480" s="561"/>
      <c r="F480" s="59">
        <v>1.5</v>
      </c>
      <c r="G480" s="35">
        <v>6</v>
      </c>
      <c r="H480" s="59">
        <v>9</v>
      </c>
      <c r="I480" s="59">
        <v>9.4939999999999998</v>
      </c>
      <c r="J480" s="35">
        <v>64</v>
      </c>
      <c r="K480" s="35" t="s">
        <v>106</v>
      </c>
      <c r="L480" s="35" t="s">
        <v>107</v>
      </c>
      <c r="M480" s="36" t="s">
        <v>86</v>
      </c>
      <c r="N480" s="36"/>
      <c r="O480" s="35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7"/>
      <c r="V480" s="37"/>
      <c r="W480" s="38" t="s">
        <v>69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/>
      <c r="AB480" s="66"/>
      <c r="AC480" s="545" t="s">
        <v>740</v>
      </c>
      <c r="AG480" s="75"/>
      <c r="AJ480" s="79" t="s">
        <v>92</v>
      </c>
      <c r="AK480" s="79">
        <v>72</v>
      </c>
      <c r="BB480" s="546" t="s">
        <v>1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40" t="s">
        <v>76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40" t="s">
        <v>69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63"/>
      <c r="AB483" s="63"/>
      <c r="AC483" s="63"/>
    </row>
    <row r="484" spans="1:68" ht="27" customHeight="1" x14ac:dyDescent="0.25">
      <c r="A484" s="60" t="s">
        <v>741</v>
      </c>
      <c r="B484" s="60" t="s">
        <v>742</v>
      </c>
      <c r="C484" s="34">
        <v>4301060491</v>
      </c>
      <c r="D484" s="560">
        <v>4640242180120</v>
      </c>
      <c r="E484" s="561"/>
      <c r="F484" s="59">
        <v>1.5</v>
      </c>
      <c r="G484" s="35">
        <v>6</v>
      </c>
      <c r="H484" s="59">
        <v>9</v>
      </c>
      <c r="I484" s="59">
        <v>9.41</v>
      </c>
      <c r="J484" s="35">
        <v>64</v>
      </c>
      <c r="K484" s="35" t="s">
        <v>106</v>
      </c>
      <c r="L484" s="35"/>
      <c r="M484" s="36" t="s">
        <v>80</v>
      </c>
      <c r="N484" s="36"/>
      <c r="O484" s="35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7"/>
      <c r="V484" s="37"/>
      <c r="W484" s="38" t="s">
        <v>69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IFERROR(IF(Y484=0,"",ROUNDUP(Y484/H484,0)*0.01898),"")</f>
        <v/>
      </c>
      <c r="AA484" s="65"/>
      <c r="AB484" s="66"/>
      <c r="AC484" s="547" t="s">
        <v>743</v>
      </c>
      <c r="AG484" s="75"/>
      <c r="AJ484" s="79"/>
      <c r="AK484" s="79">
        <v>0</v>
      </c>
      <c r="BB484" s="548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customHeight="1" x14ac:dyDescent="0.25">
      <c r="A485" s="60" t="s">
        <v>744</v>
      </c>
      <c r="B485" s="60" t="s">
        <v>745</v>
      </c>
      <c r="C485" s="34">
        <v>4301060493</v>
      </c>
      <c r="D485" s="560">
        <v>4640242180137</v>
      </c>
      <c r="E485" s="561"/>
      <c r="F485" s="59">
        <v>1.5</v>
      </c>
      <c r="G485" s="35">
        <v>6</v>
      </c>
      <c r="H485" s="59">
        <v>9</v>
      </c>
      <c r="I485" s="59">
        <v>9.41</v>
      </c>
      <c r="J485" s="35">
        <v>64</v>
      </c>
      <c r="K485" s="35" t="s">
        <v>106</v>
      </c>
      <c r="L485" s="35"/>
      <c r="M485" s="36" t="s">
        <v>80</v>
      </c>
      <c r="N485" s="36"/>
      <c r="O485" s="35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7"/>
      <c r="V485" s="37"/>
      <c r="W485" s="38" t="s">
        <v>69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/>
      <c r="AB485" s="66"/>
      <c r="AC485" s="549" t="s">
        <v>746</v>
      </c>
      <c r="AG485" s="75"/>
      <c r="AJ485" s="79"/>
      <c r="AK485" s="79">
        <v>0</v>
      </c>
      <c r="BB485" s="550" t="s">
        <v>1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40" t="s">
        <v>76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40" t="s">
        <v>69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62"/>
      <c r="AB488" s="62"/>
      <c r="AC488" s="62"/>
    </row>
    <row r="489" spans="1:68" ht="14.25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63"/>
      <c r="AB489" s="63"/>
      <c r="AC489" s="63"/>
    </row>
    <row r="490" spans="1:68" ht="27" customHeight="1" x14ac:dyDescent="0.25">
      <c r="A490" s="60" t="s">
        <v>748</v>
      </c>
      <c r="B490" s="60" t="s">
        <v>749</v>
      </c>
      <c r="C490" s="34">
        <v>4301020314</v>
      </c>
      <c r="D490" s="560">
        <v>4640242180090</v>
      </c>
      <c r="E490" s="561"/>
      <c r="F490" s="59">
        <v>1.5</v>
      </c>
      <c r="G490" s="35">
        <v>8</v>
      </c>
      <c r="H490" s="59">
        <v>12</v>
      </c>
      <c r="I490" s="59">
        <v>12.41</v>
      </c>
      <c r="J490" s="35">
        <v>64</v>
      </c>
      <c r="K490" s="35" t="s">
        <v>106</v>
      </c>
      <c r="L490" s="35"/>
      <c r="M490" s="36" t="s">
        <v>108</v>
      </c>
      <c r="N490" s="36"/>
      <c r="O490" s="35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7"/>
      <c r="V490" s="37"/>
      <c r="W490" s="38" t="s">
        <v>69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IFERROR(IF(Y490=0,"",ROUNDUP(Y490/H490,0)*0.01898),"")</f>
        <v/>
      </c>
      <c r="AA490" s="65"/>
      <c r="AB490" s="66"/>
      <c r="AC490" s="551" t="s">
        <v>750</v>
      </c>
      <c r="AG490" s="75"/>
      <c r="AJ490" s="79"/>
      <c r="AK490" s="79">
        <v>0</v>
      </c>
      <c r="BB490" s="552" t="s">
        <v>1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40" t="s">
        <v>76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40" t="s">
        <v>69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40" t="s">
        <v>69</v>
      </c>
      <c r="X493" s="4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5995.9400000000005</v>
      </c>
      <c r="Y493" s="4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6002.9400000000005</v>
      </c>
      <c r="Z493" s="40"/>
      <c r="AA493" s="64"/>
      <c r="AB493" s="64"/>
      <c r="AC493" s="64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40" t="s">
        <v>69</v>
      </c>
      <c r="X494" s="41">
        <f>IFERROR(SUM(BM22:BM490),"0")</f>
        <v>6246.4872962962963</v>
      </c>
      <c r="Y494" s="41">
        <f>IFERROR(SUM(BN22:BN490),"0")</f>
        <v>6253.8169999999991</v>
      </c>
      <c r="Z494" s="40"/>
      <c r="AA494" s="64"/>
      <c r="AB494" s="64"/>
      <c r="AC494" s="64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40" t="s">
        <v>754</v>
      </c>
      <c r="X495" s="42">
        <f>ROUNDUP(SUM(BO22:BO490),0)</f>
        <v>10</v>
      </c>
      <c r="Y495" s="42">
        <f>ROUNDUP(SUM(BP22:BP490),0)</f>
        <v>10</v>
      </c>
      <c r="Z495" s="40"/>
      <c r="AA495" s="64"/>
      <c r="AB495" s="64"/>
      <c r="AC495" s="64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40" t="s">
        <v>69</v>
      </c>
      <c r="X496" s="41">
        <f>GrossWeightTotal+PalletQtyTotal*25</f>
        <v>6496.4872962962963</v>
      </c>
      <c r="Y496" s="41">
        <f>GrossWeightTotalR+PalletQtyTotalR*25</f>
        <v>6503.8169999999991</v>
      </c>
      <c r="Z496" s="40"/>
      <c r="AA496" s="64"/>
      <c r="AB496" s="64"/>
      <c r="AC496" s="64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40" t="s">
        <v>754</v>
      </c>
      <c r="X497" s="4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714.25925925925935</v>
      </c>
      <c r="Y497" s="4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715</v>
      </c>
      <c r="Z497" s="40"/>
      <c r="AA497" s="64"/>
      <c r="AB497" s="64"/>
      <c r="AC497" s="64"/>
    </row>
    <row r="498" spans="1:32" ht="14.25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43" t="s">
        <v>758</v>
      </c>
      <c r="X498" s="40"/>
      <c r="Y498" s="40"/>
      <c r="Z498" s="40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10.749659999999999</v>
      </c>
      <c r="AA498" s="64"/>
      <c r="AB498" s="64"/>
      <c r="AC498" s="64"/>
    </row>
    <row r="499" spans="1:32" ht="13.5" customHeight="1" thickBot="1" x14ac:dyDescent="0.25"/>
    <row r="500" spans="1:32" ht="27" customHeight="1" thickTop="1" thickBot="1" x14ac:dyDescent="0.25">
      <c r="A500" s="44" t="s">
        <v>759</v>
      </c>
      <c r="B500" s="80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80" t="s">
        <v>662</v>
      </c>
      <c r="Y500" s="585" t="s">
        <v>717</v>
      </c>
      <c r="Z500" s="752"/>
      <c r="AB500" s="9"/>
      <c r="AC500" s="9"/>
      <c r="AF500" s="1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1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9"/>
      <c r="AC501" s="9"/>
      <c r="AF501" s="1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1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9"/>
      <c r="AC502" s="9"/>
      <c r="AF502" s="1"/>
    </row>
    <row r="503" spans="1:32" ht="18" customHeight="1" thickTop="1" thickBot="1" x14ac:dyDescent="0.25">
      <c r="A503" s="44" t="s">
        <v>761</v>
      </c>
      <c r="B503" s="50">
        <f>IFERROR(Y22*1,"0")+IFERROR(Y23*1,"0")+IFERROR(Y27*1,"0")+IFERROR(Y28*1,"0")+IFERROR(Y29*1,"0")+IFERROR(Y30*1,"0")+IFERROR(Y31*1,"0")+IFERROR(Y35*1,"0")</f>
        <v>0</v>
      </c>
      <c r="C503" s="50">
        <f>IFERROR(Y41*1,"0")+IFERROR(Y42*1,"0")+IFERROR(Y43*1,"0")+IFERROR(Y47*1,"0")</f>
        <v>212.8</v>
      </c>
      <c r="D503" s="50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293.52</v>
      </c>
      <c r="E503" s="50">
        <f>IFERROR(Y85*1,"0")+IFERROR(Y86*1,"0")+IFERROR(Y87*1,"0")+IFERROR(Y88*1,"0")+IFERROR(Y92*1,"0")+IFERROR(Y93*1,"0")+IFERROR(Y94*1,"0")+IFERROR(Y95*1,"0")</f>
        <v>151</v>
      </c>
      <c r="F503" s="50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63</v>
      </c>
      <c r="G503" s="50">
        <f>IFERROR(Y127*1,"0")+IFERROR(Y128*1,"0")+IFERROR(Y132*1,"0")+IFERROR(Y133*1,"0")+IFERROR(Y137*1,"0")+IFERROR(Y138*1,"0")</f>
        <v>0</v>
      </c>
      <c r="H503" s="50">
        <f>IFERROR(Y143*1,"0")+IFERROR(Y144*1,"0")+IFERROR(Y148*1,"0")+IFERROR(Y149*1,"0")+IFERROR(Y150*1,"0")+IFERROR(Y151*1,"0")+IFERROR(Y152*1,"0")+IFERROR(Y153*1,"0")+IFERROR(Y157*1,"0")</f>
        <v>36</v>
      </c>
      <c r="I503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117.7</v>
      </c>
      <c r="J503" s="50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134.69999999999999</v>
      </c>
      <c r="K503" s="50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0">
        <f>IFERROR(Y261*1,"0")+IFERROR(Y262*1,"0")+IFERROR(Y263*1,"0")+IFERROR(Y264*1,"0")+IFERROR(Y265*1,"0")</f>
        <v>0</v>
      </c>
      <c r="M503" s="50">
        <f>IFERROR(Y270*1,"0")+IFERROR(Y271*1,"0")+IFERROR(Y272*1,"0")+IFERROR(Y273*1,"0")</f>
        <v>0</v>
      </c>
      <c r="N503" s="1"/>
      <c r="O503" s="50">
        <f>IFERROR(Y278*1,"0")+IFERROR(Y279*1,"0")+IFERROR(Y280*1,"0")</f>
        <v>0</v>
      </c>
      <c r="P503" s="50">
        <f>IFERROR(Y285*1,"0")+IFERROR(Y286*1,"0")+IFERROR(Y290*1,"0")+IFERROR(Y291*1,"0")</f>
        <v>0</v>
      </c>
      <c r="Q503" s="50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1990.26</v>
      </c>
      <c r="R503" s="50">
        <f>IFERROR(Y341*1,"0")+IFERROR(Y342*1,"0")+IFERROR(Y343*1,"0")</f>
        <v>51</v>
      </c>
      <c r="S503" s="50">
        <f>IFERROR(Y349*1,"0")+IFERROR(Y350*1,"0")+IFERROR(Y351*1,"0")+IFERROR(Y352*1,"0")+IFERROR(Y353*1,"0")+IFERROR(Y354*1,"0")+IFERROR(Y355*1,"0")+IFERROR(Y359*1,"0")+IFERROR(Y360*1,"0")+IFERROR(Y364*1,"0")+IFERROR(Y365*1,"0")+IFERROR(Y369*1,"0")</f>
        <v>2715</v>
      </c>
      <c r="T503" s="50">
        <f>IFERROR(Y374*1,"0")+IFERROR(Y375*1,"0")+IFERROR(Y379*1,"0")+IFERROR(Y380*1,"0")+IFERROR(Y384*1,"0")+IFERROR(Y385*1,"0")+IFERROR(Y386*1,"0")</f>
        <v>0</v>
      </c>
      <c r="U503" s="50">
        <f>IFERROR(Y392*1,"0")+IFERROR(Y393*1,"0")+IFERROR(Y394*1,"0")+IFERROR(Y395*1,"0")+IFERROR(Y396*1,"0")+IFERROR(Y397*1,"0")+IFERROR(Y398*1,"0")+IFERROR(Y399*1,"0")+IFERROR(Y400*1,"0")+IFERROR(Y404*1,"0")+IFERROR(Y405*1,"0")</f>
        <v>63.900000000000006</v>
      </c>
      <c r="V503" s="50">
        <f>IFERROR(Y410*1,"0")+IFERROR(Y414*1,"0")+IFERROR(Y415*1,"0")+IFERROR(Y416*1,"0")+IFERROR(Y417*1,"0")</f>
        <v>10.5</v>
      </c>
      <c r="W503" s="50">
        <f>IFERROR(Y422*1,"0")</f>
        <v>0</v>
      </c>
      <c r="X503" s="50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142.56</v>
      </c>
      <c r="Y503" s="50">
        <f>IFERROR(Y464*1,"0")+IFERROR(Y465*1,"0")+IFERROR(Y466*1,"0")+IFERROR(Y467*1,"0")+IFERROR(Y471*1,"0")+IFERROR(Y472*1,"0")+IFERROR(Y476*1,"0")+IFERROR(Y480*1,"0")+IFERROR(Y484*1,"0")+IFERROR(Y485*1,"0")</f>
        <v>21</v>
      </c>
      <c r="Z503" s="50">
        <f>IFERROR(Y490*1,"0")</f>
        <v>0</v>
      </c>
      <c r="AB503" s="9"/>
      <c r="AC503" s="9"/>
      <c r="AF503" s="1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9"/>
    </row>
    <row r="3" spans="2:8" x14ac:dyDescent="0.2">
      <c r="B3" s="51" t="s">
        <v>763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764</v>
      </c>
      <c r="D6" s="51" t="s">
        <v>765</v>
      </c>
      <c r="E6" s="51"/>
    </row>
    <row r="8" spans="2:8" x14ac:dyDescent="0.2">
      <c r="B8" s="51" t="s">
        <v>19</v>
      </c>
      <c r="C8" s="51" t="s">
        <v>764</v>
      </c>
      <c r="D8" s="51"/>
      <c r="E8" s="51"/>
    </row>
    <row r="10" spans="2:8" x14ac:dyDescent="0.2">
      <c r="B10" s="51" t="s">
        <v>766</v>
      </c>
      <c r="C10" s="51"/>
      <c r="D10" s="51"/>
      <c r="E10" s="51"/>
    </row>
    <row r="11" spans="2:8" x14ac:dyDescent="0.2">
      <c r="B11" s="51" t="s">
        <v>767</v>
      </c>
      <c r="C11" s="51"/>
      <c r="D11" s="51"/>
      <c r="E11" s="51"/>
    </row>
    <row r="12" spans="2:8" x14ac:dyDescent="0.2">
      <c r="B12" s="51" t="s">
        <v>768</v>
      </c>
      <c r="C12" s="51"/>
      <c r="D12" s="51"/>
      <c r="E12" s="51"/>
    </row>
    <row r="13" spans="2:8" x14ac:dyDescent="0.2">
      <c r="B13" s="51" t="s">
        <v>769</v>
      </c>
      <c r="C13" s="51"/>
      <c r="D13" s="51"/>
      <c r="E13" s="51"/>
    </row>
    <row r="14" spans="2:8" x14ac:dyDescent="0.2">
      <c r="B14" s="51" t="s">
        <v>770</v>
      </c>
      <c r="C14" s="51"/>
      <c r="D14" s="51"/>
      <c r="E14" s="51"/>
    </row>
    <row r="15" spans="2:8" x14ac:dyDescent="0.2">
      <c r="B15" s="51" t="s">
        <v>771</v>
      </c>
      <c r="C15" s="51"/>
      <c r="D15" s="51"/>
      <c r="E15" s="51"/>
    </row>
    <row r="16" spans="2:8" x14ac:dyDescent="0.2">
      <c r="B16" s="51" t="s">
        <v>772</v>
      </c>
      <c r="C16" s="51"/>
      <c r="D16" s="51"/>
      <c r="E16" s="51"/>
    </row>
    <row r="17" spans="2:5" x14ac:dyDescent="0.2">
      <c r="B17" s="51" t="s">
        <v>773</v>
      </c>
      <c r="C17" s="51"/>
      <c r="D17" s="51"/>
      <c r="E17" s="51"/>
    </row>
    <row r="18" spans="2:5" x14ac:dyDescent="0.2">
      <c r="B18" s="51" t="s">
        <v>774</v>
      </c>
      <c r="C18" s="51"/>
      <c r="D18" s="51"/>
      <c r="E18" s="51"/>
    </row>
    <row r="19" spans="2:5" x14ac:dyDescent="0.2">
      <c r="B19" s="51" t="s">
        <v>775</v>
      </c>
      <c r="C19" s="51"/>
      <c r="D19" s="51"/>
      <c r="E19" s="51"/>
    </row>
    <row r="20" spans="2:5" x14ac:dyDescent="0.2">
      <c r="B20" s="51" t="s">
        <v>776</v>
      </c>
      <c r="C20" s="51"/>
      <c r="D20" s="51"/>
      <c r="E20" s="51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2025-12-20T09:06:57Z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