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C182728-4D03-4CB7-B78F-2A20453D1477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Y516" i="2" l="1"/>
  <c r="Y351" i="2"/>
  <c r="Y358" i="2"/>
  <c r="Y480" i="2"/>
  <c r="Z159" i="2"/>
  <c r="Z160" i="2" s="1"/>
  <c r="Y160" i="2"/>
  <c r="Z374" i="2"/>
  <c r="Z293" i="2"/>
  <c r="BN293" i="2"/>
  <c r="Z428" i="2"/>
  <c r="Z118" i="2"/>
  <c r="BN118" i="2"/>
  <c r="Z230" i="2"/>
  <c r="BN230" i="2"/>
  <c r="Z356" i="2"/>
  <c r="BP395" i="2"/>
  <c r="Z149" i="2"/>
  <c r="BP222" i="2"/>
  <c r="Z318" i="2"/>
  <c r="Z363" i="2"/>
  <c r="BN363" i="2"/>
  <c r="Z383" i="2"/>
  <c r="BN383" i="2"/>
  <c r="Y397" i="2"/>
  <c r="Z407" i="2"/>
  <c r="Z431" i="2"/>
  <c r="Z466" i="2"/>
  <c r="BN41" i="2"/>
  <c r="BN74" i="2"/>
  <c r="BP124" i="2"/>
  <c r="BN190" i="2"/>
  <c r="BN240" i="2"/>
  <c r="Y253" i="2"/>
  <c r="BP283" i="2"/>
  <c r="BN289" i="2"/>
  <c r="BN299" i="2"/>
  <c r="BN396" i="2"/>
  <c r="BN23" i="2"/>
  <c r="BN48" i="2"/>
  <c r="BN59" i="2"/>
  <c r="BP66" i="2"/>
  <c r="BP100" i="2"/>
  <c r="Y121" i="2"/>
  <c r="BP120" i="2"/>
  <c r="Z124" i="2"/>
  <c r="Z125" i="2" s="1"/>
  <c r="BN131" i="2"/>
  <c r="Z152" i="2"/>
  <c r="BN165" i="2"/>
  <c r="BN175" i="2"/>
  <c r="Z183" i="2"/>
  <c r="BN185" i="2"/>
  <c r="BN195" i="2"/>
  <c r="Z210" i="2"/>
  <c r="BN273" i="2"/>
  <c r="Z283" i="2"/>
  <c r="Z284" i="2"/>
  <c r="BN287" i="2"/>
  <c r="Y296" i="2"/>
  <c r="BN304" i="2"/>
  <c r="Z328" i="2"/>
  <c r="BN333" i="2"/>
  <c r="BP341" i="2"/>
  <c r="BN344" i="2"/>
  <c r="Z355" i="2"/>
  <c r="BP356" i="2"/>
  <c r="Y368" i="2"/>
  <c r="Z372" i="2"/>
  <c r="Z375" i="2"/>
  <c r="Z393" i="2"/>
  <c r="BN393" i="2"/>
  <c r="BP393" i="2"/>
  <c r="Y398" i="2"/>
  <c r="Z406" i="2"/>
  <c r="Z430" i="2"/>
  <c r="Z433" i="2"/>
  <c r="Z434" i="2"/>
  <c r="BN434" i="2"/>
  <c r="Z439" i="2"/>
  <c r="Z440" i="2"/>
  <c r="BN444" i="2"/>
  <c r="Y452" i="2"/>
  <c r="Z461" i="2"/>
  <c r="Z462" i="2" s="1"/>
  <c r="Y489" i="2"/>
  <c r="BN514" i="2"/>
  <c r="Z519" i="2"/>
  <c r="BN524" i="2"/>
  <c r="BN93" i="2"/>
  <c r="BN113" i="2"/>
  <c r="Y122" i="2"/>
  <c r="BN136" i="2"/>
  <c r="BP152" i="2"/>
  <c r="BN153" i="2"/>
  <c r="BN225" i="2"/>
  <c r="BP433" i="2"/>
  <c r="BP439" i="2"/>
  <c r="BN450" i="2"/>
  <c r="Y463" i="2"/>
  <c r="BN482" i="2"/>
  <c r="BN492" i="2"/>
  <c r="BN504" i="2"/>
  <c r="BP519" i="2"/>
  <c r="BN520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114" i="2" l="1"/>
  <c r="Z422" i="2"/>
  <c r="Z357" i="2"/>
  <c r="Z441" i="2"/>
  <c r="Z409" i="2"/>
  <c r="Z447" i="2"/>
  <c r="Z548" i="2"/>
  <c r="Z24" i="2"/>
  <c r="Z95" i="2"/>
  <c r="Z435" i="2"/>
  <c r="Z415" i="2"/>
  <c r="Z259" i="2"/>
  <c r="Z377" i="2"/>
  <c r="Z329" i="2"/>
  <c r="Z484" i="2"/>
  <c r="Z384" i="2"/>
  <c r="Z515" i="2"/>
  <c r="Z350" i="2"/>
  <c r="Z197" i="2"/>
  <c r="Z367" i="2"/>
  <c r="Z167" i="2"/>
  <c r="Z264" i="2"/>
  <c r="X558" i="2"/>
  <c r="Z290" i="2"/>
  <c r="Z88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<sst xmlns="http://schemas.openxmlformats.org/spreadsheetml/2006/main" count="4244" uniqueCount="900">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</sst>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92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95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77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94" t="s">
        <v>26</v>
      </c>
      <c r="E1" s="994"/>
      <c r="F1" s="994"/>
      <c r="G1" s="14" t="s">
        <v>67</v>
      </c>
      <c r="H1" s="994" t="s">
        <v>47</v>
      </c>
      <c r="I1" s="994"/>
      <c r="J1" s="994"/>
      <c r="K1" s="994"/>
      <c r="L1" s="994"/>
      <c r="M1" s="994"/>
      <c r="N1" s="994"/>
      <c r="O1" s="994"/>
      <c r="P1" s="994"/>
      <c r="Q1" s="994"/>
      <c r="R1" s="995" t="s">
        <v>68</v>
      </c>
      <c r="S1" s="996"/>
      <c r="T1" s="99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7"/>
      <c r="R2" s="997"/>
      <c r="S2" s="997"/>
      <c r="T2" s="997"/>
      <c r="U2" s="997"/>
      <c r="V2" s="997"/>
      <c r="W2" s="997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7"/>
      <c r="Q3" s="997"/>
      <c r="R3" s="997"/>
      <c r="S3" s="997"/>
      <c r="T3" s="997"/>
      <c r="U3" s="997"/>
      <c r="V3" s="997"/>
      <c r="W3" s="997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76" t="s">
        <v>8</v>
      </c>
      <c r="B5" s="976"/>
      <c r="C5" s="976"/>
      <c r="D5" s="998"/>
      <c r="E5" s="998"/>
      <c r="F5" s="999" t="s">
        <v>14</v>
      </c>
      <c r="G5" s="999"/>
      <c r="H5" s="998"/>
      <c r="I5" s="998"/>
      <c r="J5" s="998"/>
      <c r="K5" s="998"/>
      <c r="L5" s="998"/>
      <c r="M5" s="998"/>
      <c r="N5" s="69"/>
      <c r="P5" s="26" t="s">
        <v>4</v>
      </c>
      <c r="Q5" s="1000">
        <v>46247</v>
      </c>
      <c r="R5" s="1000"/>
      <c r="T5" s="1001" t="s">
        <v>3</v>
      </c>
      <c r="U5" s="1002"/>
      <c r="V5" s="1003" t="s">
        <v>876</v>
      </c>
      <c r="W5" s="1004"/>
      <c r="AB5" s="57"/>
      <c r="AC5" s="57"/>
      <c r="AD5" s="57"/>
      <c r="AE5" s="57"/>
    </row>
    <row r="6" spans="1:32" s="17" customFormat="1" ht="24" customHeight="1" x14ac:dyDescent="0.2">
      <c r="A6" s="976" t="s">
        <v>1</v>
      </c>
      <c r="B6" s="976"/>
      <c r="C6" s="976"/>
      <c r="D6" s="977" t="s">
        <v>883</v>
      </c>
      <c r="E6" s="977"/>
      <c r="F6" s="977"/>
      <c r="G6" s="977"/>
      <c r="H6" s="977"/>
      <c r="I6" s="977"/>
      <c r="J6" s="977"/>
      <c r="K6" s="977"/>
      <c r="L6" s="977"/>
      <c r="M6" s="977"/>
      <c r="N6" s="70"/>
      <c r="P6" s="26" t="s">
        <v>27</v>
      </c>
      <c r="Q6" s="978" t="str">
        <f>IF(Q5=0," ",CHOOSE(WEEKDAY(Q5,2),"Понедельник","Вторник","Среда","Четверг","Пятница","Суббота","Воскресенье"))</f>
        <v>Четверг</v>
      </c>
      <c r="R6" s="978"/>
      <c r="T6" s="979" t="s">
        <v>5</v>
      </c>
      <c r="U6" s="980"/>
      <c r="V6" s="981" t="s">
        <v>70</v>
      </c>
      <c r="W6" s="98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87" t="str">
        <f>IFERROR(VLOOKUP(DeliveryAddress,Table,3,0),1)</f>
        <v>3</v>
      </c>
      <c r="E7" s="988"/>
      <c r="F7" s="988"/>
      <c r="G7" s="988"/>
      <c r="H7" s="988"/>
      <c r="I7" s="988"/>
      <c r="J7" s="988"/>
      <c r="K7" s="988"/>
      <c r="L7" s="988"/>
      <c r="M7" s="989"/>
      <c r="N7" s="71"/>
      <c r="P7" s="26"/>
      <c r="Q7" s="46"/>
      <c r="R7" s="46"/>
      <c r="T7" s="979"/>
      <c r="U7" s="980"/>
      <c r="V7" s="983"/>
      <c r="W7" s="984"/>
      <c r="AB7" s="57"/>
      <c r="AC7" s="57"/>
      <c r="AD7" s="57"/>
      <c r="AE7" s="57"/>
    </row>
    <row r="8" spans="1:32" s="17" customFormat="1" ht="25.5" customHeight="1" x14ac:dyDescent="0.2">
      <c r="A8" s="990" t="s">
        <v>58</v>
      </c>
      <c r="B8" s="990"/>
      <c r="C8" s="990"/>
      <c r="D8" s="991"/>
      <c r="E8" s="991"/>
      <c r="F8" s="991"/>
      <c r="G8" s="991"/>
      <c r="H8" s="991"/>
      <c r="I8" s="991"/>
      <c r="J8" s="991"/>
      <c r="K8" s="991"/>
      <c r="L8" s="991"/>
      <c r="M8" s="991"/>
      <c r="N8" s="72"/>
      <c r="P8" s="26" t="s">
        <v>11</v>
      </c>
      <c r="Q8" s="974">
        <v>0.41666666666666669</v>
      </c>
      <c r="R8" s="974"/>
      <c r="T8" s="979"/>
      <c r="U8" s="980"/>
      <c r="V8" s="983"/>
      <c r="W8" s="984"/>
      <c r="AB8" s="57"/>
      <c r="AC8" s="57"/>
      <c r="AD8" s="57"/>
      <c r="AE8" s="57"/>
    </row>
    <row r="9" spans="1:32" s="17" customFormat="1" ht="39.950000000000003" customHeight="1" x14ac:dyDescent="0.2">
      <c r="A9" s="9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6"/>
      <c r="C9" s="966"/>
      <c r="D9" s="967" t="s">
        <v>46</v>
      </c>
      <c r="E9" s="968"/>
      <c r="F9" s="9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6"/>
      <c r="H9" s="992" t="str">
        <f>IF(AND($A$9="Тип доверенности/получателя при получении в адресе перегруза:",$D$9="Разовая доверенность"),"Введите ФИО","")</f>
        <v/>
      </c>
      <c r="I9" s="992"/>
      <c r="J9" s="99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2"/>
      <c r="L9" s="992"/>
      <c r="M9" s="992"/>
      <c r="N9" s="67"/>
      <c r="P9" s="29" t="s">
        <v>15</v>
      </c>
      <c r="Q9" s="993"/>
      <c r="R9" s="993"/>
      <c r="T9" s="979"/>
      <c r="U9" s="980"/>
      <c r="V9" s="985"/>
      <c r="W9" s="98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6"/>
      <c r="C10" s="966"/>
      <c r="D10" s="967"/>
      <c r="E10" s="968"/>
      <c r="F10" s="9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6"/>
      <c r="H10" s="969" t="str">
        <f>IFERROR(VLOOKUP($D$10,Proxy,2,FALSE),"")</f>
        <v/>
      </c>
      <c r="I10" s="969"/>
      <c r="J10" s="969"/>
      <c r="K10" s="969"/>
      <c r="L10" s="969"/>
      <c r="M10" s="969"/>
      <c r="N10" s="68"/>
      <c r="P10" s="29" t="s">
        <v>32</v>
      </c>
      <c r="Q10" s="970"/>
      <c r="R10" s="970"/>
      <c r="U10" s="26" t="s">
        <v>12</v>
      </c>
      <c r="V10" s="971" t="s">
        <v>71</v>
      </c>
      <c r="W10" s="97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3"/>
      <c r="R11" s="973"/>
      <c r="U11" s="26" t="s">
        <v>28</v>
      </c>
      <c r="V11" s="952" t="s">
        <v>55</v>
      </c>
      <c r="W11" s="952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51" t="s">
        <v>72</v>
      </c>
      <c r="B12" s="951"/>
      <c r="C12" s="951"/>
      <c r="D12" s="951"/>
      <c r="E12" s="951"/>
      <c r="F12" s="951"/>
      <c r="G12" s="951"/>
      <c r="H12" s="951"/>
      <c r="I12" s="951"/>
      <c r="J12" s="951"/>
      <c r="K12" s="951"/>
      <c r="L12" s="951"/>
      <c r="M12" s="951"/>
      <c r="N12" s="73"/>
      <c r="P12" s="26" t="s">
        <v>30</v>
      </c>
      <c r="Q12" s="974"/>
      <c r="R12" s="974"/>
      <c r="S12" s="27"/>
      <c r="T12"/>
      <c r="U12" s="26" t="s">
        <v>46</v>
      </c>
      <c r="V12" s="975"/>
      <c r="W12" s="975"/>
      <c r="X12"/>
      <c r="AB12" s="57"/>
      <c r="AC12" s="57"/>
      <c r="AD12" s="57"/>
      <c r="AE12" s="57"/>
    </row>
    <row r="13" spans="1:32" s="17" customFormat="1" ht="23.25" customHeight="1" x14ac:dyDescent="0.2">
      <c r="A13" s="951" t="s">
        <v>73</v>
      </c>
      <c r="B13" s="951"/>
      <c r="C13" s="951"/>
      <c r="D13" s="951"/>
      <c r="E13" s="951"/>
      <c r="F13" s="951"/>
      <c r="G13" s="951"/>
      <c r="H13" s="951"/>
      <c r="I13" s="951"/>
      <c r="J13" s="951"/>
      <c r="K13" s="951"/>
      <c r="L13" s="951"/>
      <c r="M13" s="951"/>
      <c r="N13" s="73"/>
      <c r="O13" s="29"/>
      <c r="P13" s="29" t="s">
        <v>31</v>
      </c>
      <c r="Q13" s="952"/>
      <c r="R13" s="952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51" t="s">
        <v>74</v>
      </c>
      <c r="B14" s="951"/>
      <c r="C14" s="951"/>
      <c r="D14" s="951"/>
      <c r="E14" s="951"/>
      <c r="F14" s="951"/>
      <c r="G14" s="951"/>
      <c r="H14" s="951"/>
      <c r="I14" s="951"/>
      <c r="J14" s="951"/>
      <c r="K14" s="951"/>
      <c r="L14" s="951"/>
      <c r="M14" s="951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53" t="s">
        <v>75</v>
      </c>
      <c r="B15" s="953"/>
      <c r="C15" s="953"/>
      <c r="D15" s="953"/>
      <c r="E15" s="953"/>
      <c r="F15" s="953"/>
      <c r="G15" s="953"/>
      <c r="H15" s="953"/>
      <c r="I15" s="953"/>
      <c r="J15" s="953"/>
      <c r="K15" s="953"/>
      <c r="L15" s="953"/>
      <c r="M15" s="953"/>
      <c r="N15" s="74"/>
      <c r="O15"/>
      <c r="P15" s="954" t="s">
        <v>61</v>
      </c>
      <c r="Q15" s="954"/>
      <c r="R15" s="954"/>
      <c r="S15" s="954"/>
      <c r="T15" s="954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5"/>
      <c r="Q16" s="955"/>
      <c r="R16" s="955"/>
      <c r="S16" s="955"/>
      <c r="T16" s="95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7" t="s">
        <v>59</v>
      </c>
      <c r="B17" s="937" t="s">
        <v>49</v>
      </c>
      <c r="C17" s="958" t="s">
        <v>48</v>
      </c>
      <c r="D17" s="960" t="s">
        <v>50</v>
      </c>
      <c r="E17" s="961"/>
      <c r="F17" s="937" t="s">
        <v>21</v>
      </c>
      <c r="G17" s="937" t="s">
        <v>24</v>
      </c>
      <c r="H17" s="937" t="s">
        <v>22</v>
      </c>
      <c r="I17" s="937" t="s">
        <v>23</v>
      </c>
      <c r="J17" s="937" t="s">
        <v>16</v>
      </c>
      <c r="K17" s="937" t="s">
        <v>66</v>
      </c>
      <c r="L17" s="937" t="s">
        <v>64</v>
      </c>
      <c r="M17" s="937" t="s">
        <v>2</v>
      </c>
      <c r="N17" s="937" t="s">
        <v>63</v>
      </c>
      <c r="O17" s="937" t="s">
        <v>25</v>
      </c>
      <c r="P17" s="960" t="s">
        <v>17</v>
      </c>
      <c r="Q17" s="964"/>
      <c r="R17" s="964"/>
      <c r="S17" s="964"/>
      <c r="T17" s="961"/>
      <c r="U17" s="956" t="s">
        <v>56</v>
      </c>
      <c r="V17" s="957"/>
      <c r="W17" s="937" t="s">
        <v>6</v>
      </c>
      <c r="X17" s="937" t="s">
        <v>41</v>
      </c>
      <c r="Y17" s="939" t="s">
        <v>54</v>
      </c>
      <c r="Z17" s="941" t="s">
        <v>18</v>
      </c>
      <c r="AA17" s="943" t="s">
        <v>60</v>
      </c>
      <c r="AB17" s="943" t="s">
        <v>19</v>
      </c>
      <c r="AC17" s="943" t="s">
        <v>65</v>
      </c>
      <c r="AD17" s="945" t="s">
        <v>57</v>
      </c>
      <c r="AE17" s="946"/>
      <c r="AF17" s="947"/>
      <c r="AG17" s="77"/>
      <c r="BD17" s="76" t="s">
        <v>62</v>
      </c>
    </row>
    <row r="18" spans="1:68" ht="14.25" customHeight="1" x14ac:dyDescent="0.2">
      <c r="A18" s="938"/>
      <c r="B18" s="938"/>
      <c r="C18" s="959"/>
      <c r="D18" s="962"/>
      <c r="E18" s="963"/>
      <c r="F18" s="938"/>
      <c r="G18" s="938"/>
      <c r="H18" s="938"/>
      <c r="I18" s="938"/>
      <c r="J18" s="938"/>
      <c r="K18" s="938"/>
      <c r="L18" s="938"/>
      <c r="M18" s="938"/>
      <c r="N18" s="938"/>
      <c r="O18" s="938"/>
      <c r="P18" s="962"/>
      <c r="Q18" s="965"/>
      <c r="R18" s="965"/>
      <c r="S18" s="965"/>
      <c r="T18" s="963"/>
      <c r="U18" s="78" t="s">
        <v>44</v>
      </c>
      <c r="V18" s="78" t="s">
        <v>43</v>
      </c>
      <c r="W18" s="938"/>
      <c r="X18" s="938"/>
      <c r="Y18" s="940"/>
      <c r="Z18" s="942"/>
      <c r="AA18" s="944"/>
      <c r="AB18" s="944"/>
      <c r="AC18" s="944"/>
      <c r="AD18" s="948"/>
      <c r="AE18" s="949"/>
      <c r="AF18" s="950"/>
      <c r="AG18" s="77"/>
      <c r="BD18" s="76"/>
    </row>
    <row r="19" spans="1:68" ht="27.75" hidden="1" customHeight="1" x14ac:dyDescent="0.2">
      <c r="A19" s="663" t="s">
        <v>76</v>
      </c>
      <c r="B19" s="663"/>
      <c r="C19" s="663"/>
      <c r="D19" s="663"/>
      <c r="E19" s="663"/>
      <c r="F19" s="663"/>
      <c r="G19" s="663"/>
      <c r="H19" s="663"/>
      <c r="I19" s="663"/>
      <c r="J19" s="663"/>
      <c r="K19" s="663"/>
      <c r="L19" s="663"/>
      <c r="M19" s="663"/>
      <c r="N19" s="663"/>
      <c r="O19" s="663"/>
      <c r="P19" s="663"/>
      <c r="Q19" s="663"/>
      <c r="R19" s="663"/>
      <c r="S19" s="663"/>
      <c r="T19" s="663"/>
      <c r="U19" s="663"/>
      <c r="V19" s="663"/>
      <c r="W19" s="663"/>
      <c r="X19" s="663"/>
      <c r="Y19" s="663"/>
      <c r="Z19" s="663"/>
      <c r="AA19" s="52"/>
      <c r="AB19" s="52"/>
      <c r="AC19" s="52"/>
    </row>
    <row r="20" spans="1:68" ht="16.5" hidden="1" customHeight="1" x14ac:dyDescent="0.25">
      <c r="A20" s="656" t="s">
        <v>76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2"/>
      <c r="AB20" s="62"/>
      <c r="AC20" s="62"/>
    </row>
    <row r="21" spans="1:68" ht="14.25" hidden="1" customHeight="1" x14ac:dyDescent="0.25">
      <c r="A21" s="657" t="s">
        <v>77</v>
      </c>
      <c r="B21" s="657"/>
      <c r="C21" s="657"/>
      <c r="D21" s="657"/>
      <c r="E21" s="657"/>
      <c r="F21" s="657"/>
      <c r="G21" s="657"/>
      <c r="H21" s="657"/>
      <c r="I21" s="657"/>
      <c r="J21" s="657"/>
      <c r="K21" s="657"/>
      <c r="L21" s="657"/>
      <c r="M21" s="657"/>
      <c r="N21" s="657"/>
      <c r="O21" s="657"/>
      <c r="P21" s="657"/>
      <c r="Q21" s="657"/>
      <c r="R21" s="657"/>
      <c r="S21" s="657"/>
      <c r="T21" s="657"/>
      <c r="U21" s="657"/>
      <c r="V21" s="657"/>
      <c r="W21" s="657"/>
      <c r="X21" s="657"/>
      <c r="Y21" s="657"/>
      <c r="Z21" s="65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52">
        <v>4680115886643</v>
      </c>
      <c r="E22" s="65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4"/>
      <c r="R22" s="654"/>
      <c r="S22" s="654"/>
      <c r="T22" s="65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52">
        <v>4680115889071</v>
      </c>
      <c r="E23" s="65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3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4"/>
      <c r="R23" s="654"/>
      <c r="S23" s="654"/>
      <c r="T23" s="65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46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47"/>
      <c r="P24" s="643" t="s">
        <v>40</v>
      </c>
      <c r="Q24" s="644"/>
      <c r="R24" s="644"/>
      <c r="S24" s="644"/>
      <c r="T24" s="644"/>
      <c r="U24" s="644"/>
      <c r="V24" s="64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47"/>
      <c r="P25" s="643" t="s">
        <v>40</v>
      </c>
      <c r="Q25" s="644"/>
      <c r="R25" s="644"/>
      <c r="S25" s="644"/>
      <c r="T25" s="644"/>
      <c r="U25" s="644"/>
      <c r="V25" s="64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7" t="s">
        <v>86</v>
      </c>
      <c r="B26" s="657"/>
      <c r="C26" s="657"/>
      <c r="D26" s="657"/>
      <c r="E26" s="657"/>
      <c r="F26" s="657"/>
      <c r="G26" s="657"/>
      <c r="H26" s="657"/>
      <c r="I26" s="657"/>
      <c r="J26" s="657"/>
      <c r="K26" s="657"/>
      <c r="L26" s="657"/>
      <c r="M26" s="657"/>
      <c r="N26" s="657"/>
      <c r="O26" s="657"/>
      <c r="P26" s="657"/>
      <c r="Q26" s="657"/>
      <c r="R26" s="657"/>
      <c r="S26" s="657"/>
      <c r="T26" s="657"/>
      <c r="U26" s="657"/>
      <c r="V26" s="657"/>
      <c r="W26" s="657"/>
      <c r="X26" s="657"/>
      <c r="Y26" s="657"/>
      <c r="Z26" s="65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52">
        <v>4680115885912</v>
      </c>
      <c r="E27" s="65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4"/>
      <c r="R27" s="654"/>
      <c r="S27" s="654"/>
      <c r="T27" s="655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52">
        <v>4607091388237</v>
      </c>
      <c r="E28" s="65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4"/>
      <c r="R28" s="654"/>
      <c r="S28" s="654"/>
      <c r="T28" s="655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52">
        <v>4680115887350</v>
      </c>
      <c r="E29" s="65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4"/>
      <c r="R29" s="654"/>
      <c r="S29" s="654"/>
      <c r="T29" s="655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52">
        <v>4680115885905</v>
      </c>
      <c r="E30" s="65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4"/>
      <c r="R30" s="654"/>
      <c r="S30" s="654"/>
      <c r="T30" s="655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52">
        <v>4680115887619</v>
      </c>
      <c r="E31" s="65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4"/>
      <c r="R31" s="654"/>
      <c r="S31" s="654"/>
      <c r="T31" s="655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46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47"/>
      <c r="P32" s="643" t="s">
        <v>40</v>
      </c>
      <c r="Q32" s="644"/>
      <c r="R32" s="644"/>
      <c r="S32" s="644"/>
      <c r="T32" s="644"/>
      <c r="U32" s="644"/>
      <c r="V32" s="64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47"/>
      <c r="P33" s="643" t="s">
        <v>40</v>
      </c>
      <c r="Q33" s="644"/>
      <c r="R33" s="644"/>
      <c r="S33" s="644"/>
      <c r="T33" s="644"/>
      <c r="U33" s="644"/>
      <c r="V33" s="64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63" t="s">
        <v>45</v>
      </c>
      <c r="B34" s="663"/>
      <c r="C34" s="663"/>
      <c r="D34" s="663"/>
      <c r="E34" s="663"/>
      <c r="F34" s="663"/>
      <c r="G34" s="663"/>
      <c r="H34" s="663"/>
      <c r="I34" s="663"/>
      <c r="J34" s="663"/>
      <c r="K34" s="663"/>
      <c r="L34" s="663"/>
      <c r="M34" s="663"/>
      <c r="N34" s="663"/>
      <c r="O34" s="663"/>
      <c r="P34" s="663"/>
      <c r="Q34" s="663"/>
      <c r="R34" s="663"/>
      <c r="S34" s="663"/>
      <c r="T34" s="663"/>
      <c r="U34" s="663"/>
      <c r="V34" s="663"/>
      <c r="W34" s="663"/>
      <c r="X34" s="663"/>
      <c r="Y34" s="663"/>
      <c r="Z34" s="663"/>
      <c r="AA34" s="52"/>
      <c r="AB34" s="52"/>
      <c r="AC34" s="52"/>
    </row>
    <row r="35" spans="1:68" ht="16.5" hidden="1" customHeight="1" x14ac:dyDescent="0.25">
      <c r="A35" s="656" t="s">
        <v>104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2"/>
      <c r="AB35" s="62"/>
      <c r="AC35" s="62"/>
    </row>
    <row r="36" spans="1:68" ht="14.25" hidden="1" customHeight="1" x14ac:dyDescent="0.25">
      <c r="A36" s="657" t="s">
        <v>86</v>
      </c>
      <c r="B36" s="657"/>
      <c r="C36" s="657"/>
      <c r="D36" s="657"/>
      <c r="E36" s="657"/>
      <c r="F36" s="657"/>
      <c r="G36" s="657"/>
      <c r="H36" s="657"/>
      <c r="I36" s="657"/>
      <c r="J36" s="657"/>
      <c r="K36" s="657"/>
      <c r="L36" s="657"/>
      <c r="M36" s="657"/>
      <c r="N36" s="657"/>
      <c r="O36" s="657"/>
      <c r="P36" s="657"/>
      <c r="Q36" s="657"/>
      <c r="R36" s="657"/>
      <c r="S36" s="657"/>
      <c r="T36" s="657"/>
      <c r="U36" s="657"/>
      <c r="V36" s="657"/>
      <c r="W36" s="657"/>
      <c r="X36" s="657"/>
      <c r="Y36" s="657"/>
      <c r="Z36" s="657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52">
        <v>4680115889354</v>
      </c>
      <c r="E37" s="652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4"/>
      <c r="R37" s="654"/>
      <c r="S37" s="654"/>
      <c r="T37" s="655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52">
        <v>4680115888463</v>
      </c>
      <c r="E38" s="652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2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4"/>
      <c r="R38" s="654"/>
      <c r="S38" s="654"/>
      <c r="T38" s="655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4301052202</v>
      </c>
      <c r="D39" s="652">
        <v>4680115888494</v>
      </c>
      <c r="E39" s="652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2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4"/>
      <c r="R39" s="654"/>
      <c r="S39" s="654"/>
      <c r="T39" s="655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52">
        <v>4680115888272</v>
      </c>
      <c r="E40" s="652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2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4"/>
      <c r="R40" s="654"/>
      <c r="S40" s="654"/>
      <c r="T40" s="655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52">
        <v>4680115888364</v>
      </c>
      <c r="E41" s="652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2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4"/>
      <c r="R41" s="654"/>
      <c r="S41" s="654"/>
      <c r="T41" s="655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46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47"/>
      <c r="P42" s="643" t="s">
        <v>40</v>
      </c>
      <c r="Q42" s="644"/>
      <c r="R42" s="644"/>
      <c r="S42" s="644"/>
      <c r="T42" s="644"/>
      <c r="U42" s="644"/>
      <c r="V42" s="64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47"/>
      <c r="P43" s="643" t="s">
        <v>40</v>
      </c>
      <c r="Q43" s="644"/>
      <c r="R43" s="644"/>
      <c r="S43" s="644"/>
      <c r="T43" s="644"/>
      <c r="U43" s="644"/>
      <c r="V43" s="64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63" t="s">
        <v>120</v>
      </c>
      <c r="B44" s="663"/>
      <c r="C44" s="663"/>
      <c r="D44" s="663"/>
      <c r="E44" s="663"/>
      <c r="F44" s="663"/>
      <c r="G44" s="663"/>
      <c r="H44" s="663"/>
      <c r="I44" s="663"/>
      <c r="J44" s="663"/>
      <c r="K44" s="663"/>
      <c r="L44" s="663"/>
      <c r="M44" s="663"/>
      <c r="N44" s="663"/>
      <c r="O44" s="663"/>
      <c r="P44" s="663"/>
      <c r="Q44" s="663"/>
      <c r="R44" s="663"/>
      <c r="S44" s="663"/>
      <c r="T44" s="663"/>
      <c r="U44" s="663"/>
      <c r="V44" s="663"/>
      <c r="W44" s="663"/>
      <c r="X44" s="663"/>
      <c r="Y44" s="663"/>
      <c r="Z44" s="663"/>
      <c r="AA44" s="52"/>
      <c r="AB44" s="52"/>
      <c r="AC44" s="52"/>
    </row>
    <row r="45" spans="1:68" ht="16.5" hidden="1" customHeight="1" x14ac:dyDescent="0.25">
      <c r="A45" s="656" t="s">
        <v>121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2"/>
      <c r="AB45" s="62"/>
      <c r="AC45" s="62"/>
    </row>
    <row r="46" spans="1:68" ht="14.25" hidden="1" customHeight="1" x14ac:dyDescent="0.25">
      <c r="A46" s="657" t="s">
        <v>122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652">
        <v>4607091385670</v>
      </c>
      <c r="E47" s="652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2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4"/>
      <c r="R47" s="654"/>
      <c r="S47" s="654"/>
      <c r="T47" s="655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52">
        <v>4680115887725</v>
      </c>
      <c r="E48" s="652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2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4"/>
      <c r="R48" s="654"/>
      <c r="S48" s="654"/>
      <c r="T48" s="655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132</v>
      </c>
      <c r="B49" s="60" t="s">
        <v>133</v>
      </c>
      <c r="C49" s="34">
        <v>4301011382</v>
      </c>
      <c r="D49" s="652">
        <v>4607091385687</v>
      </c>
      <c r="E49" s="652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2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4"/>
      <c r="R49" s="654"/>
      <c r="S49" s="654"/>
      <c r="T49" s="655"/>
      <c r="U49" s="37" t="s">
        <v>46</v>
      </c>
      <c r="V49" s="37" t="s">
        <v>46</v>
      </c>
      <c r="W49" s="38" t="s">
        <v>0</v>
      </c>
      <c r="X49" s="56">
        <v>87.6</v>
      </c>
      <c r="Y49" s="53">
        <f>IFERROR(IF(X49="",0,CEILING((X49/$H49),1)*$H49),"")</f>
        <v>88</v>
      </c>
      <c r="Z49" s="39">
        <f>IFERROR(IF(Y49=0,"",ROUNDUP(Y49/H49,0)*0.00902),"")</f>
        <v>0.19844000000000001</v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91.760999999999996</v>
      </c>
      <c r="BN49" s="75">
        <f>IFERROR(Y49*I49/H49,"0")</f>
        <v>92.18</v>
      </c>
      <c r="BO49" s="75">
        <f>IFERROR(1/J49*(X49/H49),"0")</f>
        <v>0.16590909090909089</v>
      </c>
      <c r="BP49" s="75">
        <f>IFERROR(1/J49*(Y49/H49),"0")</f>
        <v>0.16666666666666669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52">
        <v>4680115882539</v>
      </c>
      <c r="E50" s="652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4"/>
      <c r="R50" s="654"/>
      <c r="S50" s="654"/>
      <c r="T50" s="655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46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47"/>
      <c r="P51" s="643" t="s">
        <v>40</v>
      </c>
      <c r="Q51" s="644"/>
      <c r="R51" s="644"/>
      <c r="S51" s="644"/>
      <c r="T51" s="644"/>
      <c r="U51" s="644"/>
      <c r="V51" s="645"/>
      <c r="W51" s="40" t="s">
        <v>39</v>
      </c>
      <c r="X51" s="41">
        <f>IFERROR(X47/H47,"0")+IFERROR(X48/H48,"0")+IFERROR(X49/H49,"0")+IFERROR(X50/H50,"0")</f>
        <v>21.9</v>
      </c>
      <c r="Y51" s="41">
        <f>IFERROR(Y47/H47,"0")+IFERROR(Y48/H48,"0")+IFERROR(Y49/H49,"0")+IFERROR(Y50/H50,"0")</f>
        <v>22</v>
      </c>
      <c r="Z51" s="41">
        <f>IFERROR(IF(Z47="",0,Z47),"0")+IFERROR(IF(Z48="",0,Z48),"0")+IFERROR(IF(Z49="",0,Z49),"0")+IFERROR(IF(Z50="",0,Z50),"0")</f>
        <v>0.19844000000000001</v>
      </c>
      <c r="AA51" s="64"/>
      <c r="AB51" s="64"/>
      <c r="AC51" s="64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47"/>
      <c r="P52" s="643" t="s">
        <v>40</v>
      </c>
      <c r="Q52" s="644"/>
      <c r="R52" s="644"/>
      <c r="S52" s="644"/>
      <c r="T52" s="644"/>
      <c r="U52" s="644"/>
      <c r="V52" s="645"/>
      <c r="W52" s="40" t="s">
        <v>0</v>
      </c>
      <c r="X52" s="41">
        <f>IFERROR(SUM(X47:X50),"0")</f>
        <v>87.6</v>
      </c>
      <c r="Y52" s="41">
        <f>IFERROR(SUM(Y47:Y50),"0")</f>
        <v>88</v>
      </c>
      <c r="Z52" s="40"/>
      <c r="AA52" s="64"/>
      <c r="AB52" s="64"/>
      <c r="AC52" s="64"/>
    </row>
    <row r="53" spans="1:68" ht="16.5" hidden="1" customHeight="1" x14ac:dyDescent="0.25">
      <c r="A53" s="656" t="s">
        <v>137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2"/>
      <c r="AB53" s="62"/>
      <c r="AC53" s="62"/>
    </row>
    <row r="54" spans="1:68" ht="14.25" hidden="1" customHeight="1" x14ac:dyDescent="0.25">
      <c r="A54" s="657" t="s">
        <v>122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4301012030</v>
      </c>
      <c r="D55" s="652">
        <v>4680115885882</v>
      </c>
      <c r="E55" s="652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90</v>
      </c>
      <c r="N55" s="36"/>
      <c r="O55" s="35">
        <v>50</v>
      </c>
      <c r="P55" s="92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4"/>
      <c r="R55" s="654"/>
      <c r="S55" s="654"/>
      <c r="T55" s="655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2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2" si="1">IFERROR(X55*I55/H55,"0")</f>
        <v>0</v>
      </c>
      <c r="BN55" s="75">
        <f t="shared" ref="BN55:BN62" si="2">IFERROR(Y55*I55/H55,"0")</f>
        <v>0</v>
      </c>
      <c r="BO55" s="75">
        <f t="shared" ref="BO55:BO62" si="3">IFERROR(1/J55*(X55/H55),"0")</f>
        <v>0</v>
      </c>
      <c r="BP55" s="75">
        <f t="shared" ref="BP55:BP62" si="4">IFERROR(1/J55*(Y55/H55),"0")</f>
        <v>0</v>
      </c>
    </row>
    <row r="56" spans="1:68" ht="27" hidden="1" customHeight="1" x14ac:dyDescent="0.25">
      <c r="A56" s="60" t="s">
        <v>138</v>
      </c>
      <c r="B56" s="60" t="s">
        <v>141</v>
      </c>
      <c r="C56" s="34">
        <v>4301012161</v>
      </c>
      <c r="D56" s="652">
        <v>4680115885882</v>
      </c>
      <c r="E56" s="652"/>
      <c r="F56" s="59">
        <v>1.4</v>
      </c>
      <c r="G56" s="35">
        <v>8</v>
      </c>
      <c r="H56" s="59">
        <v>11.2</v>
      </c>
      <c r="I56" s="59">
        <v>11.61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4"/>
      <c r="R56" s="654"/>
      <c r="S56" s="654"/>
      <c r="T56" s="655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4301011816</v>
      </c>
      <c r="D57" s="652">
        <v>4680115881426</v>
      </c>
      <c r="E57" s="652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127</v>
      </c>
      <c r="L57" s="35" t="s">
        <v>46</v>
      </c>
      <c r="M57" s="36" t="s">
        <v>126</v>
      </c>
      <c r="N57" s="36"/>
      <c r="O57" s="35">
        <v>50</v>
      </c>
      <c r="P57" s="91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4"/>
      <c r="R57" s="654"/>
      <c r="S57" s="654"/>
      <c r="T57" s="655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4301011386</v>
      </c>
      <c r="D58" s="652">
        <v>4680115880283</v>
      </c>
      <c r="E58" s="652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45</v>
      </c>
      <c r="P58" s="91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4"/>
      <c r="R58" s="654"/>
      <c r="S58" s="654"/>
      <c r="T58" s="655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4301012259</v>
      </c>
      <c r="D59" s="652">
        <v>4680115880283</v>
      </c>
      <c r="E59" s="652"/>
      <c r="F59" s="59">
        <v>0.6</v>
      </c>
      <c r="G59" s="35">
        <v>8</v>
      </c>
      <c r="H59" s="59">
        <v>4.8</v>
      </c>
      <c r="I59" s="59">
        <v>4.99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45</v>
      </c>
      <c r="P59" s="9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4"/>
      <c r="R59" s="654"/>
      <c r="S59" s="654"/>
      <c r="T59" s="65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148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150</v>
      </c>
      <c r="B60" s="60" t="s">
        <v>151</v>
      </c>
      <c r="C60" s="34">
        <v>4301011806</v>
      </c>
      <c r="D60" s="652">
        <v>4680115881525</v>
      </c>
      <c r="E60" s="652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9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4"/>
      <c r="R60" s="654"/>
      <c r="S60" s="654"/>
      <c r="T60" s="65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152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153</v>
      </c>
      <c r="B61" s="60" t="s">
        <v>154</v>
      </c>
      <c r="C61" s="34">
        <v>4301012165</v>
      </c>
      <c r="D61" s="652">
        <v>4680115885899</v>
      </c>
      <c r="E61" s="652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91</v>
      </c>
      <c r="L61" s="35" t="s">
        <v>46</v>
      </c>
      <c r="M61" s="36" t="s">
        <v>126</v>
      </c>
      <c r="N61" s="36"/>
      <c r="O61" s="35">
        <v>50</v>
      </c>
      <c r="P61" s="91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4"/>
      <c r="R61" s="654"/>
      <c r="S61" s="654"/>
      <c r="T61" s="655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 t="s">
        <v>46</v>
      </c>
      <c r="AB61" s="66" t="s">
        <v>46</v>
      </c>
      <c r="AC61" s="125" t="s">
        <v>142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hidden="1" customHeight="1" x14ac:dyDescent="0.25">
      <c r="A62" s="60" t="s">
        <v>155</v>
      </c>
      <c r="B62" s="60" t="s">
        <v>156</v>
      </c>
      <c r="C62" s="34">
        <v>4301011801</v>
      </c>
      <c r="D62" s="652">
        <v>4680115881419</v>
      </c>
      <c r="E62" s="652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134</v>
      </c>
      <c r="L62" s="35" t="s">
        <v>46</v>
      </c>
      <c r="M62" s="36" t="s">
        <v>126</v>
      </c>
      <c r="N62" s="36"/>
      <c r="O62" s="35">
        <v>50</v>
      </c>
      <c r="P62" s="91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4"/>
      <c r="R62" s="654"/>
      <c r="S62" s="654"/>
      <c r="T62" s="655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7" t="s">
        <v>157</v>
      </c>
      <c r="AG62" s="75"/>
      <c r="AJ62" s="79" t="s">
        <v>46</v>
      </c>
      <c r="AK62" s="79">
        <v>0</v>
      </c>
      <c r="BB62" s="128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idden="1" x14ac:dyDescent="0.2">
      <c r="A63" s="646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47"/>
      <c r="P63" s="643" t="s">
        <v>40</v>
      </c>
      <c r="Q63" s="644"/>
      <c r="R63" s="644"/>
      <c r="S63" s="644"/>
      <c r="T63" s="644"/>
      <c r="U63" s="644"/>
      <c r="V63" s="645"/>
      <c r="W63" s="40" t="s">
        <v>39</v>
      </c>
      <c r="X63" s="41">
        <f>IFERROR(X55/H55,"0")+IFERROR(X56/H56,"0")+IFERROR(X57/H57,"0")+IFERROR(X58/H58,"0")+IFERROR(X59/H59,"0")+IFERROR(X60/H60,"0")+IFERROR(X61/H61,"0")+IFERROR(X62/H62,"0")</f>
        <v>0</v>
      </c>
      <c r="Y63" s="41">
        <f>IFERROR(Y55/H55,"0")+IFERROR(Y56/H56,"0")+IFERROR(Y57/H57,"0")+IFERROR(Y58/H58,"0")+IFERROR(Y59/H59,"0")+IFERROR(Y60/H60,"0")+IFERROR(Y61/H61,"0")+IFERROR(Y62/H62,"0")</f>
        <v>0</v>
      </c>
      <c r="Z63" s="41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4"/>
      <c r="AB63" s="64"/>
      <c r="AC63" s="64"/>
    </row>
    <row r="64" spans="1:68" hidden="1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47"/>
      <c r="P64" s="643" t="s">
        <v>40</v>
      </c>
      <c r="Q64" s="644"/>
      <c r="R64" s="644"/>
      <c r="S64" s="644"/>
      <c r="T64" s="644"/>
      <c r="U64" s="644"/>
      <c r="V64" s="645"/>
      <c r="W64" s="40" t="s">
        <v>0</v>
      </c>
      <c r="X64" s="41">
        <f>IFERROR(SUM(X55:X62),"0")</f>
        <v>0</v>
      </c>
      <c r="Y64" s="41">
        <f>IFERROR(SUM(Y55:Y62),"0")</f>
        <v>0</v>
      </c>
      <c r="Z64" s="40"/>
      <c r="AA64" s="64"/>
      <c r="AB64" s="64"/>
      <c r="AC64" s="64"/>
    </row>
    <row r="65" spans="1:68" ht="14.25" hidden="1" customHeight="1" x14ac:dyDescent="0.25">
      <c r="A65" s="657" t="s">
        <v>158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7"/>
      <c r="Q65" s="657"/>
      <c r="R65" s="657"/>
      <c r="S65" s="657"/>
      <c r="T65" s="657"/>
      <c r="U65" s="657"/>
      <c r="V65" s="657"/>
      <c r="W65" s="657"/>
      <c r="X65" s="657"/>
      <c r="Y65" s="657"/>
      <c r="Z65" s="657"/>
      <c r="AA65" s="63"/>
      <c r="AB65" s="63"/>
      <c r="AC65" s="63"/>
    </row>
    <row r="66" spans="1:68" ht="16.5" hidden="1" customHeight="1" x14ac:dyDescent="0.25">
      <c r="A66" s="60" t="s">
        <v>159</v>
      </c>
      <c r="B66" s="60" t="s">
        <v>160</v>
      </c>
      <c r="C66" s="34">
        <v>4301020298</v>
      </c>
      <c r="D66" s="652">
        <v>4680115881440</v>
      </c>
      <c r="E66" s="652"/>
      <c r="F66" s="59">
        <v>1.35</v>
      </c>
      <c r="G66" s="35">
        <v>8</v>
      </c>
      <c r="H66" s="59">
        <v>10.8</v>
      </c>
      <c r="I66" s="59">
        <v>11.21</v>
      </c>
      <c r="J66" s="35">
        <v>64</v>
      </c>
      <c r="K66" s="35" t="s">
        <v>127</v>
      </c>
      <c r="L66" s="35" t="s">
        <v>46</v>
      </c>
      <c r="M66" s="36" t="s">
        <v>126</v>
      </c>
      <c r="N66" s="36"/>
      <c r="O66" s="35">
        <v>50</v>
      </c>
      <c r="P66" s="9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4"/>
      <c r="R66" s="654"/>
      <c r="S66" s="654"/>
      <c r="T66" s="655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IFERROR(IF(Y66=0,"",ROUNDUP(Y66/H66,0)*0.01898),"")</f>
        <v/>
      </c>
      <c r="AA66" s="65" t="s">
        <v>46</v>
      </c>
      <c r="AB66" s="66" t="s">
        <v>46</v>
      </c>
      <c r="AC66" s="129" t="s">
        <v>161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4301020358</v>
      </c>
      <c r="D67" s="652">
        <v>4680115885950</v>
      </c>
      <c r="E67" s="652"/>
      <c r="F67" s="59">
        <v>0.37</v>
      </c>
      <c r="G67" s="35">
        <v>6</v>
      </c>
      <c r="H67" s="59">
        <v>2.2200000000000002</v>
      </c>
      <c r="I67" s="59">
        <v>2.4</v>
      </c>
      <c r="J67" s="35">
        <v>182</v>
      </c>
      <c r="K67" s="35" t="s">
        <v>91</v>
      </c>
      <c r="L67" s="35" t="s">
        <v>46</v>
      </c>
      <c r="M67" s="36" t="s">
        <v>90</v>
      </c>
      <c r="N67" s="36"/>
      <c r="O67" s="35">
        <v>50</v>
      </c>
      <c r="P67" s="9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4"/>
      <c r="R67" s="654"/>
      <c r="S67" s="654"/>
      <c r="T67" s="655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161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16.5" hidden="1" customHeight="1" x14ac:dyDescent="0.25">
      <c r="A68" s="60" t="s">
        <v>164</v>
      </c>
      <c r="B68" s="60" t="s">
        <v>165</v>
      </c>
      <c r="C68" s="34">
        <v>4301020371</v>
      </c>
      <c r="D68" s="652">
        <v>4680115887688</v>
      </c>
      <c r="E68" s="652"/>
      <c r="F68" s="59">
        <v>0.1</v>
      </c>
      <c r="G68" s="35">
        <v>10</v>
      </c>
      <c r="H68" s="59">
        <v>1</v>
      </c>
      <c r="I68" s="59">
        <v>1.21</v>
      </c>
      <c r="J68" s="35">
        <v>192</v>
      </c>
      <c r="K68" s="35" t="s">
        <v>131</v>
      </c>
      <c r="L68" s="35" t="s">
        <v>46</v>
      </c>
      <c r="M68" s="36" t="s">
        <v>81</v>
      </c>
      <c r="N68" s="36"/>
      <c r="O68" s="35">
        <v>30</v>
      </c>
      <c r="P68" s="9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4"/>
      <c r="R68" s="654"/>
      <c r="S68" s="654"/>
      <c r="T68" s="655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IFERROR(IF(Y68=0,"",ROUNDUP(Y68/H68,0)*0.00726),"")</f>
        <v/>
      </c>
      <c r="AA68" s="65" t="s">
        <v>46</v>
      </c>
      <c r="AB68" s="66" t="s">
        <v>46</v>
      </c>
      <c r="AC68" s="133" t="s">
        <v>166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27" hidden="1" customHeight="1" x14ac:dyDescent="0.25">
      <c r="A69" s="60" t="s">
        <v>167</v>
      </c>
      <c r="B69" s="60" t="s">
        <v>168</v>
      </c>
      <c r="C69" s="34">
        <v>4301020296</v>
      </c>
      <c r="D69" s="652">
        <v>4680115881433</v>
      </c>
      <c r="E69" s="652"/>
      <c r="F69" s="59">
        <v>0.45</v>
      </c>
      <c r="G69" s="35">
        <v>6</v>
      </c>
      <c r="H69" s="59">
        <v>2.7</v>
      </c>
      <c r="I69" s="59">
        <v>2.88</v>
      </c>
      <c r="J69" s="35">
        <v>182</v>
      </c>
      <c r="K69" s="35" t="s">
        <v>91</v>
      </c>
      <c r="L69" s="35" t="s">
        <v>46</v>
      </c>
      <c r="M69" s="36" t="s">
        <v>126</v>
      </c>
      <c r="N69" s="36"/>
      <c r="O69" s="35">
        <v>50</v>
      </c>
      <c r="P69" s="9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4"/>
      <c r="R69" s="654"/>
      <c r="S69" s="654"/>
      <c r="T69" s="655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 t="s">
        <v>46</v>
      </c>
      <c r="AB69" s="66" t="s">
        <v>46</v>
      </c>
      <c r="AC69" s="135" t="s">
        <v>161</v>
      </c>
      <c r="AG69" s="75"/>
      <c r="AJ69" s="79" t="s">
        <v>46</v>
      </c>
      <c r="AK69" s="79">
        <v>0</v>
      </c>
      <c r="BB69" s="136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646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47"/>
      <c r="P70" s="643" t="s">
        <v>40</v>
      </c>
      <c r="Q70" s="644"/>
      <c r="R70" s="644"/>
      <c r="S70" s="644"/>
      <c r="T70" s="644"/>
      <c r="U70" s="644"/>
      <c r="V70" s="645"/>
      <c r="W70" s="40" t="s">
        <v>39</v>
      </c>
      <c r="X70" s="41">
        <f>IFERROR(X66/H66,"0")+IFERROR(X67/H67,"0")+IFERROR(X68/H68,"0")+IFERROR(X69/H69,"0")</f>
        <v>0</v>
      </c>
      <c r="Y70" s="41">
        <f>IFERROR(Y66/H66,"0")+IFERROR(Y67/H67,"0")+IFERROR(Y68/H68,"0")+IFERROR(Y69/H69,"0")</f>
        <v>0</v>
      </c>
      <c r="Z70" s="41">
        <f>IFERROR(IF(Z66="",0,Z66),"0")+IFERROR(IF(Z67="",0,Z67),"0")+IFERROR(IF(Z68="",0,Z68),"0")+IFERROR(IF(Z69="",0,Z69),"0")</f>
        <v>0</v>
      </c>
      <c r="AA70" s="64"/>
      <c r="AB70" s="64"/>
      <c r="AC70" s="64"/>
    </row>
    <row r="71" spans="1:68" hidden="1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47"/>
      <c r="P71" s="643" t="s">
        <v>40</v>
      </c>
      <c r="Q71" s="644"/>
      <c r="R71" s="644"/>
      <c r="S71" s="644"/>
      <c r="T71" s="644"/>
      <c r="U71" s="644"/>
      <c r="V71" s="645"/>
      <c r="W71" s="40" t="s">
        <v>0</v>
      </c>
      <c r="X71" s="41">
        <f>IFERROR(SUM(X66:X69),"0")</f>
        <v>0</v>
      </c>
      <c r="Y71" s="41">
        <f>IFERROR(SUM(Y66:Y69),"0")</f>
        <v>0</v>
      </c>
      <c r="Z71" s="40"/>
      <c r="AA71" s="64"/>
      <c r="AB71" s="64"/>
      <c r="AC71" s="64"/>
    </row>
    <row r="72" spans="1:68" ht="14.25" hidden="1" customHeight="1" x14ac:dyDescent="0.25">
      <c r="A72" s="657" t="s">
        <v>86</v>
      </c>
      <c r="B72" s="657"/>
      <c r="C72" s="657"/>
      <c r="D72" s="657"/>
      <c r="E72" s="657"/>
      <c r="F72" s="657"/>
      <c r="G72" s="657"/>
      <c r="H72" s="657"/>
      <c r="I72" s="657"/>
      <c r="J72" s="657"/>
      <c r="K72" s="657"/>
      <c r="L72" s="657"/>
      <c r="M72" s="657"/>
      <c r="N72" s="657"/>
      <c r="O72" s="657"/>
      <c r="P72" s="657"/>
      <c r="Q72" s="657"/>
      <c r="R72" s="657"/>
      <c r="S72" s="657"/>
      <c r="T72" s="657"/>
      <c r="U72" s="657"/>
      <c r="V72" s="657"/>
      <c r="W72" s="657"/>
      <c r="X72" s="657"/>
      <c r="Y72" s="657"/>
      <c r="Z72" s="657"/>
      <c r="AA72" s="63"/>
      <c r="AB72" s="63"/>
      <c r="AC72" s="63"/>
    </row>
    <row r="73" spans="1:68" ht="16.5" customHeight="1" x14ac:dyDescent="0.25">
      <c r="A73" s="60" t="s">
        <v>169</v>
      </c>
      <c r="B73" s="60" t="s">
        <v>170</v>
      </c>
      <c r="C73" s="34">
        <v>4301051837</v>
      </c>
      <c r="D73" s="652">
        <v>4680115884311</v>
      </c>
      <c r="E73" s="652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0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4"/>
      <c r="R73" s="654"/>
      <c r="S73" s="654"/>
      <c r="T73" s="655"/>
      <c r="U73" s="37" t="s">
        <v>46</v>
      </c>
      <c r="V73" s="37" t="s">
        <v>46</v>
      </c>
      <c r="W73" s="38" t="s">
        <v>0</v>
      </c>
      <c r="X73" s="56">
        <v>27</v>
      </c>
      <c r="Y73" s="53">
        <f>IFERROR(IF(X73="",0,CEILING((X73/$H73),1)*$H73),"")</f>
        <v>27</v>
      </c>
      <c r="Z73" s="39">
        <f>IFERROR(IF(Y73=0,"",ROUNDUP(Y73/H73,0)*0.00651),"")</f>
        <v>9.7650000000000001E-2</v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30.689999999999998</v>
      </c>
      <c r="BN73" s="75">
        <f>IFERROR(Y73*I73/H73,"0")</f>
        <v>30.689999999999998</v>
      </c>
      <c r="BO73" s="75">
        <f>IFERROR(1/J73*(X73/H73),"0")</f>
        <v>8.241758241758243E-2</v>
      </c>
      <c r="BP73" s="75">
        <f>IFERROR(1/J73*(Y73/H73),"0")</f>
        <v>8.241758241758243E-2</v>
      </c>
    </row>
    <row r="74" spans="1:68" ht="27" customHeight="1" x14ac:dyDescent="0.25">
      <c r="A74" s="60" t="s">
        <v>172</v>
      </c>
      <c r="B74" s="60" t="s">
        <v>173</v>
      </c>
      <c r="C74" s="34">
        <v>4301051929</v>
      </c>
      <c r="D74" s="652">
        <v>4680115884403</v>
      </c>
      <c r="E74" s="652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90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4"/>
      <c r="R74" s="654"/>
      <c r="S74" s="654"/>
      <c r="T74" s="655"/>
      <c r="U74" s="37" t="s">
        <v>46</v>
      </c>
      <c r="V74" s="37" t="s">
        <v>46</v>
      </c>
      <c r="W74" s="38" t="s">
        <v>0</v>
      </c>
      <c r="X74" s="56">
        <v>36</v>
      </c>
      <c r="Y74" s="53">
        <f>IFERROR(IF(X74="",0,CEILING((X74/$H74),1)*$H74),"")</f>
        <v>36</v>
      </c>
      <c r="Z74" s="39">
        <f>IFERROR(IF(Y74=0,"",ROUNDUP(Y74/H74,0)*0.00651),"")</f>
        <v>0.13020000000000001</v>
      </c>
      <c r="AA74" s="65" t="s">
        <v>46</v>
      </c>
      <c r="AB74" s="66" t="s">
        <v>46</v>
      </c>
      <c r="AC74" s="139" t="s">
        <v>174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39.6</v>
      </c>
      <c r="BN74" s="75">
        <f>IFERROR(Y74*I74/H74,"0")</f>
        <v>39.6</v>
      </c>
      <c r="BO74" s="75">
        <f>IFERROR(1/J74*(X74/H74),"0")</f>
        <v>0.1098901098901099</v>
      </c>
      <c r="BP74" s="75">
        <f>IFERROR(1/J74*(Y74/H74),"0")</f>
        <v>0.1098901098901099</v>
      </c>
    </row>
    <row r="75" spans="1:68" x14ac:dyDescent="0.2">
      <c r="A75" s="646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47"/>
      <c r="P75" s="643" t="s">
        <v>40</v>
      </c>
      <c r="Q75" s="644"/>
      <c r="R75" s="644"/>
      <c r="S75" s="644"/>
      <c r="T75" s="644"/>
      <c r="U75" s="644"/>
      <c r="V75" s="645"/>
      <c r="W75" s="40" t="s">
        <v>39</v>
      </c>
      <c r="X75" s="41">
        <f>IFERROR(X73/H73,"0")+IFERROR(X74/H74,"0")</f>
        <v>35</v>
      </c>
      <c r="Y75" s="41">
        <f>IFERROR(Y73/H73,"0")+IFERROR(Y74/H74,"0")</f>
        <v>35</v>
      </c>
      <c r="Z75" s="41">
        <f>IFERROR(IF(Z73="",0,Z73),"0")+IFERROR(IF(Z74="",0,Z74),"0")</f>
        <v>0.22785</v>
      </c>
      <c r="AA75" s="64"/>
      <c r="AB75" s="64"/>
      <c r="AC75" s="64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47"/>
      <c r="P76" s="643" t="s">
        <v>40</v>
      </c>
      <c r="Q76" s="644"/>
      <c r="R76" s="644"/>
      <c r="S76" s="644"/>
      <c r="T76" s="644"/>
      <c r="U76" s="644"/>
      <c r="V76" s="645"/>
      <c r="W76" s="40" t="s">
        <v>0</v>
      </c>
      <c r="X76" s="41">
        <f>IFERROR(SUM(X73:X74),"0")</f>
        <v>63</v>
      </c>
      <c r="Y76" s="41">
        <f>IFERROR(SUM(Y73:Y74),"0")</f>
        <v>63</v>
      </c>
      <c r="Z76" s="40"/>
      <c r="AA76" s="64"/>
      <c r="AB76" s="64"/>
      <c r="AC76" s="64"/>
    </row>
    <row r="77" spans="1:68" ht="14.25" hidden="1" customHeight="1" x14ac:dyDescent="0.25">
      <c r="A77" s="657" t="s">
        <v>175</v>
      </c>
      <c r="B77" s="657"/>
      <c r="C77" s="657"/>
      <c r="D77" s="657"/>
      <c r="E77" s="657"/>
      <c r="F77" s="657"/>
      <c r="G77" s="657"/>
      <c r="H77" s="657"/>
      <c r="I77" s="657"/>
      <c r="J77" s="657"/>
      <c r="K77" s="657"/>
      <c r="L77" s="657"/>
      <c r="M77" s="657"/>
      <c r="N77" s="657"/>
      <c r="O77" s="657"/>
      <c r="P77" s="657"/>
      <c r="Q77" s="657"/>
      <c r="R77" s="657"/>
      <c r="S77" s="657"/>
      <c r="T77" s="657"/>
      <c r="U77" s="657"/>
      <c r="V77" s="657"/>
      <c r="W77" s="657"/>
      <c r="X77" s="657"/>
      <c r="Y77" s="657"/>
      <c r="Z77" s="657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652">
        <v>4680115881532</v>
      </c>
      <c r="E78" s="652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4"/>
      <c r="R78" s="654"/>
      <c r="S78" s="654"/>
      <c r="T78" s="655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179</v>
      </c>
      <c r="B79" s="60" t="s">
        <v>180</v>
      </c>
      <c r="C79" s="34">
        <v>4301060351</v>
      </c>
      <c r="D79" s="652">
        <v>4680115881464</v>
      </c>
      <c r="E79" s="652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90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4"/>
      <c r="R79" s="654"/>
      <c r="S79" s="654"/>
      <c r="T79" s="655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181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646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47"/>
      <c r="P80" s="643" t="s">
        <v>40</v>
      </c>
      <c r="Q80" s="644"/>
      <c r="R80" s="644"/>
      <c r="S80" s="644"/>
      <c r="T80" s="644"/>
      <c r="U80" s="644"/>
      <c r="V80" s="645"/>
      <c r="W80" s="40" t="s">
        <v>39</v>
      </c>
      <c r="X80" s="41">
        <f>IFERROR(X78/H78,"0")+IFERROR(X79/H79,"0")</f>
        <v>0</v>
      </c>
      <c r="Y80" s="41">
        <f>IFERROR(Y78/H78,"0")+IFERROR(Y79/H79,"0")</f>
        <v>0</v>
      </c>
      <c r="Z80" s="41">
        <f>IFERROR(IF(Z78="",0,Z78),"0")+IFERROR(IF(Z79="",0,Z79),"0")</f>
        <v>0</v>
      </c>
      <c r="AA80" s="64"/>
      <c r="AB80" s="64"/>
      <c r="AC80" s="64"/>
    </row>
    <row r="81" spans="1:68" hidden="1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47"/>
      <c r="P81" s="643" t="s">
        <v>40</v>
      </c>
      <c r="Q81" s="644"/>
      <c r="R81" s="644"/>
      <c r="S81" s="644"/>
      <c r="T81" s="644"/>
      <c r="U81" s="644"/>
      <c r="V81" s="645"/>
      <c r="W81" s="40" t="s">
        <v>0</v>
      </c>
      <c r="X81" s="41">
        <f>IFERROR(SUM(X78:X79),"0")</f>
        <v>0</v>
      </c>
      <c r="Y81" s="41">
        <f>IFERROR(SUM(Y78:Y79),"0")</f>
        <v>0</v>
      </c>
      <c r="Z81" s="40"/>
      <c r="AA81" s="64"/>
      <c r="AB81" s="64"/>
      <c r="AC81" s="64"/>
    </row>
    <row r="82" spans="1:68" ht="16.5" hidden="1" customHeight="1" x14ac:dyDescent="0.25">
      <c r="A82" s="656" t="s">
        <v>182</v>
      </c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6"/>
      <c r="P82" s="656"/>
      <c r="Q82" s="656"/>
      <c r="R82" s="656"/>
      <c r="S82" s="656"/>
      <c r="T82" s="656"/>
      <c r="U82" s="656"/>
      <c r="V82" s="656"/>
      <c r="W82" s="656"/>
      <c r="X82" s="656"/>
      <c r="Y82" s="656"/>
      <c r="Z82" s="656"/>
      <c r="AA82" s="62"/>
      <c r="AB82" s="62"/>
      <c r="AC82" s="62"/>
    </row>
    <row r="83" spans="1:68" ht="14.25" hidden="1" customHeight="1" x14ac:dyDescent="0.25">
      <c r="A83" s="657" t="s">
        <v>122</v>
      </c>
      <c r="B83" s="657"/>
      <c r="C83" s="657"/>
      <c r="D83" s="657"/>
      <c r="E83" s="657"/>
      <c r="F83" s="657"/>
      <c r="G83" s="657"/>
      <c r="H83" s="657"/>
      <c r="I83" s="657"/>
      <c r="J83" s="657"/>
      <c r="K83" s="657"/>
      <c r="L83" s="657"/>
      <c r="M83" s="657"/>
      <c r="N83" s="657"/>
      <c r="O83" s="657"/>
      <c r="P83" s="657"/>
      <c r="Q83" s="657"/>
      <c r="R83" s="657"/>
      <c r="S83" s="657"/>
      <c r="T83" s="657"/>
      <c r="U83" s="657"/>
      <c r="V83" s="657"/>
      <c r="W83" s="657"/>
      <c r="X83" s="657"/>
      <c r="Y83" s="657"/>
      <c r="Z83" s="657"/>
      <c r="AA83" s="63"/>
      <c r="AB83" s="63"/>
      <c r="AC83" s="63"/>
    </row>
    <row r="84" spans="1:68" ht="27" hidden="1" customHeight="1" x14ac:dyDescent="0.25">
      <c r="A84" s="60" t="s">
        <v>183</v>
      </c>
      <c r="B84" s="60" t="s">
        <v>184</v>
      </c>
      <c r="C84" s="34">
        <v>4301011468</v>
      </c>
      <c r="D84" s="652">
        <v>4680115881327</v>
      </c>
      <c r="E84" s="652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127</v>
      </c>
      <c r="L84" s="35" t="s">
        <v>46</v>
      </c>
      <c r="M84" s="36" t="s">
        <v>97</v>
      </c>
      <c r="N84" s="36"/>
      <c r="O84" s="35">
        <v>50</v>
      </c>
      <c r="P84" s="90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4"/>
      <c r="R84" s="654"/>
      <c r="S84" s="654"/>
      <c r="T84" s="655"/>
      <c r="U84" s="37" t="s">
        <v>46</v>
      </c>
      <c r="V84" s="37" t="s">
        <v>46</v>
      </c>
      <c r="W84" s="38" t="s">
        <v>0</v>
      </c>
      <c r="X84" s="56">
        <v>0</v>
      </c>
      <c r="Y84" s="53">
        <f>IFERROR(IF(X84="",0,CEILING((X84/$H84),1)*$H84),"")</f>
        <v>0</v>
      </c>
      <c r="Z84" s="39" t="str">
        <f>IFERROR(IF(Y84=0,"",ROUNDUP(Y84/H84,0)*0.01898),"")</f>
        <v/>
      </c>
      <c r="AA84" s="65" t="s">
        <v>46</v>
      </c>
      <c r="AB84" s="66" t="s">
        <v>46</v>
      </c>
      <c r="AC84" s="145" t="s">
        <v>185</v>
      </c>
      <c r="AG84" s="75"/>
      <c r="AJ84" s="79" t="s">
        <v>46</v>
      </c>
      <c r="AK84" s="79">
        <v>0</v>
      </c>
      <c r="BB84" s="146" t="s">
        <v>67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ht="27" hidden="1" customHeight="1" x14ac:dyDescent="0.25">
      <c r="A85" s="60" t="s">
        <v>186</v>
      </c>
      <c r="B85" s="60" t="s">
        <v>187</v>
      </c>
      <c r="C85" s="34">
        <v>4301011261</v>
      </c>
      <c r="D85" s="652">
        <v>4680115887732</v>
      </c>
      <c r="E85" s="652"/>
      <c r="F85" s="59">
        <v>0.17</v>
      </c>
      <c r="G85" s="35">
        <v>10</v>
      </c>
      <c r="H85" s="59">
        <v>1.7</v>
      </c>
      <c r="I85" s="59">
        <v>1.8</v>
      </c>
      <c r="J85" s="35">
        <v>192</v>
      </c>
      <c r="K85" s="35" t="s">
        <v>131</v>
      </c>
      <c r="L85" s="35" t="s">
        <v>46</v>
      </c>
      <c r="M85" s="36" t="s">
        <v>81</v>
      </c>
      <c r="N85" s="36"/>
      <c r="O85" s="35">
        <v>30</v>
      </c>
      <c r="P85" s="90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4"/>
      <c r="R85" s="654"/>
      <c r="S85" s="654"/>
      <c r="T85" s="655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IFERROR(IF(Y85=0,"",ROUNDUP(Y85/H85,0)*0.00726),"")</f>
        <v/>
      </c>
      <c r="AA85" s="65" t="s">
        <v>46</v>
      </c>
      <c r="AB85" s="66" t="s">
        <v>46</v>
      </c>
      <c r="AC85" s="147" t="s">
        <v>188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189</v>
      </c>
      <c r="B86" s="60" t="s">
        <v>190</v>
      </c>
      <c r="C86" s="34">
        <v>4301011476</v>
      </c>
      <c r="D86" s="652">
        <v>4680115881518</v>
      </c>
      <c r="E86" s="652"/>
      <c r="F86" s="59">
        <v>0.4</v>
      </c>
      <c r="G86" s="35">
        <v>10</v>
      </c>
      <c r="H86" s="59">
        <v>4</v>
      </c>
      <c r="I86" s="59">
        <v>4.1900000000000004</v>
      </c>
      <c r="J86" s="35">
        <v>132</v>
      </c>
      <c r="K86" s="35" t="s">
        <v>134</v>
      </c>
      <c r="L86" s="35" t="s">
        <v>46</v>
      </c>
      <c r="M86" s="36" t="s">
        <v>90</v>
      </c>
      <c r="N86" s="36"/>
      <c r="O86" s="35">
        <v>50</v>
      </c>
      <c r="P86" s="9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4"/>
      <c r="R86" s="654"/>
      <c r="S86" s="654"/>
      <c r="T86" s="655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49" t="s">
        <v>185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191</v>
      </c>
      <c r="B87" s="60" t="s">
        <v>192</v>
      </c>
      <c r="C87" s="34">
        <v>4301011443</v>
      </c>
      <c r="D87" s="652">
        <v>4680115881303</v>
      </c>
      <c r="E87" s="652"/>
      <c r="F87" s="59">
        <v>0.45</v>
      </c>
      <c r="G87" s="35">
        <v>10</v>
      </c>
      <c r="H87" s="59">
        <v>4.5</v>
      </c>
      <c r="I87" s="59">
        <v>4.6900000000000004</v>
      </c>
      <c r="J87" s="35">
        <v>132</v>
      </c>
      <c r="K87" s="35" t="s">
        <v>134</v>
      </c>
      <c r="L87" s="35" t="s">
        <v>46</v>
      </c>
      <c r="M87" s="36" t="s">
        <v>97</v>
      </c>
      <c r="N87" s="36"/>
      <c r="O87" s="35">
        <v>50</v>
      </c>
      <c r="P87" s="90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4"/>
      <c r="R87" s="654"/>
      <c r="S87" s="654"/>
      <c r="T87" s="655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 t="s">
        <v>46</v>
      </c>
      <c r="AB87" s="66" t="s">
        <v>46</v>
      </c>
      <c r="AC87" s="151" t="s">
        <v>185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idden="1" x14ac:dyDescent="0.2">
      <c r="A88" s="646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47"/>
      <c r="P88" s="643" t="s">
        <v>40</v>
      </c>
      <c r="Q88" s="644"/>
      <c r="R88" s="644"/>
      <c r="S88" s="644"/>
      <c r="T88" s="644"/>
      <c r="U88" s="644"/>
      <c r="V88" s="645"/>
      <c r="W88" s="40" t="s">
        <v>39</v>
      </c>
      <c r="X88" s="41">
        <f>IFERROR(X84/H84,"0")+IFERROR(X85/H85,"0")+IFERROR(X86/H86,"0")+IFERROR(X87/H87,"0")</f>
        <v>0</v>
      </c>
      <c r="Y88" s="41">
        <f>IFERROR(Y84/H84,"0")+IFERROR(Y85/H85,"0")+IFERROR(Y86/H86,"0")+IFERROR(Y87/H87,"0")</f>
        <v>0</v>
      </c>
      <c r="Z88" s="41">
        <f>IFERROR(IF(Z84="",0,Z84),"0")+IFERROR(IF(Z85="",0,Z85),"0")+IFERROR(IF(Z86="",0,Z86),"0")+IFERROR(IF(Z87="",0,Z87),"0")</f>
        <v>0</v>
      </c>
      <c r="AA88" s="64"/>
      <c r="AB88" s="64"/>
      <c r="AC88" s="64"/>
    </row>
    <row r="89" spans="1:68" hidden="1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47"/>
      <c r="P89" s="643" t="s">
        <v>40</v>
      </c>
      <c r="Q89" s="644"/>
      <c r="R89" s="644"/>
      <c r="S89" s="644"/>
      <c r="T89" s="644"/>
      <c r="U89" s="644"/>
      <c r="V89" s="645"/>
      <c r="W89" s="40" t="s">
        <v>0</v>
      </c>
      <c r="X89" s="41">
        <f>IFERROR(SUM(X84:X87),"0")</f>
        <v>0</v>
      </c>
      <c r="Y89" s="41">
        <f>IFERROR(SUM(Y84:Y87),"0")</f>
        <v>0</v>
      </c>
      <c r="Z89" s="40"/>
      <c r="AA89" s="64"/>
      <c r="AB89" s="64"/>
      <c r="AC89" s="64"/>
    </row>
    <row r="90" spans="1:68" ht="14.25" hidden="1" customHeight="1" x14ac:dyDescent="0.25">
      <c r="A90" s="657" t="s">
        <v>86</v>
      </c>
      <c r="B90" s="657"/>
      <c r="C90" s="657"/>
      <c r="D90" s="657"/>
      <c r="E90" s="657"/>
      <c r="F90" s="657"/>
      <c r="G90" s="657"/>
      <c r="H90" s="657"/>
      <c r="I90" s="657"/>
      <c r="J90" s="657"/>
      <c r="K90" s="657"/>
      <c r="L90" s="657"/>
      <c r="M90" s="657"/>
      <c r="N90" s="657"/>
      <c r="O90" s="657"/>
      <c r="P90" s="657"/>
      <c r="Q90" s="657"/>
      <c r="R90" s="657"/>
      <c r="S90" s="657"/>
      <c r="T90" s="657"/>
      <c r="U90" s="657"/>
      <c r="V90" s="657"/>
      <c r="W90" s="657"/>
      <c r="X90" s="657"/>
      <c r="Y90" s="657"/>
      <c r="Z90" s="657"/>
      <c r="AA90" s="63"/>
      <c r="AB90" s="63"/>
      <c r="AC90" s="63"/>
    </row>
    <row r="91" spans="1:68" ht="27" hidden="1" customHeight="1" x14ac:dyDescent="0.25">
      <c r="A91" s="60" t="s">
        <v>193</v>
      </c>
      <c r="B91" s="60" t="s">
        <v>194</v>
      </c>
      <c r="C91" s="34">
        <v>4301051712</v>
      </c>
      <c r="D91" s="652">
        <v>4607091386967</v>
      </c>
      <c r="E91" s="652"/>
      <c r="F91" s="59">
        <v>1.35</v>
      </c>
      <c r="G91" s="35">
        <v>6</v>
      </c>
      <c r="H91" s="59">
        <v>8.1</v>
      </c>
      <c r="I91" s="59">
        <v>8.5939999999999994</v>
      </c>
      <c r="J91" s="35">
        <v>64</v>
      </c>
      <c r="K91" s="35" t="s">
        <v>127</v>
      </c>
      <c r="L91" s="35" t="s">
        <v>46</v>
      </c>
      <c r="M91" s="36" t="s">
        <v>97</v>
      </c>
      <c r="N91" s="36"/>
      <c r="O91" s="35">
        <v>45</v>
      </c>
      <c r="P91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4"/>
      <c r="R91" s="654"/>
      <c r="S91" s="654"/>
      <c r="T91" s="655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IFERROR(IF(Y91=0,"",ROUNDUP(Y91/H91,0)*0.01898),"")</f>
        <v/>
      </c>
      <c r="AA91" s="65" t="s">
        <v>46</v>
      </c>
      <c r="AB91" s="66" t="s">
        <v>46</v>
      </c>
      <c r="AC91" s="153" t="s">
        <v>195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t="27" hidden="1" customHeight="1" x14ac:dyDescent="0.25">
      <c r="A92" s="60" t="s">
        <v>196</v>
      </c>
      <c r="B92" s="60" t="s">
        <v>197</v>
      </c>
      <c r="C92" s="34">
        <v>4301051788</v>
      </c>
      <c r="D92" s="652">
        <v>4680115884953</v>
      </c>
      <c r="E92" s="652"/>
      <c r="F92" s="59">
        <v>0.37</v>
      </c>
      <c r="G92" s="35">
        <v>6</v>
      </c>
      <c r="H92" s="59">
        <v>2.2200000000000002</v>
      </c>
      <c r="I92" s="59">
        <v>2.472</v>
      </c>
      <c r="J92" s="35">
        <v>182</v>
      </c>
      <c r="K92" s="35" t="s">
        <v>91</v>
      </c>
      <c r="L92" s="35" t="s">
        <v>46</v>
      </c>
      <c r="M92" s="36" t="s">
        <v>90</v>
      </c>
      <c r="N92" s="36"/>
      <c r="O92" s="35">
        <v>45</v>
      </c>
      <c r="P92" s="8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4"/>
      <c r="R92" s="654"/>
      <c r="S92" s="654"/>
      <c r="T92" s="655"/>
      <c r="U92" s="37" t="s">
        <v>46</v>
      </c>
      <c r="V92" s="37" t="s">
        <v>46</v>
      </c>
      <c r="W92" s="38" t="s">
        <v>0</v>
      </c>
      <c r="X92" s="56">
        <v>0</v>
      </c>
      <c r="Y92" s="53">
        <f>IFERROR(IF(X92="",0,CEILING((X92/$H92),1)*$H92),"")</f>
        <v>0</v>
      </c>
      <c r="Z92" s="39" t="str">
        <f>IFERROR(IF(Y92=0,"",ROUNDUP(Y92/H92,0)*0.00651),"")</f>
        <v/>
      </c>
      <c r="AA92" s="65" t="s">
        <v>46</v>
      </c>
      <c r="AB92" s="66" t="s">
        <v>46</v>
      </c>
      <c r="AC92" s="155" t="s">
        <v>195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customHeight="1" x14ac:dyDescent="0.25">
      <c r="A93" s="60" t="s">
        <v>198</v>
      </c>
      <c r="B93" s="60" t="s">
        <v>199</v>
      </c>
      <c r="C93" s="34">
        <v>4301051718</v>
      </c>
      <c r="D93" s="652">
        <v>4607091385731</v>
      </c>
      <c r="E93" s="652"/>
      <c r="F93" s="59">
        <v>0.45</v>
      </c>
      <c r="G93" s="35">
        <v>6</v>
      </c>
      <c r="H93" s="59">
        <v>2.7</v>
      </c>
      <c r="I93" s="59">
        <v>2.952</v>
      </c>
      <c r="J93" s="35">
        <v>182</v>
      </c>
      <c r="K93" s="35" t="s">
        <v>91</v>
      </c>
      <c r="L93" s="35" t="s">
        <v>46</v>
      </c>
      <c r="M93" s="36" t="s">
        <v>97</v>
      </c>
      <c r="N93" s="36"/>
      <c r="O93" s="35">
        <v>45</v>
      </c>
      <c r="P93" s="89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4"/>
      <c r="R93" s="654"/>
      <c r="S93" s="654"/>
      <c r="T93" s="655"/>
      <c r="U93" s="37" t="s">
        <v>46</v>
      </c>
      <c r="V93" s="37" t="s">
        <v>46</v>
      </c>
      <c r="W93" s="38" t="s">
        <v>0</v>
      </c>
      <c r="X93" s="56">
        <v>202.5</v>
      </c>
      <c r="Y93" s="53">
        <f>IFERROR(IF(X93="",0,CEILING((X93/$H93),1)*$H93),"")</f>
        <v>202.5</v>
      </c>
      <c r="Z93" s="39">
        <f>IFERROR(IF(Y93=0,"",ROUNDUP(Y93/H93,0)*0.00651),"")</f>
        <v>0.48825000000000002</v>
      </c>
      <c r="AA93" s="65" t="s">
        <v>46</v>
      </c>
      <c r="AB93" s="66" t="s">
        <v>46</v>
      </c>
      <c r="AC93" s="157" t="s">
        <v>195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221.39999999999998</v>
      </c>
      <c r="BN93" s="75">
        <f>IFERROR(Y93*I93/H93,"0")</f>
        <v>221.39999999999998</v>
      </c>
      <c r="BO93" s="75">
        <f>IFERROR(1/J93*(X93/H93),"0")</f>
        <v>0.41208791208791212</v>
      </c>
      <c r="BP93" s="75">
        <f>IFERROR(1/J93*(Y93/H93),"0")</f>
        <v>0.41208791208791212</v>
      </c>
    </row>
    <row r="94" spans="1:68" ht="16.5" hidden="1" customHeight="1" x14ac:dyDescent="0.25">
      <c r="A94" s="60" t="s">
        <v>200</v>
      </c>
      <c r="B94" s="60" t="s">
        <v>201</v>
      </c>
      <c r="C94" s="34">
        <v>4301052092</v>
      </c>
      <c r="D94" s="652">
        <v>4680115880894</v>
      </c>
      <c r="E94" s="652"/>
      <c r="F94" s="59">
        <v>0.33</v>
      </c>
      <c r="G94" s="35">
        <v>6</v>
      </c>
      <c r="H94" s="59">
        <v>1.98</v>
      </c>
      <c r="I94" s="59">
        <v>2.238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90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4"/>
      <c r="R94" s="654"/>
      <c r="S94" s="654"/>
      <c r="T94" s="655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202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x14ac:dyDescent="0.2">
      <c r="A95" s="646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47"/>
      <c r="P95" s="643" t="s">
        <v>40</v>
      </c>
      <c r="Q95" s="644"/>
      <c r="R95" s="644"/>
      <c r="S95" s="644"/>
      <c r="T95" s="644"/>
      <c r="U95" s="644"/>
      <c r="V95" s="645"/>
      <c r="W95" s="40" t="s">
        <v>39</v>
      </c>
      <c r="X95" s="41">
        <f>IFERROR(X91/H91,"0")+IFERROR(X92/H92,"0")+IFERROR(X93/H93,"0")+IFERROR(X94/H94,"0")</f>
        <v>75</v>
      </c>
      <c r="Y95" s="41">
        <f>IFERROR(Y91/H91,"0")+IFERROR(Y92/H92,"0")+IFERROR(Y93/H93,"0")+IFERROR(Y94/H94,"0")</f>
        <v>75</v>
      </c>
      <c r="Z95" s="41">
        <f>IFERROR(IF(Z91="",0,Z91),"0")+IFERROR(IF(Z92="",0,Z92),"0")+IFERROR(IF(Z93="",0,Z93),"0")+IFERROR(IF(Z94="",0,Z94),"0")</f>
        <v>0.48825000000000002</v>
      </c>
      <c r="AA95" s="64"/>
      <c r="AB95" s="64"/>
      <c r="AC95" s="64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47"/>
      <c r="P96" s="643" t="s">
        <v>40</v>
      </c>
      <c r="Q96" s="644"/>
      <c r="R96" s="644"/>
      <c r="S96" s="644"/>
      <c r="T96" s="644"/>
      <c r="U96" s="644"/>
      <c r="V96" s="645"/>
      <c r="W96" s="40" t="s">
        <v>0</v>
      </c>
      <c r="X96" s="41">
        <f>IFERROR(SUM(X91:X94),"0")</f>
        <v>202.5</v>
      </c>
      <c r="Y96" s="41">
        <f>IFERROR(SUM(Y91:Y94),"0")</f>
        <v>202.5</v>
      </c>
      <c r="Z96" s="40"/>
      <c r="AA96" s="64"/>
      <c r="AB96" s="64"/>
      <c r="AC96" s="64"/>
    </row>
    <row r="97" spans="1:68" ht="16.5" hidden="1" customHeight="1" x14ac:dyDescent="0.25">
      <c r="A97" s="656" t="s">
        <v>203</v>
      </c>
      <c r="B97" s="656"/>
      <c r="C97" s="656"/>
      <c r="D97" s="656"/>
      <c r="E97" s="656"/>
      <c r="F97" s="656"/>
      <c r="G97" s="656"/>
      <c r="H97" s="656"/>
      <c r="I97" s="656"/>
      <c r="J97" s="656"/>
      <c r="K97" s="656"/>
      <c r="L97" s="656"/>
      <c r="M97" s="656"/>
      <c r="N97" s="656"/>
      <c r="O97" s="656"/>
      <c r="P97" s="656"/>
      <c r="Q97" s="656"/>
      <c r="R97" s="656"/>
      <c r="S97" s="656"/>
      <c r="T97" s="656"/>
      <c r="U97" s="656"/>
      <c r="V97" s="656"/>
      <c r="W97" s="656"/>
      <c r="X97" s="656"/>
      <c r="Y97" s="656"/>
      <c r="Z97" s="656"/>
      <c r="AA97" s="62"/>
      <c r="AB97" s="62"/>
      <c r="AC97" s="62"/>
    </row>
    <row r="98" spans="1:68" ht="14.25" hidden="1" customHeight="1" x14ac:dyDescent="0.25">
      <c r="A98" s="657" t="s">
        <v>122</v>
      </c>
      <c r="B98" s="657"/>
      <c r="C98" s="657"/>
      <c r="D98" s="657"/>
      <c r="E98" s="657"/>
      <c r="F98" s="657"/>
      <c r="G98" s="657"/>
      <c r="H98" s="657"/>
      <c r="I98" s="657"/>
      <c r="J98" s="657"/>
      <c r="K98" s="657"/>
      <c r="L98" s="657"/>
      <c r="M98" s="657"/>
      <c r="N98" s="657"/>
      <c r="O98" s="657"/>
      <c r="P98" s="657"/>
      <c r="Q98" s="657"/>
      <c r="R98" s="657"/>
      <c r="S98" s="657"/>
      <c r="T98" s="657"/>
      <c r="U98" s="657"/>
      <c r="V98" s="657"/>
      <c r="W98" s="657"/>
      <c r="X98" s="657"/>
      <c r="Y98" s="657"/>
      <c r="Z98" s="657"/>
      <c r="AA98" s="63"/>
      <c r="AB98" s="63"/>
      <c r="AC98" s="63"/>
    </row>
    <row r="99" spans="1:68" ht="37.5" hidden="1" customHeight="1" x14ac:dyDescent="0.25">
      <c r="A99" s="60" t="s">
        <v>204</v>
      </c>
      <c r="B99" s="60" t="s">
        <v>205</v>
      </c>
      <c r="C99" s="34">
        <v>4301011514</v>
      </c>
      <c r="D99" s="652">
        <v>4680115882133</v>
      </c>
      <c r="E99" s="652"/>
      <c r="F99" s="59">
        <v>1.35</v>
      </c>
      <c r="G99" s="35">
        <v>8</v>
      </c>
      <c r="H99" s="59">
        <v>10.8</v>
      </c>
      <c r="I99" s="59">
        <v>11.21</v>
      </c>
      <c r="J99" s="35">
        <v>64</v>
      </c>
      <c r="K99" s="35" t="s">
        <v>127</v>
      </c>
      <c r="L99" s="35" t="s">
        <v>46</v>
      </c>
      <c r="M99" s="36" t="s">
        <v>126</v>
      </c>
      <c r="N99" s="36"/>
      <c r="O99" s="35">
        <v>50</v>
      </c>
      <c r="P99" s="89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4"/>
      <c r="R99" s="654"/>
      <c r="S99" s="654"/>
      <c r="T99" s="655"/>
      <c r="U99" s="37" t="s">
        <v>46</v>
      </c>
      <c r="V99" s="37" t="s">
        <v>46</v>
      </c>
      <c r="W99" s="38" t="s">
        <v>0</v>
      </c>
      <c r="X99" s="56">
        <v>0</v>
      </c>
      <c r="Y99" s="53">
        <f t="shared" ref="Y99:Y105" si="5">IFERROR(IF(X99="",0,CEILING((X99/$H99),1)*$H99),"")</f>
        <v>0</v>
      </c>
      <c r="Z99" s="39" t="str">
        <f>IFERROR(IF(Y99=0,"",ROUNDUP(Y99/H99,0)*0.01898),"")</f>
        <v/>
      </c>
      <c r="AA99" s="65" t="s">
        <v>46</v>
      </c>
      <c r="AB99" s="66" t="s">
        <v>46</v>
      </c>
      <c r="AC99" s="161" t="s">
        <v>206</v>
      </c>
      <c r="AG99" s="75"/>
      <c r="AJ99" s="79" t="s">
        <v>46</v>
      </c>
      <c r="AK99" s="79">
        <v>0</v>
      </c>
      <c r="BB99" s="162" t="s">
        <v>67</v>
      </c>
      <c r="BM99" s="75">
        <f t="shared" ref="BM99:BM105" si="6">IFERROR(X99*I99/H99,"0")</f>
        <v>0</v>
      </c>
      <c r="BN99" s="75">
        <f t="shared" ref="BN99:BN105" si="7">IFERROR(Y99*I99/H99,"0")</f>
        <v>0</v>
      </c>
      <c r="BO99" s="75">
        <f t="shared" ref="BO99:BO105" si="8">IFERROR(1/J99*(X99/H99),"0")</f>
        <v>0</v>
      </c>
      <c r="BP99" s="75">
        <f t="shared" ref="BP99:BP105" si="9">IFERROR(1/J99*(Y99/H99),"0")</f>
        <v>0</v>
      </c>
    </row>
    <row r="100" spans="1:68" ht="27" customHeight="1" x14ac:dyDescent="0.25">
      <c r="A100" s="60" t="s">
        <v>207</v>
      </c>
      <c r="B100" s="60" t="s">
        <v>208</v>
      </c>
      <c r="C100" s="34">
        <v>4301012051</v>
      </c>
      <c r="D100" s="652">
        <v>4680115887718</v>
      </c>
      <c r="E100" s="652"/>
      <c r="F100" s="59">
        <v>0.11</v>
      </c>
      <c r="G100" s="35">
        <v>10</v>
      </c>
      <c r="H100" s="59">
        <v>1.1000000000000001</v>
      </c>
      <c r="I100" s="59">
        <v>1.31</v>
      </c>
      <c r="J100" s="35">
        <v>192</v>
      </c>
      <c r="K100" s="35" t="s">
        <v>131</v>
      </c>
      <c r="L100" s="35" t="s">
        <v>46</v>
      </c>
      <c r="M100" s="36" t="s">
        <v>81</v>
      </c>
      <c r="N100" s="36"/>
      <c r="O100" s="35">
        <v>30</v>
      </c>
      <c r="P100" s="89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4"/>
      <c r="R100" s="654"/>
      <c r="S100" s="654"/>
      <c r="T100" s="655"/>
      <c r="U100" s="37" t="s">
        <v>46</v>
      </c>
      <c r="V100" s="37" t="s">
        <v>46</v>
      </c>
      <c r="W100" s="38" t="s">
        <v>0</v>
      </c>
      <c r="X100" s="56">
        <v>4.4000000000000004</v>
      </c>
      <c r="Y100" s="53">
        <f t="shared" si="5"/>
        <v>4.4000000000000004</v>
      </c>
      <c r="Z100" s="39">
        <f>IFERROR(IF(Y100=0,"",ROUNDUP(Y100/H100,0)*0.00726),"")</f>
        <v>2.904E-2</v>
      </c>
      <c r="AA100" s="65" t="s">
        <v>46</v>
      </c>
      <c r="AB100" s="66" t="s">
        <v>46</v>
      </c>
      <c r="AC100" s="163" t="s">
        <v>209</v>
      </c>
      <c r="AG100" s="75"/>
      <c r="AJ100" s="79" t="s">
        <v>46</v>
      </c>
      <c r="AK100" s="79">
        <v>0</v>
      </c>
      <c r="BB100" s="164" t="s">
        <v>67</v>
      </c>
      <c r="BM100" s="75">
        <f t="shared" si="6"/>
        <v>5.24</v>
      </c>
      <c r="BN100" s="75">
        <f t="shared" si="7"/>
        <v>5.24</v>
      </c>
      <c r="BO100" s="75">
        <f t="shared" si="8"/>
        <v>2.0833333333333332E-2</v>
      </c>
      <c r="BP100" s="75">
        <f t="shared" si="9"/>
        <v>2.0833333333333332E-2</v>
      </c>
    </row>
    <row r="101" spans="1:68" ht="27" hidden="1" customHeight="1" x14ac:dyDescent="0.25">
      <c r="A101" s="60" t="s">
        <v>207</v>
      </c>
      <c r="B101" s="60" t="s">
        <v>210</v>
      </c>
      <c r="C101" s="34">
        <v>4301012334</v>
      </c>
      <c r="D101" s="652">
        <v>4680115887718</v>
      </c>
      <c r="E101" s="652"/>
      <c r="F101" s="59">
        <v>0.11</v>
      </c>
      <c r="G101" s="35">
        <v>8</v>
      </c>
      <c r="H101" s="59">
        <v>0.88</v>
      </c>
      <c r="I101" s="59">
        <v>1.0680000000000001</v>
      </c>
      <c r="J101" s="35">
        <v>192</v>
      </c>
      <c r="K101" s="35" t="s">
        <v>131</v>
      </c>
      <c r="L101" s="35" t="s">
        <v>46</v>
      </c>
      <c r="M101" s="36" t="s">
        <v>81</v>
      </c>
      <c r="N101" s="36"/>
      <c r="O101" s="35">
        <v>30</v>
      </c>
      <c r="P101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4"/>
      <c r="R101" s="654"/>
      <c r="S101" s="654"/>
      <c r="T101" s="655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si="5"/>
        <v>0</v>
      </c>
      <c r="Z101" s="39" t="str">
        <f>IFERROR(IF(Y101=0,"",ROUNDUP(Y101/H101,0)*0.00726),"")</f>
        <v/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si="6"/>
        <v>0</v>
      </c>
      <c r="BN101" s="75">
        <f t="shared" si="7"/>
        <v>0</v>
      </c>
      <c r="BO101" s="75">
        <f t="shared" si="8"/>
        <v>0</v>
      </c>
      <c r="BP101" s="75">
        <f t="shared" si="9"/>
        <v>0</v>
      </c>
    </row>
    <row r="102" spans="1:68" ht="27" hidden="1" customHeight="1" x14ac:dyDescent="0.25">
      <c r="A102" s="60" t="s">
        <v>207</v>
      </c>
      <c r="B102" s="60" t="s">
        <v>211</v>
      </c>
      <c r="C102" s="34">
        <v>4301012379</v>
      </c>
      <c r="D102" s="652">
        <v>4680115887718</v>
      </c>
      <c r="E102" s="652"/>
      <c r="F102" s="59">
        <v>0.11</v>
      </c>
      <c r="G102" s="35">
        <v>6</v>
      </c>
      <c r="H102" s="59">
        <v>0.66</v>
      </c>
      <c r="I102" s="59">
        <v>0.82599999999999996</v>
      </c>
      <c r="J102" s="35">
        <v>192</v>
      </c>
      <c r="K102" s="35" t="s">
        <v>131</v>
      </c>
      <c r="L102" s="35" t="s">
        <v>46</v>
      </c>
      <c r="M102" s="36" t="s">
        <v>81</v>
      </c>
      <c r="N102" s="36"/>
      <c r="O102" s="35">
        <v>30</v>
      </c>
      <c r="P102" s="89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4"/>
      <c r="R102" s="654"/>
      <c r="S102" s="654"/>
      <c r="T102" s="655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IFERROR(IF(Y102=0,"",ROUNDUP(Y102/H102,0)*0.00726),"")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37.5" hidden="1" customHeight="1" x14ac:dyDescent="0.25">
      <c r="A103" s="60" t="s">
        <v>212</v>
      </c>
      <c r="B103" s="60" t="s">
        <v>213</v>
      </c>
      <c r="C103" s="34">
        <v>4301011417</v>
      </c>
      <c r="D103" s="652">
        <v>4680115880269</v>
      </c>
      <c r="E103" s="652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134</v>
      </c>
      <c r="L103" s="35" t="s">
        <v>46</v>
      </c>
      <c r="M103" s="36" t="s">
        <v>90</v>
      </c>
      <c r="N103" s="36"/>
      <c r="O103" s="35">
        <v>50</v>
      </c>
      <c r="P103" s="89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4"/>
      <c r="R103" s="654"/>
      <c r="S103" s="654"/>
      <c r="T103" s="65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IFERROR(IF(Y103=0,"",ROUNDUP(Y103/H103,0)*0.00902),"")</f>
        <v/>
      </c>
      <c r="AA103" s="65" t="s">
        <v>46</v>
      </c>
      <c r="AB103" s="66" t="s">
        <v>46</v>
      </c>
      <c r="AC103" s="169" t="s">
        <v>206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214</v>
      </c>
      <c r="B104" s="60" t="s">
        <v>215</v>
      </c>
      <c r="C104" s="34">
        <v>4301011415</v>
      </c>
      <c r="D104" s="652">
        <v>4680115880429</v>
      </c>
      <c r="E104" s="652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89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4"/>
      <c r="R104" s="654"/>
      <c r="S104" s="654"/>
      <c r="T104" s="655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206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37.5" hidden="1" customHeight="1" x14ac:dyDescent="0.25">
      <c r="A105" s="60" t="s">
        <v>216</v>
      </c>
      <c r="B105" s="60" t="s">
        <v>217</v>
      </c>
      <c r="C105" s="34">
        <v>4301011462</v>
      </c>
      <c r="D105" s="652">
        <v>4680115881457</v>
      </c>
      <c r="E105" s="652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90</v>
      </c>
      <c r="N105" s="36"/>
      <c r="O105" s="35">
        <v>50</v>
      </c>
      <c r="P105" s="8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4"/>
      <c r="R105" s="654"/>
      <c r="S105" s="654"/>
      <c r="T105" s="65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206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x14ac:dyDescent="0.2">
      <c r="A106" s="646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47"/>
      <c r="P106" s="643" t="s">
        <v>40</v>
      </c>
      <c r="Q106" s="644"/>
      <c r="R106" s="644"/>
      <c r="S106" s="644"/>
      <c r="T106" s="644"/>
      <c r="U106" s="644"/>
      <c r="V106" s="645"/>
      <c r="W106" s="40" t="s">
        <v>39</v>
      </c>
      <c r="X106" s="41">
        <f>IFERROR(X99/H99,"0")+IFERROR(X100/H100,"0")+IFERROR(X101/H101,"0")+IFERROR(X102/H102,"0")+IFERROR(X103/H103,"0")+IFERROR(X104/H104,"0")+IFERROR(X105/H105,"0")</f>
        <v>4</v>
      </c>
      <c r="Y106" s="41">
        <f>IFERROR(Y99/H99,"0")+IFERROR(Y100/H100,"0")+IFERROR(Y101/H101,"0")+IFERROR(Y102/H102,"0")+IFERROR(Y103/H103,"0")+IFERROR(Y104/H104,"0")+IFERROR(Y105/H105,"0")</f>
        <v>4</v>
      </c>
      <c r="Z106" s="41">
        <f>IFERROR(IF(Z99="",0,Z99),"0")+IFERROR(IF(Z100="",0,Z100),"0")+IFERROR(IF(Z101="",0,Z101),"0")+IFERROR(IF(Z102="",0,Z102),"0")+IFERROR(IF(Z103="",0,Z103),"0")+IFERROR(IF(Z104="",0,Z104),"0")+IFERROR(IF(Z105="",0,Z105),"0")</f>
        <v>2.904E-2</v>
      </c>
      <c r="AA106" s="64"/>
      <c r="AB106" s="64"/>
      <c r="AC106" s="64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47"/>
      <c r="P107" s="643" t="s">
        <v>40</v>
      </c>
      <c r="Q107" s="644"/>
      <c r="R107" s="644"/>
      <c r="S107" s="644"/>
      <c r="T107" s="644"/>
      <c r="U107" s="644"/>
      <c r="V107" s="645"/>
      <c r="W107" s="40" t="s">
        <v>0</v>
      </c>
      <c r="X107" s="41">
        <f>IFERROR(SUM(X99:X105),"0")</f>
        <v>4.4000000000000004</v>
      </c>
      <c r="Y107" s="41">
        <f>IFERROR(SUM(Y99:Y105),"0")</f>
        <v>4.4000000000000004</v>
      </c>
      <c r="Z107" s="40"/>
      <c r="AA107" s="64"/>
      <c r="AB107" s="64"/>
      <c r="AC107" s="64"/>
    </row>
    <row r="108" spans="1:68" ht="14.25" hidden="1" customHeight="1" x14ac:dyDescent="0.25">
      <c r="A108" s="657" t="s">
        <v>158</v>
      </c>
      <c r="B108" s="657"/>
      <c r="C108" s="657"/>
      <c r="D108" s="657"/>
      <c r="E108" s="657"/>
      <c r="F108" s="657"/>
      <c r="G108" s="657"/>
      <c r="H108" s="657"/>
      <c r="I108" s="657"/>
      <c r="J108" s="657"/>
      <c r="K108" s="657"/>
      <c r="L108" s="657"/>
      <c r="M108" s="657"/>
      <c r="N108" s="657"/>
      <c r="O108" s="657"/>
      <c r="P108" s="657"/>
      <c r="Q108" s="657"/>
      <c r="R108" s="657"/>
      <c r="S108" s="657"/>
      <c r="T108" s="657"/>
      <c r="U108" s="657"/>
      <c r="V108" s="657"/>
      <c r="W108" s="657"/>
      <c r="X108" s="657"/>
      <c r="Y108" s="657"/>
      <c r="Z108" s="657"/>
      <c r="AA108" s="63"/>
      <c r="AB108" s="63"/>
      <c r="AC108" s="63"/>
    </row>
    <row r="109" spans="1:68" ht="27" hidden="1" customHeight="1" x14ac:dyDescent="0.25">
      <c r="A109" s="60" t="s">
        <v>218</v>
      </c>
      <c r="B109" s="60" t="s">
        <v>219</v>
      </c>
      <c r="C109" s="34">
        <v>4301020391</v>
      </c>
      <c r="D109" s="652">
        <v>4680115881488</v>
      </c>
      <c r="E109" s="652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127</v>
      </c>
      <c r="L109" s="35" t="s">
        <v>46</v>
      </c>
      <c r="M109" s="36" t="s">
        <v>126</v>
      </c>
      <c r="N109" s="36"/>
      <c r="O109" s="35">
        <v>55</v>
      </c>
      <c r="P109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4"/>
      <c r="R109" s="654"/>
      <c r="S109" s="654"/>
      <c r="T109" s="655"/>
      <c r="U109" s="37" t="s">
        <v>46</v>
      </c>
      <c r="V109" s="37" t="s">
        <v>46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46</v>
      </c>
      <c r="AB109" s="66" t="s">
        <v>46</v>
      </c>
      <c r="AC109" s="175" t="s">
        <v>220</v>
      </c>
      <c r="AG109" s="75"/>
      <c r="AJ109" s="79" t="s">
        <v>46</v>
      </c>
      <c r="AK109" s="79">
        <v>0</v>
      </c>
      <c r="BB109" s="176" t="s">
        <v>67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221</v>
      </c>
      <c r="B110" s="60" t="s">
        <v>222</v>
      </c>
      <c r="C110" s="34">
        <v>4301020186</v>
      </c>
      <c r="D110" s="652">
        <v>4680115887664</v>
      </c>
      <c r="E110" s="652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224</v>
      </c>
      <c r="L110" s="35" t="s">
        <v>46</v>
      </c>
      <c r="M110" s="36" t="s">
        <v>81</v>
      </c>
      <c r="N110" s="36"/>
      <c r="O110" s="35">
        <v>30</v>
      </c>
      <c r="P110" s="88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4"/>
      <c r="R110" s="654"/>
      <c r="S110" s="654"/>
      <c r="T110" s="655"/>
      <c r="U110" s="37" t="s">
        <v>46</v>
      </c>
      <c r="V110" s="37" t="s">
        <v>46</v>
      </c>
      <c r="W110" s="38" t="s">
        <v>0</v>
      </c>
      <c r="X110" s="56">
        <v>12.1</v>
      </c>
      <c r="Y110" s="53">
        <f>IFERROR(IF(X110="",0,CEILING((X110/$H110),1)*$H110),"")</f>
        <v>13</v>
      </c>
      <c r="Z110" s="39">
        <f>IFERROR(IF(Y110=0,"",ROUNDUP(Y110/H110,0)*0.00358),"")</f>
        <v>4.6539999999999998E-2</v>
      </c>
      <c r="AA110" s="65" t="s">
        <v>46</v>
      </c>
      <c r="AB110" s="66" t="s">
        <v>46</v>
      </c>
      <c r="AC110" s="177" t="s">
        <v>223</v>
      </c>
      <c r="AG110" s="75"/>
      <c r="AJ110" s="79" t="s">
        <v>46</v>
      </c>
      <c r="AK110" s="79">
        <v>0</v>
      </c>
      <c r="BB110" s="178" t="s">
        <v>67</v>
      </c>
      <c r="BM110" s="75">
        <f>IFERROR(X110*I110/H110,"0")</f>
        <v>14.641</v>
      </c>
      <c r="BN110" s="75">
        <f>IFERROR(Y110*I110/H110,"0")</f>
        <v>15.73</v>
      </c>
      <c r="BO110" s="75">
        <f>IFERROR(1/J110*(X110/H110),"0")</f>
        <v>3.0867346938775506E-2</v>
      </c>
      <c r="BP110" s="75">
        <f>IFERROR(1/J110*(Y110/H110),"0")</f>
        <v>3.3163265306122444E-2</v>
      </c>
    </row>
    <row r="111" spans="1:68" ht="27" hidden="1" customHeight="1" x14ac:dyDescent="0.25">
      <c r="A111" s="60" t="s">
        <v>221</v>
      </c>
      <c r="B111" s="60" t="s">
        <v>225</v>
      </c>
      <c r="C111" s="34">
        <v>4301020430</v>
      </c>
      <c r="D111" s="652">
        <v>4680115887664</v>
      </c>
      <c r="E111" s="652"/>
      <c r="F111" s="59">
        <v>0.1</v>
      </c>
      <c r="G111" s="35">
        <v>8</v>
      </c>
      <c r="H111" s="59">
        <v>0.8</v>
      </c>
      <c r="I111" s="59">
        <v>0.98799999999999999</v>
      </c>
      <c r="J111" s="35">
        <v>392</v>
      </c>
      <c r="K111" s="35" t="s">
        <v>224</v>
      </c>
      <c r="L111" s="35" t="s">
        <v>46</v>
      </c>
      <c r="M111" s="36" t="s">
        <v>81</v>
      </c>
      <c r="N111" s="36"/>
      <c r="O111" s="35">
        <v>30</v>
      </c>
      <c r="P111" s="88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4"/>
      <c r="R111" s="654"/>
      <c r="S111" s="654"/>
      <c r="T111" s="655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IFERROR(IF(Y111=0,"",ROUNDUP(Y111/H111,0)*0.00358),"")</f>
        <v/>
      </c>
      <c r="AA111" s="65" t="s">
        <v>46</v>
      </c>
      <c r="AB111" s="66" t="s">
        <v>46</v>
      </c>
      <c r="AC111" s="179" t="s">
        <v>223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226</v>
      </c>
      <c r="B112" s="60" t="s">
        <v>227</v>
      </c>
      <c r="C112" s="34">
        <v>4301020393</v>
      </c>
      <c r="D112" s="652">
        <v>4680115882775</v>
      </c>
      <c r="E112" s="652"/>
      <c r="F112" s="59">
        <v>0.3</v>
      </c>
      <c r="G112" s="35">
        <v>8</v>
      </c>
      <c r="H112" s="59">
        <v>2.4</v>
      </c>
      <c r="I112" s="59">
        <v>2.5</v>
      </c>
      <c r="J112" s="35">
        <v>234</v>
      </c>
      <c r="K112" s="35" t="s">
        <v>82</v>
      </c>
      <c r="L112" s="35" t="s">
        <v>46</v>
      </c>
      <c r="M112" s="36" t="s">
        <v>126</v>
      </c>
      <c r="N112" s="36"/>
      <c r="O112" s="35">
        <v>55</v>
      </c>
      <c r="P112" s="88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4"/>
      <c r="R112" s="654"/>
      <c r="S112" s="654"/>
      <c r="T112" s="655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IFERROR(IF(Y112=0,"",ROUNDUP(Y112/H112,0)*0.00502),"")</f>
        <v/>
      </c>
      <c r="AA112" s="65" t="s">
        <v>46</v>
      </c>
      <c r="AB112" s="66" t="s">
        <v>46</v>
      </c>
      <c r="AC112" s="181" t="s">
        <v>220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4301020392</v>
      </c>
      <c r="D113" s="652">
        <v>4680115880658</v>
      </c>
      <c r="E113" s="652"/>
      <c r="F113" s="59">
        <v>0.4</v>
      </c>
      <c r="G113" s="35">
        <v>6</v>
      </c>
      <c r="H113" s="59">
        <v>2.4</v>
      </c>
      <c r="I113" s="59">
        <v>2.58</v>
      </c>
      <c r="J113" s="35">
        <v>182</v>
      </c>
      <c r="K113" s="35" t="s">
        <v>91</v>
      </c>
      <c r="L113" s="35" t="s">
        <v>46</v>
      </c>
      <c r="M113" s="36" t="s">
        <v>126</v>
      </c>
      <c r="N113" s="36"/>
      <c r="O113" s="35">
        <v>55</v>
      </c>
      <c r="P113" s="88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4"/>
      <c r="R113" s="654"/>
      <c r="S113" s="654"/>
      <c r="T113" s="655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IFERROR(IF(Y113=0,"",ROUNDUP(Y113/H113,0)*0.00651),"")</f>
        <v/>
      </c>
      <c r="AA113" s="65" t="s">
        <v>46</v>
      </c>
      <c r="AB113" s="66" t="s">
        <v>46</v>
      </c>
      <c r="AC113" s="183" t="s">
        <v>220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x14ac:dyDescent="0.2">
      <c r="A114" s="646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47"/>
      <c r="P114" s="643" t="s">
        <v>40</v>
      </c>
      <c r="Q114" s="644"/>
      <c r="R114" s="644"/>
      <c r="S114" s="644"/>
      <c r="T114" s="644"/>
      <c r="U114" s="644"/>
      <c r="V114" s="645"/>
      <c r="W114" s="40" t="s">
        <v>39</v>
      </c>
      <c r="X114" s="41">
        <f>IFERROR(X109/H109,"0")+IFERROR(X110/H110,"0")+IFERROR(X111/H111,"0")+IFERROR(X112/H112,"0")+IFERROR(X113/H113,"0")</f>
        <v>12.1</v>
      </c>
      <c r="Y114" s="41">
        <f>IFERROR(Y109/H109,"0")+IFERROR(Y110/H110,"0")+IFERROR(Y111/H111,"0")+IFERROR(Y112/H112,"0")+IFERROR(Y113/H113,"0")</f>
        <v>13</v>
      </c>
      <c r="Z114" s="41">
        <f>IFERROR(IF(Z109="",0,Z109),"0")+IFERROR(IF(Z110="",0,Z110),"0")+IFERROR(IF(Z111="",0,Z111),"0")+IFERROR(IF(Z112="",0,Z112),"0")+IFERROR(IF(Z113="",0,Z113),"0")</f>
        <v>4.6539999999999998E-2</v>
      </c>
      <c r="AA114" s="64"/>
      <c r="AB114" s="64"/>
      <c r="AC114" s="64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47"/>
      <c r="P115" s="643" t="s">
        <v>40</v>
      </c>
      <c r="Q115" s="644"/>
      <c r="R115" s="644"/>
      <c r="S115" s="644"/>
      <c r="T115" s="644"/>
      <c r="U115" s="644"/>
      <c r="V115" s="645"/>
      <c r="W115" s="40" t="s">
        <v>0</v>
      </c>
      <c r="X115" s="41">
        <f>IFERROR(SUM(X109:X113),"0")</f>
        <v>12.1</v>
      </c>
      <c r="Y115" s="41">
        <f>IFERROR(SUM(Y109:Y113),"0")</f>
        <v>13</v>
      </c>
      <c r="Z115" s="40"/>
      <c r="AA115" s="64"/>
      <c r="AB115" s="64"/>
      <c r="AC115" s="64"/>
    </row>
    <row r="116" spans="1:68" ht="14.25" hidden="1" customHeight="1" x14ac:dyDescent="0.25">
      <c r="A116" s="657" t="s">
        <v>86</v>
      </c>
      <c r="B116" s="657"/>
      <c r="C116" s="657"/>
      <c r="D116" s="657"/>
      <c r="E116" s="657"/>
      <c r="F116" s="657"/>
      <c r="G116" s="657"/>
      <c r="H116" s="657"/>
      <c r="I116" s="657"/>
      <c r="J116" s="657"/>
      <c r="K116" s="657"/>
      <c r="L116" s="657"/>
      <c r="M116" s="657"/>
      <c r="N116" s="657"/>
      <c r="O116" s="657"/>
      <c r="P116" s="657"/>
      <c r="Q116" s="657"/>
      <c r="R116" s="657"/>
      <c r="S116" s="657"/>
      <c r="T116" s="657"/>
      <c r="U116" s="657"/>
      <c r="V116" s="657"/>
      <c r="W116" s="657"/>
      <c r="X116" s="657"/>
      <c r="Y116" s="657"/>
      <c r="Z116" s="657"/>
      <c r="AA116" s="63"/>
      <c r="AB116" s="63"/>
      <c r="AC116" s="63"/>
    </row>
    <row r="117" spans="1:68" ht="27" hidden="1" customHeight="1" x14ac:dyDescent="0.25">
      <c r="A117" s="60" t="s">
        <v>230</v>
      </c>
      <c r="B117" s="60" t="s">
        <v>231</v>
      </c>
      <c r="C117" s="34">
        <v>4301051724</v>
      </c>
      <c r="D117" s="652">
        <v>4607091385168</v>
      </c>
      <c r="E117" s="652"/>
      <c r="F117" s="59">
        <v>1.35</v>
      </c>
      <c r="G117" s="35">
        <v>6</v>
      </c>
      <c r="H117" s="59">
        <v>8.1</v>
      </c>
      <c r="I117" s="59">
        <v>8.5879999999999992</v>
      </c>
      <c r="J117" s="35">
        <v>64</v>
      </c>
      <c r="K117" s="35" t="s">
        <v>127</v>
      </c>
      <c r="L117" s="35" t="s">
        <v>46</v>
      </c>
      <c r="M117" s="36" t="s">
        <v>97</v>
      </c>
      <c r="N117" s="36"/>
      <c r="O117" s="35">
        <v>45</v>
      </c>
      <c r="P117" s="88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4"/>
      <c r="R117" s="654"/>
      <c r="S117" s="654"/>
      <c r="T117" s="655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IFERROR(IF(Y117=0,"",ROUNDUP(Y117/H117,0)*0.01898),"")</f>
        <v/>
      </c>
      <c r="AA117" s="65" t="s">
        <v>46</v>
      </c>
      <c r="AB117" s="66" t="s">
        <v>46</v>
      </c>
      <c r="AC117" s="185" t="s">
        <v>232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233</v>
      </c>
      <c r="B118" s="60" t="s">
        <v>234</v>
      </c>
      <c r="C118" s="34">
        <v>4301051730</v>
      </c>
      <c r="D118" s="652">
        <v>4607091383256</v>
      </c>
      <c r="E118" s="652"/>
      <c r="F118" s="59">
        <v>0.33</v>
      </c>
      <c r="G118" s="35">
        <v>6</v>
      </c>
      <c r="H118" s="59">
        <v>1.98</v>
      </c>
      <c r="I118" s="59">
        <v>2.226</v>
      </c>
      <c r="J118" s="35">
        <v>182</v>
      </c>
      <c r="K118" s="35" t="s">
        <v>91</v>
      </c>
      <c r="L118" s="35" t="s">
        <v>46</v>
      </c>
      <c r="M118" s="36" t="s">
        <v>97</v>
      </c>
      <c r="N118" s="36"/>
      <c r="O118" s="35">
        <v>45</v>
      </c>
      <c r="P118" s="8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4"/>
      <c r="R118" s="654"/>
      <c r="S118" s="654"/>
      <c r="T118" s="655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232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hidden="1" customHeight="1" x14ac:dyDescent="0.25">
      <c r="A119" s="60" t="s">
        <v>235</v>
      </c>
      <c r="B119" s="60" t="s">
        <v>236</v>
      </c>
      <c r="C119" s="34">
        <v>4301051721</v>
      </c>
      <c r="D119" s="652">
        <v>4607091385748</v>
      </c>
      <c r="E119" s="652"/>
      <c r="F119" s="59">
        <v>0.45</v>
      </c>
      <c r="G119" s="35">
        <v>6</v>
      </c>
      <c r="H119" s="59">
        <v>2.7</v>
      </c>
      <c r="I119" s="59">
        <v>2.952</v>
      </c>
      <c r="J119" s="35">
        <v>182</v>
      </c>
      <c r="K119" s="35" t="s">
        <v>91</v>
      </c>
      <c r="L119" s="35" t="s">
        <v>46</v>
      </c>
      <c r="M119" s="36" t="s">
        <v>97</v>
      </c>
      <c r="N119" s="36"/>
      <c r="O119" s="35">
        <v>45</v>
      </c>
      <c r="P119" s="88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4"/>
      <c r="R119" s="654"/>
      <c r="S119" s="654"/>
      <c r="T119" s="655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89" t="s">
        <v>232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customHeight="1" x14ac:dyDescent="0.25">
      <c r="A120" s="60" t="s">
        <v>237</v>
      </c>
      <c r="B120" s="60" t="s">
        <v>238</v>
      </c>
      <c r="C120" s="34">
        <v>4301051740</v>
      </c>
      <c r="D120" s="652">
        <v>4680115884533</v>
      </c>
      <c r="E120" s="652"/>
      <c r="F120" s="59">
        <v>0.3</v>
      </c>
      <c r="G120" s="35">
        <v>6</v>
      </c>
      <c r="H120" s="59">
        <v>1.8</v>
      </c>
      <c r="I120" s="59">
        <v>1.98</v>
      </c>
      <c r="J120" s="35">
        <v>182</v>
      </c>
      <c r="K120" s="35" t="s">
        <v>91</v>
      </c>
      <c r="L120" s="35" t="s">
        <v>46</v>
      </c>
      <c r="M120" s="36" t="s">
        <v>90</v>
      </c>
      <c r="N120" s="36"/>
      <c r="O120" s="35">
        <v>45</v>
      </c>
      <c r="P120" s="8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4"/>
      <c r="R120" s="654"/>
      <c r="S120" s="654"/>
      <c r="T120" s="655"/>
      <c r="U120" s="37" t="s">
        <v>46</v>
      </c>
      <c r="V120" s="37" t="s">
        <v>46</v>
      </c>
      <c r="W120" s="38" t="s">
        <v>0</v>
      </c>
      <c r="X120" s="56">
        <v>54</v>
      </c>
      <c r="Y120" s="53">
        <f>IFERROR(IF(X120="",0,CEILING((X120/$H120),1)*$H120),"")</f>
        <v>54</v>
      </c>
      <c r="Z120" s="39">
        <f>IFERROR(IF(Y120=0,"",ROUNDUP(Y120/H120,0)*0.00651),"")</f>
        <v>0.1953</v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59.4</v>
      </c>
      <c r="BN120" s="75">
        <f>IFERROR(Y120*I120/H120,"0")</f>
        <v>59.4</v>
      </c>
      <c r="BO120" s="75">
        <f>IFERROR(1/J120*(X120/H120),"0")</f>
        <v>0.16483516483516486</v>
      </c>
      <c r="BP120" s="75">
        <f>IFERROR(1/J120*(Y120/H120),"0")</f>
        <v>0.16483516483516486</v>
      </c>
    </row>
    <row r="121" spans="1:68" x14ac:dyDescent="0.2">
      <c r="A121" s="646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47"/>
      <c r="P121" s="643" t="s">
        <v>40</v>
      </c>
      <c r="Q121" s="644"/>
      <c r="R121" s="644"/>
      <c r="S121" s="644"/>
      <c r="T121" s="644"/>
      <c r="U121" s="644"/>
      <c r="V121" s="645"/>
      <c r="W121" s="40" t="s">
        <v>39</v>
      </c>
      <c r="X121" s="41">
        <f>IFERROR(X117/H117,"0")+IFERROR(X118/H118,"0")+IFERROR(X119/H119,"0")+IFERROR(X120/H120,"0")</f>
        <v>30</v>
      </c>
      <c r="Y121" s="41">
        <f>IFERROR(Y117/H117,"0")+IFERROR(Y118/H118,"0")+IFERROR(Y119/H119,"0")+IFERROR(Y120/H120,"0")</f>
        <v>30</v>
      </c>
      <c r="Z121" s="41">
        <f>IFERROR(IF(Z117="",0,Z117),"0")+IFERROR(IF(Z118="",0,Z118),"0")+IFERROR(IF(Z119="",0,Z119),"0")+IFERROR(IF(Z120="",0,Z120),"0")</f>
        <v>0.1953</v>
      </c>
      <c r="AA121" s="64"/>
      <c r="AB121" s="64"/>
      <c r="AC121" s="64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47"/>
      <c r="P122" s="643" t="s">
        <v>40</v>
      </c>
      <c r="Q122" s="644"/>
      <c r="R122" s="644"/>
      <c r="S122" s="644"/>
      <c r="T122" s="644"/>
      <c r="U122" s="644"/>
      <c r="V122" s="645"/>
      <c r="W122" s="40" t="s">
        <v>0</v>
      </c>
      <c r="X122" s="41">
        <f>IFERROR(SUM(X117:X120),"0")</f>
        <v>54</v>
      </c>
      <c r="Y122" s="41">
        <f>IFERROR(SUM(Y117:Y120),"0")</f>
        <v>54</v>
      </c>
      <c r="Z122" s="40"/>
      <c r="AA122" s="64"/>
      <c r="AB122" s="64"/>
      <c r="AC122" s="64"/>
    </row>
    <row r="123" spans="1:68" ht="14.25" hidden="1" customHeight="1" x14ac:dyDescent="0.25">
      <c r="A123" s="657" t="s">
        <v>175</v>
      </c>
      <c r="B123" s="657"/>
      <c r="C123" s="657"/>
      <c r="D123" s="657"/>
      <c r="E123" s="657"/>
      <c r="F123" s="657"/>
      <c r="G123" s="657"/>
      <c r="H123" s="657"/>
      <c r="I123" s="657"/>
      <c r="J123" s="657"/>
      <c r="K123" s="657"/>
      <c r="L123" s="657"/>
      <c r="M123" s="657"/>
      <c r="N123" s="657"/>
      <c r="O123" s="657"/>
      <c r="P123" s="657"/>
      <c r="Q123" s="657"/>
      <c r="R123" s="657"/>
      <c r="S123" s="657"/>
      <c r="T123" s="657"/>
      <c r="U123" s="657"/>
      <c r="V123" s="657"/>
      <c r="W123" s="657"/>
      <c r="X123" s="657"/>
      <c r="Y123" s="657"/>
      <c r="Z123" s="657"/>
      <c r="AA123" s="63"/>
      <c r="AB123" s="63"/>
      <c r="AC123" s="63"/>
    </row>
    <row r="124" spans="1:68" ht="16.5" hidden="1" customHeight="1" x14ac:dyDescent="0.25">
      <c r="A124" s="60" t="s">
        <v>240</v>
      </c>
      <c r="B124" s="60" t="s">
        <v>241</v>
      </c>
      <c r="C124" s="34">
        <v>4301060317</v>
      </c>
      <c r="D124" s="652">
        <v>4680115880238</v>
      </c>
      <c r="E124" s="652"/>
      <c r="F124" s="59">
        <v>0.33</v>
      </c>
      <c r="G124" s="35">
        <v>6</v>
      </c>
      <c r="H124" s="59">
        <v>1.98</v>
      </c>
      <c r="I124" s="59">
        <v>2.238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40</v>
      </c>
      <c r="P124" s="8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4"/>
      <c r="R124" s="654"/>
      <c r="S124" s="654"/>
      <c r="T124" s="655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242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646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47"/>
      <c r="P125" s="643" t="s">
        <v>40</v>
      </c>
      <c r="Q125" s="644"/>
      <c r="R125" s="644"/>
      <c r="S125" s="644"/>
      <c r="T125" s="644"/>
      <c r="U125" s="644"/>
      <c r="V125" s="645"/>
      <c r="W125" s="40" t="s">
        <v>39</v>
      </c>
      <c r="X125" s="41">
        <f>IFERROR(X124/H124,"0")</f>
        <v>0</v>
      </c>
      <c r="Y125" s="41">
        <f>IFERROR(Y124/H124,"0")</f>
        <v>0</v>
      </c>
      <c r="Z125" s="41">
        <f>IFERROR(IF(Z124="",0,Z124),"0")</f>
        <v>0</v>
      </c>
      <c r="AA125" s="64"/>
      <c r="AB125" s="64"/>
      <c r="AC125" s="64"/>
    </row>
    <row r="126" spans="1:68" hidden="1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47"/>
      <c r="P126" s="643" t="s">
        <v>40</v>
      </c>
      <c r="Q126" s="644"/>
      <c r="R126" s="644"/>
      <c r="S126" s="644"/>
      <c r="T126" s="644"/>
      <c r="U126" s="644"/>
      <c r="V126" s="645"/>
      <c r="W126" s="40" t="s">
        <v>0</v>
      </c>
      <c r="X126" s="41">
        <f>IFERROR(SUM(X124:X124),"0")</f>
        <v>0</v>
      </c>
      <c r="Y126" s="41">
        <f>IFERROR(SUM(Y124:Y124),"0")</f>
        <v>0</v>
      </c>
      <c r="Z126" s="40"/>
      <c r="AA126" s="64"/>
      <c r="AB126" s="64"/>
      <c r="AC126" s="64"/>
    </row>
    <row r="127" spans="1:68" ht="16.5" hidden="1" customHeight="1" x14ac:dyDescent="0.25">
      <c r="A127" s="656" t="s">
        <v>243</v>
      </c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6"/>
      <c r="P127" s="656"/>
      <c r="Q127" s="656"/>
      <c r="R127" s="656"/>
      <c r="S127" s="656"/>
      <c r="T127" s="656"/>
      <c r="U127" s="656"/>
      <c r="V127" s="656"/>
      <c r="W127" s="656"/>
      <c r="X127" s="656"/>
      <c r="Y127" s="656"/>
      <c r="Z127" s="656"/>
      <c r="AA127" s="62"/>
      <c r="AB127" s="62"/>
      <c r="AC127" s="62"/>
    </row>
    <row r="128" spans="1:68" ht="14.25" hidden="1" customHeight="1" x14ac:dyDescent="0.25">
      <c r="A128" s="657" t="s">
        <v>122</v>
      </c>
      <c r="B128" s="657"/>
      <c r="C128" s="657"/>
      <c r="D128" s="657"/>
      <c r="E128" s="657"/>
      <c r="F128" s="657"/>
      <c r="G128" s="657"/>
      <c r="H128" s="657"/>
      <c r="I128" s="657"/>
      <c r="J128" s="657"/>
      <c r="K128" s="657"/>
      <c r="L128" s="657"/>
      <c r="M128" s="657"/>
      <c r="N128" s="657"/>
      <c r="O128" s="657"/>
      <c r="P128" s="657"/>
      <c r="Q128" s="657"/>
      <c r="R128" s="657"/>
      <c r="S128" s="657"/>
      <c r="T128" s="657"/>
      <c r="U128" s="657"/>
      <c r="V128" s="657"/>
      <c r="W128" s="657"/>
      <c r="X128" s="657"/>
      <c r="Y128" s="657"/>
      <c r="Z128" s="657"/>
      <c r="AA128" s="63"/>
      <c r="AB128" s="63"/>
      <c r="AC128" s="63"/>
    </row>
    <row r="129" spans="1:68" ht="27" hidden="1" customHeight="1" x14ac:dyDescent="0.25">
      <c r="A129" s="60" t="s">
        <v>244</v>
      </c>
      <c r="B129" s="60" t="s">
        <v>245</v>
      </c>
      <c r="C129" s="34">
        <v>4301012347</v>
      </c>
      <c r="D129" s="652">
        <v>4680115888784</v>
      </c>
      <c r="E129" s="652"/>
      <c r="F129" s="59">
        <v>1</v>
      </c>
      <c r="G129" s="35">
        <v>6</v>
      </c>
      <c r="H129" s="59">
        <v>6</v>
      </c>
      <c r="I129" s="59">
        <v>6.38</v>
      </c>
      <c r="J129" s="35">
        <v>104</v>
      </c>
      <c r="K129" s="35" t="s">
        <v>127</v>
      </c>
      <c r="L129" s="35" t="s">
        <v>46</v>
      </c>
      <c r="M129" s="36" t="s">
        <v>247</v>
      </c>
      <c r="N129" s="36"/>
      <c r="O129" s="35">
        <v>90</v>
      </c>
      <c r="P129" s="8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4"/>
      <c r="R129" s="654"/>
      <c r="S129" s="654"/>
      <c r="T129" s="655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IFERROR(IF(Y129=0,"",ROUNDUP(Y129/H129,0)*0.01196),"")</f>
        <v/>
      </c>
      <c r="AA129" s="65" t="s">
        <v>46</v>
      </c>
      <c r="AB129" s="66" t="s">
        <v>46</v>
      </c>
      <c r="AC129" s="195" t="s">
        <v>246</v>
      </c>
      <c r="AG129" s="75"/>
      <c r="AJ129" s="79" t="s">
        <v>46</v>
      </c>
      <c r="AK129" s="79">
        <v>0</v>
      </c>
      <c r="BB129" s="196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hidden="1" customHeight="1" x14ac:dyDescent="0.25">
      <c r="A130" s="60" t="s">
        <v>248</v>
      </c>
      <c r="B130" s="60" t="s">
        <v>249</v>
      </c>
      <c r="C130" s="34">
        <v>4301011562</v>
      </c>
      <c r="D130" s="652">
        <v>4680115882577</v>
      </c>
      <c r="E130" s="652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91</v>
      </c>
      <c r="L130" s="35" t="s">
        <v>46</v>
      </c>
      <c r="M130" s="36" t="s">
        <v>251</v>
      </c>
      <c r="N130" s="36"/>
      <c r="O130" s="35">
        <v>90</v>
      </c>
      <c r="P130" s="8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4"/>
      <c r="R130" s="654"/>
      <c r="S130" s="654"/>
      <c r="T130" s="655"/>
      <c r="U130" s="37" t="s">
        <v>46</v>
      </c>
      <c r="V130" s="37" t="s">
        <v>46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46</v>
      </c>
      <c r="AB130" s="66" t="s">
        <v>46</v>
      </c>
      <c r="AC130" s="197" t="s">
        <v>250</v>
      </c>
      <c r="AG130" s="75"/>
      <c r="AJ130" s="79" t="s">
        <v>46</v>
      </c>
      <c r="AK130" s="79">
        <v>0</v>
      </c>
      <c r="BB130" s="198" t="s">
        <v>67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hidden="1" customHeight="1" x14ac:dyDescent="0.25">
      <c r="A131" s="60" t="s">
        <v>248</v>
      </c>
      <c r="B131" s="60" t="s">
        <v>252</v>
      </c>
      <c r="C131" s="34">
        <v>4301011564</v>
      </c>
      <c r="D131" s="652">
        <v>4680115882577</v>
      </c>
      <c r="E131" s="652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91</v>
      </c>
      <c r="L131" s="35" t="s">
        <v>46</v>
      </c>
      <c r="M131" s="36" t="s">
        <v>251</v>
      </c>
      <c r="N131" s="36"/>
      <c r="O131" s="35">
        <v>90</v>
      </c>
      <c r="P131" s="8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4"/>
      <c r="R131" s="654"/>
      <c r="S131" s="654"/>
      <c r="T131" s="655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250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646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47"/>
      <c r="P132" s="643" t="s">
        <v>40</v>
      </c>
      <c r="Q132" s="644"/>
      <c r="R132" s="644"/>
      <c r="S132" s="644"/>
      <c r="T132" s="644"/>
      <c r="U132" s="644"/>
      <c r="V132" s="645"/>
      <c r="W132" s="40" t="s">
        <v>39</v>
      </c>
      <c r="X132" s="41">
        <f>IFERROR(X129/H129,"0")+IFERROR(X130/H130,"0")+IFERROR(X131/H131,"0")</f>
        <v>0</v>
      </c>
      <c r="Y132" s="41">
        <f>IFERROR(Y129/H129,"0")+IFERROR(Y130/H130,"0")+IFERROR(Y131/H131,"0")</f>
        <v>0</v>
      </c>
      <c r="Z132" s="41">
        <f>IFERROR(IF(Z129="",0,Z129),"0")+IFERROR(IF(Z130="",0,Z130),"0")+IFERROR(IF(Z131="",0,Z131),"0")</f>
        <v>0</v>
      </c>
      <c r="AA132" s="64"/>
      <c r="AB132" s="64"/>
      <c r="AC132" s="64"/>
    </row>
    <row r="133" spans="1:68" hidden="1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47"/>
      <c r="P133" s="643" t="s">
        <v>40</v>
      </c>
      <c r="Q133" s="644"/>
      <c r="R133" s="644"/>
      <c r="S133" s="644"/>
      <c r="T133" s="644"/>
      <c r="U133" s="644"/>
      <c r="V133" s="645"/>
      <c r="W133" s="40" t="s">
        <v>0</v>
      </c>
      <c r="X133" s="41">
        <f>IFERROR(SUM(X129:X131),"0")</f>
        <v>0</v>
      </c>
      <c r="Y133" s="41">
        <f>IFERROR(SUM(Y129:Y131),"0")</f>
        <v>0</v>
      </c>
      <c r="Z133" s="40"/>
      <c r="AA133" s="64"/>
      <c r="AB133" s="64"/>
      <c r="AC133" s="64"/>
    </row>
    <row r="134" spans="1:68" ht="14.25" hidden="1" customHeight="1" x14ac:dyDescent="0.25">
      <c r="A134" s="657" t="s">
        <v>77</v>
      </c>
      <c r="B134" s="657"/>
      <c r="C134" s="657"/>
      <c r="D134" s="657"/>
      <c r="E134" s="657"/>
      <c r="F134" s="657"/>
      <c r="G134" s="657"/>
      <c r="H134" s="657"/>
      <c r="I134" s="657"/>
      <c r="J134" s="657"/>
      <c r="K134" s="657"/>
      <c r="L134" s="657"/>
      <c r="M134" s="657"/>
      <c r="N134" s="657"/>
      <c r="O134" s="657"/>
      <c r="P134" s="657"/>
      <c r="Q134" s="657"/>
      <c r="R134" s="657"/>
      <c r="S134" s="657"/>
      <c r="T134" s="657"/>
      <c r="U134" s="657"/>
      <c r="V134" s="657"/>
      <c r="W134" s="657"/>
      <c r="X134" s="657"/>
      <c r="Y134" s="657"/>
      <c r="Z134" s="657"/>
      <c r="AA134" s="63"/>
      <c r="AB134" s="63"/>
      <c r="AC134" s="63"/>
    </row>
    <row r="135" spans="1:68" ht="16.5" hidden="1" customHeight="1" x14ac:dyDescent="0.25">
      <c r="A135" s="60" t="s">
        <v>253</v>
      </c>
      <c r="B135" s="60" t="s">
        <v>254</v>
      </c>
      <c r="C135" s="34">
        <v>4301031506</v>
      </c>
      <c r="D135" s="652">
        <v>4680115888913</v>
      </c>
      <c r="E135" s="652"/>
      <c r="F135" s="59">
        <v>0.7</v>
      </c>
      <c r="G135" s="35">
        <v>6</v>
      </c>
      <c r="H135" s="59">
        <v>4.2</v>
      </c>
      <c r="I135" s="59">
        <v>4.58</v>
      </c>
      <c r="J135" s="35">
        <v>104</v>
      </c>
      <c r="K135" s="35" t="s">
        <v>127</v>
      </c>
      <c r="L135" s="35" t="s">
        <v>46</v>
      </c>
      <c r="M135" s="36" t="s">
        <v>247</v>
      </c>
      <c r="N135" s="36"/>
      <c r="O135" s="35">
        <v>90</v>
      </c>
      <c r="P135" s="8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4"/>
      <c r="R135" s="654"/>
      <c r="S135" s="654"/>
      <c r="T135" s="655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IFERROR(IF(Y135=0,"",ROUNDUP(Y135/H135,0)*0.01196),"")</f>
        <v/>
      </c>
      <c r="AA135" s="65" t="s">
        <v>46</v>
      </c>
      <c r="AB135" s="66" t="s">
        <v>46</v>
      </c>
      <c r="AC135" s="201" t="s">
        <v>255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256</v>
      </c>
      <c r="B136" s="60" t="s">
        <v>257</v>
      </c>
      <c r="C136" s="34">
        <v>4301031234</v>
      </c>
      <c r="D136" s="652">
        <v>4680115883444</v>
      </c>
      <c r="E136" s="652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91</v>
      </c>
      <c r="L136" s="35" t="s">
        <v>46</v>
      </c>
      <c r="M136" s="36" t="s">
        <v>251</v>
      </c>
      <c r="N136" s="36"/>
      <c r="O136" s="35">
        <v>90</v>
      </c>
      <c r="P136" s="87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4"/>
      <c r="R136" s="654"/>
      <c r="S136" s="654"/>
      <c r="T136" s="655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258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256</v>
      </c>
      <c r="B137" s="60" t="s">
        <v>259</v>
      </c>
      <c r="C137" s="34">
        <v>4301031235</v>
      </c>
      <c r="D137" s="652">
        <v>4680115883444</v>
      </c>
      <c r="E137" s="652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251</v>
      </c>
      <c r="N137" s="36"/>
      <c r="O137" s="35">
        <v>90</v>
      </c>
      <c r="P137" s="8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4"/>
      <c r="R137" s="654"/>
      <c r="S137" s="654"/>
      <c r="T137" s="655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16.5" hidden="1" customHeight="1" x14ac:dyDescent="0.25">
      <c r="A138" s="60" t="s">
        <v>260</v>
      </c>
      <c r="B138" s="60" t="s">
        <v>261</v>
      </c>
      <c r="C138" s="34">
        <v>4301031504</v>
      </c>
      <c r="D138" s="652">
        <v>4680115888920</v>
      </c>
      <c r="E138" s="652"/>
      <c r="F138" s="59">
        <v>0.35</v>
      </c>
      <c r="G138" s="35">
        <v>8</v>
      </c>
      <c r="H138" s="59">
        <v>2.8</v>
      </c>
      <c r="I138" s="59">
        <v>2.94</v>
      </c>
      <c r="J138" s="35">
        <v>234</v>
      </c>
      <c r="K138" s="35" t="s">
        <v>82</v>
      </c>
      <c r="L138" s="35" t="s">
        <v>46</v>
      </c>
      <c r="M138" s="36" t="s">
        <v>247</v>
      </c>
      <c r="N138" s="36"/>
      <c r="O138" s="35">
        <v>90</v>
      </c>
      <c r="P138" s="875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4"/>
      <c r="R138" s="654"/>
      <c r="S138" s="654"/>
      <c r="T138" s="655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IFERROR(IF(Y138=0,"",ROUNDUP(Y138/H138,0)*0.00502),"")</f>
        <v/>
      </c>
      <c r="AA138" s="65" t="s">
        <v>46</v>
      </c>
      <c r="AB138" s="66" t="s">
        <v>46</v>
      </c>
      <c r="AC138" s="207" t="s">
        <v>255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646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47"/>
      <c r="P139" s="643" t="s">
        <v>40</v>
      </c>
      <c r="Q139" s="644"/>
      <c r="R139" s="644"/>
      <c r="S139" s="644"/>
      <c r="T139" s="644"/>
      <c r="U139" s="644"/>
      <c r="V139" s="645"/>
      <c r="W139" s="40" t="s">
        <v>39</v>
      </c>
      <c r="X139" s="41">
        <f>IFERROR(X135/H135,"0")+IFERROR(X136/H136,"0")+IFERROR(X137/H137,"0")+IFERROR(X138/H138,"0")</f>
        <v>0</v>
      </c>
      <c r="Y139" s="41">
        <f>IFERROR(Y135/H135,"0")+IFERROR(Y136/H136,"0")+IFERROR(Y137/H137,"0")+IFERROR(Y138/H138,"0")</f>
        <v>0</v>
      </c>
      <c r="Z139" s="41">
        <f>IFERROR(IF(Z135="",0,Z135),"0")+IFERROR(IF(Z136="",0,Z136),"0")+IFERROR(IF(Z137="",0,Z137),"0")+IFERROR(IF(Z138="",0,Z138),"0")</f>
        <v>0</v>
      </c>
      <c r="AA139" s="64"/>
      <c r="AB139" s="64"/>
      <c r="AC139" s="64"/>
    </row>
    <row r="140" spans="1:68" hidden="1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47"/>
      <c r="P140" s="643" t="s">
        <v>40</v>
      </c>
      <c r="Q140" s="644"/>
      <c r="R140" s="644"/>
      <c r="S140" s="644"/>
      <c r="T140" s="644"/>
      <c r="U140" s="644"/>
      <c r="V140" s="645"/>
      <c r="W140" s="40" t="s">
        <v>0</v>
      </c>
      <c r="X140" s="41">
        <f>IFERROR(SUM(X135:X138),"0")</f>
        <v>0</v>
      </c>
      <c r="Y140" s="41">
        <f>IFERROR(SUM(Y135:Y138),"0")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57" t="s">
        <v>86</v>
      </c>
      <c r="B141" s="657"/>
      <c r="C141" s="657"/>
      <c r="D141" s="657"/>
      <c r="E141" s="657"/>
      <c r="F141" s="657"/>
      <c r="G141" s="657"/>
      <c r="H141" s="657"/>
      <c r="I141" s="657"/>
      <c r="J141" s="657"/>
      <c r="K141" s="657"/>
      <c r="L141" s="657"/>
      <c r="M141" s="657"/>
      <c r="N141" s="657"/>
      <c r="O141" s="657"/>
      <c r="P141" s="657"/>
      <c r="Q141" s="657"/>
      <c r="R141" s="657"/>
      <c r="S141" s="657"/>
      <c r="T141" s="657"/>
      <c r="U141" s="657"/>
      <c r="V141" s="657"/>
      <c r="W141" s="657"/>
      <c r="X141" s="657"/>
      <c r="Y141" s="657"/>
      <c r="Z141" s="657"/>
      <c r="AA141" s="63"/>
      <c r="AB141" s="63"/>
      <c r="AC141" s="63"/>
    </row>
    <row r="142" spans="1:68" ht="16.5" hidden="1" customHeight="1" x14ac:dyDescent="0.25">
      <c r="A142" s="60" t="s">
        <v>262</v>
      </c>
      <c r="B142" s="60" t="s">
        <v>263</v>
      </c>
      <c r="C142" s="34">
        <v>4301052219</v>
      </c>
      <c r="D142" s="652">
        <v>4680115888944</v>
      </c>
      <c r="E142" s="652"/>
      <c r="F142" s="59">
        <v>0.33</v>
      </c>
      <c r="G142" s="35">
        <v>8</v>
      </c>
      <c r="H142" s="59">
        <v>2.64</v>
      </c>
      <c r="I142" s="59">
        <v>2.86</v>
      </c>
      <c r="J142" s="35">
        <v>182</v>
      </c>
      <c r="K142" s="35" t="s">
        <v>91</v>
      </c>
      <c r="L142" s="35" t="s">
        <v>46</v>
      </c>
      <c r="M142" s="36" t="s">
        <v>247</v>
      </c>
      <c r="N142" s="36"/>
      <c r="O142" s="35">
        <v>90</v>
      </c>
      <c r="P142" s="87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4"/>
      <c r="R142" s="654"/>
      <c r="S142" s="654"/>
      <c r="T142" s="655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246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264</v>
      </c>
      <c r="B143" s="60" t="s">
        <v>265</v>
      </c>
      <c r="C143" s="34">
        <v>4301051476</v>
      </c>
      <c r="D143" s="652">
        <v>4680115882584</v>
      </c>
      <c r="E143" s="652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251</v>
      </c>
      <c r="N143" s="36"/>
      <c r="O143" s="35">
        <v>60</v>
      </c>
      <c r="P143" s="8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4"/>
      <c r="R143" s="654"/>
      <c r="S143" s="654"/>
      <c r="T143" s="655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250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264</v>
      </c>
      <c r="B144" s="60" t="s">
        <v>266</v>
      </c>
      <c r="C144" s="34">
        <v>4301051477</v>
      </c>
      <c r="D144" s="652">
        <v>4680115882584</v>
      </c>
      <c r="E144" s="652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251</v>
      </c>
      <c r="N144" s="36"/>
      <c r="O144" s="35">
        <v>60</v>
      </c>
      <c r="P144" s="87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4"/>
      <c r="R144" s="654"/>
      <c r="S144" s="654"/>
      <c r="T144" s="655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3" t="s">
        <v>250</v>
      </c>
      <c r="AG144" s="75"/>
      <c r="AJ144" s="79" t="s">
        <v>46</v>
      </c>
      <c r="AK144" s="79">
        <v>0</v>
      </c>
      <c r="BB144" s="214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46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47"/>
      <c r="P145" s="643" t="s">
        <v>40</v>
      </c>
      <c r="Q145" s="644"/>
      <c r="R145" s="644"/>
      <c r="S145" s="644"/>
      <c r="T145" s="644"/>
      <c r="U145" s="644"/>
      <c r="V145" s="645"/>
      <c r="W145" s="40" t="s">
        <v>39</v>
      </c>
      <c r="X145" s="41">
        <f>IFERROR(X142/H142,"0")+IFERROR(X143/H143,"0")+IFERROR(X144/H144,"0")</f>
        <v>0</v>
      </c>
      <c r="Y145" s="41">
        <f>IFERROR(Y142/H142,"0")+IFERROR(Y143/H143,"0")+IFERROR(Y144/H144,"0")</f>
        <v>0</v>
      </c>
      <c r="Z145" s="41">
        <f>IFERROR(IF(Z142="",0,Z142),"0")+IFERROR(IF(Z143="",0,Z143),"0")+IFERROR(IF(Z144="",0,Z144),"0")</f>
        <v>0</v>
      </c>
      <c r="AA145" s="64"/>
      <c r="AB145" s="64"/>
      <c r="AC145" s="64"/>
    </row>
    <row r="146" spans="1:68" hidden="1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47"/>
      <c r="P146" s="643" t="s">
        <v>40</v>
      </c>
      <c r="Q146" s="644"/>
      <c r="R146" s="644"/>
      <c r="S146" s="644"/>
      <c r="T146" s="644"/>
      <c r="U146" s="644"/>
      <c r="V146" s="645"/>
      <c r="W146" s="40" t="s">
        <v>0</v>
      </c>
      <c r="X146" s="41">
        <f>IFERROR(SUM(X142:X144),"0")</f>
        <v>0</v>
      </c>
      <c r="Y146" s="41">
        <f>IFERROR(SUM(Y142:Y144),"0")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56" t="s">
        <v>267</v>
      </c>
      <c r="B147" s="656"/>
      <c r="C147" s="656"/>
      <c r="D147" s="656"/>
      <c r="E147" s="656"/>
      <c r="F147" s="656"/>
      <c r="G147" s="656"/>
      <c r="H147" s="656"/>
      <c r="I147" s="656"/>
      <c r="J147" s="656"/>
      <c r="K147" s="656"/>
      <c r="L147" s="656"/>
      <c r="M147" s="656"/>
      <c r="N147" s="656"/>
      <c r="O147" s="656"/>
      <c r="P147" s="656"/>
      <c r="Q147" s="656"/>
      <c r="R147" s="656"/>
      <c r="S147" s="656"/>
      <c r="T147" s="656"/>
      <c r="U147" s="656"/>
      <c r="V147" s="656"/>
      <c r="W147" s="656"/>
      <c r="X147" s="656"/>
      <c r="Y147" s="656"/>
      <c r="Z147" s="656"/>
      <c r="AA147" s="62"/>
      <c r="AB147" s="62"/>
      <c r="AC147" s="62"/>
    </row>
    <row r="148" spans="1:68" ht="14.25" hidden="1" customHeight="1" x14ac:dyDescent="0.25">
      <c r="A148" s="657" t="s">
        <v>86</v>
      </c>
      <c r="B148" s="657"/>
      <c r="C148" s="657"/>
      <c r="D148" s="657"/>
      <c r="E148" s="657"/>
      <c r="F148" s="657"/>
      <c r="G148" s="657"/>
      <c r="H148" s="657"/>
      <c r="I148" s="657"/>
      <c r="J148" s="657"/>
      <c r="K148" s="657"/>
      <c r="L148" s="657"/>
      <c r="M148" s="657"/>
      <c r="N148" s="657"/>
      <c r="O148" s="657"/>
      <c r="P148" s="657"/>
      <c r="Q148" s="657"/>
      <c r="R148" s="657"/>
      <c r="S148" s="657"/>
      <c r="T148" s="657"/>
      <c r="U148" s="657"/>
      <c r="V148" s="657"/>
      <c r="W148" s="657"/>
      <c r="X148" s="657"/>
      <c r="Y148" s="657"/>
      <c r="Z148" s="657"/>
      <c r="AA148" s="63"/>
      <c r="AB148" s="63"/>
      <c r="AC148" s="63"/>
    </row>
    <row r="149" spans="1:68" ht="27" hidden="1" customHeight="1" x14ac:dyDescent="0.25">
      <c r="A149" s="60" t="s">
        <v>268</v>
      </c>
      <c r="B149" s="60" t="s">
        <v>269</v>
      </c>
      <c r="C149" s="34">
        <v>4301052254</v>
      </c>
      <c r="D149" s="652">
        <v>4680115888203</v>
      </c>
      <c r="E149" s="652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6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4"/>
      <c r="R149" s="654"/>
      <c r="S149" s="654"/>
      <c r="T149" s="655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ref="Y149:Y155" si="10">IFERROR(IF(X149="",0,CEILING((X149/$H149),1)*$H149),"")</f>
        <v>0</v>
      </c>
      <c r="Z149" s="39" t="str">
        <f t="shared" ref="Z149:Z155" si="11">IFERROR(IF(Y149=0,"",ROUNDUP(Y149/H149,0)*0.00651),"")</f>
        <v/>
      </c>
      <c r="AA149" s="65" t="s">
        <v>46</v>
      </c>
      <c r="AB149" s="66" t="s">
        <v>46</v>
      </c>
      <c r="AC149" s="215" t="s">
        <v>270</v>
      </c>
      <c r="AG149" s="75"/>
      <c r="AJ149" s="79" t="s">
        <v>46</v>
      </c>
      <c r="AK149" s="79">
        <v>0</v>
      </c>
      <c r="BB149" s="216" t="s">
        <v>67</v>
      </c>
      <c r="BM149" s="75">
        <f t="shared" ref="BM149:BM155" si="12">IFERROR(X149*I149/H149,"0")</f>
        <v>0</v>
      </c>
      <c r="BN149" s="75">
        <f t="shared" ref="BN149:BN155" si="13">IFERROR(Y149*I149/H149,"0")</f>
        <v>0</v>
      </c>
      <c r="BO149" s="75">
        <f t="shared" ref="BO149:BO155" si="14">IFERROR(1/J149*(X149/H149),"0")</f>
        <v>0</v>
      </c>
      <c r="BP149" s="75">
        <f t="shared" ref="BP149:BP155" si="15">IFERROR(1/J149*(Y149/H149),"0")</f>
        <v>0</v>
      </c>
    </row>
    <row r="150" spans="1:68" ht="27" hidden="1" customHeight="1" x14ac:dyDescent="0.25">
      <c r="A150" s="60" t="s">
        <v>271</v>
      </c>
      <c r="B150" s="60" t="s">
        <v>272</v>
      </c>
      <c r="C150" s="34">
        <v>4301052172</v>
      </c>
      <c r="D150" s="652">
        <v>4680115888180</v>
      </c>
      <c r="E150" s="652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6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4"/>
      <c r="R150" s="654"/>
      <c r="S150" s="654"/>
      <c r="T150" s="655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273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274</v>
      </c>
      <c r="C151" s="34">
        <v>4301052252</v>
      </c>
      <c r="D151" s="652">
        <v>4680115888180</v>
      </c>
      <c r="E151" s="652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6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4"/>
      <c r="R151" s="654"/>
      <c r="S151" s="654"/>
      <c r="T151" s="655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275</v>
      </c>
      <c r="B152" s="60" t="s">
        <v>276</v>
      </c>
      <c r="C152" s="34">
        <v>4301052173</v>
      </c>
      <c r="D152" s="652">
        <v>4680115888197</v>
      </c>
      <c r="E152" s="652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6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4"/>
      <c r="R152" s="654"/>
      <c r="S152" s="654"/>
      <c r="T152" s="655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277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275</v>
      </c>
      <c r="B153" s="60" t="s">
        <v>278</v>
      </c>
      <c r="C153" s="34">
        <v>4301052253</v>
      </c>
      <c r="D153" s="652">
        <v>4680115888197</v>
      </c>
      <c r="E153" s="652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6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4"/>
      <c r="R153" s="654"/>
      <c r="S153" s="654"/>
      <c r="T153" s="655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277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279</v>
      </c>
      <c r="B154" s="60" t="s">
        <v>280</v>
      </c>
      <c r="C154" s="34">
        <v>4301052175</v>
      </c>
      <c r="D154" s="652">
        <v>4680115888210</v>
      </c>
      <c r="E154" s="652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4"/>
      <c r="R154" s="654"/>
      <c r="S154" s="654"/>
      <c r="T154" s="655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0"/>
        <v>0</v>
      </c>
      <c r="Z154" s="39" t="str">
        <f t="shared" si="11"/>
        <v/>
      </c>
      <c r="AA154" s="65" t="s">
        <v>46</v>
      </c>
      <c r="AB154" s="66" t="s">
        <v>46</v>
      </c>
      <c r="AC154" s="225" t="s">
        <v>281</v>
      </c>
      <c r="AG154" s="75"/>
      <c r="AJ154" s="79" t="s">
        <v>46</v>
      </c>
      <c r="AK154" s="79">
        <v>0</v>
      </c>
      <c r="BB154" s="226" t="s">
        <v>67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t="27" hidden="1" customHeight="1" x14ac:dyDescent="0.25">
      <c r="A155" s="60" t="s">
        <v>279</v>
      </c>
      <c r="B155" s="60" t="s">
        <v>282</v>
      </c>
      <c r="C155" s="34">
        <v>4301052255</v>
      </c>
      <c r="D155" s="652">
        <v>4680115888210</v>
      </c>
      <c r="E155" s="652"/>
      <c r="F155" s="59">
        <v>0.22</v>
      </c>
      <c r="G155" s="35">
        <v>6</v>
      </c>
      <c r="H155" s="59">
        <v>1.32</v>
      </c>
      <c r="I155" s="59">
        <v>1.5660000000000001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8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4"/>
      <c r="R155" s="654"/>
      <c r="S155" s="654"/>
      <c r="T155" s="655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10"/>
        <v>0</v>
      </c>
      <c r="Z155" s="39" t="str">
        <f t="shared" si="11"/>
        <v/>
      </c>
      <c r="AA155" s="65" t="s">
        <v>46</v>
      </c>
      <c r="AB155" s="66" t="s">
        <v>46</v>
      </c>
      <c r="AC155" s="227" t="s">
        <v>281</v>
      </c>
      <c r="AG155" s="75"/>
      <c r="AJ155" s="79" t="s">
        <v>46</v>
      </c>
      <c r="AK155" s="79">
        <v>0</v>
      </c>
      <c r="BB155" s="228" t="s">
        <v>67</v>
      </c>
      <c r="BM155" s="75">
        <f t="shared" si="12"/>
        <v>0</v>
      </c>
      <c r="BN155" s="75">
        <f t="shared" si="13"/>
        <v>0</v>
      </c>
      <c r="BO155" s="75">
        <f t="shared" si="14"/>
        <v>0</v>
      </c>
      <c r="BP155" s="75">
        <f t="shared" si="15"/>
        <v>0</v>
      </c>
    </row>
    <row r="156" spans="1:68" hidden="1" x14ac:dyDescent="0.2">
      <c r="A156" s="646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47"/>
      <c r="P156" s="643" t="s">
        <v>40</v>
      </c>
      <c r="Q156" s="644"/>
      <c r="R156" s="644"/>
      <c r="S156" s="644"/>
      <c r="T156" s="644"/>
      <c r="U156" s="644"/>
      <c r="V156" s="645"/>
      <c r="W156" s="40" t="s">
        <v>39</v>
      </c>
      <c r="X156" s="41">
        <f>IFERROR(X149/H149,"0")+IFERROR(X150/H150,"0")+IFERROR(X151/H151,"0")+IFERROR(X152/H152,"0")+IFERROR(X153/H153,"0")+IFERROR(X154/H154,"0")+IFERROR(X155/H155,"0")</f>
        <v>0</v>
      </c>
      <c r="Y156" s="41">
        <f>IFERROR(Y149/H149,"0")+IFERROR(Y150/H150,"0")+IFERROR(Y151/H151,"0")+IFERROR(Y152/H152,"0")+IFERROR(Y153/H153,"0")+IFERROR(Y154/H154,"0")+IFERROR(Y155/H155,"0")</f>
        <v>0</v>
      </c>
      <c r="Z156" s="41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47"/>
      <c r="P157" s="643" t="s">
        <v>40</v>
      </c>
      <c r="Q157" s="644"/>
      <c r="R157" s="644"/>
      <c r="S157" s="644"/>
      <c r="T157" s="644"/>
      <c r="U157" s="644"/>
      <c r="V157" s="645"/>
      <c r="W157" s="40" t="s">
        <v>0</v>
      </c>
      <c r="X157" s="41">
        <f>IFERROR(SUM(X149:X155),"0")</f>
        <v>0</v>
      </c>
      <c r="Y157" s="41">
        <f>IFERROR(SUM(Y149:Y155),"0")</f>
        <v>0</v>
      </c>
      <c r="Z157" s="40"/>
      <c r="AA157" s="64"/>
      <c r="AB157" s="64"/>
      <c r="AC157" s="64"/>
    </row>
    <row r="158" spans="1:68" ht="14.25" hidden="1" customHeight="1" x14ac:dyDescent="0.25">
      <c r="A158" s="657" t="s">
        <v>283</v>
      </c>
      <c r="B158" s="657"/>
      <c r="C158" s="657"/>
      <c r="D158" s="657"/>
      <c r="E158" s="657"/>
      <c r="F158" s="657"/>
      <c r="G158" s="657"/>
      <c r="H158" s="657"/>
      <c r="I158" s="657"/>
      <c r="J158" s="657"/>
      <c r="K158" s="657"/>
      <c r="L158" s="657"/>
      <c r="M158" s="657"/>
      <c r="N158" s="657"/>
      <c r="O158" s="657"/>
      <c r="P158" s="657"/>
      <c r="Q158" s="657"/>
      <c r="R158" s="657"/>
      <c r="S158" s="657"/>
      <c r="T158" s="657"/>
      <c r="U158" s="657"/>
      <c r="V158" s="657"/>
      <c r="W158" s="657"/>
      <c r="X158" s="657"/>
      <c r="Y158" s="657"/>
      <c r="Z158" s="657"/>
      <c r="AA158" s="63"/>
      <c r="AB158" s="63"/>
      <c r="AC158" s="63"/>
    </row>
    <row r="159" spans="1:68" ht="27" hidden="1" customHeight="1" x14ac:dyDescent="0.25">
      <c r="A159" s="60" t="s">
        <v>284</v>
      </c>
      <c r="B159" s="60" t="s">
        <v>285</v>
      </c>
      <c r="C159" s="34">
        <v>4301032067</v>
      </c>
      <c r="D159" s="652">
        <v>4680115889132</v>
      </c>
      <c r="E159" s="652"/>
      <c r="F159" s="59">
        <v>0.04</v>
      </c>
      <c r="G159" s="35">
        <v>8</v>
      </c>
      <c r="H159" s="59">
        <v>0.32</v>
      </c>
      <c r="I159" s="59">
        <v>0.5</v>
      </c>
      <c r="J159" s="35">
        <v>330</v>
      </c>
      <c r="K159" s="35" t="s">
        <v>289</v>
      </c>
      <c r="L159" s="35" t="s">
        <v>46</v>
      </c>
      <c r="M159" s="36" t="s">
        <v>288</v>
      </c>
      <c r="N159" s="36"/>
      <c r="O159" s="35">
        <v>120</v>
      </c>
      <c r="P159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4"/>
      <c r="R159" s="654"/>
      <c r="S159" s="654"/>
      <c r="T159" s="655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IFERROR(IF(Y159=0,"",ROUNDUP(Y159/H159,0)*0.00337),"")</f>
        <v/>
      </c>
      <c r="AA159" s="65" t="s">
        <v>46</v>
      </c>
      <c r="AB159" s="66" t="s">
        <v>46</v>
      </c>
      <c r="AC159" s="229" t="s">
        <v>286</v>
      </c>
      <c r="AG159" s="75"/>
      <c r="AJ159" s="79" t="s">
        <v>46</v>
      </c>
      <c r="AK159" s="79">
        <v>0</v>
      </c>
      <c r="BB159" s="230" t="s">
        <v>287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646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47"/>
      <c r="P160" s="643" t="s">
        <v>40</v>
      </c>
      <c r="Q160" s="644"/>
      <c r="R160" s="644"/>
      <c r="S160" s="644"/>
      <c r="T160" s="644"/>
      <c r="U160" s="644"/>
      <c r="V160" s="645"/>
      <c r="W160" s="40" t="s">
        <v>39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hidden="1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47"/>
      <c r="P161" s="643" t="s">
        <v>40</v>
      </c>
      <c r="Q161" s="644"/>
      <c r="R161" s="644"/>
      <c r="S161" s="644"/>
      <c r="T161" s="644"/>
      <c r="U161" s="644"/>
      <c r="V161" s="645"/>
      <c r="W161" s="40" t="s">
        <v>0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6.5" hidden="1" customHeight="1" x14ac:dyDescent="0.25">
      <c r="A162" s="656" t="s">
        <v>120</v>
      </c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6"/>
      <c r="P162" s="656"/>
      <c r="Q162" s="656"/>
      <c r="R162" s="656"/>
      <c r="S162" s="656"/>
      <c r="T162" s="656"/>
      <c r="U162" s="656"/>
      <c r="V162" s="656"/>
      <c r="W162" s="656"/>
      <c r="X162" s="656"/>
      <c r="Y162" s="656"/>
      <c r="Z162" s="656"/>
      <c r="AA162" s="62"/>
      <c r="AB162" s="62"/>
      <c r="AC162" s="62"/>
    </row>
    <row r="163" spans="1:68" ht="14.25" hidden="1" customHeight="1" x14ac:dyDescent="0.25">
      <c r="A163" s="657" t="s">
        <v>122</v>
      </c>
      <c r="B163" s="657"/>
      <c r="C163" s="657"/>
      <c r="D163" s="657"/>
      <c r="E163" s="657"/>
      <c r="F163" s="657"/>
      <c r="G163" s="657"/>
      <c r="H163" s="657"/>
      <c r="I163" s="657"/>
      <c r="J163" s="657"/>
      <c r="K163" s="657"/>
      <c r="L163" s="657"/>
      <c r="M163" s="657"/>
      <c r="N163" s="657"/>
      <c r="O163" s="657"/>
      <c r="P163" s="657"/>
      <c r="Q163" s="657"/>
      <c r="R163" s="657"/>
      <c r="S163" s="657"/>
      <c r="T163" s="657"/>
      <c r="U163" s="657"/>
      <c r="V163" s="657"/>
      <c r="W163" s="657"/>
      <c r="X163" s="657"/>
      <c r="Y163" s="657"/>
      <c r="Z163" s="657"/>
      <c r="AA163" s="63"/>
      <c r="AB163" s="63"/>
      <c r="AC163" s="63"/>
    </row>
    <row r="164" spans="1:68" ht="27" hidden="1" customHeight="1" x14ac:dyDescent="0.25">
      <c r="A164" s="60" t="s">
        <v>290</v>
      </c>
      <c r="B164" s="60" t="s">
        <v>291</v>
      </c>
      <c r="C164" s="34">
        <v>4301012338</v>
      </c>
      <c r="D164" s="652">
        <v>4680115887374</v>
      </c>
      <c r="E164" s="652"/>
      <c r="F164" s="59">
        <v>1</v>
      </c>
      <c r="G164" s="35">
        <v>6</v>
      </c>
      <c r="H164" s="59">
        <v>6</v>
      </c>
      <c r="I164" s="59">
        <v>6.35</v>
      </c>
      <c r="J164" s="35">
        <v>104</v>
      </c>
      <c r="K164" s="35" t="s">
        <v>127</v>
      </c>
      <c r="L164" s="35" t="s">
        <v>46</v>
      </c>
      <c r="M164" s="36" t="s">
        <v>126</v>
      </c>
      <c r="N164" s="36"/>
      <c r="O164" s="35">
        <v>55</v>
      </c>
      <c r="P164" s="86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4"/>
      <c r="R164" s="654"/>
      <c r="S164" s="654"/>
      <c r="T164" s="655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IFERROR(IF(Y164=0,"",ROUNDUP(Y164/H164,0)*0.01196),"")</f>
        <v/>
      </c>
      <c r="AA164" s="65" t="s">
        <v>46</v>
      </c>
      <c r="AB164" s="66" t="s">
        <v>46</v>
      </c>
      <c r="AC164" s="231" t="s">
        <v>292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293</v>
      </c>
      <c r="B165" s="60" t="s">
        <v>294</v>
      </c>
      <c r="C165" s="34">
        <v>4301011705</v>
      </c>
      <c r="D165" s="652">
        <v>4607091384604</v>
      </c>
      <c r="E165" s="652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134</v>
      </c>
      <c r="L165" s="35" t="s">
        <v>46</v>
      </c>
      <c r="M165" s="36" t="s">
        <v>126</v>
      </c>
      <c r="N165" s="36"/>
      <c r="O165" s="35">
        <v>50</v>
      </c>
      <c r="P165" s="8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4"/>
      <c r="R165" s="654"/>
      <c r="S165" s="654"/>
      <c r="T165" s="655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33" t="s">
        <v>295</v>
      </c>
      <c r="AG165" s="75"/>
      <c r="AJ165" s="79" t="s">
        <v>46</v>
      </c>
      <c r="AK165" s="79">
        <v>0</v>
      </c>
      <c r="BB165" s="234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296</v>
      </c>
      <c r="B166" s="60" t="s">
        <v>297</v>
      </c>
      <c r="C166" s="34">
        <v>4301012344</v>
      </c>
      <c r="D166" s="652">
        <v>4680115888876</v>
      </c>
      <c r="E166" s="652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4"/>
      <c r="R166" s="654"/>
      <c r="S166" s="654"/>
      <c r="T166" s="655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5" t="s">
        <v>298</v>
      </c>
      <c r="AG166" s="75"/>
      <c r="AJ166" s="79" t="s">
        <v>46</v>
      </c>
      <c r="AK166" s="79">
        <v>0</v>
      </c>
      <c r="BB166" s="236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646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47"/>
      <c r="P167" s="643" t="s">
        <v>40</v>
      </c>
      <c r="Q167" s="644"/>
      <c r="R167" s="644"/>
      <c r="S167" s="644"/>
      <c r="T167" s="644"/>
      <c r="U167" s="644"/>
      <c r="V167" s="645"/>
      <c r="W167" s="40" t="s">
        <v>39</v>
      </c>
      <c r="X167" s="41">
        <f>IFERROR(X164/H164,"0")+IFERROR(X165/H165,"0")+IFERROR(X166/H166,"0")</f>
        <v>0</v>
      </c>
      <c r="Y167" s="41">
        <f>IFERROR(Y164/H164,"0")+IFERROR(Y165/H165,"0")+IFERROR(Y166/H166,"0")</f>
        <v>0</v>
      </c>
      <c r="Z167" s="41">
        <f>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47"/>
      <c r="P168" s="643" t="s">
        <v>40</v>
      </c>
      <c r="Q168" s="644"/>
      <c r="R168" s="644"/>
      <c r="S168" s="644"/>
      <c r="T168" s="644"/>
      <c r="U168" s="644"/>
      <c r="V168" s="645"/>
      <c r="W168" s="40" t="s">
        <v>0</v>
      </c>
      <c r="X168" s="41">
        <f>IFERROR(SUM(X164:X166),"0")</f>
        <v>0</v>
      </c>
      <c r="Y168" s="41">
        <f>IFERROR(SUM(Y164:Y166),"0")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657" t="s">
        <v>158</v>
      </c>
      <c r="B169" s="657"/>
      <c r="C169" s="657"/>
      <c r="D169" s="657"/>
      <c r="E169" s="657"/>
      <c r="F169" s="657"/>
      <c r="G169" s="657"/>
      <c r="H169" s="657"/>
      <c r="I169" s="657"/>
      <c r="J169" s="657"/>
      <c r="K169" s="657"/>
      <c r="L169" s="657"/>
      <c r="M169" s="657"/>
      <c r="N169" s="657"/>
      <c r="O169" s="657"/>
      <c r="P169" s="657"/>
      <c r="Q169" s="657"/>
      <c r="R169" s="657"/>
      <c r="S169" s="657"/>
      <c r="T169" s="657"/>
      <c r="U169" s="657"/>
      <c r="V169" s="657"/>
      <c r="W169" s="657"/>
      <c r="X169" s="657"/>
      <c r="Y169" s="657"/>
      <c r="Z169" s="657"/>
      <c r="AA169" s="63"/>
      <c r="AB169" s="63"/>
      <c r="AC169" s="63"/>
    </row>
    <row r="170" spans="1:68" ht="16.5" hidden="1" customHeight="1" x14ac:dyDescent="0.25">
      <c r="A170" s="60" t="s">
        <v>299</v>
      </c>
      <c r="B170" s="60" t="s">
        <v>300</v>
      </c>
      <c r="C170" s="34">
        <v>4301020410</v>
      </c>
      <c r="D170" s="652">
        <v>4680115887695</v>
      </c>
      <c r="E170" s="652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82</v>
      </c>
      <c r="L170" s="35" t="s">
        <v>46</v>
      </c>
      <c r="M170" s="36" t="s">
        <v>81</v>
      </c>
      <c r="N170" s="36"/>
      <c r="O170" s="35">
        <v>30</v>
      </c>
      <c r="P170" s="86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4"/>
      <c r="R170" s="654"/>
      <c r="S170" s="654"/>
      <c r="T170" s="655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 t="s">
        <v>46</v>
      </c>
      <c r="AB170" s="66" t="s">
        <v>46</v>
      </c>
      <c r="AC170" s="237" t="s">
        <v>301</v>
      </c>
      <c r="AG170" s="75"/>
      <c r="AJ170" s="79" t="s">
        <v>46</v>
      </c>
      <c r="AK170" s="79">
        <v>0</v>
      </c>
      <c r="BB170" s="238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302</v>
      </c>
      <c r="B171" s="60" t="s">
        <v>303</v>
      </c>
      <c r="C171" s="34">
        <v>4301020439</v>
      </c>
      <c r="D171" s="652">
        <v>4680115889491</v>
      </c>
      <c r="E171" s="652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82</v>
      </c>
      <c r="L171" s="35" t="s">
        <v>46</v>
      </c>
      <c r="M171" s="36" t="s">
        <v>126</v>
      </c>
      <c r="N171" s="36"/>
      <c r="O171" s="35">
        <v>55</v>
      </c>
      <c r="P171" s="85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4"/>
      <c r="R171" s="654"/>
      <c r="S171" s="654"/>
      <c r="T171" s="655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9" t="s">
        <v>304</v>
      </c>
      <c r="AG171" s="75"/>
      <c r="AJ171" s="79" t="s">
        <v>46</v>
      </c>
      <c r="AK171" s="79">
        <v>0</v>
      </c>
      <c r="BB171" s="240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46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47"/>
      <c r="P172" s="643" t="s">
        <v>40</v>
      </c>
      <c r="Q172" s="644"/>
      <c r="R172" s="644"/>
      <c r="S172" s="644"/>
      <c r="T172" s="644"/>
      <c r="U172" s="644"/>
      <c r="V172" s="645"/>
      <c r="W172" s="40" t="s">
        <v>39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hidden="1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47"/>
      <c r="P173" s="643" t="s">
        <v>40</v>
      </c>
      <c r="Q173" s="644"/>
      <c r="R173" s="644"/>
      <c r="S173" s="644"/>
      <c r="T173" s="644"/>
      <c r="U173" s="644"/>
      <c r="V173" s="645"/>
      <c r="W173" s="40" t="s">
        <v>0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57" t="s">
        <v>77</v>
      </c>
      <c r="B174" s="657"/>
      <c r="C174" s="657"/>
      <c r="D174" s="657"/>
      <c r="E174" s="657"/>
      <c r="F174" s="657"/>
      <c r="G174" s="657"/>
      <c r="H174" s="657"/>
      <c r="I174" s="657"/>
      <c r="J174" s="657"/>
      <c r="K174" s="657"/>
      <c r="L174" s="657"/>
      <c r="M174" s="657"/>
      <c r="N174" s="657"/>
      <c r="O174" s="657"/>
      <c r="P174" s="657"/>
      <c r="Q174" s="657"/>
      <c r="R174" s="657"/>
      <c r="S174" s="657"/>
      <c r="T174" s="657"/>
      <c r="U174" s="657"/>
      <c r="V174" s="657"/>
      <c r="W174" s="657"/>
      <c r="X174" s="657"/>
      <c r="Y174" s="657"/>
      <c r="Z174" s="657"/>
      <c r="AA174" s="63"/>
      <c r="AB174" s="63"/>
      <c r="AC174" s="63"/>
    </row>
    <row r="175" spans="1:68" ht="27" hidden="1" customHeight="1" x14ac:dyDescent="0.25">
      <c r="A175" s="60" t="s">
        <v>305</v>
      </c>
      <c r="B175" s="60" t="s">
        <v>306</v>
      </c>
      <c r="C175" s="34">
        <v>4301031496</v>
      </c>
      <c r="D175" s="652">
        <v>4680115887428</v>
      </c>
      <c r="E175" s="652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5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4"/>
      <c r="R175" s="654"/>
      <c r="S175" s="654"/>
      <c r="T175" s="655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ref="Y175:Y185" si="16">IFERROR(IF(X175="",0,CEILING((X175/$H175),1)*$H175),"")</f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67</v>
      </c>
      <c r="BM175" s="75">
        <f t="shared" ref="BM175:BM185" si="17">IFERROR(X175*I175/H175,"0")</f>
        <v>0</v>
      </c>
      <c r="BN175" s="75">
        <f t="shared" ref="BN175:BN185" si="18">IFERROR(Y175*I175/H175,"0")</f>
        <v>0</v>
      </c>
      <c r="BO175" s="75">
        <f t="shared" ref="BO175:BO185" si="19">IFERROR(1/J175*(X175/H175),"0")</f>
        <v>0</v>
      </c>
      <c r="BP175" s="75">
        <f t="shared" ref="BP175:BP185" si="20">IFERROR(1/J175*(Y175/H175),"0")</f>
        <v>0</v>
      </c>
    </row>
    <row r="176" spans="1:68" ht="27" hidden="1" customHeight="1" x14ac:dyDescent="0.25">
      <c r="A176" s="60" t="s">
        <v>308</v>
      </c>
      <c r="B176" s="60" t="s">
        <v>309</v>
      </c>
      <c r="C176" s="34">
        <v>4301031509</v>
      </c>
      <c r="D176" s="652">
        <v>4680115889170</v>
      </c>
      <c r="E176" s="652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5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4"/>
      <c r="R176" s="654"/>
      <c r="S176" s="654"/>
      <c r="T176" s="655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4301031498</v>
      </c>
      <c r="D177" s="652">
        <v>4680115887398</v>
      </c>
      <c r="E177" s="652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40</v>
      </c>
      <c r="P177" s="85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4"/>
      <c r="R177" s="654"/>
      <c r="S177" s="654"/>
      <c r="T177" s="655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314</v>
      </c>
      <c r="B178" s="60" t="s">
        <v>315</v>
      </c>
      <c r="C178" s="34">
        <v>4301031497</v>
      </c>
      <c r="D178" s="652">
        <v>4680115887336</v>
      </c>
      <c r="E178" s="652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134</v>
      </c>
      <c r="L178" s="35" t="s">
        <v>46</v>
      </c>
      <c r="M178" s="36" t="s">
        <v>81</v>
      </c>
      <c r="N178" s="36"/>
      <c r="O178" s="35">
        <v>40</v>
      </c>
      <c r="P178" s="85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4"/>
      <c r="R178" s="654"/>
      <c r="S178" s="654"/>
      <c r="T178" s="655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317</v>
      </c>
      <c r="B179" s="60" t="s">
        <v>318</v>
      </c>
      <c r="C179" s="34">
        <v>4301032049</v>
      </c>
      <c r="D179" s="652">
        <v>4680115887787</v>
      </c>
      <c r="E179" s="652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5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4"/>
      <c r="R179" s="654"/>
      <c r="S179" s="654"/>
      <c r="T179" s="655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319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320</v>
      </c>
      <c r="B180" s="60" t="s">
        <v>321</v>
      </c>
      <c r="C180" s="34">
        <v>4301031448</v>
      </c>
      <c r="D180" s="652">
        <v>4680115887503</v>
      </c>
      <c r="E180" s="652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5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4"/>
      <c r="R180" s="654"/>
      <c r="S180" s="654"/>
      <c r="T180" s="655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307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322</v>
      </c>
      <c r="B181" s="60" t="s">
        <v>323</v>
      </c>
      <c r="C181" s="34">
        <v>4301031389</v>
      </c>
      <c r="D181" s="652">
        <v>4680115887763</v>
      </c>
      <c r="E181" s="652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5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4"/>
      <c r="R181" s="654"/>
      <c r="S181" s="654"/>
      <c r="T181" s="655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324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322</v>
      </c>
      <c r="B182" s="60" t="s">
        <v>325</v>
      </c>
      <c r="C182" s="34">
        <v>4301031510</v>
      </c>
      <c r="D182" s="652">
        <v>4680115887763</v>
      </c>
      <c r="E182" s="652"/>
      <c r="F182" s="59">
        <v>0.09</v>
      </c>
      <c r="G182" s="35">
        <v>8</v>
      </c>
      <c r="H182" s="59">
        <v>0.72</v>
      </c>
      <c r="I182" s="59">
        <v>0.90800000000000003</v>
      </c>
      <c r="J182" s="35">
        <v>336</v>
      </c>
      <c r="K182" s="35" t="s">
        <v>131</v>
      </c>
      <c r="L182" s="35" t="s">
        <v>46</v>
      </c>
      <c r="M182" s="36" t="s">
        <v>81</v>
      </c>
      <c r="N182" s="36"/>
      <c r="O182" s="35">
        <v>45</v>
      </c>
      <c r="P182" s="846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4"/>
      <c r="R182" s="654"/>
      <c r="S182" s="654"/>
      <c r="T182" s="655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324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4301031454</v>
      </c>
      <c r="D183" s="652">
        <v>4680115887480</v>
      </c>
      <c r="E183" s="652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82</v>
      </c>
      <c r="L183" s="35" t="s">
        <v>46</v>
      </c>
      <c r="M183" s="36" t="s">
        <v>81</v>
      </c>
      <c r="N183" s="36"/>
      <c r="O183" s="35">
        <v>40</v>
      </c>
      <c r="P183" s="8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4"/>
      <c r="R183" s="654"/>
      <c r="S183" s="654"/>
      <c r="T183" s="655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313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4301031434</v>
      </c>
      <c r="D184" s="652">
        <v>4680115888067</v>
      </c>
      <c r="E184" s="652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131</v>
      </c>
      <c r="L184" s="35" t="s">
        <v>46</v>
      </c>
      <c r="M184" s="36" t="s">
        <v>81</v>
      </c>
      <c r="N184" s="36"/>
      <c r="O184" s="35">
        <v>45</v>
      </c>
      <c r="P184" s="84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4"/>
      <c r="R184" s="654"/>
      <c r="S184" s="654"/>
      <c r="T184" s="655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9" t="s">
        <v>330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hidden="1" customHeight="1" x14ac:dyDescent="0.25">
      <c r="A185" s="60" t="s">
        <v>331</v>
      </c>
      <c r="B185" s="60" t="s">
        <v>332</v>
      </c>
      <c r="C185" s="34">
        <v>4301031451</v>
      </c>
      <c r="D185" s="652">
        <v>4680115887435</v>
      </c>
      <c r="E185" s="652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84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4"/>
      <c r="R185" s="654"/>
      <c r="S185" s="654"/>
      <c r="T185" s="655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6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61" t="s">
        <v>316</v>
      </c>
      <c r="AG185" s="75"/>
      <c r="AJ185" s="79" t="s">
        <v>46</v>
      </c>
      <c r="AK185" s="79">
        <v>0</v>
      </c>
      <c r="BB185" s="262" t="s">
        <v>67</v>
      </c>
      <c r="BM185" s="75">
        <f t="shared" si="17"/>
        <v>0</v>
      </c>
      <c r="BN185" s="75">
        <f t="shared" si="18"/>
        <v>0</v>
      </c>
      <c r="BO185" s="75">
        <f t="shared" si="19"/>
        <v>0</v>
      </c>
      <c r="BP185" s="75">
        <f t="shared" si="20"/>
        <v>0</v>
      </c>
    </row>
    <row r="186" spans="1:68" hidden="1" x14ac:dyDescent="0.2">
      <c r="A186" s="646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47"/>
      <c r="P186" s="643" t="s">
        <v>40</v>
      </c>
      <c r="Q186" s="644"/>
      <c r="R186" s="644"/>
      <c r="S186" s="644"/>
      <c r="T186" s="644"/>
      <c r="U186" s="644"/>
      <c r="V186" s="645"/>
      <c r="W186" s="40" t="s">
        <v>39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4"/>
      <c r="AB186" s="64"/>
      <c r="AC186" s="64"/>
    </row>
    <row r="187" spans="1:68" hidden="1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47"/>
      <c r="P187" s="643" t="s">
        <v>40</v>
      </c>
      <c r="Q187" s="644"/>
      <c r="R187" s="644"/>
      <c r="S187" s="644"/>
      <c r="T187" s="644"/>
      <c r="U187" s="644"/>
      <c r="V187" s="645"/>
      <c r="W187" s="40" t="s">
        <v>0</v>
      </c>
      <c r="X187" s="41">
        <f>IFERROR(SUM(X175:X185),"0")</f>
        <v>0</v>
      </c>
      <c r="Y187" s="41">
        <f>IFERROR(SUM(Y175:Y185),"0")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57" t="s">
        <v>86</v>
      </c>
      <c r="B188" s="657"/>
      <c r="C188" s="657"/>
      <c r="D188" s="657"/>
      <c r="E188" s="657"/>
      <c r="F188" s="657"/>
      <c r="G188" s="657"/>
      <c r="H188" s="657"/>
      <c r="I188" s="657"/>
      <c r="J188" s="657"/>
      <c r="K188" s="657"/>
      <c r="L188" s="657"/>
      <c r="M188" s="657"/>
      <c r="N188" s="657"/>
      <c r="O188" s="657"/>
      <c r="P188" s="657"/>
      <c r="Q188" s="657"/>
      <c r="R188" s="657"/>
      <c r="S188" s="657"/>
      <c r="T188" s="657"/>
      <c r="U188" s="657"/>
      <c r="V188" s="657"/>
      <c r="W188" s="657"/>
      <c r="X188" s="657"/>
      <c r="Y188" s="657"/>
      <c r="Z188" s="657"/>
      <c r="AA188" s="63"/>
      <c r="AB188" s="63"/>
      <c r="AC188" s="63"/>
    </row>
    <row r="189" spans="1:68" ht="16.5" hidden="1" customHeight="1" x14ac:dyDescent="0.25">
      <c r="A189" s="60" t="s">
        <v>333</v>
      </c>
      <c r="B189" s="60" t="s">
        <v>334</v>
      </c>
      <c r="C189" s="34">
        <v>4301052193</v>
      </c>
      <c r="D189" s="652">
        <v>4680115888395</v>
      </c>
      <c r="E189" s="652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4"/>
      <c r="R189" s="654"/>
      <c r="S189" s="654"/>
      <c r="T189" s="655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336</v>
      </c>
      <c r="B190" s="60" t="s">
        <v>337</v>
      </c>
      <c r="C190" s="34">
        <v>4301052191</v>
      </c>
      <c r="D190" s="652">
        <v>4680115888371</v>
      </c>
      <c r="E190" s="652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91</v>
      </c>
      <c r="L190" s="35" t="s">
        <v>46</v>
      </c>
      <c r="M190" s="36" t="s">
        <v>97</v>
      </c>
      <c r="N190" s="36"/>
      <c r="O190" s="35">
        <v>40</v>
      </c>
      <c r="P190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4"/>
      <c r="R190" s="654"/>
      <c r="S190" s="654"/>
      <c r="T190" s="655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339</v>
      </c>
      <c r="B191" s="60" t="s">
        <v>340</v>
      </c>
      <c r="C191" s="34">
        <v>4301052064</v>
      </c>
      <c r="D191" s="652">
        <v>4680115887459</v>
      </c>
      <c r="E191" s="652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91</v>
      </c>
      <c r="L191" s="35" t="s">
        <v>46</v>
      </c>
      <c r="M191" s="36" t="s">
        <v>90</v>
      </c>
      <c r="N191" s="36"/>
      <c r="O191" s="35">
        <v>45</v>
      </c>
      <c r="P191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4"/>
      <c r="R191" s="654"/>
      <c r="S191" s="654"/>
      <c r="T191" s="655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7" t="s">
        <v>341</v>
      </c>
      <c r="AG191" s="75"/>
      <c r="AJ191" s="79" t="s">
        <v>46</v>
      </c>
      <c r="AK191" s="79">
        <v>0</v>
      </c>
      <c r="BB191" s="268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46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47"/>
      <c r="P192" s="643" t="s">
        <v>40</v>
      </c>
      <c r="Q192" s="644"/>
      <c r="R192" s="644"/>
      <c r="S192" s="644"/>
      <c r="T192" s="644"/>
      <c r="U192" s="644"/>
      <c r="V192" s="645"/>
      <c r="W192" s="40" t="s">
        <v>39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47"/>
      <c r="P193" s="643" t="s">
        <v>40</v>
      </c>
      <c r="Q193" s="644"/>
      <c r="R193" s="644"/>
      <c r="S193" s="644"/>
      <c r="T193" s="644"/>
      <c r="U193" s="644"/>
      <c r="V193" s="645"/>
      <c r="W193" s="40" t="s">
        <v>0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57" t="s">
        <v>283</v>
      </c>
      <c r="B194" s="657"/>
      <c r="C194" s="657"/>
      <c r="D194" s="657"/>
      <c r="E194" s="657"/>
      <c r="F194" s="657"/>
      <c r="G194" s="657"/>
      <c r="H194" s="657"/>
      <c r="I194" s="657"/>
      <c r="J194" s="657"/>
      <c r="K194" s="657"/>
      <c r="L194" s="657"/>
      <c r="M194" s="657"/>
      <c r="N194" s="657"/>
      <c r="O194" s="657"/>
      <c r="P194" s="657"/>
      <c r="Q194" s="657"/>
      <c r="R194" s="657"/>
      <c r="S194" s="657"/>
      <c r="T194" s="657"/>
      <c r="U194" s="657"/>
      <c r="V194" s="657"/>
      <c r="W194" s="657"/>
      <c r="X194" s="657"/>
      <c r="Y194" s="657"/>
      <c r="Z194" s="657"/>
      <c r="AA194" s="63"/>
      <c r="AB194" s="63"/>
      <c r="AC194" s="63"/>
    </row>
    <row r="195" spans="1:68" ht="16.5" hidden="1" customHeight="1" x14ac:dyDescent="0.25">
      <c r="A195" s="60" t="s">
        <v>342</v>
      </c>
      <c r="B195" s="60" t="s">
        <v>343</v>
      </c>
      <c r="C195" s="34">
        <v>4301032058</v>
      </c>
      <c r="D195" s="652">
        <v>4680115889026</v>
      </c>
      <c r="E195" s="652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345</v>
      </c>
      <c r="L195" s="35" t="s">
        <v>46</v>
      </c>
      <c r="M195" s="36" t="s">
        <v>288</v>
      </c>
      <c r="N195" s="36"/>
      <c r="O195" s="35">
        <v>60</v>
      </c>
      <c r="P195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4"/>
      <c r="R195" s="654"/>
      <c r="S195" s="654"/>
      <c r="T195" s="655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 t="s">
        <v>46</v>
      </c>
      <c r="AB195" s="66" t="s">
        <v>46</v>
      </c>
      <c r="AC195" s="269" t="s">
        <v>344</v>
      </c>
      <c r="AG195" s="75"/>
      <c r="AJ195" s="79" t="s">
        <v>46</v>
      </c>
      <c r="AK195" s="79">
        <v>0</v>
      </c>
      <c r="BB195" s="270" t="s">
        <v>67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27" hidden="1" customHeight="1" x14ac:dyDescent="0.25">
      <c r="A196" s="60" t="s">
        <v>346</v>
      </c>
      <c r="B196" s="60" t="s">
        <v>347</v>
      </c>
      <c r="C196" s="34">
        <v>4301032057</v>
      </c>
      <c r="D196" s="652">
        <v>4680115889088</v>
      </c>
      <c r="E196" s="652"/>
      <c r="F196" s="59">
        <v>0.06</v>
      </c>
      <c r="G196" s="35">
        <v>18</v>
      </c>
      <c r="H196" s="59">
        <v>1.08</v>
      </c>
      <c r="I196" s="59">
        <v>1.36</v>
      </c>
      <c r="J196" s="35">
        <v>216</v>
      </c>
      <c r="K196" s="35" t="s">
        <v>345</v>
      </c>
      <c r="L196" s="35" t="s">
        <v>46</v>
      </c>
      <c r="M196" s="36" t="s">
        <v>288</v>
      </c>
      <c r="N196" s="36"/>
      <c r="O196" s="35">
        <v>45</v>
      </c>
      <c r="P196" s="8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4"/>
      <c r="R196" s="654"/>
      <c r="S196" s="654"/>
      <c r="T196" s="655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IFERROR(IF(Y196=0,"",ROUNDUP(Y196/H196,0)*0.0059),"")</f>
        <v/>
      </c>
      <c r="AA196" s="65" t="s">
        <v>46</v>
      </c>
      <c r="AB196" s="66" t="s">
        <v>46</v>
      </c>
      <c r="AC196" s="271" t="s">
        <v>348</v>
      </c>
      <c r="AG196" s="75"/>
      <c r="AJ196" s="79" t="s">
        <v>46</v>
      </c>
      <c r="AK196" s="79">
        <v>0</v>
      </c>
      <c r="BB196" s="272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idden="1" x14ac:dyDescent="0.2">
      <c r="A197" s="646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47"/>
      <c r="P197" s="643" t="s">
        <v>40</v>
      </c>
      <c r="Q197" s="644"/>
      <c r="R197" s="644"/>
      <c r="S197" s="644"/>
      <c r="T197" s="644"/>
      <c r="U197" s="644"/>
      <c r="V197" s="645"/>
      <c r="W197" s="40" t="s">
        <v>39</v>
      </c>
      <c r="X197" s="41">
        <f>IFERROR(X195/H195,"0")+IFERROR(X196/H196,"0")</f>
        <v>0</v>
      </c>
      <c r="Y197" s="41">
        <f>IFERROR(Y195/H195,"0")+IFERROR(Y196/H196,"0")</f>
        <v>0</v>
      </c>
      <c r="Z197" s="41">
        <f>IFERROR(IF(Z195="",0,Z195),"0")+IFERROR(IF(Z196="",0,Z196),"0")</f>
        <v>0</v>
      </c>
      <c r="AA197" s="64"/>
      <c r="AB197" s="64"/>
      <c r="AC197" s="64"/>
    </row>
    <row r="198" spans="1:68" hidden="1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47"/>
      <c r="P198" s="643" t="s">
        <v>40</v>
      </c>
      <c r="Q198" s="644"/>
      <c r="R198" s="644"/>
      <c r="S198" s="644"/>
      <c r="T198" s="644"/>
      <c r="U198" s="644"/>
      <c r="V198" s="645"/>
      <c r="W198" s="40" t="s">
        <v>0</v>
      </c>
      <c r="X198" s="41">
        <f>IFERROR(SUM(X195:X196),"0")</f>
        <v>0</v>
      </c>
      <c r="Y198" s="41">
        <f>IFERROR(SUM(Y195:Y196),"0")</f>
        <v>0</v>
      </c>
      <c r="Z198" s="40"/>
      <c r="AA198" s="64"/>
      <c r="AB198" s="64"/>
      <c r="AC198" s="64"/>
    </row>
    <row r="199" spans="1:68" ht="14.25" hidden="1" customHeight="1" x14ac:dyDescent="0.25">
      <c r="A199" s="657" t="s">
        <v>349</v>
      </c>
      <c r="B199" s="657"/>
      <c r="C199" s="657"/>
      <c r="D199" s="657"/>
      <c r="E199" s="657"/>
      <c r="F199" s="657"/>
      <c r="G199" s="657"/>
      <c r="H199" s="657"/>
      <c r="I199" s="657"/>
      <c r="J199" s="657"/>
      <c r="K199" s="657"/>
      <c r="L199" s="657"/>
      <c r="M199" s="657"/>
      <c r="N199" s="657"/>
      <c r="O199" s="657"/>
      <c r="P199" s="657"/>
      <c r="Q199" s="657"/>
      <c r="R199" s="657"/>
      <c r="S199" s="657"/>
      <c r="T199" s="657"/>
      <c r="U199" s="657"/>
      <c r="V199" s="657"/>
      <c r="W199" s="657"/>
      <c r="X199" s="657"/>
      <c r="Y199" s="657"/>
      <c r="Z199" s="657"/>
      <c r="AA199" s="63"/>
      <c r="AB199" s="63"/>
      <c r="AC199" s="63"/>
    </row>
    <row r="200" spans="1:68" ht="27" hidden="1" customHeight="1" x14ac:dyDescent="0.25">
      <c r="A200" s="60" t="s">
        <v>350</v>
      </c>
      <c r="B200" s="60" t="s">
        <v>351</v>
      </c>
      <c r="C200" s="34">
        <v>4301041009</v>
      </c>
      <c r="D200" s="652">
        <v>4680115889033</v>
      </c>
      <c r="E200" s="652"/>
      <c r="F200" s="59">
        <v>0.11</v>
      </c>
      <c r="G200" s="35">
        <v>15</v>
      </c>
      <c r="H200" s="59">
        <v>1.65</v>
      </c>
      <c r="I200" s="59">
        <v>1.9</v>
      </c>
      <c r="J200" s="35">
        <v>216</v>
      </c>
      <c r="K200" s="35" t="s">
        <v>345</v>
      </c>
      <c r="L200" s="35" t="s">
        <v>46</v>
      </c>
      <c r="M200" s="36" t="s">
        <v>288</v>
      </c>
      <c r="N200" s="36"/>
      <c r="O200" s="35">
        <v>60</v>
      </c>
      <c r="P200" s="83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4"/>
      <c r="R200" s="654"/>
      <c r="S200" s="654"/>
      <c r="T200" s="655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IFERROR(IF(Y200=0,"",ROUNDUP(Y200/H200,0)*0.0059),"")</f>
        <v/>
      </c>
      <c r="AA200" s="65" t="s">
        <v>46</v>
      </c>
      <c r="AB200" s="66" t="s">
        <v>46</v>
      </c>
      <c r="AC200" s="273" t="s">
        <v>352</v>
      </c>
      <c r="AG200" s="75"/>
      <c r="AJ200" s="79" t="s">
        <v>46</v>
      </c>
      <c r="AK200" s="79">
        <v>0</v>
      </c>
      <c r="BB200" s="27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46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47"/>
      <c r="P201" s="643" t="s">
        <v>40</v>
      </c>
      <c r="Q201" s="644"/>
      <c r="R201" s="644"/>
      <c r="S201" s="644"/>
      <c r="T201" s="644"/>
      <c r="U201" s="644"/>
      <c r="V201" s="645"/>
      <c r="W201" s="40" t="s">
        <v>39</v>
      </c>
      <c r="X201" s="41">
        <f>IFERROR(X200/H200,"0")</f>
        <v>0</v>
      </c>
      <c r="Y201" s="41">
        <f>IFERROR(Y200/H200,"0")</f>
        <v>0</v>
      </c>
      <c r="Z201" s="41">
        <f>IFERROR(IF(Z200="",0,Z200),"0")</f>
        <v>0</v>
      </c>
      <c r="AA201" s="64"/>
      <c r="AB201" s="64"/>
      <c r="AC201" s="64"/>
    </row>
    <row r="202" spans="1:68" hidden="1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47"/>
      <c r="P202" s="643" t="s">
        <v>40</v>
      </c>
      <c r="Q202" s="644"/>
      <c r="R202" s="644"/>
      <c r="S202" s="644"/>
      <c r="T202" s="644"/>
      <c r="U202" s="644"/>
      <c r="V202" s="645"/>
      <c r="W202" s="40" t="s">
        <v>0</v>
      </c>
      <c r="X202" s="41">
        <f>IFERROR(SUM(X200:X200),"0")</f>
        <v>0</v>
      </c>
      <c r="Y202" s="41">
        <f>IFERROR(SUM(Y200:Y200),"0")</f>
        <v>0</v>
      </c>
      <c r="Z202" s="40"/>
      <c r="AA202" s="64"/>
      <c r="AB202" s="64"/>
      <c r="AC202" s="64"/>
    </row>
    <row r="203" spans="1:68" ht="27.75" hidden="1" customHeight="1" x14ac:dyDescent="0.2">
      <c r="A203" s="663" t="s">
        <v>353</v>
      </c>
      <c r="B203" s="663"/>
      <c r="C203" s="663"/>
      <c r="D203" s="663"/>
      <c r="E203" s="663"/>
      <c r="F203" s="663"/>
      <c r="G203" s="663"/>
      <c r="H203" s="663"/>
      <c r="I203" s="663"/>
      <c r="J203" s="663"/>
      <c r="K203" s="663"/>
      <c r="L203" s="663"/>
      <c r="M203" s="663"/>
      <c r="N203" s="663"/>
      <c r="O203" s="663"/>
      <c r="P203" s="663"/>
      <c r="Q203" s="663"/>
      <c r="R203" s="663"/>
      <c r="S203" s="663"/>
      <c r="T203" s="663"/>
      <c r="U203" s="663"/>
      <c r="V203" s="663"/>
      <c r="W203" s="663"/>
      <c r="X203" s="663"/>
      <c r="Y203" s="663"/>
      <c r="Z203" s="663"/>
      <c r="AA203" s="52"/>
      <c r="AB203" s="52"/>
      <c r="AC203" s="52"/>
    </row>
    <row r="204" spans="1:68" ht="16.5" hidden="1" customHeight="1" x14ac:dyDescent="0.25">
      <c r="A204" s="656" t="s">
        <v>354</v>
      </c>
      <c r="B204" s="656"/>
      <c r="C204" s="656"/>
      <c r="D204" s="656"/>
      <c r="E204" s="656"/>
      <c r="F204" s="656"/>
      <c r="G204" s="656"/>
      <c r="H204" s="656"/>
      <c r="I204" s="656"/>
      <c r="J204" s="656"/>
      <c r="K204" s="656"/>
      <c r="L204" s="656"/>
      <c r="M204" s="656"/>
      <c r="N204" s="656"/>
      <c r="O204" s="656"/>
      <c r="P204" s="656"/>
      <c r="Q204" s="656"/>
      <c r="R204" s="656"/>
      <c r="S204" s="656"/>
      <c r="T204" s="656"/>
      <c r="U204" s="656"/>
      <c r="V204" s="656"/>
      <c r="W204" s="656"/>
      <c r="X204" s="656"/>
      <c r="Y204" s="656"/>
      <c r="Z204" s="656"/>
      <c r="AA204" s="62"/>
      <c r="AB204" s="62"/>
      <c r="AC204" s="62"/>
    </row>
    <row r="205" spans="1:68" ht="14.25" hidden="1" customHeight="1" x14ac:dyDescent="0.25">
      <c r="A205" s="657" t="s">
        <v>122</v>
      </c>
      <c r="B205" s="657"/>
      <c r="C205" s="657"/>
      <c r="D205" s="657"/>
      <c r="E205" s="657"/>
      <c r="F205" s="657"/>
      <c r="G205" s="657"/>
      <c r="H205" s="657"/>
      <c r="I205" s="657"/>
      <c r="J205" s="657"/>
      <c r="K205" s="657"/>
      <c r="L205" s="657"/>
      <c r="M205" s="657"/>
      <c r="N205" s="657"/>
      <c r="O205" s="657"/>
      <c r="P205" s="657"/>
      <c r="Q205" s="657"/>
      <c r="R205" s="657"/>
      <c r="S205" s="657"/>
      <c r="T205" s="657"/>
      <c r="U205" s="657"/>
      <c r="V205" s="657"/>
      <c r="W205" s="657"/>
      <c r="X205" s="657"/>
      <c r="Y205" s="657"/>
      <c r="Z205" s="657"/>
      <c r="AA205" s="63"/>
      <c r="AB205" s="63"/>
      <c r="AC205" s="63"/>
    </row>
    <row r="206" spans="1:68" ht="27" hidden="1" customHeight="1" x14ac:dyDescent="0.25">
      <c r="A206" s="60" t="s">
        <v>355</v>
      </c>
      <c r="B206" s="60" t="s">
        <v>356</v>
      </c>
      <c r="C206" s="34">
        <v>4301011223</v>
      </c>
      <c r="D206" s="652">
        <v>4607091383423</v>
      </c>
      <c r="E206" s="652"/>
      <c r="F206" s="59">
        <v>1.35</v>
      </c>
      <c r="G206" s="35">
        <v>8</v>
      </c>
      <c r="H206" s="59">
        <v>10.8</v>
      </c>
      <c r="I206" s="59">
        <v>11.305999999999999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4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4"/>
      <c r="R206" s="654"/>
      <c r="S206" s="654"/>
      <c r="T206" s="655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ref="Y206:Y212" si="21">IFERROR(IF(X206="",0,CEILING((X206/$H206),1)*$H206),"")</f>
        <v>0</v>
      </c>
      <c r="Z206" s="39" t="str">
        <f t="shared" ref="Z206:Z212" si="22">IFERROR(IF(Y206=0,"",ROUNDUP(Y206/H206,0)*0.01898),"")</f>
        <v/>
      </c>
      <c r="AA206" s="65" t="s">
        <v>46</v>
      </c>
      <c r="AB206" s="66" t="s">
        <v>46</v>
      </c>
      <c r="AC206" s="275" t="s">
        <v>125</v>
      </c>
      <c r="AG206" s="75"/>
      <c r="AJ206" s="79" t="s">
        <v>46</v>
      </c>
      <c r="AK206" s="79">
        <v>0</v>
      </c>
      <c r="BB206" s="276" t="s">
        <v>67</v>
      </c>
      <c r="BM206" s="75">
        <f t="shared" ref="BM206:BM212" si="23">IFERROR(X206*I206/H206,"0")</f>
        <v>0</v>
      </c>
      <c r="BN206" s="75">
        <f t="shared" ref="BN206:BN212" si="24">IFERROR(Y206*I206/H206,"0")</f>
        <v>0</v>
      </c>
      <c r="BO206" s="75">
        <f t="shared" ref="BO206:BO212" si="25">IFERROR(1/J206*(X206/H206),"0")</f>
        <v>0</v>
      </c>
      <c r="BP206" s="75">
        <f t="shared" ref="BP206:BP212" si="26">IFERROR(1/J206*(Y206/H206),"0")</f>
        <v>0</v>
      </c>
    </row>
    <row r="207" spans="1:68" ht="27" hidden="1" customHeight="1" x14ac:dyDescent="0.25">
      <c r="A207" s="60" t="s">
        <v>357</v>
      </c>
      <c r="B207" s="60" t="s">
        <v>358</v>
      </c>
      <c r="C207" s="34">
        <v>4301012340</v>
      </c>
      <c r="D207" s="652">
        <v>4680115888760</v>
      </c>
      <c r="E207" s="652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3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4"/>
      <c r="R207" s="654"/>
      <c r="S207" s="654"/>
      <c r="T207" s="655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1"/>
        <v>0</v>
      </c>
      <c r="Z207" s="39" t="str">
        <f t="shared" si="22"/>
        <v/>
      </c>
      <c r="AA207" s="65" t="s">
        <v>46</v>
      </c>
      <c r="AB207" s="66" t="s">
        <v>46</v>
      </c>
      <c r="AC207" s="277" t="s">
        <v>359</v>
      </c>
      <c r="AG207" s="75"/>
      <c r="AJ207" s="79" t="s">
        <v>46</v>
      </c>
      <c r="AK207" s="79">
        <v>0</v>
      </c>
      <c r="BB207" s="278" t="s">
        <v>67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360</v>
      </c>
      <c r="B208" s="60" t="s">
        <v>361</v>
      </c>
      <c r="C208" s="34">
        <v>4301012341</v>
      </c>
      <c r="D208" s="652">
        <v>4680115888807</v>
      </c>
      <c r="E208" s="652"/>
      <c r="F208" s="59">
        <v>1.4</v>
      </c>
      <c r="G208" s="35">
        <v>6</v>
      </c>
      <c r="H208" s="59">
        <v>8.4</v>
      </c>
      <c r="I208" s="59">
        <v>8.81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3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4"/>
      <c r="R208" s="654"/>
      <c r="S208" s="654"/>
      <c r="T208" s="655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1"/>
        <v>0</v>
      </c>
      <c r="Z208" s="39" t="str">
        <f t="shared" si="22"/>
        <v/>
      </c>
      <c r="AA208" s="65" t="s">
        <v>46</v>
      </c>
      <c r="AB208" s="66" t="s">
        <v>46</v>
      </c>
      <c r="AC208" s="279" t="s">
        <v>362</v>
      </c>
      <c r="AG208" s="75"/>
      <c r="AJ208" s="79" t="s">
        <v>46</v>
      </c>
      <c r="AK208" s="79">
        <v>0</v>
      </c>
      <c r="BB208" s="280" t="s">
        <v>67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27" hidden="1" customHeight="1" x14ac:dyDescent="0.25">
      <c r="A209" s="60" t="s">
        <v>363</v>
      </c>
      <c r="B209" s="60" t="s">
        <v>364</v>
      </c>
      <c r="C209" s="34">
        <v>4301012342</v>
      </c>
      <c r="D209" s="652">
        <v>4680115888852</v>
      </c>
      <c r="E209" s="652"/>
      <c r="F209" s="59">
        <v>0.9</v>
      </c>
      <c r="G209" s="35">
        <v>6</v>
      </c>
      <c r="H209" s="59">
        <v>5.4</v>
      </c>
      <c r="I209" s="59">
        <v>5.81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4"/>
      <c r="R209" s="654"/>
      <c r="S209" s="654"/>
      <c r="T209" s="655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1"/>
        <v>0</v>
      </c>
      <c r="Z209" s="39" t="str">
        <f t="shared" si="22"/>
        <v/>
      </c>
      <c r="AA209" s="65" t="s">
        <v>46</v>
      </c>
      <c r="AB209" s="66" t="s">
        <v>46</v>
      </c>
      <c r="AC209" s="281" t="s">
        <v>365</v>
      </c>
      <c r="AG209" s="75"/>
      <c r="AJ209" s="79" t="s">
        <v>46</v>
      </c>
      <c r="AK209" s="79">
        <v>0</v>
      </c>
      <c r="BB209" s="282" t="s">
        <v>67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37.5" hidden="1" customHeight="1" x14ac:dyDescent="0.25">
      <c r="A210" s="60" t="s">
        <v>366</v>
      </c>
      <c r="B210" s="60" t="s">
        <v>367</v>
      </c>
      <c r="C210" s="34">
        <v>4301012370</v>
      </c>
      <c r="D210" s="652">
        <v>4680115886957</v>
      </c>
      <c r="E210" s="652"/>
      <c r="F210" s="59">
        <v>1.35</v>
      </c>
      <c r="G210" s="35">
        <v>8</v>
      </c>
      <c r="H210" s="59">
        <v>10.8</v>
      </c>
      <c r="I210" s="59">
        <v>11.29</v>
      </c>
      <c r="J210" s="35">
        <v>64</v>
      </c>
      <c r="K210" s="35" t="s">
        <v>127</v>
      </c>
      <c r="L210" s="35" t="s">
        <v>46</v>
      </c>
      <c r="M210" s="36" t="s">
        <v>90</v>
      </c>
      <c r="N210" s="36"/>
      <c r="O210" s="35">
        <v>35</v>
      </c>
      <c r="P210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4"/>
      <c r="R210" s="654"/>
      <c r="S210" s="654"/>
      <c r="T210" s="655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1"/>
        <v>0</v>
      </c>
      <c r="Z210" s="39" t="str">
        <f t="shared" si="22"/>
        <v/>
      </c>
      <c r="AA210" s="65" t="s">
        <v>46</v>
      </c>
      <c r="AB210" s="66" t="s">
        <v>46</v>
      </c>
      <c r="AC210" s="283" t="s">
        <v>368</v>
      </c>
      <c r="AG210" s="75"/>
      <c r="AJ210" s="79" t="s">
        <v>46</v>
      </c>
      <c r="AK210" s="79">
        <v>0</v>
      </c>
      <c r="BB210" s="284" t="s">
        <v>67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hidden="1" customHeight="1" x14ac:dyDescent="0.25">
      <c r="A211" s="60" t="s">
        <v>369</v>
      </c>
      <c r="B211" s="60" t="s">
        <v>370</v>
      </c>
      <c r="C211" s="34">
        <v>4301012098</v>
      </c>
      <c r="D211" s="652">
        <v>4680115885660</v>
      </c>
      <c r="E211" s="652"/>
      <c r="F211" s="59">
        <v>1.35</v>
      </c>
      <c r="G211" s="35">
        <v>8</v>
      </c>
      <c r="H211" s="59">
        <v>10.8</v>
      </c>
      <c r="I211" s="59">
        <v>11.21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4"/>
      <c r="R211" s="654"/>
      <c r="S211" s="654"/>
      <c r="T211" s="655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1"/>
        <v>0</v>
      </c>
      <c r="Z211" s="39" t="str">
        <f t="shared" si="22"/>
        <v/>
      </c>
      <c r="AA211" s="65" t="s">
        <v>46</v>
      </c>
      <c r="AB211" s="66" t="s">
        <v>46</v>
      </c>
      <c r="AC211" s="285" t="s">
        <v>371</v>
      </c>
      <c r="AG211" s="75"/>
      <c r="AJ211" s="79" t="s">
        <v>46</v>
      </c>
      <c r="AK211" s="79">
        <v>0</v>
      </c>
      <c r="BB211" s="286" t="s">
        <v>67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t="27" hidden="1" customHeight="1" x14ac:dyDescent="0.25">
      <c r="A212" s="60" t="s">
        <v>372</v>
      </c>
      <c r="B212" s="60" t="s">
        <v>373</v>
      </c>
      <c r="C212" s="34">
        <v>4301012369</v>
      </c>
      <c r="D212" s="652">
        <v>4680115886773</v>
      </c>
      <c r="E212" s="652"/>
      <c r="F212" s="59">
        <v>0.9</v>
      </c>
      <c r="G212" s="35">
        <v>10</v>
      </c>
      <c r="H212" s="59">
        <v>9</v>
      </c>
      <c r="I212" s="59">
        <v>9.51</v>
      </c>
      <c r="J212" s="35">
        <v>64</v>
      </c>
      <c r="K212" s="35" t="s">
        <v>127</v>
      </c>
      <c r="L212" s="35" t="s">
        <v>46</v>
      </c>
      <c r="M212" s="36" t="s">
        <v>90</v>
      </c>
      <c r="N212" s="36"/>
      <c r="O212" s="35">
        <v>35</v>
      </c>
      <c r="P212" s="83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4"/>
      <c r="R212" s="654"/>
      <c r="S212" s="654"/>
      <c r="T212" s="655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1"/>
        <v>0</v>
      </c>
      <c r="Z212" s="39" t="str">
        <f t="shared" si="22"/>
        <v/>
      </c>
      <c r="AA212" s="65" t="s">
        <v>46</v>
      </c>
      <c r="AB212" s="66" t="s">
        <v>46</v>
      </c>
      <c r="AC212" s="287" t="s">
        <v>374</v>
      </c>
      <c r="AG212" s="75"/>
      <c r="AJ212" s="79" t="s">
        <v>46</v>
      </c>
      <c r="AK212" s="79">
        <v>0</v>
      </c>
      <c r="BB212" s="288" t="s">
        <v>67</v>
      </c>
      <c r="BM212" s="75">
        <f t="shared" si="23"/>
        <v>0</v>
      </c>
      <c r="BN212" s="75">
        <f t="shared" si="24"/>
        <v>0</v>
      </c>
      <c r="BO212" s="75">
        <f t="shared" si="25"/>
        <v>0</v>
      </c>
      <c r="BP212" s="75">
        <f t="shared" si="26"/>
        <v>0</v>
      </c>
    </row>
    <row r="213" spans="1:68" hidden="1" x14ac:dyDescent="0.2">
      <c r="A213" s="646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47"/>
      <c r="P213" s="643" t="s">
        <v>40</v>
      </c>
      <c r="Q213" s="644"/>
      <c r="R213" s="644"/>
      <c r="S213" s="644"/>
      <c r="T213" s="644"/>
      <c r="U213" s="644"/>
      <c r="V213" s="645"/>
      <c r="W213" s="40" t="s">
        <v>39</v>
      </c>
      <c r="X213" s="41">
        <f>IFERROR(X206/H206,"0")+IFERROR(X207/H207,"0")+IFERROR(X208/H208,"0")+IFERROR(X209/H209,"0")+IFERROR(X210/H210,"0")+IFERROR(X211/H211,"0")+IFERROR(X212/H212,"0")</f>
        <v>0</v>
      </c>
      <c r="Y213" s="41">
        <f>IFERROR(Y206/H206,"0")+IFERROR(Y207/H207,"0")+IFERROR(Y208/H208,"0")+IFERROR(Y209/H209,"0")+IFERROR(Y210/H210,"0")+IFERROR(Y211/H211,"0")+IFERROR(Y212/H212,"0")</f>
        <v>0</v>
      </c>
      <c r="Z213" s="41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"/>
      <c r="AB213" s="64"/>
      <c r="AC213" s="64"/>
    </row>
    <row r="214" spans="1:68" hidden="1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47"/>
      <c r="P214" s="643" t="s">
        <v>40</v>
      </c>
      <c r="Q214" s="644"/>
      <c r="R214" s="644"/>
      <c r="S214" s="644"/>
      <c r="T214" s="644"/>
      <c r="U214" s="644"/>
      <c r="V214" s="645"/>
      <c r="W214" s="40" t="s">
        <v>0</v>
      </c>
      <c r="X214" s="41">
        <f>IFERROR(SUM(X206:X212),"0")</f>
        <v>0</v>
      </c>
      <c r="Y214" s="41">
        <f>IFERROR(SUM(Y206:Y212),"0")</f>
        <v>0</v>
      </c>
      <c r="Z214" s="40"/>
      <c r="AA214" s="64"/>
      <c r="AB214" s="64"/>
      <c r="AC214" s="64"/>
    </row>
    <row r="215" spans="1:68" ht="16.5" hidden="1" customHeight="1" x14ac:dyDescent="0.25">
      <c r="A215" s="656" t="s">
        <v>375</v>
      </c>
      <c r="B215" s="656"/>
      <c r="C215" s="656"/>
      <c r="D215" s="656"/>
      <c r="E215" s="656"/>
      <c r="F215" s="656"/>
      <c r="G215" s="656"/>
      <c r="H215" s="656"/>
      <c r="I215" s="656"/>
      <c r="J215" s="656"/>
      <c r="K215" s="656"/>
      <c r="L215" s="656"/>
      <c r="M215" s="656"/>
      <c r="N215" s="656"/>
      <c r="O215" s="656"/>
      <c r="P215" s="656"/>
      <c r="Q215" s="656"/>
      <c r="R215" s="656"/>
      <c r="S215" s="656"/>
      <c r="T215" s="656"/>
      <c r="U215" s="656"/>
      <c r="V215" s="656"/>
      <c r="W215" s="656"/>
      <c r="X215" s="656"/>
      <c r="Y215" s="656"/>
      <c r="Z215" s="656"/>
      <c r="AA215" s="62"/>
      <c r="AB215" s="62"/>
      <c r="AC215" s="62"/>
    </row>
    <row r="216" spans="1:68" ht="14.25" hidden="1" customHeight="1" x14ac:dyDescent="0.25">
      <c r="A216" s="657" t="s">
        <v>158</v>
      </c>
      <c r="B216" s="657"/>
      <c r="C216" s="657"/>
      <c r="D216" s="657"/>
      <c r="E216" s="657"/>
      <c r="F216" s="657"/>
      <c r="G216" s="657"/>
      <c r="H216" s="657"/>
      <c r="I216" s="657"/>
      <c r="J216" s="657"/>
      <c r="K216" s="657"/>
      <c r="L216" s="657"/>
      <c r="M216" s="657"/>
      <c r="N216" s="657"/>
      <c r="O216" s="657"/>
      <c r="P216" s="657"/>
      <c r="Q216" s="657"/>
      <c r="R216" s="657"/>
      <c r="S216" s="657"/>
      <c r="T216" s="657"/>
      <c r="U216" s="657"/>
      <c r="V216" s="657"/>
      <c r="W216" s="657"/>
      <c r="X216" s="657"/>
      <c r="Y216" s="657"/>
      <c r="Z216" s="657"/>
      <c r="AA216" s="63"/>
      <c r="AB216" s="63"/>
      <c r="AC216" s="63"/>
    </row>
    <row r="217" spans="1:68" ht="27" hidden="1" customHeight="1" x14ac:dyDescent="0.25">
      <c r="A217" s="60" t="s">
        <v>376</v>
      </c>
      <c r="B217" s="60" t="s">
        <v>377</v>
      </c>
      <c r="C217" s="34">
        <v>4301020323</v>
      </c>
      <c r="D217" s="652">
        <v>4680115886223</v>
      </c>
      <c r="E217" s="652"/>
      <c r="F217" s="59">
        <v>0.33</v>
      </c>
      <c r="G217" s="35">
        <v>6</v>
      </c>
      <c r="H217" s="59">
        <v>1.98</v>
      </c>
      <c r="I217" s="59">
        <v>2.08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4"/>
      <c r="R217" s="654"/>
      <c r="S217" s="654"/>
      <c r="T217" s="655"/>
      <c r="U217" s="37" t="s">
        <v>46</v>
      </c>
      <c r="V217" s="37" t="s">
        <v>46</v>
      </c>
      <c r="W217" s="38" t="s">
        <v>0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IFERROR(IF(Y217=0,"",ROUNDUP(Y217/H217,0)*0.00502),"")</f>
        <v/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hidden="1" x14ac:dyDescent="0.2">
      <c r="A218" s="646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47"/>
      <c r="P218" s="643" t="s">
        <v>40</v>
      </c>
      <c r="Q218" s="644"/>
      <c r="R218" s="644"/>
      <c r="S218" s="644"/>
      <c r="T218" s="644"/>
      <c r="U218" s="644"/>
      <c r="V218" s="645"/>
      <c r="W218" s="40" t="s">
        <v>39</v>
      </c>
      <c r="X218" s="41">
        <f>IFERROR(X217/H217,"0")</f>
        <v>0</v>
      </c>
      <c r="Y218" s="41">
        <f>IFERROR(Y217/H217,"0")</f>
        <v>0</v>
      </c>
      <c r="Z218" s="41">
        <f>IFERROR(IF(Z217="",0,Z217),"0")</f>
        <v>0</v>
      </c>
      <c r="AA218" s="64"/>
      <c r="AB218" s="64"/>
      <c r="AC218" s="64"/>
    </row>
    <row r="219" spans="1:68" hidden="1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47"/>
      <c r="P219" s="643" t="s">
        <v>40</v>
      </c>
      <c r="Q219" s="644"/>
      <c r="R219" s="644"/>
      <c r="S219" s="644"/>
      <c r="T219" s="644"/>
      <c r="U219" s="644"/>
      <c r="V219" s="645"/>
      <c r="W219" s="40" t="s">
        <v>0</v>
      </c>
      <c r="X219" s="41">
        <f>IFERROR(SUM(X217:X217),"0")</f>
        <v>0</v>
      </c>
      <c r="Y219" s="41">
        <f>IFERROR(SUM(Y217:Y217),"0")</f>
        <v>0</v>
      </c>
      <c r="Z219" s="40"/>
      <c r="AA219" s="64"/>
      <c r="AB219" s="64"/>
      <c r="AC219" s="64"/>
    </row>
    <row r="220" spans="1:68" ht="14.25" hidden="1" customHeight="1" x14ac:dyDescent="0.25">
      <c r="A220" s="657" t="s">
        <v>77</v>
      </c>
      <c r="B220" s="657"/>
      <c r="C220" s="657"/>
      <c r="D220" s="657"/>
      <c r="E220" s="657"/>
      <c r="F220" s="657"/>
      <c r="G220" s="657"/>
      <c r="H220" s="657"/>
      <c r="I220" s="657"/>
      <c r="J220" s="657"/>
      <c r="K220" s="657"/>
      <c r="L220" s="657"/>
      <c r="M220" s="657"/>
      <c r="N220" s="657"/>
      <c r="O220" s="657"/>
      <c r="P220" s="657"/>
      <c r="Q220" s="657"/>
      <c r="R220" s="657"/>
      <c r="S220" s="657"/>
      <c r="T220" s="657"/>
      <c r="U220" s="657"/>
      <c r="V220" s="657"/>
      <c r="W220" s="657"/>
      <c r="X220" s="657"/>
      <c r="Y220" s="657"/>
      <c r="Z220" s="657"/>
      <c r="AA220" s="63"/>
      <c r="AB220" s="63"/>
      <c r="AC220" s="63"/>
    </row>
    <row r="221" spans="1:68" ht="27" hidden="1" customHeight="1" x14ac:dyDescent="0.25">
      <c r="A221" s="60" t="s">
        <v>379</v>
      </c>
      <c r="B221" s="60" t="s">
        <v>380</v>
      </c>
      <c r="C221" s="34">
        <v>4301031191</v>
      </c>
      <c r="D221" s="652">
        <v>4680115880993</v>
      </c>
      <c r="E221" s="652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134</v>
      </c>
      <c r="L221" s="35" t="s">
        <v>46</v>
      </c>
      <c r="M221" s="36" t="s">
        <v>81</v>
      </c>
      <c r="N221" s="36"/>
      <c r="O221" s="35">
        <v>40</v>
      </c>
      <c r="P221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4"/>
      <c r="R221" s="654"/>
      <c r="S221" s="654"/>
      <c r="T221" s="655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ref="Y221:Y234" si="27">IFERROR(IF(X221="",0,CEILING((X221/$H221),1)*$H221),"")</f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91" t="s">
        <v>381</v>
      </c>
      <c r="AG221" s="75"/>
      <c r="AJ221" s="79" t="s">
        <v>46</v>
      </c>
      <c r="AK221" s="79">
        <v>0</v>
      </c>
      <c r="BB221" s="292" t="s">
        <v>67</v>
      </c>
      <c r="BM221" s="75">
        <f t="shared" ref="BM221:BM234" si="28">IFERROR(X221*I221/H221,"0")</f>
        <v>0</v>
      </c>
      <c r="BN221" s="75">
        <f t="shared" ref="BN221:BN234" si="29">IFERROR(Y221*I221/H221,"0")</f>
        <v>0</v>
      </c>
      <c r="BO221" s="75">
        <f t="shared" ref="BO221:BO234" si="30">IFERROR(1/J221*(X221/H221),"0")</f>
        <v>0</v>
      </c>
      <c r="BP221" s="75">
        <f t="shared" ref="BP221:BP234" si="31">IFERROR(1/J221*(Y221/H221),"0")</f>
        <v>0</v>
      </c>
    </row>
    <row r="222" spans="1:68" ht="27" hidden="1" customHeight="1" x14ac:dyDescent="0.25">
      <c r="A222" s="60" t="s">
        <v>382</v>
      </c>
      <c r="B222" s="60" t="s">
        <v>383</v>
      </c>
      <c r="C222" s="34">
        <v>4301031204</v>
      </c>
      <c r="D222" s="652">
        <v>4680115881761</v>
      </c>
      <c r="E222" s="652"/>
      <c r="F222" s="59">
        <v>0.7</v>
      </c>
      <c r="G222" s="35">
        <v>6</v>
      </c>
      <c r="H222" s="59">
        <v>4.2</v>
      </c>
      <c r="I222" s="59">
        <v>4.45</v>
      </c>
      <c r="J222" s="35">
        <v>132</v>
      </c>
      <c r="K222" s="35" t="s">
        <v>134</v>
      </c>
      <c r="L222" s="35" t="s">
        <v>46</v>
      </c>
      <c r="M222" s="36" t="s">
        <v>81</v>
      </c>
      <c r="N222" s="36"/>
      <c r="O222" s="35">
        <v>40</v>
      </c>
      <c r="P222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4"/>
      <c r="R222" s="654"/>
      <c r="S222" s="654"/>
      <c r="T222" s="655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>IFERROR(IF(Y222=0,"",ROUNDUP(Y222/H222,0)*0.00902),"")</f>
        <v/>
      </c>
      <c r="AA222" s="65" t="s">
        <v>46</v>
      </c>
      <c r="AB222" s="66" t="s">
        <v>46</v>
      </c>
      <c r="AC222" s="293" t="s">
        <v>384</v>
      </c>
      <c r="AG222" s="75"/>
      <c r="AJ222" s="79" t="s">
        <v>46</v>
      </c>
      <c r="AK222" s="79">
        <v>0</v>
      </c>
      <c r="BB222" s="294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385</v>
      </c>
      <c r="B223" s="60" t="s">
        <v>386</v>
      </c>
      <c r="C223" s="34">
        <v>4301031201</v>
      </c>
      <c r="D223" s="652">
        <v>4680115881563</v>
      </c>
      <c r="E223" s="652"/>
      <c r="F223" s="59">
        <v>0.7</v>
      </c>
      <c r="G223" s="35">
        <v>6</v>
      </c>
      <c r="H223" s="59">
        <v>4.2</v>
      </c>
      <c r="I223" s="59">
        <v>4.3899999999999997</v>
      </c>
      <c r="J223" s="35">
        <v>132</v>
      </c>
      <c r="K223" s="35" t="s">
        <v>134</v>
      </c>
      <c r="L223" s="35" t="s">
        <v>46</v>
      </c>
      <c r="M223" s="36" t="s">
        <v>81</v>
      </c>
      <c r="N223" s="36"/>
      <c r="O223" s="35">
        <v>40</v>
      </c>
      <c r="P223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4"/>
      <c r="R223" s="654"/>
      <c r="S223" s="654"/>
      <c r="T223" s="655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95" t="s">
        <v>387</v>
      </c>
      <c r="AG223" s="75"/>
      <c r="AJ223" s="79" t="s">
        <v>46</v>
      </c>
      <c r="AK223" s="79">
        <v>0</v>
      </c>
      <c r="BB223" s="296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37.5" customHeight="1" x14ac:dyDescent="0.25">
      <c r="A224" s="60" t="s">
        <v>388</v>
      </c>
      <c r="B224" s="60" t="s">
        <v>389</v>
      </c>
      <c r="C224" s="34">
        <v>4301031447</v>
      </c>
      <c r="D224" s="652">
        <v>4680115887565</v>
      </c>
      <c r="E224" s="652"/>
      <c r="F224" s="59">
        <v>0.08</v>
      </c>
      <c r="G224" s="35">
        <v>10</v>
      </c>
      <c r="H224" s="59">
        <v>0.8</v>
      </c>
      <c r="I224" s="59">
        <v>0.93</v>
      </c>
      <c r="J224" s="35">
        <v>252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4"/>
      <c r="R224" s="654"/>
      <c r="S224" s="654"/>
      <c r="T224" s="655"/>
      <c r="U224" s="37" t="s">
        <v>46</v>
      </c>
      <c r="V224" s="37" t="s">
        <v>46</v>
      </c>
      <c r="W224" s="38" t="s">
        <v>0</v>
      </c>
      <c r="X224" s="56">
        <v>7.2</v>
      </c>
      <c r="Y224" s="53">
        <f t="shared" si="27"/>
        <v>7.2</v>
      </c>
      <c r="Z224" s="39">
        <f>IFERROR(IF(Y224=0,"",ROUNDUP(Y224/H224,0)*0.00556),"")</f>
        <v>5.0040000000000001E-2</v>
      </c>
      <c r="AA224" s="65" t="s">
        <v>46</v>
      </c>
      <c r="AB224" s="66" t="s">
        <v>46</v>
      </c>
      <c r="AC224" s="297" t="s">
        <v>390</v>
      </c>
      <c r="AG224" s="75"/>
      <c r="AJ224" s="79" t="s">
        <v>46</v>
      </c>
      <c r="AK224" s="79">
        <v>0</v>
      </c>
      <c r="BB224" s="298" t="s">
        <v>67</v>
      </c>
      <c r="BM224" s="75">
        <f t="shared" si="28"/>
        <v>8.370000000000001</v>
      </c>
      <c r="BN224" s="75">
        <f t="shared" si="29"/>
        <v>8.370000000000001</v>
      </c>
      <c r="BO224" s="75">
        <f t="shared" si="30"/>
        <v>3.5714285714285712E-2</v>
      </c>
      <c r="BP224" s="75">
        <f t="shared" si="31"/>
        <v>3.5714285714285712E-2</v>
      </c>
    </row>
    <row r="225" spans="1:68" ht="27" hidden="1" customHeight="1" x14ac:dyDescent="0.25">
      <c r="A225" s="60" t="s">
        <v>391</v>
      </c>
      <c r="B225" s="60" t="s">
        <v>392</v>
      </c>
      <c r="C225" s="34">
        <v>4301031199</v>
      </c>
      <c r="D225" s="652">
        <v>4680115880986</v>
      </c>
      <c r="E225" s="652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40</v>
      </c>
      <c r="P225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4"/>
      <c r="R225" s="654"/>
      <c r="S225" s="654"/>
      <c r="T225" s="655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 t="shared" ref="Z225:Z230" si="32">IFERROR(IF(Y225=0,"",ROUNDUP(Y225/H225,0)*0.00502),"")</f>
        <v/>
      </c>
      <c r="AA225" s="65" t="s">
        <v>46</v>
      </c>
      <c r="AB225" s="66" t="s">
        <v>46</v>
      </c>
      <c r="AC225" s="299" t="s">
        <v>381</v>
      </c>
      <c r="AG225" s="75"/>
      <c r="AJ225" s="79" t="s">
        <v>46</v>
      </c>
      <c r="AK225" s="79">
        <v>0</v>
      </c>
      <c r="BB225" s="300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hidden="1" customHeight="1" x14ac:dyDescent="0.25">
      <c r="A226" s="60" t="s">
        <v>393</v>
      </c>
      <c r="B226" s="60" t="s">
        <v>394</v>
      </c>
      <c r="C226" s="34">
        <v>4301031443</v>
      </c>
      <c r="D226" s="652">
        <v>4680115887213</v>
      </c>
      <c r="E226" s="652"/>
      <c r="F226" s="59">
        <v>0.3</v>
      </c>
      <c r="G226" s="35">
        <v>6</v>
      </c>
      <c r="H226" s="59">
        <v>1.8</v>
      </c>
      <c r="I226" s="59">
        <v>1.9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4"/>
      <c r="R226" s="654"/>
      <c r="S226" s="654"/>
      <c r="T226" s="655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 t="shared" si="32"/>
        <v/>
      </c>
      <c r="AA226" s="65" t="s">
        <v>46</v>
      </c>
      <c r="AB226" s="66" t="s">
        <v>46</v>
      </c>
      <c r="AC226" s="301" t="s">
        <v>395</v>
      </c>
      <c r="AG226" s="75"/>
      <c r="AJ226" s="79" t="s">
        <v>46</v>
      </c>
      <c r="AK226" s="79">
        <v>0</v>
      </c>
      <c r="BB226" s="302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396</v>
      </c>
      <c r="B227" s="60" t="s">
        <v>397</v>
      </c>
      <c r="C227" s="34">
        <v>4301031205</v>
      </c>
      <c r="D227" s="652">
        <v>4680115881785</v>
      </c>
      <c r="E227" s="652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4"/>
      <c r="R227" s="654"/>
      <c r="S227" s="654"/>
      <c r="T227" s="655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 t="shared" si="32"/>
        <v/>
      </c>
      <c r="AA227" s="65" t="s">
        <v>46</v>
      </c>
      <c r="AB227" s="66" t="s">
        <v>46</v>
      </c>
      <c r="AC227" s="303" t="s">
        <v>384</v>
      </c>
      <c r="AG227" s="75"/>
      <c r="AJ227" s="79" t="s">
        <v>46</v>
      </c>
      <c r="AK227" s="79">
        <v>0</v>
      </c>
      <c r="BB227" s="304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4301031499</v>
      </c>
      <c r="D228" s="652">
        <v>4680115888432</v>
      </c>
      <c r="E228" s="652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4"/>
      <c r="R228" s="654"/>
      <c r="S228" s="654"/>
      <c r="T228" s="655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 t="shared" si="32"/>
        <v/>
      </c>
      <c r="AA228" s="65" t="s">
        <v>46</v>
      </c>
      <c r="AB228" s="66" t="s">
        <v>46</v>
      </c>
      <c r="AC228" s="305" t="s">
        <v>400</v>
      </c>
      <c r="AG228" s="75"/>
      <c r="AJ228" s="79" t="s">
        <v>46</v>
      </c>
      <c r="AK228" s="79">
        <v>0</v>
      </c>
      <c r="BB228" s="306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401</v>
      </c>
      <c r="B229" s="60" t="s">
        <v>402</v>
      </c>
      <c r="C229" s="34">
        <v>4301031427</v>
      </c>
      <c r="D229" s="652">
        <v>4680115888104</v>
      </c>
      <c r="E229" s="652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1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4"/>
      <c r="R229" s="654"/>
      <c r="S229" s="654"/>
      <c r="T229" s="655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 t="shared" si="32"/>
        <v/>
      </c>
      <c r="AA229" s="65" t="s">
        <v>46</v>
      </c>
      <c r="AB229" s="66" t="s">
        <v>46</v>
      </c>
      <c r="AC229" s="307" t="s">
        <v>403</v>
      </c>
      <c r="AG229" s="75"/>
      <c r="AJ229" s="79" t="s">
        <v>46</v>
      </c>
      <c r="AK229" s="79">
        <v>0</v>
      </c>
      <c r="BB229" s="308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404</v>
      </c>
      <c r="B230" s="60" t="s">
        <v>405</v>
      </c>
      <c r="C230" s="34">
        <v>4301031399</v>
      </c>
      <c r="D230" s="652">
        <v>4680115886537</v>
      </c>
      <c r="E230" s="652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40</v>
      </c>
      <c r="P230" s="82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4"/>
      <c r="R230" s="654"/>
      <c r="S230" s="654"/>
      <c r="T230" s="655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7"/>
        <v>0</v>
      </c>
      <c r="Z230" s="39" t="str">
        <f t="shared" si="32"/>
        <v/>
      </c>
      <c r="AA230" s="65" t="s">
        <v>46</v>
      </c>
      <c r="AB230" s="66" t="s">
        <v>46</v>
      </c>
      <c r="AC230" s="309" t="s">
        <v>406</v>
      </c>
      <c r="AG230" s="75"/>
      <c r="AJ230" s="79" t="s">
        <v>46</v>
      </c>
      <c r="AK230" s="79">
        <v>0</v>
      </c>
      <c r="BB230" s="310" t="s">
        <v>67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27" customHeight="1" x14ac:dyDescent="0.25">
      <c r="A231" s="60" t="s">
        <v>407</v>
      </c>
      <c r="B231" s="60" t="s">
        <v>408</v>
      </c>
      <c r="C231" s="34">
        <v>4301031279</v>
      </c>
      <c r="D231" s="652">
        <v>4680115887596</v>
      </c>
      <c r="E231" s="652"/>
      <c r="F231" s="59">
        <v>0.08</v>
      </c>
      <c r="G231" s="35">
        <v>10</v>
      </c>
      <c r="H231" s="59">
        <v>0.8</v>
      </c>
      <c r="I231" s="59">
        <v>1.01</v>
      </c>
      <c r="J231" s="35">
        <v>336</v>
      </c>
      <c r="K231" s="35" t="s">
        <v>131</v>
      </c>
      <c r="L231" s="35" t="s">
        <v>46</v>
      </c>
      <c r="M231" s="36" t="s">
        <v>81</v>
      </c>
      <c r="N231" s="36"/>
      <c r="O231" s="35">
        <v>45</v>
      </c>
      <c r="P231" s="82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4"/>
      <c r="R231" s="654"/>
      <c r="S231" s="654"/>
      <c r="T231" s="655"/>
      <c r="U231" s="37" t="s">
        <v>46</v>
      </c>
      <c r="V231" s="37" t="s">
        <v>46</v>
      </c>
      <c r="W231" s="38" t="s">
        <v>0</v>
      </c>
      <c r="X231" s="56">
        <v>11.12</v>
      </c>
      <c r="Y231" s="53">
        <f t="shared" si="27"/>
        <v>11.200000000000001</v>
      </c>
      <c r="Z231" s="39">
        <f>IFERROR(IF(Y231=0,"",ROUNDUP(Y231/H231,0)*0.00417),"")</f>
        <v>5.8380000000000001E-2</v>
      </c>
      <c r="AA231" s="65" t="s">
        <v>46</v>
      </c>
      <c r="AB231" s="66" t="s">
        <v>46</v>
      </c>
      <c r="AC231" s="311" t="s">
        <v>409</v>
      </c>
      <c r="AG231" s="75"/>
      <c r="AJ231" s="79" t="s">
        <v>46</v>
      </c>
      <c r="AK231" s="79">
        <v>0</v>
      </c>
      <c r="BB231" s="312" t="s">
        <v>67</v>
      </c>
      <c r="BM231" s="75">
        <f t="shared" si="28"/>
        <v>14.038999999999998</v>
      </c>
      <c r="BN231" s="75">
        <f t="shared" si="29"/>
        <v>14.14</v>
      </c>
      <c r="BO231" s="75">
        <f t="shared" si="30"/>
        <v>4.1369047619047611E-2</v>
      </c>
      <c r="BP231" s="75">
        <f t="shared" si="31"/>
        <v>4.1666666666666664E-2</v>
      </c>
    </row>
    <row r="232" spans="1:68" ht="37.5" hidden="1" customHeight="1" x14ac:dyDescent="0.25">
      <c r="A232" s="60" t="s">
        <v>410</v>
      </c>
      <c r="B232" s="60" t="s">
        <v>411</v>
      </c>
      <c r="C232" s="34">
        <v>4301031202</v>
      </c>
      <c r="D232" s="652">
        <v>4680115881679</v>
      </c>
      <c r="E232" s="652"/>
      <c r="F232" s="59">
        <v>0.35</v>
      </c>
      <c r="G232" s="35">
        <v>6</v>
      </c>
      <c r="H232" s="59">
        <v>2.1</v>
      </c>
      <c r="I232" s="59">
        <v>2.2000000000000002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2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4"/>
      <c r="R232" s="654"/>
      <c r="S232" s="654"/>
      <c r="T232" s="655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7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387</v>
      </c>
      <c r="AG232" s="75"/>
      <c r="AJ232" s="79" t="s">
        <v>46</v>
      </c>
      <c r="AK232" s="79">
        <v>0</v>
      </c>
      <c r="BB232" s="314" t="s">
        <v>67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hidden="1" customHeight="1" x14ac:dyDescent="0.25">
      <c r="A233" s="60" t="s">
        <v>412</v>
      </c>
      <c r="B233" s="60" t="s">
        <v>413</v>
      </c>
      <c r="C233" s="34">
        <v>4301031158</v>
      </c>
      <c r="D233" s="652">
        <v>4680115880191</v>
      </c>
      <c r="E233" s="652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91</v>
      </c>
      <c r="L233" s="35" t="s">
        <v>46</v>
      </c>
      <c r="M233" s="36" t="s">
        <v>81</v>
      </c>
      <c r="N233" s="36"/>
      <c r="O233" s="35">
        <v>40</v>
      </c>
      <c r="P233" s="82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4"/>
      <c r="R233" s="654"/>
      <c r="S233" s="654"/>
      <c r="T233" s="655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 t="s">
        <v>46</v>
      </c>
      <c r="AB233" s="66" t="s">
        <v>46</v>
      </c>
      <c r="AC233" s="315" t="s">
        <v>387</v>
      </c>
      <c r="AG233" s="75"/>
      <c r="AJ233" s="79" t="s">
        <v>46</v>
      </c>
      <c r="AK233" s="79">
        <v>0</v>
      </c>
      <c r="BB233" s="316" t="s">
        <v>67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414</v>
      </c>
      <c r="B234" s="60" t="s">
        <v>415</v>
      </c>
      <c r="C234" s="34">
        <v>4301031245</v>
      </c>
      <c r="D234" s="652">
        <v>4680115883963</v>
      </c>
      <c r="E234" s="652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4"/>
      <c r="R234" s="654"/>
      <c r="S234" s="654"/>
      <c r="T234" s="655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7" t="s">
        <v>416</v>
      </c>
      <c r="AG234" s="75"/>
      <c r="AJ234" s="79" t="s">
        <v>46</v>
      </c>
      <c r="AK234" s="79">
        <v>0</v>
      </c>
      <c r="BB234" s="318" t="s">
        <v>67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x14ac:dyDescent="0.2">
      <c r="A235" s="646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47"/>
      <c r="P235" s="643" t="s">
        <v>40</v>
      </c>
      <c r="Q235" s="644"/>
      <c r="R235" s="644"/>
      <c r="S235" s="644"/>
      <c r="T235" s="644"/>
      <c r="U235" s="644"/>
      <c r="V235" s="645"/>
      <c r="W235" s="40" t="s">
        <v>39</v>
      </c>
      <c r="X235" s="41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22.9</v>
      </c>
      <c r="Y235" s="41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23</v>
      </c>
      <c r="Z235" s="41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0.10842</v>
      </c>
      <c r="AA235" s="64"/>
      <c r="AB235" s="64"/>
      <c r="AC235" s="64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47"/>
      <c r="P236" s="643" t="s">
        <v>40</v>
      </c>
      <c r="Q236" s="644"/>
      <c r="R236" s="644"/>
      <c r="S236" s="644"/>
      <c r="T236" s="644"/>
      <c r="U236" s="644"/>
      <c r="V236" s="645"/>
      <c r="W236" s="40" t="s">
        <v>0</v>
      </c>
      <c r="X236" s="41">
        <f>IFERROR(SUM(X221:X234),"0")</f>
        <v>18.32</v>
      </c>
      <c r="Y236" s="41">
        <f>IFERROR(SUM(Y221:Y234),"0")</f>
        <v>18.400000000000002</v>
      </c>
      <c r="Z236" s="40"/>
      <c r="AA236" s="64"/>
      <c r="AB236" s="64"/>
      <c r="AC236" s="64"/>
    </row>
    <row r="237" spans="1:68" ht="14.25" hidden="1" customHeight="1" x14ac:dyDescent="0.25">
      <c r="A237" s="657" t="s">
        <v>86</v>
      </c>
      <c r="B237" s="657"/>
      <c r="C237" s="657"/>
      <c r="D237" s="657"/>
      <c r="E237" s="657"/>
      <c r="F237" s="657"/>
      <c r="G237" s="657"/>
      <c r="H237" s="657"/>
      <c r="I237" s="657"/>
      <c r="J237" s="657"/>
      <c r="K237" s="657"/>
      <c r="L237" s="657"/>
      <c r="M237" s="657"/>
      <c r="N237" s="657"/>
      <c r="O237" s="657"/>
      <c r="P237" s="657"/>
      <c r="Q237" s="657"/>
      <c r="R237" s="657"/>
      <c r="S237" s="657"/>
      <c r="T237" s="657"/>
      <c r="U237" s="657"/>
      <c r="V237" s="657"/>
      <c r="W237" s="657"/>
      <c r="X237" s="657"/>
      <c r="Y237" s="657"/>
      <c r="Z237" s="657"/>
      <c r="AA237" s="63"/>
      <c r="AB237" s="63"/>
      <c r="AC237" s="63"/>
    </row>
    <row r="238" spans="1:68" ht="16.5" hidden="1" customHeight="1" x14ac:dyDescent="0.25">
      <c r="A238" s="60" t="s">
        <v>417</v>
      </c>
      <c r="B238" s="60" t="s">
        <v>418</v>
      </c>
      <c r="C238" s="34">
        <v>4301052209</v>
      </c>
      <c r="D238" s="652">
        <v>4680115888692</v>
      </c>
      <c r="E238" s="652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127</v>
      </c>
      <c r="L238" s="35" t="s">
        <v>46</v>
      </c>
      <c r="M238" s="36" t="s">
        <v>97</v>
      </c>
      <c r="N238" s="36"/>
      <c r="O238" s="35">
        <v>35</v>
      </c>
      <c r="P238" s="81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4"/>
      <c r="R238" s="654"/>
      <c r="S238" s="654"/>
      <c r="T238" s="655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419</v>
      </c>
      <c r="AG238" s="75"/>
      <c r="AJ238" s="79" t="s">
        <v>46</v>
      </c>
      <c r="AK238" s="79">
        <v>0</v>
      </c>
      <c r="BB238" s="320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4301052213</v>
      </c>
      <c r="D239" s="652">
        <v>4680115888722</v>
      </c>
      <c r="E239" s="652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35</v>
      </c>
      <c r="P239" s="8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4"/>
      <c r="R239" s="654"/>
      <c r="S239" s="654"/>
      <c r="T239" s="655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422</v>
      </c>
      <c r="AG239" s="75"/>
      <c r="AJ239" s="79" t="s">
        <v>46</v>
      </c>
      <c r="AK239" s="79">
        <v>0</v>
      </c>
      <c r="BB239" s="322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423</v>
      </c>
      <c r="B240" s="60" t="s">
        <v>424</v>
      </c>
      <c r="C240" s="34">
        <v>4301052177</v>
      </c>
      <c r="D240" s="652">
        <v>4680115888951</v>
      </c>
      <c r="E240" s="652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1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4"/>
      <c r="R240" s="654"/>
      <c r="S240" s="654"/>
      <c r="T240" s="655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425</v>
      </c>
      <c r="AG240" s="75"/>
      <c r="AJ240" s="79" t="s">
        <v>46</v>
      </c>
      <c r="AK240" s="79">
        <v>0</v>
      </c>
      <c r="BB240" s="324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426</v>
      </c>
      <c r="B241" s="60" t="s">
        <v>427</v>
      </c>
      <c r="C241" s="34">
        <v>4301052178</v>
      </c>
      <c r="D241" s="652">
        <v>4680115888975</v>
      </c>
      <c r="E241" s="652"/>
      <c r="F241" s="59">
        <v>0.32</v>
      </c>
      <c r="G241" s="35">
        <v>6</v>
      </c>
      <c r="H241" s="59">
        <v>1.92</v>
      </c>
      <c r="I241" s="59">
        <v>2.1819999999999999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35</v>
      </c>
      <c r="P241" s="81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4"/>
      <c r="R241" s="654"/>
      <c r="S241" s="654"/>
      <c r="T241" s="655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428</v>
      </c>
      <c r="AG241" s="75"/>
      <c r="AJ241" s="79" t="s">
        <v>46</v>
      </c>
      <c r="AK241" s="79">
        <v>0</v>
      </c>
      <c r="BB241" s="32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429</v>
      </c>
      <c r="B242" s="60" t="s">
        <v>430</v>
      </c>
      <c r="C242" s="34">
        <v>4301052176</v>
      </c>
      <c r="D242" s="652">
        <v>4680115888982</v>
      </c>
      <c r="E242" s="652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134</v>
      </c>
      <c r="L242" s="35" t="s">
        <v>46</v>
      </c>
      <c r="M242" s="36" t="s">
        <v>97</v>
      </c>
      <c r="N242" s="36"/>
      <c r="O242" s="35">
        <v>35</v>
      </c>
      <c r="P242" s="81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4"/>
      <c r="R242" s="654"/>
      <c r="S242" s="654"/>
      <c r="T242" s="655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422</v>
      </c>
      <c r="AG242" s="75"/>
      <c r="AJ242" s="79" t="s">
        <v>46</v>
      </c>
      <c r="AK242" s="79">
        <v>0</v>
      </c>
      <c r="BB242" s="32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46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47"/>
      <c r="P243" s="643" t="s">
        <v>40</v>
      </c>
      <c r="Q243" s="644"/>
      <c r="R243" s="644"/>
      <c r="S243" s="644"/>
      <c r="T243" s="644"/>
      <c r="U243" s="644"/>
      <c r="V243" s="645"/>
      <c r="W243" s="40" t="s">
        <v>39</v>
      </c>
      <c r="X243" s="41">
        <f>IFERROR(X238/H238,"0")+IFERROR(X239/H239,"0")+IFERROR(X240/H240,"0")+IFERROR(X241/H241,"0")+IFERROR(X242/H242,"0")</f>
        <v>0</v>
      </c>
      <c r="Y243" s="41">
        <f>IFERROR(Y238/H238,"0")+IFERROR(Y239/H239,"0")+IFERROR(Y240/H240,"0")+IFERROR(Y241/H241,"0")+IFERROR(Y242/H242,"0")</f>
        <v>0</v>
      </c>
      <c r="Z243" s="41">
        <f>IFERROR(IF(Z238="",0,Z238),"0")+IFERROR(IF(Z239="",0,Z239),"0")+IFERROR(IF(Z240="",0,Z240),"0")+IFERROR(IF(Z241="",0,Z241),"0")+IFERROR(IF(Z242="",0,Z242),"0")</f>
        <v>0</v>
      </c>
      <c r="AA243" s="64"/>
      <c r="AB243" s="64"/>
      <c r="AC243" s="64"/>
    </row>
    <row r="244" spans="1:68" hidden="1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47"/>
      <c r="P244" s="643" t="s">
        <v>40</v>
      </c>
      <c r="Q244" s="644"/>
      <c r="R244" s="644"/>
      <c r="S244" s="644"/>
      <c r="T244" s="644"/>
      <c r="U244" s="644"/>
      <c r="V244" s="645"/>
      <c r="W244" s="40" t="s">
        <v>0</v>
      </c>
      <c r="X244" s="41">
        <f>IFERROR(SUM(X238:X242),"0")</f>
        <v>0</v>
      </c>
      <c r="Y244" s="41">
        <f>IFERROR(SUM(Y238:Y242),"0")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57" t="s">
        <v>283</v>
      </c>
      <c r="B245" s="657"/>
      <c r="C245" s="657"/>
      <c r="D245" s="657"/>
      <c r="E245" s="657"/>
      <c r="F245" s="657"/>
      <c r="G245" s="657"/>
      <c r="H245" s="657"/>
      <c r="I245" s="657"/>
      <c r="J245" s="657"/>
      <c r="K245" s="657"/>
      <c r="L245" s="657"/>
      <c r="M245" s="657"/>
      <c r="N245" s="657"/>
      <c r="O245" s="657"/>
      <c r="P245" s="657"/>
      <c r="Q245" s="657"/>
      <c r="R245" s="657"/>
      <c r="S245" s="657"/>
      <c r="T245" s="657"/>
      <c r="U245" s="657"/>
      <c r="V245" s="657"/>
      <c r="W245" s="657"/>
      <c r="X245" s="657"/>
      <c r="Y245" s="657"/>
      <c r="Z245" s="657"/>
      <c r="AA245" s="63"/>
      <c r="AB245" s="63"/>
      <c r="AC245" s="63"/>
    </row>
    <row r="246" spans="1:68" ht="27" hidden="1" customHeight="1" x14ac:dyDescent="0.25">
      <c r="A246" s="60" t="s">
        <v>431</v>
      </c>
      <c r="B246" s="60" t="s">
        <v>432</v>
      </c>
      <c r="C246" s="34">
        <v>4301032053</v>
      </c>
      <c r="D246" s="652">
        <v>4680115886780</v>
      </c>
      <c r="E246" s="652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345</v>
      </c>
      <c r="L246" s="35" t="s">
        <v>46</v>
      </c>
      <c r="M246" s="36" t="s">
        <v>288</v>
      </c>
      <c r="N246" s="36"/>
      <c r="O246" s="35">
        <v>60</v>
      </c>
      <c r="P246" s="81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4"/>
      <c r="R246" s="654"/>
      <c r="S246" s="654"/>
      <c r="T246" s="655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29" t="s">
        <v>433</v>
      </c>
      <c r="AG246" s="75"/>
      <c r="AJ246" s="79" t="s">
        <v>46</v>
      </c>
      <c r="AK246" s="79">
        <v>0</v>
      </c>
      <c r="BB246" s="33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434</v>
      </c>
      <c r="B247" s="60" t="s">
        <v>435</v>
      </c>
      <c r="C247" s="34">
        <v>4301032051</v>
      </c>
      <c r="D247" s="652">
        <v>4680115886742</v>
      </c>
      <c r="E247" s="652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345</v>
      </c>
      <c r="L247" s="35" t="s">
        <v>46</v>
      </c>
      <c r="M247" s="36" t="s">
        <v>288</v>
      </c>
      <c r="N247" s="36"/>
      <c r="O247" s="35">
        <v>90</v>
      </c>
      <c r="P247" s="8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4"/>
      <c r="R247" s="654"/>
      <c r="S247" s="654"/>
      <c r="T247" s="655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1" t="s">
        <v>436</v>
      </c>
      <c r="AG247" s="75"/>
      <c r="AJ247" s="79" t="s">
        <v>46</v>
      </c>
      <c r="AK247" s="79">
        <v>0</v>
      </c>
      <c r="BB247" s="33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hidden="1" customHeight="1" x14ac:dyDescent="0.25">
      <c r="A248" s="60" t="s">
        <v>437</v>
      </c>
      <c r="B248" s="60" t="s">
        <v>438</v>
      </c>
      <c r="C248" s="34">
        <v>4301032052</v>
      </c>
      <c r="D248" s="652">
        <v>4680115886766</v>
      </c>
      <c r="E248" s="652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345</v>
      </c>
      <c r="L248" s="35" t="s">
        <v>46</v>
      </c>
      <c r="M248" s="36" t="s">
        <v>288</v>
      </c>
      <c r="N248" s="36"/>
      <c r="O248" s="35">
        <v>90</v>
      </c>
      <c r="P248" s="8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4"/>
      <c r="R248" s="654"/>
      <c r="S248" s="654"/>
      <c r="T248" s="655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436</v>
      </c>
      <c r="AG248" s="75"/>
      <c r="AJ248" s="79" t="s">
        <v>46</v>
      </c>
      <c r="AK248" s="79">
        <v>0</v>
      </c>
      <c r="BB248" s="334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idden="1" x14ac:dyDescent="0.2">
      <c r="A249" s="646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47"/>
      <c r="P249" s="643" t="s">
        <v>40</v>
      </c>
      <c r="Q249" s="644"/>
      <c r="R249" s="644"/>
      <c r="S249" s="644"/>
      <c r="T249" s="644"/>
      <c r="U249" s="644"/>
      <c r="V249" s="645"/>
      <c r="W249" s="40" t="s">
        <v>39</v>
      </c>
      <c r="X249" s="41">
        <f>IFERROR(X246/H246,"0")+IFERROR(X247/H247,"0")+IFERROR(X248/H248,"0")</f>
        <v>0</v>
      </c>
      <c r="Y249" s="41">
        <f>IFERROR(Y246/H246,"0")+IFERROR(Y247/H247,"0")+IFERROR(Y248/H248,"0")</f>
        <v>0</v>
      </c>
      <c r="Z249" s="41">
        <f>IFERROR(IF(Z246="",0,Z246),"0")+IFERROR(IF(Z247="",0,Z247),"0")+IFERROR(IF(Z248="",0,Z248),"0")</f>
        <v>0</v>
      </c>
      <c r="AA249" s="64"/>
      <c r="AB249" s="64"/>
      <c r="AC249" s="64"/>
    </row>
    <row r="250" spans="1:68" hidden="1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47"/>
      <c r="P250" s="643" t="s">
        <v>40</v>
      </c>
      <c r="Q250" s="644"/>
      <c r="R250" s="644"/>
      <c r="S250" s="644"/>
      <c r="T250" s="644"/>
      <c r="U250" s="644"/>
      <c r="V250" s="645"/>
      <c r="W250" s="40" t="s">
        <v>0</v>
      </c>
      <c r="X250" s="41">
        <f>IFERROR(SUM(X246:X248),"0")</f>
        <v>0</v>
      </c>
      <c r="Y250" s="41">
        <f>IFERROR(SUM(Y246:Y248),"0")</f>
        <v>0</v>
      </c>
      <c r="Z250" s="40"/>
      <c r="AA250" s="64"/>
      <c r="AB250" s="64"/>
      <c r="AC250" s="64"/>
    </row>
    <row r="251" spans="1:68" ht="14.25" hidden="1" customHeight="1" x14ac:dyDescent="0.25">
      <c r="A251" s="657" t="s">
        <v>439</v>
      </c>
      <c r="B251" s="657"/>
      <c r="C251" s="657"/>
      <c r="D251" s="657"/>
      <c r="E251" s="657"/>
      <c r="F251" s="657"/>
      <c r="G251" s="657"/>
      <c r="H251" s="657"/>
      <c r="I251" s="657"/>
      <c r="J251" s="657"/>
      <c r="K251" s="657"/>
      <c r="L251" s="657"/>
      <c r="M251" s="657"/>
      <c r="N251" s="657"/>
      <c r="O251" s="657"/>
      <c r="P251" s="657"/>
      <c r="Q251" s="657"/>
      <c r="R251" s="657"/>
      <c r="S251" s="657"/>
      <c r="T251" s="657"/>
      <c r="U251" s="657"/>
      <c r="V251" s="657"/>
      <c r="W251" s="657"/>
      <c r="X251" s="657"/>
      <c r="Y251" s="657"/>
      <c r="Z251" s="657"/>
      <c r="AA251" s="63"/>
      <c r="AB251" s="63"/>
      <c r="AC251" s="63"/>
    </row>
    <row r="252" spans="1:68" ht="27" hidden="1" customHeight="1" x14ac:dyDescent="0.25">
      <c r="A252" s="60" t="s">
        <v>440</v>
      </c>
      <c r="B252" s="60" t="s">
        <v>441</v>
      </c>
      <c r="C252" s="34">
        <v>4301170013</v>
      </c>
      <c r="D252" s="652">
        <v>4680115886797</v>
      </c>
      <c r="E252" s="652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345</v>
      </c>
      <c r="L252" s="35" t="s">
        <v>46</v>
      </c>
      <c r="M252" s="36" t="s">
        <v>288</v>
      </c>
      <c r="N252" s="36"/>
      <c r="O252" s="35">
        <v>90</v>
      </c>
      <c r="P252" s="80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4"/>
      <c r="R252" s="654"/>
      <c r="S252" s="654"/>
      <c r="T252" s="655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35" t="s">
        <v>436</v>
      </c>
      <c r="AG252" s="75"/>
      <c r="AJ252" s="79" t="s">
        <v>46</v>
      </c>
      <c r="AK252" s="79">
        <v>0</v>
      </c>
      <c r="BB252" s="336" t="s">
        <v>67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idden="1" x14ac:dyDescent="0.2">
      <c r="A253" s="646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47"/>
      <c r="P253" s="643" t="s">
        <v>40</v>
      </c>
      <c r="Q253" s="644"/>
      <c r="R253" s="644"/>
      <c r="S253" s="644"/>
      <c r="T253" s="644"/>
      <c r="U253" s="644"/>
      <c r="V253" s="645"/>
      <c r="W253" s="40" t="s">
        <v>39</v>
      </c>
      <c r="X253" s="41">
        <f>IFERROR(X252/H252,"0")</f>
        <v>0</v>
      </c>
      <c r="Y253" s="41">
        <f>IFERROR(Y252/H252,"0")</f>
        <v>0</v>
      </c>
      <c r="Z253" s="41">
        <f>IFERROR(IF(Z252="",0,Z252),"0")</f>
        <v>0</v>
      </c>
      <c r="AA253" s="64"/>
      <c r="AB253" s="64"/>
      <c r="AC253" s="64"/>
    </row>
    <row r="254" spans="1:68" hidden="1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47"/>
      <c r="P254" s="643" t="s">
        <v>40</v>
      </c>
      <c r="Q254" s="644"/>
      <c r="R254" s="644"/>
      <c r="S254" s="644"/>
      <c r="T254" s="644"/>
      <c r="U254" s="644"/>
      <c r="V254" s="645"/>
      <c r="W254" s="40" t="s">
        <v>0</v>
      </c>
      <c r="X254" s="41">
        <f>IFERROR(SUM(X252:X252),"0")</f>
        <v>0</v>
      </c>
      <c r="Y254" s="41">
        <f>IFERROR(SUM(Y252:Y252),"0")</f>
        <v>0</v>
      </c>
      <c r="Z254" s="40"/>
      <c r="AA254" s="64"/>
      <c r="AB254" s="64"/>
      <c r="AC254" s="64"/>
    </row>
    <row r="255" spans="1:68" ht="16.5" hidden="1" customHeight="1" x14ac:dyDescent="0.25">
      <c r="A255" s="656" t="s">
        <v>442</v>
      </c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6"/>
      <c r="P255" s="656"/>
      <c r="Q255" s="656"/>
      <c r="R255" s="656"/>
      <c r="S255" s="656"/>
      <c r="T255" s="656"/>
      <c r="U255" s="656"/>
      <c r="V255" s="656"/>
      <c r="W255" s="656"/>
      <c r="X255" s="656"/>
      <c r="Y255" s="656"/>
      <c r="Z255" s="656"/>
      <c r="AA255" s="62"/>
      <c r="AB255" s="62"/>
      <c r="AC255" s="62"/>
    </row>
    <row r="256" spans="1:68" ht="14.25" hidden="1" customHeight="1" x14ac:dyDescent="0.25">
      <c r="A256" s="657" t="s">
        <v>122</v>
      </c>
      <c r="B256" s="657"/>
      <c r="C256" s="657"/>
      <c r="D256" s="657"/>
      <c r="E256" s="657"/>
      <c r="F256" s="657"/>
      <c r="G256" s="657"/>
      <c r="H256" s="657"/>
      <c r="I256" s="657"/>
      <c r="J256" s="657"/>
      <c r="K256" s="657"/>
      <c r="L256" s="657"/>
      <c r="M256" s="657"/>
      <c r="N256" s="657"/>
      <c r="O256" s="657"/>
      <c r="P256" s="657"/>
      <c r="Q256" s="657"/>
      <c r="R256" s="657"/>
      <c r="S256" s="657"/>
      <c r="T256" s="657"/>
      <c r="U256" s="657"/>
      <c r="V256" s="657"/>
      <c r="W256" s="657"/>
      <c r="X256" s="657"/>
      <c r="Y256" s="657"/>
      <c r="Z256" s="657"/>
      <c r="AA256" s="63"/>
      <c r="AB256" s="63"/>
      <c r="AC256" s="63"/>
    </row>
    <row r="257" spans="1:68" ht="27" hidden="1" customHeight="1" x14ac:dyDescent="0.25">
      <c r="A257" s="60" t="s">
        <v>443</v>
      </c>
      <c r="B257" s="60" t="s">
        <v>444</v>
      </c>
      <c r="C257" s="34">
        <v>4301011450</v>
      </c>
      <c r="D257" s="652">
        <v>4680115881402</v>
      </c>
      <c r="E257" s="652"/>
      <c r="F257" s="59">
        <v>1.35</v>
      </c>
      <c r="G257" s="35">
        <v>8</v>
      </c>
      <c r="H257" s="59">
        <v>10.8</v>
      </c>
      <c r="I257" s="59">
        <v>11.21</v>
      </c>
      <c r="J257" s="35">
        <v>64</v>
      </c>
      <c r="K257" s="35" t="s">
        <v>127</v>
      </c>
      <c r="L257" s="35" t="s">
        <v>46</v>
      </c>
      <c r="M257" s="36" t="s">
        <v>126</v>
      </c>
      <c r="N257" s="36"/>
      <c r="O257" s="35">
        <v>55</v>
      </c>
      <c r="P257" s="8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4"/>
      <c r="R257" s="654"/>
      <c r="S257" s="654"/>
      <c r="T257" s="655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IFERROR(IF(Y257=0,"",ROUNDUP(Y257/H257,0)*0.01898),"")</f>
        <v/>
      </c>
      <c r="AA257" s="65" t="s">
        <v>46</v>
      </c>
      <c r="AB257" s="66" t="s">
        <v>46</v>
      </c>
      <c r="AC257" s="337" t="s">
        <v>445</v>
      </c>
      <c r="AG257" s="75"/>
      <c r="AJ257" s="79" t="s">
        <v>46</v>
      </c>
      <c r="AK257" s="79">
        <v>0</v>
      </c>
      <c r="BB257" s="338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hidden="1" customHeight="1" x14ac:dyDescent="0.25">
      <c r="A258" s="60" t="s">
        <v>446</v>
      </c>
      <c r="B258" s="60" t="s">
        <v>447</v>
      </c>
      <c r="C258" s="34">
        <v>4301011768</v>
      </c>
      <c r="D258" s="652">
        <v>4680115881396</v>
      </c>
      <c r="E258" s="652"/>
      <c r="F258" s="59">
        <v>0.45</v>
      </c>
      <c r="G258" s="35">
        <v>6</v>
      </c>
      <c r="H258" s="59">
        <v>2.7</v>
      </c>
      <c r="I258" s="59">
        <v>2.88</v>
      </c>
      <c r="J258" s="35">
        <v>182</v>
      </c>
      <c r="K258" s="35" t="s">
        <v>91</v>
      </c>
      <c r="L258" s="35" t="s">
        <v>46</v>
      </c>
      <c r="M258" s="36" t="s">
        <v>126</v>
      </c>
      <c r="N258" s="36"/>
      <c r="O258" s="35">
        <v>55</v>
      </c>
      <c r="P258" s="80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4"/>
      <c r="R258" s="654"/>
      <c r="S258" s="654"/>
      <c r="T258" s="655"/>
      <c r="U258" s="37" t="s">
        <v>46</v>
      </c>
      <c r="V258" s="37" t="s">
        <v>46</v>
      </c>
      <c r="W258" s="38" t="s">
        <v>0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IFERROR(IF(Y258=0,"",ROUNDUP(Y258/H258,0)*0.00651),"")</f>
        <v/>
      </c>
      <c r="AA258" s="65" t="s">
        <v>46</v>
      </c>
      <c r="AB258" s="66" t="s">
        <v>46</v>
      </c>
      <c r="AC258" s="339" t="s">
        <v>445</v>
      </c>
      <c r="AG258" s="75"/>
      <c r="AJ258" s="79" t="s">
        <v>46</v>
      </c>
      <c r="AK258" s="79">
        <v>0</v>
      </c>
      <c r="BB258" s="340" t="s">
        <v>67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hidden="1" x14ac:dyDescent="0.2">
      <c r="A259" s="646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47"/>
      <c r="P259" s="643" t="s">
        <v>40</v>
      </c>
      <c r="Q259" s="644"/>
      <c r="R259" s="644"/>
      <c r="S259" s="644"/>
      <c r="T259" s="644"/>
      <c r="U259" s="644"/>
      <c r="V259" s="645"/>
      <c r="W259" s="40" t="s">
        <v>39</v>
      </c>
      <c r="X259" s="41">
        <f>IFERROR(X257/H257,"0")+IFERROR(X258/H258,"0")</f>
        <v>0</v>
      </c>
      <c r="Y259" s="41">
        <f>IFERROR(Y257/H257,"0")+IFERROR(Y258/H258,"0")</f>
        <v>0</v>
      </c>
      <c r="Z259" s="41">
        <f>IFERROR(IF(Z257="",0,Z257),"0")+IFERROR(IF(Z258="",0,Z258),"0")</f>
        <v>0</v>
      </c>
      <c r="AA259" s="64"/>
      <c r="AB259" s="64"/>
      <c r="AC259" s="64"/>
    </row>
    <row r="260" spans="1:68" hidden="1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47"/>
      <c r="P260" s="643" t="s">
        <v>40</v>
      </c>
      <c r="Q260" s="644"/>
      <c r="R260" s="644"/>
      <c r="S260" s="644"/>
      <c r="T260" s="644"/>
      <c r="U260" s="644"/>
      <c r="V260" s="645"/>
      <c r="W260" s="40" t="s">
        <v>0</v>
      </c>
      <c r="X260" s="41">
        <f>IFERROR(SUM(X257:X258),"0")</f>
        <v>0</v>
      </c>
      <c r="Y260" s="41">
        <f>IFERROR(SUM(Y257:Y258),"0")</f>
        <v>0</v>
      </c>
      <c r="Z260" s="40"/>
      <c r="AA260" s="64"/>
      <c r="AB260" s="64"/>
      <c r="AC260" s="64"/>
    </row>
    <row r="261" spans="1:68" ht="14.25" hidden="1" customHeight="1" x14ac:dyDescent="0.25">
      <c r="A261" s="657" t="s">
        <v>158</v>
      </c>
      <c r="B261" s="657"/>
      <c r="C261" s="657"/>
      <c r="D261" s="657"/>
      <c r="E261" s="657"/>
      <c r="F261" s="657"/>
      <c r="G261" s="657"/>
      <c r="H261" s="657"/>
      <c r="I261" s="657"/>
      <c r="J261" s="657"/>
      <c r="K261" s="657"/>
      <c r="L261" s="657"/>
      <c r="M261" s="657"/>
      <c r="N261" s="657"/>
      <c r="O261" s="657"/>
      <c r="P261" s="657"/>
      <c r="Q261" s="657"/>
      <c r="R261" s="657"/>
      <c r="S261" s="657"/>
      <c r="T261" s="657"/>
      <c r="U261" s="657"/>
      <c r="V261" s="657"/>
      <c r="W261" s="657"/>
      <c r="X261" s="657"/>
      <c r="Y261" s="657"/>
      <c r="Z261" s="657"/>
      <c r="AA261" s="63"/>
      <c r="AB261" s="63"/>
      <c r="AC261" s="63"/>
    </row>
    <row r="262" spans="1:68" ht="16.5" hidden="1" customHeight="1" x14ac:dyDescent="0.25">
      <c r="A262" s="60" t="s">
        <v>448</v>
      </c>
      <c r="B262" s="60" t="s">
        <v>449</v>
      </c>
      <c r="C262" s="34">
        <v>4301020261</v>
      </c>
      <c r="D262" s="652">
        <v>4680115882935</v>
      </c>
      <c r="E262" s="652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127</v>
      </c>
      <c r="L262" s="35" t="s">
        <v>46</v>
      </c>
      <c r="M262" s="36" t="s">
        <v>126</v>
      </c>
      <c r="N262" s="36"/>
      <c r="O262" s="35">
        <v>50</v>
      </c>
      <c r="P262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4"/>
      <c r="R262" s="654"/>
      <c r="S262" s="654"/>
      <c r="T262" s="655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1" t="s">
        <v>450</v>
      </c>
      <c r="AG262" s="75"/>
      <c r="AJ262" s="79" t="s">
        <v>46</v>
      </c>
      <c r="AK262" s="79">
        <v>0</v>
      </c>
      <c r="BB262" s="342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16.5" customHeight="1" x14ac:dyDescent="0.25">
      <c r="A263" s="60" t="s">
        <v>451</v>
      </c>
      <c r="B263" s="60" t="s">
        <v>452</v>
      </c>
      <c r="C263" s="34">
        <v>4301020220</v>
      </c>
      <c r="D263" s="652">
        <v>4680115880764</v>
      </c>
      <c r="E263" s="652"/>
      <c r="F263" s="59">
        <v>0.35</v>
      </c>
      <c r="G263" s="35">
        <v>6</v>
      </c>
      <c r="H263" s="59">
        <v>2.1</v>
      </c>
      <c r="I263" s="59">
        <v>2.2799999999999998</v>
      </c>
      <c r="J263" s="35">
        <v>182</v>
      </c>
      <c r="K263" s="35" t="s">
        <v>91</v>
      </c>
      <c r="L263" s="35" t="s">
        <v>46</v>
      </c>
      <c r="M263" s="36" t="s">
        <v>126</v>
      </c>
      <c r="N263" s="36"/>
      <c r="O263" s="35">
        <v>50</v>
      </c>
      <c r="P263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4"/>
      <c r="R263" s="654"/>
      <c r="S263" s="654"/>
      <c r="T263" s="655"/>
      <c r="U263" s="37" t="s">
        <v>46</v>
      </c>
      <c r="V263" s="37" t="s">
        <v>46</v>
      </c>
      <c r="W263" s="38" t="s">
        <v>0</v>
      </c>
      <c r="X263" s="56">
        <v>29.7</v>
      </c>
      <c r="Y263" s="53">
        <f>IFERROR(IF(X263="",0,CEILING((X263/$H263),1)*$H263),"")</f>
        <v>31.5</v>
      </c>
      <c r="Z263" s="39">
        <f>IFERROR(IF(Y263=0,"",ROUNDUP(Y263/H263,0)*0.00651),"")</f>
        <v>9.7650000000000001E-2</v>
      </c>
      <c r="AA263" s="65" t="s">
        <v>46</v>
      </c>
      <c r="AB263" s="66" t="s">
        <v>46</v>
      </c>
      <c r="AC263" s="343" t="s">
        <v>450</v>
      </c>
      <c r="AG263" s="75"/>
      <c r="AJ263" s="79" t="s">
        <v>46</v>
      </c>
      <c r="AK263" s="79">
        <v>0</v>
      </c>
      <c r="BB263" s="344" t="s">
        <v>67</v>
      </c>
      <c r="BM263" s="75">
        <f>IFERROR(X263*I263/H263,"0")</f>
        <v>32.245714285714278</v>
      </c>
      <c r="BN263" s="75">
        <f>IFERROR(Y263*I263/H263,"0")</f>
        <v>34.199999999999996</v>
      </c>
      <c r="BO263" s="75">
        <f>IFERROR(1/J263*(X263/H263),"0")</f>
        <v>7.770800627943486E-2</v>
      </c>
      <c r="BP263" s="75">
        <f>IFERROR(1/J263*(Y263/H263),"0")</f>
        <v>8.241758241758243E-2</v>
      </c>
    </row>
    <row r="264" spans="1:68" x14ac:dyDescent="0.2">
      <c r="A264" s="646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47"/>
      <c r="P264" s="643" t="s">
        <v>40</v>
      </c>
      <c r="Q264" s="644"/>
      <c r="R264" s="644"/>
      <c r="S264" s="644"/>
      <c r="T264" s="644"/>
      <c r="U264" s="644"/>
      <c r="V264" s="645"/>
      <c r="W264" s="40" t="s">
        <v>39</v>
      </c>
      <c r="X264" s="41">
        <f>IFERROR(X262/H262,"0")+IFERROR(X263/H263,"0")</f>
        <v>14.142857142857142</v>
      </c>
      <c r="Y264" s="41">
        <f>IFERROR(Y262/H262,"0")+IFERROR(Y263/H263,"0")</f>
        <v>15</v>
      </c>
      <c r="Z264" s="41">
        <f>IFERROR(IF(Z262="",0,Z262),"0")+IFERROR(IF(Z263="",0,Z263),"0")</f>
        <v>9.7650000000000001E-2</v>
      </c>
      <c r="AA264" s="64"/>
      <c r="AB264" s="64"/>
      <c r="AC264" s="64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47"/>
      <c r="P265" s="643" t="s">
        <v>40</v>
      </c>
      <c r="Q265" s="644"/>
      <c r="R265" s="644"/>
      <c r="S265" s="644"/>
      <c r="T265" s="644"/>
      <c r="U265" s="644"/>
      <c r="V265" s="645"/>
      <c r="W265" s="40" t="s">
        <v>0</v>
      </c>
      <c r="X265" s="41">
        <f>IFERROR(SUM(X262:X263),"0")</f>
        <v>29.7</v>
      </c>
      <c r="Y265" s="41">
        <f>IFERROR(SUM(Y262:Y263),"0")</f>
        <v>31.5</v>
      </c>
      <c r="Z265" s="40"/>
      <c r="AA265" s="64"/>
      <c r="AB265" s="64"/>
      <c r="AC265" s="64"/>
    </row>
    <row r="266" spans="1:68" ht="14.25" hidden="1" customHeight="1" x14ac:dyDescent="0.25">
      <c r="A266" s="657" t="s">
        <v>77</v>
      </c>
      <c r="B266" s="657"/>
      <c r="C266" s="657"/>
      <c r="D266" s="657"/>
      <c r="E266" s="657"/>
      <c r="F266" s="657"/>
      <c r="G266" s="657"/>
      <c r="H266" s="657"/>
      <c r="I266" s="657"/>
      <c r="J266" s="657"/>
      <c r="K266" s="657"/>
      <c r="L266" s="657"/>
      <c r="M266" s="657"/>
      <c r="N266" s="657"/>
      <c r="O266" s="657"/>
      <c r="P266" s="657"/>
      <c r="Q266" s="657"/>
      <c r="R266" s="657"/>
      <c r="S266" s="657"/>
      <c r="T266" s="657"/>
      <c r="U266" s="657"/>
      <c r="V266" s="657"/>
      <c r="W266" s="657"/>
      <c r="X266" s="657"/>
      <c r="Y266" s="657"/>
      <c r="Z266" s="657"/>
      <c r="AA266" s="63"/>
      <c r="AB266" s="63"/>
      <c r="AC266" s="63"/>
    </row>
    <row r="267" spans="1:68" ht="27" hidden="1" customHeight="1" x14ac:dyDescent="0.25">
      <c r="A267" s="60" t="s">
        <v>453</v>
      </c>
      <c r="B267" s="60" t="s">
        <v>454</v>
      </c>
      <c r="C267" s="34">
        <v>4301031224</v>
      </c>
      <c r="D267" s="652">
        <v>4680115882683</v>
      </c>
      <c r="E267" s="652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4"/>
      <c r="R267" s="654"/>
      <c r="S267" s="654"/>
      <c r="T267" s="655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ref="Y267:Y274" si="33">IFERROR(IF(X267="",0,CEILING((X267/$H267),1)*$H267),"")</f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45" t="s">
        <v>455</v>
      </c>
      <c r="AG267" s="75"/>
      <c r="AJ267" s="79" t="s">
        <v>46</v>
      </c>
      <c r="AK267" s="79">
        <v>0</v>
      </c>
      <c r="BB267" s="346" t="s">
        <v>67</v>
      </c>
      <c r="BM267" s="75">
        <f t="shared" ref="BM267:BM274" si="34">IFERROR(X267*I267/H267,"0")</f>
        <v>0</v>
      </c>
      <c r="BN267" s="75">
        <f t="shared" ref="BN267:BN274" si="35">IFERROR(Y267*I267/H267,"0")</f>
        <v>0</v>
      </c>
      <c r="BO267" s="75">
        <f t="shared" ref="BO267:BO274" si="36">IFERROR(1/J267*(X267/H267),"0")</f>
        <v>0</v>
      </c>
      <c r="BP267" s="75">
        <f t="shared" ref="BP267:BP274" si="37">IFERROR(1/J267*(Y267/H267),"0")</f>
        <v>0</v>
      </c>
    </row>
    <row r="268" spans="1:68" ht="27" hidden="1" customHeight="1" x14ac:dyDescent="0.25">
      <c r="A268" s="60" t="s">
        <v>456</v>
      </c>
      <c r="B268" s="60" t="s">
        <v>457</v>
      </c>
      <c r="C268" s="34">
        <v>4301031230</v>
      </c>
      <c r="D268" s="652">
        <v>4680115882690</v>
      </c>
      <c r="E268" s="652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4"/>
      <c r="R268" s="654"/>
      <c r="S268" s="654"/>
      <c r="T268" s="655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3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47" t="s">
        <v>458</v>
      </c>
      <c r="AG268" s="75"/>
      <c r="AJ268" s="79" t="s">
        <v>46</v>
      </c>
      <c r="AK268" s="79">
        <v>0</v>
      </c>
      <c r="BB268" s="348" t="s">
        <v>67</v>
      </c>
      <c r="BM268" s="75">
        <f t="shared" si="34"/>
        <v>0</v>
      </c>
      <c r="BN268" s="75">
        <f t="shared" si="35"/>
        <v>0</v>
      </c>
      <c r="BO268" s="75">
        <f t="shared" si="36"/>
        <v>0</v>
      </c>
      <c r="BP268" s="75">
        <f t="shared" si="37"/>
        <v>0</v>
      </c>
    </row>
    <row r="269" spans="1:68" ht="27" hidden="1" customHeight="1" x14ac:dyDescent="0.25">
      <c r="A269" s="60" t="s">
        <v>459</v>
      </c>
      <c r="B269" s="60" t="s">
        <v>460</v>
      </c>
      <c r="C269" s="34">
        <v>4301031220</v>
      </c>
      <c r="D269" s="652">
        <v>4680115882669</v>
      </c>
      <c r="E269" s="652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4"/>
      <c r="R269" s="654"/>
      <c r="S269" s="654"/>
      <c r="T269" s="655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3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9" t="s">
        <v>461</v>
      </c>
      <c r="AG269" s="75"/>
      <c r="AJ269" s="79" t="s">
        <v>46</v>
      </c>
      <c r="AK269" s="79">
        <v>0</v>
      </c>
      <c r="BB269" s="350" t="s">
        <v>67</v>
      </c>
      <c r="BM269" s="75">
        <f t="shared" si="34"/>
        <v>0</v>
      </c>
      <c r="BN269" s="75">
        <f t="shared" si="35"/>
        <v>0</v>
      </c>
      <c r="BO269" s="75">
        <f t="shared" si="36"/>
        <v>0</v>
      </c>
      <c r="BP269" s="75">
        <f t="shared" si="37"/>
        <v>0</v>
      </c>
    </row>
    <row r="270" spans="1:68" ht="27" hidden="1" customHeight="1" x14ac:dyDescent="0.25">
      <c r="A270" s="60" t="s">
        <v>462</v>
      </c>
      <c r="B270" s="60" t="s">
        <v>463</v>
      </c>
      <c r="C270" s="34">
        <v>4301031221</v>
      </c>
      <c r="D270" s="652">
        <v>4680115882676</v>
      </c>
      <c r="E270" s="652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134</v>
      </c>
      <c r="L270" s="35" t="s">
        <v>46</v>
      </c>
      <c r="M270" s="36" t="s">
        <v>81</v>
      </c>
      <c r="N270" s="36"/>
      <c r="O270" s="35">
        <v>40</v>
      </c>
      <c r="P270" s="79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4"/>
      <c r="R270" s="654"/>
      <c r="S270" s="654"/>
      <c r="T270" s="655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3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51" t="s">
        <v>464</v>
      </c>
      <c r="AG270" s="75"/>
      <c r="AJ270" s="79" t="s">
        <v>46</v>
      </c>
      <c r="AK270" s="79">
        <v>0</v>
      </c>
      <c r="BB270" s="352" t="s">
        <v>67</v>
      </c>
      <c r="BM270" s="75">
        <f t="shared" si="34"/>
        <v>0</v>
      </c>
      <c r="BN270" s="75">
        <f t="shared" si="35"/>
        <v>0</v>
      </c>
      <c r="BO270" s="75">
        <f t="shared" si="36"/>
        <v>0</v>
      </c>
      <c r="BP270" s="75">
        <f t="shared" si="37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4301031223</v>
      </c>
      <c r="D271" s="652">
        <v>4680115884014</v>
      </c>
      <c r="E271" s="652"/>
      <c r="F271" s="59">
        <v>0.3</v>
      </c>
      <c r="G271" s="35">
        <v>6</v>
      </c>
      <c r="H271" s="59">
        <v>1.8</v>
      </c>
      <c r="I271" s="59">
        <v>1.93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4"/>
      <c r="R271" s="654"/>
      <c r="S271" s="654"/>
      <c r="T271" s="655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3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3" t="s">
        <v>455</v>
      </c>
      <c r="AG271" s="75"/>
      <c r="AJ271" s="79" t="s">
        <v>46</v>
      </c>
      <c r="AK271" s="79">
        <v>0</v>
      </c>
      <c r="BB271" s="354" t="s">
        <v>67</v>
      </c>
      <c r="BM271" s="75">
        <f t="shared" si="34"/>
        <v>0</v>
      </c>
      <c r="BN271" s="75">
        <f t="shared" si="35"/>
        <v>0</v>
      </c>
      <c r="BO271" s="75">
        <f t="shared" si="36"/>
        <v>0</v>
      </c>
      <c r="BP271" s="75">
        <f t="shared" si="37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4301031222</v>
      </c>
      <c r="D272" s="652">
        <v>4680115884007</v>
      </c>
      <c r="E272" s="652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4"/>
      <c r="R272" s="654"/>
      <c r="S272" s="654"/>
      <c r="T272" s="655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3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55" t="s">
        <v>458</v>
      </c>
      <c r="AG272" s="75"/>
      <c r="AJ272" s="79" t="s">
        <v>46</v>
      </c>
      <c r="AK272" s="79">
        <v>0</v>
      </c>
      <c r="BB272" s="356" t="s">
        <v>67</v>
      </c>
      <c r="BM272" s="75">
        <f t="shared" si="34"/>
        <v>0</v>
      </c>
      <c r="BN272" s="75">
        <f t="shared" si="35"/>
        <v>0</v>
      </c>
      <c r="BO272" s="75">
        <f t="shared" si="36"/>
        <v>0</v>
      </c>
      <c r="BP272" s="75">
        <f t="shared" si="37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4301031229</v>
      </c>
      <c r="D273" s="652">
        <v>4680115884038</v>
      </c>
      <c r="E273" s="652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4"/>
      <c r="R273" s="654"/>
      <c r="S273" s="654"/>
      <c r="T273" s="655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3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461</v>
      </c>
      <c r="AG273" s="75"/>
      <c r="AJ273" s="79" t="s">
        <v>46</v>
      </c>
      <c r="AK273" s="79">
        <v>0</v>
      </c>
      <c r="BB273" s="358" t="s">
        <v>67</v>
      </c>
      <c r="BM273" s="75">
        <f t="shared" si="34"/>
        <v>0</v>
      </c>
      <c r="BN273" s="75">
        <f t="shared" si="35"/>
        <v>0</v>
      </c>
      <c r="BO273" s="75">
        <f t="shared" si="36"/>
        <v>0</v>
      </c>
      <c r="BP273" s="75">
        <f t="shared" si="37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4301031225</v>
      </c>
      <c r="D274" s="652">
        <v>4680115884021</v>
      </c>
      <c r="E274" s="652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4"/>
      <c r="R274" s="654"/>
      <c r="S274" s="654"/>
      <c r="T274" s="655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3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464</v>
      </c>
      <c r="AG274" s="75"/>
      <c r="AJ274" s="79" t="s">
        <v>46</v>
      </c>
      <c r="AK274" s="79">
        <v>0</v>
      </c>
      <c r="BB274" s="360" t="s">
        <v>67</v>
      </c>
      <c r="BM274" s="75">
        <f t="shared" si="34"/>
        <v>0</v>
      </c>
      <c r="BN274" s="75">
        <f t="shared" si="35"/>
        <v>0</v>
      </c>
      <c r="BO274" s="75">
        <f t="shared" si="36"/>
        <v>0</v>
      </c>
      <c r="BP274" s="75">
        <f t="shared" si="37"/>
        <v>0</v>
      </c>
    </row>
    <row r="275" spans="1:68" hidden="1" x14ac:dyDescent="0.2">
      <c r="A275" s="646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47"/>
      <c r="P275" s="643" t="s">
        <v>40</v>
      </c>
      <c r="Q275" s="644"/>
      <c r="R275" s="644"/>
      <c r="S275" s="644"/>
      <c r="T275" s="644"/>
      <c r="U275" s="644"/>
      <c r="V275" s="645"/>
      <c r="W275" s="40" t="s">
        <v>39</v>
      </c>
      <c r="X275" s="41">
        <f>IFERROR(X267/H267,"0")+IFERROR(X268/H268,"0")+IFERROR(X269/H269,"0")+IFERROR(X270/H270,"0")+IFERROR(X271/H271,"0")+IFERROR(X272/H272,"0")+IFERROR(X273/H273,"0")+IFERROR(X274/H274,"0")</f>
        <v>0</v>
      </c>
      <c r="Y275" s="41">
        <f>IFERROR(Y267/H267,"0")+IFERROR(Y268/H268,"0")+IFERROR(Y269/H269,"0")+IFERROR(Y270/H270,"0")+IFERROR(Y271/H271,"0")+IFERROR(Y272/H272,"0")+IFERROR(Y273/H273,"0")+IFERROR(Y274/H274,"0")</f>
        <v>0</v>
      </c>
      <c r="Z275" s="41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47"/>
      <c r="P276" s="643" t="s">
        <v>40</v>
      </c>
      <c r="Q276" s="644"/>
      <c r="R276" s="644"/>
      <c r="S276" s="644"/>
      <c r="T276" s="644"/>
      <c r="U276" s="644"/>
      <c r="V276" s="645"/>
      <c r="W276" s="40" t="s">
        <v>0</v>
      </c>
      <c r="X276" s="41">
        <f>IFERROR(SUM(X267:X274),"0")</f>
        <v>0</v>
      </c>
      <c r="Y276" s="41">
        <f>IFERROR(SUM(Y267:Y274),"0")</f>
        <v>0</v>
      </c>
      <c r="Z276" s="40"/>
      <c r="AA276" s="64"/>
      <c r="AB276" s="64"/>
      <c r="AC276" s="64"/>
    </row>
    <row r="277" spans="1:68" ht="14.25" hidden="1" customHeight="1" x14ac:dyDescent="0.25">
      <c r="A277" s="657" t="s">
        <v>86</v>
      </c>
      <c r="B277" s="657"/>
      <c r="C277" s="657"/>
      <c r="D277" s="657"/>
      <c r="E277" s="657"/>
      <c r="F277" s="657"/>
      <c r="G277" s="657"/>
      <c r="H277" s="657"/>
      <c r="I277" s="657"/>
      <c r="J277" s="657"/>
      <c r="K277" s="657"/>
      <c r="L277" s="657"/>
      <c r="M277" s="657"/>
      <c r="N277" s="657"/>
      <c r="O277" s="657"/>
      <c r="P277" s="657"/>
      <c r="Q277" s="657"/>
      <c r="R277" s="657"/>
      <c r="S277" s="657"/>
      <c r="T277" s="657"/>
      <c r="U277" s="657"/>
      <c r="V277" s="657"/>
      <c r="W277" s="657"/>
      <c r="X277" s="657"/>
      <c r="Y277" s="657"/>
      <c r="Z277" s="657"/>
      <c r="AA277" s="63"/>
      <c r="AB277" s="63"/>
      <c r="AC277" s="63"/>
    </row>
    <row r="278" spans="1:68" ht="27" hidden="1" customHeight="1" x14ac:dyDescent="0.25">
      <c r="A278" s="60" t="s">
        <v>473</v>
      </c>
      <c r="B278" s="60" t="s">
        <v>474</v>
      </c>
      <c r="C278" s="34">
        <v>4301051408</v>
      </c>
      <c r="D278" s="652">
        <v>4680115881594</v>
      </c>
      <c r="E278" s="652"/>
      <c r="F278" s="59">
        <v>1.35</v>
      </c>
      <c r="G278" s="35">
        <v>6</v>
      </c>
      <c r="H278" s="59">
        <v>8.1</v>
      </c>
      <c r="I278" s="59">
        <v>8.5939999999999994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4"/>
      <c r="R278" s="654"/>
      <c r="S278" s="654"/>
      <c r="T278" s="655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ref="Y278:Y289" si="38">IFERROR(IF(X278="",0,CEILING((X278/$H278),1)*$H278),"")</f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1" t="s">
        <v>475</v>
      </c>
      <c r="AG278" s="75"/>
      <c r="AJ278" s="79" t="s">
        <v>46</v>
      </c>
      <c r="AK278" s="79">
        <v>0</v>
      </c>
      <c r="BB278" s="362" t="s">
        <v>67</v>
      </c>
      <c r="BM278" s="75">
        <f t="shared" ref="BM278:BM289" si="39">IFERROR(X278*I278/H278,"0")</f>
        <v>0</v>
      </c>
      <c r="BN278" s="75">
        <f t="shared" ref="BN278:BN289" si="40">IFERROR(Y278*I278/H278,"0")</f>
        <v>0</v>
      </c>
      <c r="BO278" s="75">
        <f t="shared" ref="BO278:BO289" si="41">IFERROR(1/J278*(X278/H278),"0")</f>
        <v>0</v>
      </c>
      <c r="BP278" s="75">
        <f t="shared" ref="BP278:BP289" si="42">IFERROR(1/J278*(Y278/H278),"0")</f>
        <v>0</v>
      </c>
    </row>
    <row r="279" spans="1:68" ht="27" hidden="1" customHeight="1" x14ac:dyDescent="0.25">
      <c r="A279" s="60" t="s">
        <v>476</v>
      </c>
      <c r="B279" s="60" t="s">
        <v>477</v>
      </c>
      <c r="C279" s="34">
        <v>4301051411</v>
      </c>
      <c r="D279" s="652">
        <v>4680115881617</v>
      </c>
      <c r="E279" s="652"/>
      <c r="F279" s="59">
        <v>1.35</v>
      </c>
      <c r="G279" s="35">
        <v>6</v>
      </c>
      <c r="H279" s="59">
        <v>8.1</v>
      </c>
      <c r="I279" s="59">
        <v>8.5760000000000005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40</v>
      </c>
      <c r="P279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4"/>
      <c r="R279" s="654"/>
      <c r="S279" s="654"/>
      <c r="T279" s="655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8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3" t="s">
        <v>478</v>
      </c>
      <c r="AG279" s="75"/>
      <c r="AJ279" s="79" t="s">
        <v>46</v>
      </c>
      <c r="AK279" s="79">
        <v>0</v>
      </c>
      <c r="BB279" s="364" t="s">
        <v>67</v>
      </c>
      <c r="BM279" s="75">
        <f t="shared" si="39"/>
        <v>0</v>
      </c>
      <c r="BN279" s="75">
        <f t="shared" si="40"/>
        <v>0</v>
      </c>
      <c r="BO279" s="75">
        <f t="shared" si="41"/>
        <v>0</v>
      </c>
      <c r="BP279" s="75">
        <f t="shared" si="42"/>
        <v>0</v>
      </c>
    </row>
    <row r="280" spans="1:68" ht="27" hidden="1" customHeight="1" x14ac:dyDescent="0.25">
      <c r="A280" s="60" t="s">
        <v>479</v>
      </c>
      <c r="B280" s="60" t="s">
        <v>480</v>
      </c>
      <c r="C280" s="34">
        <v>4301051656</v>
      </c>
      <c r="D280" s="652">
        <v>4680115880573</v>
      </c>
      <c r="E280" s="652"/>
      <c r="F280" s="59">
        <v>1.45</v>
      </c>
      <c r="G280" s="35">
        <v>6</v>
      </c>
      <c r="H280" s="59">
        <v>8.6999999999999993</v>
      </c>
      <c r="I280" s="59">
        <v>9.1940000000000008</v>
      </c>
      <c r="J280" s="35">
        <v>64</v>
      </c>
      <c r="K280" s="35" t="s">
        <v>127</v>
      </c>
      <c r="L280" s="35" t="s">
        <v>46</v>
      </c>
      <c r="M280" s="36" t="s">
        <v>90</v>
      </c>
      <c r="N280" s="36"/>
      <c r="O280" s="35">
        <v>45</v>
      </c>
      <c r="P280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4"/>
      <c r="R280" s="654"/>
      <c r="S280" s="654"/>
      <c r="T280" s="655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38"/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65" t="s">
        <v>481</v>
      </c>
      <c r="AG280" s="75"/>
      <c r="AJ280" s="79" t="s">
        <v>46</v>
      </c>
      <c r="AK280" s="79">
        <v>0</v>
      </c>
      <c r="BB280" s="366" t="s">
        <v>67</v>
      </c>
      <c r="BM280" s="75">
        <f t="shared" si="39"/>
        <v>0</v>
      </c>
      <c r="BN280" s="75">
        <f t="shared" si="40"/>
        <v>0</v>
      </c>
      <c r="BO280" s="75">
        <f t="shared" si="41"/>
        <v>0</v>
      </c>
      <c r="BP280" s="75">
        <f t="shared" si="42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4301051407</v>
      </c>
      <c r="D281" s="652">
        <v>4680115882195</v>
      </c>
      <c r="E281" s="652"/>
      <c r="F281" s="59">
        <v>0.4</v>
      </c>
      <c r="G281" s="35">
        <v>6</v>
      </c>
      <c r="H281" s="59">
        <v>2.4</v>
      </c>
      <c r="I281" s="59">
        <v>2.67</v>
      </c>
      <c r="J281" s="35">
        <v>182</v>
      </c>
      <c r="K281" s="35" t="s">
        <v>91</v>
      </c>
      <c r="L281" s="35" t="s">
        <v>46</v>
      </c>
      <c r="M281" s="36" t="s">
        <v>90</v>
      </c>
      <c r="N281" s="36"/>
      <c r="O281" s="35">
        <v>40</v>
      </c>
      <c r="P281" s="78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4"/>
      <c r="R281" s="654"/>
      <c r="S281" s="654"/>
      <c r="T281" s="655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8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475</v>
      </c>
      <c r="AG281" s="75"/>
      <c r="AJ281" s="79" t="s">
        <v>46</v>
      </c>
      <c r="AK281" s="79">
        <v>0</v>
      </c>
      <c r="BB281" s="368" t="s">
        <v>67</v>
      </c>
      <c r="BM281" s="75">
        <f t="shared" si="39"/>
        <v>0</v>
      </c>
      <c r="BN281" s="75">
        <f t="shared" si="40"/>
        <v>0</v>
      </c>
      <c r="BO281" s="75">
        <f t="shared" si="41"/>
        <v>0</v>
      </c>
      <c r="BP281" s="75">
        <f t="shared" si="42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4301051752</v>
      </c>
      <c r="D282" s="652">
        <v>4680115882607</v>
      </c>
      <c r="E282" s="652"/>
      <c r="F282" s="59">
        <v>0.3</v>
      </c>
      <c r="G282" s="35">
        <v>6</v>
      </c>
      <c r="H282" s="59">
        <v>1.8</v>
      </c>
      <c r="I282" s="59">
        <v>2.052</v>
      </c>
      <c r="J282" s="35">
        <v>182</v>
      </c>
      <c r="K282" s="35" t="s">
        <v>91</v>
      </c>
      <c r="L282" s="35" t="s">
        <v>46</v>
      </c>
      <c r="M282" s="36" t="s">
        <v>97</v>
      </c>
      <c r="N282" s="36"/>
      <c r="O282" s="35">
        <v>45</v>
      </c>
      <c r="P282" s="7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4"/>
      <c r="R282" s="654"/>
      <c r="S282" s="654"/>
      <c r="T282" s="655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IFERROR(IF(Y282=0,"",ROUNDUP(Y282/H282,0)*0.00651),"")</f>
        <v/>
      </c>
      <c r="AA282" s="65" t="s">
        <v>46</v>
      </c>
      <c r="AB282" s="66" t="s">
        <v>46</v>
      </c>
      <c r="AC282" s="369" t="s">
        <v>481</v>
      </c>
      <c r="AG282" s="75"/>
      <c r="AJ282" s="79" t="s">
        <v>46</v>
      </c>
      <c r="AK282" s="79">
        <v>0</v>
      </c>
      <c r="BB282" s="370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4301052143</v>
      </c>
      <c r="D283" s="652">
        <v>4680115882607</v>
      </c>
      <c r="E283" s="652"/>
      <c r="F283" s="59">
        <v>0.3</v>
      </c>
      <c r="G283" s="35">
        <v>6</v>
      </c>
      <c r="H283" s="59">
        <v>1.8</v>
      </c>
      <c r="I283" s="59">
        <v>2.0619999999999998</v>
      </c>
      <c r="J283" s="35">
        <v>132</v>
      </c>
      <c r="K283" s="35" t="s">
        <v>134</v>
      </c>
      <c r="L283" s="35" t="s">
        <v>46</v>
      </c>
      <c r="M283" s="36" t="s">
        <v>90</v>
      </c>
      <c r="N283" s="36"/>
      <c r="O283" s="35">
        <v>45</v>
      </c>
      <c r="P283" s="79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4"/>
      <c r="R283" s="654"/>
      <c r="S283" s="654"/>
      <c r="T283" s="655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IFERROR(IF(Y283=0,"",ROUNDUP(Y283/H283,0)*0.00902),"")</f>
        <v/>
      </c>
      <c r="AA283" s="65" t="s">
        <v>46</v>
      </c>
      <c r="AB283" s="66" t="s">
        <v>46</v>
      </c>
      <c r="AC283" s="371" t="s">
        <v>488</v>
      </c>
      <c r="AG283" s="75"/>
      <c r="AJ283" s="79" t="s">
        <v>46</v>
      </c>
      <c r="AK283" s="79">
        <v>0</v>
      </c>
      <c r="BB283" s="372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customHeight="1" x14ac:dyDescent="0.25">
      <c r="A284" s="60" t="s">
        <v>489</v>
      </c>
      <c r="B284" s="60" t="s">
        <v>490</v>
      </c>
      <c r="C284" s="34">
        <v>4301051666</v>
      </c>
      <c r="D284" s="652">
        <v>4680115880092</v>
      </c>
      <c r="E284" s="652"/>
      <c r="F284" s="59">
        <v>0.4</v>
      </c>
      <c r="G284" s="35">
        <v>6</v>
      </c>
      <c r="H284" s="59">
        <v>2.4</v>
      </c>
      <c r="I284" s="59">
        <v>2.6520000000000001</v>
      </c>
      <c r="J284" s="35">
        <v>182</v>
      </c>
      <c r="K284" s="35" t="s">
        <v>91</v>
      </c>
      <c r="L284" s="35" t="s">
        <v>46</v>
      </c>
      <c r="M284" s="36" t="s">
        <v>90</v>
      </c>
      <c r="N284" s="36"/>
      <c r="O284" s="35">
        <v>45</v>
      </c>
      <c r="P284" s="79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4"/>
      <c r="R284" s="654"/>
      <c r="S284" s="654"/>
      <c r="T284" s="655"/>
      <c r="U284" s="37" t="s">
        <v>46</v>
      </c>
      <c r="V284" s="37" t="s">
        <v>46</v>
      </c>
      <c r="W284" s="38" t="s">
        <v>0</v>
      </c>
      <c r="X284" s="56">
        <v>120</v>
      </c>
      <c r="Y284" s="53">
        <f t="shared" si="38"/>
        <v>120</v>
      </c>
      <c r="Z284" s="39">
        <f>IFERROR(IF(Y284=0,"",ROUNDUP(Y284/H284,0)*0.00651),"")</f>
        <v>0.32550000000000001</v>
      </c>
      <c r="AA284" s="65" t="s">
        <v>46</v>
      </c>
      <c r="AB284" s="66" t="s">
        <v>46</v>
      </c>
      <c r="AC284" s="373" t="s">
        <v>481</v>
      </c>
      <c r="AG284" s="75"/>
      <c r="AJ284" s="79" t="s">
        <v>46</v>
      </c>
      <c r="AK284" s="79">
        <v>0</v>
      </c>
      <c r="BB284" s="374" t="s">
        <v>67</v>
      </c>
      <c r="BM284" s="75">
        <f t="shared" si="39"/>
        <v>132.60000000000002</v>
      </c>
      <c r="BN284" s="75">
        <f t="shared" si="40"/>
        <v>132.60000000000002</v>
      </c>
      <c r="BO284" s="75">
        <f t="shared" si="41"/>
        <v>0.27472527472527475</v>
      </c>
      <c r="BP284" s="75">
        <f t="shared" si="42"/>
        <v>0.27472527472527475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4301052214</v>
      </c>
      <c r="D285" s="652">
        <v>4680115889064</v>
      </c>
      <c r="E285" s="652"/>
      <c r="F285" s="59">
        <v>0.7</v>
      </c>
      <c r="G285" s="35">
        <v>6</v>
      </c>
      <c r="H285" s="59">
        <v>4.2</v>
      </c>
      <c r="I285" s="59">
        <v>4.6159999999999997</v>
      </c>
      <c r="J285" s="35">
        <v>104</v>
      </c>
      <c r="K285" s="35" t="s">
        <v>127</v>
      </c>
      <c r="L285" s="35" t="s">
        <v>46</v>
      </c>
      <c r="M285" s="36" t="s">
        <v>90</v>
      </c>
      <c r="N285" s="36"/>
      <c r="O285" s="35">
        <v>45</v>
      </c>
      <c r="P285" s="79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4"/>
      <c r="R285" s="654"/>
      <c r="S285" s="654"/>
      <c r="T285" s="655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IFERROR(IF(Y285=0,"",ROUNDUP(Y285/H285,0)*0.01196),"")</f>
        <v/>
      </c>
      <c r="AA285" s="65" t="s">
        <v>46</v>
      </c>
      <c r="AB285" s="66" t="s">
        <v>46</v>
      </c>
      <c r="AC285" s="375" t="s">
        <v>488</v>
      </c>
      <c r="AG285" s="75"/>
      <c r="AJ285" s="79" t="s">
        <v>46</v>
      </c>
      <c r="AK285" s="79">
        <v>0</v>
      </c>
      <c r="BB285" s="376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customHeight="1" x14ac:dyDescent="0.25">
      <c r="A286" s="60" t="s">
        <v>493</v>
      </c>
      <c r="B286" s="60" t="s">
        <v>494</v>
      </c>
      <c r="C286" s="34">
        <v>4301051668</v>
      </c>
      <c r="D286" s="652">
        <v>4680115880221</v>
      </c>
      <c r="E286" s="652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78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4"/>
      <c r="R286" s="654"/>
      <c r="S286" s="654"/>
      <c r="T286" s="655"/>
      <c r="U286" s="37" t="s">
        <v>46</v>
      </c>
      <c r="V286" s="37" t="s">
        <v>46</v>
      </c>
      <c r="W286" s="38" t="s">
        <v>0</v>
      </c>
      <c r="X286" s="56">
        <v>72</v>
      </c>
      <c r="Y286" s="53">
        <f t="shared" si="38"/>
        <v>72</v>
      </c>
      <c r="Z286" s="39">
        <f>IFERROR(IF(Y286=0,"",ROUNDUP(Y286/H286,0)*0.00651),"")</f>
        <v>0.1953</v>
      </c>
      <c r="AA286" s="65" t="s">
        <v>46</v>
      </c>
      <c r="AB286" s="66" t="s">
        <v>46</v>
      </c>
      <c r="AC286" s="377" t="s">
        <v>481</v>
      </c>
      <c r="AG286" s="75"/>
      <c r="AJ286" s="79" t="s">
        <v>46</v>
      </c>
      <c r="AK286" s="79">
        <v>0</v>
      </c>
      <c r="BB286" s="378" t="s">
        <v>67</v>
      </c>
      <c r="BM286" s="75">
        <f t="shared" si="39"/>
        <v>79.560000000000016</v>
      </c>
      <c r="BN286" s="75">
        <f t="shared" si="40"/>
        <v>79.560000000000016</v>
      </c>
      <c r="BO286" s="75">
        <f t="shared" si="41"/>
        <v>0.16483516483516486</v>
      </c>
      <c r="BP286" s="75">
        <f t="shared" si="42"/>
        <v>0.16483516483516486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4301051945</v>
      </c>
      <c r="D287" s="652">
        <v>4680115880504</v>
      </c>
      <c r="E287" s="652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91</v>
      </c>
      <c r="L287" s="35" t="s">
        <v>46</v>
      </c>
      <c r="M287" s="36" t="s">
        <v>97</v>
      </c>
      <c r="N287" s="36"/>
      <c r="O287" s="35">
        <v>40</v>
      </c>
      <c r="P287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4"/>
      <c r="R287" s="654"/>
      <c r="S287" s="654"/>
      <c r="T287" s="655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497</v>
      </c>
      <c r="AG287" s="75"/>
      <c r="AJ287" s="79" t="s">
        <v>46</v>
      </c>
      <c r="AK287" s="79">
        <v>0</v>
      </c>
      <c r="BB287" s="380" t="s">
        <v>67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t="27" hidden="1" customHeight="1" x14ac:dyDescent="0.25">
      <c r="A288" s="60" t="s">
        <v>498</v>
      </c>
      <c r="B288" s="60" t="s">
        <v>499</v>
      </c>
      <c r="C288" s="34">
        <v>4301051410</v>
      </c>
      <c r="D288" s="652">
        <v>4680115882164</v>
      </c>
      <c r="E288" s="652"/>
      <c r="F288" s="59">
        <v>0.4</v>
      </c>
      <c r="G288" s="35">
        <v>6</v>
      </c>
      <c r="H288" s="59">
        <v>2.4</v>
      </c>
      <c r="I288" s="59">
        <v>2.6579999999999999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40</v>
      </c>
      <c r="P288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4"/>
      <c r="R288" s="654"/>
      <c r="S288" s="654"/>
      <c r="T288" s="655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8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500</v>
      </c>
      <c r="AG288" s="75"/>
      <c r="AJ288" s="79" t="s">
        <v>46</v>
      </c>
      <c r="AK288" s="79">
        <v>0</v>
      </c>
      <c r="BB288" s="382" t="s">
        <v>67</v>
      </c>
      <c r="BM288" s="75">
        <f t="shared" si="39"/>
        <v>0</v>
      </c>
      <c r="BN288" s="75">
        <f t="shared" si="40"/>
        <v>0</v>
      </c>
      <c r="BO288" s="75">
        <f t="shared" si="41"/>
        <v>0</v>
      </c>
      <c r="BP288" s="75">
        <f t="shared" si="42"/>
        <v>0</v>
      </c>
    </row>
    <row r="289" spans="1:68" ht="27" hidden="1" customHeight="1" x14ac:dyDescent="0.25">
      <c r="A289" s="60" t="s">
        <v>501</v>
      </c>
      <c r="B289" s="60" t="s">
        <v>502</v>
      </c>
      <c r="C289" s="34">
        <v>4301052180</v>
      </c>
      <c r="D289" s="652">
        <v>4680115888340</v>
      </c>
      <c r="E289" s="652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90</v>
      </c>
      <c r="N289" s="36"/>
      <c r="O289" s="35">
        <v>45</v>
      </c>
      <c r="P289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4"/>
      <c r="R289" s="654"/>
      <c r="S289" s="654"/>
      <c r="T289" s="655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503</v>
      </c>
      <c r="AG289" s="75"/>
      <c r="AJ289" s="79" t="s">
        <v>46</v>
      </c>
      <c r="AK289" s="79">
        <v>0</v>
      </c>
      <c r="BB289" s="384" t="s">
        <v>67</v>
      </c>
      <c r="BM289" s="75">
        <f t="shared" si="39"/>
        <v>0</v>
      </c>
      <c r="BN289" s="75">
        <f t="shared" si="40"/>
        <v>0</v>
      </c>
      <c r="BO289" s="75">
        <f t="shared" si="41"/>
        <v>0</v>
      </c>
      <c r="BP289" s="75">
        <f t="shared" si="42"/>
        <v>0</v>
      </c>
    </row>
    <row r="290" spans="1:68" x14ac:dyDescent="0.2">
      <c r="A290" s="646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47"/>
      <c r="P290" s="643" t="s">
        <v>40</v>
      </c>
      <c r="Q290" s="644"/>
      <c r="R290" s="644"/>
      <c r="S290" s="644"/>
      <c r="T290" s="644"/>
      <c r="U290" s="644"/>
      <c r="V290" s="645"/>
      <c r="W290" s="40" t="s">
        <v>39</v>
      </c>
      <c r="X290" s="41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80</v>
      </c>
      <c r="Y290" s="41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80</v>
      </c>
      <c r="Z290" s="41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0.52080000000000004</v>
      </c>
      <c r="AA290" s="64"/>
      <c r="AB290" s="64"/>
      <c r="AC290" s="64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47"/>
      <c r="P291" s="643" t="s">
        <v>40</v>
      </c>
      <c r="Q291" s="644"/>
      <c r="R291" s="644"/>
      <c r="S291" s="644"/>
      <c r="T291" s="644"/>
      <c r="U291" s="644"/>
      <c r="V291" s="645"/>
      <c r="W291" s="40" t="s">
        <v>0</v>
      </c>
      <c r="X291" s="41">
        <f>IFERROR(SUM(X278:X289),"0")</f>
        <v>192</v>
      </c>
      <c r="Y291" s="41">
        <f>IFERROR(SUM(Y278:Y289),"0")</f>
        <v>192</v>
      </c>
      <c r="Z291" s="40"/>
      <c r="AA291" s="64"/>
      <c r="AB291" s="64"/>
      <c r="AC291" s="64"/>
    </row>
    <row r="292" spans="1:68" ht="14.25" hidden="1" customHeight="1" x14ac:dyDescent="0.25">
      <c r="A292" s="657" t="s">
        <v>175</v>
      </c>
      <c r="B292" s="657"/>
      <c r="C292" s="657"/>
      <c r="D292" s="657"/>
      <c r="E292" s="657"/>
      <c r="F292" s="657"/>
      <c r="G292" s="657"/>
      <c r="H292" s="657"/>
      <c r="I292" s="657"/>
      <c r="J292" s="657"/>
      <c r="K292" s="657"/>
      <c r="L292" s="657"/>
      <c r="M292" s="657"/>
      <c r="N292" s="657"/>
      <c r="O292" s="657"/>
      <c r="P292" s="657"/>
      <c r="Q292" s="657"/>
      <c r="R292" s="657"/>
      <c r="S292" s="657"/>
      <c r="T292" s="657"/>
      <c r="U292" s="657"/>
      <c r="V292" s="657"/>
      <c r="W292" s="657"/>
      <c r="X292" s="657"/>
      <c r="Y292" s="657"/>
      <c r="Z292" s="657"/>
      <c r="AA292" s="63"/>
      <c r="AB292" s="63"/>
      <c r="AC292" s="63"/>
    </row>
    <row r="293" spans="1:68" ht="27" hidden="1" customHeight="1" x14ac:dyDescent="0.25">
      <c r="A293" s="60" t="s">
        <v>504</v>
      </c>
      <c r="B293" s="60" t="s">
        <v>505</v>
      </c>
      <c r="C293" s="34">
        <v>4301060463</v>
      </c>
      <c r="D293" s="652">
        <v>4680115880818</v>
      </c>
      <c r="E293" s="652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97</v>
      </c>
      <c r="N293" s="36"/>
      <c r="O293" s="35">
        <v>40</v>
      </c>
      <c r="P293" s="7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4"/>
      <c r="R293" s="654"/>
      <c r="S293" s="654"/>
      <c r="T293" s="655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85" t="s">
        <v>506</v>
      </c>
      <c r="AG293" s="75"/>
      <c r="AJ293" s="79" t="s">
        <v>46</v>
      </c>
      <c r="AK293" s="79">
        <v>0</v>
      </c>
      <c r="BB293" s="386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t="27" hidden="1" customHeight="1" x14ac:dyDescent="0.25">
      <c r="A294" s="60" t="s">
        <v>507</v>
      </c>
      <c r="B294" s="60" t="s">
        <v>508</v>
      </c>
      <c r="C294" s="34">
        <v>4301060389</v>
      </c>
      <c r="D294" s="652">
        <v>4680115880801</v>
      </c>
      <c r="E294" s="652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91</v>
      </c>
      <c r="L294" s="35" t="s">
        <v>46</v>
      </c>
      <c r="M294" s="36" t="s">
        <v>90</v>
      </c>
      <c r="N294" s="36"/>
      <c r="O294" s="35">
        <v>40</v>
      </c>
      <c r="P294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4"/>
      <c r="R294" s="654"/>
      <c r="S294" s="654"/>
      <c r="T294" s="655"/>
      <c r="U294" s="37" t="s">
        <v>46</v>
      </c>
      <c r="V294" s="37" t="s">
        <v>46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87" t="s">
        <v>509</v>
      </c>
      <c r="AG294" s="75"/>
      <c r="AJ294" s="79" t="s">
        <v>46</v>
      </c>
      <c r="AK294" s="79">
        <v>0</v>
      </c>
      <c r="BB294" s="388" t="s">
        <v>67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idden="1" x14ac:dyDescent="0.2">
      <c r="A295" s="646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47"/>
      <c r="P295" s="643" t="s">
        <v>40</v>
      </c>
      <c r="Q295" s="644"/>
      <c r="R295" s="644"/>
      <c r="S295" s="644"/>
      <c r="T295" s="644"/>
      <c r="U295" s="644"/>
      <c r="V295" s="645"/>
      <c r="W295" s="40" t="s">
        <v>39</v>
      </c>
      <c r="X295" s="41">
        <f>IFERROR(X293/H293,"0")+IFERROR(X294/H294,"0")</f>
        <v>0</v>
      </c>
      <c r="Y295" s="41">
        <f>IFERROR(Y293/H293,"0")+IFERROR(Y294/H294,"0")</f>
        <v>0</v>
      </c>
      <c r="Z295" s="41">
        <f>IFERROR(IF(Z293="",0,Z293),"0")+IFERROR(IF(Z294="",0,Z294),"0")</f>
        <v>0</v>
      </c>
      <c r="AA295" s="64"/>
      <c r="AB295" s="64"/>
      <c r="AC295" s="64"/>
    </row>
    <row r="296" spans="1:68" hidden="1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47"/>
      <c r="P296" s="643" t="s">
        <v>40</v>
      </c>
      <c r="Q296" s="644"/>
      <c r="R296" s="644"/>
      <c r="S296" s="644"/>
      <c r="T296" s="644"/>
      <c r="U296" s="644"/>
      <c r="V296" s="645"/>
      <c r="W296" s="40" t="s">
        <v>0</v>
      </c>
      <c r="X296" s="41">
        <f>IFERROR(SUM(X293:X294),"0")</f>
        <v>0</v>
      </c>
      <c r="Y296" s="41">
        <f>IFERROR(SUM(Y293:Y294),"0")</f>
        <v>0</v>
      </c>
      <c r="Z296" s="40"/>
      <c r="AA296" s="64"/>
      <c r="AB296" s="64"/>
      <c r="AC296" s="64"/>
    </row>
    <row r="297" spans="1:68" ht="16.5" hidden="1" customHeight="1" x14ac:dyDescent="0.25">
      <c r="A297" s="656" t="s">
        <v>510</v>
      </c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6"/>
      <c r="P297" s="656"/>
      <c r="Q297" s="656"/>
      <c r="R297" s="656"/>
      <c r="S297" s="656"/>
      <c r="T297" s="656"/>
      <c r="U297" s="656"/>
      <c r="V297" s="656"/>
      <c r="W297" s="656"/>
      <c r="X297" s="656"/>
      <c r="Y297" s="656"/>
      <c r="Z297" s="656"/>
      <c r="AA297" s="62"/>
      <c r="AB297" s="62"/>
      <c r="AC297" s="62"/>
    </row>
    <row r="298" spans="1:68" ht="14.25" hidden="1" customHeight="1" x14ac:dyDescent="0.25">
      <c r="A298" s="657" t="s">
        <v>122</v>
      </c>
      <c r="B298" s="657"/>
      <c r="C298" s="657"/>
      <c r="D298" s="657"/>
      <c r="E298" s="657"/>
      <c r="F298" s="657"/>
      <c r="G298" s="657"/>
      <c r="H298" s="657"/>
      <c r="I298" s="657"/>
      <c r="J298" s="657"/>
      <c r="K298" s="657"/>
      <c r="L298" s="657"/>
      <c r="M298" s="657"/>
      <c r="N298" s="657"/>
      <c r="O298" s="657"/>
      <c r="P298" s="657"/>
      <c r="Q298" s="657"/>
      <c r="R298" s="657"/>
      <c r="S298" s="657"/>
      <c r="T298" s="657"/>
      <c r="U298" s="657"/>
      <c r="V298" s="657"/>
      <c r="W298" s="657"/>
      <c r="X298" s="657"/>
      <c r="Y298" s="657"/>
      <c r="Z298" s="657"/>
      <c r="AA298" s="63"/>
      <c r="AB298" s="63"/>
      <c r="AC298" s="63"/>
    </row>
    <row r="299" spans="1:68" ht="27" hidden="1" customHeight="1" x14ac:dyDescent="0.25">
      <c r="A299" s="60" t="s">
        <v>511</v>
      </c>
      <c r="B299" s="60" t="s">
        <v>512</v>
      </c>
      <c r="C299" s="34">
        <v>4301011826</v>
      </c>
      <c r="D299" s="652">
        <v>4680115884137</v>
      </c>
      <c r="E299" s="652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77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4"/>
      <c r="R299" s="654"/>
      <c r="S299" s="654"/>
      <c r="T299" s="655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ref="Y299:Y305" si="43">IFERROR(IF(X299="",0,CEILING((X299/$H299),1)*$H299),"")</f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89" t="s">
        <v>513</v>
      </c>
      <c r="AG299" s="75"/>
      <c r="AJ299" s="79" t="s">
        <v>46</v>
      </c>
      <c r="AK299" s="79">
        <v>0</v>
      </c>
      <c r="BB299" s="390" t="s">
        <v>67</v>
      </c>
      <c r="BM299" s="75">
        <f t="shared" ref="BM299:BM305" si="44">IFERROR(X299*I299/H299,"0")</f>
        <v>0</v>
      </c>
      <c r="BN299" s="75">
        <f t="shared" ref="BN299:BN305" si="45">IFERROR(Y299*I299/H299,"0")</f>
        <v>0</v>
      </c>
      <c r="BO299" s="75">
        <f t="shared" ref="BO299:BO305" si="46">IFERROR(1/J299*(X299/H299),"0")</f>
        <v>0</v>
      </c>
      <c r="BP299" s="75">
        <f t="shared" ref="BP299:BP305" si="47">IFERROR(1/J299*(Y299/H299),"0")</f>
        <v>0</v>
      </c>
    </row>
    <row r="300" spans="1:68" ht="27" hidden="1" customHeight="1" x14ac:dyDescent="0.25">
      <c r="A300" s="60" t="s">
        <v>514</v>
      </c>
      <c r="B300" s="60" t="s">
        <v>515</v>
      </c>
      <c r="C300" s="34">
        <v>4301011724</v>
      </c>
      <c r="D300" s="652">
        <v>4680115884236</v>
      </c>
      <c r="E300" s="652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4"/>
      <c r="R300" s="654"/>
      <c r="S300" s="654"/>
      <c r="T300" s="655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3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1" t="s">
        <v>516</v>
      </c>
      <c r="AG300" s="75"/>
      <c r="AJ300" s="79" t="s">
        <v>46</v>
      </c>
      <c r="AK300" s="79">
        <v>0</v>
      </c>
      <c r="BB300" s="392" t="s">
        <v>67</v>
      </c>
      <c r="BM300" s="75">
        <f t="shared" si="44"/>
        <v>0</v>
      </c>
      <c r="BN300" s="75">
        <f t="shared" si="45"/>
        <v>0</v>
      </c>
      <c r="BO300" s="75">
        <f t="shared" si="46"/>
        <v>0</v>
      </c>
      <c r="BP300" s="75">
        <f t="shared" si="47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4301011721</v>
      </c>
      <c r="D301" s="652">
        <v>4680115884175</v>
      </c>
      <c r="E301" s="652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127</v>
      </c>
      <c r="L301" s="35" t="s">
        <v>46</v>
      </c>
      <c r="M301" s="36" t="s">
        <v>126</v>
      </c>
      <c r="N301" s="36"/>
      <c r="O301" s="35">
        <v>55</v>
      </c>
      <c r="P301" s="78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4"/>
      <c r="R301" s="654"/>
      <c r="S301" s="654"/>
      <c r="T301" s="655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3"/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371</v>
      </c>
      <c r="AG301" s="75"/>
      <c r="AJ301" s="79" t="s">
        <v>46</v>
      </c>
      <c r="AK301" s="79">
        <v>0</v>
      </c>
      <c r="BB301" s="394" t="s">
        <v>67</v>
      </c>
      <c r="BM301" s="75">
        <f t="shared" si="44"/>
        <v>0</v>
      </c>
      <c r="BN301" s="75">
        <f t="shared" si="45"/>
        <v>0</v>
      </c>
      <c r="BO301" s="75">
        <f t="shared" si="46"/>
        <v>0</v>
      </c>
      <c r="BP301" s="75">
        <f t="shared" si="47"/>
        <v>0</v>
      </c>
    </row>
    <row r="302" spans="1:68" ht="27" customHeight="1" x14ac:dyDescent="0.25">
      <c r="A302" s="60" t="s">
        <v>519</v>
      </c>
      <c r="B302" s="60" t="s">
        <v>520</v>
      </c>
      <c r="C302" s="34">
        <v>4301011824</v>
      </c>
      <c r="D302" s="652">
        <v>4680115884144</v>
      </c>
      <c r="E302" s="652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4"/>
      <c r="R302" s="654"/>
      <c r="S302" s="654"/>
      <c r="T302" s="655"/>
      <c r="U302" s="37" t="s">
        <v>46</v>
      </c>
      <c r="V302" s="37" t="s">
        <v>46</v>
      </c>
      <c r="W302" s="38" t="s">
        <v>0</v>
      </c>
      <c r="X302" s="56">
        <v>24</v>
      </c>
      <c r="Y302" s="53">
        <f t="shared" si="43"/>
        <v>24</v>
      </c>
      <c r="Z302" s="39">
        <f>IFERROR(IF(Y302=0,"",ROUNDUP(Y302/H302,0)*0.00902),"")</f>
        <v>5.4120000000000001E-2</v>
      </c>
      <c r="AA302" s="65" t="s">
        <v>46</v>
      </c>
      <c r="AB302" s="66" t="s">
        <v>46</v>
      </c>
      <c r="AC302" s="395" t="s">
        <v>513</v>
      </c>
      <c r="AG302" s="75"/>
      <c r="AJ302" s="79" t="s">
        <v>46</v>
      </c>
      <c r="AK302" s="79">
        <v>0</v>
      </c>
      <c r="BB302" s="396" t="s">
        <v>67</v>
      </c>
      <c r="BM302" s="75">
        <f t="shared" si="44"/>
        <v>25.14</v>
      </c>
      <c r="BN302" s="75">
        <f t="shared" si="45"/>
        <v>25.14</v>
      </c>
      <c r="BO302" s="75">
        <f t="shared" si="46"/>
        <v>4.5454545454545456E-2</v>
      </c>
      <c r="BP302" s="75">
        <f t="shared" si="47"/>
        <v>4.5454545454545456E-2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4301012149</v>
      </c>
      <c r="D303" s="652">
        <v>4680115886551</v>
      </c>
      <c r="E303" s="652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134</v>
      </c>
      <c r="L303" s="35" t="s">
        <v>46</v>
      </c>
      <c r="M303" s="36" t="s">
        <v>126</v>
      </c>
      <c r="N303" s="36"/>
      <c r="O303" s="35">
        <v>55</v>
      </c>
      <c r="P303" s="77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4"/>
      <c r="R303" s="654"/>
      <c r="S303" s="654"/>
      <c r="T303" s="655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3"/>
        <v>0</v>
      </c>
      <c r="Z303" s="39" t="str">
        <f>IFERROR(IF(Y303=0,"",ROUNDUP(Y303/H303,0)*0.00902),"")</f>
        <v/>
      </c>
      <c r="AA303" s="65" t="s">
        <v>46</v>
      </c>
      <c r="AB303" s="66" t="s">
        <v>46</v>
      </c>
      <c r="AC303" s="397" t="s">
        <v>523</v>
      </c>
      <c r="AG303" s="75"/>
      <c r="AJ303" s="79" t="s">
        <v>46</v>
      </c>
      <c r="AK303" s="79">
        <v>0</v>
      </c>
      <c r="BB303" s="398" t="s">
        <v>67</v>
      </c>
      <c r="BM303" s="75">
        <f t="shared" si="44"/>
        <v>0</v>
      </c>
      <c r="BN303" s="75">
        <f t="shared" si="45"/>
        <v>0</v>
      </c>
      <c r="BO303" s="75">
        <f t="shared" si="46"/>
        <v>0</v>
      </c>
      <c r="BP303" s="75">
        <f t="shared" si="47"/>
        <v>0</v>
      </c>
    </row>
    <row r="304" spans="1:68" ht="27" hidden="1" customHeight="1" x14ac:dyDescent="0.25">
      <c r="A304" s="60" t="s">
        <v>524</v>
      </c>
      <c r="B304" s="60" t="s">
        <v>525</v>
      </c>
      <c r="C304" s="34">
        <v>4301012228</v>
      </c>
      <c r="D304" s="652">
        <v>4680115887282</v>
      </c>
      <c r="E304" s="652"/>
      <c r="F304" s="59">
        <v>0.4</v>
      </c>
      <c r="G304" s="35">
        <v>6</v>
      </c>
      <c r="H304" s="59">
        <v>2.4</v>
      </c>
      <c r="I304" s="59">
        <v>2.58</v>
      </c>
      <c r="J304" s="35">
        <v>182</v>
      </c>
      <c r="K304" s="35" t="s">
        <v>91</v>
      </c>
      <c r="L304" s="35" t="s">
        <v>46</v>
      </c>
      <c r="M304" s="36" t="s">
        <v>126</v>
      </c>
      <c r="N304" s="36"/>
      <c r="O304" s="35">
        <v>55</v>
      </c>
      <c r="P304" s="77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4"/>
      <c r="R304" s="654"/>
      <c r="S304" s="654"/>
      <c r="T304" s="655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3"/>
        <v>0</v>
      </c>
      <c r="Z304" s="39" t="str">
        <f>IFERROR(IF(Y304=0,"",ROUNDUP(Y304/H304,0)*0.00651),"")</f>
        <v/>
      </c>
      <c r="AA304" s="65" t="s">
        <v>46</v>
      </c>
      <c r="AB304" s="66" t="s">
        <v>46</v>
      </c>
      <c r="AC304" s="399" t="s">
        <v>526</v>
      </c>
      <c r="AG304" s="75"/>
      <c r="AJ304" s="79" t="s">
        <v>46</v>
      </c>
      <c r="AK304" s="79">
        <v>0</v>
      </c>
      <c r="BB304" s="400" t="s">
        <v>67</v>
      </c>
      <c r="BM304" s="75">
        <f t="shared" si="44"/>
        <v>0</v>
      </c>
      <c r="BN304" s="75">
        <f t="shared" si="45"/>
        <v>0</v>
      </c>
      <c r="BO304" s="75">
        <f t="shared" si="46"/>
        <v>0</v>
      </c>
      <c r="BP304" s="75">
        <f t="shared" si="47"/>
        <v>0</v>
      </c>
    </row>
    <row r="305" spans="1:68" ht="27" customHeight="1" x14ac:dyDescent="0.25">
      <c r="A305" s="60" t="s">
        <v>527</v>
      </c>
      <c r="B305" s="60" t="s">
        <v>528</v>
      </c>
      <c r="C305" s="34">
        <v>4301011722</v>
      </c>
      <c r="D305" s="652">
        <v>4680115884205</v>
      </c>
      <c r="E305" s="652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134</v>
      </c>
      <c r="L305" s="35" t="s">
        <v>46</v>
      </c>
      <c r="M305" s="36" t="s">
        <v>126</v>
      </c>
      <c r="N305" s="36"/>
      <c r="O305" s="35">
        <v>55</v>
      </c>
      <c r="P305" s="77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4"/>
      <c r="R305" s="654"/>
      <c r="S305" s="654"/>
      <c r="T305" s="655"/>
      <c r="U305" s="37" t="s">
        <v>46</v>
      </c>
      <c r="V305" s="37" t="s">
        <v>46</v>
      </c>
      <c r="W305" s="38" t="s">
        <v>0</v>
      </c>
      <c r="X305" s="56">
        <v>50.4</v>
      </c>
      <c r="Y305" s="53">
        <f t="shared" si="43"/>
        <v>52</v>
      </c>
      <c r="Z305" s="39">
        <f>IFERROR(IF(Y305=0,"",ROUNDUP(Y305/H305,0)*0.00902),"")</f>
        <v>0.11726</v>
      </c>
      <c r="AA305" s="65" t="s">
        <v>46</v>
      </c>
      <c r="AB305" s="66" t="s">
        <v>46</v>
      </c>
      <c r="AC305" s="401" t="s">
        <v>371</v>
      </c>
      <c r="AG305" s="75"/>
      <c r="AJ305" s="79" t="s">
        <v>46</v>
      </c>
      <c r="AK305" s="79">
        <v>0</v>
      </c>
      <c r="BB305" s="402" t="s">
        <v>67</v>
      </c>
      <c r="BM305" s="75">
        <f t="shared" si="44"/>
        <v>52.794000000000004</v>
      </c>
      <c r="BN305" s="75">
        <f t="shared" si="45"/>
        <v>54.470000000000006</v>
      </c>
      <c r="BO305" s="75">
        <f t="shared" si="46"/>
        <v>9.5454545454545459E-2</v>
      </c>
      <c r="BP305" s="75">
        <f t="shared" si="47"/>
        <v>9.8484848484848481E-2</v>
      </c>
    </row>
    <row r="306" spans="1:68" x14ac:dyDescent="0.2">
      <c r="A306" s="646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47"/>
      <c r="P306" s="643" t="s">
        <v>40</v>
      </c>
      <c r="Q306" s="644"/>
      <c r="R306" s="644"/>
      <c r="S306" s="644"/>
      <c r="T306" s="644"/>
      <c r="U306" s="644"/>
      <c r="V306" s="645"/>
      <c r="W306" s="40" t="s">
        <v>39</v>
      </c>
      <c r="X306" s="41">
        <f>IFERROR(X299/H299,"0")+IFERROR(X300/H300,"0")+IFERROR(X301/H301,"0")+IFERROR(X302/H302,"0")+IFERROR(X303/H303,"0")+IFERROR(X304/H304,"0")+IFERROR(X305/H305,"0")</f>
        <v>18.600000000000001</v>
      </c>
      <c r="Y306" s="41">
        <f>IFERROR(Y299/H299,"0")+IFERROR(Y300/H300,"0")+IFERROR(Y301/H301,"0")+IFERROR(Y302/H302,"0")+IFERROR(Y303/H303,"0")+IFERROR(Y304/H304,"0")+IFERROR(Y305/H305,"0")</f>
        <v>19</v>
      </c>
      <c r="Z306" s="41">
        <f>IFERROR(IF(Z299="",0,Z299),"0")+IFERROR(IF(Z300="",0,Z300),"0")+IFERROR(IF(Z301="",0,Z301),"0")+IFERROR(IF(Z302="",0,Z302),"0")+IFERROR(IF(Z303="",0,Z303),"0")+IFERROR(IF(Z304="",0,Z304),"0")+IFERROR(IF(Z305="",0,Z305),"0")</f>
        <v>0.17138</v>
      </c>
      <c r="AA306" s="64"/>
      <c r="AB306" s="64"/>
      <c r="AC306" s="64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47"/>
      <c r="P307" s="643" t="s">
        <v>40</v>
      </c>
      <c r="Q307" s="644"/>
      <c r="R307" s="644"/>
      <c r="S307" s="644"/>
      <c r="T307" s="644"/>
      <c r="U307" s="644"/>
      <c r="V307" s="645"/>
      <c r="W307" s="40" t="s">
        <v>0</v>
      </c>
      <c r="X307" s="41">
        <f>IFERROR(SUM(X299:X305),"0")</f>
        <v>74.400000000000006</v>
      </c>
      <c r="Y307" s="41">
        <f>IFERROR(SUM(Y299:Y305),"0")</f>
        <v>76</v>
      </c>
      <c r="Z307" s="40"/>
      <c r="AA307" s="64"/>
      <c r="AB307" s="64"/>
      <c r="AC307" s="64"/>
    </row>
    <row r="308" spans="1:68" ht="14.25" hidden="1" customHeight="1" x14ac:dyDescent="0.25">
      <c r="A308" s="657" t="s">
        <v>158</v>
      </c>
      <c r="B308" s="657"/>
      <c r="C308" s="657"/>
      <c r="D308" s="657"/>
      <c r="E308" s="657"/>
      <c r="F308" s="657"/>
      <c r="G308" s="657"/>
      <c r="H308" s="657"/>
      <c r="I308" s="657"/>
      <c r="J308" s="657"/>
      <c r="K308" s="657"/>
      <c r="L308" s="657"/>
      <c r="M308" s="657"/>
      <c r="N308" s="657"/>
      <c r="O308" s="657"/>
      <c r="P308" s="657"/>
      <c r="Q308" s="657"/>
      <c r="R308" s="657"/>
      <c r="S308" s="657"/>
      <c r="T308" s="657"/>
      <c r="U308" s="657"/>
      <c r="V308" s="657"/>
      <c r="W308" s="657"/>
      <c r="X308" s="657"/>
      <c r="Y308" s="657"/>
      <c r="Z308" s="657"/>
      <c r="AA308" s="63"/>
      <c r="AB308" s="63"/>
      <c r="AC308" s="63"/>
    </row>
    <row r="309" spans="1:68" ht="27" hidden="1" customHeight="1" x14ac:dyDescent="0.25">
      <c r="A309" s="60" t="s">
        <v>529</v>
      </c>
      <c r="B309" s="60" t="s">
        <v>530</v>
      </c>
      <c r="C309" s="34">
        <v>4301020377</v>
      </c>
      <c r="D309" s="652">
        <v>4680115885981</v>
      </c>
      <c r="E309" s="652"/>
      <c r="F309" s="59">
        <v>0.33</v>
      </c>
      <c r="G309" s="35">
        <v>6</v>
      </c>
      <c r="H309" s="59">
        <v>1.98</v>
      </c>
      <c r="I309" s="59">
        <v>2.08</v>
      </c>
      <c r="J309" s="35">
        <v>234</v>
      </c>
      <c r="K309" s="35" t="s">
        <v>82</v>
      </c>
      <c r="L309" s="35" t="s">
        <v>46</v>
      </c>
      <c r="M309" s="36" t="s">
        <v>90</v>
      </c>
      <c r="N309" s="36"/>
      <c r="O309" s="35">
        <v>50</v>
      </c>
      <c r="P309" s="77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4"/>
      <c r="R309" s="654"/>
      <c r="S309" s="654"/>
      <c r="T309" s="655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46</v>
      </c>
      <c r="AB309" s="66" t="s">
        <v>46</v>
      </c>
      <c r="AC309" s="403" t="s">
        <v>531</v>
      </c>
      <c r="AG309" s="75"/>
      <c r="AJ309" s="79" t="s">
        <v>46</v>
      </c>
      <c r="AK309" s="79">
        <v>0</v>
      </c>
      <c r="BB309" s="40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idden="1" x14ac:dyDescent="0.2">
      <c r="A310" s="646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47"/>
      <c r="P310" s="643" t="s">
        <v>40</v>
      </c>
      <c r="Q310" s="644"/>
      <c r="R310" s="644"/>
      <c r="S310" s="644"/>
      <c r="T310" s="644"/>
      <c r="U310" s="644"/>
      <c r="V310" s="645"/>
      <c r="W310" s="40" t="s">
        <v>39</v>
      </c>
      <c r="X310" s="41">
        <f>IFERROR(X309/H309,"0")</f>
        <v>0</v>
      </c>
      <c r="Y310" s="41">
        <f>IFERROR(Y309/H309,"0")</f>
        <v>0</v>
      </c>
      <c r="Z310" s="41">
        <f>IFERROR(IF(Z309="",0,Z309),"0")</f>
        <v>0</v>
      </c>
      <c r="AA310" s="64"/>
      <c r="AB310" s="64"/>
      <c r="AC310" s="64"/>
    </row>
    <row r="311" spans="1:68" hidden="1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47"/>
      <c r="P311" s="643" t="s">
        <v>40</v>
      </c>
      <c r="Q311" s="644"/>
      <c r="R311" s="644"/>
      <c r="S311" s="644"/>
      <c r="T311" s="644"/>
      <c r="U311" s="644"/>
      <c r="V311" s="645"/>
      <c r="W311" s="40" t="s">
        <v>0</v>
      </c>
      <c r="X311" s="41">
        <f>IFERROR(SUM(X309:X309),"0")</f>
        <v>0</v>
      </c>
      <c r="Y311" s="41">
        <f>IFERROR(SUM(Y309:Y309),"0")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657" t="s">
        <v>532</v>
      </c>
      <c r="B312" s="657"/>
      <c r="C312" s="657"/>
      <c r="D312" s="657"/>
      <c r="E312" s="657"/>
      <c r="F312" s="657"/>
      <c r="G312" s="657"/>
      <c r="H312" s="657"/>
      <c r="I312" s="657"/>
      <c r="J312" s="657"/>
      <c r="K312" s="657"/>
      <c r="L312" s="657"/>
      <c r="M312" s="657"/>
      <c r="N312" s="657"/>
      <c r="O312" s="657"/>
      <c r="P312" s="657"/>
      <c r="Q312" s="657"/>
      <c r="R312" s="657"/>
      <c r="S312" s="657"/>
      <c r="T312" s="657"/>
      <c r="U312" s="657"/>
      <c r="V312" s="657"/>
      <c r="W312" s="657"/>
      <c r="X312" s="657"/>
      <c r="Y312" s="657"/>
      <c r="Z312" s="657"/>
      <c r="AA312" s="63"/>
      <c r="AB312" s="63"/>
      <c r="AC312" s="63"/>
    </row>
    <row r="313" spans="1:68" ht="27" hidden="1" customHeight="1" x14ac:dyDescent="0.25">
      <c r="A313" s="60" t="s">
        <v>533</v>
      </c>
      <c r="B313" s="60" t="s">
        <v>534</v>
      </c>
      <c r="C313" s="34">
        <v>4301040362</v>
      </c>
      <c r="D313" s="652">
        <v>4680115886803</v>
      </c>
      <c r="E313" s="652"/>
      <c r="F313" s="59">
        <v>0.12</v>
      </c>
      <c r="G313" s="35">
        <v>15</v>
      </c>
      <c r="H313" s="59">
        <v>1.8</v>
      </c>
      <c r="I313" s="59">
        <v>1.9750000000000001</v>
      </c>
      <c r="J313" s="35">
        <v>216</v>
      </c>
      <c r="K313" s="35" t="s">
        <v>345</v>
      </c>
      <c r="L313" s="35" t="s">
        <v>46</v>
      </c>
      <c r="M313" s="36" t="s">
        <v>288</v>
      </c>
      <c r="N313" s="36"/>
      <c r="O313" s="35">
        <v>45</v>
      </c>
      <c r="P313" s="77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4"/>
      <c r="R313" s="654"/>
      <c r="S313" s="654"/>
      <c r="T313" s="655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IFERROR(IF(Y313=0,"",ROUNDUP(Y313/H313,0)*0.0059),"")</f>
        <v/>
      </c>
      <c r="AA313" s="65" t="s">
        <v>46</v>
      </c>
      <c r="AB313" s="66" t="s">
        <v>46</v>
      </c>
      <c r="AC313" s="405" t="s">
        <v>535</v>
      </c>
      <c r="AG313" s="75"/>
      <c r="AJ313" s="79" t="s">
        <v>46</v>
      </c>
      <c r="AK313" s="79">
        <v>0</v>
      </c>
      <c r="BB313" s="406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46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47"/>
      <c r="P314" s="643" t="s">
        <v>40</v>
      </c>
      <c r="Q314" s="644"/>
      <c r="R314" s="644"/>
      <c r="S314" s="644"/>
      <c r="T314" s="644"/>
      <c r="U314" s="644"/>
      <c r="V314" s="645"/>
      <c r="W314" s="40" t="s">
        <v>39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hidden="1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47"/>
      <c r="P315" s="643" t="s">
        <v>40</v>
      </c>
      <c r="Q315" s="644"/>
      <c r="R315" s="644"/>
      <c r="S315" s="644"/>
      <c r="T315" s="644"/>
      <c r="U315" s="644"/>
      <c r="V315" s="645"/>
      <c r="W315" s="40" t="s">
        <v>0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657" t="s">
        <v>349</v>
      </c>
      <c r="B316" s="657"/>
      <c r="C316" s="657"/>
      <c r="D316" s="657"/>
      <c r="E316" s="657"/>
      <c r="F316" s="657"/>
      <c r="G316" s="657"/>
      <c r="H316" s="657"/>
      <c r="I316" s="657"/>
      <c r="J316" s="657"/>
      <c r="K316" s="657"/>
      <c r="L316" s="657"/>
      <c r="M316" s="657"/>
      <c r="N316" s="657"/>
      <c r="O316" s="657"/>
      <c r="P316" s="657"/>
      <c r="Q316" s="657"/>
      <c r="R316" s="657"/>
      <c r="S316" s="657"/>
      <c r="T316" s="657"/>
      <c r="U316" s="657"/>
      <c r="V316" s="657"/>
      <c r="W316" s="657"/>
      <c r="X316" s="657"/>
      <c r="Y316" s="657"/>
      <c r="Z316" s="657"/>
      <c r="AA316" s="63"/>
      <c r="AB316" s="63"/>
      <c r="AC316" s="63"/>
    </row>
    <row r="317" spans="1:68" ht="27" hidden="1" customHeight="1" x14ac:dyDescent="0.25">
      <c r="A317" s="60" t="s">
        <v>536</v>
      </c>
      <c r="B317" s="60" t="s">
        <v>537</v>
      </c>
      <c r="C317" s="34">
        <v>4301041004</v>
      </c>
      <c r="D317" s="652">
        <v>4680115886704</v>
      </c>
      <c r="E317" s="652"/>
      <c r="F317" s="59">
        <v>5.5E-2</v>
      </c>
      <c r="G317" s="35">
        <v>18</v>
      </c>
      <c r="H317" s="59">
        <v>0.99</v>
      </c>
      <c r="I317" s="59">
        <v>1.18</v>
      </c>
      <c r="J317" s="35">
        <v>216</v>
      </c>
      <c r="K317" s="35" t="s">
        <v>345</v>
      </c>
      <c r="L317" s="35" t="s">
        <v>46</v>
      </c>
      <c r="M317" s="36" t="s">
        <v>288</v>
      </c>
      <c r="N317" s="36"/>
      <c r="O317" s="35">
        <v>90</v>
      </c>
      <c r="P317" s="77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4"/>
      <c r="R317" s="654"/>
      <c r="S317" s="654"/>
      <c r="T317" s="655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07" t="s">
        <v>538</v>
      </c>
      <c r="AG317" s="75"/>
      <c r="AJ317" s="79" t="s">
        <v>46</v>
      </c>
      <c r="AK317" s="79">
        <v>0</v>
      </c>
      <c r="BB317" s="408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539</v>
      </c>
      <c r="B318" s="60" t="s">
        <v>540</v>
      </c>
      <c r="C318" s="34">
        <v>4301041008</v>
      </c>
      <c r="D318" s="652">
        <v>4680115886681</v>
      </c>
      <c r="E318" s="652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345</v>
      </c>
      <c r="L318" s="35" t="s">
        <v>46</v>
      </c>
      <c r="M318" s="36" t="s">
        <v>288</v>
      </c>
      <c r="N318" s="36"/>
      <c r="O318" s="35">
        <v>90</v>
      </c>
      <c r="P318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4"/>
      <c r="R318" s="654"/>
      <c r="S318" s="654"/>
      <c r="T318" s="655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09" t="s">
        <v>538</v>
      </c>
      <c r="AG318" s="75"/>
      <c r="AJ318" s="79" t="s">
        <v>46</v>
      </c>
      <c r="AK318" s="79">
        <v>0</v>
      </c>
      <c r="BB318" s="410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541</v>
      </c>
      <c r="B319" s="60" t="s">
        <v>542</v>
      </c>
      <c r="C319" s="34">
        <v>4301041007</v>
      </c>
      <c r="D319" s="652">
        <v>4680115886735</v>
      </c>
      <c r="E319" s="652"/>
      <c r="F319" s="59">
        <v>0.05</v>
      </c>
      <c r="G319" s="35">
        <v>18</v>
      </c>
      <c r="H319" s="59">
        <v>0.9</v>
      </c>
      <c r="I319" s="59">
        <v>1.0900000000000001</v>
      </c>
      <c r="J319" s="35">
        <v>216</v>
      </c>
      <c r="K319" s="35" t="s">
        <v>345</v>
      </c>
      <c r="L319" s="35" t="s">
        <v>46</v>
      </c>
      <c r="M319" s="36" t="s">
        <v>288</v>
      </c>
      <c r="N319" s="36"/>
      <c r="O319" s="35">
        <v>90</v>
      </c>
      <c r="P319" s="77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4"/>
      <c r="R319" s="654"/>
      <c r="S319" s="654"/>
      <c r="T319" s="655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538</v>
      </c>
      <c r="AG319" s="75"/>
      <c r="AJ319" s="79" t="s">
        <v>46</v>
      </c>
      <c r="AK319" s="79">
        <v>0</v>
      </c>
      <c r="BB319" s="412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646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47"/>
      <c r="P320" s="643" t="s">
        <v>40</v>
      </c>
      <c r="Q320" s="644"/>
      <c r="R320" s="644"/>
      <c r="S320" s="644"/>
      <c r="T320" s="644"/>
      <c r="U320" s="644"/>
      <c r="V320" s="645"/>
      <c r="W320" s="40" t="s">
        <v>39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47"/>
      <c r="P321" s="643" t="s">
        <v>40</v>
      </c>
      <c r="Q321" s="644"/>
      <c r="R321" s="644"/>
      <c r="S321" s="644"/>
      <c r="T321" s="644"/>
      <c r="U321" s="644"/>
      <c r="V321" s="645"/>
      <c r="W321" s="40" t="s">
        <v>0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656" t="s">
        <v>543</v>
      </c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6"/>
      <c r="P322" s="656"/>
      <c r="Q322" s="656"/>
      <c r="R322" s="656"/>
      <c r="S322" s="656"/>
      <c r="T322" s="656"/>
      <c r="U322" s="656"/>
      <c r="V322" s="656"/>
      <c r="W322" s="656"/>
      <c r="X322" s="656"/>
      <c r="Y322" s="656"/>
      <c r="Z322" s="656"/>
      <c r="AA322" s="62"/>
      <c r="AB322" s="62"/>
      <c r="AC322" s="62"/>
    </row>
    <row r="323" spans="1:68" ht="14.25" hidden="1" customHeight="1" x14ac:dyDescent="0.25">
      <c r="A323" s="657" t="s">
        <v>122</v>
      </c>
      <c r="B323" s="657"/>
      <c r="C323" s="657"/>
      <c r="D323" s="657"/>
      <c r="E323" s="657"/>
      <c r="F323" s="657"/>
      <c r="G323" s="657"/>
      <c r="H323" s="657"/>
      <c r="I323" s="657"/>
      <c r="J323" s="657"/>
      <c r="K323" s="657"/>
      <c r="L323" s="657"/>
      <c r="M323" s="657"/>
      <c r="N323" s="657"/>
      <c r="O323" s="657"/>
      <c r="P323" s="657"/>
      <c r="Q323" s="657"/>
      <c r="R323" s="657"/>
      <c r="S323" s="657"/>
      <c r="T323" s="657"/>
      <c r="U323" s="657"/>
      <c r="V323" s="657"/>
      <c r="W323" s="657"/>
      <c r="X323" s="657"/>
      <c r="Y323" s="657"/>
      <c r="Z323" s="657"/>
      <c r="AA323" s="63"/>
      <c r="AB323" s="63"/>
      <c r="AC323" s="63"/>
    </row>
    <row r="324" spans="1:68" ht="27" hidden="1" customHeight="1" x14ac:dyDescent="0.25">
      <c r="A324" s="60" t="s">
        <v>544</v>
      </c>
      <c r="B324" s="60" t="s">
        <v>545</v>
      </c>
      <c r="C324" s="34">
        <v>4301011855</v>
      </c>
      <c r="D324" s="652">
        <v>4680115885837</v>
      </c>
      <c r="E324" s="652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7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4"/>
      <c r="R324" s="654"/>
      <c r="S324" s="654"/>
      <c r="T324" s="655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3" t="s">
        <v>546</v>
      </c>
      <c r="AG324" s="75"/>
      <c r="AJ324" s="79" t="s">
        <v>46</v>
      </c>
      <c r="AK324" s="79">
        <v>0</v>
      </c>
      <c r="BB324" s="414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37.5" hidden="1" customHeight="1" x14ac:dyDescent="0.25">
      <c r="A325" s="60" t="s">
        <v>547</v>
      </c>
      <c r="B325" s="60" t="s">
        <v>548</v>
      </c>
      <c r="C325" s="34">
        <v>4301012234</v>
      </c>
      <c r="D325" s="652">
        <v>4680115887237</v>
      </c>
      <c r="E325" s="652"/>
      <c r="F325" s="59">
        <v>1.35</v>
      </c>
      <c r="G325" s="35">
        <v>8</v>
      </c>
      <c r="H325" s="59">
        <v>10.8</v>
      </c>
      <c r="I325" s="59">
        <v>11.21</v>
      </c>
      <c r="J325" s="35">
        <v>64</v>
      </c>
      <c r="K325" s="35" t="s">
        <v>127</v>
      </c>
      <c r="L325" s="35" t="s">
        <v>46</v>
      </c>
      <c r="M325" s="36" t="s">
        <v>126</v>
      </c>
      <c r="N325" s="36"/>
      <c r="O325" s="35">
        <v>55</v>
      </c>
      <c r="P325" s="77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4"/>
      <c r="R325" s="654"/>
      <c r="S325" s="654"/>
      <c r="T325" s="655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IFERROR(IF(Y325=0,"",ROUNDUP(Y325/H325,0)*0.01898),"")</f>
        <v/>
      </c>
      <c r="AA325" s="65" t="s">
        <v>46</v>
      </c>
      <c r="AB325" s="66" t="s">
        <v>46</v>
      </c>
      <c r="AC325" s="415" t="s">
        <v>549</v>
      </c>
      <c r="AG325" s="75"/>
      <c r="AJ325" s="79" t="s">
        <v>46</v>
      </c>
      <c r="AK325" s="79">
        <v>0</v>
      </c>
      <c r="BB325" s="416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550</v>
      </c>
      <c r="B326" s="60" t="s">
        <v>551</v>
      </c>
      <c r="C326" s="34">
        <v>4301011850</v>
      </c>
      <c r="D326" s="652">
        <v>4680115885806</v>
      </c>
      <c r="E326" s="652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127</v>
      </c>
      <c r="L326" s="35" t="s">
        <v>46</v>
      </c>
      <c r="M326" s="36" t="s">
        <v>126</v>
      </c>
      <c r="N326" s="36"/>
      <c r="O326" s="35">
        <v>55</v>
      </c>
      <c r="P326" s="76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4"/>
      <c r="R326" s="654"/>
      <c r="S326" s="654"/>
      <c r="T326" s="655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552</v>
      </c>
      <c r="AG326" s="75"/>
      <c r="AJ326" s="79" t="s">
        <v>46</v>
      </c>
      <c r="AK326" s="79">
        <v>0</v>
      </c>
      <c r="BB326" s="418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553</v>
      </c>
      <c r="B327" s="60" t="s">
        <v>554</v>
      </c>
      <c r="C327" s="34">
        <v>4301011852</v>
      </c>
      <c r="D327" s="652">
        <v>4680115885844</v>
      </c>
      <c r="E327" s="652"/>
      <c r="F327" s="59">
        <v>0.4</v>
      </c>
      <c r="G327" s="35">
        <v>10</v>
      </c>
      <c r="H327" s="59">
        <v>4</v>
      </c>
      <c r="I327" s="59">
        <v>4.1900000000000004</v>
      </c>
      <c r="J327" s="35">
        <v>132</v>
      </c>
      <c r="K327" s="35" t="s">
        <v>134</v>
      </c>
      <c r="L327" s="35" t="s">
        <v>46</v>
      </c>
      <c r="M327" s="36" t="s">
        <v>126</v>
      </c>
      <c r="N327" s="36"/>
      <c r="O327" s="35">
        <v>55</v>
      </c>
      <c r="P327" s="76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4"/>
      <c r="R327" s="654"/>
      <c r="S327" s="654"/>
      <c r="T327" s="655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IFERROR(IF(Y327=0,"",ROUNDUP(Y327/H327,0)*0.00902),"")</f>
        <v/>
      </c>
      <c r="AA327" s="65" t="s">
        <v>46</v>
      </c>
      <c r="AB327" s="66" t="s">
        <v>46</v>
      </c>
      <c r="AC327" s="419" t="s">
        <v>555</v>
      </c>
      <c r="AG327" s="75"/>
      <c r="AJ327" s="79" t="s">
        <v>46</v>
      </c>
      <c r="AK327" s="79">
        <v>0</v>
      </c>
      <c r="BB327" s="420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37.5" hidden="1" customHeight="1" x14ac:dyDescent="0.25">
      <c r="A328" s="60" t="s">
        <v>556</v>
      </c>
      <c r="B328" s="60" t="s">
        <v>557</v>
      </c>
      <c r="C328" s="34">
        <v>4301011851</v>
      </c>
      <c r="D328" s="652">
        <v>4680115885820</v>
      </c>
      <c r="E328" s="652"/>
      <c r="F328" s="59">
        <v>0.4</v>
      </c>
      <c r="G328" s="35">
        <v>10</v>
      </c>
      <c r="H328" s="59">
        <v>4</v>
      </c>
      <c r="I328" s="59">
        <v>4.1900000000000004</v>
      </c>
      <c r="J328" s="35">
        <v>132</v>
      </c>
      <c r="K328" s="35" t="s">
        <v>134</v>
      </c>
      <c r="L328" s="35" t="s">
        <v>46</v>
      </c>
      <c r="M328" s="36" t="s">
        <v>126</v>
      </c>
      <c r="N328" s="36"/>
      <c r="O328" s="35">
        <v>55</v>
      </c>
      <c r="P328" s="7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4"/>
      <c r="R328" s="654"/>
      <c r="S328" s="654"/>
      <c r="T328" s="655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46</v>
      </c>
      <c r="AB328" s="66" t="s">
        <v>46</v>
      </c>
      <c r="AC328" s="421" t="s">
        <v>558</v>
      </c>
      <c r="AG328" s="75"/>
      <c r="AJ328" s="79" t="s">
        <v>46</v>
      </c>
      <c r="AK328" s="79">
        <v>0</v>
      </c>
      <c r="BB328" s="422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46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47"/>
      <c r="P329" s="643" t="s">
        <v>40</v>
      </c>
      <c r="Q329" s="644"/>
      <c r="R329" s="644"/>
      <c r="S329" s="644"/>
      <c r="T329" s="644"/>
      <c r="U329" s="644"/>
      <c r="V329" s="645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47"/>
      <c r="P330" s="643" t="s">
        <v>40</v>
      </c>
      <c r="Q330" s="644"/>
      <c r="R330" s="644"/>
      <c r="S330" s="644"/>
      <c r="T330" s="644"/>
      <c r="U330" s="644"/>
      <c r="V330" s="645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6.5" hidden="1" customHeight="1" x14ac:dyDescent="0.25">
      <c r="A331" s="656" t="s">
        <v>559</v>
      </c>
      <c r="B331" s="656"/>
      <c r="C331" s="656"/>
      <c r="D331" s="656"/>
      <c r="E331" s="656"/>
      <c r="F331" s="656"/>
      <c r="G331" s="656"/>
      <c r="H331" s="656"/>
      <c r="I331" s="656"/>
      <c r="J331" s="656"/>
      <c r="K331" s="656"/>
      <c r="L331" s="656"/>
      <c r="M331" s="656"/>
      <c r="N331" s="656"/>
      <c r="O331" s="656"/>
      <c r="P331" s="656"/>
      <c r="Q331" s="656"/>
      <c r="R331" s="656"/>
      <c r="S331" s="656"/>
      <c r="T331" s="656"/>
      <c r="U331" s="656"/>
      <c r="V331" s="656"/>
      <c r="W331" s="656"/>
      <c r="X331" s="656"/>
      <c r="Y331" s="656"/>
      <c r="Z331" s="656"/>
      <c r="AA331" s="62"/>
      <c r="AB331" s="62"/>
      <c r="AC331" s="62"/>
    </row>
    <row r="332" spans="1:68" ht="14.25" hidden="1" customHeight="1" x14ac:dyDescent="0.25">
      <c r="A332" s="657" t="s">
        <v>86</v>
      </c>
      <c r="B332" s="657"/>
      <c r="C332" s="657"/>
      <c r="D332" s="657"/>
      <c r="E332" s="657"/>
      <c r="F332" s="657"/>
      <c r="G332" s="657"/>
      <c r="H332" s="657"/>
      <c r="I332" s="657"/>
      <c r="J332" s="657"/>
      <c r="K332" s="657"/>
      <c r="L332" s="657"/>
      <c r="M332" s="657"/>
      <c r="N332" s="657"/>
      <c r="O332" s="657"/>
      <c r="P332" s="657"/>
      <c r="Q332" s="657"/>
      <c r="R332" s="657"/>
      <c r="S332" s="657"/>
      <c r="T332" s="657"/>
      <c r="U332" s="657"/>
      <c r="V332" s="657"/>
      <c r="W332" s="657"/>
      <c r="X332" s="657"/>
      <c r="Y332" s="657"/>
      <c r="Z332" s="657"/>
      <c r="AA332" s="63"/>
      <c r="AB332" s="63"/>
      <c r="AC332" s="63"/>
    </row>
    <row r="333" spans="1:68" ht="27" hidden="1" customHeight="1" x14ac:dyDescent="0.25">
      <c r="A333" s="60" t="s">
        <v>560</v>
      </c>
      <c r="B333" s="60" t="s">
        <v>561</v>
      </c>
      <c r="C333" s="34">
        <v>4301051893</v>
      </c>
      <c r="D333" s="652">
        <v>4680115886186</v>
      </c>
      <c r="E333" s="652"/>
      <c r="F333" s="59">
        <v>0.3</v>
      </c>
      <c r="G333" s="35">
        <v>6</v>
      </c>
      <c r="H333" s="59">
        <v>1.8</v>
      </c>
      <c r="I333" s="59">
        <v>1.98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76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4"/>
      <c r="R333" s="654"/>
      <c r="S333" s="654"/>
      <c r="T333" s="655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3" t="s">
        <v>562</v>
      </c>
      <c r="AG333" s="75"/>
      <c r="AJ333" s="79" t="s">
        <v>46</v>
      </c>
      <c r="AK333" s="79">
        <v>0</v>
      </c>
      <c r="BB333" s="424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563</v>
      </c>
      <c r="B334" s="60" t="s">
        <v>564</v>
      </c>
      <c r="C334" s="34">
        <v>4301051795</v>
      </c>
      <c r="D334" s="652">
        <v>4680115881228</v>
      </c>
      <c r="E334" s="652"/>
      <c r="F334" s="59">
        <v>0.4</v>
      </c>
      <c r="G334" s="35">
        <v>6</v>
      </c>
      <c r="H334" s="59">
        <v>2.4</v>
      </c>
      <c r="I334" s="59">
        <v>2.6520000000000001</v>
      </c>
      <c r="J334" s="35">
        <v>182</v>
      </c>
      <c r="K334" s="35" t="s">
        <v>91</v>
      </c>
      <c r="L334" s="35" t="s">
        <v>46</v>
      </c>
      <c r="M334" s="36" t="s">
        <v>97</v>
      </c>
      <c r="N334" s="36"/>
      <c r="O334" s="35">
        <v>40</v>
      </c>
      <c r="P334" s="7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4"/>
      <c r="R334" s="654"/>
      <c r="S334" s="654"/>
      <c r="T334" s="655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IFERROR(IF(Y334=0,"",ROUNDUP(Y334/H334,0)*0.00651),"")</f>
        <v/>
      </c>
      <c r="AA334" s="65" t="s">
        <v>46</v>
      </c>
      <c r="AB334" s="66" t="s">
        <v>46</v>
      </c>
      <c r="AC334" s="425" t="s">
        <v>565</v>
      </c>
      <c r="AG334" s="75"/>
      <c r="AJ334" s="79" t="s">
        <v>46</v>
      </c>
      <c r="AK334" s="79">
        <v>0</v>
      </c>
      <c r="BB334" s="426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566</v>
      </c>
      <c r="B335" s="60" t="s">
        <v>567</v>
      </c>
      <c r="C335" s="34">
        <v>4301051388</v>
      </c>
      <c r="D335" s="652">
        <v>4680115881211</v>
      </c>
      <c r="E335" s="652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7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4"/>
      <c r="R335" s="654"/>
      <c r="S335" s="654"/>
      <c r="T335" s="655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562</v>
      </c>
      <c r="AG335" s="75"/>
      <c r="AJ335" s="79" t="s">
        <v>46</v>
      </c>
      <c r="AK335" s="79">
        <v>0</v>
      </c>
      <c r="BB335" s="428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idden="1" x14ac:dyDescent="0.2">
      <c r="A336" s="646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47"/>
      <c r="P336" s="643" t="s">
        <v>40</v>
      </c>
      <c r="Q336" s="644"/>
      <c r="R336" s="644"/>
      <c r="S336" s="644"/>
      <c r="T336" s="644"/>
      <c r="U336" s="644"/>
      <c r="V336" s="645"/>
      <c r="W336" s="40" t="s">
        <v>39</v>
      </c>
      <c r="X336" s="41">
        <f>IFERROR(X333/H333,"0")+IFERROR(X334/H334,"0")+IFERROR(X335/H335,"0")</f>
        <v>0</v>
      </c>
      <c r="Y336" s="41">
        <f>IFERROR(Y333/H333,"0")+IFERROR(Y334/H334,"0")+IFERROR(Y335/H335,"0")</f>
        <v>0</v>
      </c>
      <c r="Z336" s="41">
        <f>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47"/>
      <c r="P337" s="643" t="s">
        <v>40</v>
      </c>
      <c r="Q337" s="644"/>
      <c r="R337" s="644"/>
      <c r="S337" s="644"/>
      <c r="T337" s="644"/>
      <c r="U337" s="644"/>
      <c r="V337" s="645"/>
      <c r="W337" s="40" t="s">
        <v>0</v>
      </c>
      <c r="X337" s="41">
        <f>IFERROR(SUM(X333:X335),"0")</f>
        <v>0</v>
      </c>
      <c r="Y337" s="41">
        <f>IFERROR(SUM(Y333:Y335),"0")</f>
        <v>0</v>
      </c>
      <c r="Z337" s="40"/>
      <c r="AA337" s="64"/>
      <c r="AB337" s="64"/>
      <c r="AC337" s="64"/>
    </row>
    <row r="338" spans="1:68" ht="16.5" hidden="1" customHeight="1" x14ac:dyDescent="0.25">
      <c r="A338" s="656" t="s">
        <v>568</v>
      </c>
      <c r="B338" s="656"/>
      <c r="C338" s="656"/>
      <c r="D338" s="656"/>
      <c r="E338" s="656"/>
      <c r="F338" s="656"/>
      <c r="G338" s="656"/>
      <c r="H338" s="656"/>
      <c r="I338" s="656"/>
      <c r="J338" s="656"/>
      <c r="K338" s="656"/>
      <c r="L338" s="656"/>
      <c r="M338" s="656"/>
      <c r="N338" s="656"/>
      <c r="O338" s="656"/>
      <c r="P338" s="656"/>
      <c r="Q338" s="656"/>
      <c r="R338" s="656"/>
      <c r="S338" s="656"/>
      <c r="T338" s="656"/>
      <c r="U338" s="656"/>
      <c r="V338" s="656"/>
      <c r="W338" s="656"/>
      <c r="X338" s="656"/>
      <c r="Y338" s="656"/>
      <c r="Z338" s="656"/>
      <c r="AA338" s="62"/>
      <c r="AB338" s="62"/>
      <c r="AC338" s="62"/>
    </row>
    <row r="339" spans="1:68" ht="14.25" hidden="1" customHeight="1" x14ac:dyDescent="0.25">
      <c r="A339" s="657" t="s">
        <v>77</v>
      </c>
      <c r="B339" s="657"/>
      <c r="C339" s="657"/>
      <c r="D339" s="657"/>
      <c r="E339" s="657"/>
      <c r="F339" s="657"/>
      <c r="G339" s="657"/>
      <c r="H339" s="657"/>
      <c r="I339" s="657"/>
      <c r="J339" s="657"/>
      <c r="K339" s="657"/>
      <c r="L339" s="657"/>
      <c r="M339" s="657"/>
      <c r="N339" s="657"/>
      <c r="O339" s="657"/>
      <c r="P339" s="657"/>
      <c r="Q339" s="657"/>
      <c r="R339" s="657"/>
      <c r="S339" s="657"/>
      <c r="T339" s="657"/>
      <c r="U339" s="657"/>
      <c r="V339" s="657"/>
      <c r="W339" s="657"/>
      <c r="X339" s="657"/>
      <c r="Y339" s="657"/>
      <c r="Z339" s="657"/>
      <c r="AA339" s="63"/>
      <c r="AB339" s="63"/>
      <c r="AC339" s="63"/>
    </row>
    <row r="340" spans="1:68" ht="27" hidden="1" customHeight="1" x14ac:dyDescent="0.25">
      <c r="A340" s="60" t="s">
        <v>569</v>
      </c>
      <c r="B340" s="60" t="s">
        <v>570</v>
      </c>
      <c r="C340" s="34">
        <v>4301031445</v>
      </c>
      <c r="D340" s="652">
        <v>4680115888319</v>
      </c>
      <c r="E340" s="652"/>
      <c r="F340" s="59">
        <v>0.35</v>
      </c>
      <c r="G340" s="35">
        <v>6</v>
      </c>
      <c r="H340" s="59">
        <v>2.1</v>
      </c>
      <c r="I340" s="59">
        <v>2.23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45</v>
      </c>
      <c r="P340" s="75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4"/>
      <c r="R340" s="654"/>
      <c r="S340" s="654"/>
      <c r="T340" s="655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29" t="s">
        <v>403</v>
      </c>
      <c r="AG340" s="75"/>
      <c r="AJ340" s="79" t="s">
        <v>46</v>
      </c>
      <c r="AK340" s="79">
        <v>0</v>
      </c>
      <c r="BB340" s="430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571</v>
      </c>
      <c r="B341" s="60" t="s">
        <v>572</v>
      </c>
      <c r="C341" s="34">
        <v>4301031502</v>
      </c>
      <c r="D341" s="652">
        <v>4680115884700</v>
      </c>
      <c r="E341" s="652"/>
      <c r="F341" s="59">
        <v>0.57999999999999996</v>
      </c>
      <c r="G341" s="35">
        <v>4</v>
      </c>
      <c r="H341" s="59">
        <v>2.3199999999999998</v>
      </c>
      <c r="I341" s="59">
        <v>2.42</v>
      </c>
      <c r="J341" s="35">
        <v>234</v>
      </c>
      <c r="K341" s="35" t="s">
        <v>82</v>
      </c>
      <c r="L341" s="35" t="s">
        <v>46</v>
      </c>
      <c r="M341" s="36" t="s">
        <v>81</v>
      </c>
      <c r="N341" s="36"/>
      <c r="O341" s="35">
        <v>40</v>
      </c>
      <c r="P341" s="76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4"/>
      <c r="R341" s="654"/>
      <c r="S341" s="654"/>
      <c r="T341" s="655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IFERROR(IF(Y341=0,"",ROUNDUP(Y341/H341,0)*0.00502),"")</f>
        <v/>
      </c>
      <c r="AA341" s="65" t="s">
        <v>46</v>
      </c>
      <c r="AB341" s="66" t="s">
        <v>46</v>
      </c>
      <c r="AC341" s="431" t="s">
        <v>573</v>
      </c>
      <c r="AG341" s="75"/>
      <c r="AJ341" s="79" t="s">
        <v>46</v>
      </c>
      <c r="AK341" s="79">
        <v>0</v>
      </c>
      <c r="BB341" s="432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574</v>
      </c>
      <c r="B342" s="60" t="s">
        <v>575</v>
      </c>
      <c r="C342" s="34">
        <v>4301031307</v>
      </c>
      <c r="D342" s="652">
        <v>4680115880344</v>
      </c>
      <c r="E342" s="652"/>
      <c r="F342" s="59">
        <v>0.28000000000000003</v>
      </c>
      <c r="G342" s="35">
        <v>6</v>
      </c>
      <c r="H342" s="59">
        <v>1.68</v>
      </c>
      <c r="I342" s="59">
        <v>1.78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76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4"/>
      <c r="R342" s="654"/>
      <c r="S342" s="654"/>
      <c r="T342" s="655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576</v>
      </c>
      <c r="AG342" s="75"/>
      <c r="AJ342" s="79" t="s">
        <v>46</v>
      </c>
      <c r="AK342" s="79">
        <v>0</v>
      </c>
      <c r="BB342" s="434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577</v>
      </c>
      <c r="B343" s="60" t="s">
        <v>578</v>
      </c>
      <c r="C343" s="34">
        <v>4301031501</v>
      </c>
      <c r="D343" s="652">
        <v>4680115886919</v>
      </c>
      <c r="E343" s="652"/>
      <c r="F343" s="59">
        <v>0.4</v>
      </c>
      <c r="G343" s="35">
        <v>6</v>
      </c>
      <c r="H343" s="59">
        <v>2.4</v>
      </c>
      <c r="I343" s="59">
        <v>2.58</v>
      </c>
      <c r="J343" s="35">
        <v>182</v>
      </c>
      <c r="K343" s="35" t="s">
        <v>91</v>
      </c>
      <c r="L343" s="35" t="s">
        <v>46</v>
      </c>
      <c r="M343" s="36" t="s">
        <v>81</v>
      </c>
      <c r="N343" s="36"/>
      <c r="O343" s="35">
        <v>40</v>
      </c>
      <c r="P343" s="76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4"/>
      <c r="R343" s="654"/>
      <c r="S343" s="654"/>
      <c r="T343" s="655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46</v>
      </c>
      <c r="AB343" s="66" t="s">
        <v>46</v>
      </c>
      <c r="AC343" s="435" t="s">
        <v>579</v>
      </c>
      <c r="AG343" s="75"/>
      <c r="AJ343" s="79" t="s">
        <v>46</v>
      </c>
      <c r="AK343" s="79">
        <v>0</v>
      </c>
      <c r="BB343" s="436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580</v>
      </c>
      <c r="B344" s="60" t="s">
        <v>581</v>
      </c>
      <c r="C344" s="34">
        <v>4301031246</v>
      </c>
      <c r="D344" s="652">
        <v>4680115883970</v>
      </c>
      <c r="E344" s="652"/>
      <c r="F344" s="59">
        <v>0.28000000000000003</v>
      </c>
      <c r="G344" s="35">
        <v>6</v>
      </c>
      <c r="H344" s="59">
        <v>1.68</v>
      </c>
      <c r="I344" s="59">
        <v>2.5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5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4"/>
      <c r="R344" s="654"/>
      <c r="S344" s="654"/>
      <c r="T344" s="655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582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idden="1" x14ac:dyDescent="0.2">
      <c r="A345" s="646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47"/>
      <c r="P345" s="643" t="s">
        <v>40</v>
      </c>
      <c r="Q345" s="644"/>
      <c r="R345" s="644"/>
      <c r="S345" s="644"/>
      <c r="T345" s="644"/>
      <c r="U345" s="644"/>
      <c r="V345" s="645"/>
      <c r="W345" s="40" t="s">
        <v>39</v>
      </c>
      <c r="X345" s="41">
        <f>IFERROR(X340/H340,"0")+IFERROR(X341/H341,"0")+IFERROR(X342/H342,"0")+IFERROR(X343/H343,"0")+IFERROR(X344/H344,"0")</f>
        <v>0</v>
      </c>
      <c r="Y345" s="41">
        <f>IFERROR(Y340/H340,"0")+IFERROR(Y341/H341,"0")+IFERROR(Y342/H342,"0")+IFERROR(Y343/H343,"0")+IFERROR(Y344/H344,"0")</f>
        <v>0</v>
      </c>
      <c r="Z345" s="41">
        <f>IFERROR(IF(Z340="",0,Z340),"0")+IFERROR(IF(Z341="",0,Z341),"0")+IFERROR(IF(Z342="",0,Z342),"0")+IFERROR(IF(Z343="",0,Z343),"0")+IFERROR(IF(Z344="",0,Z344),"0")</f>
        <v>0</v>
      </c>
      <c r="AA345" s="64"/>
      <c r="AB345" s="64"/>
      <c r="AC345" s="64"/>
    </row>
    <row r="346" spans="1:68" hidden="1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47"/>
      <c r="P346" s="643" t="s">
        <v>40</v>
      </c>
      <c r="Q346" s="644"/>
      <c r="R346" s="644"/>
      <c r="S346" s="644"/>
      <c r="T346" s="644"/>
      <c r="U346" s="644"/>
      <c r="V346" s="645"/>
      <c r="W346" s="40" t="s">
        <v>0</v>
      </c>
      <c r="X346" s="41">
        <f>IFERROR(SUM(X340:X344),"0")</f>
        <v>0</v>
      </c>
      <c r="Y346" s="41">
        <f>IFERROR(SUM(Y340:Y344),"0")</f>
        <v>0</v>
      </c>
      <c r="Z346" s="40"/>
      <c r="AA346" s="64"/>
      <c r="AB346" s="64"/>
      <c r="AC346" s="64"/>
    </row>
    <row r="347" spans="1:68" ht="14.25" hidden="1" customHeight="1" x14ac:dyDescent="0.25">
      <c r="A347" s="657" t="s">
        <v>86</v>
      </c>
      <c r="B347" s="657"/>
      <c r="C347" s="657"/>
      <c r="D347" s="657"/>
      <c r="E347" s="657"/>
      <c r="F347" s="657"/>
      <c r="G347" s="657"/>
      <c r="H347" s="657"/>
      <c r="I347" s="657"/>
      <c r="J347" s="657"/>
      <c r="K347" s="657"/>
      <c r="L347" s="657"/>
      <c r="M347" s="657"/>
      <c r="N347" s="657"/>
      <c r="O347" s="657"/>
      <c r="P347" s="657"/>
      <c r="Q347" s="657"/>
      <c r="R347" s="657"/>
      <c r="S347" s="657"/>
      <c r="T347" s="657"/>
      <c r="U347" s="657"/>
      <c r="V347" s="657"/>
      <c r="W347" s="657"/>
      <c r="X347" s="657"/>
      <c r="Y347" s="657"/>
      <c r="Z347" s="657"/>
      <c r="AA347" s="63"/>
      <c r="AB347" s="63"/>
      <c r="AC347" s="63"/>
    </row>
    <row r="348" spans="1:68" ht="27" customHeight="1" x14ac:dyDescent="0.25">
      <c r="A348" s="60" t="s">
        <v>583</v>
      </c>
      <c r="B348" s="60" t="s">
        <v>584</v>
      </c>
      <c r="C348" s="34">
        <v>4301051782</v>
      </c>
      <c r="D348" s="652">
        <v>4680115884618</v>
      </c>
      <c r="E348" s="652"/>
      <c r="F348" s="59">
        <v>0.6</v>
      </c>
      <c r="G348" s="35">
        <v>6</v>
      </c>
      <c r="H348" s="59">
        <v>3.6</v>
      </c>
      <c r="I348" s="59">
        <v>3.79</v>
      </c>
      <c r="J348" s="35">
        <v>132</v>
      </c>
      <c r="K348" s="35" t="s">
        <v>134</v>
      </c>
      <c r="L348" s="35" t="s">
        <v>46</v>
      </c>
      <c r="M348" s="36" t="s">
        <v>90</v>
      </c>
      <c r="N348" s="36"/>
      <c r="O348" s="35">
        <v>45</v>
      </c>
      <c r="P348" s="75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4"/>
      <c r="R348" s="654"/>
      <c r="S348" s="654"/>
      <c r="T348" s="655"/>
      <c r="U348" s="37" t="s">
        <v>46</v>
      </c>
      <c r="V348" s="37" t="s">
        <v>46</v>
      </c>
      <c r="W348" s="38" t="s">
        <v>0</v>
      </c>
      <c r="X348" s="56">
        <v>48</v>
      </c>
      <c r="Y348" s="53">
        <f>IFERROR(IF(X348="",0,CEILING((X348/$H348),1)*$H348),"")</f>
        <v>50.4</v>
      </c>
      <c r="Z348" s="39">
        <f>IFERROR(IF(Y348=0,"",ROUNDUP(Y348/H348,0)*0.00902),"")</f>
        <v>0.12628</v>
      </c>
      <c r="AA348" s="65" t="s">
        <v>46</v>
      </c>
      <c r="AB348" s="66" t="s">
        <v>46</v>
      </c>
      <c r="AC348" s="439" t="s">
        <v>585</v>
      </c>
      <c r="AG348" s="75"/>
      <c r="AJ348" s="79" t="s">
        <v>46</v>
      </c>
      <c r="AK348" s="79">
        <v>0</v>
      </c>
      <c r="BB348" s="440" t="s">
        <v>67</v>
      </c>
      <c r="BM348" s="75">
        <f>IFERROR(X348*I348/H348,"0")</f>
        <v>50.533333333333339</v>
      </c>
      <c r="BN348" s="75">
        <f>IFERROR(Y348*I348/H348,"0")</f>
        <v>53.059999999999995</v>
      </c>
      <c r="BO348" s="75">
        <f>IFERROR(1/J348*(X348/H348),"0")</f>
        <v>0.10101010101010101</v>
      </c>
      <c r="BP348" s="75">
        <f>IFERROR(1/J348*(Y348/H348),"0")</f>
        <v>0.10606060606060606</v>
      </c>
    </row>
    <row r="349" spans="1:68" ht="27" hidden="1" customHeight="1" x14ac:dyDescent="0.25">
      <c r="A349" s="60" t="s">
        <v>586</v>
      </c>
      <c r="B349" s="60" t="s">
        <v>587</v>
      </c>
      <c r="C349" s="34">
        <v>4301052057</v>
      </c>
      <c r="D349" s="652">
        <v>4680115887114</v>
      </c>
      <c r="E349" s="652"/>
      <c r="F349" s="59">
        <v>0.55000000000000004</v>
      </c>
      <c r="G349" s="35">
        <v>6</v>
      </c>
      <c r="H349" s="59">
        <v>3.3</v>
      </c>
      <c r="I349" s="59">
        <v>3.49</v>
      </c>
      <c r="J349" s="35">
        <v>132</v>
      </c>
      <c r="K349" s="35" t="s">
        <v>134</v>
      </c>
      <c r="L349" s="35" t="s">
        <v>46</v>
      </c>
      <c r="M349" s="36" t="s">
        <v>90</v>
      </c>
      <c r="N349" s="36"/>
      <c r="O349" s="35">
        <v>45</v>
      </c>
      <c r="P349" s="75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4"/>
      <c r="R349" s="654"/>
      <c r="S349" s="654"/>
      <c r="T349" s="655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41" t="s">
        <v>588</v>
      </c>
      <c r="AG349" s="75"/>
      <c r="AJ349" s="79" t="s">
        <v>46</v>
      </c>
      <c r="AK349" s="79">
        <v>0</v>
      </c>
      <c r="BB349" s="442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x14ac:dyDescent="0.2">
      <c r="A350" s="646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47"/>
      <c r="P350" s="643" t="s">
        <v>40</v>
      </c>
      <c r="Q350" s="644"/>
      <c r="R350" s="644"/>
      <c r="S350" s="644"/>
      <c r="T350" s="644"/>
      <c r="U350" s="644"/>
      <c r="V350" s="645"/>
      <c r="W350" s="40" t="s">
        <v>39</v>
      </c>
      <c r="X350" s="41">
        <f>IFERROR(X348/H348,"0")+IFERROR(X349/H349,"0")</f>
        <v>13.333333333333332</v>
      </c>
      <c r="Y350" s="41">
        <f>IFERROR(Y348/H348,"0")+IFERROR(Y349/H349,"0")</f>
        <v>14</v>
      </c>
      <c r="Z350" s="41">
        <f>IFERROR(IF(Z348="",0,Z348),"0")+IFERROR(IF(Z349="",0,Z349),"0")</f>
        <v>0.12628</v>
      </c>
      <c r="AA350" s="64"/>
      <c r="AB350" s="64"/>
      <c r="AC350" s="64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47"/>
      <c r="P351" s="643" t="s">
        <v>40</v>
      </c>
      <c r="Q351" s="644"/>
      <c r="R351" s="644"/>
      <c r="S351" s="644"/>
      <c r="T351" s="644"/>
      <c r="U351" s="644"/>
      <c r="V351" s="645"/>
      <c r="W351" s="40" t="s">
        <v>0</v>
      </c>
      <c r="X351" s="41">
        <f>IFERROR(SUM(X348:X349),"0")</f>
        <v>48</v>
      </c>
      <c r="Y351" s="41">
        <f>IFERROR(SUM(Y348:Y349),"0")</f>
        <v>50.4</v>
      </c>
      <c r="Z351" s="40"/>
      <c r="AA351" s="64"/>
      <c r="AB351" s="64"/>
      <c r="AC351" s="64"/>
    </row>
    <row r="352" spans="1:68" ht="16.5" hidden="1" customHeight="1" x14ac:dyDescent="0.25">
      <c r="A352" s="656" t="s">
        <v>589</v>
      </c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6"/>
      <c r="P352" s="656"/>
      <c r="Q352" s="656"/>
      <c r="R352" s="656"/>
      <c r="S352" s="656"/>
      <c r="T352" s="656"/>
      <c r="U352" s="656"/>
      <c r="V352" s="656"/>
      <c r="W352" s="656"/>
      <c r="X352" s="656"/>
      <c r="Y352" s="656"/>
      <c r="Z352" s="656"/>
      <c r="AA352" s="62"/>
      <c r="AB352" s="62"/>
      <c r="AC352" s="62"/>
    </row>
    <row r="353" spans="1:68" ht="14.25" hidden="1" customHeight="1" x14ac:dyDescent="0.25">
      <c r="A353" s="657" t="s">
        <v>122</v>
      </c>
      <c r="B353" s="657"/>
      <c r="C353" s="657"/>
      <c r="D353" s="657"/>
      <c r="E353" s="657"/>
      <c r="F353" s="657"/>
      <c r="G353" s="657"/>
      <c r="H353" s="657"/>
      <c r="I353" s="657"/>
      <c r="J353" s="657"/>
      <c r="K353" s="657"/>
      <c r="L353" s="657"/>
      <c r="M353" s="657"/>
      <c r="N353" s="657"/>
      <c r="O353" s="657"/>
      <c r="P353" s="657"/>
      <c r="Q353" s="657"/>
      <c r="R353" s="657"/>
      <c r="S353" s="657"/>
      <c r="T353" s="657"/>
      <c r="U353" s="657"/>
      <c r="V353" s="657"/>
      <c r="W353" s="657"/>
      <c r="X353" s="657"/>
      <c r="Y353" s="657"/>
      <c r="Z353" s="657"/>
      <c r="AA353" s="63"/>
      <c r="AB353" s="63"/>
      <c r="AC353" s="63"/>
    </row>
    <row r="354" spans="1:68" ht="27" hidden="1" customHeight="1" x14ac:dyDescent="0.25">
      <c r="A354" s="60" t="s">
        <v>590</v>
      </c>
      <c r="B354" s="60" t="s">
        <v>591</v>
      </c>
      <c r="C354" s="34">
        <v>4301012324</v>
      </c>
      <c r="D354" s="652">
        <v>4680115887947</v>
      </c>
      <c r="E354" s="652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75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4"/>
      <c r="R354" s="654"/>
      <c r="S354" s="654"/>
      <c r="T354" s="655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3" t="s">
        <v>362</v>
      </c>
      <c r="AG354" s="75"/>
      <c r="AJ354" s="79" t="s">
        <v>46</v>
      </c>
      <c r="AK354" s="79">
        <v>0</v>
      </c>
      <c r="BB354" s="444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t="27" hidden="1" customHeight="1" x14ac:dyDescent="0.25">
      <c r="A355" s="60" t="s">
        <v>592</v>
      </c>
      <c r="B355" s="60" t="s">
        <v>593</v>
      </c>
      <c r="C355" s="34">
        <v>4301012325</v>
      </c>
      <c r="D355" s="652">
        <v>4680115887978</v>
      </c>
      <c r="E355" s="652"/>
      <c r="F355" s="59">
        <v>1.3</v>
      </c>
      <c r="G355" s="35">
        <v>6</v>
      </c>
      <c r="H355" s="59">
        <v>7.8</v>
      </c>
      <c r="I355" s="59">
        <v>8.2100000000000009</v>
      </c>
      <c r="J355" s="35">
        <v>64</v>
      </c>
      <c r="K355" s="35" t="s">
        <v>127</v>
      </c>
      <c r="L355" s="35" t="s">
        <v>46</v>
      </c>
      <c r="M355" s="36" t="s">
        <v>90</v>
      </c>
      <c r="N355" s="36"/>
      <c r="O355" s="35">
        <v>60</v>
      </c>
      <c r="P355" s="75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4"/>
      <c r="R355" s="654"/>
      <c r="S355" s="654"/>
      <c r="T355" s="655"/>
      <c r="U355" s="37" t="s">
        <v>46</v>
      </c>
      <c r="V355" s="37" t="s">
        <v>46</v>
      </c>
      <c r="W355" s="38" t="s">
        <v>0</v>
      </c>
      <c r="X355" s="56">
        <v>0</v>
      </c>
      <c r="Y355" s="53">
        <f>IFERROR(IF(X355="",0,CEILING((X355/$H355),1)*$H355),"")</f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45" t="s">
        <v>594</v>
      </c>
      <c r="AG355" s="75"/>
      <c r="AJ355" s="79" t="s">
        <v>46</v>
      </c>
      <c r="AK355" s="79">
        <v>0</v>
      </c>
      <c r="BB355" s="446" t="s">
        <v>67</v>
      </c>
      <c r="BM355" s="75">
        <f>IFERROR(X355*I355/H355,"0")</f>
        <v>0</v>
      </c>
      <c r="BN355" s="75">
        <f>IFERROR(Y355*I355/H355,"0")</f>
        <v>0</v>
      </c>
      <c r="BO355" s="75">
        <f>IFERROR(1/J355*(X355/H355),"0")</f>
        <v>0</v>
      </c>
      <c r="BP355" s="75">
        <f>IFERROR(1/J355*(Y355/H355),"0")</f>
        <v>0</v>
      </c>
    </row>
    <row r="356" spans="1:68" ht="27" hidden="1" customHeight="1" x14ac:dyDescent="0.25">
      <c r="A356" s="60" t="s">
        <v>595</v>
      </c>
      <c r="B356" s="60" t="s">
        <v>596</v>
      </c>
      <c r="C356" s="34">
        <v>4301012327</v>
      </c>
      <c r="D356" s="652">
        <v>4680115887992</v>
      </c>
      <c r="E356" s="652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127</v>
      </c>
      <c r="L356" s="35" t="s">
        <v>46</v>
      </c>
      <c r="M356" s="36" t="s">
        <v>90</v>
      </c>
      <c r="N356" s="36"/>
      <c r="O356" s="35">
        <v>60</v>
      </c>
      <c r="P356" s="75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4"/>
      <c r="R356" s="654"/>
      <c r="S356" s="654"/>
      <c r="T356" s="655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597</v>
      </c>
      <c r="AG356" s="75"/>
      <c r="AJ356" s="79" t="s">
        <v>46</v>
      </c>
      <c r="AK356" s="79">
        <v>0</v>
      </c>
      <c r="BB356" s="448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idden="1" x14ac:dyDescent="0.2">
      <c r="A357" s="646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47"/>
      <c r="P357" s="643" t="s">
        <v>40</v>
      </c>
      <c r="Q357" s="644"/>
      <c r="R357" s="644"/>
      <c r="S357" s="644"/>
      <c r="T357" s="644"/>
      <c r="U357" s="644"/>
      <c r="V357" s="645"/>
      <c r="W357" s="40" t="s">
        <v>39</v>
      </c>
      <c r="X357" s="41">
        <f>IFERROR(X354/H354,"0")+IFERROR(X355/H355,"0")+IFERROR(X356/H356,"0")</f>
        <v>0</v>
      </c>
      <c r="Y357" s="41">
        <f>IFERROR(Y354/H354,"0")+IFERROR(Y355/H355,"0")+IFERROR(Y356/H356,"0")</f>
        <v>0</v>
      </c>
      <c r="Z357" s="41">
        <f>IFERROR(IF(Z354="",0,Z354),"0")+IFERROR(IF(Z355="",0,Z355),"0")+IFERROR(IF(Z356="",0,Z356),"0")</f>
        <v>0</v>
      </c>
      <c r="AA357" s="64"/>
      <c r="AB357" s="64"/>
      <c r="AC357" s="64"/>
    </row>
    <row r="358" spans="1:68" hidden="1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47"/>
      <c r="P358" s="643" t="s">
        <v>40</v>
      </c>
      <c r="Q358" s="644"/>
      <c r="R358" s="644"/>
      <c r="S358" s="644"/>
      <c r="T358" s="644"/>
      <c r="U358" s="644"/>
      <c r="V358" s="645"/>
      <c r="W358" s="40" t="s">
        <v>0</v>
      </c>
      <c r="X358" s="41">
        <f>IFERROR(SUM(X354:X356),"0")</f>
        <v>0</v>
      </c>
      <c r="Y358" s="41">
        <f>IFERROR(SUM(Y354:Y356),"0")</f>
        <v>0</v>
      </c>
      <c r="Z358" s="40"/>
      <c r="AA358" s="64"/>
      <c r="AB358" s="64"/>
      <c r="AC358" s="64"/>
    </row>
    <row r="359" spans="1:68" ht="16.5" hidden="1" customHeight="1" x14ac:dyDescent="0.25">
      <c r="A359" s="656" t="s">
        <v>598</v>
      </c>
      <c r="B359" s="656"/>
      <c r="C359" s="656"/>
      <c r="D359" s="656"/>
      <c r="E359" s="656"/>
      <c r="F359" s="656"/>
      <c r="G359" s="656"/>
      <c r="H359" s="656"/>
      <c r="I359" s="656"/>
      <c r="J359" s="656"/>
      <c r="K359" s="656"/>
      <c r="L359" s="656"/>
      <c r="M359" s="656"/>
      <c r="N359" s="656"/>
      <c r="O359" s="656"/>
      <c r="P359" s="656"/>
      <c r="Q359" s="656"/>
      <c r="R359" s="656"/>
      <c r="S359" s="656"/>
      <c r="T359" s="656"/>
      <c r="U359" s="656"/>
      <c r="V359" s="656"/>
      <c r="W359" s="656"/>
      <c r="X359" s="656"/>
      <c r="Y359" s="656"/>
      <c r="Z359" s="656"/>
      <c r="AA359" s="62"/>
      <c r="AB359" s="62"/>
      <c r="AC359" s="62"/>
    </row>
    <row r="360" spans="1:68" ht="14.25" hidden="1" customHeight="1" x14ac:dyDescent="0.25">
      <c r="A360" s="657" t="s">
        <v>122</v>
      </c>
      <c r="B360" s="657"/>
      <c r="C360" s="657"/>
      <c r="D360" s="657"/>
      <c r="E360" s="657"/>
      <c r="F360" s="657"/>
      <c r="G360" s="657"/>
      <c r="H360" s="657"/>
      <c r="I360" s="657"/>
      <c r="J360" s="657"/>
      <c r="K360" s="657"/>
      <c r="L360" s="657"/>
      <c r="M360" s="657"/>
      <c r="N360" s="657"/>
      <c r="O360" s="657"/>
      <c r="P360" s="657"/>
      <c r="Q360" s="657"/>
      <c r="R360" s="657"/>
      <c r="S360" s="657"/>
      <c r="T360" s="657"/>
      <c r="U360" s="657"/>
      <c r="V360" s="657"/>
      <c r="W360" s="657"/>
      <c r="X360" s="657"/>
      <c r="Y360" s="657"/>
      <c r="Z360" s="657"/>
      <c r="AA360" s="63"/>
      <c r="AB360" s="63"/>
      <c r="AC360" s="63"/>
    </row>
    <row r="361" spans="1:68" ht="27" hidden="1" customHeight="1" x14ac:dyDescent="0.25">
      <c r="A361" s="60" t="s">
        <v>599</v>
      </c>
      <c r="B361" s="60" t="s">
        <v>600</v>
      </c>
      <c r="C361" s="34">
        <v>4301012126</v>
      </c>
      <c r="D361" s="652">
        <v>4607091386004</v>
      </c>
      <c r="E361" s="652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75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4"/>
      <c r="R361" s="654"/>
      <c r="S361" s="654"/>
      <c r="T361" s="655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ref="Y361:Y366" si="48"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49" t="s">
        <v>601</v>
      </c>
      <c r="AG361" s="75"/>
      <c r="AJ361" s="79" t="s">
        <v>46</v>
      </c>
      <c r="AK361" s="79">
        <v>0</v>
      </c>
      <c r="BB361" s="450" t="s">
        <v>67</v>
      </c>
      <c r="BM361" s="75">
        <f t="shared" ref="BM361:BM366" si="49">IFERROR(X361*I361/H361,"0")</f>
        <v>0</v>
      </c>
      <c r="BN361" s="75">
        <f t="shared" ref="BN361:BN366" si="50">IFERROR(Y361*I361/H361,"0")</f>
        <v>0</v>
      </c>
      <c r="BO361" s="75">
        <f t="shared" ref="BO361:BO366" si="51">IFERROR(1/J361*(X361/H361),"0")</f>
        <v>0</v>
      </c>
      <c r="BP361" s="75">
        <f t="shared" ref="BP361:BP366" si="52">IFERROR(1/J361*(Y361/H361),"0")</f>
        <v>0</v>
      </c>
    </row>
    <row r="362" spans="1:68" ht="27" hidden="1" customHeight="1" x14ac:dyDescent="0.25">
      <c r="A362" s="60" t="s">
        <v>602</v>
      </c>
      <c r="B362" s="60" t="s">
        <v>603</v>
      </c>
      <c r="C362" s="34">
        <v>4301012235</v>
      </c>
      <c r="D362" s="652">
        <v>4680115887190</v>
      </c>
      <c r="E362" s="652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74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4"/>
      <c r="R362" s="654"/>
      <c r="S362" s="654"/>
      <c r="T362" s="655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4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1" t="s">
        <v>604</v>
      </c>
      <c r="AG362" s="75"/>
      <c r="AJ362" s="79" t="s">
        <v>46</v>
      </c>
      <c r="AK362" s="79">
        <v>0</v>
      </c>
      <c r="BB362" s="452" t="s">
        <v>67</v>
      </c>
      <c r="BM362" s="75">
        <f t="shared" si="49"/>
        <v>0</v>
      </c>
      <c r="BN362" s="75">
        <f t="shared" si="50"/>
        <v>0</v>
      </c>
      <c r="BO362" s="75">
        <f t="shared" si="51"/>
        <v>0</v>
      </c>
      <c r="BP362" s="75">
        <f t="shared" si="52"/>
        <v>0</v>
      </c>
    </row>
    <row r="363" spans="1:68" ht="37.5" hidden="1" customHeight="1" x14ac:dyDescent="0.25">
      <c r="A363" s="60" t="s">
        <v>605</v>
      </c>
      <c r="B363" s="60" t="s">
        <v>606</v>
      </c>
      <c r="C363" s="34">
        <v>4301012233</v>
      </c>
      <c r="D363" s="652">
        <v>4680115887138</v>
      </c>
      <c r="E363" s="652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126</v>
      </c>
      <c r="N363" s="36"/>
      <c r="O363" s="35">
        <v>55</v>
      </c>
      <c r="P363" s="74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4"/>
      <c r="R363" s="654"/>
      <c r="S363" s="654"/>
      <c r="T363" s="655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4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607</v>
      </c>
      <c r="AG363" s="75"/>
      <c r="AJ363" s="79" t="s">
        <v>46</v>
      </c>
      <c r="AK363" s="79">
        <v>0</v>
      </c>
      <c r="BB363" s="454" t="s">
        <v>67</v>
      </c>
      <c r="BM363" s="75">
        <f t="shared" si="49"/>
        <v>0</v>
      </c>
      <c r="BN363" s="75">
        <f t="shared" si="50"/>
        <v>0</v>
      </c>
      <c r="BO363" s="75">
        <f t="shared" si="51"/>
        <v>0</v>
      </c>
      <c r="BP363" s="75">
        <f t="shared" si="52"/>
        <v>0</v>
      </c>
    </row>
    <row r="364" spans="1:68" ht="27" hidden="1" customHeight="1" x14ac:dyDescent="0.25">
      <c r="A364" s="60" t="s">
        <v>608</v>
      </c>
      <c r="B364" s="60" t="s">
        <v>609</v>
      </c>
      <c r="C364" s="34">
        <v>4301012016</v>
      </c>
      <c r="D364" s="652">
        <v>4680115885554</v>
      </c>
      <c r="E364" s="652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127</v>
      </c>
      <c r="L364" s="35" t="s">
        <v>46</v>
      </c>
      <c r="M364" s="36" t="s">
        <v>90</v>
      </c>
      <c r="N364" s="36"/>
      <c r="O364" s="35">
        <v>55</v>
      </c>
      <c r="P364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4"/>
      <c r="R364" s="654"/>
      <c r="S364" s="654"/>
      <c r="T364" s="655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610</v>
      </c>
      <c r="AG364" s="75"/>
      <c r="AJ364" s="79" t="s">
        <v>46</v>
      </c>
      <c r="AK364" s="79">
        <v>0</v>
      </c>
      <c r="BB364" s="456" t="s">
        <v>67</v>
      </c>
      <c r="BM364" s="75">
        <f t="shared" si="49"/>
        <v>0</v>
      </c>
      <c r="BN364" s="75">
        <f t="shared" si="50"/>
        <v>0</v>
      </c>
      <c r="BO364" s="75">
        <f t="shared" si="51"/>
        <v>0</v>
      </c>
      <c r="BP364" s="75">
        <f t="shared" si="52"/>
        <v>0</v>
      </c>
    </row>
    <row r="365" spans="1:68" ht="27" hidden="1" customHeight="1" x14ac:dyDescent="0.25">
      <c r="A365" s="60" t="s">
        <v>611</v>
      </c>
      <c r="B365" s="60" t="s">
        <v>612</v>
      </c>
      <c r="C365" s="34">
        <v>4301012236</v>
      </c>
      <c r="D365" s="652">
        <v>4680115887220</v>
      </c>
      <c r="E365" s="652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7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4"/>
      <c r="R365" s="654"/>
      <c r="S365" s="654"/>
      <c r="T365" s="655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57" t="s">
        <v>604</v>
      </c>
      <c r="AG365" s="75"/>
      <c r="AJ365" s="79" t="s">
        <v>46</v>
      </c>
      <c r="AK365" s="79">
        <v>0</v>
      </c>
      <c r="BB365" s="458" t="s">
        <v>67</v>
      </c>
      <c r="BM365" s="75">
        <f t="shared" si="49"/>
        <v>0</v>
      </c>
      <c r="BN365" s="75">
        <f t="shared" si="50"/>
        <v>0</v>
      </c>
      <c r="BO365" s="75">
        <f t="shared" si="51"/>
        <v>0</v>
      </c>
      <c r="BP365" s="75">
        <f t="shared" si="52"/>
        <v>0</v>
      </c>
    </row>
    <row r="366" spans="1:68" ht="27" hidden="1" customHeight="1" x14ac:dyDescent="0.25">
      <c r="A366" s="60" t="s">
        <v>613</v>
      </c>
      <c r="B366" s="60" t="s">
        <v>614</v>
      </c>
      <c r="C366" s="34">
        <v>4301011859</v>
      </c>
      <c r="D366" s="652">
        <v>4680115885608</v>
      </c>
      <c r="E366" s="652"/>
      <c r="F366" s="59">
        <v>0.4</v>
      </c>
      <c r="G366" s="35">
        <v>10</v>
      </c>
      <c r="H366" s="59">
        <v>4</v>
      </c>
      <c r="I366" s="59">
        <v>4.1900000000000004</v>
      </c>
      <c r="J366" s="35">
        <v>132</v>
      </c>
      <c r="K366" s="35" t="s">
        <v>134</v>
      </c>
      <c r="L366" s="35" t="s">
        <v>46</v>
      </c>
      <c r="M366" s="36" t="s">
        <v>126</v>
      </c>
      <c r="N366" s="36"/>
      <c r="O366" s="35">
        <v>55</v>
      </c>
      <c r="P366" s="75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4"/>
      <c r="R366" s="654"/>
      <c r="S366" s="654"/>
      <c r="T366" s="655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8"/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9" t="s">
        <v>615</v>
      </c>
      <c r="AG366" s="75"/>
      <c r="AJ366" s="79" t="s">
        <v>46</v>
      </c>
      <c r="AK366" s="79">
        <v>0</v>
      </c>
      <c r="BB366" s="460" t="s">
        <v>67</v>
      </c>
      <c r="BM366" s="75">
        <f t="shared" si="49"/>
        <v>0</v>
      </c>
      <c r="BN366" s="75">
        <f t="shared" si="50"/>
        <v>0</v>
      </c>
      <c r="BO366" s="75">
        <f t="shared" si="51"/>
        <v>0</v>
      </c>
      <c r="BP366" s="75">
        <f t="shared" si="52"/>
        <v>0</v>
      </c>
    </row>
    <row r="367" spans="1:68" hidden="1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47"/>
      <c r="P367" s="643" t="s">
        <v>40</v>
      </c>
      <c r="Q367" s="644"/>
      <c r="R367" s="644"/>
      <c r="S367" s="644"/>
      <c r="T367" s="644"/>
      <c r="U367" s="644"/>
      <c r="V367" s="645"/>
      <c r="W367" s="40" t="s">
        <v>39</v>
      </c>
      <c r="X367" s="41">
        <f>IFERROR(X361/H361,"0")+IFERROR(X362/H362,"0")+IFERROR(X363/H363,"0")+IFERROR(X364/H364,"0")+IFERROR(X365/H365,"0")+IFERROR(X366/H366,"0")</f>
        <v>0</v>
      </c>
      <c r="Y367" s="41">
        <f>IFERROR(Y361/H361,"0")+IFERROR(Y362/H362,"0")+IFERROR(Y363/H363,"0")+IFERROR(Y364/H364,"0")+IFERROR(Y365/H365,"0")+IFERROR(Y366/H366,"0")</f>
        <v>0</v>
      </c>
      <c r="Z367" s="41">
        <f>IFERROR(IF(Z361="",0,Z361),"0")+IFERROR(IF(Z362="",0,Z362),"0")+IFERROR(IF(Z363="",0,Z363),"0")+IFERROR(IF(Z364="",0,Z364),"0")+IFERROR(IF(Z365="",0,Z365),"0")+IFERROR(IF(Z366="",0,Z366),"0")</f>
        <v>0</v>
      </c>
      <c r="AA367" s="64"/>
      <c r="AB367" s="64"/>
      <c r="AC367" s="64"/>
    </row>
    <row r="368" spans="1:68" hidden="1" x14ac:dyDescent="0.2">
      <c r="A368" s="646"/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7"/>
      <c r="P368" s="643" t="s">
        <v>40</v>
      </c>
      <c r="Q368" s="644"/>
      <c r="R368" s="644"/>
      <c r="S368" s="644"/>
      <c r="T368" s="644"/>
      <c r="U368" s="644"/>
      <c r="V368" s="645"/>
      <c r="W368" s="40" t="s">
        <v>0</v>
      </c>
      <c r="X368" s="41">
        <f>IFERROR(SUM(X361:X366),"0")</f>
        <v>0</v>
      </c>
      <c r="Y368" s="41">
        <f>IFERROR(SUM(Y361:Y366),"0")</f>
        <v>0</v>
      </c>
      <c r="Z368" s="40"/>
      <c r="AA368" s="64"/>
      <c r="AB368" s="64"/>
      <c r="AC368" s="64"/>
    </row>
    <row r="369" spans="1:68" ht="14.25" hidden="1" customHeight="1" x14ac:dyDescent="0.25">
      <c r="A369" s="657" t="s">
        <v>77</v>
      </c>
      <c r="B369" s="657"/>
      <c r="C369" s="657"/>
      <c r="D369" s="657"/>
      <c r="E369" s="657"/>
      <c r="F369" s="657"/>
      <c r="G369" s="657"/>
      <c r="H369" s="657"/>
      <c r="I369" s="657"/>
      <c r="J369" s="657"/>
      <c r="K369" s="657"/>
      <c r="L369" s="657"/>
      <c r="M369" s="657"/>
      <c r="N369" s="657"/>
      <c r="O369" s="657"/>
      <c r="P369" s="657"/>
      <c r="Q369" s="657"/>
      <c r="R369" s="657"/>
      <c r="S369" s="657"/>
      <c r="T369" s="657"/>
      <c r="U369" s="657"/>
      <c r="V369" s="657"/>
      <c r="W369" s="657"/>
      <c r="X369" s="657"/>
      <c r="Y369" s="657"/>
      <c r="Z369" s="657"/>
      <c r="AA369" s="63"/>
      <c r="AB369" s="63"/>
      <c r="AC369" s="63"/>
    </row>
    <row r="370" spans="1:68" ht="27" hidden="1" customHeight="1" x14ac:dyDescent="0.25">
      <c r="A370" s="60" t="s">
        <v>616</v>
      </c>
      <c r="B370" s="60" t="s">
        <v>617</v>
      </c>
      <c r="C370" s="34">
        <v>4301030878</v>
      </c>
      <c r="D370" s="652">
        <v>4607091387193</v>
      </c>
      <c r="E370" s="652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35</v>
      </c>
      <c r="P370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4"/>
      <c r="R370" s="654"/>
      <c r="S370" s="654"/>
      <c r="T370" s="655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ref="Y370:Y376" si="53">IFERROR(IF(X370="",0,CEILING((X370/$H370),1)*$H370),"")</f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1" t="s">
        <v>618</v>
      </c>
      <c r="AG370" s="75"/>
      <c r="AJ370" s="79" t="s">
        <v>46</v>
      </c>
      <c r="AK370" s="79">
        <v>0</v>
      </c>
      <c r="BB370" s="462" t="s">
        <v>67</v>
      </c>
      <c r="BM370" s="75">
        <f t="shared" ref="BM370:BM376" si="54">IFERROR(X370*I370/H370,"0")</f>
        <v>0</v>
      </c>
      <c r="BN370" s="75">
        <f t="shared" ref="BN370:BN376" si="55">IFERROR(Y370*I370/H370,"0")</f>
        <v>0</v>
      </c>
      <c r="BO370" s="75">
        <f t="shared" ref="BO370:BO376" si="56">IFERROR(1/J370*(X370/H370),"0")</f>
        <v>0</v>
      </c>
      <c r="BP370" s="75">
        <f t="shared" ref="BP370:BP376" si="57">IFERROR(1/J370*(Y370/H370),"0")</f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4301031153</v>
      </c>
      <c r="D371" s="652">
        <v>4607091387230</v>
      </c>
      <c r="E371" s="652"/>
      <c r="F371" s="59">
        <v>0.7</v>
      </c>
      <c r="G371" s="35">
        <v>6</v>
      </c>
      <c r="H371" s="59">
        <v>4.2</v>
      </c>
      <c r="I371" s="59">
        <v>4.45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40</v>
      </c>
      <c r="P371" s="74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4"/>
      <c r="R371" s="654"/>
      <c r="S371" s="654"/>
      <c r="T371" s="655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3" t="s">
        <v>621</v>
      </c>
      <c r="AG371" s="75"/>
      <c r="AJ371" s="79" t="s">
        <v>46</v>
      </c>
      <c r="AK371" s="79">
        <v>0</v>
      </c>
      <c r="BB371" s="464" t="s">
        <v>67</v>
      </c>
      <c r="BM371" s="75">
        <f t="shared" si="54"/>
        <v>0</v>
      </c>
      <c r="BN371" s="75">
        <f t="shared" si="55"/>
        <v>0</v>
      </c>
      <c r="BO371" s="75">
        <f t="shared" si="56"/>
        <v>0</v>
      </c>
      <c r="BP371" s="75">
        <f t="shared" si="57"/>
        <v>0</v>
      </c>
    </row>
    <row r="372" spans="1:68" ht="27" hidden="1" customHeight="1" x14ac:dyDescent="0.25">
      <c r="A372" s="60" t="s">
        <v>622</v>
      </c>
      <c r="B372" s="60" t="s">
        <v>623</v>
      </c>
      <c r="C372" s="34">
        <v>4301031154</v>
      </c>
      <c r="D372" s="652">
        <v>4607091387292</v>
      </c>
      <c r="E372" s="652"/>
      <c r="F372" s="59">
        <v>0.73</v>
      </c>
      <c r="G372" s="35">
        <v>6</v>
      </c>
      <c r="H372" s="59">
        <v>4.38</v>
      </c>
      <c r="I372" s="59">
        <v>4.63</v>
      </c>
      <c r="J372" s="35">
        <v>132</v>
      </c>
      <c r="K372" s="35" t="s">
        <v>134</v>
      </c>
      <c r="L372" s="35" t="s">
        <v>46</v>
      </c>
      <c r="M372" s="36" t="s">
        <v>81</v>
      </c>
      <c r="N372" s="36"/>
      <c r="O372" s="35">
        <v>45</v>
      </c>
      <c r="P372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4"/>
      <c r="R372" s="654"/>
      <c r="S372" s="654"/>
      <c r="T372" s="655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53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624</v>
      </c>
      <c r="AG372" s="75"/>
      <c r="AJ372" s="79" t="s">
        <v>46</v>
      </c>
      <c r="AK372" s="79">
        <v>0</v>
      </c>
      <c r="BB372" s="466" t="s">
        <v>67</v>
      </c>
      <c r="BM372" s="75">
        <f t="shared" si="54"/>
        <v>0</v>
      </c>
      <c r="BN372" s="75">
        <f t="shared" si="55"/>
        <v>0</v>
      </c>
      <c r="BO372" s="75">
        <f t="shared" si="56"/>
        <v>0</v>
      </c>
      <c r="BP372" s="75">
        <f t="shared" si="57"/>
        <v>0</v>
      </c>
    </row>
    <row r="373" spans="1:68" ht="27" hidden="1" customHeight="1" x14ac:dyDescent="0.25">
      <c r="A373" s="60" t="s">
        <v>625</v>
      </c>
      <c r="B373" s="60" t="s">
        <v>626</v>
      </c>
      <c r="C373" s="34">
        <v>4301031152</v>
      </c>
      <c r="D373" s="652">
        <v>4607091387285</v>
      </c>
      <c r="E373" s="652"/>
      <c r="F373" s="59">
        <v>0.35</v>
      </c>
      <c r="G373" s="35">
        <v>6</v>
      </c>
      <c r="H373" s="59">
        <v>2.1</v>
      </c>
      <c r="I373" s="59">
        <v>2.23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7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4"/>
      <c r="R373" s="654"/>
      <c r="S373" s="654"/>
      <c r="T373" s="655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5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67" t="s">
        <v>621</v>
      </c>
      <c r="AG373" s="75"/>
      <c r="AJ373" s="79" t="s">
        <v>46</v>
      </c>
      <c r="AK373" s="79">
        <v>0</v>
      </c>
      <c r="BB373" s="468" t="s">
        <v>67</v>
      </c>
      <c r="BM373" s="75">
        <f t="shared" si="54"/>
        <v>0</v>
      </c>
      <c r="BN373" s="75">
        <f t="shared" si="55"/>
        <v>0</v>
      </c>
      <c r="BO373" s="75">
        <f t="shared" si="56"/>
        <v>0</v>
      </c>
      <c r="BP373" s="75">
        <f t="shared" si="57"/>
        <v>0</v>
      </c>
    </row>
    <row r="374" spans="1:68" ht="27" customHeight="1" x14ac:dyDescent="0.25">
      <c r="A374" s="60" t="s">
        <v>627</v>
      </c>
      <c r="B374" s="60" t="s">
        <v>628</v>
      </c>
      <c r="C374" s="34">
        <v>4301031305</v>
      </c>
      <c r="D374" s="652">
        <v>4607091389845</v>
      </c>
      <c r="E374" s="652"/>
      <c r="F374" s="59">
        <v>0.35</v>
      </c>
      <c r="G374" s="35">
        <v>6</v>
      </c>
      <c r="H374" s="59">
        <v>2.1</v>
      </c>
      <c r="I374" s="59">
        <v>2.2000000000000002</v>
      </c>
      <c r="J374" s="35">
        <v>234</v>
      </c>
      <c r="K374" s="35" t="s">
        <v>82</v>
      </c>
      <c r="L374" s="35" t="s">
        <v>46</v>
      </c>
      <c r="M374" s="36" t="s">
        <v>81</v>
      </c>
      <c r="N374" s="36"/>
      <c r="O374" s="35">
        <v>40</v>
      </c>
      <c r="P374" s="74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4"/>
      <c r="R374" s="654"/>
      <c r="S374" s="654"/>
      <c r="T374" s="655"/>
      <c r="U374" s="37" t="s">
        <v>46</v>
      </c>
      <c r="V374" s="37" t="s">
        <v>46</v>
      </c>
      <c r="W374" s="38" t="s">
        <v>0</v>
      </c>
      <c r="X374" s="56">
        <v>31.5</v>
      </c>
      <c r="Y374" s="53">
        <f t="shared" si="53"/>
        <v>31.5</v>
      </c>
      <c r="Z374" s="39">
        <f>IFERROR(IF(Y374=0,"",ROUNDUP(Y374/H374,0)*0.00502),"")</f>
        <v>7.5300000000000006E-2</v>
      </c>
      <c r="AA374" s="65" t="s">
        <v>46</v>
      </c>
      <c r="AB374" s="66" t="s">
        <v>46</v>
      </c>
      <c r="AC374" s="469" t="s">
        <v>629</v>
      </c>
      <c r="AG374" s="75"/>
      <c r="AJ374" s="79" t="s">
        <v>46</v>
      </c>
      <c r="AK374" s="79">
        <v>0</v>
      </c>
      <c r="BB374" s="470" t="s">
        <v>67</v>
      </c>
      <c r="BM374" s="75">
        <f t="shared" si="54"/>
        <v>33.000000000000007</v>
      </c>
      <c r="BN374" s="75">
        <f t="shared" si="55"/>
        <v>33.000000000000007</v>
      </c>
      <c r="BO374" s="75">
        <f t="shared" si="56"/>
        <v>6.4102564102564111E-2</v>
      </c>
      <c r="BP374" s="75">
        <f t="shared" si="57"/>
        <v>6.4102564102564111E-2</v>
      </c>
    </row>
    <row r="375" spans="1:68" ht="27" hidden="1" customHeight="1" x14ac:dyDescent="0.25">
      <c r="A375" s="60" t="s">
        <v>630</v>
      </c>
      <c r="B375" s="60" t="s">
        <v>631</v>
      </c>
      <c r="C375" s="34">
        <v>4301031460</v>
      </c>
      <c r="D375" s="652">
        <v>4680115887442</v>
      </c>
      <c r="E375" s="652"/>
      <c r="F375" s="59">
        <v>0.73</v>
      </c>
      <c r="G375" s="35">
        <v>6</v>
      </c>
      <c r="H375" s="59">
        <v>4.38</v>
      </c>
      <c r="I375" s="59">
        <v>4.63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45</v>
      </c>
      <c r="P375" s="74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4"/>
      <c r="R375" s="654"/>
      <c r="S375" s="654"/>
      <c r="T375" s="655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53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624</v>
      </c>
      <c r="AG375" s="75"/>
      <c r="AJ375" s="79" t="s">
        <v>46</v>
      </c>
      <c r="AK375" s="79">
        <v>0</v>
      </c>
      <c r="BB375" s="472" t="s">
        <v>67</v>
      </c>
      <c r="BM375" s="75">
        <f t="shared" si="54"/>
        <v>0</v>
      </c>
      <c r="BN375" s="75">
        <f t="shared" si="55"/>
        <v>0</v>
      </c>
      <c r="BO375" s="75">
        <f t="shared" si="56"/>
        <v>0</v>
      </c>
      <c r="BP375" s="75">
        <f t="shared" si="57"/>
        <v>0</v>
      </c>
    </row>
    <row r="376" spans="1:68" ht="27" customHeight="1" x14ac:dyDescent="0.25">
      <c r="A376" s="60" t="s">
        <v>632</v>
      </c>
      <c r="B376" s="60" t="s">
        <v>633</v>
      </c>
      <c r="C376" s="34">
        <v>4301031066</v>
      </c>
      <c r="D376" s="652">
        <v>4607091383836</v>
      </c>
      <c r="E376" s="652"/>
      <c r="F376" s="59">
        <v>0.3</v>
      </c>
      <c r="G376" s="35">
        <v>6</v>
      </c>
      <c r="H376" s="59">
        <v>1.8</v>
      </c>
      <c r="I376" s="59">
        <v>2.028</v>
      </c>
      <c r="J376" s="35">
        <v>182</v>
      </c>
      <c r="K376" s="35" t="s">
        <v>91</v>
      </c>
      <c r="L376" s="35" t="s">
        <v>46</v>
      </c>
      <c r="M376" s="36" t="s">
        <v>81</v>
      </c>
      <c r="N376" s="36"/>
      <c r="O376" s="35">
        <v>40</v>
      </c>
      <c r="P376" s="74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4"/>
      <c r="R376" s="654"/>
      <c r="S376" s="654"/>
      <c r="T376" s="655"/>
      <c r="U376" s="37" t="s">
        <v>46</v>
      </c>
      <c r="V376" s="37" t="s">
        <v>46</v>
      </c>
      <c r="W376" s="38" t="s">
        <v>0</v>
      </c>
      <c r="X376" s="56">
        <v>108</v>
      </c>
      <c r="Y376" s="53">
        <f t="shared" si="53"/>
        <v>108</v>
      </c>
      <c r="Z376" s="39">
        <f>IFERROR(IF(Y376=0,"",ROUNDUP(Y376/H376,0)*0.00651),"")</f>
        <v>0.3906</v>
      </c>
      <c r="AA376" s="65" t="s">
        <v>46</v>
      </c>
      <c r="AB376" s="66" t="s">
        <v>46</v>
      </c>
      <c r="AC376" s="473" t="s">
        <v>634</v>
      </c>
      <c r="AG376" s="75"/>
      <c r="AJ376" s="79" t="s">
        <v>46</v>
      </c>
      <c r="AK376" s="79">
        <v>0</v>
      </c>
      <c r="BB376" s="474" t="s">
        <v>67</v>
      </c>
      <c r="BM376" s="75">
        <f t="shared" si="54"/>
        <v>121.67999999999999</v>
      </c>
      <c r="BN376" s="75">
        <f t="shared" si="55"/>
        <v>121.67999999999999</v>
      </c>
      <c r="BO376" s="75">
        <f t="shared" si="56"/>
        <v>0.32967032967032972</v>
      </c>
      <c r="BP376" s="75">
        <f t="shared" si="57"/>
        <v>0.32967032967032972</v>
      </c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47"/>
      <c r="P377" s="643" t="s">
        <v>40</v>
      </c>
      <c r="Q377" s="644"/>
      <c r="R377" s="644"/>
      <c r="S377" s="644"/>
      <c r="T377" s="644"/>
      <c r="U377" s="644"/>
      <c r="V377" s="645"/>
      <c r="W377" s="40" t="s">
        <v>39</v>
      </c>
      <c r="X377" s="41">
        <f>IFERROR(X370/H370,"0")+IFERROR(X371/H371,"0")+IFERROR(X372/H372,"0")+IFERROR(X373/H373,"0")+IFERROR(X374/H374,"0")+IFERROR(X375/H375,"0")+IFERROR(X376/H376,"0")</f>
        <v>75</v>
      </c>
      <c r="Y377" s="41">
        <f>IFERROR(Y370/H370,"0")+IFERROR(Y371/H371,"0")+IFERROR(Y372/H372,"0")+IFERROR(Y373/H373,"0")+IFERROR(Y374/H374,"0")+IFERROR(Y375/H375,"0")+IFERROR(Y376/H376,"0")</f>
        <v>75</v>
      </c>
      <c r="Z377" s="41">
        <f>IFERROR(IF(Z370="",0,Z370),"0")+IFERROR(IF(Z371="",0,Z371),"0")+IFERROR(IF(Z372="",0,Z372),"0")+IFERROR(IF(Z373="",0,Z373),"0")+IFERROR(IF(Z374="",0,Z374),"0")+IFERROR(IF(Z375="",0,Z375),"0")+IFERROR(IF(Z376="",0,Z376),"0")</f>
        <v>0.46589999999999998</v>
      </c>
      <c r="AA377" s="64"/>
      <c r="AB377" s="64"/>
      <c r="AC377" s="64"/>
    </row>
    <row r="378" spans="1:68" x14ac:dyDescent="0.2">
      <c r="A378" s="646"/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7"/>
      <c r="P378" s="643" t="s">
        <v>40</v>
      </c>
      <c r="Q378" s="644"/>
      <c r="R378" s="644"/>
      <c r="S378" s="644"/>
      <c r="T378" s="644"/>
      <c r="U378" s="644"/>
      <c r="V378" s="645"/>
      <c r="W378" s="40" t="s">
        <v>0</v>
      </c>
      <c r="X378" s="41">
        <f>IFERROR(SUM(X370:X376),"0")</f>
        <v>139.5</v>
      </c>
      <c r="Y378" s="41">
        <f>IFERROR(SUM(Y370:Y376),"0")</f>
        <v>139.5</v>
      </c>
      <c r="Z378" s="40"/>
      <c r="AA378" s="64"/>
      <c r="AB378" s="64"/>
      <c r="AC378" s="64"/>
    </row>
    <row r="379" spans="1:68" ht="14.25" hidden="1" customHeight="1" x14ac:dyDescent="0.25">
      <c r="A379" s="657" t="s">
        <v>86</v>
      </c>
      <c r="B379" s="657"/>
      <c r="C379" s="657"/>
      <c r="D379" s="657"/>
      <c r="E379" s="657"/>
      <c r="F379" s="657"/>
      <c r="G379" s="657"/>
      <c r="H379" s="657"/>
      <c r="I379" s="657"/>
      <c r="J379" s="657"/>
      <c r="K379" s="657"/>
      <c r="L379" s="657"/>
      <c r="M379" s="657"/>
      <c r="N379" s="657"/>
      <c r="O379" s="657"/>
      <c r="P379" s="657"/>
      <c r="Q379" s="657"/>
      <c r="R379" s="657"/>
      <c r="S379" s="657"/>
      <c r="T379" s="657"/>
      <c r="U379" s="657"/>
      <c r="V379" s="657"/>
      <c r="W379" s="657"/>
      <c r="X379" s="657"/>
      <c r="Y379" s="657"/>
      <c r="Z379" s="657"/>
      <c r="AA379" s="63"/>
      <c r="AB379" s="63"/>
      <c r="AC379" s="63"/>
    </row>
    <row r="380" spans="1:68" ht="27" hidden="1" customHeight="1" x14ac:dyDescent="0.25">
      <c r="A380" s="60" t="s">
        <v>635</v>
      </c>
      <c r="B380" s="60" t="s">
        <v>636</v>
      </c>
      <c r="C380" s="34">
        <v>4301051100</v>
      </c>
      <c r="D380" s="652">
        <v>4607091387766</v>
      </c>
      <c r="E380" s="652"/>
      <c r="F380" s="59">
        <v>1.3</v>
      </c>
      <c r="G380" s="35">
        <v>6</v>
      </c>
      <c r="H380" s="59">
        <v>7.8</v>
      </c>
      <c r="I380" s="59">
        <v>8.2880000000000003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73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4"/>
      <c r="R380" s="654"/>
      <c r="S380" s="654"/>
      <c r="T380" s="655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75" t="s">
        <v>637</v>
      </c>
      <c r="AG380" s="75"/>
      <c r="AJ380" s="79" t="s">
        <v>46</v>
      </c>
      <c r="AK380" s="79">
        <v>0</v>
      </c>
      <c r="BB380" s="476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638</v>
      </c>
      <c r="B381" s="60" t="s">
        <v>639</v>
      </c>
      <c r="C381" s="34">
        <v>4301051818</v>
      </c>
      <c r="D381" s="652">
        <v>4607091387957</v>
      </c>
      <c r="E381" s="652"/>
      <c r="F381" s="59">
        <v>1.3</v>
      </c>
      <c r="G381" s="35">
        <v>6</v>
      </c>
      <c r="H381" s="59">
        <v>7.8</v>
      </c>
      <c r="I381" s="59">
        <v>8.2940000000000005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73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4"/>
      <c r="R381" s="654"/>
      <c r="S381" s="654"/>
      <c r="T381" s="65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7" t="s">
        <v>640</v>
      </c>
      <c r="AG381" s="75"/>
      <c r="AJ381" s="79" t="s">
        <v>46</v>
      </c>
      <c r="AK381" s="79">
        <v>0</v>
      </c>
      <c r="BB381" s="478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641</v>
      </c>
      <c r="B382" s="60" t="s">
        <v>642</v>
      </c>
      <c r="C382" s="34">
        <v>4301051819</v>
      </c>
      <c r="D382" s="652">
        <v>4607091387964</v>
      </c>
      <c r="E382" s="652"/>
      <c r="F382" s="59">
        <v>1.35</v>
      </c>
      <c r="G382" s="35">
        <v>6</v>
      </c>
      <c r="H382" s="59">
        <v>8.1</v>
      </c>
      <c r="I382" s="59">
        <v>8.5760000000000005</v>
      </c>
      <c r="J382" s="35">
        <v>64</v>
      </c>
      <c r="K382" s="35" t="s">
        <v>127</v>
      </c>
      <c r="L382" s="35" t="s">
        <v>46</v>
      </c>
      <c r="M382" s="36" t="s">
        <v>90</v>
      </c>
      <c r="N382" s="36"/>
      <c r="O382" s="35">
        <v>40</v>
      </c>
      <c r="P382" s="73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4"/>
      <c r="R382" s="654"/>
      <c r="S382" s="654"/>
      <c r="T382" s="655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643</v>
      </c>
      <c r="AG382" s="75"/>
      <c r="AJ382" s="79" t="s">
        <v>46</v>
      </c>
      <c r="AK382" s="79">
        <v>0</v>
      </c>
      <c r="BB382" s="480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644</v>
      </c>
      <c r="B383" s="60" t="s">
        <v>645</v>
      </c>
      <c r="C383" s="34">
        <v>4301051734</v>
      </c>
      <c r="D383" s="652">
        <v>4680115884588</v>
      </c>
      <c r="E383" s="652"/>
      <c r="F383" s="59">
        <v>0.5</v>
      </c>
      <c r="G383" s="35">
        <v>6</v>
      </c>
      <c r="H383" s="59">
        <v>3</v>
      </c>
      <c r="I383" s="59">
        <v>3.246</v>
      </c>
      <c r="J383" s="35">
        <v>182</v>
      </c>
      <c r="K383" s="35" t="s">
        <v>91</v>
      </c>
      <c r="L383" s="35" t="s">
        <v>46</v>
      </c>
      <c r="M383" s="36" t="s">
        <v>90</v>
      </c>
      <c r="N383" s="36"/>
      <c r="O383" s="35">
        <v>40</v>
      </c>
      <c r="P383" s="7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4"/>
      <c r="R383" s="654"/>
      <c r="S383" s="654"/>
      <c r="T383" s="655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IFERROR(IF(Y383=0,"",ROUNDUP(Y383/H383,0)*0.00651),"")</f>
        <v/>
      </c>
      <c r="AA383" s="65" t="s">
        <v>46</v>
      </c>
      <c r="AB383" s="66" t="s">
        <v>46</v>
      </c>
      <c r="AC383" s="481" t="s">
        <v>637</v>
      </c>
      <c r="AG383" s="75"/>
      <c r="AJ383" s="79" t="s">
        <v>46</v>
      </c>
      <c r="AK383" s="79">
        <v>0</v>
      </c>
      <c r="BB383" s="482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idden="1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47"/>
      <c r="P384" s="643" t="s">
        <v>40</v>
      </c>
      <c r="Q384" s="644"/>
      <c r="R384" s="644"/>
      <c r="S384" s="644"/>
      <c r="T384" s="644"/>
      <c r="U384" s="644"/>
      <c r="V384" s="645"/>
      <c r="W384" s="40" t="s">
        <v>39</v>
      </c>
      <c r="X384" s="41">
        <f>IFERROR(X380/H380,"0")+IFERROR(X381/H381,"0")+IFERROR(X382/H382,"0")+IFERROR(X383/H383,"0")</f>
        <v>0</v>
      </c>
      <c r="Y384" s="41">
        <f>IFERROR(Y380/H380,"0")+IFERROR(Y381/H381,"0")+IFERROR(Y382/H382,"0")+IFERROR(Y383/H383,"0")</f>
        <v>0</v>
      </c>
      <c r="Z384" s="41">
        <f>IFERROR(IF(Z380="",0,Z380),"0")+IFERROR(IF(Z381="",0,Z381),"0")+IFERROR(IF(Z382="",0,Z382),"0")+IFERROR(IF(Z383="",0,Z383),"0")</f>
        <v>0</v>
      </c>
      <c r="AA384" s="64"/>
      <c r="AB384" s="64"/>
      <c r="AC384" s="64"/>
    </row>
    <row r="385" spans="1:68" hidden="1" x14ac:dyDescent="0.2">
      <c r="A385" s="646"/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7"/>
      <c r="P385" s="643" t="s">
        <v>40</v>
      </c>
      <c r="Q385" s="644"/>
      <c r="R385" s="644"/>
      <c r="S385" s="644"/>
      <c r="T385" s="644"/>
      <c r="U385" s="644"/>
      <c r="V385" s="645"/>
      <c r="W385" s="40" t="s">
        <v>0</v>
      </c>
      <c r="X385" s="41">
        <f>IFERROR(SUM(X380:X383),"0")</f>
        <v>0</v>
      </c>
      <c r="Y385" s="41">
        <f>IFERROR(SUM(Y380:Y383),"0")</f>
        <v>0</v>
      </c>
      <c r="Z385" s="40"/>
      <c r="AA385" s="64"/>
      <c r="AB385" s="64"/>
      <c r="AC385" s="64"/>
    </row>
    <row r="386" spans="1:68" ht="14.25" hidden="1" customHeight="1" x14ac:dyDescent="0.25">
      <c r="A386" s="657" t="s">
        <v>175</v>
      </c>
      <c r="B386" s="657"/>
      <c r="C386" s="657"/>
      <c r="D386" s="657"/>
      <c r="E386" s="657"/>
      <c r="F386" s="657"/>
      <c r="G386" s="657"/>
      <c r="H386" s="657"/>
      <c r="I386" s="657"/>
      <c r="J386" s="657"/>
      <c r="K386" s="657"/>
      <c r="L386" s="657"/>
      <c r="M386" s="657"/>
      <c r="N386" s="657"/>
      <c r="O386" s="657"/>
      <c r="P386" s="657"/>
      <c r="Q386" s="657"/>
      <c r="R386" s="657"/>
      <c r="S386" s="657"/>
      <c r="T386" s="657"/>
      <c r="U386" s="657"/>
      <c r="V386" s="657"/>
      <c r="W386" s="657"/>
      <c r="X386" s="657"/>
      <c r="Y386" s="657"/>
      <c r="Z386" s="657"/>
      <c r="AA386" s="63"/>
      <c r="AB386" s="63"/>
      <c r="AC386" s="63"/>
    </row>
    <row r="387" spans="1:68" ht="27" hidden="1" customHeight="1" x14ac:dyDescent="0.25">
      <c r="A387" s="60" t="s">
        <v>646</v>
      </c>
      <c r="B387" s="60" t="s">
        <v>647</v>
      </c>
      <c r="C387" s="34">
        <v>4301060387</v>
      </c>
      <c r="D387" s="652">
        <v>4607091380880</v>
      </c>
      <c r="E387" s="652"/>
      <c r="F387" s="59">
        <v>1.4</v>
      </c>
      <c r="G387" s="35">
        <v>6</v>
      </c>
      <c r="H387" s="59">
        <v>8.4</v>
      </c>
      <c r="I387" s="59">
        <v>8.8940000000000001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73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4"/>
      <c r="R387" s="654"/>
      <c r="S387" s="654"/>
      <c r="T387" s="655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3" t="s">
        <v>648</v>
      </c>
      <c r="AG387" s="75"/>
      <c r="AJ387" s="79" t="s">
        <v>46</v>
      </c>
      <c r="AK387" s="79">
        <v>0</v>
      </c>
      <c r="BB387" s="484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649</v>
      </c>
      <c r="B388" s="60" t="s">
        <v>650</v>
      </c>
      <c r="C388" s="34">
        <v>4301060406</v>
      </c>
      <c r="D388" s="652">
        <v>4607091384482</v>
      </c>
      <c r="E388" s="652"/>
      <c r="F388" s="59">
        <v>1.3</v>
      </c>
      <c r="G388" s="35">
        <v>6</v>
      </c>
      <c r="H388" s="59">
        <v>7.8</v>
      </c>
      <c r="I388" s="59">
        <v>8.2940000000000005</v>
      </c>
      <c r="J388" s="35">
        <v>64</v>
      </c>
      <c r="K388" s="35" t="s">
        <v>127</v>
      </c>
      <c r="L388" s="35" t="s">
        <v>46</v>
      </c>
      <c r="M388" s="36" t="s">
        <v>90</v>
      </c>
      <c r="N388" s="36"/>
      <c r="O388" s="35">
        <v>30</v>
      </c>
      <c r="P388" s="7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4"/>
      <c r="R388" s="654"/>
      <c r="S388" s="654"/>
      <c r="T388" s="655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85" t="s">
        <v>651</v>
      </c>
      <c r="AG388" s="75"/>
      <c r="AJ388" s="79" t="s">
        <v>46</v>
      </c>
      <c r="AK388" s="79">
        <v>0</v>
      </c>
      <c r="BB388" s="486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hidden="1" customHeight="1" x14ac:dyDescent="0.25">
      <c r="A389" s="60" t="s">
        <v>652</v>
      </c>
      <c r="B389" s="60" t="s">
        <v>653</v>
      </c>
      <c r="C389" s="34">
        <v>4301060484</v>
      </c>
      <c r="D389" s="652">
        <v>4607091380897</v>
      </c>
      <c r="E389" s="652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127</v>
      </c>
      <c r="L389" s="35" t="s">
        <v>46</v>
      </c>
      <c r="M389" s="36" t="s">
        <v>97</v>
      </c>
      <c r="N389" s="36"/>
      <c r="O389" s="35">
        <v>30</v>
      </c>
      <c r="P389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4"/>
      <c r="R389" s="654"/>
      <c r="S389" s="654"/>
      <c r="T389" s="655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7" t="s">
        <v>654</v>
      </c>
      <c r="AG389" s="75"/>
      <c r="AJ389" s="79" t="s">
        <v>46</v>
      </c>
      <c r="AK389" s="79">
        <v>0</v>
      </c>
      <c r="BB389" s="488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idden="1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47"/>
      <c r="P390" s="643" t="s">
        <v>40</v>
      </c>
      <c r="Q390" s="644"/>
      <c r="R390" s="644"/>
      <c r="S390" s="644"/>
      <c r="T390" s="644"/>
      <c r="U390" s="644"/>
      <c r="V390" s="645"/>
      <c r="W390" s="40" t="s">
        <v>39</v>
      </c>
      <c r="X390" s="41">
        <f>IFERROR(X387/H387,"0")+IFERROR(X388/H388,"0")+IFERROR(X389/H389,"0")</f>
        <v>0</v>
      </c>
      <c r="Y390" s="41">
        <f>IFERROR(Y387/H387,"0")+IFERROR(Y388/H388,"0")+IFERROR(Y389/H389,"0")</f>
        <v>0</v>
      </c>
      <c r="Z390" s="41">
        <f>IFERROR(IF(Z387="",0,Z387),"0")+IFERROR(IF(Z388="",0,Z388),"0")+IFERROR(IF(Z389="",0,Z389),"0")</f>
        <v>0</v>
      </c>
      <c r="AA390" s="64"/>
      <c r="AB390" s="64"/>
      <c r="AC390" s="64"/>
    </row>
    <row r="391" spans="1:68" hidden="1" x14ac:dyDescent="0.2">
      <c r="A391" s="646"/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7"/>
      <c r="P391" s="643" t="s">
        <v>40</v>
      </c>
      <c r="Q391" s="644"/>
      <c r="R391" s="644"/>
      <c r="S391" s="644"/>
      <c r="T391" s="644"/>
      <c r="U391" s="644"/>
      <c r="V391" s="645"/>
      <c r="W391" s="40" t="s">
        <v>0</v>
      </c>
      <c r="X391" s="41">
        <f>IFERROR(SUM(X387:X389),"0")</f>
        <v>0</v>
      </c>
      <c r="Y391" s="41">
        <f>IFERROR(SUM(Y387:Y389),"0")</f>
        <v>0</v>
      </c>
      <c r="Z391" s="40"/>
      <c r="AA391" s="64"/>
      <c r="AB391" s="64"/>
      <c r="AC391" s="64"/>
    </row>
    <row r="392" spans="1:68" ht="14.25" hidden="1" customHeight="1" x14ac:dyDescent="0.25">
      <c r="A392" s="657" t="s">
        <v>283</v>
      </c>
      <c r="B392" s="657"/>
      <c r="C392" s="657"/>
      <c r="D392" s="657"/>
      <c r="E392" s="657"/>
      <c r="F392" s="657"/>
      <c r="G392" s="657"/>
      <c r="H392" s="657"/>
      <c r="I392" s="657"/>
      <c r="J392" s="657"/>
      <c r="K392" s="657"/>
      <c r="L392" s="657"/>
      <c r="M392" s="657"/>
      <c r="N392" s="657"/>
      <c r="O392" s="657"/>
      <c r="P392" s="657"/>
      <c r="Q392" s="657"/>
      <c r="R392" s="657"/>
      <c r="S392" s="657"/>
      <c r="T392" s="657"/>
      <c r="U392" s="657"/>
      <c r="V392" s="657"/>
      <c r="W392" s="657"/>
      <c r="X392" s="657"/>
      <c r="Y392" s="657"/>
      <c r="Z392" s="657"/>
      <c r="AA392" s="63"/>
      <c r="AB392" s="63"/>
      <c r="AC392" s="63"/>
    </row>
    <row r="393" spans="1:68" ht="27" hidden="1" customHeight="1" x14ac:dyDescent="0.25">
      <c r="A393" s="60" t="s">
        <v>655</v>
      </c>
      <c r="B393" s="60" t="s">
        <v>656</v>
      </c>
      <c r="C393" s="34">
        <v>4301030235</v>
      </c>
      <c r="D393" s="652">
        <v>4607091388381</v>
      </c>
      <c r="E393" s="652"/>
      <c r="F393" s="59">
        <v>0.38</v>
      </c>
      <c r="G393" s="35">
        <v>8</v>
      </c>
      <c r="H393" s="59">
        <v>3.04</v>
      </c>
      <c r="I393" s="59">
        <v>3.31</v>
      </c>
      <c r="J393" s="35">
        <v>132</v>
      </c>
      <c r="K393" s="35" t="s">
        <v>134</v>
      </c>
      <c r="L393" s="35" t="s">
        <v>46</v>
      </c>
      <c r="M393" s="36" t="s">
        <v>251</v>
      </c>
      <c r="N393" s="36"/>
      <c r="O393" s="35">
        <v>180</v>
      </c>
      <c r="P393" s="73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4"/>
      <c r="R393" s="654"/>
      <c r="S393" s="654"/>
      <c r="T393" s="655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89" t="s">
        <v>657</v>
      </c>
      <c r="AG393" s="75"/>
      <c r="AJ393" s="79" t="s">
        <v>46</v>
      </c>
      <c r="AK393" s="79">
        <v>0</v>
      </c>
      <c r="BB393" s="490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658</v>
      </c>
      <c r="B394" s="60" t="s">
        <v>659</v>
      </c>
      <c r="C394" s="34">
        <v>4301030232</v>
      </c>
      <c r="D394" s="652">
        <v>4607091388374</v>
      </c>
      <c r="E394" s="652"/>
      <c r="F394" s="59">
        <v>0.38</v>
      </c>
      <c r="G394" s="35">
        <v>8</v>
      </c>
      <c r="H394" s="59">
        <v>3.04</v>
      </c>
      <c r="I394" s="59">
        <v>3.27</v>
      </c>
      <c r="J394" s="35">
        <v>132</v>
      </c>
      <c r="K394" s="35" t="s">
        <v>134</v>
      </c>
      <c r="L394" s="35" t="s">
        <v>46</v>
      </c>
      <c r="M394" s="36" t="s">
        <v>251</v>
      </c>
      <c r="N394" s="36"/>
      <c r="O394" s="35">
        <v>180</v>
      </c>
      <c r="P394" s="7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4"/>
      <c r="R394" s="654"/>
      <c r="S394" s="654"/>
      <c r="T394" s="655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91" t="s">
        <v>657</v>
      </c>
      <c r="AG394" s="75"/>
      <c r="AJ394" s="79" t="s">
        <v>46</v>
      </c>
      <c r="AK394" s="79">
        <v>0</v>
      </c>
      <c r="BB394" s="492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660</v>
      </c>
      <c r="B395" s="60" t="s">
        <v>661</v>
      </c>
      <c r="C395" s="34">
        <v>4301032015</v>
      </c>
      <c r="D395" s="652">
        <v>4607091383102</v>
      </c>
      <c r="E395" s="652"/>
      <c r="F395" s="59">
        <v>0.17</v>
      </c>
      <c r="G395" s="35">
        <v>15</v>
      </c>
      <c r="H395" s="59">
        <v>2.5499999999999998</v>
      </c>
      <c r="I395" s="59">
        <v>2.9550000000000001</v>
      </c>
      <c r="J395" s="35">
        <v>182</v>
      </c>
      <c r="K395" s="35" t="s">
        <v>91</v>
      </c>
      <c r="L395" s="35" t="s">
        <v>46</v>
      </c>
      <c r="M395" s="36" t="s">
        <v>251</v>
      </c>
      <c r="N395" s="36"/>
      <c r="O395" s="35">
        <v>180</v>
      </c>
      <c r="P395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4"/>
      <c r="R395" s="654"/>
      <c r="S395" s="654"/>
      <c r="T395" s="655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3" t="s">
        <v>657</v>
      </c>
      <c r="AG395" s="75"/>
      <c r="AJ395" s="79" t="s">
        <v>46</v>
      </c>
      <c r="AK395" s="79">
        <v>0</v>
      </c>
      <c r="BB395" s="494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customHeight="1" x14ac:dyDescent="0.25">
      <c r="A396" s="60" t="s">
        <v>662</v>
      </c>
      <c r="B396" s="60" t="s">
        <v>663</v>
      </c>
      <c r="C396" s="34">
        <v>4301030233</v>
      </c>
      <c r="D396" s="652">
        <v>4607091388404</v>
      </c>
      <c r="E396" s="652"/>
      <c r="F396" s="59">
        <v>0.17</v>
      </c>
      <c r="G396" s="35">
        <v>15</v>
      </c>
      <c r="H396" s="59">
        <v>2.5499999999999998</v>
      </c>
      <c r="I396" s="59">
        <v>2.88</v>
      </c>
      <c r="J396" s="35">
        <v>182</v>
      </c>
      <c r="K396" s="35" t="s">
        <v>91</v>
      </c>
      <c r="L396" s="35" t="s">
        <v>46</v>
      </c>
      <c r="M396" s="36" t="s">
        <v>251</v>
      </c>
      <c r="N396" s="36"/>
      <c r="O396" s="35">
        <v>180</v>
      </c>
      <c r="P396" s="7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4"/>
      <c r="R396" s="654"/>
      <c r="S396" s="654"/>
      <c r="T396" s="655"/>
      <c r="U396" s="37" t="s">
        <v>46</v>
      </c>
      <c r="V396" s="37" t="s">
        <v>46</v>
      </c>
      <c r="W396" s="38" t="s">
        <v>0</v>
      </c>
      <c r="X396" s="56">
        <v>15.3</v>
      </c>
      <c r="Y396" s="53">
        <f>IFERROR(IF(X396="",0,CEILING((X396/$H396),1)*$H396),"")</f>
        <v>15.299999999999999</v>
      </c>
      <c r="Z396" s="39">
        <f>IFERROR(IF(Y396=0,"",ROUNDUP(Y396/H396,0)*0.00651),"")</f>
        <v>3.9059999999999997E-2</v>
      </c>
      <c r="AA396" s="65" t="s">
        <v>46</v>
      </c>
      <c r="AB396" s="66" t="s">
        <v>46</v>
      </c>
      <c r="AC396" s="495" t="s">
        <v>657</v>
      </c>
      <c r="AG396" s="75"/>
      <c r="AJ396" s="79" t="s">
        <v>46</v>
      </c>
      <c r="AK396" s="79">
        <v>0</v>
      </c>
      <c r="BB396" s="496" t="s">
        <v>67</v>
      </c>
      <c r="BM396" s="75">
        <f>IFERROR(X396*I396/H396,"0")</f>
        <v>17.28</v>
      </c>
      <c r="BN396" s="75">
        <f>IFERROR(Y396*I396/H396,"0")</f>
        <v>17.279999999999998</v>
      </c>
      <c r="BO396" s="75">
        <f>IFERROR(1/J396*(X396/H396),"0")</f>
        <v>3.2967032967032975E-2</v>
      </c>
      <c r="BP396" s="75">
        <f>IFERROR(1/J396*(Y396/H396),"0")</f>
        <v>3.2967032967032968E-2</v>
      </c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47"/>
      <c r="P397" s="643" t="s">
        <v>40</v>
      </c>
      <c r="Q397" s="644"/>
      <c r="R397" s="644"/>
      <c r="S397" s="644"/>
      <c r="T397" s="644"/>
      <c r="U397" s="644"/>
      <c r="V397" s="645"/>
      <c r="W397" s="40" t="s">
        <v>39</v>
      </c>
      <c r="X397" s="41">
        <f>IFERROR(X393/H393,"0")+IFERROR(X394/H394,"0")+IFERROR(X395/H395,"0")+IFERROR(X396/H396,"0")</f>
        <v>6.0000000000000009</v>
      </c>
      <c r="Y397" s="41">
        <f>IFERROR(Y393/H393,"0")+IFERROR(Y394/H394,"0")+IFERROR(Y395/H395,"0")+IFERROR(Y396/H396,"0")</f>
        <v>6</v>
      </c>
      <c r="Z397" s="41">
        <f>IFERROR(IF(Z393="",0,Z393),"0")+IFERROR(IF(Z394="",0,Z394),"0")+IFERROR(IF(Z395="",0,Z395),"0")+IFERROR(IF(Z396="",0,Z396),"0")</f>
        <v>3.9059999999999997E-2</v>
      </c>
      <c r="AA397" s="64"/>
      <c r="AB397" s="64"/>
      <c r="AC397" s="64"/>
    </row>
    <row r="398" spans="1:68" x14ac:dyDescent="0.2">
      <c r="A398" s="646"/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7"/>
      <c r="P398" s="643" t="s">
        <v>40</v>
      </c>
      <c r="Q398" s="644"/>
      <c r="R398" s="644"/>
      <c r="S398" s="644"/>
      <c r="T398" s="644"/>
      <c r="U398" s="644"/>
      <c r="V398" s="645"/>
      <c r="W398" s="40" t="s">
        <v>0</v>
      </c>
      <c r="X398" s="41">
        <f>IFERROR(SUM(X393:X396),"0")</f>
        <v>15.3</v>
      </c>
      <c r="Y398" s="41">
        <f>IFERROR(SUM(Y393:Y396),"0")</f>
        <v>15.299999999999999</v>
      </c>
      <c r="Z398" s="40"/>
      <c r="AA398" s="64"/>
      <c r="AB398" s="64"/>
      <c r="AC398" s="64"/>
    </row>
    <row r="399" spans="1:68" ht="14.25" hidden="1" customHeight="1" x14ac:dyDescent="0.25">
      <c r="A399" s="657" t="s">
        <v>664</v>
      </c>
      <c r="B399" s="657"/>
      <c r="C399" s="657"/>
      <c r="D399" s="657"/>
      <c r="E399" s="657"/>
      <c r="F399" s="657"/>
      <c r="G399" s="657"/>
      <c r="H399" s="657"/>
      <c r="I399" s="657"/>
      <c r="J399" s="657"/>
      <c r="K399" s="657"/>
      <c r="L399" s="657"/>
      <c r="M399" s="657"/>
      <c r="N399" s="657"/>
      <c r="O399" s="657"/>
      <c r="P399" s="657"/>
      <c r="Q399" s="657"/>
      <c r="R399" s="657"/>
      <c r="S399" s="657"/>
      <c r="T399" s="657"/>
      <c r="U399" s="657"/>
      <c r="V399" s="657"/>
      <c r="W399" s="657"/>
      <c r="X399" s="657"/>
      <c r="Y399" s="657"/>
      <c r="Z399" s="657"/>
      <c r="AA399" s="63"/>
      <c r="AB399" s="63"/>
      <c r="AC399" s="63"/>
    </row>
    <row r="400" spans="1:68" ht="16.5" hidden="1" customHeight="1" x14ac:dyDescent="0.25">
      <c r="A400" s="60" t="s">
        <v>665</v>
      </c>
      <c r="B400" s="60" t="s">
        <v>666</v>
      </c>
      <c r="C400" s="34">
        <v>4301180007</v>
      </c>
      <c r="D400" s="652">
        <v>4680115881808</v>
      </c>
      <c r="E400" s="652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668</v>
      </c>
      <c r="N400" s="36"/>
      <c r="O400" s="35">
        <v>731</v>
      </c>
      <c r="P400" s="72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4"/>
      <c r="R400" s="654"/>
      <c r="S400" s="654"/>
      <c r="T400" s="655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497" t="s">
        <v>667</v>
      </c>
      <c r="AG400" s="75"/>
      <c r="AJ400" s="79" t="s">
        <v>46</v>
      </c>
      <c r="AK400" s="79">
        <v>0</v>
      </c>
      <c r="BB400" s="498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669</v>
      </c>
      <c r="B401" s="60" t="s">
        <v>670</v>
      </c>
      <c r="C401" s="34">
        <v>4301180006</v>
      </c>
      <c r="D401" s="652">
        <v>4680115881822</v>
      </c>
      <c r="E401" s="652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668</v>
      </c>
      <c r="N401" s="36"/>
      <c r="O401" s="35">
        <v>731</v>
      </c>
      <c r="P401" s="7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4"/>
      <c r="R401" s="654"/>
      <c r="S401" s="654"/>
      <c r="T401" s="655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499" t="s">
        <v>667</v>
      </c>
      <c r="AG401" s="75"/>
      <c r="AJ401" s="79" t="s">
        <v>46</v>
      </c>
      <c r="AK401" s="79">
        <v>0</v>
      </c>
      <c r="BB401" s="500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customHeight="1" x14ac:dyDescent="0.25">
      <c r="A402" s="60" t="s">
        <v>671</v>
      </c>
      <c r="B402" s="60" t="s">
        <v>672</v>
      </c>
      <c r="C402" s="34">
        <v>4301180001</v>
      </c>
      <c r="D402" s="652">
        <v>4680115880016</v>
      </c>
      <c r="E402" s="652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668</v>
      </c>
      <c r="N402" s="36"/>
      <c r="O402" s="35">
        <v>731</v>
      </c>
      <c r="P402" s="7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4"/>
      <c r="R402" s="654"/>
      <c r="S402" s="654"/>
      <c r="T402" s="655"/>
      <c r="U402" s="37" t="s">
        <v>46</v>
      </c>
      <c r="V402" s="37" t="s">
        <v>46</v>
      </c>
      <c r="W402" s="38" t="s">
        <v>0</v>
      </c>
      <c r="X402" s="56">
        <v>36</v>
      </c>
      <c r="Y402" s="53">
        <f>IFERROR(IF(X402="",0,CEILING((X402/$H402),1)*$H402),"")</f>
        <v>36</v>
      </c>
      <c r="Z402" s="39">
        <f>IFERROR(IF(Y402=0,"",ROUNDUP(Y402/H402,0)*0.00474),"")</f>
        <v>8.5320000000000007E-2</v>
      </c>
      <c r="AA402" s="65" t="s">
        <v>46</v>
      </c>
      <c r="AB402" s="66" t="s">
        <v>46</v>
      </c>
      <c r="AC402" s="501" t="s">
        <v>667</v>
      </c>
      <c r="AG402" s="75"/>
      <c r="AJ402" s="79" t="s">
        <v>46</v>
      </c>
      <c r="AK402" s="79">
        <v>0</v>
      </c>
      <c r="BB402" s="502" t="s">
        <v>67</v>
      </c>
      <c r="BM402" s="75">
        <f>IFERROR(X402*I402/H402,"0")</f>
        <v>40.320000000000007</v>
      </c>
      <c r="BN402" s="75">
        <f>IFERROR(Y402*I402/H402,"0")</f>
        <v>40.320000000000007</v>
      </c>
      <c r="BO402" s="75">
        <f>IFERROR(1/J402*(X402/H402),"0")</f>
        <v>7.5630252100840331E-2</v>
      </c>
      <c r="BP402" s="75">
        <f>IFERROR(1/J402*(Y402/H402),"0")</f>
        <v>7.5630252100840331E-2</v>
      </c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47"/>
      <c r="P403" s="643" t="s">
        <v>40</v>
      </c>
      <c r="Q403" s="644"/>
      <c r="R403" s="644"/>
      <c r="S403" s="644"/>
      <c r="T403" s="644"/>
      <c r="U403" s="644"/>
      <c r="V403" s="645"/>
      <c r="W403" s="40" t="s">
        <v>39</v>
      </c>
      <c r="X403" s="41">
        <f>IFERROR(X400/H400,"0")+IFERROR(X401/H401,"0")+IFERROR(X402/H402,"0")</f>
        <v>18</v>
      </c>
      <c r="Y403" s="41">
        <f>IFERROR(Y400/H400,"0")+IFERROR(Y401/H401,"0")+IFERROR(Y402/H402,"0")</f>
        <v>18</v>
      </c>
      <c r="Z403" s="41">
        <f>IFERROR(IF(Z400="",0,Z400),"0")+IFERROR(IF(Z401="",0,Z401),"0")+IFERROR(IF(Z402="",0,Z402),"0")</f>
        <v>8.5320000000000007E-2</v>
      </c>
      <c r="AA403" s="64"/>
      <c r="AB403" s="64"/>
      <c r="AC403" s="64"/>
    </row>
    <row r="404" spans="1:68" x14ac:dyDescent="0.2">
      <c r="A404" s="646"/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7"/>
      <c r="P404" s="643" t="s">
        <v>40</v>
      </c>
      <c r="Q404" s="644"/>
      <c r="R404" s="644"/>
      <c r="S404" s="644"/>
      <c r="T404" s="644"/>
      <c r="U404" s="644"/>
      <c r="V404" s="645"/>
      <c r="W404" s="40" t="s">
        <v>0</v>
      </c>
      <c r="X404" s="41">
        <f>IFERROR(SUM(X400:X402),"0")</f>
        <v>36</v>
      </c>
      <c r="Y404" s="41">
        <f>IFERROR(SUM(Y400:Y402),"0")</f>
        <v>36</v>
      </c>
      <c r="Z404" s="40"/>
      <c r="AA404" s="64"/>
      <c r="AB404" s="64"/>
      <c r="AC404" s="64"/>
    </row>
    <row r="405" spans="1:68" ht="14.25" hidden="1" customHeight="1" x14ac:dyDescent="0.25">
      <c r="A405" s="657" t="s">
        <v>673</v>
      </c>
      <c r="B405" s="657"/>
      <c r="C405" s="657"/>
      <c r="D405" s="657"/>
      <c r="E405" s="657"/>
      <c r="F405" s="657"/>
      <c r="G405" s="657"/>
      <c r="H405" s="657"/>
      <c r="I405" s="657"/>
      <c r="J405" s="657"/>
      <c r="K405" s="657"/>
      <c r="L405" s="657"/>
      <c r="M405" s="657"/>
      <c r="N405" s="657"/>
      <c r="O405" s="657"/>
      <c r="P405" s="657"/>
      <c r="Q405" s="657"/>
      <c r="R405" s="657"/>
      <c r="S405" s="657"/>
      <c r="T405" s="657"/>
      <c r="U405" s="657"/>
      <c r="V405" s="657"/>
      <c r="W405" s="657"/>
      <c r="X405" s="657"/>
      <c r="Y405" s="657"/>
      <c r="Z405" s="657"/>
      <c r="AA405" s="63"/>
      <c r="AB405" s="63"/>
      <c r="AC405" s="63"/>
    </row>
    <row r="406" spans="1:68" ht="27" hidden="1" customHeight="1" x14ac:dyDescent="0.25">
      <c r="A406" s="60" t="s">
        <v>674</v>
      </c>
      <c r="B406" s="60" t="s">
        <v>675</v>
      </c>
      <c r="C406" s="34">
        <v>4301220003</v>
      </c>
      <c r="D406" s="652">
        <v>4680115888678</v>
      </c>
      <c r="E406" s="652"/>
      <c r="F406" s="59">
        <v>0.25</v>
      </c>
      <c r="G406" s="35">
        <v>12</v>
      </c>
      <c r="H406" s="59">
        <v>3</v>
      </c>
      <c r="I406" s="59">
        <v>3.22</v>
      </c>
      <c r="J406" s="35">
        <v>224</v>
      </c>
      <c r="K406" s="35" t="s">
        <v>91</v>
      </c>
      <c r="L406" s="35" t="s">
        <v>46</v>
      </c>
      <c r="M406" s="36" t="s">
        <v>668</v>
      </c>
      <c r="N406" s="36"/>
      <c r="O406" s="35">
        <v>1096</v>
      </c>
      <c r="P406" s="72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4"/>
      <c r="R406" s="654"/>
      <c r="S406" s="654"/>
      <c r="T406" s="655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IFERROR(IF(Y406=0,"",ROUNDUP(Y406/H406,0)*0.0045),"")</f>
        <v/>
      </c>
      <c r="AA406" s="65" t="s">
        <v>46</v>
      </c>
      <c r="AB406" s="66" t="s">
        <v>46</v>
      </c>
      <c r="AC406" s="503" t="s">
        <v>676</v>
      </c>
      <c r="AG406" s="75"/>
      <c r="AJ406" s="79" t="s">
        <v>46</v>
      </c>
      <c r="AK406" s="79">
        <v>0</v>
      </c>
      <c r="BB406" s="504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677</v>
      </c>
      <c r="B407" s="60" t="s">
        <v>678</v>
      </c>
      <c r="C407" s="34">
        <v>4301220001</v>
      </c>
      <c r="D407" s="652">
        <v>4680115888654</v>
      </c>
      <c r="E407" s="652"/>
      <c r="F407" s="59">
        <v>0.32500000000000001</v>
      </c>
      <c r="G407" s="35">
        <v>12</v>
      </c>
      <c r="H407" s="59">
        <v>3.9</v>
      </c>
      <c r="I407" s="59">
        <v>4.17</v>
      </c>
      <c r="J407" s="35">
        <v>144</v>
      </c>
      <c r="K407" s="35" t="s">
        <v>134</v>
      </c>
      <c r="L407" s="35" t="s">
        <v>46</v>
      </c>
      <c r="M407" s="36" t="s">
        <v>668</v>
      </c>
      <c r="N407" s="36"/>
      <c r="O407" s="35">
        <v>1096</v>
      </c>
      <c r="P407" s="72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4"/>
      <c r="R407" s="654"/>
      <c r="S407" s="654"/>
      <c r="T407" s="655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IFERROR(IF(Y407=0,"",ROUNDUP(Y407/H407,0)*0.006),"")</f>
        <v/>
      </c>
      <c r="AA407" s="65" t="s">
        <v>46</v>
      </c>
      <c r="AB407" s="66" t="s">
        <v>46</v>
      </c>
      <c r="AC407" s="505" t="s">
        <v>679</v>
      </c>
      <c r="AG407" s="75"/>
      <c r="AJ407" s="79" t="s">
        <v>46</v>
      </c>
      <c r="AK407" s="79">
        <v>0</v>
      </c>
      <c r="BB407" s="506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hidden="1" customHeight="1" x14ac:dyDescent="0.25">
      <c r="A408" s="60" t="s">
        <v>680</v>
      </c>
      <c r="B408" s="60" t="s">
        <v>681</v>
      </c>
      <c r="C408" s="34">
        <v>4301220002</v>
      </c>
      <c r="D408" s="652">
        <v>4680115888753</v>
      </c>
      <c r="E408" s="652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668</v>
      </c>
      <c r="N408" s="36"/>
      <c r="O408" s="35">
        <v>1096</v>
      </c>
      <c r="P408" s="72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4"/>
      <c r="R408" s="654"/>
      <c r="S408" s="654"/>
      <c r="T408" s="655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676</v>
      </c>
      <c r="AG408" s="75"/>
      <c r="AJ408" s="79" t="s">
        <v>46</v>
      </c>
      <c r="AK408" s="79">
        <v>0</v>
      </c>
      <c r="BB408" s="508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idden="1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47"/>
      <c r="P409" s="643" t="s">
        <v>40</v>
      </c>
      <c r="Q409" s="644"/>
      <c r="R409" s="644"/>
      <c r="S409" s="644"/>
      <c r="T409" s="644"/>
      <c r="U409" s="644"/>
      <c r="V409" s="645"/>
      <c r="W409" s="40" t="s">
        <v>39</v>
      </c>
      <c r="X409" s="41">
        <f>IFERROR(X406/H406,"0")+IFERROR(X407/H407,"0")+IFERROR(X408/H408,"0")</f>
        <v>0</v>
      </c>
      <c r="Y409" s="41">
        <f>IFERROR(Y406/H406,"0")+IFERROR(Y407/H407,"0")+IFERROR(Y408/H408,"0")</f>
        <v>0</v>
      </c>
      <c r="Z409" s="41">
        <f>IFERROR(IF(Z406="",0,Z406),"0")+IFERROR(IF(Z407="",0,Z407),"0")+IFERROR(IF(Z408="",0,Z408),"0")</f>
        <v>0</v>
      </c>
      <c r="AA409" s="64"/>
      <c r="AB409" s="64"/>
      <c r="AC409" s="64"/>
    </row>
    <row r="410" spans="1:68" hidden="1" x14ac:dyDescent="0.2">
      <c r="A410" s="646"/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7"/>
      <c r="P410" s="643" t="s">
        <v>40</v>
      </c>
      <c r="Q410" s="644"/>
      <c r="R410" s="644"/>
      <c r="S410" s="644"/>
      <c r="T410" s="644"/>
      <c r="U410" s="644"/>
      <c r="V410" s="645"/>
      <c r="W410" s="40" t="s">
        <v>0</v>
      </c>
      <c r="X410" s="41">
        <f>IFERROR(SUM(X406:X408),"0")</f>
        <v>0</v>
      </c>
      <c r="Y410" s="41">
        <f>IFERROR(SUM(Y406:Y408),"0")</f>
        <v>0</v>
      </c>
      <c r="Z410" s="40"/>
      <c r="AA410" s="64"/>
      <c r="AB410" s="64"/>
      <c r="AC410" s="64"/>
    </row>
    <row r="411" spans="1:68" ht="16.5" hidden="1" customHeight="1" x14ac:dyDescent="0.25">
      <c r="A411" s="656" t="s">
        <v>682</v>
      </c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6"/>
      <c r="P411" s="656"/>
      <c r="Q411" s="656"/>
      <c r="R411" s="656"/>
      <c r="S411" s="656"/>
      <c r="T411" s="656"/>
      <c r="U411" s="656"/>
      <c r="V411" s="656"/>
      <c r="W411" s="656"/>
      <c r="X411" s="656"/>
      <c r="Y411" s="656"/>
      <c r="Z411" s="656"/>
      <c r="AA411" s="62"/>
      <c r="AB411" s="62"/>
      <c r="AC411" s="62"/>
    </row>
    <row r="412" spans="1:68" ht="14.25" hidden="1" customHeight="1" x14ac:dyDescent="0.25">
      <c r="A412" s="657" t="s">
        <v>86</v>
      </c>
      <c r="B412" s="657"/>
      <c r="C412" s="657"/>
      <c r="D412" s="657"/>
      <c r="E412" s="657"/>
      <c r="F412" s="657"/>
      <c r="G412" s="657"/>
      <c r="H412" s="657"/>
      <c r="I412" s="657"/>
      <c r="J412" s="657"/>
      <c r="K412" s="657"/>
      <c r="L412" s="657"/>
      <c r="M412" s="657"/>
      <c r="N412" s="657"/>
      <c r="O412" s="657"/>
      <c r="P412" s="657"/>
      <c r="Q412" s="657"/>
      <c r="R412" s="657"/>
      <c r="S412" s="657"/>
      <c r="T412" s="657"/>
      <c r="U412" s="657"/>
      <c r="V412" s="657"/>
      <c r="W412" s="657"/>
      <c r="X412" s="657"/>
      <c r="Y412" s="657"/>
      <c r="Z412" s="657"/>
      <c r="AA412" s="63"/>
      <c r="AB412" s="63"/>
      <c r="AC412" s="63"/>
    </row>
    <row r="413" spans="1:68" ht="16.5" hidden="1" customHeight="1" x14ac:dyDescent="0.25">
      <c r="A413" s="60" t="s">
        <v>683</v>
      </c>
      <c r="B413" s="60" t="s">
        <v>684</v>
      </c>
      <c r="C413" s="34">
        <v>4301052235</v>
      </c>
      <c r="D413" s="652">
        <v>4680115889415</v>
      </c>
      <c r="E413" s="652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723" t="s">
        <v>685</v>
      </c>
      <c r="Q413" s="654"/>
      <c r="R413" s="654"/>
      <c r="S413" s="654"/>
      <c r="T413" s="655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687</v>
      </c>
      <c r="AC413" s="509" t="s">
        <v>686</v>
      </c>
      <c r="AG413" s="75"/>
      <c r="AJ413" s="79" t="s">
        <v>46</v>
      </c>
      <c r="AK413" s="79">
        <v>0</v>
      </c>
      <c r="BB413" s="510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t="16.5" hidden="1" customHeight="1" x14ac:dyDescent="0.25">
      <c r="A414" s="60" t="s">
        <v>688</v>
      </c>
      <c r="B414" s="60" t="s">
        <v>689</v>
      </c>
      <c r="C414" s="34">
        <v>4301052236</v>
      </c>
      <c r="D414" s="652">
        <v>4680115889422</v>
      </c>
      <c r="E414" s="652"/>
      <c r="F414" s="59">
        <v>1.3</v>
      </c>
      <c r="G414" s="35">
        <v>6</v>
      </c>
      <c r="H414" s="59">
        <v>7.8</v>
      </c>
      <c r="I414" s="59">
        <v>8.2100000000000009</v>
      </c>
      <c r="J414" s="35">
        <v>64</v>
      </c>
      <c r="K414" s="35" t="s">
        <v>127</v>
      </c>
      <c r="L414" s="35" t="s">
        <v>46</v>
      </c>
      <c r="M414" s="36" t="s">
        <v>90</v>
      </c>
      <c r="N414" s="36"/>
      <c r="O414" s="35">
        <v>40</v>
      </c>
      <c r="P414" s="720" t="s">
        <v>690</v>
      </c>
      <c r="Q414" s="654"/>
      <c r="R414" s="654"/>
      <c r="S414" s="654"/>
      <c r="T414" s="655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46</v>
      </c>
      <c r="AB414" s="66" t="s">
        <v>687</v>
      </c>
      <c r="AC414" s="511" t="s">
        <v>691</v>
      </c>
      <c r="AG414" s="75"/>
      <c r="AJ414" s="79" t="s">
        <v>46</v>
      </c>
      <c r="AK414" s="79">
        <v>0</v>
      </c>
      <c r="BB414" s="512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idden="1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47"/>
      <c r="P415" s="643" t="s">
        <v>40</v>
      </c>
      <c r="Q415" s="644"/>
      <c r="R415" s="644"/>
      <c r="S415" s="644"/>
      <c r="T415" s="644"/>
      <c r="U415" s="644"/>
      <c r="V415" s="645"/>
      <c r="W415" s="40" t="s">
        <v>39</v>
      </c>
      <c r="X415" s="41">
        <f>IFERROR(X413/H413,"0")+IFERROR(X414/H414,"0")</f>
        <v>0</v>
      </c>
      <c r="Y415" s="41">
        <f>IFERROR(Y413/H413,"0")+IFERROR(Y414/H414,"0")</f>
        <v>0</v>
      </c>
      <c r="Z415" s="41">
        <f>IFERROR(IF(Z413="",0,Z413),"0")+IFERROR(IF(Z414="",0,Z414),"0")</f>
        <v>0</v>
      </c>
      <c r="AA415" s="64"/>
      <c r="AB415" s="64"/>
      <c r="AC415" s="64"/>
    </row>
    <row r="416" spans="1:68" hidden="1" x14ac:dyDescent="0.2">
      <c r="A416" s="646"/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7"/>
      <c r="P416" s="643" t="s">
        <v>40</v>
      </c>
      <c r="Q416" s="644"/>
      <c r="R416" s="644"/>
      <c r="S416" s="644"/>
      <c r="T416" s="644"/>
      <c r="U416" s="644"/>
      <c r="V416" s="645"/>
      <c r="W416" s="40" t="s">
        <v>0</v>
      </c>
      <c r="X416" s="41">
        <f>IFERROR(SUM(X413:X414),"0")</f>
        <v>0</v>
      </c>
      <c r="Y416" s="41">
        <f>IFERROR(SUM(Y413:Y414),"0")</f>
        <v>0</v>
      </c>
      <c r="Z416" s="40"/>
      <c r="AA416" s="64"/>
      <c r="AB416" s="64"/>
      <c r="AC416" s="64"/>
    </row>
    <row r="417" spans="1:68" ht="16.5" hidden="1" customHeight="1" x14ac:dyDescent="0.25">
      <c r="A417" s="656" t="s">
        <v>692</v>
      </c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6"/>
      <c r="P417" s="656"/>
      <c r="Q417" s="656"/>
      <c r="R417" s="656"/>
      <c r="S417" s="656"/>
      <c r="T417" s="656"/>
      <c r="U417" s="656"/>
      <c r="V417" s="656"/>
      <c r="W417" s="656"/>
      <c r="X417" s="656"/>
      <c r="Y417" s="656"/>
      <c r="Z417" s="656"/>
      <c r="AA417" s="62"/>
      <c r="AB417" s="62"/>
      <c r="AC417" s="62"/>
    </row>
    <row r="418" spans="1:68" ht="14.25" hidden="1" customHeight="1" x14ac:dyDescent="0.25">
      <c r="A418" s="657" t="s">
        <v>86</v>
      </c>
      <c r="B418" s="657"/>
      <c r="C418" s="657"/>
      <c r="D418" s="657"/>
      <c r="E418" s="657"/>
      <c r="F418" s="657"/>
      <c r="G418" s="657"/>
      <c r="H418" s="657"/>
      <c r="I418" s="657"/>
      <c r="J418" s="657"/>
      <c r="K418" s="657"/>
      <c r="L418" s="657"/>
      <c r="M418" s="657"/>
      <c r="N418" s="657"/>
      <c r="O418" s="657"/>
      <c r="P418" s="657"/>
      <c r="Q418" s="657"/>
      <c r="R418" s="657"/>
      <c r="S418" s="657"/>
      <c r="T418" s="657"/>
      <c r="U418" s="657"/>
      <c r="V418" s="657"/>
      <c r="W418" s="657"/>
      <c r="X418" s="657"/>
      <c r="Y418" s="657"/>
      <c r="Z418" s="657"/>
      <c r="AA418" s="63"/>
      <c r="AB418" s="63"/>
      <c r="AC418" s="63"/>
    </row>
    <row r="419" spans="1:68" ht="27" hidden="1" customHeight="1" x14ac:dyDescent="0.25">
      <c r="A419" s="60" t="s">
        <v>693</v>
      </c>
      <c r="B419" s="60" t="s">
        <v>694</v>
      </c>
      <c r="C419" s="34">
        <v>4301051489</v>
      </c>
      <c r="D419" s="652">
        <v>4607091387919</v>
      </c>
      <c r="E419" s="652"/>
      <c r="F419" s="59">
        <v>1.35</v>
      </c>
      <c r="G419" s="35">
        <v>6</v>
      </c>
      <c r="H419" s="59">
        <v>8.1</v>
      </c>
      <c r="I419" s="59">
        <v>8.5939999999999994</v>
      </c>
      <c r="J419" s="35">
        <v>64</v>
      </c>
      <c r="K419" s="35" t="s">
        <v>127</v>
      </c>
      <c r="L419" s="35" t="s">
        <v>46</v>
      </c>
      <c r="M419" s="36" t="s">
        <v>97</v>
      </c>
      <c r="N419" s="36"/>
      <c r="O419" s="35">
        <v>45</v>
      </c>
      <c r="P419" s="7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4"/>
      <c r="R419" s="654"/>
      <c r="S419" s="654"/>
      <c r="T419" s="655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13" t="s">
        <v>695</v>
      </c>
      <c r="AG419" s="75"/>
      <c r="AJ419" s="79" t="s">
        <v>46</v>
      </c>
      <c r="AK419" s="79">
        <v>0</v>
      </c>
      <c r="BB419" s="514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customHeight="1" x14ac:dyDescent="0.25">
      <c r="A420" s="60" t="s">
        <v>696</v>
      </c>
      <c r="B420" s="60" t="s">
        <v>697</v>
      </c>
      <c r="C420" s="34">
        <v>4301051461</v>
      </c>
      <c r="D420" s="652">
        <v>4680115883604</v>
      </c>
      <c r="E420" s="652"/>
      <c r="F420" s="59">
        <v>0.35</v>
      </c>
      <c r="G420" s="35">
        <v>6</v>
      </c>
      <c r="H420" s="59">
        <v>2.1</v>
      </c>
      <c r="I420" s="59">
        <v>2.3519999999999999</v>
      </c>
      <c r="J420" s="35">
        <v>182</v>
      </c>
      <c r="K420" s="35" t="s">
        <v>91</v>
      </c>
      <c r="L420" s="35" t="s">
        <v>46</v>
      </c>
      <c r="M420" s="36" t="s">
        <v>90</v>
      </c>
      <c r="N420" s="36"/>
      <c r="O420" s="35">
        <v>45</v>
      </c>
      <c r="P420" s="7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4"/>
      <c r="R420" s="654"/>
      <c r="S420" s="654"/>
      <c r="T420" s="655"/>
      <c r="U420" s="37" t="s">
        <v>46</v>
      </c>
      <c r="V420" s="37" t="s">
        <v>46</v>
      </c>
      <c r="W420" s="38" t="s">
        <v>0</v>
      </c>
      <c r="X420" s="56">
        <v>10.5</v>
      </c>
      <c r="Y420" s="53">
        <f>IFERROR(IF(X420="",0,CEILING((X420/$H420),1)*$H420),"")</f>
        <v>10.5</v>
      </c>
      <c r="Z420" s="39">
        <f>IFERROR(IF(Y420=0,"",ROUNDUP(Y420/H420,0)*0.00651),"")</f>
        <v>3.2550000000000003E-2</v>
      </c>
      <c r="AA420" s="65" t="s">
        <v>46</v>
      </c>
      <c r="AB420" s="66" t="s">
        <v>46</v>
      </c>
      <c r="AC420" s="515" t="s">
        <v>698</v>
      </c>
      <c r="AG420" s="75"/>
      <c r="AJ420" s="79" t="s">
        <v>46</v>
      </c>
      <c r="AK420" s="79">
        <v>0</v>
      </c>
      <c r="BB420" s="516" t="s">
        <v>67</v>
      </c>
      <c r="BM420" s="75">
        <f>IFERROR(X420*I420/H420,"0")</f>
        <v>11.759999999999998</v>
      </c>
      <c r="BN420" s="75">
        <f>IFERROR(Y420*I420/H420,"0")</f>
        <v>11.759999999999998</v>
      </c>
      <c r="BO420" s="75">
        <f>IFERROR(1/J420*(X420/H420),"0")</f>
        <v>2.7472527472527476E-2</v>
      </c>
      <c r="BP420" s="75">
        <f>IFERROR(1/J420*(Y420/H420),"0")</f>
        <v>2.7472527472527476E-2</v>
      </c>
    </row>
    <row r="421" spans="1:68" ht="27" hidden="1" customHeight="1" x14ac:dyDescent="0.25">
      <c r="A421" s="60" t="s">
        <v>699</v>
      </c>
      <c r="B421" s="60" t="s">
        <v>700</v>
      </c>
      <c r="C421" s="34">
        <v>4301051864</v>
      </c>
      <c r="D421" s="652">
        <v>4680115883567</v>
      </c>
      <c r="E421" s="652"/>
      <c r="F421" s="59">
        <v>0.35</v>
      </c>
      <c r="G421" s="35">
        <v>6</v>
      </c>
      <c r="H421" s="59">
        <v>2.1</v>
      </c>
      <c r="I421" s="59">
        <v>2.34</v>
      </c>
      <c r="J421" s="35">
        <v>182</v>
      </c>
      <c r="K421" s="35" t="s">
        <v>91</v>
      </c>
      <c r="L421" s="35" t="s">
        <v>46</v>
      </c>
      <c r="M421" s="36" t="s">
        <v>97</v>
      </c>
      <c r="N421" s="36"/>
      <c r="O421" s="35">
        <v>40</v>
      </c>
      <c r="P421" s="71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4"/>
      <c r="R421" s="654"/>
      <c r="S421" s="654"/>
      <c r="T421" s="655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46</v>
      </c>
      <c r="AB421" s="66" t="s">
        <v>46</v>
      </c>
      <c r="AC421" s="517" t="s">
        <v>701</v>
      </c>
      <c r="AG421" s="75"/>
      <c r="AJ421" s="79" t="s">
        <v>46</v>
      </c>
      <c r="AK421" s="79">
        <v>0</v>
      </c>
      <c r="BB421" s="518" t="s">
        <v>67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47"/>
      <c r="P422" s="643" t="s">
        <v>40</v>
      </c>
      <c r="Q422" s="644"/>
      <c r="R422" s="644"/>
      <c r="S422" s="644"/>
      <c r="T422" s="644"/>
      <c r="U422" s="644"/>
      <c r="V422" s="645"/>
      <c r="W422" s="40" t="s">
        <v>39</v>
      </c>
      <c r="X422" s="41">
        <f>IFERROR(X419/H419,"0")+IFERROR(X420/H420,"0")+IFERROR(X421/H421,"0")</f>
        <v>5</v>
      </c>
      <c r="Y422" s="41">
        <f>IFERROR(Y419/H419,"0")+IFERROR(Y420/H420,"0")+IFERROR(Y421/H421,"0")</f>
        <v>5</v>
      </c>
      <c r="Z422" s="41">
        <f>IFERROR(IF(Z419="",0,Z419),"0")+IFERROR(IF(Z420="",0,Z420),"0")+IFERROR(IF(Z421="",0,Z421),"0")</f>
        <v>3.2550000000000003E-2</v>
      </c>
      <c r="AA422" s="64"/>
      <c r="AB422" s="64"/>
      <c r="AC422" s="64"/>
    </row>
    <row r="423" spans="1:68" x14ac:dyDescent="0.2">
      <c r="A423" s="646"/>
      <c r="B423" s="646"/>
      <c r="C423" s="646"/>
      <c r="D423" s="646"/>
      <c r="E423" s="646"/>
      <c r="F423" s="646"/>
      <c r="G423" s="646"/>
      <c r="H423" s="646"/>
      <c r="I423" s="646"/>
      <c r="J423" s="646"/>
      <c r="K423" s="646"/>
      <c r="L423" s="646"/>
      <c r="M423" s="646"/>
      <c r="N423" s="646"/>
      <c r="O423" s="647"/>
      <c r="P423" s="643" t="s">
        <v>40</v>
      </c>
      <c r="Q423" s="644"/>
      <c r="R423" s="644"/>
      <c r="S423" s="644"/>
      <c r="T423" s="644"/>
      <c r="U423" s="644"/>
      <c r="V423" s="645"/>
      <c r="W423" s="40" t="s">
        <v>0</v>
      </c>
      <c r="X423" s="41">
        <f>IFERROR(SUM(X419:X421),"0")</f>
        <v>10.5</v>
      </c>
      <c r="Y423" s="41">
        <f>IFERROR(SUM(Y419:Y421),"0")</f>
        <v>10.5</v>
      </c>
      <c r="Z423" s="40"/>
      <c r="AA423" s="64"/>
      <c r="AB423" s="64"/>
      <c r="AC423" s="64"/>
    </row>
    <row r="424" spans="1:68" ht="27.75" hidden="1" customHeight="1" x14ac:dyDescent="0.2">
      <c r="A424" s="663" t="s">
        <v>702</v>
      </c>
      <c r="B424" s="663"/>
      <c r="C424" s="663"/>
      <c r="D424" s="663"/>
      <c r="E424" s="663"/>
      <c r="F424" s="663"/>
      <c r="G424" s="663"/>
      <c r="H424" s="663"/>
      <c r="I424" s="663"/>
      <c r="J424" s="663"/>
      <c r="K424" s="663"/>
      <c r="L424" s="663"/>
      <c r="M424" s="663"/>
      <c r="N424" s="663"/>
      <c r="O424" s="663"/>
      <c r="P424" s="663"/>
      <c r="Q424" s="663"/>
      <c r="R424" s="663"/>
      <c r="S424" s="663"/>
      <c r="T424" s="663"/>
      <c r="U424" s="663"/>
      <c r="V424" s="663"/>
      <c r="W424" s="663"/>
      <c r="X424" s="663"/>
      <c r="Y424" s="663"/>
      <c r="Z424" s="663"/>
      <c r="AA424" s="52"/>
      <c r="AB424" s="52"/>
      <c r="AC424" s="52"/>
    </row>
    <row r="425" spans="1:68" ht="16.5" hidden="1" customHeight="1" x14ac:dyDescent="0.25">
      <c r="A425" s="656" t="s">
        <v>703</v>
      </c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6"/>
      <c r="P425" s="656"/>
      <c r="Q425" s="656"/>
      <c r="R425" s="656"/>
      <c r="S425" s="656"/>
      <c r="T425" s="656"/>
      <c r="U425" s="656"/>
      <c r="V425" s="656"/>
      <c r="W425" s="656"/>
      <c r="X425" s="656"/>
      <c r="Y425" s="656"/>
      <c r="Z425" s="656"/>
      <c r="AA425" s="62"/>
      <c r="AB425" s="62"/>
      <c r="AC425" s="62"/>
    </row>
    <row r="426" spans="1:68" ht="14.25" hidden="1" customHeight="1" x14ac:dyDescent="0.25">
      <c r="A426" s="657" t="s">
        <v>122</v>
      </c>
      <c r="B426" s="657"/>
      <c r="C426" s="657"/>
      <c r="D426" s="657"/>
      <c r="E426" s="657"/>
      <c r="F426" s="657"/>
      <c r="G426" s="657"/>
      <c r="H426" s="657"/>
      <c r="I426" s="657"/>
      <c r="J426" s="657"/>
      <c r="K426" s="657"/>
      <c r="L426" s="657"/>
      <c r="M426" s="657"/>
      <c r="N426" s="657"/>
      <c r="O426" s="657"/>
      <c r="P426" s="657"/>
      <c r="Q426" s="657"/>
      <c r="R426" s="657"/>
      <c r="S426" s="657"/>
      <c r="T426" s="657"/>
      <c r="U426" s="657"/>
      <c r="V426" s="657"/>
      <c r="W426" s="657"/>
      <c r="X426" s="657"/>
      <c r="Y426" s="657"/>
      <c r="Z426" s="657"/>
      <c r="AA426" s="63"/>
      <c r="AB426" s="63"/>
      <c r="AC426" s="63"/>
    </row>
    <row r="427" spans="1:68" ht="27" hidden="1" customHeight="1" x14ac:dyDescent="0.25">
      <c r="A427" s="60" t="s">
        <v>704</v>
      </c>
      <c r="B427" s="60" t="s">
        <v>705</v>
      </c>
      <c r="C427" s="34">
        <v>4301012332</v>
      </c>
      <c r="D427" s="652">
        <v>4680115888401</v>
      </c>
      <c r="E427" s="652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97</v>
      </c>
      <c r="N427" s="36"/>
      <c r="O427" s="35">
        <v>60</v>
      </c>
      <c r="P427" s="71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4"/>
      <c r="R427" s="654"/>
      <c r="S427" s="654"/>
      <c r="T427" s="655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ref="Y427:Y434" si="58">IFERROR(IF(X427="",0,CEILING((X427/$H427),1)*$H427),"")</f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19" t="s">
        <v>706</v>
      </c>
      <c r="AG427" s="75"/>
      <c r="AJ427" s="79" t="s">
        <v>46</v>
      </c>
      <c r="AK427" s="79">
        <v>0</v>
      </c>
      <c r="BB427" s="520" t="s">
        <v>67</v>
      </c>
      <c r="BM427" s="75">
        <f t="shared" ref="BM427:BM434" si="59">IFERROR(X427*I427/H427,"0")</f>
        <v>0</v>
      </c>
      <c r="BN427" s="75">
        <f t="shared" ref="BN427:BN434" si="60">IFERROR(Y427*I427/H427,"0")</f>
        <v>0</v>
      </c>
      <c r="BO427" s="75">
        <f t="shared" ref="BO427:BO434" si="61">IFERROR(1/J427*(X427/H427),"0")</f>
        <v>0</v>
      </c>
      <c r="BP427" s="75">
        <f t="shared" ref="BP427:BP434" si="62">IFERROR(1/J427*(Y427/H427),"0")</f>
        <v>0</v>
      </c>
    </row>
    <row r="428" spans="1:68" ht="37.5" hidden="1" customHeight="1" x14ac:dyDescent="0.25">
      <c r="A428" s="60" t="s">
        <v>707</v>
      </c>
      <c r="B428" s="60" t="s">
        <v>708</v>
      </c>
      <c r="C428" s="34">
        <v>4301011869</v>
      </c>
      <c r="D428" s="652">
        <v>4680115884847</v>
      </c>
      <c r="E428" s="652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81</v>
      </c>
      <c r="N428" s="36"/>
      <c r="O428" s="35">
        <v>60</v>
      </c>
      <c r="P428" s="7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4"/>
      <c r="R428" s="654"/>
      <c r="S428" s="654"/>
      <c r="T428" s="655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8"/>
        <v>0</v>
      </c>
      <c r="Z428" s="39" t="str">
        <f>IFERROR(IF(Y428=0,"",ROUNDUP(Y428/H428,0)*0.02175),"")</f>
        <v/>
      </c>
      <c r="AA428" s="65" t="s">
        <v>46</v>
      </c>
      <c r="AB428" s="66" t="s">
        <v>46</v>
      </c>
      <c r="AC428" s="521" t="s">
        <v>709</v>
      </c>
      <c r="AG428" s="75"/>
      <c r="AJ428" s="79" t="s">
        <v>46</v>
      </c>
      <c r="AK428" s="79">
        <v>0</v>
      </c>
      <c r="BB428" s="522" t="s">
        <v>67</v>
      </c>
      <c r="BM428" s="75">
        <f t="shared" si="59"/>
        <v>0</v>
      </c>
      <c r="BN428" s="75">
        <f t="shared" si="60"/>
        <v>0</v>
      </c>
      <c r="BO428" s="75">
        <f t="shared" si="61"/>
        <v>0</v>
      </c>
      <c r="BP428" s="75">
        <f t="shared" si="62"/>
        <v>0</v>
      </c>
    </row>
    <row r="429" spans="1:68" ht="27" hidden="1" customHeight="1" x14ac:dyDescent="0.25">
      <c r="A429" s="60" t="s">
        <v>710</v>
      </c>
      <c r="B429" s="60" t="s">
        <v>711</v>
      </c>
      <c r="C429" s="34">
        <v>4301012083</v>
      </c>
      <c r="D429" s="652">
        <v>4680115884854</v>
      </c>
      <c r="E429" s="652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126</v>
      </c>
      <c r="N429" s="36"/>
      <c r="O429" s="35">
        <v>60</v>
      </c>
      <c r="P429" s="7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4"/>
      <c r="R429" s="654"/>
      <c r="S429" s="654"/>
      <c r="T429" s="655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8"/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712</v>
      </c>
      <c r="AG429" s="75"/>
      <c r="AJ429" s="79" t="s">
        <v>46</v>
      </c>
      <c r="AK429" s="79">
        <v>0</v>
      </c>
      <c r="BB429" s="524" t="s">
        <v>67</v>
      </c>
      <c r="BM429" s="75">
        <f t="shared" si="59"/>
        <v>0</v>
      </c>
      <c r="BN429" s="75">
        <f t="shared" si="60"/>
        <v>0</v>
      </c>
      <c r="BO429" s="75">
        <f t="shared" si="61"/>
        <v>0</v>
      </c>
      <c r="BP429" s="75">
        <f t="shared" si="62"/>
        <v>0</v>
      </c>
    </row>
    <row r="430" spans="1:68" ht="27" hidden="1" customHeight="1" x14ac:dyDescent="0.25">
      <c r="A430" s="60" t="s">
        <v>713</v>
      </c>
      <c r="B430" s="60" t="s">
        <v>714</v>
      </c>
      <c r="C430" s="34">
        <v>4301011867</v>
      </c>
      <c r="D430" s="652">
        <v>4680115884830</v>
      </c>
      <c r="E430" s="652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81</v>
      </c>
      <c r="N430" s="36"/>
      <c r="O430" s="35">
        <v>60</v>
      </c>
      <c r="P430" s="7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4"/>
      <c r="R430" s="654"/>
      <c r="S430" s="654"/>
      <c r="T430" s="655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25" t="s">
        <v>715</v>
      </c>
      <c r="AG430" s="75"/>
      <c r="AJ430" s="79" t="s">
        <v>46</v>
      </c>
      <c r="AK430" s="79">
        <v>0</v>
      </c>
      <c r="BB430" s="526" t="s">
        <v>67</v>
      </c>
      <c r="BM430" s="75">
        <f t="shared" si="59"/>
        <v>0</v>
      </c>
      <c r="BN430" s="75">
        <f t="shared" si="60"/>
        <v>0</v>
      </c>
      <c r="BO430" s="75">
        <f t="shared" si="61"/>
        <v>0</v>
      </c>
      <c r="BP430" s="75">
        <f t="shared" si="62"/>
        <v>0</v>
      </c>
    </row>
    <row r="431" spans="1:68" ht="27" hidden="1" customHeight="1" x14ac:dyDescent="0.25">
      <c r="A431" s="60" t="s">
        <v>716</v>
      </c>
      <c r="B431" s="60" t="s">
        <v>717</v>
      </c>
      <c r="C431" s="34">
        <v>4301012356</v>
      </c>
      <c r="D431" s="652">
        <v>4680115889231</v>
      </c>
      <c r="E431" s="652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97</v>
      </c>
      <c r="N431" s="36"/>
      <c r="O431" s="35">
        <v>60</v>
      </c>
      <c r="P431" s="71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4"/>
      <c r="R431" s="654"/>
      <c r="S431" s="654"/>
      <c r="T431" s="655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58"/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718</v>
      </c>
      <c r="AG431" s="75"/>
      <c r="AJ431" s="79" t="s">
        <v>46</v>
      </c>
      <c r="AK431" s="79">
        <v>0</v>
      </c>
      <c r="BB431" s="528" t="s">
        <v>67</v>
      </c>
      <c r="BM431" s="75">
        <f t="shared" si="59"/>
        <v>0</v>
      </c>
      <c r="BN431" s="75">
        <f t="shared" si="60"/>
        <v>0</v>
      </c>
      <c r="BO431" s="75">
        <f t="shared" si="61"/>
        <v>0</v>
      </c>
      <c r="BP431" s="75">
        <f t="shared" si="62"/>
        <v>0</v>
      </c>
    </row>
    <row r="432" spans="1:68" ht="27" hidden="1" customHeight="1" x14ac:dyDescent="0.25">
      <c r="A432" s="60" t="s">
        <v>719</v>
      </c>
      <c r="B432" s="60" t="s">
        <v>720</v>
      </c>
      <c r="C432" s="34">
        <v>4301011433</v>
      </c>
      <c r="D432" s="652">
        <v>4680115882638</v>
      </c>
      <c r="E432" s="652"/>
      <c r="F432" s="59">
        <v>0.4</v>
      </c>
      <c r="G432" s="35">
        <v>10</v>
      </c>
      <c r="H432" s="59">
        <v>4</v>
      </c>
      <c r="I432" s="59">
        <v>4.1900000000000004</v>
      </c>
      <c r="J432" s="35">
        <v>132</v>
      </c>
      <c r="K432" s="35" t="s">
        <v>134</v>
      </c>
      <c r="L432" s="35" t="s">
        <v>46</v>
      </c>
      <c r="M432" s="36" t="s">
        <v>126</v>
      </c>
      <c r="N432" s="36"/>
      <c r="O432" s="35">
        <v>90</v>
      </c>
      <c r="P432" s="7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4"/>
      <c r="R432" s="654"/>
      <c r="S432" s="654"/>
      <c r="T432" s="655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5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29" t="s">
        <v>721</v>
      </c>
      <c r="AG432" s="75"/>
      <c r="AJ432" s="79" t="s">
        <v>46</v>
      </c>
      <c r="AK432" s="79">
        <v>0</v>
      </c>
      <c r="BB432" s="530" t="s">
        <v>67</v>
      </c>
      <c r="BM432" s="75">
        <f t="shared" si="59"/>
        <v>0</v>
      </c>
      <c r="BN432" s="75">
        <f t="shared" si="60"/>
        <v>0</v>
      </c>
      <c r="BO432" s="75">
        <f t="shared" si="61"/>
        <v>0</v>
      </c>
      <c r="BP432" s="75">
        <f t="shared" si="62"/>
        <v>0</v>
      </c>
    </row>
    <row r="433" spans="1:68" ht="27" hidden="1" customHeight="1" x14ac:dyDescent="0.25">
      <c r="A433" s="60" t="s">
        <v>722</v>
      </c>
      <c r="B433" s="60" t="s">
        <v>723</v>
      </c>
      <c r="C433" s="34">
        <v>4301011952</v>
      </c>
      <c r="D433" s="652">
        <v>4680115884922</v>
      </c>
      <c r="E433" s="652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7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4"/>
      <c r="R433" s="654"/>
      <c r="S433" s="654"/>
      <c r="T433" s="655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5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1" t="s">
        <v>724</v>
      </c>
      <c r="AG433" s="75"/>
      <c r="AJ433" s="79" t="s">
        <v>46</v>
      </c>
      <c r="AK433" s="79">
        <v>0</v>
      </c>
      <c r="BB433" s="532" t="s">
        <v>67</v>
      </c>
      <c r="BM433" s="75">
        <f t="shared" si="59"/>
        <v>0</v>
      </c>
      <c r="BN433" s="75">
        <f t="shared" si="60"/>
        <v>0</v>
      </c>
      <c r="BO433" s="75">
        <f t="shared" si="61"/>
        <v>0</v>
      </c>
      <c r="BP433" s="75">
        <f t="shared" si="62"/>
        <v>0</v>
      </c>
    </row>
    <row r="434" spans="1:68" ht="37.5" customHeight="1" x14ac:dyDescent="0.25">
      <c r="A434" s="60" t="s">
        <v>725</v>
      </c>
      <c r="B434" s="60" t="s">
        <v>726</v>
      </c>
      <c r="C434" s="34">
        <v>4301011868</v>
      </c>
      <c r="D434" s="652">
        <v>4680115884861</v>
      </c>
      <c r="E434" s="652"/>
      <c r="F434" s="59">
        <v>0.5</v>
      </c>
      <c r="G434" s="35">
        <v>10</v>
      </c>
      <c r="H434" s="59">
        <v>5</v>
      </c>
      <c r="I434" s="59">
        <v>5.19</v>
      </c>
      <c r="J434" s="35">
        <v>132</v>
      </c>
      <c r="K434" s="35" t="s">
        <v>134</v>
      </c>
      <c r="L434" s="35" t="s">
        <v>46</v>
      </c>
      <c r="M434" s="36" t="s">
        <v>81</v>
      </c>
      <c r="N434" s="36"/>
      <c r="O434" s="35">
        <v>60</v>
      </c>
      <c r="P434" s="71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4"/>
      <c r="R434" s="654"/>
      <c r="S434" s="654"/>
      <c r="T434" s="655"/>
      <c r="U434" s="37" t="s">
        <v>46</v>
      </c>
      <c r="V434" s="37" t="s">
        <v>46</v>
      </c>
      <c r="W434" s="38" t="s">
        <v>0</v>
      </c>
      <c r="X434" s="56">
        <v>120</v>
      </c>
      <c r="Y434" s="53">
        <f t="shared" si="58"/>
        <v>120</v>
      </c>
      <c r="Z434" s="39">
        <f>IFERROR(IF(Y434=0,"",ROUNDUP(Y434/H434,0)*0.00902),"")</f>
        <v>0.21648000000000001</v>
      </c>
      <c r="AA434" s="65" t="s">
        <v>46</v>
      </c>
      <c r="AB434" s="66" t="s">
        <v>46</v>
      </c>
      <c r="AC434" s="533" t="s">
        <v>727</v>
      </c>
      <c r="AG434" s="75"/>
      <c r="AJ434" s="79" t="s">
        <v>46</v>
      </c>
      <c r="AK434" s="79">
        <v>0</v>
      </c>
      <c r="BB434" s="534" t="s">
        <v>67</v>
      </c>
      <c r="BM434" s="75">
        <f t="shared" si="59"/>
        <v>124.56000000000002</v>
      </c>
      <c r="BN434" s="75">
        <f t="shared" si="60"/>
        <v>124.56000000000002</v>
      </c>
      <c r="BO434" s="75">
        <f t="shared" si="61"/>
        <v>0.18181818181818182</v>
      </c>
      <c r="BP434" s="75">
        <f t="shared" si="62"/>
        <v>0.18181818181818182</v>
      </c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47"/>
      <c r="P435" s="643" t="s">
        <v>40</v>
      </c>
      <c r="Q435" s="644"/>
      <c r="R435" s="644"/>
      <c r="S435" s="644"/>
      <c r="T435" s="644"/>
      <c r="U435" s="644"/>
      <c r="V435" s="645"/>
      <c r="W435" s="40" t="s">
        <v>39</v>
      </c>
      <c r="X435" s="41">
        <f>IFERROR(X427/H427,"0")+IFERROR(X428/H428,"0")+IFERROR(X429/H429,"0")+IFERROR(X430/H430,"0")+IFERROR(X431/H431,"0")+IFERROR(X432/H432,"0")+IFERROR(X433/H433,"0")+IFERROR(X434/H434,"0")</f>
        <v>24</v>
      </c>
      <c r="Y435" s="41">
        <f>IFERROR(Y427/H427,"0")+IFERROR(Y428/H428,"0")+IFERROR(Y429/H429,"0")+IFERROR(Y430/H430,"0")+IFERROR(Y431/H431,"0")+IFERROR(Y432/H432,"0")+IFERROR(Y433/H433,"0")+IFERROR(Y434/H434,"0")</f>
        <v>24</v>
      </c>
      <c r="Z435" s="41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0.21648000000000001</v>
      </c>
      <c r="AA435" s="64"/>
      <c r="AB435" s="64"/>
      <c r="AC435" s="64"/>
    </row>
    <row r="436" spans="1:68" x14ac:dyDescent="0.2">
      <c r="A436" s="646"/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7"/>
      <c r="P436" s="643" t="s">
        <v>40</v>
      </c>
      <c r="Q436" s="644"/>
      <c r="R436" s="644"/>
      <c r="S436" s="644"/>
      <c r="T436" s="644"/>
      <c r="U436" s="644"/>
      <c r="V436" s="645"/>
      <c r="W436" s="40" t="s">
        <v>0</v>
      </c>
      <c r="X436" s="41">
        <f>IFERROR(SUM(X427:X434),"0")</f>
        <v>120</v>
      </c>
      <c r="Y436" s="41">
        <f>IFERROR(SUM(Y427:Y434),"0")</f>
        <v>120</v>
      </c>
      <c r="Z436" s="40"/>
      <c r="AA436" s="64"/>
      <c r="AB436" s="64"/>
      <c r="AC436" s="64"/>
    </row>
    <row r="437" spans="1:68" ht="14.25" hidden="1" customHeight="1" x14ac:dyDescent="0.25">
      <c r="A437" s="657" t="s">
        <v>158</v>
      </c>
      <c r="B437" s="657"/>
      <c r="C437" s="657"/>
      <c r="D437" s="657"/>
      <c r="E437" s="657"/>
      <c r="F437" s="657"/>
      <c r="G437" s="657"/>
      <c r="H437" s="657"/>
      <c r="I437" s="657"/>
      <c r="J437" s="657"/>
      <c r="K437" s="657"/>
      <c r="L437" s="657"/>
      <c r="M437" s="657"/>
      <c r="N437" s="657"/>
      <c r="O437" s="657"/>
      <c r="P437" s="657"/>
      <c r="Q437" s="657"/>
      <c r="R437" s="657"/>
      <c r="S437" s="657"/>
      <c r="T437" s="657"/>
      <c r="U437" s="657"/>
      <c r="V437" s="657"/>
      <c r="W437" s="657"/>
      <c r="X437" s="657"/>
      <c r="Y437" s="657"/>
      <c r="Z437" s="657"/>
      <c r="AA437" s="63"/>
      <c r="AB437" s="63"/>
      <c r="AC437" s="63"/>
    </row>
    <row r="438" spans="1:68" ht="27" hidden="1" customHeight="1" x14ac:dyDescent="0.25">
      <c r="A438" s="60" t="s">
        <v>728</v>
      </c>
      <c r="B438" s="60" t="s">
        <v>729</v>
      </c>
      <c r="C438" s="34">
        <v>4301020178</v>
      </c>
      <c r="D438" s="652">
        <v>4607091383980</v>
      </c>
      <c r="E438" s="652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7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4"/>
      <c r="R438" s="654"/>
      <c r="S438" s="654"/>
      <c r="T438" s="655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35" t="s">
        <v>730</v>
      </c>
      <c r="AG438" s="75"/>
      <c r="AJ438" s="79" t="s">
        <v>46</v>
      </c>
      <c r="AK438" s="79">
        <v>0</v>
      </c>
      <c r="BB438" s="536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731</v>
      </c>
      <c r="B439" s="60" t="s">
        <v>732</v>
      </c>
      <c r="C439" s="34">
        <v>4301020355</v>
      </c>
      <c r="D439" s="652">
        <v>4680115888425</v>
      </c>
      <c r="E439" s="652"/>
      <c r="F439" s="59">
        <v>2.5</v>
      </c>
      <c r="G439" s="35">
        <v>6</v>
      </c>
      <c r="H439" s="59">
        <v>15</v>
      </c>
      <c r="I439" s="59">
        <v>15.47</v>
      </c>
      <c r="J439" s="35">
        <v>48</v>
      </c>
      <c r="K439" s="35" t="s">
        <v>127</v>
      </c>
      <c r="L439" s="35" t="s">
        <v>46</v>
      </c>
      <c r="M439" s="36" t="s">
        <v>126</v>
      </c>
      <c r="N439" s="36"/>
      <c r="O439" s="35">
        <v>50</v>
      </c>
      <c r="P439" s="70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4"/>
      <c r="R439" s="654"/>
      <c r="S439" s="654"/>
      <c r="T439" s="655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IFERROR(IF(Y439=0,"",ROUNDUP(Y439/H439,0)*0.02175),"")</f>
        <v/>
      </c>
      <c r="AA439" s="65" t="s">
        <v>46</v>
      </c>
      <c r="AB439" s="66" t="s">
        <v>46</v>
      </c>
      <c r="AC439" s="537" t="s">
        <v>733</v>
      </c>
      <c r="AG439" s="75"/>
      <c r="AJ439" s="79" t="s">
        <v>46</v>
      </c>
      <c r="AK439" s="79">
        <v>0</v>
      </c>
      <c r="BB439" s="538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t="27" customHeight="1" x14ac:dyDescent="0.25">
      <c r="A440" s="60" t="s">
        <v>734</v>
      </c>
      <c r="B440" s="60" t="s">
        <v>735</v>
      </c>
      <c r="C440" s="34">
        <v>4301020179</v>
      </c>
      <c r="D440" s="652">
        <v>4607091384178</v>
      </c>
      <c r="E440" s="652"/>
      <c r="F440" s="59">
        <v>0.4</v>
      </c>
      <c r="G440" s="35">
        <v>10</v>
      </c>
      <c r="H440" s="59">
        <v>4</v>
      </c>
      <c r="I440" s="59">
        <v>4.1900000000000004</v>
      </c>
      <c r="J440" s="35">
        <v>132</v>
      </c>
      <c r="K440" s="35" t="s">
        <v>134</v>
      </c>
      <c r="L440" s="35" t="s">
        <v>46</v>
      </c>
      <c r="M440" s="36" t="s">
        <v>126</v>
      </c>
      <c r="N440" s="36"/>
      <c r="O440" s="35">
        <v>50</v>
      </c>
      <c r="P440" s="7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4"/>
      <c r="R440" s="654"/>
      <c r="S440" s="654"/>
      <c r="T440" s="655"/>
      <c r="U440" s="37" t="s">
        <v>46</v>
      </c>
      <c r="V440" s="37" t="s">
        <v>46</v>
      </c>
      <c r="W440" s="38" t="s">
        <v>0</v>
      </c>
      <c r="X440" s="56">
        <v>24</v>
      </c>
      <c r="Y440" s="53">
        <f>IFERROR(IF(X440="",0,CEILING((X440/$H440),1)*$H440),"")</f>
        <v>24</v>
      </c>
      <c r="Z440" s="39">
        <f>IFERROR(IF(Y440=0,"",ROUNDUP(Y440/H440,0)*0.00902),"")</f>
        <v>5.4120000000000001E-2</v>
      </c>
      <c r="AA440" s="65" t="s">
        <v>46</v>
      </c>
      <c r="AB440" s="66" t="s">
        <v>46</v>
      </c>
      <c r="AC440" s="539" t="s">
        <v>736</v>
      </c>
      <c r="AG440" s="75"/>
      <c r="AJ440" s="79" t="s">
        <v>46</v>
      </c>
      <c r="AK440" s="79">
        <v>0</v>
      </c>
      <c r="BB440" s="540" t="s">
        <v>67</v>
      </c>
      <c r="BM440" s="75">
        <f>IFERROR(X440*I440/H440,"0")</f>
        <v>25.14</v>
      </c>
      <c r="BN440" s="75">
        <f>IFERROR(Y440*I440/H440,"0")</f>
        <v>25.14</v>
      </c>
      <c r="BO440" s="75">
        <f>IFERROR(1/J440*(X440/H440),"0")</f>
        <v>4.5454545454545456E-2</v>
      </c>
      <c r="BP440" s="75">
        <f>IFERROR(1/J440*(Y440/H440),"0")</f>
        <v>4.5454545454545456E-2</v>
      </c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47"/>
      <c r="P441" s="643" t="s">
        <v>40</v>
      </c>
      <c r="Q441" s="644"/>
      <c r="R441" s="644"/>
      <c r="S441" s="644"/>
      <c r="T441" s="644"/>
      <c r="U441" s="644"/>
      <c r="V441" s="645"/>
      <c r="W441" s="40" t="s">
        <v>39</v>
      </c>
      <c r="X441" s="41">
        <f>IFERROR(X438/H438,"0")+IFERROR(X439/H439,"0")+IFERROR(X440/H440,"0")</f>
        <v>6</v>
      </c>
      <c r="Y441" s="41">
        <f>IFERROR(Y438/H438,"0")+IFERROR(Y439/H439,"0")+IFERROR(Y440/H440,"0")</f>
        <v>6</v>
      </c>
      <c r="Z441" s="41">
        <f>IFERROR(IF(Z438="",0,Z438),"0")+IFERROR(IF(Z439="",0,Z439),"0")+IFERROR(IF(Z440="",0,Z440),"0")</f>
        <v>5.4120000000000001E-2</v>
      </c>
      <c r="AA441" s="64"/>
      <c r="AB441" s="64"/>
      <c r="AC441" s="64"/>
    </row>
    <row r="442" spans="1:68" x14ac:dyDescent="0.2">
      <c r="A442" s="646"/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7"/>
      <c r="P442" s="643" t="s">
        <v>40</v>
      </c>
      <c r="Q442" s="644"/>
      <c r="R442" s="644"/>
      <c r="S442" s="644"/>
      <c r="T442" s="644"/>
      <c r="U442" s="644"/>
      <c r="V442" s="645"/>
      <c r="W442" s="40" t="s">
        <v>0</v>
      </c>
      <c r="X442" s="41">
        <f>IFERROR(SUM(X438:X440),"0")</f>
        <v>24</v>
      </c>
      <c r="Y442" s="41">
        <f>IFERROR(SUM(Y438:Y440),"0")</f>
        <v>24</v>
      </c>
      <c r="Z442" s="40"/>
      <c r="AA442" s="64"/>
      <c r="AB442" s="64"/>
      <c r="AC442" s="64"/>
    </row>
    <row r="443" spans="1:68" ht="14.25" hidden="1" customHeight="1" x14ac:dyDescent="0.25">
      <c r="A443" s="657" t="s">
        <v>86</v>
      </c>
      <c r="B443" s="657"/>
      <c r="C443" s="657"/>
      <c r="D443" s="657"/>
      <c r="E443" s="657"/>
      <c r="F443" s="657"/>
      <c r="G443" s="657"/>
      <c r="H443" s="657"/>
      <c r="I443" s="657"/>
      <c r="J443" s="657"/>
      <c r="K443" s="657"/>
      <c r="L443" s="657"/>
      <c r="M443" s="657"/>
      <c r="N443" s="657"/>
      <c r="O443" s="657"/>
      <c r="P443" s="657"/>
      <c r="Q443" s="657"/>
      <c r="R443" s="657"/>
      <c r="S443" s="657"/>
      <c r="T443" s="657"/>
      <c r="U443" s="657"/>
      <c r="V443" s="657"/>
      <c r="W443" s="657"/>
      <c r="X443" s="657"/>
      <c r="Y443" s="657"/>
      <c r="Z443" s="657"/>
      <c r="AA443" s="63"/>
      <c r="AB443" s="63"/>
      <c r="AC443" s="63"/>
    </row>
    <row r="444" spans="1:68" ht="27" hidden="1" customHeight="1" x14ac:dyDescent="0.25">
      <c r="A444" s="60" t="s">
        <v>737</v>
      </c>
      <c r="B444" s="60" t="s">
        <v>738</v>
      </c>
      <c r="C444" s="34">
        <v>4301051903</v>
      </c>
      <c r="D444" s="652">
        <v>4607091383928</v>
      </c>
      <c r="E444" s="652"/>
      <c r="F444" s="59">
        <v>1.5</v>
      </c>
      <c r="G444" s="35">
        <v>6</v>
      </c>
      <c r="H444" s="59">
        <v>9</v>
      </c>
      <c r="I444" s="59">
        <v>9.5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70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4"/>
      <c r="R444" s="654"/>
      <c r="S444" s="654"/>
      <c r="T444" s="655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1" t="s">
        <v>739</v>
      </c>
      <c r="AG444" s="75"/>
      <c r="AJ444" s="79" t="s">
        <v>46</v>
      </c>
      <c r="AK444" s="79">
        <v>0</v>
      </c>
      <c r="BB444" s="542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740</v>
      </c>
      <c r="B445" s="60" t="s">
        <v>741</v>
      </c>
      <c r="C445" s="34">
        <v>4301051897</v>
      </c>
      <c r="D445" s="652">
        <v>4607091384260</v>
      </c>
      <c r="E445" s="652"/>
      <c r="F445" s="59">
        <v>1.5</v>
      </c>
      <c r="G445" s="35">
        <v>6</v>
      </c>
      <c r="H445" s="59">
        <v>9</v>
      </c>
      <c r="I445" s="59">
        <v>9.4939999999999998</v>
      </c>
      <c r="J445" s="35">
        <v>64</v>
      </c>
      <c r="K445" s="35" t="s">
        <v>127</v>
      </c>
      <c r="L445" s="35" t="s">
        <v>46</v>
      </c>
      <c r="M445" s="36" t="s">
        <v>90</v>
      </c>
      <c r="N445" s="36"/>
      <c r="O445" s="35">
        <v>40</v>
      </c>
      <c r="P445" s="7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4"/>
      <c r="R445" s="654"/>
      <c r="S445" s="654"/>
      <c r="T445" s="655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IFERROR(IF(Y445=0,"",ROUNDUP(Y445/H445,0)*0.01898),"")</f>
        <v/>
      </c>
      <c r="AA445" s="65" t="s">
        <v>46</v>
      </c>
      <c r="AB445" s="66" t="s">
        <v>46</v>
      </c>
      <c r="AC445" s="543" t="s">
        <v>742</v>
      </c>
      <c r="AG445" s="75"/>
      <c r="AJ445" s="79" t="s">
        <v>46</v>
      </c>
      <c r="AK445" s="79">
        <v>0</v>
      </c>
      <c r="BB445" s="544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16.5" hidden="1" customHeight="1" x14ac:dyDescent="0.25">
      <c r="A446" s="60" t="s">
        <v>743</v>
      </c>
      <c r="B446" s="60" t="s">
        <v>744</v>
      </c>
      <c r="C446" s="34">
        <v>4301052220</v>
      </c>
      <c r="D446" s="652">
        <v>4680115889538</v>
      </c>
      <c r="E446" s="652"/>
      <c r="F446" s="59">
        <v>0.8</v>
      </c>
      <c r="G446" s="35">
        <v>6</v>
      </c>
      <c r="H446" s="59">
        <v>4.8</v>
      </c>
      <c r="I446" s="59">
        <v>5.2160000000000002</v>
      </c>
      <c r="J446" s="35">
        <v>104</v>
      </c>
      <c r="K446" s="35" t="s">
        <v>127</v>
      </c>
      <c r="L446" s="35" t="s">
        <v>46</v>
      </c>
      <c r="M446" s="36" t="s">
        <v>90</v>
      </c>
      <c r="N446" s="36"/>
      <c r="O446" s="35">
        <v>45</v>
      </c>
      <c r="P446" s="70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4"/>
      <c r="R446" s="654"/>
      <c r="S446" s="654"/>
      <c r="T446" s="655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5" t="s">
        <v>745</v>
      </c>
      <c r="AG446" s="75"/>
      <c r="AJ446" s="79" t="s">
        <v>46</v>
      </c>
      <c r="AK446" s="79">
        <v>0</v>
      </c>
      <c r="BB446" s="546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idden="1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47"/>
      <c r="P447" s="643" t="s">
        <v>40</v>
      </c>
      <c r="Q447" s="644"/>
      <c r="R447" s="644"/>
      <c r="S447" s="644"/>
      <c r="T447" s="644"/>
      <c r="U447" s="644"/>
      <c r="V447" s="645"/>
      <c r="W447" s="40" t="s">
        <v>39</v>
      </c>
      <c r="X447" s="41">
        <f>IFERROR(X444/H444,"0")+IFERROR(X445/H445,"0")+IFERROR(X446/H446,"0")</f>
        <v>0</v>
      </c>
      <c r="Y447" s="41">
        <f>IFERROR(Y444/H444,"0")+IFERROR(Y445/H445,"0")+IFERROR(Y446/H446,"0")</f>
        <v>0</v>
      </c>
      <c r="Z447" s="41">
        <f>IFERROR(IF(Z444="",0,Z444),"0")+IFERROR(IF(Z445="",0,Z445),"0")+IFERROR(IF(Z446="",0,Z446),"0")</f>
        <v>0</v>
      </c>
      <c r="AA447" s="64"/>
      <c r="AB447" s="64"/>
      <c r="AC447" s="64"/>
    </row>
    <row r="448" spans="1:68" hidden="1" x14ac:dyDescent="0.2">
      <c r="A448" s="646"/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7"/>
      <c r="P448" s="643" t="s">
        <v>40</v>
      </c>
      <c r="Q448" s="644"/>
      <c r="R448" s="644"/>
      <c r="S448" s="644"/>
      <c r="T448" s="644"/>
      <c r="U448" s="644"/>
      <c r="V448" s="645"/>
      <c r="W448" s="40" t="s">
        <v>0</v>
      </c>
      <c r="X448" s="41">
        <f>IFERROR(SUM(X444:X446),"0")</f>
        <v>0</v>
      </c>
      <c r="Y448" s="41">
        <f>IFERROR(SUM(Y444:Y446),"0")</f>
        <v>0</v>
      </c>
      <c r="Z448" s="40"/>
      <c r="AA448" s="64"/>
      <c r="AB448" s="64"/>
      <c r="AC448" s="64"/>
    </row>
    <row r="449" spans="1:68" ht="14.25" hidden="1" customHeight="1" x14ac:dyDescent="0.25">
      <c r="A449" s="657" t="s">
        <v>175</v>
      </c>
      <c r="B449" s="657"/>
      <c r="C449" s="657"/>
      <c r="D449" s="657"/>
      <c r="E449" s="657"/>
      <c r="F449" s="657"/>
      <c r="G449" s="657"/>
      <c r="H449" s="657"/>
      <c r="I449" s="657"/>
      <c r="J449" s="657"/>
      <c r="K449" s="657"/>
      <c r="L449" s="657"/>
      <c r="M449" s="657"/>
      <c r="N449" s="657"/>
      <c r="O449" s="657"/>
      <c r="P449" s="657"/>
      <c r="Q449" s="657"/>
      <c r="R449" s="657"/>
      <c r="S449" s="657"/>
      <c r="T449" s="657"/>
      <c r="U449" s="657"/>
      <c r="V449" s="657"/>
      <c r="W449" s="657"/>
      <c r="X449" s="657"/>
      <c r="Y449" s="657"/>
      <c r="Z449" s="657"/>
      <c r="AA449" s="63"/>
      <c r="AB449" s="63"/>
      <c r="AC449" s="63"/>
    </row>
    <row r="450" spans="1:68" ht="27" hidden="1" customHeight="1" x14ac:dyDescent="0.25">
      <c r="A450" s="60" t="s">
        <v>746</v>
      </c>
      <c r="B450" s="60" t="s">
        <v>747</v>
      </c>
      <c r="C450" s="34">
        <v>4301060537</v>
      </c>
      <c r="D450" s="652">
        <v>4680115889545</v>
      </c>
      <c r="E450" s="652"/>
      <c r="F450" s="59">
        <v>0.7</v>
      </c>
      <c r="G450" s="35">
        <v>6</v>
      </c>
      <c r="H450" s="59">
        <v>4.2</v>
      </c>
      <c r="I450" s="59">
        <v>4.6159999999999997</v>
      </c>
      <c r="J450" s="35">
        <v>104</v>
      </c>
      <c r="K450" s="35" t="s">
        <v>127</v>
      </c>
      <c r="L450" s="35" t="s">
        <v>46</v>
      </c>
      <c r="M450" s="36" t="s">
        <v>90</v>
      </c>
      <c r="N450" s="36"/>
      <c r="O450" s="35">
        <v>30</v>
      </c>
      <c r="P450" s="70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4"/>
      <c r="R450" s="654"/>
      <c r="S450" s="654"/>
      <c r="T450" s="655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47" t="s">
        <v>748</v>
      </c>
      <c r="AG450" s="75"/>
      <c r="AJ450" s="79" t="s">
        <v>46</v>
      </c>
      <c r="AK450" s="79">
        <v>0</v>
      </c>
      <c r="BB450" s="548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16.5" hidden="1" customHeight="1" x14ac:dyDescent="0.25">
      <c r="A451" s="60" t="s">
        <v>749</v>
      </c>
      <c r="B451" s="60" t="s">
        <v>750</v>
      </c>
      <c r="C451" s="34">
        <v>4301060524</v>
      </c>
      <c r="D451" s="652">
        <v>4607091384673</v>
      </c>
      <c r="E451" s="652"/>
      <c r="F451" s="59">
        <v>1.5</v>
      </c>
      <c r="G451" s="35">
        <v>6</v>
      </c>
      <c r="H451" s="59">
        <v>9</v>
      </c>
      <c r="I451" s="59">
        <v>9.4939999999999998</v>
      </c>
      <c r="J451" s="35">
        <v>64</v>
      </c>
      <c r="K451" s="35" t="s">
        <v>127</v>
      </c>
      <c r="L451" s="35" t="s">
        <v>46</v>
      </c>
      <c r="M451" s="36" t="s">
        <v>90</v>
      </c>
      <c r="N451" s="36"/>
      <c r="O451" s="35">
        <v>40</v>
      </c>
      <c r="P451" s="70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4"/>
      <c r="R451" s="654"/>
      <c r="S451" s="654"/>
      <c r="T451" s="655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49" t="s">
        <v>751</v>
      </c>
      <c r="AG451" s="75"/>
      <c r="AJ451" s="79" t="s">
        <v>46</v>
      </c>
      <c r="AK451" s="79">
        <v>0</v>
      </c>
      <c r="BB451" s="550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idden="1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47"/>
      <c r="P452" s="643" t="s">
        <v>40</v>
      </c>
      <c r="Q452" s="644"/>
      <c r="R452" s="644"/>
      <c r="S452" s="644"/>
      <c r="T452" s="644"/>
      <c r="U452" s="644"/>
      <c r="V452" s="645"/>
      <c r="W452" s="40" t="s">
        <v>39</v>
      </c>
      <c r="X452" s="41">
        <f>IFERROR(X450/H450,"0")+IFERROR(X451/H451,"0")</f>
        <v>0</v>
      </c>
      <c r="Y452" s="41">
        <f>IFERROR(Y450/H450,"0")+IFERROR(Y451/H451,"0")</f>
        <v>0</v>
      </c>
      <c r="Z452" s="41">
        <f>IFERROR(IF(Z450="",0,Z450),"0")+IFERROR(IF(Z451="",0,Z451),"0")</f>
        <v>0</v>
      </c>
      <c r="AA452" s="64"/>
      <c r="AB452" s="64"/>
      <c r="AC452" s="64"/>
    </row>
    <row r="453" spans="1:68" hidden="1" x14ac:dyDescent="0.2">
      <c r="A453" s="646"/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7"/>
      <c r="P453" s="643" t="s">
        <v>40</v>
      </c>
      <c r="Q453" s="644"/>
      <c r="R453" s="644"/>
      <c r="S453" s="644"/>
      <c r="T453" s="644"/>
      <c r="U453" s="644"/>
      <c r="V453" s="645"/>
      <c r="W453" s="40" t="s">
        <v>0</v>
      </c>
      <c r="X453" s="41">
        <f>IFERROR(SUM(X450:X451),"0")</f>
        <v>0</v>
      </c>
      <c r="Y453" s="41">
        <f>IFERROR(SUM(Y450:Y451),"0")</f>
        <v>0</v>
      </c>
      <c r="Z453" s="40"/>
      <c r="AA453" s="64"/>
      <c r="AB453" s="64"/>
      <c r="AC453" s="64"/>
    </row>
    <row r="454" spans="1:68" ht="16.5" hidden="1" customHeight="1" x14ac:dyDescent="0.25">
      <c r="A454" s="656" t="s">
        <v>752</v>
      </c>
      <c r="B454" s="656"/>
      <c r="C454" s="656"/>
      <c r="D454" s="656"/>
      <c r="E454" s="656"/>
      <c r="F454" s="656"/>
      <c r="G454" s="656"/>
      <c r="H454" s="656"/>
      <c r="I454" s="656"/>
      <c r="J454" s="656"/>
      <c r="K454" s="656"/>
      <c r="L454" s="656"/>
      <c r="M454" s="656"/>
      <c r="N454" s="656"/>
      <c r="O454" s="656"/>
      <c r="P454" s="656"/>
      <c r="Q454" s="656"/>
      <c r="R454" s="656"/>
      <c r="S454" s="656"/>
      <c r="T454" s="656"/>
      <c r="U454" s="656"/>
      <c r="V454" s="656"/>
      <c r="W454" s="656"/>
      <c r="X454" s="656"/>
      <c r="Y454" s="656"/>
      <c r="Z454" s="656"/>
      <c r="AA454" s="62"/>
      <c r="AB454" s="62"/>
      <c r="AC454" s="62"/>
    </row>
    <row r="455" spans="1:68" ht="14.25" hidden="1" customHeight="1" x14ac:dyDescent="0.25">
      <c r="A455" s="657" t="s">
        <v>122</v>
      </c>
      <c r="B455" s="657"/>
      <c r="C455" s="657"/>
      <c r="D455" s="657"/>
      <c r="E455" s="657"/>
      <c r="F455" s="657"/>
      <c r="G455" s="657"/>
      <c r="H455" s="657"/>
      <c r="I455" s="657"/>
      <c r="J455" s="657"/>
      <c r="K455" s="657"/>
      <c r="L455" s="657"/>
      <c r="M455" s="657"/>
      <c r="N455" s="657"/>
      <c r="O455" s="657"/>
      <c r="P455" s="657"/>
      <c r="Q455" s="657"/>
      <c r="R455" s="657"/>
      <c r="S455" s="657"/>
      <c r="T455" s="657"/>
      <c r="U455" s="657"/>
      <c r="V455" s="657"/>
      <c r="W455" s="657"/>
      <c r="X455" s="657"/>
      <c r="Y455" s="657"/>
      <c r="Z455" s="657"/>
      <c r="AA455" s="63"/>
      <c r="AB455" s="63"/>
      <c r="AC455" s="63"/>
    </row>
    <row r="456" spans="1:68" ht="27" hidden="1" customHeight="1" x14ac:dyDescent="0.25">
      <c r="A456" s="60" t="s">
        <v>753</v>
      </c>
      <c r="B456" s="60" t="s">
        <v>754</v>
      </c>
      <c r="C456" s="34">
        <v>4301011875</v>
      </c>
      <c r="D456" s="652">
        <v>4680115884885</v>
      </c>
      <c r="E456" s="652"/>
      <c r="F456" s="59">
        <v>0.8</v>
      </c>
      <c r="G456" s="35">
        <v>15</v>
      </c>
      <c r="H456" s="59">
        <v>12</v>
      </c>
      <c r="I456" s="59">
        <v>12.41</v>
      </c>
      <c r="J456" s="35">
        <v>64</v>
      </c>
      <c r="K456" s="35" t="s">
        <v>127</v>
      </c>
      <c r="L456" s="35" t="s">
        <v>46</v>
      </c>
      <c r="M456" s="36" t="s">
        <v>81</v>
      </c>
      <c r="N456" s="36"/>
      <c r="O456" s="35">
        <v>60</v>
      </c>
      <c r="P456" s="70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4"/>
      <c r="R456" s="654"/>
      <c r="S456" s="654"/>
      <c r="T456" s="655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IFERROR(IF(Y456=0,"",ROUNDUP(Y456/H456,0)*0.01898),"")</f>
        <v/>
      </c>
      <c r="AA456" s="65" t="s">
        <v>46</v>
      </c>
      <c r="AB456" s="66" t="s">
        <v>46</v>
      </c>
      <c r="AC456" s="551" t="s">
        <v>755</v>
      </c>
      <c r="AG456" s="75"/>
      <c r="AJ456" s="79" t="s">
        <v>46</v>
      </c>
      <c r="AK456" s="79">
        <v>0</v>
      </c>
      <c r="BB456" s="552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t="37.5" hidden="1" customHeight="1" x14ac:dyDescent="0.25">
      <c r="A457" s="60" t="s">
        <v>756</v>
      </c>
      <c r="B457" s="60" t="s">
        <v>757</v>
      </c>
      <c r="C457" s="34">
        <v>4301011871</v>
      </c>
      <c r="D457" s="652">
        <v>4680115884908</v>
      </c>
      <c r="E457" s="652"/>
      <c r="F457" s="59">
        <v>0.4</v>
      </c>
      <c r="G457" s="35">
        <v>10</v>
      </c>
      <c r="H457" s="59">
        <v>4</v>
      </c>
      <c r="I457" s="59">
        <v>4.1900000000000004</v>
      </c>
      <c r="J457" s="35">
        <v>132</v>
      </c>
      <c r="K457" s="35" t="s">
        <v>134</v>
      </c>
      <c r="L457" s="35" t="s">
        <v>46</v>
      </c>
      <c r="M457" s="36" t="s">
        <v>81</v>
      </c>
      <c r="N457" s="36"/>
      <c r="O457" s="35">
        <v>60</v>
      </c>
      <c r="P457" s="70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4"/>
      <c r="R457" s="654"/>
      <c r="S457" s="654"/>
      <c r="T457" s="655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53" t="s">
        <v>755</v>
      </c>
      <c r="AG457" s="75"/>
      <c r="AJ457" s="79" t="s">
        <v>46</v>
      </c>
      <c r="AK457" s="79">
        <v>0</v>
      </c>
      <c r="BB457" s="554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47"/>
      <c r="P458" s="643" t="s">
        <v>40</v>
      </c>
      <c r="Q458" s="644"/>
      <c r="R458" s="644"/>
      <c r="S458" s="644"/>
      <c r="T458" s="644"/>
      <c r="U458" s="644"/>
      <c r="V458" s="645"/>
      <c r="W458" s="40" t="s">
        <v>39</v>
      </c>
      <c r="X458" s="41">
        <f>IFERROR(X456/H456,"0")+IFERROR(X457/H457,"0")</f>
        <v>0</v>
      </c>
      <c r="Y458" s="41">
        <f>IFERROR(Y456/H456,"0")+IFERROR(Y457/H457,"0")</f>
        <v>0</v>
      </c>
      <c r="Z458" s="41">
        <f>IFERROR(IF(Z456="",0,Z456),"0")+IFERROR(IF(Z457="",0,Z457),"0")</f>
        <v>0</v>
      </c>
      <c r="AA458" s="64"/>
      <c r="AB458" s="64"/>
      <c r="AC458" s="64"/>
    </row>
    <row r="459" spans="1:68" hidden="1" x14ac:dyDescent="0.2">
      <c r="A459" s="646"/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7"/>
      <c r="P459" s="643" t="s">
        <v>40</v>
      </c>
      <c r="Q459" s="644"/>
      <c r="R459" s="644"/>
      <c r="S459" s="644"/>
      <c r="T459" s="644"/>
      <c r="U459" s="644"/>
      <c r="V459" s="645"/>
      <c r="W459" s="40" t="s">
        <v>0</v>
      </c>
      <c r="X459" s="41">
        <f>IFERROR(SUM(X456:X457),"0")</f>
        <v>0</v>
      </c>
      <c r="Y459" s="41">
        <f>IFERROR(SUM(Y456:Y457),"0")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657" t="s">
        <v>77</v>
      </c>
      <c r="B460" s="657"/>
      <c r="C460" s="657"/>
      <c r="D460" s="657"/>
      <c r="E460" s="657"/>
      <c r="F460" s="657"/>
      <c r="G460" s="657"/>
      <c r="H460" s="657"/>
      <c r="I460" s="657"/>
      <c r="J460" s="657"/>
      <c r="K460" s="657"/>
      <c r="L460" s="657"/>
      <c r="M460" s="657"/>
      <c r="N460" s="657"/>
      <c r="O460" s="657"/>
      <c r="P460" s="657"/>
      <c r="Q460" s="657"/>
      <c r="R460" s="657"/>
      <c r="S460" s="657"/>
      <c r="T460" s="657"/>
      <c r="U460" s="657"/>
      <c r="V460" s="657"/>
      <c r="W460" s="657"/>
      <c r="X460" s="657"/>
      <c r="Y460" s="657"/>
      <c r="Z460" s="657"/>
      <c r="AA460" s="63"/>
      <c r="AB460" s="63"/>
      <c r="AC460" s="63"/>
    </row>
    <row r="461" spans="1:68" ht="27" hidden="1" customHeight="1" x14ac:dyDescent="0.25">
      <c r="A461" s="60" t="s">
        <v>758</v>
      </c>
      <c r="B461" s="60" t="s">
        <v>759</v>
      </c>
      <c r="C461" s="34">
        <v>4301031457</v>
      </c>
      <c r="D461" s="652">
        <v>4607091384802</v>
      </c>
      <c r="E461" s="652"/>
      <c r="F461" s="59">
        <v>0.7</v>
      </c>
      <c r="G461" s="35">
        <v>6</v>
      </c>
      <c r="H461" s="59">
        <v>4.2</v>
      </c>
      <c r="I461" s="59">
        <v>4.45</v>
      </c>
      <c r="J461" s="35">
        <v>132</v>
      </c>
      <c r="K461" s="35" t="s">
        <v>134</v>
      </c>
      <c r="L461" s="35" t="s">
        <v>46</v>
      </c>
      <c r="M461" s="36" t="s">
        <v>81</v>
      </c>
      <c r="N461" s="36"/>
      <c r="O461" s="35">
        <v>50</v>
      </c>
      <c r="P461" s="69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4"/>
      <c r="R461" s="654"/>
      <c r="S461" s="654"/>
      <c r="T461" s="655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55" t="s">
        <v>760</v>
      </c>
      <c r="AG461" s="75"/>
      <c r="AJ461" s="79" t="s">
        <v>46</v>
      </c>
      <c r="AK461" s="79">
        <v>0</v>
      </c>
      <c r="BB461" s="556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47"/>
      <c r="P462" s="643" t="s">
        <v>40</v>
      </c>
      <c r="Q462" s="644"/>
      <c r="R462" s="644"/>
      <c r="S462" s="644"/>
      <c r="T462" s="644"/>
      <c r="U462" s="644"/>
      <c r="V462" s="645"/>
      <c r="W462" s="40" t="s">
        <v>39</v>
      </c>
      <c r="X462" s="41">
        <f>IFERROR(X461/H461,"0")</f>
        <v>0</v>
      </c>
      <c r="Y462" s="41">
        <f>IFERROR(Y461/H461,"0")</f>
        <v>0</v>
      </c>
      <c r="Z462" s="41">
        <f>IFERROR(IF(Z461="",0,Z461),"0")</f>
        <v>0</v>
      </c>
      <c r="AA462" s="64"/>
      <c r="AB462" s="64"/>
      <c r="AC462" s="64"/>
    </row>
    <row r="463" spans="1:68" hidden="1" x14ac:dyDescent="0.2">
      <c r="A463" s="646"/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7"/>
      <c r="P463" s="643" t="s">
        <v>40</v>
      </c>
      <c r="Q463" s="644"/>
      <c r="R463" s="644"/>
      <c r="S463" s="644"/>
      <c r="T463" s="644"/>
      <c r="U463" s="644"/>
      <c r="V463" s="645"/>
      <c r="W463" s="40" t="s">
        <v>0</v>
      </c>
      <c r="X463" s="41">
        <f>IFERROR(SUM(X461:X461),"0")</f>
        <v>0</v>
      </c>
      <c r="Y463" s="41">
        <f>IFERROR(SUM(Y461:Y461),"0")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657" t="s">
        <v>86</v>
      </c>
      <c r="B464" s="657"/>
      <c r="C464" s="657"/>
      <c r="D464" s="657"/>
      <c r="E464" s="657"/>
      <c r="F464" s="657"/>
      <c r="G464" s="657"/>
      <c r="H464" s="657"/>
      <c r="I464" s="657"/>
      <c r="J464" s="657"/>
      <c r="K464" s="657"/>
      <c r="L464" s="657"/>
      <c r="M464" s="657"/>
      <c r="N464" s="657"/>
      <c r="O464" s="657"/>
      <c r="P464" s="657"/>
      <c r="Q464" s="657"/>
      <c r="R464" s="657"/>
      <c r="S464" s="657"/>
      <c r="T464" s="657"/>
      <c r="U464" s="657"/>
      <c r="V464" s="657"/>
      <c r="W464" s="657"/>
      <c r="X464" s="657"/>
      <c r="Y464" s="657"/>
      <c r="Z464" s="657"/>
      <c r="AA464" s="63"/>
      <c r="AB464" s="63"/>
      <c r="AC464" s="63"/>
    </row>
    <row r="465" spans="1:68" ht="27" hidden="1" customHeight="1" x14ac:dyDescent="0.25">
      <c r="A465" s="60" t="s">
        <v>761</v>
      </c>
      <c r="B465" s="60" t="s">
        <v>762</v>
      </c>
      <c r="C465" s="34">
        <v>4301051899</v>
      </c>
      <c r="D465" s="652">
        <v>4607091384246</v>
      </c>
      <c r="E465" s="652"/>
      <c r="F465" s="59">
        <v>1.5</v>
      </c>
      <c r="G465" s="35">
        <v>6</v>
      </c>
      <c r="H465" s="59">
        <v>9</v>
      </c>
      <c r="I465" s="59">
        <v>9.4939999999999998</v>
      </c>
      <c r="J465" s="35">
        <v>64</v>
      </c>
      <c r="K465" s="35" t="s">
        <v>127</v>
      </c>
      <c r="L465" s="35" t="s">
        <v>46</v>
      </c>
      <c r="M465" s="36" t="s">
        <v>90</v>
      </c>
      <c r="N465" s="36"/>
      <c r="O465" s="35">
        <v>40</v>
      </c>
      <c r="P465" s="69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4"/>
      <c r="R465" s="654"/>
      <c r="S465" s="654"/>
      <c r="T465" s="655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IFERROR(IF(Y465=0,"",ROUNDUP(Y465/H465,0)*0.01898),"")</f>
        <v/>
      </c>
      <c r="AA465" s="65" t="s">
        <v>46</v>
      </c>
      <c r="AB465" s="66" t="s">
        <v>46</v>
      </c>
      <c r="AC465" s="557" t="s">
        <v>763</v>
      </c>
      <c r="AG465" s="75"/>
      <c r="AJ465" s="79" t="s">
        <v>46</v>
      </c>
      <c r="AK465" s="79">
        <v>0</v>
      </c>
      <c r="BB465" s="558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764</v>
      </c>
      <c r="B466" s="60" t="s">
        <v>765</v>
      </c>
      <c r="C466" s="34">
        <v>4301051660</v>
      </c>
      <c r="D466" s="652">
        <v>4607091384253</v>
      </c>
      <c r="E466" s="652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6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4"/>
      <c r="R466" s="654"/>
      <c r="S466" s="654"/>
      <c r="T466" s="655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59" t="s">
        <v>763</v>
      </c>
      <c r="AG466" s="75"/>
      <c r="AJ466" s="79" t="s">
        <v>46</v>
      </c>
      <c r="AK466" s="79">
        <v>0</v>
      </c>
      <c r="BB466" s="560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t="27" hidden="1" customHeight="1" x14ac:dyDescent="0.25">
      <c r="A467" s="60" t="s">
        <v>764</v>
      </c>
      <c r="B467" s="60" t="s">
        <v>766</v>
      </c>
      <c r="C467" s="34">
        <v>4301052069</v>
      </c>
      <c r="D467" s="652">
        <v>4607091384253</v>
      </c>
      <c r="E467" s="652"/>
      <c r="F467" s="59">
        <v>0.4</v>
      </c>
      <c r="G467" s="35">
        <v>6</v>
      </c>
      <c r="H467" s="59">
        <v>2.4</v>
      </c>
      <c r="I467" s="59">
        <v>2.6640000000000001</v>
      </c>
      <c r="J467" s="35">
        <v>182</v>
      </c>
      <c r="K467" s="35" t="s">
        <v>91</v>
      </c>
      <c r="L467" s="35" t="s">
        <v>46</v>
      </c>
      <c r="M467" s="36" t="s">
        <v>90</v>
      </c>
      <c r="N467" s="36"/>
      <c r="O467" s="35">
        <v>40</v>
      </c>
      <c r="P467" s="69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4"/>
      <c r="R467" s="654"/>
      <c r="S467" s="654"/>
      <c r="T467" s="655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IFERROR(IF(Y467=0,"",ROUNDUP(Y467/H467,0)*0.00651),"")</f>
        <v/>
      </c>
      <c r="AA467" s="65" t="s">
        <v>46</v>
      </c>
      <c r="AB467" s="66" t="s">
        <v>46</v>
      </c>
      <c r="AC467" s="561" t="s">
        <v>767</v>
      </c>
      <c r="AG467" s="75"/>
      <c r="AJ467" s="79" t="s">
        <v>46</v>
      </c>
      <c r="AK467" s="79">
        <v>0</v>
      </c>
      <c r="BB467" s="562" t="s">
        <v>67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idden="1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47"/>
      <c r="P468" s="643" t="s">
        <v>40</v>
      </c>
      <c r="Q468" s="644"/>
      <c r="R468" s="644"/>
      <c r="S468" s="644"/>
      <c r="T468" s="644"/>
      <c r="U468" s="644"/>
      <c r="V468" s="645"/>
      <c r="W468" s="40" t="s">
        <v>39</v>
      </c>
      <c r="X468" s="41">
        <f>IFERROR(X465/H465,"0")+IFERROR(X466/H466,"0")+IFERROR(X467/H467,"0")</f>
        <v>0</v>
      </c>
      <c r="Y468" s="41">
        <f>IFERROR(Y465/H465,"0")+IFERROR(Y466/H466,"0")+IFERROR(Y467/H467,"0")</f>
        <v>0</v>
      </c>
      <c r="Z468" s="41">
        <f>IFERROR(IF(Z465="",0,Z465),"0")+IFERROR(IF(Z466="",0,Z466),"0")+IFERROR(IF(Z467="",0,Z467),"0")</f>
        <v>0</v>
      </c>
      <c r="AA468" s="64"/>
      <c r="AB468" s="64"/>
      <c r="AC468" s="64"/>
    </row>
    <row r="469" spans="1:68" hidden="1" x14ac:dyDescent="0.2">
      <c r="A469" s="646"/>
      <c r="B469" s="646"/>
      <c r="C469" s="646"/>
      <c r="D469" s="646"/>
      <c r="E469" s="646"/>
      <c r="F469" s="646"/>
      <c r="G469" s="646"/>
      <c r="H469" s="646"/>
      <c r="I469" s="646"/>
      <c r="J469" s="646"/>
      <c r="K469" s="646"/>
      <c r="L469" s="646"/>
      <c r="M469" s="646"/>
      <c r="N469" s="646"/>
      <c r="O469" s="647"/>
      <c r="P469" s="643" t="s">
        <v>40</v>
      </c>
      <c r="Q469" s="644"/>
      <c r="R469" s="644"/>
      <c r="S469" s="644"/>
      <c r="T469" s="644"/>
      <c r="U469" s="644"/>
      <c r="V469" s="645"/>
      <c r="W469" s="40" t="s">
        <v>0</v>
      </c>
      <c r="X469" s="41">
        <f>IFERROR(SUM(X465:X467),"0")</f>
        <v>0</v>
      </c>
      <c r="Y469" s="41">
        <f>IFERROR(SUM(Y465:Y467),"0")</f>
        <v>0</v>
      </c>
      <c r="Z469" s="40"/>
      <c r="AA469" s="64"/>
      <c r="AB469" s="64"/>
      <c r="AC469" s="64"/>
    </row>
    <row r="470" spans="1:68" ht="27.75" hidden="1" customHeight="1" x14ac:dyDescent="0.2">
      <c r="A470" s="663" t="s">
        <v>768</v>
      </c>
      <c r="B470" s="663"/>
      <c r="C470" s="663"/>
      <c r="D470" s="663"/>
      <c r="E470" s="663"/>
      <c r="F470" s="663"/>
      <c r="G470" s="663"/>
      <c r="H470" s="663"/>
      <c r="I470" s="663"/>
      <c r="J470" s="663"/>
      <c r="K470" s="663"/>
      <c r="L470" s="663"/>
      <c r="M470" s="663"/>
      <c r="N470" s="663"/>
      <c r="O470" s="663"/>
      <c r="P470" s="663"/>
      <c r="Q470" s="663"/>
      <c r="R470" s="663"/>
      <c r="S470" s="663"/>
      <c r="T470" s="663"/>
      <c r="U470" s="663"/>
      <c r="V470" s="663"/>
      <c r="W470" s="663"/>
      <c r="X470" s="663"/>
      <c r="Y470" s="663"/>
      <c r="Z470" s="663"/>
      <c r="AA470" s="52"/>
      <c r="AB470" s="52"/>
      <c r="AC470" s="52"/>
    </row>
    <row r="471" spans="1:68" ht="16.5" hidden="1" customHeight="1" x14ac:dyDescent="0.25">
      <c r="A471" s="656" t="s">
        <v>769</v>
      </c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6"/>
      <c r="P471" s="656"/>
      <c r="Q471" s="656"/>
      <c r="R471" s="656"/>
      <c r="S471" s="656"/>
      <c r="T471" s="656"/>
      <c r="U471" s="656"/>
      <c r="V471" s="656"/>
      <c r="W471" s="656"/>
      <c r="X471" s="656"/>
      <c r="Y471" s="656"/>
      <c r="Z471" s="656"/>
      <c r="AA471" s="62"/>
      <c r="AB471" s="62"/>
      <c r="AC471" s="62"/>
    </row>
    <row r="472" spans="1:68" ht="14.25" hidden="1" customHeight="1" x14ac:dyDescent="0.25">
      <c r="A472" s="657" t="s">
        <v>77</v>
      </c>
      <c r="B472" s="657"/>
      <c r="C472" s="657"/>
      <c r="D472" s="657"/>
      <c r="E472" s="657"/>
      <c r="F472" s="657"/>
      <c r="G472" s="657"/>
      <c r="H472" s="657"/>
      <c r="I472" s="657"/>
      <c r="J472" s="657"/>
      <c r="K472" s="657"/>
      <c r="L472" s="657"/>
      <c r="M472" s="657"/>
      <c r="N472" s="657"/>
      <c r="O472" s="657"/>
      <c r="P472" s="657"/>
      <c r="Q472" s="657"/>
      <c r="R472" s="657"/>
      <c r="S472" s="657"/>
      <c r="T472" s="657"/>
      <c r="U472" s="657"/>
      <c r="V472" s="657"/>
      <c r="W472" s="657"/>
      <c r="X472" s="657"/>
      <c r="Y472" s="657"/>
      <c r="Z472" s="657"/>
      <c r="AA472" s="63"/>
      <c r="AB472" s="63"/>
      <c r="AC472" s="63"/>
    </row>
    <row r="473" spans="1:68" ht="27" hidden="1" customHeight="1" x14ac:dyDescent="0.25">
      <c r="A473" s="60" t="s">
        <v>770</v>
      </c>
      <c r="B473" s="60" t="s">
        <v>771</v>
      </c>
      <c r="C473" s="34">
        <v>4301031405</v>
      </c>
      <c r="D473" s="652">
        <v>4680115886100</v>
      </c>
      <c r="E473" s="652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69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4"/>
      <c r="R473" s="654"/>
      <c r="S473" s="654"/>
      <c r="T473" s="655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ref="Y473:Y478" si="63">IFERROR(IF(X473="",0,CEILING((X473/$H473),1)*$H473),"")</f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3" t="s">
        <v>772</v>
      </c>
      <c r="AG473" s="75"/>
      <c r="AJ473" s="79" t="s">
        <v>46</v>
      </c>
      <c r="AK473" s="79">
        <v>0</v>
      </c>
      <c r="BB473" s="564" t="s">
        <v>67</v>
      </c>
      <c r="BM473" s="75">
        <f t="shared" ref="BM473:BM478" si="64">IFERROR(X473*I473/H473,"0")</f>
        <v>0</v>
      </c>
      <c r="BN473" s="75">
        <f t="shared" ref="BN473:BN478" si="65">IFERROR(Y473*I473/H473,"0")</f>
        <v>0</v>
      </c>
      <c r="BO473" s="75">
        <f t="shared" ref="BO473:BO478" si="66">IFERROR(1/J473*(X473/H473),"0")</f>
        <v>0</v>
      </c>
      <c r="BP473" s="75">
        <f t="shared" ref="BP473:BP478" si="67">IFERROR(1/J473*(Y473/H473),"0")</f>
        <v>0</v>
      </c>
    </row>
    <row r="474" spans="1:68" ht="27" hidden="1" customHeight="1" x14ac:dyDescent="0.25">
      <c r="A474" s="60" t="s">
        <v>773</v>
      </c>
      <c r="B474" s="60" t="s">
        <v>774</v>
      </c>
      <c r="C474" s="34">
        <v>4301031402</v>
      </c>
      <c r="D474" s="652">
        <v>4680115886124</v>
      </c>
      <c r="E474" s="652"/>
      <c r="F474" s="59">
        <v>0.9</v>
      </c>
      <c r="G474" s="35">
        <v>6</v>
      </c>
      <c r="H474" s="59">
        <v>5.4</v>
      </c>
      <c r="I474" s="59">
        <v>5.59</v>
      </c>
      <c r="J474" s="35">
        <v>132</v>
      </c>
      <c r="K474" s="35" t="s">
        <v>134</v>
      </c>
      <c r="L474" s="35" t="s">
        <v>46</v>
      </c>
      <c r="M474" s="36" t="s">
        <v>81</v>
      </c>
      <c r="N474" s="36"/>
      <c r="O474" s="35">
        <v>50</v>
      </c>
      <c r="P474" s="69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4"/>
      <c r="R474" s="654"/>
      <c r="S474" s="654"/>
      <c r="T474" s="655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3"/>
        <v>0</v>
      </c>
      <c r="Z474" s="39" t="str">
        <f>IFERROR(IF(Y474=0,"",ROUNDUP(Y474/H474,0)*0.00902),"")</f>
        <v/>
      </c>
      <c r="AA474" s="65" t="s">
        <v>46</v>
      </c>
      <c r="AB474" s="66" t="s">
        <v>46</v>
      </c>
      <c r="AC474" s="565" t="s">
        <v>775</v>
      </c>
      <c r="AG474" s="75"/>
      <c r="AJ474" s="79" t="s">
        <v>46</v>
      </c>
      <c r="AK474" s="79">
        <v>0</v>
      </c>
      <c r="BB474" s="566" t="s">
        <v>67</v>
      </c>
      <c r="BM474" s="75">
        <f t="shared" si="64"/>
        <v>0</v>
      </c>
      <c r="BN474" s="75">
        <f t="shared" si="65"/>
        <v>0</v>
      </c>
      <c r="BO474" s="75">
        <f t="shared" si="66"/>
        <v>0</v>
      </c>
      <c r="BP474" s="75">
        <f t="shared" si="67"/>
        <v>0</v>
      </c>
    </row>
    <row r="475" spans="1:68" ht="27" hidden="1" customHeight="1" x14ac:dyDescent="0.25">
      <c r="A475" s="60" t="s">
        <v>776</v>
      </c>
      <c r="B475" s="60" t="s">
        <v>777</v>
      </c>
      <c r="C475" s="34">
        <v>4301031362</v>
      </c>
      <c r="D475" s="652">
        <v>4607091384338</v>
      </c>
      <c r="E475" s="652"/>
      <c r="F475" s="59">
        <v>0.35</v>
      </c>
      <c r="G475" s="35">
        <v>6</v>
      </c>
      <c r="H475" s="59">
        <v>2.1</v>
      </c>
      <c r="I475" s="59">
        <v>2.23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6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4"/>
      <c r="R475" s="654"/>
      <c r="S475" s="654"/>
      <c r="T475" s="655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67" t="s">
        <v>772</v>
      </c>
      <c r="AG475" s="75"/>
      <c r="AJ475" s="79" t="s">
        <v>46</v>
      </c>
      <c r="AK475" s="79">
        <v>0</v>
      </c>
      <c r="BB475" s="568" t="s">
        <v>67</v>
      </c>
      <c r="BM475" s="75">
        <f t="shared" si="64"/>
        <v>0</v>
      </c>
      <c r="BN475" s="75">
        <f t="shared" si="65"/>
        <v>0</v>
      </c>
      <c r="BO475" s="75">
        <f t="shared" si="66"/>
        <v>0</v>
      </c>
      <c r="BP475" s="75">
        <f t="shared" si="67"/>
        <v>0</v>
      </c>
    </row>
    <row r="476" spans="1:68" ht="27" hidden="1" customHeight="1" x14ac:dyDescent="0.25">
      <c r="A476" s="60" t="s">
        <v>778</v>
      </c>
      <c r="B476" s="60" t="s">
        <v>779</v>
      </c>
      <c r="C476" s="34">
        <v>4301031364</v>
      </c>
      <c r="D476" s="652">
        <v>4680115883161</v>
      </c>
      <c r="E476" s="652"/>
      <c r="F476" s="59">
        <v>0.28000000000000003</v>
      </c>
      <c r="G476" s="35">
        <v>6</v>
      </c>
      <c r="H476" s="59">
        <v>1.68</v>
      </c>
      <c r="I476" s="59">
        <v>1.81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69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4"/>
      <c r="R476" s="654"/>
      <c r="S476" s="654"/>
      <c r="T476" s="655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69" t="s">
        <v>780</v>
      </c>
      <c r="AG476" s="75"/>
      <c r="AJ476" s="79" t="s">
        <v>46</v>
      </c>
      <c r="AK476" s="79">
        <v>0</v>
      </c>
      <c r="BB476" s="570" t="s">
        <v>67</v>
      </c>
      <c r="BM476" s="75">
        <f t="shared" si="64"/>
        <v>0</v>
      </c>
      <c r="BN476" s="75">
        <f t="shared" si="65"/>
        <v>0</v>
      </c>
      <c r="BO476" s="75">
        <f t="shared" si="66"/>
        <v>0</v>
      </c>
      <c r="BP476" s="75">
        <f t="shared" si="67"/>
        <v>0</v>
      </c>
    </row>
    <row r="477" spans="1:68" ht="27" hidden="1" customHeight="1" x14ac:dyDescent="0.25">
      <c r="A477" s="60" t="s">
        <v>781</v>
      </c>
      <c r="B477" s="60" t="s">
        <v>782</v>
      </c>
      <c r="C477" s="34">
        <v>4301031358</v>
      </c>
      <c r="D477" s="652">
        <v>4607091389531</v>
      </c>
      <c r="E477" s="652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69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4"/>
      <c r="R477" s="654"/>
      <c r="S477" s="654"/>
      <c r="T477" s="655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783</v>
      </c>
      <c r="AG477" s="75"/>
      <c r="AJ477" s="79" t="s">
        <v>46</v>
      </c>
      <c r="AK477" s="79">
        <v>0</v>
      </c>
      <c r="BB477" s="572" t="s">
        <v>67</v>
      </c>
      <c r="BM477" s="75">
        <f t="shared" si="64"/>
        <v>0</v>
      </c>
      <c r="BN477" s="75">
        <f t="shared" si="65"/>
        <v>0</v>
      </c>
      <c r="BO477" s="75">
        <f t="shared" si="66"/>
        <v>0</v>
      </c>
      <c r="BP477" s="75">
        <f t="shared" si="67"/>
        <v>0</v>
      </c>
    </row>
    <row r="478" spans="1:68" ht="37.5" customHeight="1" x14ac:dyDescent="0.25">
      <c r="A478" s="60" t="s">
        <v>784</v>
      </c>
      <c r="B478" s="60" t="s">
        <v>785</v>
      </c>
      <c r="C478" s="34">
        <v>4301031360</v>
      </c>
      <c r="D478" s="652">
        <v>4607091384345</v>
      </c>
      <c r="E478" s="652"/>
      <c r="F478" s="59">
        <v>0.35</v>
      </c>
      <c r="G478" s="35">
        <v>6</v>
      </c>
      <c r="H478" s="59">
        <v>2.1</v>
      </c>
      <c r="I478" s="59">
        <v>2.23</v>
      </c>
      <c r="J478" s="35">
        <v>234</v>
      </c>
      <c r="K478" s="35" t="s">
        <v>82</v>
      </c>
      <c r="L478" s="35" t="s">
        <v>46</v>
      </c>
      <c r="M478" s="36" t="s">
        <v>81</v>
      </c>
      <c r="N478" s="36"/>
      <c r="O478" s="35">
        <v>50</v>
      </c>
      <c r="P478" s="6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4"/>
      <c r="R478" s="654"/>
      <c r="S478" s="654"/>
      <c r="T478" s="655"/>
      <c r="U478" s="37" t="s">
        <v>46</v>
      </c>
      <c r="V478" s="37" t="s">
        <v>46</v>
      </c>
      <c r="W478" s="38" t="s">
        <v>0</v>
      </c>
      <c r="X478" s="56">
        <v>31.5</v>
      </c>
      <c r="Y478" s="53">
        <f t="shared" si="63"/>
        <v>31.5</v>
      </c>
      <c r="Z478" s="39">
        <f>IFERROR(IF(Y478=0,"",ROUNDUP(Y478/H478,0)*0.00502),"")</f>
        <v>7.5300000000000006E-2</v>
      </c>
      <c r="AA478" s="65" t="s">
        <v>46</v>
      </c>
      <c r="AB478" s="66" t="s">
        <v>46</v>
      </c>
      <c r="AC478" s="573" t="s">
        <v>780</v>
      </c>
      <c r="AG478" s="75"/>
      <c r="AJ478" s="79" t="s">
        <v>46</v>
      </c>
      <c r="AK478" s="79">
        <v>0</v>
      </c>
      <c r="BB478" s="574" t="s">
        <v>67</v>
      </c>
      <c r="BM478" s="75">
        <f t="shared" si="64"/>
        <v>33.450000000000003</v>
      </c>
      <c r="BN478" s="75">
        <f t="shared" si="65"/>
        <v>33.450000000000003</v>
      </c>
      <c r="BO478" s="75">
        <f t="shared" si="66"/>
        <v>6.4102564102564111E-2</v>
      </c>
      <c r="BP478" s="75">
        <f t="shared" si="67"/>
        <v>6.4102564102564111E-2</v>
      </c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47"/>
      <c r="P479" s="643" t="s">
        <v>40</v>
      </c>
      <c r="Q479" s="644"/>
      <c r="R479" s="644"/>
      <c r="S479" s="644"/>
      <c r="T479" s="644"/>
      <c r="U479" s="644"/>
      <c r="V479" s="645"/>
      <c r="W479" s="40" t="s">
        <v>39</v>
      </c>
      <c r="X479" s="41">
        <f>IFERROR(X473/H473,"0")+IFERROR(X474/H474,"0")+IFERROR(X475/H475,"0")+IFERROR(X476/H476,"0")+IFERROR(X477/H477,"0")+IFERROR(X478/H478,"0")</f>
        <v>15</v>
      </c>
      <c r="Y479" s="41">
        <f>IFERROR(Y473/H473,"0")+IFERROR(Y474/H474,"0")+IFERROR(Y475/H475,"0")+IFERROR(Y476/H476,"0")+IFERROR(Y477/H477,"0")+IFERROR(Y478/H478,"0")</f>
        <v>15</v>
      </c>
      <c r="Z479" s="41">
        <f>IFERROR(IF(Z473="",0,Z473),"0")+IFERROR(IF(Z474="",0,Z474),"0")+IFERROR(IF(Z475="",0,Z475),"0")+IFERROR(IF(Z476="",0,Z476),"0")+IFERROR(IF(Z477="",0,Z477),"0")+IFERROR(IF(Z478="",0,Z478),"0")</f>
        <v>7.5300000000000006E-2</v>
      </c>
      <c r="AA479" s="64"/>
      <c r="AB479" s="64"/>
      <c r="AC479" s="64"/>
    </row>
    <row r="480" spans="1:68" x14ac:dyDescent="0.2">
      <c r="A480" s="646"/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7"/>
      <c r="P480" s="643" t="s">
        <v>40</v>
      </c>
      <c r="Q480" s="644"/>
      <c r="R480" s="644"/>
      <c r="S480" s="644"/>
      <c r="T480" s="644"/>
      <c r="U480" s="644"/>
      <c r="V480" s="645"/>
      <c r="W480" s="40" t="s">
        <v>0</v>
      </c>
      <c r="X480" s="41">
        <f>IFERROR(SUM(X473:X478),"0")</f>
        <v>31.5</v>
      </c>
      <c r="Y480" s="41">
        <f>IFERROR(SUM(Y473:Y478),"0")</f>
        <v>31.5</v>
      </c>
      <c r="Z480" s="40"/>
      <c r="AA480" s="64"/>
      <c r="AB480" s="64"/>
      <c r="AC480" s="64"/>
    </row>
    <row r="481" spans="1:68" ht="14.25" hidden="1" customHeight="1" x14ac:dyDescent="0.25">
      <c r="A481" s="657" t="s">
        <v>86</v>
      </c>
      <c r="B481" s="657"/>
      <c r="C481" s="657"/>
      <c r="D481" s="657"/>
      <c r="E481" s="657"/>
      <c r="F481" s="657"/>
      <c r="G481" s="657"/>
      <c r="H481" s="657"/>
      <c r="I481" s="657"/>
      <c r="J481" s="657"/>
      <c r="K481" s="657"/>
      <c r="L481" s="657"/>
      <c r="M481" s="657"/>
      <c r="N481" s="657"/>
      <c r="O481" s="657"/>
      <c r="P481" s="657"/>
      <c r="Q481" s="657"/>
      <c r="R481" s="657"/>
      <c r="S481" s="657"/>
      <c r="T481" s="657"/>
      <c r="U481" s="657"/>
      <c r="V481" s="657"/>
      <c r="W481" s="657"/>
      <c r="X481" s="657"/>
      <c r="Y481" s="657"/>
      <c r="Z481" s="657"/>
      <c r="AA481" s="63"/>
      <c r="AB481" s="63"/>
      <c r="AC481" s="63"/>
    </row>
    <row r="482" spans="1:68" ht="27" customHeight="1" x14ac:dyDescent="0.25">
      <c r="A482" s="60" t="s">
        <v>786</v>
      </c>
      <c r="B482" s="60" t="s">
        <v>787</v>
      </c>
      <c r="C482" s="34">
        <v>4301051284</v>
      </c>
      <c r="D482" s="652">
        <v>4607091384352</v>
      </c>
      <c r="E482" s="652"/>
      <c r="F482" s="59">
        <v>0.6</v>
      </c>
      <c r="G482" s="35">
        <v>4</v>
      </c>
      <c r="H482" s="59">
        <v>2.4</v>
      </c>
      <c r="I482" s="59">
        <v>2.6259999999999999</v>
      </c>
      <c r="J482" s="35">
        <v>132</v>
      </c>
      <c r="K482" s="35" t="s">
        <v>134</v>
      </c>
      <c r="L482" s="35" t="s">
        <v>46</v>
      </c>
      <c r="M482" s="36" t="s">
        <v>90</v>
      </c>
      <c r="N482" s="36"/>
      <c r="O482" s="35">
        <v>45</v>
      </c>
      <c r="P482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4"/>
      <c r="R482" s="654"/>
      <c r="S482" s="654"/>
      <c r="T482" s="655"/>
      <c r="U482" s="37" t="s">
        <v>46</v>
      </c>
      <c r="V482" s="37" t="s">
        <v>46</v>
      </c>
      <c r="W482" s="38" t="s">
        <v>0</v>
      </c>
      <c r="X482" s="56">
        <v>144</v>
      </c>
      <c r="Y482" s="53">
        <f>IFERROR(IF(X482="",0,CEILING((X482/$H482),1)*$H482),"")</f>
        <v>144</v>
      </c>
      <c r="Z482" s="39">
        <f>IFERROR(IF(Y482=0,"",ROUNDUP(Y482/H482,0)*0.00902),"")</f>
        <v>0.54120000000000001</v>
      </c>
      <c r="AA482" s="65" t="s">
        <v>46</v>
      </c>
      <c r="AB482" s="66" t="s">
        <v>46</v>
      </c>
      <c r="AC482" s="575" t="s">
        <v>788</v>
      </c>
      <c r="AG482" s="75"/>
      <c r="AJ482" s="79" t="s">
        <v>46</v>
      </c>
      <c r="AK482" s="79">
        <v>0</v>
      </c>
      <c r="BB482" s="576" t="s">
        <v>67</v>
      </c>
      <c r="BM482" s="75">
        <f>IFERROR(X482*I482/H482,"0")</f>
        <v>157.56</v>
      </c>
      <c r="BN482" s="75">
        <f>IFERROR(Y482*I482/H482,"0")</f>
        <v>157.56</v>
      </c>
      <c r="BO482" s="75">
        <f>IFERROR(1/J482*(X482/H482),"0")</f>
        <v>0.45454545454545459</v>
      </c>
      <c r="BP482" s="75">
        <f>IFERROR(1/J482*(Y482/H482),"0")</f>
        <v>0.45454545454545459</v>
      </c>
    </row>
    <row r="483" spans="1:68" ht="27" hidden="1" customHeight="1" x14ac:dyDescent="0.25">
      <c r="A483" s="60" t="s">
        <v>789</v>
      </c>
      <c r="B483" s="60" t="s">
        <v>790</v>
      </c>
      <c r="C483" s="34">
        <v>4301051431</v>
      </c>
      <c r="D483" s="652">
        <v>4607091389654</v>
      </c>
      <c r="E483" s="652"/>
      <c r="F483" s="59">
        <v>0.33</v>
      </c>
      <c r="G483" s="35">
        <v>6</v>
      </c>
      <c r="H483" s="59">
        <v>1.98</v>
      </c>
      <c r="I483" s="59">
        <v>2.238</v>
      </c>
      <c r="J483" s="35">
        <v>182</v>
      </c>
      <c r="K483" s="35" t="s">
        <v>91</v>
      </c>
      <c r="L483" s="35" t="s">
        <v>46</v>
      </c>
      <c r="M483" s="36" t="s">
        <v>90</v>
      </c>
      <c r="N483" s="36"/>
      <c r="O483" s="35">
        <v>45</v>
      </c>
      <c r="P483" s="6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4"/>
      <c r="R483" s="654"/>
      <c r="S483" s="654"/>
      <c r="T483" s="655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77" t="s">
        <v>791</v>
      </c>
      <c r="AG483" s="75"/>
      <c r="AJ483" s="79" t="s">
        <v>46</v>
      </c>
      <c r="AK483" s="79">
        <v>0</v>
      </c>
      <c r="BB483" s="578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47"/>
      <c r="P484" s="643" t="s">
        <v>40</v>
      </c>
      <c r="Q484" s="644"/>
      <c r="R484" s="644"/>
      <c r="S484" s="644"/>
      <c r="T484" s="644"/>
      <c r="U484" s="644"/>
      <c r="V484" s="645"/>
      <c r="W484" s="40" t="s">
        <v>39</v>
      </c>
      <c r="X484" s="41">
        <f>IFERROR(X482/H482,"0")+IFERROR(X483/H483,"0")</f>
        <v>60</v>
      </c>
      <c r="Y484" s="41">
        <f>IFERROR(Y482/H482,"0")+IFERROR(Y483/H483,"0")</f>
        <v>60</v>
      </c>
      <c r="Z484" s="41">
        <f>IFERROR(IF(Z482="",0,Z482),"0")+IFERROR(IF(Z483="",0,Z483),"0")</f>
        <v>0.54120000000000001</v>
      </c>
      <c r="AA484" s="64"/>
      <c r="AB484" s="64"/>
      <c r="AC484" s="64"/>
    </row>
    <row r="485" spans="1:68" x14ac:dyDescent="0.2">
      <c r="A485" s="646"/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7"/>
      <c r="P485" s="643" t="s">
        <v>40</v>
      </c>
      <c r="Q485" s="644"/>
      <c r="R485" s="644"/>
      <c r="S485" s="644"/>
      <c r="T485" s="644"/>
      <c r="U485" s="644"/>
      <c r="V485" s="645"/>
      <c r="W485" s="40" t="s">
        <v>0</v>
      </c>
      <c r="X485" s="41">
        <f>IFERROR(SUM(X482:X483),"0")</f>
        <v>144</v>
      </c>
      <c r="Y485" s="41">
        <f>IFERROR(SUM(Y482:Y483),"0")</f>
        <v>144</v>
      </c>
      <c r="Z485" s="40"/>
      <c r="AA485" s="64"/>
      <c r="AB485" s="64"/>
      <c r="AC485" s="64"/>
    </row>
    <row r="486" spans="1:68" ht="16.5" hidden="1" customHeight="1" x14ac:dyDescent="0.25">
      <c r="A486" s="656" t="s">
        <v>792</v>
      </c>
      <c r="B486" s="656"/>
      <c r="C486" s="656"/>
      <c r="D486" s="656"/>
      <c r="E486" s="656"/>
      <c r="F486" s="656"/>
      <c r="G486" s="656"/>
      <c r="H486" s="656"/>
      <c r="I486" s="656"/>
      <c r="J486" s="656"/>
      <c r="K486" s="656"/>
      <c r="L486" s="656"/>
      <c r="M486" s="656"/>
      <c r="N486" s="656"/>
      <c r="O486" s="656"/>
      <c r="P486" s="656"/>
      <c r="Q486" s="656"/>
      <c r="R486" s="656"/>
      <c r="S486" s="656"/>
      <c r="T486" s="656"/>
      <c r="U486" s="656"/>
      <c r="V486" s="656"/>
      <c r="W486" s="656"/>
      <c r="X486" s="656"/>
      <c r="Y486" s="656"/>
      <c r="Z486" s="656"/>
      <c r="AA486" s="62"/>
      <c r="AB486" s="62"/>
      <c r="AC486" s="62"/>
    </row>
    <row r="487" spans="1:68" ht="14.25" hidden="1" customHeight="1" x14ac:dyDescent="0.25">
      <c r="A487" s="657" t="s">
        <v>158</v>
      </c>
      <c r="B487" s="657"/>
      <c r="C487" s="657"/>
      <c r="D487" s="657"/>
      <c r="E487" s="657"/>
      <c r="F487" s="657"/>
      <c r="G487" s="657"/>
      <c r="H487" s="657"/>
      <c r="I487" s="657"/>
      <c r="J487" s="657"/>
      <c r="K487" s="657"/>
      <c r="L487" s="657"/>
      <c r="M487" s="657"/>
      <c r="N487" s="657"/>
      <c r="O487" s="657"/>
      <c r="P487" s="657"/>
      <c r="Q487" s="657"/>
      <c r="R487" s="657"/>
      <c r="S487" s="657"/>
      <c r="T487" s="657"/>
      <c r="U487" s="657"/>
      <c r="V487" s="657"/>
      <c r="W487" s="657"/>
      <c r="X487" s="657"/>
      <c r="Y487" s="657"/>
      <c r="Z487" s="657"/>
      <c r="AA487" s="63"/>
      <c r="AB487" s="63"/>
      <c r="AC487" s="63"/>
    </row>
    <row r="488" spans="1:68" ht="27" hidden="1" customHeight="1" x14ac:dyDescent="0.25">
      <c r="A488" s="60" t="s">
        <v>793</v>
      </c>
      <c r="B488" s="60" t="s">
        <v>794</v>
      </c>
      <c r="C488" s="34">
        <v>4301020416</v>
      </c>
      <c r="D488" s="652">
        <v>4680115885240</v>
      </c>
      <c r="E488" s="652"/>
      <c r="F488" s="59">
        <v>0.35</v>
      </c>
      <c r="G488" s="35">
        <v>6</v>
      </c>
      <c r="H488" s="59">
        <v>2.1</v>
      </c>
      <c r="I488" s="59">
        <v>2.31</v>
      </c>
      <c r="J488" s="35">
        <v>182</v>
      </c>
      <c r="K488" s="35" t="s">
        <v>91</v>
      </c>
      <c r="L488" s="35" t="s">
        <v>46</v>
      </c>
      <c r="M488" s="36" t="s">
        <v>81</v>
      </c>
      <c r="N488" s="36"/>
      <c r="O488" s="35">
        <v>40</v>
      </c>
      <c r="P488" s="6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4"/>
      <c r="R488" s="654"/>
      <c r="S488" s="654"/>
      <c r="T488" s="655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79" t="s">
        <v>795</v>
      </c>
      <c r="AG488" s="75"/>
      <c r="AJ488" s="79" t="s">
        <v>46</v>
      </c>
      <c r="AK488" s="79">
        <v>0</v>
      </c>
      <c r="BB488" s="580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47"/>
      <c r="P489" s="643" t="s">
        <v>40</v>
      </c>
      <c r="Q489" s="644"/>
      <c r="R489" s="644"/>
      <c r="S489" s="644"/>
      <c r="T489" s="644"/>
      <c r="U489" s="644"/>
      <c r="V489" s="645"/>
      <c r="W489" s="40" t="s">
        <v>39</v>
      </c>
      <c r="X489" s="41">
        <f>IFERROR(X488/H488,"0")</f>
        <v>0</v>
      </c>
      <c r="Y489" s="41">
        <f>IFERROR(Y488/H488,"0")</f>
        <v>0</v>
      </c>
      <c r="Z489" s="41">
        <f>IFERROR(IF(Z488="",0,Z488),"0")</f>
        <v>0</v>
      </c>
      <c r="AA489" s="64"/>
      <c r="AB489" s="64"/>
      <c r="AC489" s="64"/>
    </row>
    <row r="490" spans="1:68" hidden="1" x14ac:dyDescent="0.2">
      <c r="A490" s="646"/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7"/>
      <c r="P490" s="643" t="s">
        <v>40</v>
      </c>
      <c r="Q490" s="644"/>
      <c r="R490" s="644"/>
      <c r="S490" s="644"/>
      <c r="T490" s="644"/>
      <c r="U490" s="644"/>
      <c r="V490" s="645"/>
      <c r="W490" s="40" t="s">
        <v>0</v>
      </c>
      <c r="X490" s="41">
        <f>IFERROR(SUM(X488:X488),"0")</f>
        <v>0</v>
      </c>
      <c r="Y490" s="41">
        <f>IFERROR(SUM(Y488:Y488),"0")</f>
        <v>0</v>
      </c>
      <c r="Z490" s="40"/>
      <c r="AA490" s="64"/>
      <c r="AB490" s="64"/>
      <c r="AC490" s="64"/>
    </row>
    <row r="491" spans="1:68" ht="14.25" hidden="1" customHeight="1" x14ac:dyDescent="0.25">
      <c r="A491" s="657" t="s">
        <v>77</v>
      </c>
      <c r="B491" s="657"/>
      <c r="C491" s="657"/>
      <c r="D491" s="657"/>
      <c r="E491" s="657"/>
      <c r="F491" s="657"/>
      <c r="G491" s="657"/>
      <c r="H491" s="657"/>
      <c r="I491" s="657"/>
      <c r="J491" s="657"/>
      <c r="K491" s="657"/>
      <c r="L491" s="657"/>
      <c r="M491" s="657"/>
      <c r="N491" s="657"/>
      <c r="O491" s="657"/>
      <c r="P491" s="657"/>
      <c r="Q491" s="657"/>
      <c r="R491" s="657"/>
      <c r="S491" s="657"/>
      <c r="T491" s="657"/>
      <c r="U491" s="657"/>
      <c r="V491" s="657"/>
      <c r="W491" s="657"/>
      <c r="X491" s="657"/>
      <c r="Y491" s="657"/>
      <c r="Z491" s="657"/>
      <c r="AA491" s="63"/>
      <c r="AB491" s="63"/>
      <c r="AC491" s="63"/>
    </row>
    <row r="492" spans="1:68" ht="27" hidden="1" customHeight="1" x14ac:dyDescent="0.25">
      <c r="A492" s="60" t="s">
        <v>796</v>
      </c>
      <c r="B492" s="60" t="s">
        <v>797</v>
      </c>
      <c r="C492" s="34">
        <v>4301031407</v>
      </c>
      <c r="D492" s="652">
        <v>4680115886094</v>
      </c>
      <c r="E492" s="652"/>
      <c r="F492" s="59">
        <v>0.9</v>
      </c>
      <c r="G492" s="35">
        <v>6</v>
      </c>
      <c r="H492" s="59">
        <v>5.4</v>
      </c>
      <c r="I492" s="59">
        <v>5.59</v>
      </c>
      <c r="J492" s="35">
        <v>132</v>
      </c>
      <c r="K492" s="35" t="s">
        <v>134</v>
      </c>
      <c r="L492" s="35" t="s">
        <v>46</v>
      </c>
      <c r="M492" s="36" t="s">
        <v>81</v>
      </c>
      <c r="N492" s="36"/>
      <c r="O492" s="35">
        <v>50</v>
      </c>
      <c r="P492" s="68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4"/>
      <c r="R492" s="654"/>
      <c r="S492" s="654"/>
      <c r="T492" s="655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81" t="s">
        <v>798</v>
      </c>
      <c r="AG492" s="75"/>
      <c r="AJ492" s="79" t="s">
        <v>46</v>
      </c>
      <c r="AK492" s="79">
        <v>0</v>
      </c>
      <c r="BB492" s="582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799</v>
      </c>
      <c r="B493" s="60" t="s">
        <v>800</v>
      </c>
      <c r="C493" s="34">
        <v>4301031373</v>
      </c>
      <c r="D493" s="652">
        <v>4680115880771</v>
      </c>
      <c r="E493" s="652"/>
      <c r="F493" s="59">
        <v>0.28000000000000003</v>
      </c>
      <c r="G493" s="35">
        <v>6</v>
      </c>
      <c r="H493" s="59">
        <v>1.68</v>
      </c>
      <c r="I493" s="59">
        <v>1.81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6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4"/>
      <c r="R493" s="654"/>
      <c r="S493" s="654"/>
      <c r="T493" s="655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3" t="s">
        <v>801</v>
      </c>
      <c r="AG493" s="75"/>
      <c r="AJ493" s="79" t="s">
        <v>46</v>
      </c>
      <c r="AK493" s="79">
        <v>0</v>
      </c>
      <c r="BB493" s="584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t="27" hidden="1" customHeight="1" x14ac:dyDescent="0.25">
      <c r="A494" s="60" t="s">
        <v>802</v>
      </c>
      <c r="B494" s="60" t="s">
        <v>803</v>
      </c>
      <c r="C494" s="34">
        <v>4301031359</v>
      </c>
      <c r="D494" s="652">
        <v>4607091389500</v>
      </c>
      <c r="E494" s="652"/>
      <c r="F494" s="59">
        <v>0.35</v>
      </c>
      <c r="G494" s="35">
        <v>6</v>
      </c>
      <c r="H494" s="59">
        <v>2.1</v>
      </c>
      <c r="I494" s="59">
        <v>2.23</v>
      </c>
      <c r="J494" s="35">
        <v>234</v>
      </c>
      <c r="K494" s="35" t="s">
        <v>82</v>
      </c>
      <c r="L494" s="35" t="s">
        <v>46</v>
      </c>
      <c r="M494" s="36" t="s">
        <v>81</v>
      </c>
      <c r="N494" s="36"/>
      <c r="O494" s="35">
        <v>50</v>
      </c>
      <c r="P494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4"/>
      <c r="R494" s="654"/>
      <c r="S494" s="654"/>
      <c r="T494" s="655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IFERROR(IF(Y494=0,"",ROUNDUP(Y494/H494,0)*0.00502),"")</f>
        <v/>
      </c>
      <c r="AA494" s="65" t="s">
        <v>46</v>
      </c>
      <c r="AB494" s="66" t="s">
        <v>46</v>
      </c>
      <c r="AC494" s="585" t="s">
        <v>801</v>
      </c>
      <c r="AG494" s="75"/>
      <c r="AJ494" s="79" t="s">
        <v>46</v>
      </c>
      <c r="AK494" s="79">
        <v>0</v>
      </c>
      <c r="BB494" s="586" t="s">
        <v>67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idden="1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47"/>
      <c r="P495" s="643" t="s">
        <v>40</v>
      </c>
      <c r="Q495" s="644"/>
      <c r="R495" s="644"/>
      <c r="S495" s="644"/>
      <c r="T495" s="644"/>
      <c r="U495" s="644"/>
      <c r="V495" s="645"/>
      <c r="W495" s="40" t="s">
        <v>39</v>
      </c>
      <c r="X495" s="41">
        <f>IFERROR(X492/H492,"0")+IFERROR(X493/H493,"0")+IFERROR(X494/H494,"0")</f>
        <v>0</v>
      </c>
      <c r="Y495" s="41">
        <f>IFERROR(Y492/H492,"0")+IFERROR(Y493/H493,"0")+IFERROR(Y494/H494,"0")</f>
        <v>0</v>
      </c>
      <c r="Z495" s="41">
        <f>IFERROR(IF(Z492="",0,Z492),"0")+IFERROR(IF(Z493="",0,Z493),"0")+IFERROR(IF(Z494="",0,Z494),"0")</f>
        <v>0</v>
      </c>
      <c r="AA495" s="64"/>
      <c r="AB495" s="64"/>
      <c r="AC495" s="64"/>
    </row>
    <row r="496" spans="1:68" hidden="1" x14ac:dyDescent="0.2">
      <c r="A496" s="646"/>
      <c r="B496" s="646"/>
      <c r="C496" s="646"/>
      <c r="D496" s="646"/>
      <c r="E496" s="646"/>
      <c r="F496" s="646"/>
      <c r="G496" s="646"/>
      <c r="H496" s="646"/>
      <c r="I496" s="646"/>
      <c r="J496" s="646"/>
      <c r="K496" s="646"/>
      <c r="L496" s="646"/>
      <c r="M496" s="646"/>
      <c r="N496" s="646"/>
      <c r="O496" s="647"/>
      <c r="P496" s="643" t="s">
        <v>40</v>
      </c>
      <c r="Q496" s="644"/>
      <c r="R496" s="644"/>
      <c r="S496" s="644"/>
      <c r="T496" s="644"/>
      <c r="U496" s="644"/>
      <c r="V496" s="645"/>
      <c r="W496" s="40" t="s">
        <v>0</v>
      </c>
      <c r="X496" s="41">
        <f>IFERROR(SUM(X492:X494),"0")</f>
        <v>0</v>
      </c>
      <c r="Y496" s="41">
        <f>IFERROR(SUM(Y492:Y494),"0")</f>
        <v>0</v>
      </c>
      <c r="Z496" s="40"/>
      <c r="AA496" s="64"/>
      <c r="AB496" s="64"/>
      <c r="AC496" s="64"/>
    </row>
    <row r="497" spans="1:68" ht="27.75" hidden="1" customHeight="1" x14ac:dyDescent="0.2">
      <c r="A497" s="663" t="s">
        <v>804</v>
      </c>
      <c r="B497" s="663"/>
      <c r="C497" s="663"/>
      <c r="D497" s="663"/>
      <c r="E497" s="663"/>
      <c r="F497" s="663"/>
      <c r="G497" s="663"/>
      <c r="H497" s="663"/>
      <c r="I497" s="663"/>
      <c r="J497" s="663"/>
      <c r="K497" s="663"/>
      <c r="L497" s="663"/>
      <c r="M497" s="663"/>
      <c r="N497" s="663"/>
      <c r="O497" s="663"/>
      <c r="P497" s="663"/>
      <c r="Q497" s="663"/>
      <c r="R497" s="663"/>
      <c r="S497" s="663"/>
      <c r="T497" s="663"/>
      <c r="U497" s="663"/>
      <c r="V497" s="663"/>
      <c r="W497" s="663"/>
      <c r="X497" s="663"/>
      <c r="Y497" s="663"/>
      <c r="Z497" s="663"/>
      <c r="AA497" s="52"/>
      <c r="AB497" s="52"/>
      <c r="AC497" s="52"/>
    </row>
    <row r="498" spans="1:68" ht="16.5" hidden="1" customHeight="1" x14ac:dyDescent="0.25">
      <c r="A498" s="656" t="s">
        <v>804</v>
      </c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6"/>
      <c r="P498" s="656"/>
      <c r="Q498" s="656"/>
      <c r="R498" s="656"/>
      <c r="S498" s="656"/>
      <c r="T498" s="656"/>
      <c r="U498" s="656"/>
      <c r="V498" s="656"/>
      <c r="W498" s="656"/>
      <c r="X498" s="656"/>
      <c r="Y498" s="656"/>
      <c r="Z498" s="656"/>
      <c r="AA498" s="62"/>
      <c r="AB498" s="62"/>
      <c r="AC498" s="62"/>
    </row>
    <row r="499" spans="1:68" ht="14.25" hidden="1" customHeight="1" x14ac:dyDescent="0.25">
      <c r="A499" s="657" t="s">
        <v>122</v>
      </c>
      <c r="B499" s="657"/>
      <c r="C499" s="657"/>
      <c r="D499" s="657"/>
      <c r="E499" s="657"/>
      <c r="F499" s="657"/>
      <c r="G499" s="657"/>
      <c r="H499" s="657"/>
      <c r="I499" s="657"/>
      <c r="J499" s="657"/>
      <c r="K499" s="657"/>
      <c r="L499" s="657"/>
      <c r="M499" s="657"/>
      <c r="N499" s="657"/>
      <c r="O499" s="657"/>
      <c r="P499" s="657"/>
      <c r="Q499" s="657"/>
      <c r="R499" s="657"/>
      <c r="S499" s="657"/>
      <c r="T499" s="657"/>
      <c r="U499" s="657"/>
      <c r="V499" s="657"/>
      <c r="W499" s="657"/>
      <c r="X499" s="657"/>
      <c r="Y499" s="657"/>
      <c r="Z499" s="657"/>
      <c r="AA499" s="63"/>
      <c r="AB499" s="63"/>
      <c r="AC499" s="63"/>
    </row>
    <row r="500" spans="1:68" ht="27" hidden="1" customHeight="1" x14ac:dyDescent="0.25">
      <c r="A500" s="60" t="s">
        <v>805</v>
      </c>
      <c r="B500" s="60" t="s">
        <v>806</v>
      </c>
      <c r="C500" s="34">
        <v>4301011769</v>
      </c>
      <c r="D500" s="652">
        <v>4607091389067</v>
      </c>
      <c r="E500" s="652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90</v>
      </c>
      <c r="N500" s="36"/>
      <c r="O500" s="35">
        <v>60</v>
      </c>
      <c r="P500" s="68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4"/>
      <c r="R500" s="654"/>
      <c r="S500" s="654"/>
      <c r="T500" s="655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ref="Y500:Y508" si="68">IFERROR(IF(X500="",0,CEILING((X500/$H500),1)*$H500),"")</f>
        <v>0</v>
      </c>
      <c r="Z500" s="39" t="str">
        <f t="shared" ref="Z500:Z505" si="69">IFERROR(IF(Y500=0,"",ROUNDUP(Y500/H500,0)*0.01196),"")</f>
        <v/>
      </c>
      <c r="AA500" s="65" t="s">
        <v>46</v>
      </c>
      <c r="AB500" s="66" t="s">
        <v>46</v>
      </c>
      <c r="AC500" s="587" t="s">
        <v>125</v>
      </c>
      <c r="AG500" s="75"/>
      <c r="AJ500" s="79" t="s">
        <v>46</v>
      </c>
      <c r="AK500" s="79">
        <v>0</v>
      </c>
      <c r="BB500" s="588" t="s">
        <v>67</v>
      </c>
      <c r="BM500" s="75">
        <f t="shared" ref="BM500:BM508" si="70">IFERROR(X500*I500/H500,"0")</f>
        <v>0</v>
      </c>
      <c r="BN500" s="75">
        <f t="shared" ref="BN500:BN508" si="71">IFERROR(Y500*I500/H500,"0")</f>
        <v>0</v>
      </c>
      <c r="BO500" s="75">
        <f t="shared" ref="BO500:BO508" si="72">IFERROR(1/J500*(X500/H500),"0")</f>
        <v>0</v>
      </c>
      <c r="BP500" s="75">
        <f t="shared" ref="BP500:BP508" si="73">IFERROR(1/J500*(Y500/H500),"0")</f>
        <v>0</v>
      </c>
    </row>
    <row r="501" spans="1:68" ht="16.5" hidden="1" customHeight="1" x14ac:dyDescent="0.25">
      <c r="A501" s="60" t="s">
        <v>807</v>
      </c>
      <c r="B501" s="60" t="s">
        <v>808</v>
      </c>
      <c r="C501" s="34">
        <v>4301012380</v>
      </c>
      <c r="D501" s="652">
        <v>4680115889576</v>
      </c>
      <c r="E501" s="652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68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4"/>
      <c r="R501" s="654"/>
      <c r="S501" s="654"/>
      <c r="T501" s="655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8"/>
        <v>0</v>
      </c>
      <c r="Z501" s="39" t="str">
        <f t="shared" si="69"/>
        <v/>
      </c>
      <c r="AA501" s="65" t="s">
        <v>46</v>
      </c>
      <c r="AB501" s="66" t="s">
        <v>46</v>
      </c>
      <c r="AC501" s="589" t="s">
        <v>809</v>
      </c>
      <c r="AG501" s="75"/>
      <c r="AJ501" s="79" t="s">
        <v>46</v>
      </c>
      <c r="AK501" s="79">
        <v>0</v>
      </c>
      <c r="BB501" s="590" t="s">
        <v>67</v>
      </c>
      <c r="BM501" s="75">
        <f t="shared" si="70"/>
        <v>0</v>
      </c>
      <c r="BN501" s="75">
        <f t="shared" si="71"/>
        <v>0</v>
      </c>
      <c r="BO501" s="75">
        <f t="shared" si="72"/>
        <v>0</v>
      </c>
      <c r="BP501" s="75">
        <f t="shared" si="73"/>
        <v>0</v>
      </c>
    </row>
    <row r="502" spans="1:68" ht="27" hidden="1" customHeight="1" x14ac:dyDescent="0.25">
      <c r="A502" s="60" t="s">
        <v>810</v>
      </c>
      <c r="B502" s="60" t="s">
        <v>811</v>
      </c>
      <c r="C502" s="34">
        <v>4301011961</v>
      </c>
      <c r="D502" s="652">
        <v>4680115885271</v>
      </c>
      <c r="E502" s="652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68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4"/>
      <c r="R502" s="654"/>
      <c r="S502" s="654"/>
      <c r="T502" s="655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8"/>
        <v>0</v>
      </c>
      <c r="Z502" s="39" t="str">
        <f t="shared" si="69"/>
        <v/>
      </c>
      <c r="AA502" s="65" t="s">
        <v>46</v>
      </c>
      <c r="AB502" s="66" t="s">
        <v>46</v>
      </c>
      <c r="AC502" s="591" t="s">
        <v>812</v>
      </c>
      <c r="AG502" s="75"/>
      <c r="AJ502" s="79" t="s">
        <v>46</v>
      </c>
      <c r="AK502" s="79">
        <v>0</v>
      </c>
      <c r="BB502" s="592" t="s">
        <v>67</v>
      </c>
      <c r="BM502" s="75">
        <f t="shared" si="70"/>
        <v>0</v>
      </c>
      <c r="BN502" s="75">
        <f t="shared" si="71"/>
        <v>0</v>
      </c>
      <c r="BO502" s="75">
        <f t="shared" si="72"/>
        <v>0</v>
      </c>
      <c r="BP502" s="75">
        <f t="shared" si="73"/>
        <v>0</v>
      </c>
    </row>
    <row r="503" spans="1:68" ht="27" hidden="1" customHeight="1" x14ac:dyDescent="0.25">
      <c r="A503" s="60" t="s">
        <v>813</v>
      </c>
      <c r="B503" s="60" t="s">
        <v>814</v>
      </c>
      <c r="C503" s="34">
        <v>4301011369</v>
      </c>
      <c r="D503" s="652">
        <v>4680115885226</v>
      </c>
      <c r="E503" s="652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126</v>
      </c>
      <c r="N503" s="36"/>
      <c r="O503" s="35">
        <v>60</v>
      </c>
      <c r="P503" s="68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4"/>
      <c r="R503" s="654"/>
      <c r="S503" s="654"/>
      <c r="T503" s="655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8"/>
        <v>0</v>
      </c>
      <c r="Z503" s="39" t="str">
        <f t="shared" si="69"/>
        <v/>
      </c>
      <c r="AA503" s="65" t="s">
        <v>46</v>
      </c>
      <c r="AB503" s="66" t="s">
        <v>46</v>
      </c>
      <c r="AC503" s="593" t="s">
        <v>815</v>
      </c>
      <c r="AG503" s="75"/>
      <c r="AJ503" s="79" t="s">
        <v>46</v>
      </c>
      <c r="AK503" s="79">
        <v>0</v>
      </c>
      <c r="BB503" s="594" t="s">
        <v>67</v>
      </c>
      <c r="BM503" s="75">
        <f t="shared" si="70"/>
        <v>0</v>
      </c>
      <c r="BN503" s="75">
        <f t="shared" si="71"/>
        <v>0</v>
      </c>
      <c r="BO503" s="75">
        <f t="shared" si="72"/>
        <v>0</v>
      </c>
      <c r="BP503" s="75">
        <f t="shared" si="73"/>
        <v>0</v>
      </c>
    </row>
    <row r="504" spans="1:68" ht="16.5" hidden="1" customHeight="1" x14ac:dyDescent="0.25">
      <c r="A504" s="60" t="s">
        <v>816</v>
      </c>
      <c r="B504" s="60" t="s">
        <v>817</v>
      </c>
      <c r="C504" s="34">
        <v>4301011797</v>
      </c>
      <c r="D504" s="652">
        <v>4680115884502</v>
      </c>
      <c r="E504" s="652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90</v>
      </c>
      <c r="N504" s="36"/>
      <c r="O504" s="35">
        <v>60</v>
      </c>
      <c r="P504" s="67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4"/>
      <c r="R504" s="654"/>
      <c r="S504" s="654"/>
      <c r="T504" s="655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8"/>
        <v>0</v>
      </c>
      <c r="Z504" s="39" t="str">
        <f t="shared" si="69"/>
        <v/>
      </c>
      <c r="AA504" s="65" t="s">
        <v>46</v>
      </c>
      <c r="AB504" s="66" t="s">
        <v>46</v>
      </c>
      <c r="AC504" s="595" t="s">
        <v>818</v>
      </c>
      <c r="AG504" s="75"/>
      <c r="AJ504" s="79" t="s">
        <v>46</v>
      </c>
      <c r="AK504" s="79">
        <v>0</v>
      </c>
      <c r="BB504" s="596" t="s">
        <v>67</v>
      </c>
      <c r="BM504" s="75">
        <f t="shared" si="70"/>
        <v>0</v>
      </c>
      <c r="BN504" s="75">
        <f t="shared" si="71"/>
        <v>0</v>
      </c>
      <c r="BO504" s="75">
        <f t="shared" si="72"/>
        <v>0</v>
      </c>
      <c r="BP504" s="75">
        <f t="shared" si="73"/>
        <v>0</v>
      </c>
    </row>
    <row r="505" spans="1:68" ht="27" hidden="1" customHeight="1" x14ac:dyDescent="0.25">
      <c r="A505" s="60" t="s">
        <v>819</v>
      </c>
      <c r="B505" s="60" t="s">
        <v>820</v>
      </c>
      <c r="C505" s="34">
        <v>4301011771</v>
      </c>
      <c r="D505" s="652">
        <v>4607091389104</v>
      </c>
      <c r="E505" s="652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6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4"/>
      <c r="R505" s="654"/>
      <c r="S505" s="654"/>
      <c r="T505" s="655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68"/>
        <v>0</v>
      </c>
      <c r="Z505" s="39" t="str">
        <f t="shared" si="69"/>
        <v/>
      </c>
      <c r="AA505" s="65" t="s">
        <v>46</v>
      </c>
      <c r="AB505" s="66" t="s">
        <v>46</v>
      </c>
      <c r="AC505" s="597" t="s">
        <v>821</v>
      </c>
      <c r="AG505" s="75"/>
      <c r="AJ505" s="79" t="s">
        <v>46</v>
      </c>
      <c r="AK505" s="79">
        <v>0</v>
      </c>
      <c r="BB505" s="598" t="s">
        <v>67</v>
      </c>
      <c r="BM505" s="75">
        <f t="shared" si="70"/>
        <v>0</v>
      </c>
      <c r="BN505" s="75">
        <f t="shared" si="71"/>
        <v>0</v>
      </c>
      <c r="BO505" s="75">
        <f t="shared" si="72"/>
        <v>0</v>
      </c>
      <c r="BP505" s="75">
        <f t="shared" si="73"/>
        <v>0</v>
      </c>
    </row>
    <row r="506" spans="1:68" ht="27" hidden="1" customHeight="1" x14ac:dyDescent="0.25">
      <c r="A506" s="60" t="s">
        <v>822</v>
      </c>
      <c r="B506" s="60" t="s">
        <v>823</v>
      </c>
      <c r="C506" s="34">
        <v>4301012125</v>
      </c>
      <c r="D506" s="652">
        <v>4680115886391</v>
      </c>
      <c r="E506" s="652"/>
      <c r="F506" s="59">
        <v>0.4</v>
      </c>
      <c r="G506" s="35">
        <v>6</v>
      </c>
      <c r="H506" s="59">
        <v>2.4</v>
      </c>
      <c r="I506" s="59">
        <v>2.58</v>
      </c>
      <c r="J506" s="35">
        <v>182</v>
      </c>
      <c r="K506" s="35" t="s">
        <v>91</v>
      </c>
      <c r="L506" s="35" t="s">
        <v>46</v>
      </c>
      <c r="M506" s="36" t="s">
        <v>90</v>
      </c>
      <c r="N506" s="36"/>
      <c r="O506" s="35">
        <v>60</v>
      </c>
      <c r="P506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4"/>
      <c r="R506" s="654"/>
      <c r="S506" s="654"/>
      <c r="T506" s="655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68"/>
        <v>0</v>
      </c>
      <c r="Z506" s="39" t="str">
        <f>IFERROR(IF(Y506=0,"",ROUNDUP(Y506/H506,0)*0.00651),"")</f>
        <v/>
      </c>
      <c r="AA506" s="65" t="s">
        <v>46</v>
      </c>
      <c r="AB506" s="66" t="s">
        <v>46</v>
      </c>
      <c r="AC506" s="599" t="s">
        <v>125</v>
      </c>
      <c r="AG506" s="75"/>
      <c r="AJ506" s="79" t="s">
        <v>46</v>
      </c>
      <c r="AK506" s="79">
        <v>0</v>
      </c>
      <c r="BB506" s="600" t="s">
        <v>67</v>
      </c>
      <c r="BM506" s="75">
        <f t="shared" si="70"/>
        <v>0</v>
      </c>
      <c r="BN506" s="75">
        <f t="shared" si="71"/>
        <v>0</v>
      </c>
      <c r="BO506" s="75">
        <f t="shared" si="72"/>
        <v>0</v>
      </c>
      <c r="BP506" s="75">
        <f t="shared" si="73"/>
        <v>0</v>
      </c>
    </row>
    <row r="507" spans="1:68" ht="27" customHeight="1" x14ac:dyDescent="0.25">
      <c r="A507" s="60" t="s">
        <v>824</v>
      </c>
      <c r="B507" s="60" t="s">
        <v>825</v>
      </c>
      <c r="C507" s="34">
        <v>4301012048</v>
      </c>
      <c r="D507" s="652">
        <v>4680115880603</v>
      </c>
      <c r="E507" s="652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90</v>
      </c>
      <c r="N507" s="36"/>
      <c r="O507" s="35">
        <v>60</v>
      </c>
      <c r="P507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4"/>
      <c r="R507" s="654"/>
      <c r="S507" s="654"/>
      <c r="T507" s="655"/>
      <c r="U507" s="37" t="s">
        <v>46</v>
      </c>
      <c r="V507" s="37" t="s">
        <v>46</v>
      </c>
      <c r="W507" s="38" t="s">
        <v>0</v>
      </c>
      <c r="X507" s="56">
        <v>90.6</v>
      </c>
      <c r="Y507" s="53">
        <f t="shared" si="68"/>
        <v>91.2</v>
      </c>
      <c r="Z507" s="39">
        <f>IFERROR(IF(Y507=0,"",ROUNDUP(Y507/H507,0)*0.00902),"")</f>
        <v>0.17138</v>
      </c>
      <c r="AA507" s="65" t="s">
        <v>46</v>
      </c>
      <c r="AB507" s="66" t="s">
        <v>46</v>
      </c>
      <c r="AC507" s="601" t="s">
        <v>125</v>
      </c>
      <c r="AG507" s="75"/>
      <c r="AJ507" s="79" t="s">
        <v>46</v>
      </c>
      <c r="AK507" s="79">
        <v>0</v>
      </c>
      <c r="BB507" s="602" t="s">
        <v>67</v>
      </c>
      <c r="BM507" s="75">
        <f t="shared" si="70"/>
        <v>130.42624999999998</v>
      </c>
      <c r="BN507" s="75">
        <f t="shared" si="71"/>
        <v>131.29000000000002</v>
      </c>
      <c r="BO507" s="75">
        <f t="shared" si="72"/>
        <v>0.14299242424242425</v>
      </c>
      <c r="BP507" s="75">
        <f t="shared" si="73"/>
        <v>0.14393939393939395</v>
      </c>
    </row>
    <row r="508" spans="1:68" ht="27" customHeight="1" x14ac:dyDescent="0.25">
      <c r="A508" s="60" t="s">
        <v>826</v>
      </c>
      <c r="B508" s="60" t="s">
        <v>827</v>
      </c>
      <c r="C508" s="34">
        <v>4301012034</v>
      </c>
      <c r="D508" s="652">
        <v>4607091389982</v>
      </c>
      <c r="E508" s="652"/>
      <c r="F508" s="59">
        <v>0.6</v>
      </c>
      <c r="G508" s="35">
        <v>8</v>
      </c>
      <c r="H508" s="59">
        <v>4.8</v>
      </c>
      <c r="I508" s="59">
        <v>6.91</v>
      </c>
      <c r="J508" s="35">
        <v>132</v>
      </c>
      <c r="K508" s="35" t="s">
        <v>134</v>
      </c>
      <c r="L508" s="35" t="s">
        <v>46</v>
      </c>
      <c r="M508" s="36" t="s">
        <v>126</v>
      </c>
      <c r="N508" s="36"/>
      <c r="O508" s="35">
        <v>60</v>
      </c>
      <c r="P508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4"/>
      <c r="R508" s="654"/>
      <c r="S508" s="654"/>
      <c r="T508" s="655"/>
      <c r="U508" s="37" t="s">
        <v>46</v>
      </c>
      <c r="V508" s="37" t="s">
        <v>46</v>
      </c>
      <c r="W508" s="38" t="s">
        <v>0</v>
      </c>
      <c r="X508" s="56">
        <v>270</v>
      </c>
      <c r="Y508" s="53">
        <f t="shared" si="68"/>
        <v>273.59999999999997</v>
      </c>
      <c r="Z508" s="39">
        <f>IFERROR(IF(Y508=0,"",ROUNDUP(Y508/H508,0)*0.00902),"")</f>
        <v>0.51414000000000004</v>
      </c>
      <c r="AA508" s="65" t="s">
        <v>46</v>
      </c>
      <c r="AB508" s="66" t="s">
        <v>46</v>
      </c>
      <c r="AC508" s="603" t="s">
        <v>821</v>
      </c>
      <c r="AG508" s="75"/>
      <c r="AJ508" s="79" t="s">
        <v>46</v>
      </c>
      <c r="AK508" s="79">
        <v>0</v>
      </c>
      <c r="BB508" s="604" t="s">
        <v>67</v>
      </c>
      <c r="BM508" s="75">
        <f t="shared" si="70"/>
        <v>388.6875</v>
      </c>
      <c r="BN508" s="75">
        <f t="shared" si="71"/>
        <v>393.86999999999995</v>
      </c>
      <c r="BO508" s="75">
        <f t="shared" si="72"/>
        <v>0.42613636363636365</v>
      </c>
      <c r="BP508" s="75">
        <f t="shared" si="73"/>
        <v>0.43181818181818177</v>
      </c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47"/>
      <c r="P509" s="643" t="s">
        <v>40</v>
      </c>
      <c r="Q509" s="644"/>
      <c r="R509" s="644"/>
      <c r="S509" s="644"/>
      <c r="T509" s="644"/>
      <c r="U509" s="644"/>
      <c r="V509" s="645"/>
      <c r="W509" s="40" t="s">
        <v>39</v>
      </c>
      <c r="X509" s="41">
        <f>IFERROR(X500/H500,"0")+IFERROR(X501/H501,"0")+IFERROR(X502/H502,"0")+IFERROR(X503/H503,"0")+IFERROR(X504/H504,"0")+IFERROR(X505/H505,"0")+IFERROR(X506/H506,"0")+IFERROR(X507/H507,"0")+IFERROR(X508/H508,"0")</f>
        <v>75.125</v>
      </c>
      <c r="Y509" s="41">
        <f>IFERROR(Y500/H500,"0")+IFERROR(Y501/H501,"0")+IFERROR(Y502/H502,"0")+IFERROR(Y503/H503,"0")+IFERROR(Y504/H504,"0")+IFERROR(Y505/H505,"0")+IFERROR(Y506/H506,"0")+IFERROR(Y507/H507,"0")+IFERROR(Y508/H508,"0")</f>
        <v>76</v>
      </c>
      <c r="Z509" s="41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0.68552000000000002</v>
      </c>
      <c r="AA509" s="64"/>
      <c r="AB509" s="64"/>
      <c r="AC509" s="64"/>
    </row>
    <row r="510" spans="1:68" x14ac:dyDescent="0.2">
      <c r="A510" s="646"/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7"/>
      <c r="P510" s="643" t="s">
        <v>40</v>
      </c>
      <c r="Q510" s="644"/>
      <c r="R510" s="644"/>
      <c r="S510" s="644"/>
      <c r="T510" s="644"/>
      <c r="U510" s="644"/>
      <c r="V510" s="645"/>
      <c r="W510" s="40" t="s">
        <v>0</v>
      </c>
      <c r="X510" s="41">
        <f>IFERROR(SUM(X500:X508),"0")</f>
        <v>360.6</v>
      </c>
      <c r="Y510" s="41">
        <f>IFERROR(SUM(Y500:Y508),"0")</f>
        <v>364.79999999999995</v>
      </c>
      <c r="Z510" s="40"/>
      <c r="AA510" s="64"/>
      <c r="AB510" s="64"/>
      <c r="AC510" s="64"/>
    </row>
    <row r="511" spans="1:68" ht="14.25" hidden="1" customHeight="1" x14ac:dyDescent="0.25">
      <c r="A511" s="657" t="s">
        <v>158</v>
      </c>
      <c r="B511" s="657"/>
      <c r="C511" s="657"/>
      <c r="D511" s="657"/>
      <c r="E511" s="657"/>
      <c r="F511" s="657"/>
      <c r="G511" s="657"/>
      <c r="H511" s="657"/>
      <c r="I511" s="657"/>
      <c r="J511" s="657"/>
      <c r="K511" s="657"/>
      <c r="L511" s="657"/>
      <c r="M511" s="657"/>
      <c r="N511" s="657"/>
      <c r="O511" s="657"/>
      <c r="P511" s="657"/>
      <c r="Q511" s="657"/>
      <c r="R511" s="657"/>
      <c r="S511" s="657"/>
      <c r="T511" s="657"/>
      <c r="U511" s="657"/>
      <c r="V511" s="657"/>
      <c r="W511" s="657"/>
      <c r="X511" s="657"/>
      <c r="Y511" s="657"/>
      <c r="Z511" s="657"/>
      <c r="AA511" s="63"/>
      <c r="AB511" s="63"/>
      <c r="AC511" s="63"/>
    </row>
    <row r="512" spans="1:68" ht="16.5" hidden="1" customHeight="1" x14ac:dyDescent="0.25">
      <c r="A512" s="60" t="s">
        <v>828</v>
      </c>
      <c r="B512" s="60" t="s">
        <v>829</v>
      </c>
      <c r="C512" s="34">
        <v>4301020334</v>
      </c>
      <c r="D512" s="652">
        <v>4607091388930</v>
      </c>
      <c r="E512" s="652"/>
      <c r="F512" s="59">
        <v>0.88</v>
      </c>
      <c r="G512" s="35">
        <v>6</v>
      </c>
      <c r="H512" s="59">
        <v>5.28</v>
      </c>
      <c r="I512" s="59">
        <v>5.63</v>
      </c>
      <c r="J512" s="35">
        <v>104</v>
      </c>
      <c r="K512" s="35" t="s">
        <v>127</v>
      </c>
      <c r="L512" s="35" t="s">
        <v>46</v>
      </c>
      <c r="M512" s="36" t="s">
        <v>90</v>
      </c>
      <c r="N512" s="36"/>
      <c r="O512" s="35">
        <v>70</v>
      </c>
      <c r="P512" s="67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4"/>
      <c r="R512" s="654"/>
      <c r="S512" s="654"/>
      <c r="T512" s="655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IFERROR(IF(Y512=0,"",ROUNDUP(Y512/H512,0)*0.01196),"")</f>
        <v/>
      </c>
      <c r="AA512" s="65" t="s">
        <v>46</v>
      </c>
      <c r="AB512" s="66" t="s">
        <v>46</v>
      </c>
      <c r="AC512" s="605" t="s">
        <v>830</v>
      </c>
      <c r="AG512" s="75"/>
      <c r="AJ512" s="79" t="s">
        <v>46</v>
      </c>
      <c r="AK512" s="79">
        <v>0</v>
      </c>
      <c r="BB512" s="606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831</v>
      </c>
      <c r="B513" s="60" t="s">
        <v>832</v>
      </c>
      <c r="C513" s="34">
        <v>4301020374</v>
      </c>
      <c r="D513" s="652">
        <v>4680115886407</v>
      </c>
      <c r="E513" s="652"/>
      <c r="F513" s="59">
        <v>0.4</v>
      </c>
      <c r="G513" s="35">
        <v>6</v>
      </c>
      <c r="H513" s="59">
        <v>2.4</v>
      </c>
      <c r="I513" s="59">
        <v>2.58</v>
      </c>
      <c r="J513" s="35">
        <v>182</v>
      </c>
      <c r="K513" s="35" t="s">
        <v>91</v>
      </c>
      <c r="L513" s="35" t="s">
        <v>46</v>
      </c>
      <c r="M513" s="36" t="s">
        <v>126</v>
      </c>
      <c r="N513" s="36"/>
      <c r="O513" s="35">
        <v>70</v>
      </c>
      <c r="P513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4"/>
      <c r="R513" s="654"/>
      <c r="S513" s="654"/>
      <c r="T513" s="655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IFERROR(IF(Y513=0,"",ROUNDUP(Y513/H513,0)*0.00651),"")</f>
        <v/>
      </c>
      <c r="AA513" s="65" t="s">
        <v>46</v>
      </c>
      <c r="AB513" s="66" t="s">
        <v>46</v>
      </c>
      <c r="AC513" s="607" t="s">
        <v>830</v>
      </c>
      <c r="AG513" s="75"/>
      <c r="AJ513" s="79" t="s">
        <v>46</v>
      </c>
      <c r="AK513" s="79">
        <v>0</v>
      </c>
      <c r="BB513" s="608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t="16.5" hidden="1" customHeight="1" x14ac:dyDescent="0.25">
      <c r="A514" s="60" t="s">
        <v>833</v>
      </c>
      <c r="B514" s="60" t="s">
        <v>834</v>
      </c>
      <c r="C514" s="34">
        <v>4301020385</v>
      </c>
      <c r="D514" s="652">
        <v>4680115880054</v>
      </c>
      <c r="E514" s="652"/>
      <c r="F514" s="59">
        <v>0.6</v>
      </c>
      <c r="G514" s="35">
        <v>8</v>
      </c>
      <c r="H514" s="59">
        <v>4.8</v>
      </c>
      <c r="I514" s="59">
        <v>6.91</v>
      </c>
      <c r="J514" s="35">
        <v>132</v>
      </c>
      <c r="K514" s="35" t="s">
        <v>134</v>
      </c>
      <c r="L514" s="35" t="s">
        <v>46</v>
      </c>
      <c r="M514" s="36" t="s">
        <v>126</v>
      </c>
      <c r="N514" s="36"/>
      <c r="O514" s="35">
        <v>70</v>
      </c>
      <c r="P514" s="6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4"/>
      <c r="R514" s="654"/>
      <c r="S514" s="654"/>
      <c r="T514" s="655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IFERROR(IF(Y514=0,"",ROUNDUP(Y514/H514,0)*0.00902),"")</f>
        <v/>
      </c>
      <c r="AA514" s="65" t="s">
        <v>46</v>
      </c>
      <c r="AB514" s="66" t="s">
        <v>46</v>
      </c>
      <c r="AC514" s="609" t="s">
        <v>830</v>
      </c>
      <c r="AG514" s="75"/>
      <c r="AJ514" s="79" t="s">
        <v>46</v>
      </c>
      <c r="AK514" s="79">
        <v>0</v>
      </c>
      <c r="BB514" s="610" t="s">
        <v>67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idden="1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47"/>
      <c r="P515" s="643" t="s">
        <v>40</v>
      </c>
      <c r="Q515" s="644"/>
      <c r="R515" s="644"/>
      <c r="S515" s="644"/>
      <c r="T515" s="644"/>
      <c r="U515" s="644"/>
      <c r="V515" s="645"/>
      <c r="W515" s="40" t="s">
        <v>39</v>
      </c>
      <c r="X515" s="41">
        <f>IFERROR(X512/H512,"0")+IFERROR(X513/H513,"0")+IFERROR(X514/H514,"0")</f>
        <v>0</v>
      </c>
      <c r="Y515" s="41">
        <f>IFERROR(Y512/H512,"0")+IFERROR(Y513/H513,"0")+IFERROR(Y514/H514,"0")</f>
        <v>0</v>
      </c>
      <c r="Z515" s="41">
        <f>IFERROR(IF(Z512="",0,Z512),"0")+IFERROR(IF(Z513="",0,Z513),"0")+IFERROR(IF(Z514="",0,Z514),"0")</f>
        <v>0</v>
      </c>
      <c r="AA515" s="64"/>
      <c r="AB515" s="64"/>
      <c r="AC515" s="64"/>
    </row>
    <row r="516" spans="1:68" hidden="1" x14ac:dyDescent="0.2">
      <c r="A516" s="646"/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7"/>
      <c r="P516" s="643" t="s">
        <v>40</v>
      </c>
      <c r="Q516" s="644"/>
      <c r="R516" s="644"/>
      <c r="S516" s="644"/>
      <c r="T516" s="644"/>
      <c r="U516" s="644"/>
      <c r="V516" s="645"/>
      <c r="W516" s="40" t="s">
        <v>0</v>
      </c>
      <c r="X516" s="41">
        <f>IFERROR(SUM(X512:X514),"0")</f>
        <v>0</v>
      </c>
      <c r="Y516" s="41">
        <f>IFERROR(SUM(Y512:Y514),"0")</f>
        <v>0</v>
      </c>
      <c r="Z516" s="40"/>
      <c r="AA516" s="64"/>
      <c r="AB516" s="64"/>
      <c r="AC516" s="64"/>
    </row>
    <row r="517" spans="1:68" ht="14.25" hidden="1" customHeight="1" x14ac:dyDescent="0.25">
      <c r="A517" s="657" t="s">
        <v>77</v>
      </c>
      <c r="B517" s="657"/>
      <c r="C517" s="657"/>
      <c r="D517" s="657"/>
      <c r="E517" s="657"/>
      <c r="F517" s="657"/>
      <c r="G517" s="657"/>
      <c r="H517" s="657"/>
      <c r="I517" s="657"/>
      <c r="J517" s="657"/>
      <c r="K517" s="657"/>
      <c r="L517" s="657"/>
      <c r="M517" s="657"/>
      <c r="N517" s="657"/>
      <c r="O517" s="657"/>
      <c r="P517" s="657"/>
      <c r="Q517" s="657"/>
      <c r="R517" s="657"/>
      <c r="S517" s="657"/>
      <c r="T517" s="657"/>
      <c r="U517" s="657"/>
      <c r="V517" s="657"/>
      <c r="W517" s="657"/>
      <c r="X517" s="657"/>
      <c r="Y517" s="657"/>
      <c r="Z517" s="657"/>
      <c r="AA517" s="63"/>
      <c r="AB517" s="63"/>
      <c r="AC517" s="63"/>
    </row>
    <row r="518" spans="1:68" ht="27" hidden="1" customHeight="1" x14ac:dyDescent="0.25">
      <c r="A518" s="60" t="s">
        <v>835</v>
      </c>
      <c r="B518" s="60" t="s">
        <v>836</v>
      </c>
      <c r="C518" s="34">
        <v>4301031349</v>
      </c>
      <c r="D518" s="652">
        <v>4680115883116</v>
      </c>
      <c r="E518" s="652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126</v>
      </c>
      <c r="N518" s="36"/>
      <c r="O518" s="35">
        <v>70</v>
      </c>
      <c r="P518" s="66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4"/>
      <c r="R518" s="654"/>
      <c r="S518" s="654"/>
      <c r="T518" s="655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ref="Y518:Y524" si="74">IFERROR(IF(X518="",0,CEILING((X518/$H518),1)*$H518),"")</f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1" t="s">
        <v>837</v>
      </c>
      <c r="AG518" s="75"/>
      <c r="AJ518" s="79" t="s">
        <v>46</v>
      </c>
      <c r="AK518" s="79">
        <v>0</v>
      </c>
      <c r="BB518" s="612" t="s">
        <v>67</v>
      </c>
      <c r="BM518" s="75">
        <f t="shared" ref="BM518:BM524" si="75">IFERROR(X518*I518/H518,"0")</f>
        <v>0</v>
      </c>
      <c r="BN518" s="75">
        <f t="shared" ref="BN518:BN524" si="76">IFERROR(Y518*I518/H518,"0")</f>
        <v>0</v>
      </c>
      <c r="BO518" s="75">
        <f t="shared" ref="BO518:BO524" si="77">IFERROR(1/J518*(X518/H518),"0")</f>
        <v>0</v>
      </c>
      <c r="BP518" s="75">
        <f t="shared" ref="BP518:BP524" si="78">IFERROR(1/J518*(Y518/H518),"0")</f>
        <v>0</v>
      </c>
    </row>
    <row r="519" spans="1:68" ht="27" hidden="1" customHeight="1" x14ac:dyDescent="0.25">
      <c r="A519" s="60" t="s">
        <v>838</v>
      </c>
      <c r="B519" s="60" t="s">
        <v>839</v>
      </c>
      <c r="C519" s="34">
        <v>4301031350</v>
      </c>
      <c r="D519" s="652">
        <v>4680115883093</v>
      </c>
      <c r="E519" s="652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67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4"/>
      <c r="R519" s="654"/>
      <c r="S519" s="654"/>
      <c r="T519" s="655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7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3" t="s">
        <v>840</v>
      </c>
      <c r="AG519" s="75"/>
      <c r="AJ519" s="79" t="s">
        <v>46</v>
      </c>
      <c r="AK519" s="79">
        <v>0</v>
      </c>
      <c r="BB519" s="614" t="s">
        <v>67</v>
      </c>
      <c r="BM519" s="75">
        <f t="shared" si="75"/>
        <v>0</v>
      </c>
      <c r="BN519" s="75">
        <f t="shared" si="76"/>
        <v>0</v>
      </c>
      <c r="BO519" s="75">
        <f t="shared" si="77"/>
        <v>0</v>
      </c>
      <c r="BP519" s="75">
        <f t="shared" si="78"/>
        <v>0</v>
      </c>
    </row>
    <row r="520" spans="1:68" ht="27" hidden="1" customHeight="1" x14ac:dyDescent="0.25">
      <c r="A520" s="60" t="s">
        <v>841</v>
      </c>
      <c r="B520" s="60" t="s">
        <v>842</v>
      </c>
      <c r="C520" s="34">
        <v>4301031353</v>
      </c>
      <c r="D520" s="652">
        <v>4680115883109</v>
      </c>
      <c r="E520" s="652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127</v>
      </c>
      <c r="L520" s="35" t="s">
        <v>46</v>
      </c>
      <c r="M520" s="36" t="s">
        <v>81</v>
      </c>
      <c r="N520" s="36"/>
      <c r="O520" s="35">
        <v>70</v>
      </c>
      <c r="P520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4"/>
      <c r="R520" s="654"/>
      <c r="S520" s="654"/>
      <c r="T520" s="655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74"/>
        <v>0</v>
      </c>
      <c r="Z520" s="39" t="str">
        <f>IFERROR(IF(Y520=0,"",ROUNDUP(Y520/H520,0)*0.01196),"")</f>
        <v/>
      </c>
      <c r="AA520" s="65" t="s">
        <v>46</v>
      </c>
      <c r="AB520" s="66" t="s">
        <v>46</v>
      </c>
      <c r="AC520" s="615" t="s">
        <v>843</v>
      </c>
      <c r="AG520" s="75"/>
      <c r="AJ520" s="79" t="s">
        <v>46</v>
      </c>
      <c r="AK520" s="79">
        <v>0</v>
      </c>
      <c r="BB520" s="616" t="s">
        <v>67</v>
      </c>
      <c r="BM520" s="75">
        <f t="shared" si="75"/>
        <v>0</v>
      </c>
      <c r="BN520" s="75">
        <f t="shared" si="76"/>
        <v>0</v>
      </c>
      <c r="BO520" s="75">
        <f t="shared" si="77"/>
        <v>0</v>
      </c>
      <c r="BP520" s="75">
        <f t="shared" si="78"/>
        <v>0</v>
      </c>
    </row>
    <row r="521" spans="1:68" ht="27" hidden="1" customHeight="1" x14ac:dyDescent="0.25">
      <c r="A521" s="60" t="s">
        <v>844</v>
      </c>
      <c r="B521" s="60" t="s">
        <v>845</v>
      </c>
      <c r="C521" s="34">
        <v>4301031419</v>
      </c>
      <c r="D521" s="652">
        <v>4680115882072</v>
      </c>
      <c r="E521" s="652"/>
      <c r="F521" s="59">
        <v>0.6</v>
      </c>
      <c r="G521" s="35">
        <v>8</v>
      </c>
      <c r="H521" s="59">
        <v>4.8</v>
      </c>
      <c r="I521" s="59">
        <v>6.91</v>
      </c>
      <c r="J521" s="35">
        <v>132</v>
      </c>
      <c r="K521" s="35" t="s">
        <v>134</v>
      </c>
      <c r="L521" s="35" t="s">
        <v>46</v>
      </c>
      <c r="M521" s="36" t="s">
        <v>126</v>
      </c>
      <c r="N521" s="36"/>
      <c r="O521" s="35">
        <v>70</v>
      </c>
      <c r="P521" s="6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4"/>
      <c r="R521" s="654"/>
      <c r="S521" s="654"/>
      <c r="T521" s="655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7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17" t="s">
        <v>837</v>
      </c>
      <c r="AG521" s="75"/>
      <c r="AJ521" s="79" t="s">
        <v>46</v>
      </c>
      <c r="AK521" s="79">
        <v>0</v>
      </c>
      <c r="BB521" s="618" t="s">
        <v>67</v>
      </c>
      <c r="BM521" s="75">
        <f t="shared" si="75"/>
        <v>0</v>
      </c>
      <c r="BN521" s="75">
        <f t="shared" si="76"/>
        <v>0</v>
      </c>
      <c r="BO521" s="75">
        <f t="shared" si="77"/>
        <v>0</v>
      </c>
      <c r="BP521" s="75">
        <f t="shared" si="78"/>
        <v>0</v>
      </c>
    </row>
    <row r="522" spans="1:68" ht="27" hidden="1" customHeight="1" x14ac:dyDescent="0.25">
      <c r="A522" s="60" t="s">
        <v>846</v>
      </c>
      <c r="B522" s="60" t="s">
        <v>847</v>
      </c>
      <c r="C522" s="34">
        <v>4301031352</v>
      </c>
      <c r="D522" s="652">
        <v>4680115882102</v>
      </c>
      <c r="E522" s="652"/>
      <c r="F522" s="59">
        <v>0.6</v>
      </c>
      <c r="G522" s="35">
        <v>6</v>
      </c>
      <c r="H522" s="59">
        <v>3.6</v>
      </c>
      <c r="I522" s="59">
        <v>3.79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66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4"/>
      <c r="R522" s="654"/>
      <c r="S522" s="654"/>
      <c r="T522" s="655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7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19" t="s">
        <v>840</v>
      </c>
      <c r="AG522" s="75"/>
      <c r="AJ522" s="79" t="s">
        <v>46</v>
      </c>
      <c r="AK522" s="79">
        <v>0</v>
      </c>
      <c r="BB522" s="620" t="s">
        <v>67</v>
      </c>
      <c r="BM522" s="75">
        <f t="shared" si="75"/>
        <v>0</v>
      </c>
      <c r="BN522" s="75">
        <f t="shared" si="76"/>
        <v>0</v>
      </c>
      <c r="BO522" s="75">
        <f t="shared" si="77"/>
        <v>0</v>
      </c>
      <c r="BP522" s="75">
        <f t="shared" si="78"/>
        <v>0</v>
      </c>
    </row>
    <row r="523" spans="1:68" ht="27" hidden="1" customHeight="1" x14ac:dyDescent="0.25">
      <c r="A523" s="60" t="s">
        <v>846</v>
      </c>
      <c r="B523" s="60" t="s">
        <v>848</v>
      </c>
      <c r="C523" s="34">
        <v>4301031418</v>
      </c>
      <c r="D523" s="652">
        <v>4680115882102</v>
      </c>
      <c r="E523" s="652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66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4"/>
      <c r="R523" s="654"/>
      <c r="S523" s="654"/>
      <c r="T523" s="655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7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840</v>
      </c>
      <c r="AG523" s="75"/>
      <c r="AJ523" s="79" t="s">
        <v>46</v>
      </c>
      <c r="AK523" s="79">
        <v>0</v>
      </c>
      <c r="BB523" s="622" t="s">
        <v>67</v>
      </c>
      <c r="BM523" s="75">
        <f t="shared" si="75"/>
        <v>0</v>
      </c>
      <c r="BN523" s="75">
        <f t="shared" si="76"/>
        <v>0</v>
      </c>
      <c r="BO523" s="75">
        <f t="shared" si="77"/>
        <v>0</v>
      </c>
      <c r="BP523" s="75">
        <f t="shared" si="78"/>
        <v>0</v>
      </c>
    </row>
    <row r="524" spans="1:68" ht="27" hidden="1" customHeight="1" x14ac:dyDescent="0.25">
      <c r="A524" s="60" t="s">
        <v>849</v>
      </c>
      <c r="B524" s="60" t="s">
        <v>850</v>
      </c>
      <c r="C524" s="34">
        <v>4301031417</v>
      </c>
      <c r="D524" s="652">
        <v>4680115882096</v>
      </c>
      <c r="E524" s="652"/>
      <c r="F524" s="59">
        <v>0.6</v>
      </c>
      <c r="G524" s="35">
        <v>8</v>
      </c>
      <c r="H524" s="59">
        <v>4.8</v>
      </c>
      <c r="I524" s="59">
        <v>6.67</v>
      </c>
      <c r="J524" s="35">
        <v>132</v>
      </c>
      <c r="K524" s="35" t="s">
        <v>134</v>
      </c>
      <c r="L524" s="35" t="s">
        <v>46</v>
      </c>
      <c r="M524" s="36" t="s">
        <v>81</v>
      </c>
      <c r="N524" s="36"/>
      <c r="O524" s="35">
        <v>70</v>
      </c>
      <c r="P524" s="66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4"/>
      <c r="R524" s="654"/>
      <c r="S524" s="654"/>
      <c r="T524" s="655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74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843</v>
      </c>
      <c r="AG524" s="75"/>
      <c r="AJ524" s="79" t="s">
        <v>46</v>
      </c>
      <c r="AK524" s="79">
        <v>0</v>
      </c>
      <c r="BB524" s="624" t="s">
        <v>67</v>
      </c>
      <c r="BM524" s="75">
        <f t="shared" si="75"/>
        <v>0</v>
      </c>
      <c r="BN524" s="75">
        <f t="shared" si="76"/>
        <v>0</v>
      </c>
      <c r="BO524" s="75">
        <f t="shared" si="77"/>
        <v>0</v>
      </c>
      <c r="BP524" s="75">
        <f t="shared" si="78"/>
        <v>0</v>
      </c>
    </row>
    <row r="525" spans="1:68" hidden="1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47"/>
      <c r="P525" s="643" t="s">
        <v>40</v>
      </c>
      <c r="Q525" s="644"/>
      <c r="R525" s="644"/>
      <c r="S525" s="644"/>
      <c r="T525" s="644"/>
      <c r="U525" s="644"/>
      <c r="V525" s="645"/>
      <c r="W525" s="40" t="s">
        <v>39</v>
      </c>
      <c r="X525" s="41">
        <f>IFERROR(X518/H518,"0")+IFERROR(X519/H519,"0")+IFERROR(X520/H520,"0")+IFERROR(X521/H521,"0")+IFERROR(X522/H522,"0")+IFERROR(X523/H523,"0")+IFERROR(X524/H524,"0")</f>
        <v>0</v>
      </c>
      <c r="Y525" s="41">
        <f>IFERROR(Y518/H518,"0")+IFERROR(Y519/H519,"0")+IFERROR(Y520/H520,"0")+IFERROR(Y521/H521,"0")+IFERROR(Y522/H522,"0")+IFERROR(Y523/H523,"0")+IFERROR(Y524/H524,"0")</f>
        <v>0</v>
      </c>
      <c r="Z525" s="41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4"/>
      <c r="AB525" s="64"/>
      <c r="AC525" s="64"/>
    </row>
    <row r="526" spans="1:68" hidden="1" x14ac:dyDescent="0.2">
      <c r="A526" s="646"/>
      <c r="B526" s="646"/>
      <c r="C526" s="646"/>
      <c r="D526" s="646"/>
      <c r="E526" s="646"/>
      <c r="F526" s="646"/>
      <c r="G526" s="646"/>
      <c r="H526" s="646"/>
      <c r="I526" s="646"/>
      <c r="J526" s="646"/>
      <c r="K526" s="646"/>
      <c r="L526" s="646"/>
      <c r="M526" s="646"/>
      <c r="N526" s="646"/>
      <c r="O526" s="647"/>
      <c r="P526" s="643" t="s">
        <v>40</v>
      </c>
      <c r="Q526" s="644"/>
      <c r="R526" s="644"/>
      <c r="S526" s="644"/>
      <c r="T526" s="644"/>
      <c r="U526" s="644"/>
      <c r="V526" s="645"/>
      <c r="W526" s="40" t="s">
        <v>0</v>
      </c>
      <c r="X526" s="41">
        <f>IFERROR(SUM(X518:X524),"0")</f>
        <v>0</v>
      </c>
      <c r="Y526" s="41">
        <f>IFERROR(SUM(Y518:Y524),"0")</f>
        <v>0</v>
      </c>
      <c r="Z526" s="40"/>
      <c r="AA526" s="64"/>
      <c r="AB526" s="64"/>
      <c r="AC526" s="64"/>
    </row>
    <row r="527" spans="1:68" ht="27.75" hidden="1" customHeight="1" x14ac:dyDescent="0.2">
      <c r="A527" s="663" t="s">
        <v>851</v>
      </c>
      <c r="B527" s="663"/>
      <c r="C527" s="663"/>
      <c r="D527" s="663"/>
      <c r="E527" s="663"/>
      <c r="F527" s="663"/>
      <c r="G527" s="663"/>
      <c r="H527" s="663"/>
      <c r="I527" s="663"/>
      <c r="J527" s="663"/>
      <c r="K527" s="663"/>
      <c r="L527" s="663"/>
      <c r="M527" s="663"/>
      <c r="N527" s="663"/>
      <c r="O527" s="663"/>
      <c r="P527" s="663"/>
      <c r="Q527" s="663"/>
      <c r="R527" s="663"/>
      <c r="S527" s="663"/>
      <c r="T527" s="663"/>
      <c r="U527" s="663"/>
      <c r="V527" s="663"/>
      <c r="W527" s="663"/>
      <c r="X527" s="663"/>
      <c r="Y527" s="663"/>
      <c r="Z527" s="663"/>
      <c r="AA527" s="52"/>
      <c r="AB527" s="52"/>
      <c r="AC527" s="52"/>
    </row>
    <row r="528" spans="1:68" ht="16.5" hidden="1" customHeight="1" x14ac:dyDescent="0.25">
      <c r="A528" s="656" t="s">
        <v>851</v>
      </c>
      <c r="B528" s="656"/>
      <c r="C528" s="656"/>
      <c r="D528" s="656"/>
      <c r="E528" s="656"/>
      <c r="F528" s="656"/>
      <c r="G528" s="656"/>
      <c r="H528" s="656"/>
      <c r="I528" s="656"/>
      <c r="J528" s="656"/>
      <c r="K528" s="656"/>
      <c r="L528" s="656"/>
      <c r="M528" s="656"/>
      <c r="N528" s="656"/>
      <c r="O528" s="656"/>
      <c r="P528" s="656"/>
      <c r="Q528" s="656"/>
      <c r="R528" s="656"/>
      <c r="S528" s="656"/>
      <c r="T528" s="656"/>
      <c r="U528" s="656"/>
      <c r="V528" s="656"/>
      <c r="W528" s="656"/>
      <c r="X528" s="656"/>
      <c r="Y528" s="656"/>
      <c r="Z528" s="656"/>
      <c r="AA528" s="62"/>
      <c r="AB528" s="62"/>
      <c r="AC528" s="62"/>
    </row>
    <row r="529" spans="1:68" ht="14.25" hidden="1" customHeight="1" x14ac:dyDescent="0.25">
      <c r="A529" s="657" t="s">
        <v>122</v>
      </c>
      <c r="B529" s="657"/>
      <c r="C529" s="657"/>
      <c r="D529" s="657"/>
      <c r="E529" s="657"/>
      <c r="F529" s="657"/>
      <c r="G529" s="657"/>
      <c r="H529" s="657"/>
      <c r="I529" s="657"/>
      <c r="J529" s="657"/>
      <c r="K529" s="657"/>
      <c r="L529" s="657"/>
      <c r="M529" s="657"/>
      <c r="N529" s="657"/>
      <c r="O529" s="657"/>
      <c r="P529" s="657"/>
      <c r="Q529" s="657"/>
      <c r="R529" s="657"/>
      <c r="S529" s="657"/>
      <c r="T529" s="657"/>
      <c r="U529" s="657"/>
      <c r="V529" s="657"/>
      <c r="W529" s="657"/>
      <c r="X529" s="657"/>
      <c r="Y529" s="657"/>
      <c r="Z529" s="657"/>
      <c r="AA529" s="63"/>
      <c r="AB529" s="63"/>
      <c r="AC529" s="63"/>
    </row>
    <row r="530" spans="1:68" ht="27" hidden="1" customHeight="1" x14ac:dyDescent="0.25">
      <c r="A530" s="60" t="s">
        <v>852</v>
      </c>
      <c r="B530" s="60" t="s">
        <v>853</v>
      </c>
      <c r="C530" s="34">
        <v>4301011584</v>
      </c>
      <c r="D530" s="652">
        <v>4640242180564</v>
      </c>
      <c r="E530" s="652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127</v>
      </c>
      <c r="L530" s="35" t="s">
        <v>46</v>
      </c>
      <c r="M530" s="36" t="s">
        <v>126</v>
      </c>
      <c r="N530" s="36"/>
      <c r="O530" s="35">
        <v>50</v>
      </c>
      <c r="P530" s="66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4"/>
      <c r="R530" s="654"/>
      <c r="S530" s="654"/>
      <c r="T530" s="655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5" t="s">
        <v>854</v>
      </c>
      <c r="AG530" s="75"/>
      <c r="AJ530" s="79" t="s">
        <v>46</v>
      </c>
      <c r="AK530" s="79">
        <v>0</v>
      </c>
      <c r="BB530" s="626" t="s">
        <v>67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47"/>
      <c r="P531" s="643" t="s">
        <v>40</v>
      </c>
      <c r="Q531" s="644"/>
      <c r="R531" s="644"/>
      <c r="S531" s="644"/>
      <c r="T531" s="644"/>
      <c r="U531" s="644"/>
      <c r="V531" s="645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646"/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7"/>
      <c r="P532" s="643" t="s">
        <v>40</v>
      </c>
      <c r="Q532" s="644"/>
      <c r="R532" s="644"/>
      <c r="S532" s="644"/>
      <c r="T532" s="644"/>
      <c r="U532" s="644"/>
      <c r="V532" s="645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657" t="s">
        <v>158</v>
      </c>
      <c r="B533" s="657"/>
      <c r="C533" s="657"/>
      <c r="D533" s="657"/>
      <c r="E533" s="657"/>
      <c r="F533" s="657"/>
      <c r="G533" s="657"/>
      <c r="H533" s="657"/>
      <c r="I533" s="657"/>
      <c r="J533" s="657"/>
      <c r="K533" s="657"/>
      <c r="L533" s="657"/>
      <c r="M533" s="657"/>
      <c r="N533" s="657"/>
      <c r="O533" s="657"/>
      <c r="P533" s="657"/>
      <c r="Q533" s="657"/>
      <c r="R533" s="657"/>
      <c r="S533" s="657"/>
      <c r="T533" s="657"/>
      <c r="U533" s="657"/>
      <c r="V533" s="657"/>
      <c r="W533" s="657"/>
      <c r="X533" s="657"/>
      <c r="Y533" s="657"/>
      <c r="Z533" s="657"/>
      <c r="AA533" s="63"/>
      <c r="AB533" s="63"/>
      <c r="AC533" s="63"/>
    </row>
    <row r="534" spans="1:68" ht="27" hidden="1" customHeight="1" x14ac:dyDescent="0.25">
      <c r="A534" s="60" t="s">
        <v>855</v>
      </c>
      <c r="B534" s="60" t="s">
        <v>856</v>
      </c>
      <c r="C534" s="34">
        <v>4301020400</v>
      </c>
      <c r="D534" s="652">
        <v>4640242180519</v>
      </c>
      <c r="E534" s="652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127</v>
      </c>
      <c r="L534" s="35" t="s">
        <v>46</v>
      </c>
      <c r="M534" s="36" t="s">
        <v>126</v>
      </c>
      <c r="N534" s="36"/>
      <c r="O534" s="35">
        <v>50</v>
      </c>
      <c r="P534" s="6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4"/>
      <c r="R534" s="654"/>
      <c r="S534" s="654"/>
      <c r="T534" s="655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27" t="s">
        <v>857</v>
      </c>
      <c r="AG534" s="75"/>
      <c r="AJ534" s="79" t="s">
        <v>46</v>
      </c>
      <c r="AK534" s="79">
        <v>0</v>
      </c>
      <c r="BB534" s="628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47"/>
      <c r="P535" s="643" t="s">
        <v>40</v>
      </c>
      <c r="Q535" s="644"/>
      <c r="R535" s="644"/>
      <c r="S535" s="644"/>
      <c r="T535" s="644"/>
      <c r="U535" s="644"/>
      <c r="V535" s="645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46"/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7"/>
      <c r="P536" s="643" t="s">
        <v>40</v>
      </c>
      <c r="Q536" s="644"/>
      <c r="R536" s="644"/>
      <c r="S536" s="644"/>
      <c r="T536" s="644"/>
      <c r="U536" s="644"/>
      <c r="V536" s="645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57" t="s">
        <v>77</v>
      </c>
      <c r="B537" s="657"/>
      <c r="C537" s="657"/>
      <c r="D537" s="657"/>
      <c r="E537" s="657"/>
      <c r="F537" s="657"/>
      <c r="G537" s="657"/>
      <c r="H537" s="657"/>
      <c r="I537" s="657"/>
      <c r="J537" s="657"/>
      <c r="K537" s="657"/>
      <c r="L537" s="657"/>
      <c r="M537" s="657"/>
      <c r="N537" s="657"/>
      <c r="O537" s="657"/>
      <c r="P537" s="657"/>
      <c r="Q537" s="657"/>
      <c r="R537" s="657"/>
      <c r="S537" s="657"/>
      <c r="T537" s="657"/>
      <c r="U537" s="657"/>
      <c r="V537" s="657"/>
      <c r="W537" s="657"/>
      <c r="X537" s="657"/>
      <c r="Y537" s="657"/>
      <c r="Z537" s="657"/>
      <c r="AA537" s="63"/>
      <c r="AB537" s="63"/>
      <c r="AC537" s="63"/>
    </row>
    <row r="538" spans="1:68" ht="27" hidden="1" customHeight="1" x14ac:dyDescent="0.25">
      <c r="A538" s="60" t="s">
        <v>858</v>
      </c>
      <c r="B538" s="60" t="s">
        <v>859</v>
      </c>
      <c r="C538" s="34">
        <v>4301031500</v>
      </c>
      <c r="D538" s="652">
        <v>4640242180595</v>
      </c>
      <c r="E538" s="652"/>
      <c r="F538" s="59">
        <v>0.7</v>
      </c>
      <c r="G538" s="35">
        <v>6</v>
      </c>
      <c r="H538" s="59">
        <v>4.2</v>
      </c>
      <c r="I538" s="59">
        <v>4.45</v>
      </c>
      <c r="J538" s="35">
        <v>132</v>
      </c>
      <c r="K538" s="35" t="s">
        <v>134</v>
      </c>
      <c r="L538" s="35" t="s">
        <v>46</v>
      </c>
      <c r="M538" s="36" t="s">
        <v>81</v>
      </c>
      <c r="N538" s="36"/>
      <c r="O538" s="35">
        <v>40</v>
      </c>
      <c r="P538" s="66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4"/>
      <c r="R538" s="654"/>
      <c r="S538" s="654"/>
      <c r="T538" s="655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IFERROR(IF(Y538=0,"",ROUNDUP(Y538/H538,0)*0.00902),"")</f>
        <v/>
      </c>
      <c r="AA538" s="65" t="s">
        <v>46</v>
      </c>
      <c r="AB538" s="66" t="s">
        <v>46</v>
      </c>
      <c r="AC538" s="629" t="s">
        <v>860</v>
      </c>
      <c r="AG538" s="75"/>
      <c r="AJ538" s="79" t="s">
        <v>46</v>
      </c>
      <c r="AK538" s="79">
        <v>0</v>
      </c>
      <c r="BB538" s="630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47"/>
      <c r="P539" s="643" t="s">
        <v>40</v>
      </c>
      <c r="Q539" s="644"/>
      <c r="R539" s="644"/>
      <c r="S539" s="644"/>
      <c r="T539" s="644"/>
      <c r="U539" s="644"/>
      <c r="V539" s="645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46"/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7"/>
      <c r="P540" s="643" t="s">
        <v>40</v>
      </c>
      <c r="Q540" s="644"/>
      <c r="R540" s="644"/>
      <c r="S540" s="644"/>
      <c r="T540" s="644"/>
      <c r="U540" s="644"/>
      <c r="V540" s="645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57" t="s">
        <v>86</v>
      </c>
      <c r="B541" s="657"/>
      <c r="C541" s="657"/>
      <c r="D541" s="657"/>
      <c r="E541" s="657"/>
      <c r="F541" s="657"/>
      <c r="G541" s="657"/>
      <c r="H541" s="657"/>
      <c r="I541" s="657"/>
      <c r="J541" s="657"/>
      <c r="K541" s="657"/>
      <c r="L541" s="657"/>
      <c r="M541" s="657"/>
      <c r="N541" s="657"/>
      <c r="O541" s="657"/>
      <c r="P541" s="657"/>
      <c r="Q541" s="657"/>
      <c r="R541" s="657"/>
      <c r="S541" s="657"/>
      <c r="T541" s="657"/>
      <c r="U541" s="657"/>
      <c r="V541" s="657"/>
      <c r="W541" s="657"/>
      <c r="X541" s="657"/>
      <c r="Y541" s="657"/>
      <c r="Z541" s="657"/>
      <c r="AA541" s="63"/>
      <c r="AB541" s="63"/>
      <c r="AC541" s="63"/>
    </row>
    <row r="542" spans="1:68" ht="27" hidden="1" customHeight="1" x14ac:dyDescent="0.25">
      <c r="A542" s="60" t="s">
        <v>861</v>
      </c>
      <c r="B542" s="60" t="s">
        <v>862</v>
      </c>
      <c r="C542" s="34">
        <v>4301052043</v>
      </c>
      <c r="D542" s="652">
        <v>4640242180533</v>
      </c>
      <c r="E542" s="652"/>
      <c r="F542" s="59">
        <v>1.5</v>
      </c>
      <c r="G542" s="35">
        <v>6</v>
      </c>
      <c r="H542" s="59">
        <v>9</v>
      </c>
      <c r="I542" s="59">
        <v>9.4939999999999998</v>
      </c>
      <c r="J542" s="35">
        <v>64</v>
      </c>
      <c r="K542" s="35" t="s">
        <v>127</v>
      </c>
      <c r="L542" s="35" t="s">
        <v>46</v>
      </c>
      <c r="M542" s="36" t="s">
        <v>90</v>
      </c>
      <c r="N542" s="36"/>
      <c r="O542" s="35">
        <v>45</v>
      </c>
      <c r="P542" s="6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4"/>
      <c r="R542" s="654"/>
      <c r="S542" s="654"/>
      <c r="T542" s="655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31" t="s">
        <v>863</v>
      </c>
      <c r="AG542" s="75"/>
      <c r="AJ542" s="79" t="s">
        <v>46</v>
      </c>
      <c r="AK542" s="79">
        <v>0</v>
      </c>
      <c r="BB542" s="632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47"/>
      <c r="P543" s="643" t="s">
        <v>40</v>
      </c>
      <c r="Q543" s="644"/>
      <c r="R543" s="644"/>
      <c r="S543" s="644"/>
      <c r="T543" s="644"/>
      <c r="U543" s="644"/>
      <c r="V543" s="645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646"/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7"/>
      <c r="P544" s="643" t="s">
        <v>40</v>
      </c>
      <c r="Q544" s="644"/>
      <c r="R544" s="644"/>
      <c r="S544" s="644"/>
      <c r="T544" s="644"/>
      <c r="U544" s="644"/>
      <c r="V544" s="645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657" t="s">
        <v>175</v>
      </c>
      <c r="B545" s="657"/>
      <c r="C545" s="657"/>
      <c r="D545" s="657"/>
      <c r="E545" s="657"/>
      <c r="F545" s="657"/>
      <c r="G545" s="657"/>
      <c r="H545" s="657"/>
      <c r="I545" s="657"/>
      <c r="J545" s="657"/>
      <c r="K545" s="657"/>
      <c r="L545" s="657"/>
      <c r="M545" s="657"/>
      <c r="N545" s="657"/>
      <c r="O545" s="657"/>
      <c r="P545" s="657"/>
      <c r="Q545" s="657"/>
      <c r="R545" s="657"/>
      <c r="S545" s="657"/>
      <c r="T545" s="657"/>
      <c r="U545" s="657"/>
      <c r="V545" s="657"/>
      <c r="W545" s="657"/>
      <c r="X545" s="657"/>
      <c r="Y545" s="657"/>
      <c r="Z545" s="657"/>
      <c r="AA545" s="63"/>
      <c r="AB545" s="63"/>
      <c r="AC545" s="63"/>
    </row>
    <row r="546" spans="1:68" ht="27" hidden="1" customHeight="1" x14ac:dyDescent="0.25">
      <c r="A546" s="60" t="s">
        <v>864</v>
      </c>
      <c r="B546" s="60" t="s">
        <v>865</v>
      </c>
      <c r="C546" s="34">
        <v>4301060535</v>
      </c>
      <c r="D546" s="652">
        <v>4640242180120</v>
      </c>
      <c r="E546" s="652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66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4"/>
      <c r="R546" s="654"/>
      <c r="S546" s="654"/>
      <c r="T546" s="655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3" t="s">
        <v>866</v>
      </c>
      <c r="AG546" s="75"/>
      <c r="AJ546" s="79" t="s">
        <v>46</v>
      </c>
      <c r="AK546" s="79">
        <v>0</v>
      </c>
      <c r="BB546" s="634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t="27" hidden="1" customHeight="1" x14ac:dyDescent="0.25">
      <c r="A547" s="60" t="s">
        <v>867</v>
      </c>
      <c r="B547" s="60" t="s">
        <v>868</v>
      </c>
      <c r="C547" s="34">
        <v>4301060536</v>
      </c>
      <c r="D547" s="652">
        <v>4640242180137</v>
      </c>
      <c r="E547" s="652"/>
      <c r="F547" s="59">
        <v>1.5</v>
      </c>
      <c r="G547" s="35">
        <v>6</v>
      </c>
      <c r="H547" s="59">
        <v>9</v>
      </c>
      <c r="I547" s="59">
        <v>9.41</v>
      </c>
      <c r="J547" s="35">
        <v>64</v>
      </c>
      <c r="K547" s="35" t="s">
        <v>127</v>
      </c>
      <c r="L547" s="35" t="s">
        <v>46</v>
      </c>
      <c r="M547" s="36" t="s">
        <v>90</v>
      </c>
      <c r="N547" s="36"/>
      <c r="O547" s="35">
        <v>40</v>
      </c>
      <c r="P547" s="65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4"/>
      <c r="R547" s="654"/>
      <c r="S547" s="654"/>
      <c r="T547" s="655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35" t="s">
        <v>869</v>
      </c>
      <c r="AG547" s="75"/>
      <c r="AJ547" s="79" t="s">
        <v>46</v>
      </c>
      <c r="AK547" s="79">
        <v>0</v>
      </c>
      <c r="BB547" s="636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47"/>
      <c r="P548" s="643" t="s">
        <v>40</v>
      </c>
      <c r="Q548" s="644"/>
      <c r="R548" s="644"/>
      <c r="S548" s="644"/>
      <c r="T548" s="644"/>
      <c r="U548" s="644"/>
      <c r="V548" s="645"/>
      <c r="W548" s="40" t="s">
        <v>39</v>
      </c>
      <c r="X548" s="41">
        <f>IFERROR(X546/H546,"0")+IFERROR(X547/H547,"0")</f>
        <v>0</v>
      </c>
      <c r="Y548" s="41">
        <f>IFERROR(Y546/H546,"0")+IFERROR(Y547/H547,"0")</f>
        <v>0</v>
      </c>
      <c r="Z548" s="41">
        <f>IFERROR(IF(Z546="",0,Z546),"0")+IFERROR(IF(Z547="",0,Z547),"0")</f>
        <v>0</v>
      </c>
      <c r="AA548" s="64"/>
      <c r="AB548" s="64"/>
      <c r="AC548" s="64"/>
    </row>
    <row r="549" spans="1:68" hidden="1" x14ac:dyDescent="0.2">
      <c r="A549" s="646"/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7"/>
      <c r="P549" s="643" t="s">
        <v>40</v>
      </c>
      <c r="Q549" s="644"/>
      <c r="R549" s="644"/>
      <c r="S549" s="644"/>
      <c r="T549" s="644"/>
      <c r="U549" s="644"/>
      <c r="V549" s="645"/>
      <c r="W549" s="40" t="s">
        <v>0</v>
      </c>
      <c r="X549" s="41">
        <f>IFERROR(SUM(X546:X547),"0")</f>
        <v>0</v>
      </c>
      <c r="Y549" s="41">
        <f>IFERROR(SUM(Y546:Y547),"0")</f>
        <v>0</v>
      </c>
      <c r="Z549" s="40"/>
      <c r="AA549" s="64"/>
      <c r="AB549" s="64"/>
      <c r="AC549" s="64"/>
    </row>
    <row r="550" spans="1:68" ht="16.5" hidden="1" customHeight="1" x14ac:dyDescent="0.25">
      <c r="A550" s="656" t="s">
        <v>870</v>
      </c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6"/>
      <c r="P550" s="656"/>
      <c r="Q550" s="656"/>
      <c r="R550" s="656"/>
      <c r="S550" s="656"/>
      <c r="T550" s="656"/>
      <c r="U550" s="656"/>
      <c r="V550" s="656"/>
      <c r="W550" s="656"/>
      <c r="X550" s="656"/>
      <c r="Y550" s="656"/>
      <c r="Z550" s="656"/>
      <c r="AA550" s="62"/>
      <c r="AB550" s="62"/>
      <c r="AC550" s="62"/>
    </row>
    <row r="551" spans="1:68" ht="14.25" hidden="1" customHeight="1" x14ac:dyDescent="0.25">
      <c r="A551" s="657" t="s">
        <v>158</v>
      </c>
      <c r="B551" s="657"/>
      <c r="C551" s="657"/>
      <c r="D551" s="657"/>
      <c r="E551" s="657"/>
      <c r="F551" s="657"/>
      <c r="G551" s="657"/>
      <c r="H551" s="657"/>
      <c r="I551" s="657"/>
      <c r="J551" s="657"/>
      <c r="K551" s="657"/>
      <c r="L551" s="657"/>
      <c r="M551" s="657"/>
      <c r="N551" s="657"/>
      <c r="O551" s="657"/>
      <c r="P551" s="657"/>
      <c r="Q551" s="657"/>
      <c r="R551" s="657"/>
      <c r="S551" s="657"/>
      <c r="T551" s="657"/>
      <c r="U551" s="657"/>
      <c r="V551" s="657"/>
      <c r="W551" s="657"/>
      <c r="X551" s="657"/>
      <c r="Y551" s="657"/>
      <c r="Z551" s="657"/>
      <c r="AA551" s="63"/>
      <c r="AB551" s="63"/>
      <c r="AC551" s="63"/>
    </row>
    <row r="552" spans="1:68" ht="27" hidden="1" customHeight="1" x14ac:dyDescent="0.25">
      <c r="A552" s="60" t="s">
        <v>871</v>
      </c>
      <c r="B552" s="60" t="s">
        <v>872</v>
      </c>
      <c r="C552" s="34">
        <v>4301020428</v>
      </c>
      <c r="D552" s="652">
        <v>4640242180090</v>
      </c>
      <c r="E552" s="652"/>
      <c r="F552" s="59">
        <v>1.5</v>
      </c>
      <c r="G552" s="35">
        <v>8</v>
      </c>
      <c r="H552" s="59">
        <v>12</v>
      </c>
      <c r="I552" s="59">
        <v>12.41</v>
      </c>
      <c r="J552" s="35">
        <v>64</v>
      </c>
      <c r="K552" s="35" t="s">
        <v>127</v>
      </c>
      <c r="L552" s="35" t="s">
        <v>46</v>
      </c>
      <c r="M552" s="36" t="s">
        <v>126</v>
      </c>
      <c r="N552" s="36"/>
      <c r="O552" s="35">
        <v>50</v>
      </c>
      <c r="P552" s="65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4"/>
      <c r="R552" s="654"/>
      <c r="S552" s="654"/>
      <c r="T552" s="655"/>
      <c r="U552" s="37" t="s">
        <v>46</v>
      </c>
      <c r="V552" s="37" t="s">
        <v>46</v>
      </c>
      <c r="W552" s="38" t="s">
        <v>0</v>
      </c>
      <c r="X552" s="56">
        <v>0</v>
      </c>
      <c r="Y552" s="53">
        <f>IFERROR(IF(X552="",0,CEILING((X552/$H552),1)*$H552),"")</f>
        <v>0</v>
      </c>
      <c r="Z552" s="39" t="str">
        <f>IFERROR(IF(Y552=0,"",ROUNDUP(Y552/H552,0)*0.01898),"")</f>
        <v/>
      </c>
      <c r="AA552" s="65" t="s">
        <v>46</v>
      </c>
      <c r="AB552" s="66" t="s">
        <v>46</v>
      </c>
      <c r="AC552" s="637" t="s">
        <v>873</v>
      </c>
      <c r="AG552" s="75"/>
      <c r="AJ552" s="79" t="s">
        <v>46</v>
      </c>
      <c r="AK552" s="79">
        <v>0</v>
      </c>
      <c r="BB552" s="638" t="s">
        <v>67</v>
      </c>
      <c r="BM552" s="75">
        <f>IFERROR(X552*I552/H552,"0")</f>
        <v>0</v>
      </c>
      <c r="BN552" s="75">
        <f>IFERROR(Y552*I552/H552,"0")</f>
        <v>0</v>
      </c>
      <c r="BO552" s="75">
        <f>IFERROR(1/J552*(X552/H552),"0")</f>
        <v>0</v>
      </c>
      <c r="BP552" s="75">
        <f>IFERROR(1/J552*(Y552/H552),"0")</f>
        <v>0</v>
      </c>
    </row>
    <row r="553" spans="1:68" hidden="1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47"/>
      <c r="P553" s="643" t="s">
        <v>40</v>
      </c>
      <c r="Q553" s="644"/>
      <c r="R553" s="644"/>
      <c r="S553" s="644"/>
      <c r="T553" s="644"/>
      <c r="U553" s="644"/>
      <c r="V553" s="645"/>
      <c r="W553" s="40" t="s">
        <v>39</v>
      </c>
      <c r="X553" s="41">
        <f>IFERROR(X552/H552,"0")</f>
        <v>0</v>
      </c>
      <c r="Y553" s="41">
        <f>IFERROR(Y552/H552,"0")</f>
        <v>0</v>
      </c>
      <c r="Z553" s="41">
        <f>IFERROR(IF(Z552="",0,Z552),"0")</f>
        <v>0</v>
      </c>
      <c r="AA553" s="64"/>
      <c r="AB553" s="64"/>
      <c r="AC553" s="64"/>
    </row>
    <row r="554" spans="1:68" hidden="1" x14ac:dyDescent="0.2">
      <c r="A554" s="646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647"/>
      <c r="P554" s="643" t="s">
        <v>40</v>
      </c>
      <c r="Q554" s="644"/>
      <c r="R554" s="644"/>
      <c r="S554" s="644"/>
      <c r="T554" s="644"/>
      <c r="U554" s="644"/>
      <c r="V554" s="645"/>
      <c r="W554" s="40" t="s">
        <v>0</v>
      </c>
      <c r="X554" s="41">
        <f>IFERROR(SUM(X552:X552),"0")</f>
        <v>0</v>
      </c>
      <c r="Y554" s="41">
        <f>IFERROR(SUM(Y552:Y552),"0")</f>
        <v>0</v>
      </c>
      <c r="Z554" s="40"/>
      <c r="AA554" s="64"/>
      <c r="AB554" s="64"/>
      <c r="AC554" s="64"/>
    </row>
    <row r="555" spans="1:68" ht="15" customHeight="1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651"/>
      <c r="P555" s="648" t="s">
        <v>33</v>
      </c>
      <c r="Q555" s="649"/>
      <c r="R555" s="649"/>
      <c r="S555" s="649"/>
      <c r="T555" s="649"/>
      <c r="U555" s="649"/>
      <c r="V555" s="650"/>
      <c r="W555" s="40" t="s">
        <v>0</v>
      </c>
      <c r="X555" s="41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1667.42</v>
      </c>
      <c r="Y555" s="41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1678.8</v>
      </c>
      <c r="Z555" s="40"/>
      <c r="AA555" s="64"/>
      <c r="AB555" s="64"/>
      <c r="AC555" s="64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651"/>
      <c r="P556" s="648" t="s">
        <v>34</v>
      </c>
      <c r="Q556" s="649"/>
      <c r="R556" s="649"/>
      <c r="S556" s="649"/>
      <c r="T556" s="649"/>
      <c r="U556" s="649"/>
      <c r="V556" s="650"/>
      <c r="W556" s="40" t="s">
        <v>0</v>
      </c>
      <c r="X556" s="41">
        <f>IFERROR(SUM(BM22:BM552),"0")</f>
        <v>1941.8777976190474</v>
      </c>
      <c r="Y556" s="41">
        <f>IFERROR(SUM(BN22:BN552),"0")</f>
        <v>1955.6899999999998</v>
      </c>
      <c r="Z556" s="40"/>
      <c r="AA556" s="64"/>
      <c r="AB556" s="64"/>
      <c r="AC556" s="64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651"/>
      <c r="P557" s="648" t="s">
        <v>35</v>
      </c>
      <c r="Q557" s="649"/>
      <c r="R557" s="649"/>
      <c r="S557" s="649"/>
      <c r="T557" s="649"/>
      <c r="U557" s="649"/>
      <c r="V557" s="650"/>
      <c r="W557" s="40" t="s">
        <v>20</v>
      </c>
      <c r="X557" s="42">
        <f>ROUNDUP(SUM(BO22:BO552),0)</f>
        <v>4</v>
      </c>
      <c r="Y557" s="42">
        <f>ROUNDUP(SUM(BP22:BP552),0)</f>
        <v>4</v>
      </c>
      <c r="Z557" s="40"/>
      <c r="AA557" s="64"/>
      <c r="AB557" s="64"/>
      <c r="AC557" s="64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651"/>
      <c r="P558" s="648" t="s">
        <v>36</v>
      </c>
      <c r="Q558" s="649"/>
      <c r="R558" s="649"/>
      <c r="S558" s="649"/>
      <c r="T558" s="649"/>
      <c r="U558" s="649"/>
      <c r="V558" s="650"/>
      <c r="W558" s="40" t="s">
        <v>0</v>
      </c>
      <c r="X558" s="41">
        <f>GrossWeightTotal+PalletQtyTotal*25</f>
        <v>2041.8777976190474</v>
      </c>
      <c r="Y558" s="41">
        <f>GrossWeightTotalR+PalletQtyTotalR*25</f>
        <v>2055.6899999999996</v>
      </c>
      <c r="Z558" s="40"/>
      <c r="AA558" s="64"/>
      <c r="AB558" s="64"/>
      <c r="AC558" s="64"/>
    </row>
    <row r="559" spans="1:68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651"/>
      <c r="P559" s="648" t="s">
        <v>37</v>
      </c>
      <c r="Q559" s="649"/>
      <c r="R559" s="649"/>
      <c r="S559" s="649"/>
      <c r="T559" s="649"/>
      <c r="U559" s="649"/>
      <c r="V559" s="650"/>
      <c r="W559" s="40" t="s">
        <v>20</v>
      </c>
      <c r="X559" s="41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611.10119047619048</v>
      </c>
      <c r="Y559" s="41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615</v>
      </c>
      <c r="Z559" s="40"/>
      <c r="AA559" s="64"/>
      <c r="AB559" s="64"/>
      <c r="AC559" s="64"/>
    </row>
    <row r="560" spans="1:68" ht="14.25" hidden="1" x14ac:dyDescent="0.2">
      <c r="A560" s="646"/>
      <c r="B560" s="646"/>
      <c r="C560" s="646"/>
      <c r="D560" s="646"/>
      <c r="E560" s="646"/>
      <c r="F560" s="646"/>
      <c r="G560" s="646"/>
      <c r="H560" s="646"/>
      <c r="I560" s="646"/>
      <c r="J560" s="646"/>
      <c r="K560" s="646"/>
      <c r="L560" s="646"/>
      <c r="M560" s="646"/>
      <c r="N560" s="646"/>
      <c r="O560" s="651"/>
      <c r="P560" s="648" t="s">
        <v>38</v>
      </c>
      <c r="Q560" s="649"/>
      <c r="R560" s="649"/>
      <c r="S560" s="649"/>
      <c r="T560" s="649"/>
      <c r="U560" s="649"/>
      <c r="V560" s="650"/>
      <c r="W560" s="43" t="s">
        <v>52</v>
      </c>
      <c r="X560" s="40"/>
      <c r="Y560" s="40"/>
      <c r="Z560" s="40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4.4054000000000002</v>
      </c>
      <c r="AA560" s="64"/>
      <c r="AB560" s="64"/>
      <c r="AC560" s="64"/>
    </row>
    <row r="561" spans="1:32" ht="13.5" thickBot="1" x14ac:dyDescent="0.25"/>
    <row r="562" spans="1:32" ht="27" thickTop="1" thickBot="1" x14ac:dyDescent="0.25">
      <c r="A562" s="44" t="s">
        <v>9</v>
      </c>
      <c r="B562" s="80" t="s">
        <v>76</v>
      </c>
      <c r="C562" s="80" t="s">
        <v>45</v>
      </c>
      <c r="D562" s="639" t="s">
        <v>120</v>
      </c>
      <c r="E562" s="639" t="s">
        <v>120</v>
      </c>
      <c r="F562" s="639" t="s">
        <v>120</v>
      </c>
      <c r="G562" s="639" t="s">
        <v>120</v>
      </c>
      <c r="H562" s="639" t="s">
        <v>120</v>
      </c>
      <c r="I562" s="639" t="s">
        <v>120</v>
      </c>
      <c r="J562" s="639" t="s">
        <v>120</v>
      </c>
      <c r="K562" s="639" t="s">
        <v>353</v>
      </c>
      <c r="L562" s="639" t="s">
        <v>353</v>
      </c>
      <c r="M562" s="639" t="s">
        <v>353</v>
      </c>
      <c r="N562" s="640"/>
      <c r="O562" s="639" t="s">
        <v>353</v>
      </c>
      <c r="P562" s="639" t="s">
        <v>353</v>
      </c>
      <c r="Q562" s="639" t="s">
        <v>353</v>
      </c>
      <c r="R562" s="639" t="s">
        <v>353</v>
      </c>
      <c r="S562" s="639" t="s">
        <v>353</v>
      </c>
      <c r="T562" s="639" t="s">
        <v>353</v>
      </c>
      <c r="U562" s="639" t="s">
        <v>353</v>
      </c>
      <c r="V562" s="639" t="s">
        <v>353</v>
      </c>
      <c r="W562" s="639" t="s">
        <v>702</v>
      </c>
      <c r="X562" s="639" t="s">
        <v>702</v>
      </c>
      <c r="Y562" s="639" t="s">
        <v>768</v>
      </c>
      <c r="Z562" s="639" t="s">
        <v>768</v>
      </c>
      <c r="AA562" s="80" t="s">
        <v>804</v>
      </c>
      <c r="AB562" s="639" t="s">
        <v>851</v>
      </c>
      <c r="AC562" s="639" t="s">
        <v>851</v>
      </c>
      <c r="AF562" s="1"/>
    </row>
    <row r="563" spans="1:32" ht="14.25" customHeight="1" thickTop="1" x14ac:dyDescent="0.2">
      <c r="A563" s="641" t="s">
        <v>10</v>
      </c>
      <c r="B563" s="639" t="s">
        <v>76</v>
      </c>
      <c r="C563" s="639" t="s">
        <v>104</v>
      </c>
      <c r="D563" s="639" t="s">
        <v>121</v>
      </c>
      <c r="E563" s="639" t="s">
        <v>137</v>
      </c>
      <c r="F563" s="639" t="s">
        <v>182</v>
      </c>
      <c r="G563" s="639" t="s">
        <v>203</v>
      </c>
      <c r="H563" s="639" t="s">
        <v>243</v>
      </c>
      <c r="I563" s="639" t="s">
        <v>267</v>
      </c>
      <c r="J563" s="639" t="s">
        <v>120</v>
      </c>
      <c r="K563" s="639" t="s">
        <v>354</v>
      </c>
      <c r="L563" s="639" t="s">
        <v>375</v>
      </c>
      <c r="M563" s="639" t="s">
        <v>442</v>
      </c>
      <c r="N563" s="1"/>
      <c r="O563" s="639" t="s">
        <v>510</v>
      </c>
      <c r="P563" s="639" t="s">
        <v>543</v>
      </c>
      <c r="Q563" s="639" t="s">
        <v>559</v>
      </c>
      <c r="R563" s="639" t="s">
        <v>568</v>
      </c>
      <c r="S563" s="639" t="s">
        <v>589</v>
      </c>
      <c r="T563" s="639" t="s">
        <v>598</v>
      </c>
      <c r="U563" s="639" t="s">
        <v>682</v>
      </c>
      <c r="V563" s="639" t="s">
        <v>692</v>
      </c>
      <c r="W563" s="639" t="s">
        <v>703</v>
      </c>
      <c r="X563" s="639" t="s">
        <v>752</v>
      </c>
      <c r="Y563" s="639" t="s">
        <v>769</v>
      </c>
      <c r="Z563" s="639" t="s">
        <v>792</v>
      </c>
      <c r="AA563" s="639" t="s">
        <v>804</v>
      </c>
      <c r="AB563" s="639" t="s">
        <v>851</v>
      </c>
      <c r="AC563" s="639" t="s">
        <v>870</v>
      </c>
      <c r="AF563" s="1"/>
    </row>
    <row r="564" spans="1:32" ht="13.5" thickBot="1" x14ac:dyDescent="0.25">
      <c r="A564" s="642"/>
      <c r="B564" s="639"/>
      <c r="C564" s="639"/>
      <c r="D564" s="639"/>
      <c r="E564" s="639"/>
      <c r="F564" s="639"/>
      <c r="G564" s="639"/>
      <c r="H564" s="639"/>
      <c r="I564" s="639"/>
      <c r="J564" s="639"/>
      <c r="K564" s="639"/>
      <c r="L564" s="639"/>
      <c r="M564" s="639"/>
      <c r="N564" s="1"/>
      <c r="O564" s="639"/>
      <c r="P564" s="639"/>
      <c r="Q564" s="639"/>
      <c r="R564" s="639"/>
      <c r="S564" s="639"/>
      <c r="T564" s="639"/>
      <c r="U564" s="639"/>
      <c r="V564" s="639"/>
      <c r="W564" s="639"/>
      <c r="X564" s="639"/>
      <c r="Y564" s="639"/>
      <c r="Z564" s="639"/>
      <c r="AA564" s="639"/>
      <c r="AB564" s="639"/>
      <c r="AC564" s="639"/>
      <c r="AF564" s="1"/>
    </row>
    <row r="565" spans="1:32" ht="18" thickTop="1" thickBot="1" x14ac:dyDescent="0.25">
      <c r="A565" s="44" t="s">
        <v>13</v>
      </c>
      <c r="B565" s="50">
        <f>IFERROR(Y22*1,"0")+IFERROR(Y23*1,"0")+IFERROR(Y27*1,"0")+IFERROR(Y28*1,"0")+IFERROR(Y29*1,"0")+IFERROR(Y30*1,"0")+IFERROR(Y31*1,"0")</f>
        <v>0</v>
      </c>
      <c r="C565" s="50">
        <f>IFERROR(Y37*1,"0")+IFERROR(Y38*1,"0")+IFERROR(Y39*1,"0")+IFERROR(Y40*1,"0")+IFERROR(Y41*1,"0")</f>
        <v>0</v>
      </c>
      <c r="D565" s="50">
        <f>IFERROR(Y47*1,"0")+IFERROR(Y48*1,"0")+IFERROR(Y49*1,"0")+IFERROR(Y50*1,"0")</f>
        <v>88</v>
      </c>
      <c r="E565" s="50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63</v>
      </c>
      <c r="F565" s="50">
        <f>IFERROR(Y84*1,"0")+IFERROR(Y85*1,"0")+IFERROR(Y86*1,"0")+IFERROR(Y87*1,"0")+IFERROR(Y91*1,"0")+IFERROR(Y92*1,"0")+IFERROR(Y93*1,"0")+IFERROR(Y94*1,"0")</f>
        <v>202.5</v>
      </c>
      <c r="G565" s="50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71.400000000000006</v>
      </c>
      <c r="H565" s="50">
        <f>IFERROR(Y129*1,"0")+IFERROR(Y130*1,"0")+IFERROR(Y131*1,"0")+IFERROR(Y135*1,"0")+IFERROR(Y136*1,"0")+IFERROR(Y137*1,"0")+IFERROR(Y138*1,"0")+IFERROR(Y142*1,"0")+IFERROR(Y143*1,"0")+IFERROR(Y144*1,"0")</f>
        <v>0</v>
      </c>
      <c r="I565" s="50">
        <f>IFERROR(Y149*1,"0")+IFERROR(Y150*1,"0")+IFERROR(Y151*1,"0")+IFERROR(Y152*1,"0")+IFERROR(Y153*1,"0")+IFERROR(Y154*1,"0")+IFERROR(Y155*1,"0")+IFERROR(Y159*1,"0")</f>
        <v>0</v>
      </c>
      <c r="J565" s="50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0">
        <f>IFERROR(Y206*1,"0")+IFERROR(Y207*1,"0")+IFERROR(Y208*1,"0")+IFERROR(Y209*1,"0")+IFERROR(Y210*1,"0")+IFERROR(Y211*1,"0")+IFERROR(Y212*1,"0")</f>
        <v>0</v>
      </c>
      <c r="L565" s="50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18.400000000000002</v>
      </c>
      <c r="M565" s="50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223.5</v>
      </c>
      <c r="N565" s="1"/>
      <c r="O565" s="50">
        <f>IFERROR(Y299*1,"0")+IFERROR(Y300*1,"0")+IFERROR(Y301*1,"0")+IFERROR(Y302*1,"0")+IFERROR(Y303*1,"0")+IFERROR(Y304*1,"0")+IFERROR(Y305*1,"0")+IFERROR(Y309*1,"0")+IFERROR(Y313*1,"0")+IFERROR(Y317*1,"0")+IFERROR(Y318*1,"0")+IFERROR(Y319*1,"0")</f>
        <v>76</v>
      </c>
      <c r="P565" s="50">
        <f>IFERROR(Y324*1,"0")+IFERROR(Y325*1,"0")+IFERROR(Y326*1,"0")+IFERROR(Y327*1,"0")+IFERROR(Y328*1,"0")</f>
        <v>0</v>
      </c>
      <c r="Q565" s="50">
        <f>IFERROR(Y333*1,"0")+IFERROR(Y334*1,"0")+IFERROR(Y335*1,"0")</f>
        <v>0</v>
      </c>
      <c r="R565" s="50">
        <f>IFERROR(Y340*1,"0")+IFERROR(Y341*1,"0")+IFERROR(Y342*1,"0")+IFERROR(Y343*1,"0")+IFERROR(Y344*1,"0")+IFERROR(Y348*1,"0")+IFERROR(Y349*1,"0")</f>
        <v>50.4</v>
      </c>
      <c r="S565" s="50">
        <f>IFERROR(Y354*1,"0")+IFERROR(Y355*1,"0")+IFERROR(Y356*1,"0")</f>
        <v>0</v>
      </c>
      <c r="T565" s="50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190.8</v>
      </c>
      <c r="U565" s="50">
        <f>IFERROR(Y413*1,"0")+IFERROR(Y414*1,"0")</f>
        <v>0</v>
      </c>
      <c r="V565" s="50">
        <f>IFERROR(Y419*1,"0")+IFERROR(Y420*1,"0")+IFERROR(Y421*1,"0")</f>
        <v>10.5</v>
      </c>
      <c r="W565" s="50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144</v>
      </c>
      <c r="X565" s="50">
        <f>IFERROR(Y456*1,"0")+IFERROR(Y457*1,"0")+IFERROR(Y461*1,"0")+IFERROR(Y465*1,"0")+IFERROR(Y466*1,"0")+IFERROR(Y467*1,"0")</f>
        <v>0</v>
      </c>
      <c r="Y565" s="50">
        <f>IFERROR(Y473*1,"0")+IFERROR(Y474*1,"0")+IFERROR(Y475*1,"0")+IFERROR(Y476*1,"0")+IFERROR(Y477*1,"0")+IFERROR(Y478*1,"0")+IFERROR(Y482*1,"0")+IFERROR(Y483*1,"0")</f>
        <v>175.5</v>
      </c>
      <c r="Z565" s="50">
        <f>IFERROR(Y488*1,"0")+IFERROR(Y492*1,"0")+IFERROR(Y493*1,"0")+IFERROR(Y494*1,"0")</f>
        <v>0</v>
      </c>
      <c r="AA565" s="50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364.79999999999995</v>
      </c>
      <c r="AB565" s="50">
        <f>IFERROR(Y530*1,"0")+IFERROR(Y534*1,"0")+IFERROR(Y538*1,"0")+IFERROR(Y542*1,"0")+IFERROR(Y546*1,"0")+IFERROR(Y547*1,"0")</f>
        <v>0</v>
      </c>
      <c r="AC565" s="50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67,42"/>
        <filter val="1 941,88"/>
        <filter val="10,50"/>
        <filter val="108,00"/>
        <filter val="11,12"/>
        <filter val="12,10"/>
        <filter val="120,00"/>
        <filter val="13,33"/>
        <filter val="139,50"/>
        <filter val="14,14"/>
        <filter val="144,00"/>
        <filter val="15,00"/>
        <filter val="15,30"/>
        <filter val="18,00"/>
        <filter val="18,32"/>
        <filter val="18,60"/>
        <filter val="192,00"/>
        <filter val="2 041,88"/>
        <filter val="202,50"/>
        <filter val="21,90"/>
        <filter val="22,90"/>
        <filter val="24,00"/>
        <filter val="27,00"/>
        <filter val="270,00"/>
        <filter val="29,70"/>
        <filter val="30,00"/>
        <filter val="31,50"/>
        <filter val="35,00"/>
        <filter val="36,00"/>
        <filter val="360,60"/>
        <filter val="4"/>
        <filter val="4,00"/>
        <filter val="4,40"/>
        <filter val="48,00"/>
        <filter val="5,00"/>
        <filter val="50,40"/>
        <filter val="54,00"/>
        <filter val="6,00"/>
        <filter val="60,00"/>
        <filter val="611,10"/>
        <filter val="63,00"/>
        <filter val="7,20"/>
        <filter val="72,00"/>
        <filter val="74,40"/>
        <filter val="75,00"/>
        <filter val="75,13"/>
        <filter val="80,00"/>
        <filter val="87,60"/>
        <filter val="90,6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1" t="s">
        <v>875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876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877</v>
      </c>
      <c r="C6" s="51" t="s">
        <v>878</v>
      </c>
      <c r="D6" s="51" t="s">
        <v>879</v>
      </c>
      <c r="E6" s="51" t="s">
        <v>46</v>
      </c>
    </row>
    <row r="7" spans="2:8" x14ac:dyDescent="0.2">
      <c r="B7" s="51" t="s">
        <v>880</v>
      </c>
      <c r="C7" s="51" t="s">
        <v>881</v>
      </c>
      <c r="D7" s="51" t="s">
        <v>882</v>
      </c>
      <c r="E7" s="51" t="s">
        <v>46</v>
      </c>
    </row>
    <row r="8" spans="2:8" x14ac:dyDescent="0.2">
      <c r="B8" s="51" t="s">
        <v>883</v>
      </c>
      <c r="C8" s="51" t="s">
        <v>884</v>
      </c>
      <c r="D8" s="51" t="s">
        <v>885</v>
      </c>
      <c r="E8" s="51" t="s">
        <v>46</v>
      </c>
    </row>
    <row r="10" spans="2:8" x14ac:dyDescent="0.2">
      <c r="B10" s="51" t="s">
        <v>886</v>
      </c>
      <c r="C10" s="51" t="s">
        <v>878</v>
      </c>
      <c r="D10" s="51" t="s">
        <v>46</v>
      </c>
      <c r="E10" s="51" t="s">
        <v>46</v>
      </c>
    </row>
    <row r="12" spans="2:8" x14ac:dyDescent="0.2">
      <c r="B12" s="51" t="s">
        <v>887</v>
      </c>
      <c r="C12" s="51" t="s">
        <v>881</v>
      </c>
      <c r="D12" s="51" t="s">
        <v>46</v>
      </c>
      <c r="E12" s="51" t="s">
        <v>46</v>
      </c>
    </row>
    <row r="14" spans="2:8" x14ac:dyDescent="0.2">
      <c r="B14" s="51" t="s">
        <v>888</v>
      </c>
      <c r="C14" s="51" t="s">
        <v>884</v>
      </c>
      <c r="D14" s="51" t="s">
        <v>46</v>
      </c>
      <c r="E14" s="51" t="s">
        <v>46</v>
      </c>
    </row>
    <row r="16" spans="2:8" x14ac:dyDescent="0.2">
      <c r="B16" s="51" t="s">
        <v>889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890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891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892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893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894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895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896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897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898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899</v>
      </c>
      <c r="C26" s="51" t="s">
        <v>46</v>
      </c>
      <c r="D26" s="51" t="s">
        <v>46</v>
      </c>
      <c r="E26" s="51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2026-08-19T15:17:40Z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