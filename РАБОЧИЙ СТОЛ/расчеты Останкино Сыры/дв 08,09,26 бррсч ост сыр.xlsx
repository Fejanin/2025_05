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C3C907C4-739E-4939-A8E1-567D87CDE6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Sheet!$A$3:$AF$55</definedName>
  </definedNames>
  <calcPr calcId="191029"/>
</workbook>
</file>

<file path=xl/calcChain.xml><?xml version="1.0" encoding="utf-8"?>
<calcChain xmlns="http://schemas.openxmlformats.org/spreadsheetml/2006/main">
  <c r="AF51" i="1" l="1"/>
  <c r="AF43" i="1"/>
  <c r="AF36" i="1"/>
  <c r="AF35" i="1"/>
  <c r="AF34" i="1"/>
  <c r="AF28" i="1"/>
  <c r="AF27" i="1"/>
  <c r="AF24" i="1"/>
  <c r="AF21" i="1"/>
  <c r="AF20" i="1"/>
  <c r="AF19" i="1"/>
  <c r="P55" i="1"/>
  <c r="Q55" i="1" s="1"/>
  <c r="L55" i="1"/>
  <c r="P54" i="1"/>
  <c r="S54" i="1" s="1"/>
  <c r="L54" i="1"/>
  <c r="P53" i="1"/>
  <c r="L53" i="1"/>
  <c r="F53" i="1"/>
  <c r="P52" i="1"/>
  <c r="S52" i="1" s="1"/>
  <c r="L52" i="1"/>
  <c r="P51" i="1"/>
  <c r="S51" i="1" s="1"/>
  <c r="L51" i="1"/>
  <c r="P50" i="1"/>
  <c r="S50" i="1" s="1"/>
  <c r="L50" i="1"/>
  <c r="P49" i="1"/>
  <c r="S49" i="1" s="1"/>
  <c r="L49" i="1"/>
  <c r="P48" i="1"/>
  <c r="S48" i="1" s="1"/>
  <c r="L48" i="1"/>
  <c r="P47" i="1"/>
  <c r="S47" i="1" s="1"/>
  <c r="L47" i="1"/>
  <c r="P46" i="1"/>
  <c r="S46" i="1" s="1"/>
  <c r="L46" i="1"/>
  <c r="P45" i="1"/>
  <c r="S45" i="1" s="1"/>
  <c r="L45" i="1"/>
  <c r="P44" i="1"/>
  <c r="S44" i="1" s="1"/>
  <c r="L44" i="1"/>
  <c r="P43" i="1"/>
  <c r="L43" i="1"/>
  <c r="P42" i="1"/>
  <c r="S42" i="1" s="1"/>
  <c r="L42" i="1"/>
  <c r="P41" i="1"/>
  <c r="S41" i="1" s="1"/>
  <c r="L41" i="1"/>
  <c r="P40" i="1"/>
  <c r="S40" i="1" s="1"/>
  <c r="L40" i="1"/>
  <c r="P39" i="1"/>
  <c r="AF39" i="1" s="1"/>
  <c r="L39" i="1"/>
  <c r="P38" i="1"/>
  <c r="AF38" i="1" s="1"/>
  <c r="L38" i="1"/>
  <c r="P37" i="1"/>
  <c r="S37" i="1" s="1"/>
  <c r="L37" i="1"/>
  <c r="P36" i="1"/>
  <c r="S36" i="1" s="1"/>
  <c r="L36" i="1"/>
  <c r="P35" i="1"/>
  <c r="L35" i="1"/>
  <c r="P34" i="1"/>
  <c r="S34" i="1" s="1"/>
  <c r="L34" i="1"/>
  <c r="P33" i="1"/>
  <c r="S33" i="1" s="1"/>
  <c r="L33" i="1"/>
  <c r="P32" i="1"/>
  <c r="S32" i="1" s="1"/>
  <c r="L32" i="1"/>
  <c r="P31" i="1"/>
  <c r="S31" i="1" s="1"/>
  <c r="L31" i="1"/>
  <c r="P30" i="1"/>
  <c r="S30" i="1" s="1"/>
  <c r="L30" i="1"/>
  <c r="P29" i="1"/>
  <c r="S29" i="1" s="1"/>
  <c r="L29" i="1"/>
  <c r="P28" i="1"/>
  <c r="S28" i="1" s="1"/>
  <c r="L28" i="1"/>
  <c r="P27" i="1"/>
  <c r="L27" i="1"/>
  <c r="P26" i="1"/>
  <c r="L26" i="1"/>
  <c r="P25" i="1"/>
  <c r="S25" i="1" s="1"/>
  <c r="L25" i="1"/>
  <c r="P24" i="1"/>
  <c r="S24" i="1" s="1"/>
  <c r="L24" i="1"/>
  <c r="P23" i="1"/>
  <c r="L23" i="1"/>
  <c r="P22" i="1"/>
  <c r="Q22" i="1" s="1"/>
  <c r="AF22" i="1" s="1"/>
  <c r="L22" i="1"/>
  <c r="P21" i="1"/>
  <c r="S21" i="1" s="1"/>
  <c r="L21" i="1"/>
  <c r="P20" i="1"/>
  <c r="S20" i="1" s="1"/>
  <c r="L20" i="1"/>
  <c r="P19" i="1"/>
  <c r="L19" i="1"/>
  <c r="P18" i="1"/>
  <c r="S18" i="1" s="1"/>
  <c r="L18" i="1"/>
  <c r="P17" i="1"/>
  <c r="Q17" i="1" s="1"/>
  <c r="AF17" i="1" s="1"/>
  <c r="L17" i="1"/>
  <c r="F17" i="1"/>
  <c r="P16" i="1"/>
  <c r="AF16" i="1" s="1"/>
  <c r="L16" i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P10" i="1"/>
  <c r="AF10" i="1" s="1"/>
  <c r="L10" i="1"/>
  <c r="F9" i="1"/>
  <c r="E9" i="1"/>
  <c r="P9" i="1" s="1"/>
  <c r="P8" i="1"/>
  <c r="S8" i="1" s="1"/>
  <c r="L8" i="1"/>
  <c r="P7" i="1"/>
  <c r="S7" i="1" s="1"/>
  <c r="L7" i="1"/>
  <c r="AF6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Q31" i="1" l="1"/>
  <c r="Q9" i="1"/>
  <c r="AF9" i="1" s="1"/>
  <c r="R6" i="1"/>
  <c r="S55" i="1"/>
  <c r="Q14" i="1"/>
  <c r="AF14" i="1" s="1"/>
  <c r="F5" i="1"/>
  <c r="AF55" i="1"/>
  <c r="R55" i="1"/>
  <c r="AF37" i="1"/>
  <c r="R16" i="1"/>
  <c r="Q18" i="1"/>
  <c r="AF18" i="1" s="1"/>
  <c r="AF40" i="1"/>
  <c r="AF41" i="1"/>
  <c r="AF42" i="1"/>
  <c r="AF23" i="1"/>
  <c r="R22" i="1"/>
  <c r="R39" i="1"/>
  <c r="AF44" i="1"/>
  <c r="AF25" i="1"/>
  <c r="AF46" i="1"/>
  <c r="R19" i="1"/>
  <c r="AF26" i="1"/>
  <c r="AF47" i="1"/>
  <c r="AF8" i="1"/>
  <c r="Q49" i="1"/>
  <c r="AF49" i="1" s="1"/>
  <c r="AF29" i="1"/>
  <c r="Q50" i="1"/>
  <c r="AF50" i="1" s="1"/>
  <c r="AF30" i="1"/>
  <c r="E5" i="1"/>
  <c r="R43" i="1"/>
  <c r="AF11" i="1"/>
  <c r="AF31" i="1"/>
  <c r="AF52" i="1"/>
  <c r="Q48" i="1"/>
  <c r="AF48" i="1" s="1"/>
  <c r="AF12" i="1"/>
  <c r="AF32" i="1"/>
  <c r="AF53" i="1"/>
  <c r="AF13" i="1"/>
  <c r="Q33" i="1"/>
  <c r="AF33" i="1" s="1"/>
  <c r="R27" i="1"/>
  <c r="AF7" i="1"/>
  <c r="R35" i="1"/>
  <c r="R10" i="1"/>
  <c r="R17" i="1"/>
  <c r="R38" i="1"/>
  <c r="R51" i="1"/>
  <c r="S53" i="1"/>
  <c r="P5" i="1"/>
  <c r="R54" i="1"/>
  <c r="R49" i="1"/>
  <c r="S17" i="1"/>
  <c r="R11" i="1"/>
  <c r="S9" i="1"/>
  <c r="S10" i="1"/>
  <c r="R30" i="1"/>
  <c r="S26" i="1"/>
  <c r="R7" i="1"/>
  <c r="S19" i="1"/>
  <c r="S27" i="1"/>
  <c r="S35" i="1"/>
  <c r="S43" i="1"/>
  <c r="S16" i="1"/>
  <c r="R20" i="1"/>
  <c r="R24" i="1"/>
  <c r="R28" i="1"/>
  <c r="R36" i="1"/>
  <c r="R40" i="1"/>
  <c r="R14" i="1"/>
  <c r="R50" i="1"/>
  <c r="R42" i="1"/>
  <c r="S22" i="1"/>
  <c r="S38" i="1"/>
  <c r="L9" i="1"/>
  <c r="L5" i="1" s="1"/>
  <c r="R34" i="1"/>
  <c r="S23" i="1"/>
  <c r="S39" i="1"/>
  <c r="R8" i="1"/>
  <c r="R9" i="1"/>
  <c r="R21" i="1"/>
  <c r="R29" i="1"/>
  <c r="R37" i="1"/>
  <c r="R41" i="1"/>
  <c r="R45" i="1"/>
  <c r="R18" i="1" l="1"/>
  <c r="R44" i="1"/>
  <c r="R47" i="1"/>
  <c r="R13" i="1"/>
  <c r="Q5" i="1"/>
  <c r="R32" i="1"/>
  <c r="R23" i="1"/>
  <c r="R48" i="1"/>
  <c r="R25" i="1"/>
  <c r="R31" i="1"/>
  <c r="R12" i="1"/>
  <c r="R53" i="1"/>
  <c r="R26" i="1"/>
  <c r="R33" i="1"/>
  <c r="R52" i="1"/>
  <c r="R46" i="1"/>
  <c r="R15" i="1"/>
  <c r="AF15" i="1"/>
  <c r="AF5" i="1" s="1"/>
</calcChain>
</file>

<file path=xl/sharedStrings.xml><?xml version="1.0" encoding="utf-8"?>
<sst xmlns="http://schemas.openxmlformats.org/spreadsheetml/2006/main" count="174" uniqueCount="98">
  <si>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</si>
  <si>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</si>
  <si>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</si>
  <si>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</si>
  <si>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</si>
  <si>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</si>
  <si>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</si>
  <si>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</si>
  <si>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</si>
  <si>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</si>
  <si>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</si>
  <si>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</si>
  <si>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</si>
  <si>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</si>
  <si>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</si>
  <si>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</si>
  <si>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</si>
  <si>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</si>
  <si>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</si>
  <si>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</si>
  <si>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</si>
  <si>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</si>
  <si>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</si>
  <si>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</si>
  <si>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</si>
  <si>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</si>
  <si>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</si>
  <si>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</si>
  <si>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</si>
  <si>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</si>
  <si>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</si>
  <si>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</si>
  <si>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</si>
  <si>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</si>
  <si>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</si>
  <si>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</si>
  <si>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</si>
  <si>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</si>
  <si>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</si>
  <si>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</si>
  <si>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</si>
  <si>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</si>
  <si>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</si>
  <si>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</si>
  <si>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</si>
  <si>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</si>
  <si>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</si>
  <si>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</si>
  <si>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</si>
  <si>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</si>
  <si>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</si>
  <si>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</si>
  <si>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задвоили приход (07,09,26) / 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</si>
  <si>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</si>
  <si>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</si>
  <si>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</si>
  <si>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</si>
  <si>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</si>
  <si>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</si>
  <si>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</si>
  <si>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</si>
  <si>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</si>
  <si>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</si>
  <si>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</si>
  <si>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</si>
  <si>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</si>
  <si>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</si>
  <si>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</si>
  <si>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</si>
  <si>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</si>
  <si>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</si>
  <si>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</si>
  <si>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</si>
  <si>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</si>
  <si>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</si>
  <si>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</si>
  <si>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</si>
  <si>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</si>
  <si>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</si>
  <si>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</si>
  <si>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</si>
  <si>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</si>
  <si>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</si>
  <si>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</si>
  <si>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</si>
  <si>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</si>
  <si>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20кг сети Деликатес (06,08,26)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</si>
  <si>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</si>
  <si>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</si>
  <si>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</si>
  <si>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</si>
  <si>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</si>
  <si>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</si>
  <si>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</si>
  <si>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</si>
  <si>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</si>
  <si>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</si>
  <si>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78 кг разовая продажа (11,08,26) / 20кг сети Деликатес (06,08,26) / 14,07,26 разовая продажа 295 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</si>
</sst>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8554687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30" width="6" customWidth="1"/>
    <col min="31" max="31" width="38.14062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2430.4409999999998</v>
      </c>
      <c r="F5" s="4">
        <f>SUM(F6:F500)</f>
        <v>3739.76</v>
      </c>
      <c r="G5" s="7"/>
      <c r="H5" s="1"/>
      <c r="I5" s="1"/>
      <c r="J5" s="1"/>
      <c r="K5" s="4">
        <f t="shared" ref="K5:Q5" si="0">SUM(K6:K500)</f>
        <v>5219.134</v>
      </c>
      <c r="L5" s="4">
        <f t="shared" si="0"/>
        <v>-2788.6930000000002</v>
      </c>
      <c r="M5" s="4">
        <f t="shared" si="0"/>
        <v>0</v>
      </c>
      <c r="N5" s="4">
        <f t="shared" si="0"/>
        <v>0</v>
      </c>
      <c r="O5" s="4">
        <f t="shared" si="0"/>
        <v>4444</v>
      </c>
      <c r="P5" s="4">
        <f t="shared" si="0"/>
        <v>486.08820000000009</v>
      </c>
      <c r="Q5" s="4">
        <f t="shared" si="0"/>
        <v>1893.0753999999997</v>
      </c>
      <c r="R5" s="1"/>
      <c r="S5" s="1"/>
      <c r="T5" s="4">
        <f t="shared" ref="T5:AD5" si="1">SUM(T6:T500)</f>
        <v>809.48320000000001</v>
      </c>
      <c r="U5" s="4">
        <f t="shared" si="1"/>
        <v>613.53500000000008</v>
      </c>
      <c r="V5" s="4">
        <f t="shared" si="1"/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1"/>
      <c r="AF5" s="4">
        <f>SUM(AF6:AF500)</f>
        <v>428.33539999999994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28</v>
      </c>
      <c r="D6" s="1"/>
      <c r="E6" s="1">
        <v>3</v>
      </c>
      <c r="F6" s="1">
        <v>24</v>
      </c>
      <c r="G6" s="7">
        <v>5.5E-2</v>
      </c>
      <c r="H6" s="1">
        <v>120</v>
      </c>
      <c r="I6" s="1"/>
      <c r="J6" s="1"/>
      <c r="K6" s="1">
        <v>6</v>
      </c>
      <c r="L6" s="1">
        <f t="shared" ref="L6:L37" si="2">E6-K6</f>
        <v>-3</v>
      </c>
      <c r="M6" s="1"/>
      <c r="N6" s="1"/>
      <c r="O6" s="1"/>
      <c r="P6" s="1">
        <f t="shared" ref="P6:P37" si="3">E6/5</f>
        <v>0.6</v>
      </c>
      <c r="Q6" s="5"/>
      <c r="R6" s="1">
        <f t="shared" ref="R6:R37" si="4">(F6+O6+Q6)/P6</f>
        <v>40</v>
      </c>
      <c r="S6" s="1">
        <f t="shared" ref="S6:S37" si="5">(F6+O6)/P6</f>
        <v>40</v>
      </c>
      <c r="T6" s="1">
        <v>0</v>
      </c>
      <c r="U6" s="1">
        <v>0.4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5" t="s">
        <v>37</v>
      </c>
      <c r="AF6" s="1">
        <f t="shared" ref="AF6:AF44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29</v>
      </c>
      <c r="D7" s="1">
        <v>5</v>
      </c>
      <c r="E7" s="1">
        <v>1</v>
      </c>
      <c r="F7" s="1">
        <v>28</v>
      </c>
      <c r="G7" s="7">
        <v>0.1</v>
      </c>
      <c r="H7" s="1">
        <v>120</v>
      </c>
      <c r="I7" s="1"/>
      <c r="J7" s="1"/>
      <c r="K7" s="1">
        <v>13</v>
      </c>
      <c r="L7" s="1">
        <f t="shared" si="2"/>
        <v>-12</v>
      </c>
      <c r="M7" s="1"/>
      <c r="N7" s="1"/>
      <c r="O7" s="1"/>
      <c r="P7" s="1">
        <f t="shared" si="3"/>
        <v>0.2</v>
      </c>
      <c r="Q7" s="5"/>
      <c r="R7" s="1">
        <f t="shared" si="4"/>
        <v>140</v>
      </c>
      <c r="S7" s="1">
        <f t="shared" si="5"/>
        <v>140</v>
      </c>
      <c r="T7" s="1">
        <v>0</v>
      </c>
      <c r="U7" s="1">
        <v>0.4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5" t="s">
        <v>37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31</v>
      </c>
      <c r="D8" s="1">
        <v>5</v>
      </c>
      <c r="E8" s="1">
        <v>4</v>
      </c>
      <c r="F8" s="1">
        <v>27</v>
      </c>
      <c r="G8" s="7">
        <v>0.1</v>
      </c>
      <c r="H8" s="1">
        <v>120</v>
      </c>
      <c r="I8" s="1"/>
      <c r="J8" s="1"/>
      <c r="K8" s="1">
        <v>14</v>
      </c>
      <c r="L8" s="1">
        <f t="shared" si="2"/>
        <v>-10</v>
      </c>
      <c r="M8" s="1"/>
      <c r="N8" s="1"/>
      <c r="O8" s="1"/>
      <c r="P8" s="1">
        <f t="shared" si="3"/>
        <v>0.8</v>
      </c>
      <c r="Q8" s="5"/>
      <c r="R8" s="1">
        <f t="shared" si="4"/>
        <v>33.75</v>
      </c>
      <c r="S8" s="1">
        <f t="shared" si="5"/>
        <v>33.75</v>
      </c>
      <c r="T8" s="1">
        <v>0</v>
      </c>
      <c r="U8" s="1">
        <v>0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5" t="s">
        <v>37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238.88800000000001</v>
      </c>
      <c r="D9" s="1"/>
      <c r="E9" s="14">
        <f>53.883+E45</f>
        <v>55.015000000000001</v>
      </c>
      <c r="F9" s="14">
        <f>149.913+F45</f>
        <v>142.29300000000001</v>
      </c>
      <c r="G9" s="7">
        <v>1</v>
      </c>
      <c r="H9" s="1">
        <v>120</v>
      </c>
      <c r="I9" s="1"/>
      <c r="J9" s="1"/>
      <c r="K9" s="1">
        <v>61.433999999999997</v>
      </c>
      <c r="L9" s="1">
        <f t="shared" si="2"/>
        <v>-6.4189999999999969</v>
      </c>
      <c r="M9" s="1"/>
      <c r="N9" s="1"/>
      <c r="O9" s="1"/>
      <c r="P9" s="1">
        <f t="shared" si="3"/>
        <v>11.003</v>
      </c>
      <c r="Q9" s="5">
        <f>14*P9-O9-F9</f>
        <v>11.748999999999995</v>
      </c>
      <c r="R9" s="1">
        <f t="shared" si="4"/>
        <v>14</v>
      </c>
      <c r="S9" s="1">
        <f t="shared" si="5"/>
        <v>12.932200309006635</v>
      </c>
      <c r="T9" s="1">
        <v>11.139200000000001</v>
      </c>
      <c r="U9" s="1">
        <v>9.8320000000000007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"/>
      <c r="AF9" s="1">
        <f t="shared" si="6"/>
        <v>11.748999999999995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36</v>
      </c>
      <c r="C10" s="1">
        <v>32</v>
      </c>
      <c r="D10" s="1"/>
      <c r="E10" s="1">
        <v>-48</v>
      </c>
      <c r="F10" s="1">
        <v>32</v>
      </c>
      <c r="G10" s="7">
        <v>0.18</v>
      </c>
      <c r="H10" s="1">
        <v>180</v>
      </c>
      <c r="I10" s="1"/>
      <c r="J10" s="1"/>
      <c r="K10" s="1"/>
      <c r="L10" s="1">
        <f t="shared" si="2"/>
        <v>-48</v>
      </c>
      <c r="M10" s="1"/>
      <c r="N10" s="1"/>
      <c r="O10" s="1">
        <v>0</v>
      </c>
      <c r="P10" s="1">
        <f t="shared" si="3"/>
        <v>-9.6</v>
      </c>
      <c r="Q10" s="5"/>
      <c r="R10" s="1">
        <f t="shared" si="4"/>
        <v>-3.3333333333333335</v>
      </c>
      <c r="S10" s="1">
        <f t="shared" si="5"/>
        <v>-3.3333333333333335</v>
      </c>
      <c r="T10" s="1">
        <v>-12.6</v>
      </c>
      <c r="U10" s="1">
        <v>118.8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" t="s">
        <v>44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36</v>
      </c>
      <c r="C11" s="1">
        <v>123</v>
      </c>
      <c r="D11" s="1"/>
      <c r="E11" s="1">
        <v>-1</v>
      </c>
      <c r="F11" s="1">
        <v>123</v>
      </c>
      <c r="G11" s="7">
        <v>0.18</v>
      </c>
      <c r="H11" s="1">
        <v>180</v>
      </c>
      <c r="I11" s="1"/>
      <c r="J11" s="1"/>
      <c r="K11" s="1">
        <v>15</v>
      </c>
      <c r="L11" s="1">
        <f t="shared" si="2"/>
        <v>-16</v>
      </c>
      <c r="M11" s="1"/>
      <c r="N11" s="1"/>
      <c r="O11" s="1"/>
      <c r="P11" s="1">
        <f t="shared" si="3"/>
        <v>-0.2</v>
      </c>
      <c r="Q11" s="5"/>
      <c r="R11" s="1">
        <f t="shared" si="4"/>
        <v>-615</v>
      </c>
      <c r="S11" s="1">
        <f t="shared" si="5"/>
        <v>-615</v>
      </c>
      <c r="T11" s="1">
        <v>2.8</v>
      </c>
      <c r="U11" s="1">
        <v>-0.2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5" t="s">
        <v>42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41</v>
      </c>
      <c r="C12" s="1">
        <v>38.378</v>
      </c>
      <c r="D12" s="1"/>
      <c r="E12" s="1">
        <v>6.444</v>
      </c>
      <c r="F12" s="1">
        <v>25.692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-0.55600000000000005</v>
      </c>
      <c r="M12" s="1"/>
      <c r="N12" s="1"/>
      <c r="O12" s="1"/>
      <c r="P12" s="1">
        <f t="shared" si="3"/>
        <v>1.2887999999999999</v>
      </c>
      <c r="Q12" s="5"/>
      <c r="R12" s="1">
        <f t="shared" si="4"/>
        <v>19.934823091247672</v>
      </c>
      <c r="S12" s="1">
        <f t="shared" si="5"/>
        <v>19.934823091247672</v>
      </c>
      <c r="T12" s="1">
        <v>0.63559999999999994</v>
      </c>
      <c r="U12" s="1">
        <v>1.2452000000000001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135</v>
      </c>
      <c r="D13" s="1"/>
      <c r="E13" s="1">
        <v>2</v>
      </c>
      <c r="F13" s="1">
        <v>132</v>
      </c>
      <c r="G13" s="7">
        <v>0.82450000000000001</v>
      </c>
      <c r="H13" s="1">
        <v>180</v>
      </c>
      <c r="I13" s="1"/>
      <c r="J13" s="1"/>
      <c r="K13" s="1">
        <v>8</v>
      </c>
      <c r="L13" s="1">
        <f t="shared" si="2"/>
        <v>-6</v>
      </c>
      <c r="M13" s="1"/>
      <c r="N13" s="1"/>
      <c r="O13" s="1"/>
      <c r="P13" s="1">
        <f t="shared" si="3"/>
        <v>0.4</v>
      </c>
      <c r="Q13" s="5"/>
      <c r="R13" s="1">
        <f t="shared" si="4"/>
        <v>330</v>
      </c>
      <c r="S13" s="1">
        <f t="shared" si="5"/>
        <v>330</v>
      </c>
      <c r="T13" s="1">
        <v>0</v>
      </c>
      <c r="U13" s="1">
        <v>0.2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5" t="s">
        <v>42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136</v>
      </c>
      <c r="D14" s="1">
        <v>10</v>
      </c>
      <c r="E14" s="1">
        <v>90</v>
      </c>
      <c r="F14" s="1">
        <v>45</v>
      </c>
      <c r="G14" s="7">
        <v>0.372</v>
      </c>
      <c r="H14" s="1">
        <v>180</v>
      </c>
      <c r="I14" s="1"/>
      <c r="J14" s="1"/>
      <c r="K14" s="1">
        <v>98</v>
      </c>
      <c r="L14" s="1">
        <f t="shared" si="2"/>
        <v>-8</v>
      </c>
      <c r="M14" s="1"/>
      <c r="N14" s="1"/>
      <c r="O14" s="1">
        <v>216</v>
      </c>
      <c r="P14" s="1">
        <f t="shared" si="3"/>
        <v>18</v>
      </c>
      <c r="Q14" s="5">
        <f t="shared" ref="Q7:Q44" si="7">15*P14-O14-F14</f>
        <v>9</v>
      </c>
      <c r="R14" s="1">
        <f t="shared" si="4"/>
        <v>15</v>
      </c>
      <c r="S14" s="1">
        <f t="shared" si="5"/>
        <v>14.5</v>
      </c>
      <c r="T14" s="1">
        <v>35.4</v>
      </c>
      <c r="U14" s="1">
        <v>16.2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/>
      <c r="AF14" s="1">
        <f t="shared" si="6"/>
        <v>3.3479999999999999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36</v>
      </c>
      <c r="C15" s="1">
        <v>173</v>
      </c>
      <c r="D15" s="1">
        <v>3</v>
      </c>
      <c r="E15" s="1">
        <v>57</v>
      </c>
      <c r="F15" s="1">
        <v>101</v>
      </c>
      <c r="G15" s="7">
        <v>0.74399999999999999</v>
      </c>
      <c r="H15" s="1">
        <v>180</v>
      </c>
      <c r="I15" s="1"/>
      <c r="J15" s="1"/>
      <c r="K15" s="1">
        <v>76</v>
      </c>
      <c r="L15" s="1">
        <f t="shared" si="2"/>
        <v>-19</v>
      </c>
      <c r="M15" s="1"/>
      <c r="N15" s="1"/>
      <c r="O15" s="1">
        <v>156</v>
      </c>
      <c r="P15" s="1">
        <f t="shared" si="3"/>
        <v>11.4</v>
      </c>
      <c r="Q15" s="5"/>
      <c r="R15" s="1">
        <f t="shared" si="4"/>
        <v>22.543859649122805</v>
      </c>
      <c r="S15" s="1">
        <f t="shared" si="5"/>
        <v>22.543859649122805</v>
      </c>
      <c r="T15" s="1">
        <v>27.6</v>
      </c>
      <c r="U15" s="1">
        <v>7.6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208</v>
      </c>
      <c r="D16" s="1">
        <v>13</v>
      </c>
      <c r="E16" s="1">
        <v>125</v>
      </c>
      <c r="F16" s="1">
        <v>87</v>
      </c>
      <c r="G16" s="7">
        <v>0.372</v>
      </c>
      <c r="H16" s="1">
        <v>180</v>
      </c>
      <c r="I16" s="1"/>
      <c r="J16" s="1"/>
      <c r="K16" s="1">
        <v>229</v>
      </c>
      <c r="L16" s="1">
        <f t="shared" si="2"/>
        <v>-104</v>
      </c>
      <c r="M16" s="1"/>
      <c r="N16" s="1"/>
      <c r="O16" s="1">
        <v>324</v>
      </c>
      <c r="P16" s="1">
        <f t="shared" si="3"/>
        <v>25</v>
      </c>
      <c r="Q16" s="5"/>
      <c r="R16" s="1">
        <f t="shared" si="4"/>
        <v>16.440000000000001</v>
      </c>
      <c r="S16" s="1">
        <f t="shared" si="5"/>
        <v>16.440000000000001</v>
      </c>
      <c r="T16" s="1">
        <v>53.2</v>
      </c>
      <c r="U16" s="1">
        <v>26.4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36</v>
      </c>
      <c r="C17" s="1">
        <v>155</v>
      </c>
      <c r="D17" s="9">
        <v>360</v>
      </c>
      <c r="E17" s="1">
        <v>169</v>
      </c>
      <c r="F17" s="9">
        <f>340-180</f>
        <v>160</v>
      </c>
      <c r="G17" s="7">
        <v>0.74399999999999999</v>
      </c>
      <c r="H17" s="1">
        <v>180</v>
      </c>
      <c r="I17" s="1"/>
      <c r="J17" s="1"/>
      <c r="K17" s="1">
        <v>312</v>
      </c>
      <c r="L17" s="1">
        <f t="shared" si="2"/>
        <v>-143</v>
      </c>
      <c r="M17" s="1"/>
      <c r="N17" s="1"/>
      <c r="O17" s="1">
        <v>264</v>
      </c>
      <c r="P17" s="1">
        <f t="shared" si="3"/>
        <v>33.799999999999997</v>
      </c>
      <c r="Q17" s="5">
        <f t="shared" si="7"/>
        <v>82.999999999999943</v>
      </c>
      <c r="R17" s="1">
        <f t="shared" si="4"/>
        <v>15</v>
      </c>
      <c r="S17" s="1">
        <f t="shared" si="5"/>
        <v>12.544378698224854</v>
      </c>
      <c r="T17" s="1">
        <v>43</v>
      </c>
      <c r="U17" s="1">
        <v>35.4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0" t="s">
        <v>52</v>
      </c>
      <c r="AF17" s="1">
        <f t="shared" si="6"/>
        <v>61.75199999999996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36</v>
      </c>
      <c r="C18" s="1">
        <v>21</v>
      </c>
      <c r="D18" s="1">
        <v>1</v>
      </c>
      <c r="E18" s="1">
        <v>15</v>
      </c>
      <c r="F18" s="1">
        <v>3</v>
      </c>
      <c r="G18" s="7">
        <v>0.14000000000000001</v>
      </c>
      <c r="H18" s="1">
        <v>180</v>
      </c>
      <c r="I18" s="1"/>
      <c r="J18" s="1"/>
      <c r="K18" s="1">
        <v>26</v>
      </c>
      <c r="L18" s="1">
        <f t="shared" si="2"/>
        <v>-11</v>
      </c>
      <c r="M18" s="1"/>
      <c r="N18" s="1"/>
      <c r="O18" s="1">
        <v>32</v>
      </c>
      <c r="P18" s="1">
        <f t="shared" si="3"/>
        <v>3</v>
      </c>
      <c r="Q18" s="5">
        <f t="shared" si="7"/>
        <v>10</v>
      </c>
      <c r="R18" s="1">
        <f t="shared" si="4"/>
        <v>15</v>
      </c>
      <c r="S18" s="1">
        <f t="shared" si="5"/>
        <v>11.666666666666666</v>
      </c>
      <c r="T18" s="1">
        <v>5.8</v>
      </c>
      <c r="U18" s="1">
        <v>2.8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/>
      <c r="AF18" s="1">
        <f t="shared" si="6"/>
        <v>1.4000000000000001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36</v>
      </c>
      <c r="C19" s="1">
        <v>3</v>
      </c>
      <c r="D19" s="1">
        <v>1</v>
      </c>
      <c r="E19" s="1">
        <v>2</v>
      </c>
      <c r="F19" s="1">
        <v>3</v>
      </c>
      <c r="G19" s="7">
        <v>0.18</v>
      </c>
      <c r="H19" s="1">
        <v>270</v>
      </c>
      <c r="I19" s="1"/>
      <c r="J19" s="1"/>
      <c r="K19" s="1">
        <v>82</v>
      </c>
      <c r="L19" s="1">
        <f t="shared" si="2"/>
        <v>-80</v>
      </c>
      <c r="M19" s="1"/>
      <c r="N19" s="1"/>
      <c r="O19" s="1">
        <v>80</v>
      </c>
      <c r="P19" s="1">
        <f t="shared" si="3"/>
        <v>0.4</v>
      </c>
      <c r="Q19" s="5"/>
      <c r="R19" s="1">
        <f t="shared" si="4"/>
        <v>207.5</v>
      </c>
      <c r="S19" s="1">
        <f t="shared" si="5"/>
        <v>207.5</v>
      </c>
      <c r="T19" s="1">
        <v>14.8</v>
      </c>
      <c r="U19" s="1">
        <v>1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36</v>
      </c>
      <c r="C20" s="1"/>
      <c r="D20" s="1">
        <v>98</v>
      </c>
      <c r="E20" s="1">
        <v>17</v>
      </c>
      <c r="F20" s="1">
        <v>65</v>
      </c>
      <c r="G20" s="7">
        <v>0.18</v>
      </c>
      <c r="H20" s="1">
        <v>270</v>
      </c>
      <c r="I20" s="1"/>
      <c r="J20" s="1"/>
      <c r="K20" s="1">
        <v>71</v>
      </c>
      <c r="L20" s="1">
        <f t="shared" si="2"/>
        <v>-54</v>
      </c>
      <c r="M20" s="1"/>
      <c r="N20" s="1"/>
      <c r="O20" s="1">
        <v>80</v>
      </c>
      <c r="P20" s="1">
        <f t="shared" si="3"/>
        <v>3.4</v>
      </c>
      <c r="Q20" s="5"/>
      <c r="R20" s="1">
        <f t="shared" si="4"/>
        <v>42.647058823529413</v>
      </c>
      <c r="S20" s="1">
        <f t="shared" si="5"/>
        <v>42.647058823529413</v>
      </c>
      <c r="T20" s="1">
        <v>12.4</v>
      </c>
      <c r="U20" s="1">
        <v>12.2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/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36</v>
      </c>
      <c r="C21" s="1">
        <v>74</v>
      </c>
      <c r="D21" s="1"/>
      <c r="E21" s="1">
        <v>9</v>
      </c>
      <c r="F21" s="1">
        <v>58</v>
      </c>
      <c r="G21" s="7">
        <v>0.1</v>
      </c>
      <c r="H21" s="1">
        <v>60</v>
      </c>
      <c r="I21" s="1"/>
      <c r="J21" s="1"/>
      <c r="K21" s="1">
        <v>18</v>
      </c>
      <c r="L21" s="1">
        <f t="shared" si="2"/>
        <v>-9</v>
      </c>
      <c r="M21" s="1"/>
      <c r="N21" s="1"/>
      <c r="O21" s="1"/>
      <c r="P21" s="1">
        <f t="shared" si="3"/>
        <v>1.8</v>
      </c>
      <c r="Q21" s="5"/>
      <c r="R21" s="1">
        <f t="shared" si="4"/>
        <v>32.222222222222221</v>
      </c>
      <c r="S21" s="1">
        <f t="shared" si="5"/>
        <v>32.222222222222221</v>
      </c>
      <c r="T21" s="1">
        <v>2</v>
      </c>
      <c r="U21" s="1">
        <v>2.4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5" t="s">
        <v>42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36</v>
      </c>
      <c r="C22" s="1">
        <v>375</v>
      </c>
      <c r="D22" s="1">
        <v>241</v>
      </c>
      <c r="E22" s="1">
        <v>429</v>
      </c>
      <c r="F22" s="1">
        <v>47</v>
      </c>
      <c r="G22" s="7">
        <v>0.18</v>
      </c>
      <c r="H22" s="1">
        <v>180</v>
      </c>
      <c r="I22" s="1"/>
      <c r="J22" s="1"/>
      <c r="K22" s="1">
        <v>496</v>
      </c>
      <c r="L22" s="1">
        <f t="shared" si="2"/>
        <v>-67</v>
      </c>
      <c r="M22" s="1"/>
      <c r="N22" s="1"/>
      <c r="O22" s="1">
        <v>580</v>
      </c>
      <c r="P22" s="1">
        <f t="shared" si="3"/>
        <v>85.8</v>
      </c>
      <c r="Q22" s="5">
        <f t="shared" si="7"/>
        <v>660</v>
      </c>
      <c r="R22" s="1">
        <f t="shared" si="4"/>
        <v>15</v>
      </c>
      <c r="S22" s="1">
        <f t="shared" si="5"/>
        <v>7.3076923076923084</v>
      </c>
      <c r="T22" s="1">
        <v>89.8</v>
      </c>
      <c r="U22" s="1">
        <v>60.2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/>
      <c r="AF22" s="1">
        <f t="shared" si="6"/>
        <v>118.8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36</v>
      </c>
      <c r="C23" s="1">
        <v>267</v>
      </c>
      <c r="D23" s="1">
        <v>16</v>
      </c>
      <c r="E23" s="1">
        <v>210</v>
      </c>
      <c r="F23" s="1">
        <v>60</v>
      </c>
      <c r="G23" s="7">
        <v>0.18</v>
      </c>
      <c r="H23" s="1">
        <v>180</v>
      </c>
      <c r="I23" s="1"/>
      <c r="J23" s="1"/>
      <c r="K23" s="1">
        <v>542</v>
      </c>
      <c r="L23" s="1">
        <f t="shared" si="2"/>
        <v>-332</v>
      </c>
      <c r="M23" s="1"/>
      <c r="N23" s="1"/>
      <c r="O23" s="1">
        <v>610</v>
      </c>
      <c r="P23" s="1">
        <f t="shared" si="3"/>
        <v>42</v>
      </c>
      <c r="Q23" s="5"/>
      <c r="R23" s="1">
        <f t="shared" si="4"/>
        <v>15.952380952380953</v>
      </c>
      <c r="S23" s="1">
        <f t="shared" si="5"/>
        <v>15.952380952380953</v>
      </c>
      <c r="T23" s="1">
        <v>110</v>
      </c>
      <c r="U23" s="1">
        <v>7.4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 t="s">
        <v>59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36</v>
      </c>
      <c r="C24" s="1">
        <v>49</v>
      </c>
      <c r="D24" s="1"/>
      <c r="E24" s="1">
        <v>6</v>
      </c>
      <c r="F24" s="1">
        <v>43</v>
      </c>
      <c r="G24" s="7">
        <v>0.4</v>
      </c>
      <c r="H24" s="1">
        <v>270</v>
      </c>
      <c r="I24" s="1"/>
      <c r="J24" s="1"/>
      <c r="K24" s="1">
        <v>6</v>
      </c>
      <c r="L24" s="1">
        <f t="shared" si="2"/>
        <v>0</v>
      </c>
      <c r="M24" s="1"/>
      <c r="N24" s="1"/>
      <c r="O24" s="1"/>
      <c r="P24" s="1">
        <f t="shared" si="3"/>
        <v>1.2</v>
      </c>
      <c r="Q24" s="5"/>
      <c r="R24" s="1">
        <f t="shared" si="4"/>
        <v>35.833333333333336</v>
      </c>
      <c r="S24" s="1">
        <f t="shared" si="5"/>
        <v>35.833333333333336</v>
      </c>
      <c r="T24" s="1">
        <v>1.2</v>
      </c>
      <c r="U24" s="1">
        <v>1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5" t="s">
        <v>42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36</v>
      </c>
      <c r="C25" s="1">
        <v>87</v>
      </c>
      <c r="D25" s="1"/>
      <c r="E25" s="1"/>
      <c r="F25" s="1">
        <v>87</v>
      </c>
      <c r="G25" s="7">
        <v>0.4</v>
      </c>
      <c r="H25" s="1">
        <v>270</v>
      </c>
      <c r="I25" s="1"/>
      <c r="J25" s="1"/>
      <c r="K25" s="1">
        <v>3</v>
      </c>
      <c r="L25" s="1">
        <f t="shared" si="2"/>
        <v>-3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5" t="s">
        <v>42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36</v>
      </c>
      <c r="C26" s="1">
        <v>195</v>
      </c>
      <c r="D26" s="1"/>
      <c r="E26" s="1">
        <v>2</v>
      </c>
      <c r="F26" s="1">
        <v>173</v>
      </c>
      <c r="G26" s="7">
        <v>0.18</v>
      </c>
      <c r="H26" s="1">
        <v>270</v>
      </c>
      <c r="I26" s="1"/>
      <c r="J26" s="1"/>
      <c r="K26" s="1">
        <v>4</v>
      </c>
      <c r="L26" s="1">
        <f t="shared" si="2"/>
        <v>-2</v>
      </c>
      <c r="M26" s="1"/>
      <c r="N26" s="1"/>
      <c r="O26" s="1"/>
      <c r="P26" s="1">
        <f t="shared" si="3"/>
        <v>0.4</v>
      </c>
      <c r="Q26" s="5"/>
      <c r="R26" s="1">
        <f t="shared" si="4"/>
        <v>432.5</v>
      </c>
      <c r="S26" s="1">
        <f t="shared" si="5"/>
        <v>432.5</v>
      </c>
      <c r="T26" s="1">
        <v>3.2</v>
      </c>
      <c r="U26" s="1">
        <v>0.2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5" t="s">
        <v>42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36</v>
      </c>
      <c r="C27" s="1">
        <v>24</v>
      </c>
      <c r="D27" s="1"/>
      <c r="E27" s="1"/>
      <c r="F27" s="1">
        <v>24</v>
      </c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5" t="s">
        <v>42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41</v>
      </c>
      <c r="C28" s="1">
        <v>14.645</v>
      </c>
      <c r="D28" s="1"/>
      <c r="E28" s="1"/>
      <c r="F28" s="1">
        <v>14.645</v>
      </c>
      <c r="G28" s="7">
        <v>1</v>
      </c>
      <c r="H28" s="1">
        <v>180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-0.36159999999999998</v>
      </c>
      <c r="U28" s="1">
        <v>0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5" t="s">
        <v>42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65</v>
      </c>
      <c r="B29" s="1" t="s">
        <v>41</v>
      </c>
      <c r="C29" s="1">
        <v>59.395000000000003</v>
      </c>
      <c r="D29" s="1"/>
      <c r="E29" s="1"/>
      <c r="F29" s="1">
        <v>59.395000000000003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5" t="s">
        <v>42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66</v>
      </c>
      <c r="B30" s="1" t="s">
        <v>36</v>
      </c>
      <c r="C30" s="1">
        <v>111</v>
      </c>
      <c r="D30" s="1"/>
      <c r="E30" s="1">
        <v>-4</v>
      </c>
      <c r="F30" s="1">
        <v>111</v>
      </c>
      <c r="G30" s="7">
        <v>0.18</v>
      </c>
      <c r="H30" s="1">
        <v>150</v>
      </c>
      <c r="I30" s="1"/>
      <c r="J30" s="1"/>
      <c r="K30" s="1">
        <v>182</v>
      </c>
      <c r="L30" s="1">
        <f t="shared" si="2"/>
        <v>-186</v>
      </c>
      <c r="M30" s="1"/>
      <c r="N30" s="1"/>
      <c r="O30" s="1"/>
      <c r="P30" s="1">
        <f t="shared" si="3"/>
        <v>-0.8</v>
      </c>
      <c r="Q30" s="5"/>
      <c r="R30" s="1">
        <f t="shared" si="4"/>
        <v>-138.75</v>
      </c>
      <c r="S30" s="1">
        <f t="shared" si="5"/>
        <v>-138.75</v>
      </c>
      <c r="T30" s="1">
        <v>0</v>
      </c>
      <c r="U30" s="1">
        <v>0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5" t="s">
        <v>42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67</v>
      </c>
      <c r="B31" s="1" t="s">
        <v>36</v>
      </c>
      <c r="C31" s="1">
        <v>146</v>
      </c>
      <c r="D31" s="1">
        <v>10</v>
      </c>
      <c r="E31" s="1">
        <v>107</v>
      </c>
      <c r="F31" s="1">
        <v>29</v>
      </c>
      <c r="G31" s="7">
        <v>0.1</v>
      </c>
      <c r="H31" s="1">
        <v>90</v>
      </c>
      <c r="I31" s="1"/>
      <c r="J31" s="1"/>
      <c r="K31" s="1">
        <v>117</v>
      </c>
      <c r="L31" s="1">
        <f t="shared" si="2"/>
        <v>-10</v>
      </c>
      <c r="M31" s="1"/>
      <c r="N31" s="1"/>
      <c r="O31" s="1">
        <v>96</v>
      </c>
      <c r="P31" s="1">
        <f t="shared" si="3"/>
        <v>21.4</v>
      </c>
      <c r="Q31" s="5">
        <f>13*P31-O31-F31</f>
        <v>153.19999999999999</v>
      </c>
      <c r="R31" s="1">
        <f t="shared" si="4"/>
        <v>13</v>
      </c>
      <c r="S31" s="1">
        <f t="shared" si="5"/>
        <v>5.8411214953271031</v>
      </c>
      <c r="T31" s="1">
        <v>16.2</v>
      </c>
      <c r="U31" s="1">
        <v>9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/>
      <c r="AF31" s="1">
        <f t="shared" si="6"/>
        <v>15.32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68</v>
      </c>
      <c r="B32" s="1" t="s">
        <v>36</v>
      </c>
      <c r="C32" s="1">
        <v>181</v>
      </c>
      <c r="D32" s="1">
        <v>214</v>
      </c>
      <c r="E32" s="1">
        <v>68</v>
      </c>
      <c r="F32" s="1">
        <v>265</v>
      </c>
      <c r="G32" s="7">
        <v>0.1</v>
      </c>
      <c r="H32" s="1">
        <v>60</v>
      </c>
      <c r="I32" s="1"/>
      <c r="J32" s="1"/>
      <c r="K32" s="1">
        <v>86</v>
      </c>
      <c r="L32" s="1">
        <f t="shared" si="2"/>
        <v>-18</v>
      </c>
      <c r="M32" s="1"/>
      <c r="N32" s="1"/>
      <c r="O32" s="1">
        <v>176</v>
      </c>
      <c r="P32" s="1">
        <f t="shared" si="3"/>
        <v>13.6</v>
      </c>
      <c r="Q32" s="5"/>
      <c r="R32" s="1">
        <f t="shared" si="4"/>
        <v>32.426470588235297</v>
      </c>
      <c r="S32" s="1">
        <f t="shared" si="5"/>
        <v>32.426470588235297</v>
      </c>
      <c r="T32" s="1">
        <v>37.200000000000003</v>
      </c>
      <c r="U32" s="1">
        <v>35.4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5" t="s">
        <v>42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36</v>
      </c>
      <c r="C33" s="1">
        <v>145</v>
      </c>
      <c r="D33" s="1">
        <v>146</v>
      </c>
      <c r="E33" s="1">
        <v>79</v>
      </c>
      <c r="F33" s="1">
        <v>164</v>
      </c>
      <c r="G33" s="7">
        <v>0.1</v>
      </c>
      <c r="H33" s="1">
        <v>90</v>
      </c>
      <c r="I33" s="1"/>
      <c r="J33" s="1"/>
      <c r="K33" s="1">
        <v>96</v>
      </c>
      <c r="L33" s="1">
        <f t="shared" si="2"/>
        <v>-17</v>
      </c>
      <c r="M33" s="1"/>
      <c r="N33" s="1"/>
      <c r="O33" s="1">
        <v>40</v>
      </c>
      <c r="P33" s="1">
        <f t="shared" si="3"/>
        <v>15.8</v>
      </c>
      <c r="Q33" s="5">
        <f t="shared" si="7"/>
        <v>33</v>
      </c>
      <c r="R33" s="1">
        <f t="shared" si="4"/>
        <v>15</v>
      </c>
      <c r="S33" s="1">
        <f t="shared" si="5"/>
        <v>12.911392405063291</v>
      </c>
      <c r="T33" s="1">
        <v>20.8</v>
      </c>
      <c r="U33" s="1">
        <v>22.6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/>
      <c r="AF33" s="1">
        <f t="shared" si="6"/>
        <v>3.3000000000000003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36</v>
      </c>
      <c r="C34" s="1">
        <v>95</v>
      </c>
      <c r="D34" s="1"/>
      <c r="E34" s="1">
        <v>-5</v>
      </c>
      <c r="F34" s="1">
        <v>95</v>
      </c>
      <c r="G34" s="7">
        <v>0.18</v>
      </c>
      <c r="H34" s="1">
        <v>150</v>
      </c>
      <c r="I34" s="1"/>
      <c r="J34" s="1"/>
      <c r="K34" s="1">
        <v>228</v>
      </c>
      <c r="L34" s="1">
        <f t="shared" si="2"/>
        <v>-233</v>
      </c>
      <c r="M34" s="1"/>
      <c r="N34" s="1"/>
      <c r="O34" s="1"/>
      <c r="P34" s="1">
        <f t="shared" si="3"/>
        <v>-1</v>
      </c>
      <c r="Q34" s="5"/>
      <c r="R34" s="1">
        <f t="shared" si="4"/>
        <v>-95</v>
      </c>
      <c r="S34" s="1">
        <f t="shared" si="5"/>
        <v>-95</v>
      </c>
      <c r="T34" s="1">
        <v>-0.6</v>
      </c>
      <c r="U34" s="1">
        <v>-0.8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5" t="s">
        <v>42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36</v>
      </c>
      <c r="C35" s="1">
        <v>97</v>
      </c>
      <c r="D35" s="1">
        <v>344</v>
      </c>
      <c r="E35" s="1">
        <v>74</v>
      </c>
      <c r="F35" s="1">
        <v>211</v>
      </c>
      <c r="G35" s="7">
        <v>0.18</v>
      </c>
      <c r="H35" s="1">
        <v>150</v>
      </c>
      <c r="I35" s="1"/>
      <c r="J35" s="1"/>
      <c r="K35" s="1">
        <v>434</v>
      </c>
      <c r="L35" s="1">
        <f t="shared" si="2"/>
        <v>-360</v>
      </c>
      <c r="M35" s="1"/>
      <c r="N35" s="1"/>
      <c r="O35" s="1">
        <v>160</v>
      </c>
      <c r="P35" s="1">
        <f t="shared" si="3"/>
        <v>14.8</v>
      </c>
      <c r="Q35" s="5"/>
      <c r="R35" s="1">
        <f t="shared" si="4"/>
        <v>25.067567567567565</v>
      </c>
      <c r="S35" s="1">
        <f t="shared" si="5"/>
        <v>25.067567567567565</v>
      </c>
      <c r="T35" s="1">
        <v>37.799999999999997</v>
      </c>
      <c r="U35" s="1">
        <v>36.799999999999997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36</v>
      </c>
      <c r="C36" s="1">
        <v>3</v>
      </c>
      <c r="D36" s="1"/>
      <c r="E36" s="1"/>
      <c r="F36" s="1">
        <v>3</v>
      </c>
      <c r="G36" s="7">
        <v>0.18</v>
      </c>
      <c r="H36" s="1">
        <v>150</v>
      </c>
      <c r="I36" s="1"/>
      <c r="J36" s="1"/>
      <c r="K36" s="1">
        <v>86</v>
      </c>
      <c r="L36" s="1">
        <f t="shared" si="2"/>
        <v>-86</v>
      </c>
      <c r="M36" s="1"/>
      <c r="N36" s="1"/>
      <c r="O36" s="1"/>
      <c r="P36" s="1">
        <f t="shared" si="3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0</v>
      </c>
      <c r="U36" s="1">
        <v>0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 t="s">
        <v>73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74</v>
      </c>
      <c r="B37" s="1" t="s">
        <v>36</v>
      </c>
      <c r="C37" s="1">
        <v>80</v>
      </c>
      <c r="D37" s="1">
        <v>12</v>
      </c>
      <c r="E37" s="1">
        <v>33</v>
      </c>
      <c r="F37" s="1">
        <v>43</v>
      </c>
      <c r="G37" s="7">
        <v>0.18</v>
      </c>
      <c r="H37" s="1">
        <v>150</v>
      </c>
      <c r="I37" s="1"/>
      <c r="J37" s="1"/>
      <c r="K37" s="1">
        <v>133</v>
      </c>
      <c r="L37" s="1">
        <f t="shared" si="2"/>
        <v>-100</v>
      </c>
      <c r="M37" s="1"/>
      <c r="N37" s="1"/>
      <c r="O37" s="1">
        <v>70</v>
      </c>
      <c r="P37" s="1">
        <f t="shared" si="3"/>
        <v>6.6</v>
      </c>
      <c r="Q37" s="5"/>
      <c r="R37" s="1">
        <f t="shared" si="4"/>
        <v>17.121212121212121</v>
      </c>
      <c r="S37" s="1">
        <f t="shared" si="5"/>
        <v>17.121212121212121</v>
      </c>
      <c r="T37" s="1">
        <v>11.8</v>
      </c>
      <c r="U37" s="1">
        <v>8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36</v>
      </c>
      <c r="C38" s="1">
        <v>202</v>
      </c>
      <c r="D38" s="1">
        <v>537</v>
      </c>
      <c r="E38" s="1">
        <v>147</v>
      </c>
      <c r="F38" s="1">
        <v>430</v>
      </c>
      <c r="G38" s="7">
        <v>0.18</v>
      </c>
      <c r="H38" s="1">
        <v>150</v>
      </c>
      <c r="I38" s="1"/>
      <c r="J38" s="1"/>
      <c r="K38" s="1">
        <v>370</v>
      </c>
      <c r="L38" s="1">
        <f t="shared" ref="L38:L69" si="8">E38-K38</f>
        <v>-223</v>
      </c>
      <c r="M38" s="1"/>
      <c r="N38" s="1"/>
      <c r="O38" s="1">
        <v>350</v>
      </c>
      <c r="P38" s="1">
        <f t="shared" ref="P38:P55" si="9">E38/5</f>
        <v>29.4</v>
      </c>
      <c r="Q38" s="5"/>
      <c r="R38" s="1">
        <f t="shared" ref="R38:R69" si="10">(F38+O38+Q38)/P38</f>
        <v>26.530612244897959</v>
      </c>
      <c r="S38" s="1">
        <f t="shared" ref="S38:S55" si="11">(F38+O38)/P38</f>
        <v>26.530612244897959</v>
      </c>
      <c r="T38" s="1">
        <v>71.8</v>
      </c>
      <c r="U38" s="1">
        <v>65.8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/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36</v>
      </c>
      <c r="C39" s="1">
        <v>32</v>
      </c>
      <c r="D39" s="1">
        <v>164</v>
      </c>
      <c r="E39" s="1">
        <v>29</v>
      </c>
      <c r="F39" s="1">
        <v>59</v>
      </c>
      <c r="G39" s="7">
        <v>0.18</v>
      </c>
      <c r="H39" s="1">
        <v>150</v>
      </c>
      <c r="I39" s="1"/>
      <c r="J39" s="1"/>
      <c r="K39" s="1">
        <v>228</v>
      </c>
      <c r="L39" s="1">
        <f t="shared" si="8"/>
        <v>-199</v>
      </c>
      <c r="M39" s="1"/>
      <c r="N39" s="1"/>
      <c r="O39" s="1">
        <v>200</v>
      </c>
      <c r="P39" s="1">
        <f t="shared" si="9"/>
        <v>5.8</v>
      </c>
      <c r="Q39" s="5"/>
      <c r="R39" s="1">
        <f t="shared" si="10"/>
        <v>44.655172413793103</v>
      </c>
      <c r="S39" s="1">
        <f t="shared" si="11"/>
        <v>44.655172413793103</v>
      </c>
      <c r="T39" s="1">
        <v>33.200000000000003</v>
      </c>
      <c r="U39" s="1">
        <v>16.600000000000001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/>
      <c r="AF39" s="1">
        <f t="shared" si="6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36</v>
      </c>
      <c r="C40" s="1">
        <v>22</v>
      </c>
      <c r="D40" s="1">
        <v>8</v>
      </c>
      <c r="E40" s="1">
        <v>1</v>
      </c>
      <c r="F40" s="1">
        <v>24</v>
      </c>
      <c r="G40" s="7">
        <v>0.1</v>
      </c>
      <c r="H40" s="1">
        <v>60</v>
      </c>
      <c r="I40" s="1"/>
      <c r="J40" s="1"/>
      <c r="K40" s="1">
        <v>26</v>
      </c>
      <c r="L40" s="1">
        <f t="shared" si="8"/>
        <v>-25</v>
      </c>
      <c r="M40" s="1"/>
      <c r="N40" s="1"/>
      <c r="O40" s="1"/>
      <c r="P40" s="1">
        <f t="shared" si="9"/>
        <v>0.2</v>
      </c>
      <c r="Q40" s="5"/>
      <c r="R40" s="1">
        <f t="shared" si="10"/>
        <v>120</v>
      </c>
      <c r="S40" s="1">
        <f t="shared" si="11"/>
        <v>120</v>
      </c>
      <c r="T40" s="1">
        <v>0.8</v>
      </c>
      <c r="U40" s="1">
        <v>2.2000000000000002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5" t="s">
        <v>42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78</v>
      </c>
      <c r="B41" s="1" t="s">
        <v>36</v>
      </c>
      <c r="C41" s="1">
        <v>10</v>
      </c>
      <c r="D41" s="1">
        <v>16</v>
      </c>
      <c r="E41" s="1">
        <v>12</v>
      </c>
      <c r="F41" s="1">
        <v>6</v>
      </c>
      <c r="G41" s="7">
        <v>0.14000000000000001</v>
      </c>
      <c r="H41" s="1">
        <v>180</v>
      </c>
      <c r="I41" s="1"/>
      <c r="J41" s="1"/>
      <c r="K41" s="1">
        <v>59</v>
      </c>
      <c r="L41" s="1">
        <f t="shared" si="8"/>
        <v>-47</v>
      </c>
      <c r="M41" s="1"/>
      <c r="N41" s="1"/>
      <c r="O41" s="1">
        <v>48</v>
      </c>
      <c r="P41" s="1">
        <f t="shared" si="9"/>
        <v>2.4</v>
      </c>
      <c r="Q41" s="5"/>
      <c r="R41" s="1">
        <f t="shared" si="10"/>
        <v>22.5</v>
      </c>
      <c r="S41" s="1">
        <f t="shared" si="11"/>
        <v>22.5</v>
      </c>
      <c r="T41" s="1">
        <v>7.8</v>
      </c>
      <c r="U41" s="1">
        <v>4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/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79</v>
      </c>
      <c r="B42" s="1" t="s">
        <v>36</v>
      </c>
      <c r="C42" s="1">
        <v>10</v>
      </c>
      <c r="D42" s="1">
        <v>162</v>
      </c>
      <c r="E42" s="1">
        <v>34</v>
      </c>
      <c r="F42" s="1">
        <v>115</v>
      </c>
      <c r="G42" s="7">
        <v>0.18</v>
      </c>
      <c r="H42" s="1">
        <v>270</v>
      </c>
      <c r="I42" s="1"/>
      <c r="J42" s="1"/>
      <c r="K42" s="1">
        <v>96</v>
      </c>
      <c r="L42" s="1">
        <f t="shared" si="8"/>
        <v>-62</v>
      </c>
      <c r="M42" s="1"/>
      <c r="N42" s="1"/>
      <c r="O42" s="1">
        <v>144</v>
      </c>
      <c r="P42" s="1">
        <f t="shared" si="9"/>
        <v>6.8</v>
      </c>
      <c r="Q42" s="5"/>
      <c r="R42" s="1">
        <f t="shared" si="10"/>
        <v>38.088235294117645</v>
      </c>
      <c r="S42" s="1">
        <f t="shared" si="11"/>
        <v>38.088235294117645</v>
      </c>
      <c r="T42" s="1">
        <v>23.6</v>
      </c>
      <c r="U42" s="1">
        <v>19.2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/>
      <c r="AF42" s="1">
        <f t="shared" si="6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80</v>
      </c>
      <c r="B43" s="1" t="s">
        <v>41</v>
      </c>
      <c r="C43" s="1">
        <v>185.08600000000001</v>
      </c>
      <c r="D43" s="1"/>
      <c r="E43" s="1">
        <v>6.6559999999999997</v>
      </c>
      <c r="F43" s="1">
        <v>178.43</v>
      </c>
      <c r="G43" s="7">
        <v>1</v>
      </c>
      <c r="H43" s="1">
        <v>180</v>
      </c>
      <c r="I43" s="1" t="s">
        <v>81</v>
      </c>
      <c r="J43" s="1"/>
      <c r="K43" s="1">
        <v>6.5</v>
      </c>
      <c r="L43" s="1">
        <f t="shared" si="8"/>
        <v>0.15599999999999969</v>
      </c>
      <c r="M43" s="1"/>
      <c r="N43" s="1"/>
      <c r="O43" s="1"/>
      <c r="P43" s="1">
        <f t="shared" si="9"/>
        <v>1.3311999999999999</v>
      </c>
      <c r="Q43" s="5"/>
      <c r="R43" s="1">
        <f t="shared" si="10"/>
        <v>134.03695913461539</v>
      </c>
      <c r="S43" s="1">
        <f t="shared" si="11"/>
        <v>134.03695913461539</v>
      </c>
      <c r="T43" s="1">
        <v>0</v>
      </c>
      <c r="U43" s="1">
        <v>1.2927999999999999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6" t="s">
        <v>96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41</v>
      </c>
      <c r="C44" s="1">
        <v>7.8579999999999997</v>
      </c>
      <c r="D44" s="1">
        <v>38.652000000000001</v>
      </c>
      <c r="E44" s="1">
        <v>13.35</v>
      </c>
      <c r="F44" s="1">
        <v>4.3460000000000001</v>
      </c>
      <c r="G44" s="7">
        <v>1</v>
      </c>
      <c r="H44" s="1">
        <v>180</v>
      </c>
      <c r="I44" s="1"/>
      <c r="J44" s="1"/>
      <c r="K44" s="1">
        <v>22.5</v>
      </c>
      <c r="L44" s="1">
        <f t="shared" si="8"/>
        <v>-9.15</v>
      </c>
      <c r="M44" s="1"/>
      <c r="N44" s="1"/>
      <c r="O44" s="1">
        <v>50</v>
      </c>
      <c r="P44" s="1">
        <f t="shared" si="9"/>
        <v>2.67</v>
      </c>
      <c r="Q44" s="5"/>
      <c r="R44" s="1">
        <f t="shared" si="10"/>
        <v>20.35430711610487</v>
      </c>
      <c r="S44" s="1">
        <f t="shared" si="11"/>
        <v>20.35430711610487</v>
      </c>
      <c r="T44" s="1">
        <v>7.628400000000001</v>
      </c>
      <c r="U44" s="1">
        <v>3.3647999999999998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/>
      <c r="AF44" s="1">
        <f t="shared" si="6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1" t="s">
        <v>83</v>
      </c>
      <c r="B45" s="11" t="s">
        <v>41</v>
      </c>
      <c r="C45" s="11">
        <v>-6.4880000000000004</v>
      </c>
      <c r="D45" s="11"/>
      <c r="E45" s="14">
        <v>1.1319999999999999</v>
      </c>
      <c r="F45" s="14">
        <v>-7.62</v>
      </c>
      <c r="G45" s="12">
        <v>0</v>
      </c>
      <c r="H45" s="11"/>
      <c r="I45" s="11" t="s">
        <v>84</v>
      </c>
      <c r="J45" s="11" t="s">
        <v>40</v>
      </c>
      <c r="K45" s="11">
        <v>11.2</v>
      </c>
      <c r="L45" s="11">
        <f t="shared" si="8"/>
        <v>-10.068</v>
      </c>
      <c r="M45" s="11"/>
      <c r="N45" s="11"/>
      <c r="O45" s="11"/>
      <c r="P45" s="11">
        <f t="shared" si="9"/>
        <v>0.22639999999999999</v>
      </c>
      <c r="Q45" s="13"/>
      <c r="R45" s="11">
        <f t="shared" si="10"/>
        <v>-33.657243816254422</v>
      </c>
      <c r="S45" s="11">
        <f t="shared" si="11"/>
        <v>-33.657243816254422</v>
      </c>
      <c r="T45" s="11">
        <v>0.27200000000000002</v>
      </c>
      <c r="U45" s="11">
        <v>0.50119999999999998</v>
      </c>
      <c r="V45" s="11">
        <v>0.52439999999999998</v>
      </c>
      <c r="W45" s="11">
        <v>0.71760000000000002</v>
      </c>
      <c r="X45" s="11">
        <v>0</v>
      </c>
      <c r="Y45" s="11">
        <v>0.2276</v>
      </c>
      <c r="Z45" s="11">
        <v>0</v>
      </c>
      <c r="AA45" s="11">
        <v>0</v>
      </c>
      <c r="AB45" s="11">
        <v>0.66239999999999999</v>
      </c>
      <c r="AC45" s="11">
        <v>0.248</v>
      </c>
      <c r="AD45" s="11">
        <v>0</v>
      </c>
      <c r="AE45" s="11"/>
      <c r="AF45" s="1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41</v>
      </c>
      <c r="C46" s="1">
        <v>26.097999999999999</v>
      </c>
      <c r="D46" s="1">
        <v>107.66800000000001</v>
      </c>
      <c r="E46" s="1">
        <v>41.222000000000001</v>
      </c>
      <c r="F46" s="1">
        <v>80</v>
      </c>
      <c r="G46" s="7">
        <v>1</v>
      </c>
      <c r="H46" s="1">
        <v>180</v>
      </c>
      <c r="I46" s="1"/>
      <c r="J46" s="1"/>
      <c r="K46" s="1">
        <v>81.8</v>
      </c>
      <c r="L46" s="1">
        <f t="shared" si="8"/>
        <v>-40.577999999999996</v>
      </c>
      <c r="M46" s="1"/>
      <c r="N46" s="1"/>
      <c r="O46" s="1">
        <v>66</v>
      </c>
      <c r="P46" s="1">
        <f t="shared" si="9"/>
        <v>8.2444000000000006</v>
      </c>
      <c r="Q46" s="5"/>
      <c r="R46" s="1">
        <f t="shared" si="10"/>
        <v>17.708990344961428</v>
      </c>
      <c r="S46" s="1">
        <f t="shared" si="11"/>
        <v>17.708990344961428</v>
      </c>
      <c r="T46" s="1">
        <v>13.1412</v>
      </c>
      <c r="U46" s="1">
        <v>13.5068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 t="s">
        <v>86</v>
      </c>
      <c r="AF46" s="1">
        <f t="shared" ref="AF46:AF53" si="12">G46*Q46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87</v>
      </c>
      <c r="B47" s="1" t="s">
        <v>41</v>
      </c>
      <c r="C47" s="1">
        <v>62</v>
      </c>
      <c r="D47" s="1">
        <v>3.012</v>
      </c>
      <c r="E47" s="1">
        <v>6.5039999999999996</v>
      </c>
      <c r="F47" s="1">
        <v>55.496000000000002</v>
      </c>
      <c r="G47" s="7">
        <v>1</v>
      </c>
      <c r="H47" s="1">
        <v>180</v>
      </c>
      <c r="I47" s="1"/>
      <c r="J47" s="1"/>
      <c r="K47" s="1">
        <v>9.1999999999999993</v>
      </c>
      <c r="L47" s="1">
        <f t="shared" si="8"/>
        <v>-2.6959999999999997</v>
      </c>
      <c r="M47" s="1"/>
      <c r="N47" s="1"/>
      <c r="O47" s="1"/>
      <c r="P47" s="1">
        <f t="shared" si="9"/>
        <v>1.3008</v>
      </c>
      <c r="Q47" s="5"/>
      <c r="R47" s="1">
        <f t="shared" si="10"/>
        <v>42.662976629766298</v>
      </c>
      <c r="S47" s="1">
        <f t="shared" si="11"/>
        <v>42.662976629766298</v>
      </c>
      <c r="T47" s="1">
        <v>0</v>
      </c>
      <c r="U47" s="1">
        <v>1.274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5" t="s">
        <v>42</v>
      </c>
      <c r="AF47" s="1">
        <f t="shared" si="12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36</v>
      </c>
      <c r="C48" s="1">
        <v>336</v>
      </c>
      <c r="D48" s="1">
        <v>28</v>
      </c>
      <c r="E48" s="1">
        <v>285</v>
      </c>
      <c r="F48" s="1">
        <v>16</v>
      </c>
      <c r="G48" s="7">
        <v>0.1</v>
      </c>
      <c r="H48" s="1">
        <v>60</v>
      </c>
      <c r="I48" s="1"/>
      <c r="J48" s="1"/>
      <c r="K48" s="1">
        <v>324</v>
      </c>
      <c r="L48" s="1">
        <f t="shared" si="8"/>
        <v>-39</v>
      </c>
      <c r="M48" s="1"/>
      <c r="N48" s="1"/>
      <c r="O48" s="1">
        <v>354</v>
      </c>
      <c r="P48" s="1">
        <f t="shared" si="9"/>
        <v>57</v>
      </c>
      <c r="Q48" s="5">
        <f t="shared" ref="Q46:Q53" si="13">15*P48-O48-F48</f>
        <v>485</v>
      </c>
      <c r="R48" s="1">
        <f t="shared" si="10"/>
        <v>15</v>
      </c>
      <c r="S48" s="1">
        <f t="shared" si="11"/>
        <v>6.4912280701754383</v>
      </c>
      <c r="T48" s="1">
        <v>62.8</v>
      </c>
      <c r="U48" s="1">
        <v>4.8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/>
      <c r="AF48" s="1">
        <f t="shared" si="12"/>
        <v>48.5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36</v>
      </c>
      <c r="C49" s="1">
        <v>199</v>
      </c>
      <c r="D49" s="1">
        <v>176</v>
      </c>
      <c r="E49" s="1">
        <v>209</v>
      </c>
      <c r="F49" s="1">
        <v>65</v>
      </c>
      <c r="G49" s="7">
        <v>0.1</v>
      </c>
      <c r="H49" s="1">
        <v>90</v>
      </c>
      <c r="I49" s="1"/>
      <c r="J49" s="1"/>
      <c r="K49" s="1">
        <v>267</v>
      </c>
      <c r="L49" s="1">
        <f t="shared" si="8"/>
        <v>-58</v>
      </c>
      <c r="M49" s="1"/>
      <c r="N49" s="1"/>
      <c r="O49" s="1">
        <v>300</v>
      </c>
      <c r="P49" s="1">
        <f t="shared" si="9"/>
        <v>41.8</v>
      </c>
      <c r="Q49" s="5">
        <f t="shared" si="13"/>
        <v>262</v>
      </c>
      <c r="R49" s="1">
        <f t="shared" si="10"/>
        <v>15.000000000000002</v>
      </c>
      <c r="S49" s="1">
        <f t="shared" si="11"/>
        <v>8.7320574162679439</v>
      </c>
      <c r="T49" s="1">
        <v>47</v>
      </c>
      <c r="U49" s="1">
        <v>33.4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/>
      <c r="AF49" s="1">
        <f t="shared" si="12"/>
        <v>26.200000000000003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90</v>
      </c>
      <c r="B50" s="1" t="s">
        <v>36</v>
      </c>
      <c r="C50" s="1">
        <v>40</v>
      </c>
      <c r="D50" s="1">
        <v>38</v>
      </c>
      <c r="E50" s="1">
        <v>40</v>
      </c>
      <c r="F50" s="1">
        <v>16</v>
      </c>
      <c r="G50" s="7">
        <v>0.14000000000000001</v>
      </c>
      <c r="H50" s="1">
        <v>180</v>
      </c>
      <c r="I50" s="1"/>
      <c r="J50" s="1"/>
      <c r="K50" s="1">
        <v>75</v>
      </c>
      <c r="L50" s="1">
        <f t="shared" si="8"/>
        <v>-35</v>
      </c>
      <c r="M50" s="1"/>
      <c r="N50" s="1"/>
      <c r="O50" s="1">
        <v>48</v>
      </c>
      <c r="P50" s="1">
        <f t="shared" si="9"/>
        <v>8</v>
      </c>
      <c r="Q50" s="5">
        <f t="shared" si="13"/>
        <v>56</v>
      </c>
      <c r="R50" s="1">
        <f t="shared" si="10"/>
        <v>15</v>
      </c>
      <c r="S50" s="1">
        <f t="shared" si="11"/>
        <v>8</v>
      </c>
      <c r="T50" s="1">
        <v>8.1999999999999993</v>
      </c>
      <c r="U50" s="1">
        <v>6.6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/>
      <c r="AF50" s="1">
        <f t="shared" si="12"/>
        <v>7.8400000000000007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36</v>
      </c>
      <c r="C51" s="1">
        <v>8</v>
      </c>
      <c r="D51" s="1">
        <v>72</v>
      </c>
      <c r="E51" s="1">
        <v>13</v>
      </c>
      <c r="F51" s="1">
        <v>54</v>
      </c>
      <c r="G51" s="7">
        <v>0.2</v>
      </c>
      <c r="H51" s="1">
        <v>120</v>
      </c>
      <c r="I51" s="1"/>
      <c r="J51" s="1"/>
      <c r="K51" s="1">
        <v>55</v>
      </c>
      <c r="L51" s="1">
        <f t="shared" si="8"/>
        <v>-42</v>
      </c>
      <c r="M51" s="1"/>
      <c r="N51" s="1"/>
      <c r="O51" s="1"/>
      <c r="P51" s="1">
        <f t="shared" si="9"/>
        <v>2.6</v>
      </c>
      <c r="Q51" s="5"/>
      <c r="R51" s="1">
        <f t="shared" si="10"/>
        <v>20.76923076923077</v>
      </c>
      <c r="S51" s="1">
        <f t="shared" si="11"/>
        <v>20.76923076923077</v>
      </c>
      <c r="T51" s="1">
        <v>1</v>
      </c>
      <c r="U51" s="1">
        <v>8.1999999999999993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/>
      <c r="AF51" s="1">
        <f t="shared" si="12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41</v>
      </c>
      <c r="C52" s="1">
        <v>110.39700000000001</v>
      </c>
      <c r="D52" s="1"/>
      <c r="E52" s="1"/>
      <c r="F52" s="1">
        <v>110.39700000000001</v>
      </c>
      <c r="G52" s="7">
        <v>1</v>
      </c>
      <c r="H52" s="1">
        <v>120</v>
      </c>
      <c r="I52" s="1"/>
      <c r="J52" s="1"/>
      <c r="K52" s="1">
        <v>3.5</v>
      </c>
      <c r="L52" s="1">
        <f t="shared" si="8"/>
        <v>-3.5</v>
      </c>
      <c r="M52" s="1"/>
      <c r="N52" s="1"/>
      <c r="O52" s="1"/>
      <c r="P52" s="1">
        <f t="shared" si="9"/>
        <v>0</v>
      </c>
      <c r="Q52" s="5"/>
      <c r="R52" s="1" t="e">
        <f t="shared" si="10"/>
        <v>#DIV/0!</v>
      </c>
      <c r="S52" s="1" t="e">
        <f t="shared" si="11"/>
        <v>#DIV/0!</v>
      </c>
      <c r="T52" s="1">
        <v>0</v>
      </c>
      <c r="U52" s="1">
        <v>0.83499999999999996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6" t="s">
        <v>97</v>
      </c>
      <c r="AF52" s="1">
        <f t="shared" si="12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36</v>
      </c>
      <c r="C53" s="1">
        <v>20</v>
      </c>
      <c r="D53" s="1">
        <v>70</v>
      </c>
      <c r="E53" s="1">
        <v>9</v>
      </c>
      <c r="F53" s="14">
        <f>70+F54</f>
        <v>55</v>
      </c>
      <c r="G53" s="7">
        <v>0.2</v>
      </c>
      <c r="H53" s="1">
        <v>120</v>
      </c>
      <c r="I53" s="1"/>
      <c r="J53" s="1"/>
      <c r="K53" s="1">
        <v>52</v>
      </c>
      <c r="L53" s="1">
        <f t="shared" si="8"/>
        <v>-43</v>
      </c>
      <c r="M53" s="1"/>
      <c r="N53" s="1"/>
      <c r="O53" s="1"/>
      <c r="P53" s="1">
        <f t="shared" si="9"/>
        <v>1.8</v>
      </c>
      <c r="Q53" s="5"/>
      <c r="R53" s="1">
        <f t="shared" si="10"/>
        <v>30.555555555555554</v>
      </c>
      <c r="S53" s="1">
        <f t="shared" si="11"/>
        <v>30.555555555555554</v>
      </c>
      <c r="T53" s="1">
        <v>3.4</v>
      </c>
      <c r="U53" s="1">
        <v>8.6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/>
      <c r="AF53" s="1">
        <f t="shared" si="12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1" t="s">
        <v>94</v>
      </c>
      <c r="B54" s="11" t="s">
        <v>36</v>
      </c>
      <c r="C54" s="11">
        <v>-15</v>
      </c>
      <c r="D54" s="11"/>
      <c r="E54" s="11"/>
      <c r="F54" s="14">
        <v>-15</v>
      </c>
      <c r="G54" s="12">
        <v>0</v>
      </c>
      <c r="H54" s="11"/>
      <c r="I54" s="11" t="s">
        <v>84</v>
      </c>
      <c r="J54" s="11" t="s">
        <v>93</v>
      </c>
      <c r="K54" s="11">
        <v>7</v>
      </c>
      <c r="L54" s="11">
        <f t="shared" si="8"/>
        <v>-7</v>
      </c>
      <c r="M54" s="11"/>
      <c r="N54" s="11"/>
      <c r="O54" s="11"/>
      <c r="P54" s="11">
        <f t="shared" si="9"/>
        <v>0</v>
      </c>
      <c r="Q54" s="13"/>
      <c r="R54" s="11" t="e">
        <f t="shared" si="10"/>
        <v>#DIV/0!</v>
      </c>
      <c r="S54" s="11" t="e">
        <f t="shared" si="11"/>
        <v>#DIV/0!</v>
      </c>
      <c r="T54" s="11">
        <v>0.2</v>
      </c>
      <c r="U54" s="11">
        <v>2.8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/>
      <c r="AF54" s="1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41</v>
      </c>
      <c r="C55" s="1">
        <v>90.1</v>
      </c>
      <c r="D55" s="1">
        <v>3.6240000000000001</v>
      </c>
      <c r="E55" s="1">
        <v>77.117999999999995</v>
      </c>
      <c r="F55" s="1">
        <v>8.6859999999999999</v>
      </c>
      <c r="G55" s="7">
        <v>1</v>
      </c>
      <c r="H55" s="1">
        <v>120</v>
      </c>
      <c r="I55" s="1"/>
      <c r="J55" s="1"/>
      <c r="K55" s="1">
        <v>76</v>
      </c>
      <c r="L55" s="1">
        <f t="shared" si="8"/>
        <v>1.117999999999995</v>
      </c>
      <c r="M55" s="1"/>
      <c r="N55" s="1"/>
      <c r="O55" s="1"/>
      <c r="P55" s="1">
        <f t="shared" si="9"/>
        <v>15.423599999999999</v>
      </c>
      <c r="Q55" s="5">
        <f>9*P55-O55-F55</f>
        <v>130.12639999999999</v>
      </c>
      <c r="R55" s="1">
        <f t="shared" si="10"/>
        <v>9</v>
      </c>
      <c r="S55" s="1">
        <f t="shared" si="11"/>
        <v>0.56316294509712395</v>
      </c>
      <c r="T55" s="1">
        <v>5.4283999999999999</v>
      </c>
      <c r="U55" s="1">
        <v>6.0831999999999997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/>
      <c r="AF55" s="1">
        <f>G55*Q55</f>
        <v>130.12639999999999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5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2026-09-08T16:40:03Z</dcterms:created>
  <dcterms:modified xsi:type="dcterms:W3CDTF">2026-09-08T17:12:35Z</dcterms:modified>
</cp:coreProperties>
</file>