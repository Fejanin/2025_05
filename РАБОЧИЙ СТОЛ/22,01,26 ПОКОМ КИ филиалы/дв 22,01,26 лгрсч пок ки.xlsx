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A346D046-E11B-4439-9EA6-C527CAB586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M7" i="1"/>
  <c r="P7" i="1" s="1"/>
  <c r="Q7" i="1" s="1"/>
  <c r="M8" i="1"/>
  <c r="P8" i="1" s="1"/>
  <c r="Q8" i="1" s="1"/>
  <c r="M9" i="1"/>
  <c r="P9" i="1" s="1"/>
  <c r="Q9" i="1" s="1"/>
  <c r="M10" i="1"/>
  <c r="P10" i="1" s="1"/>
  <c r="Q10" i="1" s="1"/>
  <c r="M11" i="1"/>
  <c r="P11" i="1" s="1"/>
  <c r="M12" i="1"/>
  <c r="P12" i="1" s="1"/>
  <c r="Q12" i="1" s="1"/>
  <c r="M13" i="1"/>
  <c r="P13" i="1" s="1"/>
  <c r="M14" i="1"/>
  <c r="P14" i="1" s="1"/>
  <c r="Q14" i="1" s="1"/>
  <c r="M15" i="1"/>
  <c r="P15" i="1" s="1"/>
  <c r="M16" i="1"/>
  <c r="P16" i="1" s="1"/>
  <c r="Q16" i="1" s="1"/>
  <c r="M17" i="1"/>
  <c r="P17" i="1" s="1"/>
  <c r="M18" i="1"/>
  <c r="P18" i="1" s="1"/>
  <c r="Q18" i="1" s="1"/>
  <c r="M19" i="1"/>
  <c r="P19" i="1" s="1"/>
  <c r="M20" i="1"/>
  <c r="P20" i="1" s="1"/>
  <c r="Q20" i="1" s="1"/>
  <c r="M21" i="1"/>
  <c r="P21" i="1" s="1"/>
  <c r="M22" i="1"/>
  <c r="P22" i="1" s="1"/>
  <c r="Q22" i="1" s="1"/>
  <c r="M23" i="1"/>
  <c r="P23" i="1" s="1"/>
  <c r="M24" i="1"/>
  <c r="P24" i="1" s="1"/>
  <c r="M25" i="1"/>
  <c r="P25" i="1" s="1"/>
  <c r="Q25" i="1" s="1"/>
  <c r="M26" i="1"/>
  <c r="P26" i="1" s="1"/>
  <c r="Q26" i="1" s="1"/>
  <c r="M27" i="1"/>
  <c r="P27" i="1" s="1"/>
  <c r="Q27" i="1" s="1"/>
  <c r="M28" i="1"/>
  <c r="P28" i="1" s="1"/>
  <c r="Q28" i="1" s="1"/>
  <c r="M29" i="1"/>
  <c r="P29" i="1" s="1"/>
  <c r="Q29" i="1" s="1"/>
  <c r="M30" i="1"/>
  <c r="P30" i="1" s="1"/>
  <c r="Q30" i="1" s="1"/>
  <c r="M31" i="1"/>
  <c r="P31" i="1" s="1"/>
  <c r="U31" i="1" s="1"/>
  <c r="M32" i="1"/>
  <c r="P32" i="1" s="1"/>
  <c r="U32" i="1" s="1"/>
  <c r="M33" i="1"/>
  <c r="P33" i="1" s="1"/>
  <c r="Q33" i="1" s="1"/>
  <c r="M34" i="1"/>
  <c r="P34" i="1" s="1"/>
  <c r="Q34" i="1" s="1"/>
  <c r="M35" i="1"/>
  <c r="P35" i="1" s="1"/>
  <c r="Q35" i="1" s="1"/>
  <c r="M36" i="1"/>
  <c r="P36" i="1" s="1"/>
  <c r="U36" i="1" s="1"/>
  <c r="M37" i="1"/>
  <c r="P37" i="1" s="1"/>
  <c r="M38" i="1"/>
  <c r="P38" i="1" s="1"/>
  <c r="Q38" i="1" s="1"/>
  <c r="M39" i="1"/>
  <c r="P39" i="1" s="1"/>
  <c r="M40" i="1"/>
  <c r="P40" i="1" s="1"/>
  <c r="Q40" i="1" s="1"/>
  <c r="M41" i="1"/>
  <c r="P41" i="1" s="1"/>
  <c r="Q41" i="1" s="1"/>
  <c r="M42" i="1"/>
  <c r="P42" i="1" s="1"/>
  <c r="Q42" i="1" s="1"/>
  <c r="M43" i="1"/>
  <c r="P43" i="1" s="1"/>
  <c r="Q43" i="1" s="1"/>
  <c r="M44" i="1"/>
  <c r="P44" i="1" s="1"/>
  <c r="Q44" i="1" s="1"/>
  <c r="M45" i="1"/>
  <c r="P45" i="1" s="1"/>
  <c r="Q45" i="1" s="1"/>
  <c r="M46" i="1"/>
  <c r="P46" i="1" s="1"/>
  <c r="Q46" i="1" s="1"/>
  <c r="M47" i="1"/>
  <c r="P47" i="1" s="1"/>
  <c r="M48" i="1"/>
  <c r="P48" i="1" s="1"/>
  <c r="M49" i="1"/>
  <c r="P49" i="1" s="1"/>
  <c r="U49" i="1" s="1"/>
  <c r="M50" i="1"/>
  <c r="P50" i="1" s="1"/>
  <c r="U50" i="1" s="1"/>
  <c r="M51" i="1"/>
  <c r="P51" i="1" s="1"/>
  <c r="M52" i="1"/>
  <c r="P52" i="1" s="1"/>
  <c r="U52" i="1" s="1"/>
  <c r="M53" i="1"/>
  <c r="P53" i="1" s="1"/>
  <c r="Q53" i="1" s="1"/>
  <c r="M54" i="1"/>
  <c r="P54" i="1" s="1"/>
  <c r="Q54" i="1" s="1"/>
  <c r="M55" i="1"/>
  <c r="P55" i="1" s="1"/>
  <c r="M56" i="1"/>
  <c r="P56" i="1" s="1"/>
  <c r="M57" i="1"/>
  <c r="P57" i="1" s="1"/>
  <c r="M58" i="1"/>
  <c r="P58" i="1" s="1"/>
  <c r="Q58" i="1" s="1"/>
  <c r="M59" i="1"/>
  <c r="P59" i="1" s="1"/>
  <c r="M60" i="1"/>
  <c r="P60" i="1" s="1"/>
  <c r="Q60" i="1" s="1"/>
  <c r="M61" i="1"/>
  <c r="P61" i="1" s="1"/>
  <c r="Q61" i="1" s="1"/>
  <c r="M62" i="1"/>
  <c r="P62" i="1" s="1"/>
  <c r="Q62" i="1" s="1"/>
  <c r="M63" i="1"/>
  <c r="P63" i="1" s="1"/>
  <c r="Q63" i="1" s="1"/>
  <c r="M64" i="1"/>
  <c r="P64" i="1" s="1"/>
  <c r="Q64" i="1" s="1"/>
  <c r="M65" i="1"/>
  <c r="P65" i="1" s="1"/>
  <c r="Q65" i="1" s="1"/>
  <c r="M66" i="1"/>
  <c r="P66" i="1" s="1"/>
  <c r="Q66" i="1" s="1"/>
  <c r="M67" i="1"/>
  <c r="P67" i="1" s="1"/>
  <c r="Q67" i="1" s="1"/>
  <c r="M68" i="1"/>
  <c r="P68" i="1" s="1"/>
  <c r="Q68" i="1" s="1"/>
  <c r="M69" i="1"/>
  <c r="P69" i="1" s="1"/>
  <c r="M70" i="1"/>
  <c r="P70" i="1" s="1"/>
  <c r="M71" i="1"/>
  <c r="P71" i="1" s="1"/>
  <c r="M72" i="1"/>
  <c r="P72" i="1" s="1"/>
  <c r="Q72" i="1" s="1"/>
  <c r="M73" i="1"/>
  <c r="P73" i="1" s="1"/>
  <c r="Q73" i="1" s="1"/>
  <c r="M74" i="1"/>
  <c r="P74" i="1" s="1"/>
  <c r="M75" i="1"/>
  <c r="P75" i="1" s="1"/>
  <c r="M76" i="1"/>
  <c r="P76" i="1" s="1"/>
  <c r="Q76" i="1" s="1"/>
  <c r="M77" i="1"/>
  <c r="P77" i="1" s="1"/>
  <c r="M78" i="1"/>
  <c r="P78" i="1" s="1"/>
  <c r="Q78" i="1" s="1"/>
  <c r="M79" i="1"/>
  <c r="P79" i="1" s="1"/>
  <c r="M80" i="1"/>
  <c r="P80" i="1" s="1"/>
  <c r="Q80" i="1" s="1"/>
  <c r="M81" i="1"/>
  <c r="P81" i="1" s="1"/>
  <c r="M82" i="1"/>
  <c r="P82" i="1" s="1"/>
  <c r="Q82" i="1" s="1"/>
  <c r="M83" i="1"/>
  <c r="P83" i="1" s="1"/>
  <c r="Q83" i="1" s="1"/>
  <c r="M84" i="1"/>
  <c r="P84" i="1" s="1"/>
  <c r="Q84" i="1" s="1"/>
  <c r="M85" i="1"/>
  <c r="P85" i="1" s="1"/>
  <c r="M86" i="1"/>
  <c r="P86" i="1" s="1"/>
  <c r="M87" i="1"/>
  <c r="P87" i="1" s="1"/>
  <c r="M88" i="1"/>
  <c r="P88" i="1" s="1"/>
  <c r="M89" i="1"/>
  <c r="P89" i="1" s="1"/>
  <c r="M90" i="1"/>
  <c r="P90" i="1" s="1"/>
  <c r="U90" i="1" s="1"/>
  <c r="M91" i="1"/>
  <c r="P91" i="1" s="1"/>
  <c r="U91" i="1" s="1"/>
  <c r="M92" i="1"/>
  <c r="P92" i="1" s="1"/>
  <c r="V92" i="1" s="1"/>
  <c r="M93" i="1"/>
  <c r="P93" i="1" s="1"/>
  <c r="V93" i="1" s="1"/>
  <c r="M94" i="1"/>
  <c r="P94" i="1" s="1"/>
  <c r="V94" i="1" s="1"/>
  <c r="M95" i="1"/>
  <c r="P95" i="1" s="1"/>
  <c r="Q95" i="1" s="1"/>
  <c r="M96" i="1"/>
  <c r="P96" i="1" s="1"/>
  <c r="V96" i="1" s="1"/>
  <c r="M97" i="1"/>
  <c r="P97" i="1" s="1"/>
  <c r="Q97" i="1" s="1"/>
  <c r="M98" i="1"/>
  <c r="P98" i="1" s="1"/>
  <c r="V98" i="1" s="1"/>
  <c r="M6" i="1"/>
  <c r="P6" i="1" s="1"/>
  <c r="Q92" i="1" l="1"/>
  <c r="Q94" i="1"/>
  <c r="U94" i="1" s="1"/>
  <c r="U92" i="1"/>
  <c r="Q6" i="1"/>
  <c r="U6" i="1" s="1"/>
  <c r="V97" i="1"/>
  <c r="U97" i="1"/>
  <c r="V95" i="1"/>
  <c r="U95" i="1"/>
  <c r="U89" i="1"/>
  <c r="U87" i="1"/>
  <c r="Q85" i="1"/>
  <c r="U85" i="1" s="1"/>
  <c r="U83" i="1"/>
  <c r="U81" i="1"/>
  <c r="Q79" i="1"/>
  <c r="U79" i="1" s="1"/>
  <c r="Q77" i="1"/>
  <c r="U77" i="1" s="1"/>
  <c r="Q75" i="1"/>
  <c r="U75" i="1" s="1"/>
  <c r="U73" i="1"/>
  <c r="Q71" i="1"/>
  <c r="U71" i="1" s="1"/>
  <c r="Q69" i="1"/>
  <c r="U69" i="1" s="1"/>
  <c r="U67" i="1"/>
  <c r="U65" i="1"/>
  <c r="U59" i="1"/>
  <c r="U37" i="1"/>
  <c r="Q39" i="1"/>
  <c r="U39" i="1" s="1"/>
  <c r="U41" i="1"/>
  <c r="U43" i="1"/>
  <c r="AF45" i="1"/>
  <c r="Q47" i="1"/>
  <c r="U47" i="1" s="1"/>
  <c r="Q51" i="1"/>
  <c r="U51" i="1" s="1"/>
  <c r="AF7" i="1"/>
  <c r="U9" i="1"/>
  <c r="U11" i="1"/>
  <c r="U13" i="1"/>
  <c r="Q15" i="1"/>
  <c r="U15" i="1" s="1"/>
  <c r="U17" i="1"/>
  <c r="U19" i="1"/>
  <c r="Q21" i="1"/>
  <c r="U21" i="1" s="1"/>
  <c r="U23" i="1"/>
  <c r="U25" i="1"/>
  <c r="U27" i="1"/>
  <c r="U29" i="1"/>
  <c r="U33" i="1"/>
  <c r="U35" i="1"/>
  <c r="U38" i="1"/>
  <c r="U40" i="1"/>
  <c r="U42" i="1"/>
  <c r="U44" i="1"/>
  <c r="U46" i="1"/>
  <c r="Q48" i="1"/>
  <c r="U48" i="1" s="1"/>
  <c r="U53" i="1"/>
  <c r="Q55" i="1"/>
  <c r="U55" i="1" s="1"/>
  <c r="Q57" i="1"/>
  <c r="U57" i="1" s="1"/>
  <c r="U61" i="1"/>
  <c r="U63" i="1"/>
  <c r="Q96" i="1"/>
  <c r="AF96" i="1" s="1"/>
  <c r="AF98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34" i="1"/>
  <c r="U30" i="1"/>
  <c r="U28" i="1"/>
  <c r="U26" i="1"/>
  <c r="U24" i="1"/>
  <c r="U22" i="1"/>
  <c r="U20" i="1"/>
  <c r="U18" i="1"/>
  <c r="U16" i="1"/>
  <c r="U14" i="1"/>
  <c r="U12" i="1"/>
  <c r="U10" i="1"/>
  <c r="U8" i="1"/>
  <c r="U98" i="1"/>
  <c r="U96" i="1"/>
  <c r="U93" i="1"/>
  <c r="V6" i="1"/>
  <c r="V90" i="1"/>
  <c r="V88" i="1"/>
  <c r="V86" i="1"/>
  <c r="V84" i="1"/>
  <c r="V82" i="1"/>
  <c r="V80" i="1"/>
  <c r="V78" i="1"/>
  <c r="V76" i="1"/>
  <c r="V74" i="1"/>
  <c r="V72" i="1"/>
  <c r="V70" i="1"/>
  <c r="V68" i="1"/>
  <c r="V66" i="1"/>
  <c r="V64" i="1"/>
  <c r="V62" i="1"/>
  <c r="V60" i="1"/>
  <c r="V58" i="1"/>
  <c r="V56" i="1"/>
  <c r="V54" i="1"/>
  <c r="V52" i="1"/>
  <c r="V50" i="1"/>
  <c r="V48" i="1"/>
  <c r="V46" i="1"/>
  <c r="V44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L98" i="1"/>
  <c r="L97" i="1"/>
  <c r="L96" i="1"/>
  <c r="L95" i="1"/>
  <c r="L94" i="1"/>
  <c r="L93" i="1"/>
  <c r="L92" i="1"/>
  <c r="L91" i="1"/>
  <c r="L90" i="1"/>
  <c r="AF89" i="1"/>
  <c r="L89" i="1"/>
  <c r="AF88" i="1"/>
  <c r="L88" i="1"/>
  <c r="AF87" i="1"/>
  <c r="L87" i="1"/>
  <c r="AF86" i="1"/>
  <c r="L86" i="1"/>
  <c r="L85" i="1"/>
  <c r="AF84" i="1"/>
  <c r="L84" i="1"/>
  <c r="L83" i="1"/>
  <c r="AF82" i="1"/>
  <c r="L82" i="1"/>
  <c r="AF81" i="1"/>
  <c r="L81" i="1"/>
  <c r="AF80" i="1"/>
  <c r="L80" i="1"/>
  <c r="L79" i="1"/>
  <c r="AF78" i="1"/>
  <c r="L78" i="1"/>
  <c r="L77" i="1"/>
  <c r="AF76" i="1"/>
  <c r="L76" i="1"/>
  <c r="L75" i="1"/>
  <c r="AF74" i="1"/>
  <c r="L74" i="1"/>
  <c r="AF73" i="1"/>
  <c r="L73" i="1"/>
  <c r="AF72" i="1"/>
  <c r="L72" i="1"/>
  <c r="L71" i="1"/>
  <c r="AF70" i="1"/>
  <c r="L70" i="1"/>
  <c r="L69" i="1"/>
  <c r="AF68" i="1"/>
  <c r="L68" i="1"/>
  <c r="L67" i="1"/>
  <c r="AF66" i="1"/>
  <c r="L66" i="1"/>
  <c r="L65" i="1"/>
  <c r="AF64" i="1"/>
  <c r="L64" i="1"/>
  <c r="L63" i="1"/>
  <c r="AF62" i="1"/>
  <c r="L62" i="1"/>
  <c r="AF61" i="1"/>
  <c r="L61" i="1"/>
  <c r="AF60" i="1"/>
  <c r="L60" i="1"/>
  <c r="AF59" i="1"/>
  <c r="L59" i="1"/>
  <c r="AF58" i="1"/>
  <c r="L58" i="1"/>
  <c r="L57" i="1"/>
  <c r="AF56" i="1"/>
  <c r="L56" i="1"/>
  <c r="L55" i="1"/>
  <c r="AF54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AF40" i="1"/>
  <c r="L40" i="1"/>
  <c r="L39" i="1"/>
  <c r="L38" i="1"/>
  <c r="AF37" i="1"/>
  <c r="L37" i="1"/>
  <c r="L36" i="1"/>
  <c r="L35" i="1"/>
  <c r="AF34" i="1"/>
  <c r="L34" i="1"/>
  <c r="L33" i="1"/>
  <c r="L32" i="1"/>
  <c r="L31" i="1"/>
  <c r="AF30" i="1"/>
  <c r="L30" i="1"/>
  <c r="AF29" i="1"/>
  <c r="L29" i="1"/>
  <c r="AF28" i="1"/>
  <c r="L28" i="1"/>
  <c r="L27" i="1"/>
  <c r="AF26" i="1"/>
  <c r="L26" i="1"/>
  <c r="L25" i="1"/>
  <c r="AF24" i="1"/>
  <c r="L24" i="1"/>
  <c r="AF23" i="1"/>
  <c r="L23" i="1"/>
  <c r="AF22" i="1"/>
  <c r="L22" i="1"/>
  <c r="L21" i="1"/>
  <c r="AF20" i="1"/>
  <c r="L20" i="1"/>
  <c r="AF19" i="1"/>
  <c r="L19" i="1"/>
  <c r="AF18" i="1"/>
  <c r="L18" i="1"/>
  <c r="AF17" i="1"/>
  <c r="L17" i="1"/>
  <c r="AF16" i="1"/>
  <c r="L16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L7" i="1"/>
  <c r="L6" i="1"/>
  <c r="AD5" i="1"/>
  <c r="AC5" i="1"/>
  <c r="AB5" i="1"/>
  <c r="AA5" i="1"/>
  <c r="Z5" i="1"/>
  <c r="Y5" i="1"/>
  <c r="X5" i="1"/>
  <c r="W5" i="1"/>
  <c r="R5" i="1"/>
  <c r="P5" i="1"/>
  <c r="O5" i="1"/>
  <c r="N5" i="1"/>
  <c r="M5" i="1"/>
  <c r="K5" i="1"/>
  <c r="F5" i="1"/>
  <c r="E5" i="1"/>
  <c r="AF48" i="1" l="1"/>
  <c r="AF21" i="1"/>
  <c r="AF25" i="1"/>
  <c r="AF35" i="1"/>
  <c r="AF44" i="1"/>
  <c r="AF55" i="1"/>
  <c r="AF65" i="1"/>
  <c r="AF67" i="1"/>
  <c r="AF69" i="1"/>
  <c r="AF71" i="1"/>
  <c r="AF85" i="1"/>
  <c r="AF92" i="1"/>
  <c r="AF75" i="1"/>
  <c r="AF77" i="1"/>
  <c r="AF79" i="1"/>
  <c r="AF53" i="1"/>
  <c r="AF57" i="1"/>
  <c r="AF63" i="1"/>
  <c r="AF83" i="1"/>
  <c r="AF95" i="1"/>
  <c r="AF97" i="1"/>
  <c r="AF6" i="1"/>
  <c r="AF15" i="1"/>
  <c r="AF27" i="1"/>
  <c r="AF33" i="1"/>
  <c r="Q5" i="1"/>
  <c r="U45" i="1"/>
  <c r="AF41" i="1"/>
  <c r="AF51" i="1"/>
  <c r="U7" i="1"/>
  <c r="AF38" i="1"/>
  <c r="AF39" i="1"/>
  <c r="AF42" i="1"/>
  <c r="AF43" i="1"/>
  <c r="AF46" i="1"/>
  <c r="AF47" i="1"/>
  <c r="AF94" i="1"/>
  <c r="L5" i="1"/>
  <c r="AF5" i="1" l="1"/>
</calcChain>
</file>

<file path=xl/sharedStrings.xml><?xml version="1.0" encoding="utf-8"?>
<sst xmlns="http://schemas.openxmlformats.org/spreadsheetml/2006/main" count="362" uniqueCount="146">
  <si>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</si>
  <si>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</si>
  <si>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</si>
  <si>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</si>
  <si>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</si>
  <si>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</si>
  <si>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</si>
  <si>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</si>
  <si>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</si>
  <si>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</si>
  <si>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</si>
  <si>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</si>
  <si>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</si>
  <si>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</si>
  <si>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</si>
  <si>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</si>
  <si>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</si>
  <si>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</si>
  <si>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</si>
  <si>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</si>
  <si>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</si>
  <si>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</si>
  <si>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</si>
  <si>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</si>
  <si>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</si>
  <si>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</si>
  <si>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</si>
  <si>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</si>
  <si>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</si>
  <si>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</si>
  <si>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</si>
  <si>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</si>
  <si>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</si>
  <si>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</si>
  <si>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</si>
  <si>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</si>
  <si>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</si>
  <si>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</si>
  <si>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</si>
  <si>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</si>
  <si>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</si>
  <si>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</si>
  <si>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</si>
  <si>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</si>
  <si>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</si>
  <si>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</si>
  <si>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</si>
  <si>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</si>
  <si>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</si>
  <si>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</si>
  <si>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</si>
  <si>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</si>
  <si>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</si>
  <si>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</si>
  <si>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</si>
  <si>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</si>
  <si>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</si>
  <si>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</si>
  <si>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</si>
  <si>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</si>
  <si>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</si>
  <si>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</si>
  <si>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</si>
  <si>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</si>
  <si>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</si>
  <si>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</si>
  <si>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</si>
  <si>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</si>
  <si>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</si>
  <si>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</si>
  <si>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</si>
  <si>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</si>
  <si>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</si>
  <si>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</si>
  <si>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>не в матрице</t>
  </si>
  <si>
    <t>перемещение (Новороссийск)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</si>
  <si>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</si>
  <si>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</si>
  <si>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</si>
  <si>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</si>
  <si>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</si>
  <si>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</si>
  <si>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</si>
  <si>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</si>
  <si>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</si>
  <si>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</si>
  <si>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</si>
  <si>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</si>
  <si>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</si>
  <si>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</si>
  <si>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</si>
  <si>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</si>
  <si>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</si>
  <si>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</si>
  <si>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</si>
  <si>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</si>
  <si>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</si>
  <si>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</si>
  <si>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</si>
  <si>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</si>
  <si>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</si>
  <si>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</si>
  <si>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</si>
  <si>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</si>
  <si>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</si>
  <si>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</si>
  <si>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</si>
  <si>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</si>
  <si>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</si>
  <si>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</si>
  <si>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</si>
  <si>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</si>
  <si>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</si>
  <si>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</si>
  <si>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</si>
  <si>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</si>
  <si>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</si>
  <si>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</si>
  <si>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</si>
  <si>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</si>
  <si>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</si>
  <si>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</si>
  <si>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</si>
  <si>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</si>
  <si>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</si>
  <si>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</si>
  <si>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</si>
  <si>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</si>
  <si>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</si>
  <si>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</si>
  <si>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</si>
  <si>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</si>
  <si>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</si>
  <si>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</si>
  <si>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</si>
  <si>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</si>
  <si>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</si>
  <si>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</si>
  <si>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</si>
  <si>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</si>
  <si>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</si>
  <si>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</si>
  <si>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</si>
  <si>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</si>
  <si>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помощь заводу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</si>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</sst>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13.5703125" customWidth="1"/>
    <col min="20" max="20" width="7" customWidth="1"/>
    <col min="21" max="22" width="5" customWidth="1"/>
    <col min="23" max="30" width="6" customWidth="1"/>
    <col min="31" max="31" width="48.1406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10" t="s">
        <v>145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39387.010000000009</v>
      </c>
      <c r="F5" s="4">
        <f>SUM(F6:F499)</f>
        <v>56191.629999999968</v>
      </c>
      <c r="G5" s="8"/>
      <c r="H5" s="1"/>
      <c r="I5" s="1"/>
      <c r="J5" s="1"/>
      <c r="K5" s="4">
        <f>SUM(K6:K499)</f>
        <v>40518.004000000008</v>
      </c>
      <c r="L5" s="4">
        <f>SUM(L6:L499)</f>
        <v>-1130.9939999999999</v>
      </c>
      <c r="M5" s="4">
        <f>SUM(M6:M499)</f>
        <v>38785.621999999996</v>
      </c>
      <c r="N5" s="4">
        <f>SUM(N6:N499)</f>
        <v>601.38800000000003</v>
      </c>
      <c r="O5" s="4">
        <f>SUM(O6:O499)</f>
        <v>17551.444300799998</v>
      </c>
      <c r="P5" s="4">
        <f>SUM(P6:P499)</f>
        <v>7757.1244000000006</v>
      </c>
      <c r="Q5" s="4">
        <f>SUM(Q6:Q499)</f>
        <v>19311.786619200004</v>
      </c>
      <c r="R5" s="4">
        <f>SUM(R6:R499)</f>
        <v>0</v>
      </c>
      <c r="S5" s="1"/>
      <c r="T5" s="4">
        <f>SUM(T6:T499)</f>
        <v>0</v>
      </c>
      <c r="U5" s="1"/>
      <c r="V5" s="1"/>
      <c r="W5" s="4">
        <f>SUM(W6:W499)</f>
        <v>7739.0078000000012</v>
      </c>
      <c r="X5" s="4">
        <f>SUM(X6:X499)</f>
        <v>7545.4840000000004</v>
      </c>
      <c r="Y5" s="4">
        <f>SUM(Y6:Y499)</f>
        <v>6700.0075999999999</v>
      </c>
      <c r="Z5" s="4">
        <f>SUM(Z6:Z499)</f>
        <v>8176.2231666666648</v>
      </c>
      <c r="AA5" s="4">
        <f>SUM(AA6:AA499)</f>
        <v>9916.9415000000026</v>
      </c>
      <c r="AB5" s="4">
        <f>SUM(AB6:AB499)</f>
        <v>9149.114400000004</v>
      </c>
      <c r="AC5" s="4">
        <f>SUM(AC6:AC499)</f>
        <v>7992.8832000000002</v>
      </c>
      <c r="AD5" s="4">
        <f>SUM(AD6:AD499)</f>
        <v>7797.4295999999968</v>
      </c>
      <c r="AE5" s="1"/>
      <c r="AF5" s="4">
        <f>SUM(AF6:AF499)</f>
        <v>12291.048599200001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3042.5709999999999</v>
      </c>
      <c r="D6" s="1">
        <v>588.34799999999996</v>
      </c>
      <c r="E6" s="1">
        <v>1043.2760000000001</v>
      </c>
      <c r="F6" s="1">
        <v>2421.6779999999999</v>
      </c>
      <c r="G6" s="8">
        <v>1</v>
      </c>
      <c r="H6" s="1">
        <v>50</v>
      </c>
      <c r="I6" s="1" t="s">
        <v>36</v>
      </c>
      <c r="J6" s="1"/>
      <c r="K6" s="1">
        <v>1080.52</v>
      </c>
      <c r="L6" s="1">
        <f t="shared" ref="L6:L37" si="0">E6-K6</f>
        <v>-37.243999999999915</v>
      </c>
      <c r="M6" s="1">
        <f>E6-N6</f>
        <v>1021.7560000000001</v>
      </c>
      <c r="N6" s="1">
        <v>21.52</v>
      </c>
      <c r="O6" s="1">
        <v>0</v>
      </c>
      <c r="P6" s="1">
        <f>M6/5</f>
        <v>204.35120000000001</v>
      </c>
      <c r="Q6" s="5">
        <f>12*P6-O6-F6</f>
        <v>30.536399999999958</v>
      </c>
      <c r="R6" s="5"/>
      <c r="S6" s="1"/>
      <c r="T6" s="1"/>
      <c r="U6" s="1">
        <f>(F6+O6+Q6)/P6</f>
        <v>11.999999999999998</v>
      </c>
      <c r="V6" s="1">
        <f>(F6+O6)/P6</f>
        <v>11.850569020392344</v>
      </c>
      <c r="W6" s="1">
        <v>213.91679999999999</v>
      </c>
      <c r="X6" s="1">
        <v>221.89599999999999</v>
      </c>
      <c r="Y6" s="1">
        <v>211.68119999999999</v>
      </c>
      <c r="Z6" s="1">
        <v>325.339</v>
      </c>
      <c r="AA6" s="1">
        <v>404.40899999999999</v>
      </c>
      <c r="AB6" s="1">
        <v>322.1234</v>
      </c>
      <c r="AC6" s="1">
        <v>211.72800000000001</v>
      </c>
      <c r="AD6" s="1">
        <v>200.25479999999999</v>
      </c>
      <c r="AE6" s="1"/>
      <c r="AF6" s="1">
        <f>G6*Q6</f>
        <v>30.536399999999958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146.04599999999999</v>
      </c>
      <c r="D7" s="1">
        <v>923.35900000000004</v>
      </c>
      <c r="E7" s="1">
        <v>382.43400000000003</v>
      </c>
      <c r="F7" s="1">
        <v>617.45799999999997</v>
      </c>
      <c r="G7" s="8">
        <v>1</v>
      </c>
      <c r="H7" s="1">
        <v>45</v>
      </c>
      <c r="I7" s="1" t="s">
        <v>36</v>
      </c>
      <c r="J7" s="1"/>
      <c r="K7" s="1">
        <v>492.15800000000002</v>
      </c>
      <c r="L7" s="1">
        <f t="shared" si="0"/>
        <v>-109.72399999999999</v>
      </c>
      <c r="M7" s="1">
        <f t="shared" ref="M7:M70" si="1">E7-N7</f>
        <v>374.39800000000002</v>
      </c>
      <c r="N7" s="1">
        <v>8.0359999999999996</v>
      </c>
      <c r="O7" s="1">
        <v>0</v>
      </c>
      <c r="P7" s="1">
        <f t="shared" ref="P7:P70" si="2">M7/5</f>
        <v>74.879600000000011</v>
      </c>
      <c r="Q7" s="5">
        <f>11*P7-O7-F7</f>
        <v>206.21760000000017</v>
      </c>
      <c r="R7" s="5"/>
      <c r="S7" s="1"/>
      <c r="T7" s="1"/>
      <c r="U7" s="1">
        <f t="shared" ref="U7:U70" si="3">(F7+O7+Q7)/P7</f>
        <v>11</v>
      </c>
      <c r="V7" s="1">
        <f t="shared" ref="V7:V70" si="4">(F7+O7)/P7</f>
        <v>8.2460109295455624</v>
      </c>
      <c r="W7" s="1">
        <v>72.886600000000001</v>
      </c>
      <c r="X7" s="1">
        <v>89.413200000000003</v>
      </c>
      <c r="Y7" s="1">
        <v>71.134800000000013</v>
      </c>
      <c r="Z7" s="1">
        <v>50.624833333333328</v>
      </c>
      <c r="AA7" s="1">
        <v>65.29483333333333</v>
      </c>
      <c r="AB7" s="1">
        <v>50.209400000000002</v>
      </c>
      <c r="AC7" s="1">
        <v>60.696199999999997</v>
      </c>
      <c r="AD7" s="1">
        <v>58.614400000000003</v>
      </c>
      <c r="AE7" s="1"/>
      <c r="AF7" s="1">
        <f>G7*Q7</f>
        <v>206.21760000000017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172.63399999999999</v>
      </c>
      <c r="D8" s="1">
        <v>769.45</v>
      </c>
      <c r="E8" s="1">
        <v>348.98700000000002</v>
      </c>
      <c r="F8" s="1">
        <v>533.91899999999998</v>
      </c>
      <c r="G8" s="8">
        <v>1</v>
      </c>
      <c r="H8" s="1">
        <v>45</v>
      </c>
      <c r="I8" s="1" t="s">
        <v>36</v>
      </c>
      <c r="J8" s="1"/>
      <c r="K8" s="1">
        <v>338.25</v>
      </c>
      <c r="L8" s="1">
        <f t="shared" si="0"/>
        <v>10.737000000000023</v>
      </c>
      <c r="M8" s="1">
        <f t="shared" si="1"/>
        <v>348.98700000000002</v>
      </c>
      <c r="N8" s="1"/>
      <c r="O8" s="1">
        <v>0</v>
      </c>
      <c r="P8" s="1">
        <f t="shared" si="2"/>
        <v>69.79740000000001</v>
      </c>
      <c r="Q8" s="5">
        <f t="shared" ref="Q8:Q10" si="5">11*P8-O8-F8</f>
        <v>233.8524000000001</v>
      </c>
      <c r="R8" s="5"/>
      <c r="S8" s="1"/>
      <c r="T8" s="1"/>
      <c r="U8" s="1">
        <f t="shared" si="3"/>
        <v>11</v>
      </c>
      <c r="V8" s="1">
        <f t="shared" si="4"/>
        <v>7.6495542813915689</v>
      </c>
      <c r="W8" s="1">
        <v>67.028800000000004</v>
      </c>
      <c r="X8" s="1">
        <v>76.332599999999999</v>
      </c>
      <c r="Y8" s="1">
        <v>56.641199999999998</v>
      </c>
      <c r="Z8" s="1">
        <v>49.974833333333343</v>
      </c>
      <c r="AA8" s="1">
        <v>65.807000000000002</v>
      </c>
      <c r="AB8" s="1">
        <v>58.935600000000001</v>
      </c>
      <c r="AC8" s="1">
        <v>68.611199999999997</v>
      </c>
      <c r="AD8" s="1">
        <v>63.823799999999991</v>
      </c>
      <c r="AE8" s="1"/>
      <c r="AF8" s="1">
        <f>G8*Q8</f>
        <v>233.8524000000001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40</v>
      </c>
      <c r="C9" s="1">
        <v>571</v>
      </c>
      <c r="D9" s="1">
        <v>463</v>
      </c>
      <c r="E9" s="1">
        <v>446</v>
      </c>
      <c r="F9" s="1">
        <v>538</v>
      </c>
      <c r="G9" s="8">
        <v>0.45</v>
      </c>
      <c r="H9" s="1">
        <v>45</v>
      </c>
      <c r="I9" s="1" t="s">
        <v>36</v>
      </c>
      <c r="J9" s="1"/>
      <c r="K9" s="1">
        <v>465</v>
      </c>
      <c r="L9" s="1">
        <f t="shared" si="0"/>
        <v>-19</v>
      </c>
      <c r="M9" s="1">
        <f t="shared" si="1"/>
        <v>446</v>
      </c>
      <c r="N9" s="1"/>
      <c r="O9" s="1">
        <v>157.40000000000009</v>
      </c>
      <c r="P9" s="1">
        <f t="shared" si="2"/>
        <v>89.2</v>
      </c>
      <c r="Q9" s="5">
        <f t="shared" si="5"/>
        <v>285.79999999999995</v>
      </c>
      <c r="R9" s="5"/>
      <c r="S9" s="1"/>
      <c r="T9" s="1"/>
      <c r="U9" s="1">
        <f t="shared" si="3"/>
        <v>11</v>
      </c>
      <c r="V9" s="1">
        <f t="shared" si="4"/>
        <v>7.7959641255605385</v>
      </c>
      <c r="W9" s="1">
        <v>92.8</v>
      </c>
      <c r="X9" s="1">
        <v>91.6</v>
      </c>
      <c r="Y9" s="1">
        <v>74</v>
      </c>
      <c r="Z9" s="1">
        <v>74.5</v>
      </c>
      <c r="AA9" s="1">
        <v>86.166666666666671</v>
      </c>
      <c r="AB9" s="1">
        <v>98.02000000000001</v>
      </c>
      <c r="AC9" s="1">
        <v>89.807600000000008</v>
      </c>
      <c r="AD9" s="1">
        <v>90.4</v>
      </c>
      <c r="AE9" s="1"/>
      <c r="AF9" s="1">
        <f>G9*Q9</f>
        <v>128.60999999999999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40</v>
      </c>
      <c r="C10" s="1">
        <v>1348</v>
      </c>
      <c r="D10" s="1">
        <v>713</v>
      </c>
      <c r="E10" s="1">
        <v>1168</v>
      </c>
      <c r="F10" s="1">
        <v>702</v>
      </c>
      <c r="G10" s="8">
        <v>0.45</v>
      </c>
      <c r="H10" s="1">
        <v>45</v>
      </c>
      <c r="I10" s="1" t="s">
        <v>36</v>
      </c>
      <c r="J10" s="1"/>
      <c r="K10" s="1">
        <v>1192</v>
      </c>
      <c r="L10" s="1">
        <f t="shared" si="0"/>
        <v>-24</v>
      </c>
      <c r="M10" s="1">
        <f t="shared" si="1"/>
        <v>1168</v>
      </c>
      <c r="N10" s="1"/>
      <c r="O10" s="1">
        <v>700.19999999999982</v>
      </c>
      <c r="P10" s="1">
        <f t="shared" si="2"/>
        <v>233.6</v>
      </c>
      <c r="Q10" s="5">
        <f t="shared" si="5"/>
        <v>1167.4000000000001</v>
      </c>
      <c r="R10" s="5"/>
      <c r="S10" s="1"/>
      <c r="T10" s="1"/>
      <c r="U10" s="1">
        <f t="shared" si="3"/>
        <v>11</v>
      </c>
      <c r="V10" s="1">
        <f t="shared" si="4"/>
        <v>6.002568493150684</v>
      </c>
      <c r="W10" s="1">
        <v>212</v>
      </c>
      <c r="X10" s="1">
        <v>170.8</v>
      </c>
      <c r="Y10" s="1">
        <v>147.80000000000001</v>
      </c>
      <c r="Z10" s="1">
        <v>179</v>
      </c>
      <c r="AA10" s="1">
        <v>218</v>
      </c>
      <c r="AB10" s="1">
        <v>227.8</v>
      </c>
      <c r="AC10" s="1">
        <v>199.6</v>
      </c>
      <c r="AD10" s="1">
        <v>182.6</v>
      </c>
      <c r="AE10" s="1"/>
      <c r="AF10" s="1">
        <f>G10*Q10</f>
        <v>525.33000000000004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40</v>
      </c>
      <c r="C11" s="1">
        <v>31</v>
      </c>
      <c r="D11" s="1">
        <v>182</v>
      </c>
      <c r="E11" s="1">
        <v>43</v>
      </c>
      <c r="F11" s="1">
        <v>168</v>
      </c>
      <c r="G11" s="8">
        <v>0.17</v>
      </c>
      <c r="H11" s="1">
        <v>180</v>
      </c>
      <c r="I11" s="1" t="s">
        <v>36</v>
      </c>
      <c r="J11" s="1"/>
      <c r="K11" s="1">
        <v>49</v>
      </c>
      <c r="L11" s="1">
        <f t="shared" si="0"/>
        <v>-6</v>
      </c>
      <c r="M11" s="1">
        <f t="shared" si="1"/>
        <v>43</v>
      </c>
      <c r="N11" s="1"/>
      <c r="O11" s="1">
        <v>0</v>
      </c>
      <c r="P11" s="1">
        <f t="shared" si="2"/>
        <v>8.6</v>
      </c>
      <c r="Q11" s="5"/>
      <c r="R11" s="5"/>
      <c r="S11" s="1"/>
      <c r="T11" s="1"/>
      <c r="U11" s="1">
        <f t="shared" si="3"/>
        <v>19.534883720930232</v>
      </c>
      <c r="V11" s="1">
        <f t="shared" si="4"/>
        <v>19.534883720930232</v>
      </c>
      <c r="W11" s="1">
        <v>12.6</v>
      </c>
      <c r="X11" s="1">
        <v>16.2</v>
      </c>
      <c r="Y11" s="1">
        <v>16.8</v>
      </c>
      <c r="Z11" s="1">
        <v>44.5</v>
      </c>
      <c r="AA11" s="1">
        <v>56.333333333333343</v>
      </c>
      <c r="AB11" s="1">
        <v>36.6</v>
      </c>
      <c r="AC11" s="1">
        <v>29.4</v>
      </c>
      <c r="AD11" s="1">
        <v>22.8</v>
      </c>
      <c r="AE11" s="1"/>
      <c r="AF11" s="1">
        <f>G11*Q11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40</v>
      </c>
      <c r="C12" s="1">
        <v>244</v>
      </c>
      <c r="D12" s="1">
        <v>4</v>
      </c>
      <c r="E12" s="1">
        <v>112</v>
      </c>
      <c r="F12" s="1">
        <v>126</v>
      </c>
      <c r="G12" s="8">
        <v>0.3</v>
      </c>
      <c r="H12" s="1">
        <v>40</v>
      </c>
      <c r="I12" s="1" t="s">
        <v>36</v>
      </c>
      <c r="J12" s="1"/>
      <c r="K12" s="1">
        <v>116</v>
      </c>
      <c r="L12" s="1">
        <f t="shared" si="0"/>
        <v>-4</v>
      </c>
      <c r="M12" s="1">
        <f t="shared" si="1"/>
        <v>112</v>
      </c>
      <c r="N12" s="1"/>
      <c r="O12" s="1">
        <v>0</v>
      </c>
      <c r="P12" s="1">
        <f t="shared" si="2"/>
        <v>22.4</v>
      </c>
      <c r="Q12" s="5">
        <f>11*P12-O12-F12</f>
        <v>120.39999999999998</v>
      </c>
      <c r="R12" s="5"/>
      <c r="S12" s="1"/>
      <c r="T12" s="1"/>
      <c r="U12" s="1">
        <f t="shared" si="3"/>
        <v>11</v>
      </c>
      <c r="V12" s="1">
        <f t="shared" si="4"/>
        <v>5.625</v>
      </c>
      <c r="W12" s="1">
        <v>18</v>
      </c>
      <c r="X12" s="1">
        <v>15.4</v>
      </c>
      <c r="Y12" s="1">
        <v>12.4</v>
      </c>
      <c r="Z12" s="1">
        <v>19.666666666666671</v>
      </c>
      <c r="AA12" s="1">
        <v>34.333333333333343</v>
      </c>
      <c r="AB12" s="1">
        <v>37.799999999999997</v>
      </c>
      <c r="AC12" s="1">
        <v>36</v>
      </c>
      <c r="AD12" s="1">
        <v>37.200000000000003</v>
      </c>
      <c r="AE12" s="1"/>
      <c r="AF12" s="1">
        <f>G12*Q12</f>
        <v>36.11999999999999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40</v>
      </c>
      <c r="C13" s="1">
        <v>174</v>
      </c>
      <c r="D13" s="1">
        <v>786</v>
      </c>
      <c r="E13" s="1">
        <v>204</v>
      </c>
      <c r="F13" s="1">
        <v>727</v>
      </c>
      <c r="G13" s="8">
        <v>0.17</v>
      </c>
      <c r="H13" s="1">
        <v>180</v>
      </c>
      <c r="I13" s="1" t="s">
        <v>36</v>
      </c>
      <c r="J13" s="1"/>
      <c r="K13" s="1">
        <v>208</v>
      </c>
      <c r="L13" s="1">
        <f t="shared" si="0"/>
        <v>-4</v>
      </c>
      <c r="M13" s="1">
        <f t="shared" si="1"/>
        <v>202</v>
      </c>
      <c r="N13" s="1">
        <v>2</v>
      </c>
      <c r="O13" s="1">
        <v>0</v>
      </c>
      <c r="P13" s="1">
        <f t="shared" si="2"/>
        <v>40.4</v>
      </c>
      <c r="Q13" s="5"/>
      <c r="R13" s="5"/>
      <c r="S13" s="1"/>
      <c r="T13" s="1"/>
      <c r="U13" s="1">
        <f t="shared" si="3"/>
        <v>17.995049504950497</v>
      </c>
      <c r="V13" s="1">
        <f t="shared" si="4"/>
        <v>17.995049504950497</v>
      </c>
      <c r="W13" s="1">
        <v>46</v>
      </c>
      <c r="X13" s="1">
        <v>75.400000000000006</v>
      </c>
      <c r="Y13" s="1">
        <v>72.2</v>
      </c>
      <c r="Z13" s="1">
        <v>36.833333333333343</v>
      </c>
      <c r="AA13" s="1">
        <v>46.5</v>
      </c>
      <c r="AB13" s="1">
        <v>77.8</v>
      </c>
      <c r="AC13" s="1">
        <v>69.400000000000006</v>
      </c>
      <c r="AD13" s="1">
        <v>72</v>
      </c>
      <c r="AE13" s="1"/>
      <c r="AF13" s="1">
        <f>G13*Q13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35</v>
      </c>
      <c r="C14" s="1">
        <v>1348.4169999999999</v>
      </c>
      <c r="D14" s="1">
        <v>249.94900000000001</v>
      </c>
      <c r="E14" s="1">
        <v>648.31299999999999</v>
      </c>
      <c r="F14" s="1">
        <v>879.33900000000006</v>
      </c>
      <c r="G14" s="8">
        <v>1</v>
      </c>
      <c r="H14" s="1">
        <v>55</v>
      </c>
      <c r="I14" s="1" t="s">
        <v>36</v>
      </c>
      <c r="J14" s="1"/>
      <c r="K14" s="1">
        <v>657.70500000000004</v>
      </c>
      <c r="L14" s="1">
        <f t="shared" si="0"/>
        <v>-9.3920000000000528</v>
      </c>
      <c r="M14" s="1">
        <f t="shared" si="1"/>
        <v>648.31299999999999</v>
      </c>
      <c r="N14" s="1"/>
      <c r="O14" s="1">
        <v>388.77951999999982</v>
      </c>
      <c r="P14" s="1">
        <f t="shared" si="2"/>
        <v>129.6626</v>
      </c>
      <c r="Q14" s="5">
        <f t="shared" ref="Q7:Q30" si="6">12*P14-O14-F14</f>
        <v>287.8326800000001</v>
      </c>
      <c r="R14" s="5"/>
      <c r="S14" s="1"/>
      <c r="T14" s="1"/>
      <c r="U14" s="1">
        <f t="shared" si="3"/>
        <v>12</v>
      </c>
      <c r="V14" s="1">
        <f t="shared" si="4"/>
        <v>9.780141073833164</v>
      </c>
      <c r="W14" s="1">
        <v>117.994</v>
      </c>
      <c r="X14" s="1">
        <v>112.0784</v>
      </c>
      <c r="Y14" s="1">
        <v>109.9134</v>
      </c>
      <c r="Z14" s="1">
        <v>143.779</v>
      </c>
      <c r="AA14" s="1">
        <v>172.6421666666667</v>
      </c>
      <c r="AB14" s="1">
        <v>177.04759999999999</v>
      </c>
      <c r="AC14" s="1">
        <v>145.43199999999999</v>
      </c>
      <c r="AD14" s="1">
        <v>135.30840000000001</v>
      </c>
      <c r="AE14" s="1" t="s">
        <v>46</v>
      </c>
      <c r="AF14" s="1">
        <f>G14*Q14</f>
        <v>287.8326800000001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35</v>
      </c>
      <c r="C15" s="1">
        <v>3951.0219999999999</v>
      </c>
      <c r="D15" s="1">
        <v>1270.3330000000001</v>
      </c>
      <c r="E15" s="1">
        <v>2067.6039999999998</v>
      </c>
      <c r="F15" s="1">
        <v>2914.9009999999998</v>
      </c>
      <c r="G15" s="8">
        <v>1</v>
      </c>
      <c r="H15" s="1">
        <v>50</v>
      </c>
      <c r="I15" s="1" t="s">
        <v>36</v>
      </c>
      <c r="J15" s="1"/>
      <c r="K15" s="1">
        <v>2160.5250000000001</v>
      </c>
      <c r="L15" s="1">
        <f t="shared" si="0"/>
        <v>-92.921000000000276</v>
      </c>
      <c r="M15" s="1">
        <f t="shared" si="1"/>
        <v>1992.6139999999998</v>
      </c>
      <c r="N15" s="1">
        <v>74.989999999999995</v>
      </c>
      <c r="O15" s="1">
        <v>1511.168549999998</v>
      </c>
      <c r="P15" s="1">
        <f t="shared" si="2"/>
        <v>398.52279999999996</v>
      </c>
      <c r="Q15" s="5">
        <f t="shared" si="6"/>
        <v>356.20405000000164</v>
      </c>
      <c r="R15" s="5"/>
      <c r="S15" s="1"/>
      <c r="T15" s="1"/>
      <c r="U15" s="1">
        <f t="shared" si="3"/>
        <v>12.000000000000002</v>
      </c>
      <c r="V15" s="1">
        <f t="shared" si="4"/>
        <v>11.106189031091819</v>
      </c>
      <c r="W15" s="1">
        <v>408.65100000000001</v>
      </c>
      <c r="X15" s="1">
        <v>415.37360000000001</v>
      </c>
      <c r="Y15" s="1">
        <v>335.83499999999998</v>
      </c>
      <c r="Z15" s="1">
        <v>439.26766666666668</v>
      </c>
      <c r="AA15" s="1">
        <v>585.60733333333326</v>
      </c>
      <c r="AB15" s="1">
        <v>553.25600000000009</v>
      </c>
      <c r="AC15" s="1">
        <v>455.30959999999988</v>
      </c>
      <c r="AD15" s="1">
        <v>452.64479999999998</v>
      </c>
      <c r="AE15" s="1" t="s">
        <v>46</v>
      </c>
      <c r="AF15" s="1">
        <f>G15*Q15</f>
        <v>356.20405000000164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35</v>
      </c>
      <c r="C16" s="1">
        <v>308.11799999999999</v>
      </c>
      <c r="D16" s="1">
        <v>47.277000000000001</v>
      </c>
      <c r="E16" s="1">
        <v>165.36500000000001</v>
      </c>
      <c r="F16" s="1">
        <v>181.22800000000001</v>
      </c>
      <c r="G16" s="8">
        <v>1</v>
      </c>
      <c r="H16" s="1">
        <v>60</v>
      </c>
      <c r="I16" s="1" t="s">
        <v>36</v>
      </c>
      <c r="J16" s="1"/>
      <c r="K16" s="1">
        <v>163.86</v>
      </c>
      <c r="L16" s="1">
        <f t="shared" si="0"/>
        <v>1.5049999999999955</v>
      </c>
      <c r="M16" s="1">
        <f t="shared" si="1"/>
        <v>165.36500000000001</v>
      </c>
      <c r="N16" s="1"/>
      <c r="O16" s="1">
        <v>52.059000000000047</v>
      </c>
      <c r="P16" s="1">
        <f t="shared" si="2"/>
        <v>33.073</v>
      </c>
      <c r="Q16" s="5">
        <f t="shared" si="6"/>
        <v>163.58899999999994</v>
      </c>
      <c r="R16" s="5"/>
      <c r="S16" s="1"/>
      <c r="T16" s="1"/>
      <c r="U16" s="1">
        <f t="shared" si="3"/>
        <v>12</v>
      </c>
      <c r="V16" s="1">
        <f t="shared" si="4"/>
        <v>7.0536993922535016</v>
      </c>
      <c r="W16" s="1">
        <v>28.241800000000001</v>
      </c>
      <c r="X16" s="1">
        <v>28.4574</v>
      </c>
      <c r="Y16" s="1">
        <v>25.811399999999999</v>
      </c>
      <c r="Z16" s="1">
        <v>37.140500000000003</v>
      </c>
      <c r="AA16" s="1">
        <v>47.806333333333328</v>
      </c>
      <c r="AB16" s="1">
        <v>38.448999999999998</v>
      </c>
      <c r="AC16" s="1">
        <v>33.643999999999998</v>
      </c>
      <c r="AD16" s="1">
        <v>31.352799999999998</v>
      </c>
      <c r="AE16" s="1"/>
      <c r="AF16" s="1">
        <f>G16*Q16</f>
        <v>163.58899999999994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35</v>
      </c>
      <c r="C17" s="1">
        <v>4293.8370000000004</v>
      </c>
      <c r="D17" s="1"/>
      <c r="E17" s="1">
        <v>530.01</v>
      </c>
      <c r="F17" s="1">
        <v>3729.2190000000001</v>
      </c>
      <c r="G17" s="8">
        <v>1</v>
      </c>
      <c r="H17" s="1">
        <v>60</v>
      </c>
      <c r="I17" s="1" t="s">
        <v>36</v>
      </c>
      <c r="J17" s="1"/>
      <c r="K17" s="1">
        <v>526.5</v>
      </c>
      <c r="L17" s="1">
        <f t="shared" si="0"/>
        <v>3.5099999999999909</v>
      </c>
      <c r="M17" s="1">
        <f t="shared" si="1"/>
        <v>530.01</v>
      </c>
      <c r="N17" s="1"/>
      <c r="O17" s="1">
        <v>0</v>
      </c>
      <c r="P17" s="1">
        <f t="shared" si="2"/>
        <v>106.002</v>
      </c>
      <c r="Q17" s="5"/>
      <c r="R17" s="5"/>
      <c r="S17" s="1"/>
      <c r="T17" s="1"/>
      <c r="U17" s="1">
        <f t="shared" si="3"/>
        <v>35.180647534952172</v>
      </c>
      <c r="V17" s="1">
        <f t="shared" si="4"/>
        <v>35.180647534952172</v>
      </c>
      <c r="W17" s="1">
        <v>119.1266</v>
      </c>
      <c r="X17" s="1">
        <v>123.32899999999999</v>
      </c>
      <c r="Y17" s="1">
        <v>126.2402</v>
      </c>
      <c r="Z17" s="1">
        <v>340.37049999999999</v>
      </c>
      <c r="AA17" s="1">
        <v>463.221</v>
      </c>
      <c r="AB17" s="1">
        <v>409.87540000000001</v>
      </c>
      <c r="AC17" s="1">
        <v>284.73779999999999</v>
      </c>
      <c r="AD17" s="1">
        <v>281.13060000000002</v>
      </c>
      <c r="AE17" s="19" t="s">
        <v>50</v>
      </c>
      <c r="AF17" s="1">
        <f>G17*Q17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35</v>
      </c>
      <c r="C18" s="1">
        <v>140.41800000000001</v>
      </c>
      <c r="D18" s="1">
        <v>120.687</v>
      </c>
      <c r="E18" s="1">
        <v>117.88</v>
      </c>
      <c r="F18" s="1">
        <v>126.84699999999999</v>
      </c>
      <c r="G18" s="8">
        <v>1</v>
      </c>
      <c r="H18" s="1">
        <v>60</v>
      </c>
      <c r="I18" s="1" t="s">
        <v>36</v>
      </c>
      <c r="J18" s="1"/>
      <c r="K18" s="1">
        <v>112.77</v>
      </c>
      <c r="L18" s="1">
        <f t="shared" si="0"/>
        <v>5.1099999999999994</v>
      </c>
      <c r="M18" s="1">
        <f t="shared" si="1"/>
        <v>117.88</v>
      </c>
      <c r="N18" s="1"/>
      <c r="O18" s="1">
        <v>28.512448200000009</v>
      </c>
      <c r="P18" s="1">
        <f t="shared" si="2"/>
        <v>23.576000000000001</v>
      </c>
      <c r="Q18" s="5">
        <f t="shared" si="6"/>
        <v>127.55255180000005</v>
      </c>
      <c r="R18" s="5"/>
      <c r="S18" s="1"/>
      <c r="T18" s="1"/>
      <c r="U18" s="1">
        <f t="shared" si="3"/>
        <v>12.000000000000002</v>
      </c>
      <c r="V18" s="1">
        <f t="shared" si="4"/>
        <v>6.5897288853070917</v>
      </c>
      <c r="W18" s="1">
        <v>20.612400000000001</v>
      </c>
      <c r="X18" s="1">
        <v>20.020399999999999</v>
      </c>
      <c r="Y18" s="1">
        <v>18.097200000000001</v>
      </c>
      <c r="Z18" s="1">
        <v>19.531333333333329</v>
      </c>
      <c r="AA18" s="1">
        <v>24.290833333333339</v>
      </c>
      <c r="AB18" s="1">
        <v>25.323399999999999</v>
      </c>
      <c r="AC18" s="1">
        <v>26.979600000000001</v>
      </c>
      <c r="AD18" s="1">
        <v>22.966799999999999</v>
      </c>
      <c r="AE18" s="1"/>
      <c r="AF18" s="1">
        <f>G18*Q18</f>
        <v>127.55255180000005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35</v>
      </c>
      <c r="C19" s="1">
        <v>17.641999999999999</v>
      </c>
      <c r="D19" s="1"/>
      <c r="E19" s="1">
        <v>2.2120000000000002</v>
      </c>
      <c r="F19" s="1">
        <v>15.43</v>
      </c>
      <c r="G19" s="8">
        <v>1</v>
      </c>
      <c r="H19" s="1">
        <v>180</v>
      </c>
      <c r="I19" s="1" t="s">
        <v>36</v>
      </c>
      <c r="J19" s="1"/>
      <c r="K19" s="1">
        <v>1.95</v>
      </c>
      <c r="L19" s="1">
        <f t="shared" si="0"/>
        <v>0.26200000000000023</v>
      </c>
      <c r="M19" s="1">
        <f t="shared" si="1"/>
        <v>2.2120000000000002</v>
      </c>
      <c r="N19" s="1"/>
      <c r="O19" s="1">
        <v>0</v>
      </c>
      <c r="P19" s="1">
        <f t="shared" si="2"/>
        <v>0.44240000000000002</v>
      </c>
      <c r="Q19" s="5"/>
      <c r="R19" s="5"/>
      <c r="S19" s="1"/>
      <c r="T19" s="1"/>
      <c r="U19" s="1">
        <f t="shared" si="3"/>
        <v>34.877938517179018</v>
      </c>
      <c r="V19" s="1">
        <f t="shared" si="4"/>
        <v>34.877938517179018</v>
      </c>
      <c r="W19" s="1">
        <v>0.2114</v>
      </c>
      <c r="X19" s="1">
        <v>0.57300000000000006</v>
      </c>
      <c r="Y19" s="1">
        <v>0.43200000000000011</v>
      </c>
      <c r="Z19" s="1">
        <v>1.565666666666667</v>
      </c>
      <c r="AA19" s="1">
        <v>2.2530000000000001</v>
      </c>
      <c r="AB19" s="1">
        <v>2.0354000000000001</v>
      </c>
      <c r="AC19" s="1">
        <v>0.75679999999999992</v>
      </c>
      <c r="AD19" s="1">
        <v>0.65860000000000007</v>
      </c>
      <c r="AE19" s="19" t="s">
        <v>50</v>
      </c>
      <c r="AF19" s="1">
        <f>G19*Q19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35</v>
      </c>
      <c r="C20" s="1">
        <v>3091.547</v>
      </c>
      <c r="D20" s="1">
        <v>565.84900000000005</v>
      </c>
      <c r="E20" s="1">
        <v>1187.866</v>
      </c>
      <c r="F20" s="1">
        <v>2376.154</v>
      </c>
      <c r="G20" s="8">
        <v>1</v>
      </c>
      <c r="H20" s="1">
        <v>60</v>
      </c>
      <c r="I20" s="1" t="s">
        <v>36</v>
      </c>
      <c r="J20" s="1"/>
      <c r="K20" s="1">
        <v>1142.95</v>
      </c>
      <c r="L20" s="1">
        <f t="shared" si="0"/>
        <v>44.91599999999994</v>
      </c>
      <c r="M20" s="1">
        <f t="shared" si="1"/>
        <v>1187.866</v>
      </c>
      <c r="N20" s="1"/>
      <c r="O20" s="1">
        <v>0</v>
      </c>
      <c r="P20" s="1">
        <f t="shared" si="2"/>
        <v>237.57319999999999</v>
      </c>
      <c r="Q20" s="5">
        <f t="shared" si="6"/>
        <v>474.7243999999996</v>
      </c>
      <c r="R20" s="5"/>
      <c r="S20" s="1"/>
      <c r="T20" s="1"/>
      <c r="U20" s="1">
        <f t="shared" si="3"/>
        <v>11.999999999999998</v>
      </c>
      <c r="V20" s="1">
        <f t="shared" si="4"/>
        <v>10.00177629463256</v>
      </c>
      <c r="W20" s="1">
        <v>234.61580000000001</v>
      </c>
      <c r="X20" s="1">
        <v>252.85040000000001</v>
      </c>
      <c r="Y20" s="1">
        <v>242.0446</v>
      </c>
      <c r="Z20" s="1">
        <v>333.14299999999997</v>
      </c>
      <c r="AA20" s="1">
        <v>379.88099999999997</v>
      </c>
      <c r="AB20" s="1">
        <v>312.31240000000003</v>
      </c>
      <c r="AC20" s="1">
        <v>261.25799999999998</v>
      </c>
      <c r="AD20" s="1">
        <v>258.31220000000002</v>
      </c>
      <c r="AE20" s="1" t="s">
        <v>46</v>
      </c>
      <c r="AF20" s="1">
        <f>G20*Q20</f>
        <v>474.7243999999996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35</v>
      </c>
      <c r="C21" s="1">
        <v>412.27100000000002</v>
      </c>
      <c r="D21" s="1">
        <v>74.091999999999999</v>
      </c>
      <c r="E21" s="1">
        <v>199.904</v>
      </c>
      <c r="F21" s="1">
        <v>263.48399999999998</v>
      </c>
      <c r="G21" s="8">
        <v>1</v>
      </c>
      <c r="H21" s="1">
        <v>60</v>
      </c>
      <c r="I21" s="1" t="s">
        <v>36</v>
      </c>
      <c r="J21" s="1"/>
      <c r="K21" s="1">
        <v>194.53</v>
      </c>
      <c r="L21" s="1">
        <f t="shared" si="0"/>
        <v>5.3739999999999952</v>
      </c>
      <c r="M21" s="1">
        <f t="shared" si="1"/>
        <v>199.904</v>
      </c>
      <c r="N21" s="1"/>
      <c r="O21" s="1">
        <v>35.391199999999913</v>
      </c>
      <c r="P21" s="1">
        <f t="shared" si="2"/>
        <v>39.980800000000002</v>
      </c>
      <c r="Q21" s="5">
        <f t="shared" si="6"/>
        <v>180.89440000000013</v>
      </c>
      <c r="R21" s="5"/>
      <c r="S21" s="1"/>
      <c r="T21" s="1"/>
      <c r="U21" s="1">
        <f t="shared" si="3"/>
        <v>12</v>
      </c>
      <c r="V21" s="1">
        <f t="shared" si="4"/>
        <v>7.4754682247478756</v>
      </c>
      <c r="W21" s="1">
        <v>36.104799999999997</v>
      </c>
      <c r="X21" s="1">
        <v>38.489800000000002</v>
      </c>
      <c r="Y21" s="1">
        <v>37.161799999999999</v>
      </c>
      <c r="Z21" s="1">
        <v>47.361333333333327</v>
      </c>
      <c r="AA21" s="1">
        <v>59.718166666666669</v>
      </c>
      <c r="AB21" s="1">
        <v>54.285600000000002</v>
      </c>
      <c r="AC21" s="1">
        <v>54.360799999999998</v>
      </c>
      <c r="AD21" s="1">
        <v>51.039599999999993</v>
      </c>
      <c r="AE21" s="1"/>
      <c r="AF21" s="1">
        <f>G21*Q21</f>
        <v>180.89440000000013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35</v>
      </c>
      <c r="C22" s="1">
        <v>365.15100000000001</v>
      </c>
      <c r="D22" s="1">
        <v>79.873999999999995</v>
      </c>
      <c r="E22" s="1">
        <v>187.24299999999999</v>
      </c>
      <c r="F22" s="1">
        <v>234.93899999999999</v>
      </c>
      <c r="G22" s="8">
        <v>1</v>
      </c>
      <c r="H22" s="1">
        <v>60</v>
      </c>
      <c r="I22" s="1" t="s">
        <v>36</v>
      </c>
      <c r="J22" s="1"/>
      <c r="K22" s="1">
        <v>185.97</v>
      </c>
      <c r="L22" s="1">
        <f t="shared" si="0"/>
        <v>1.2729999999999961</v>
      </c>
      <c r="M22" s="1">
        <f t="shared" si="1"/>
        <v>187.24299999999999</v>
      </c>
      <c r="N22" s="1"/>
      <c r="O22" s="1">
        <v>68.244199999999921</v>
      </c>
      <c r="P22" s="1">
        <f t="shared" si="2"/>
        <v>37.448599999999999</v>
      </c>
      <c r="Q22" s="5">
        <f t="shared" si="6"/>
        <v>146.20000000000007</v>
      </c>
      <c r="R22" s="5"/>
      <c r="S22" s="1"/>
      <c r="T22" s="1"/>
      <c r="U22" s="1">
        <f t="shared" si="3"/>
        <v>12</v>
      </c>
      <c r="V22" s="1">
        <f t="shared" si="4"/>
        <v>8.0959822263048533</v>
      </c>
      <c r="W22" s="1">
        <v>35.759</v>
      </c>
      <c r="X22" s="1">
        <v>34.633400000000002</v>
      </c>
      <c r="Y22" s="1">
        <v>31.091000000000001</v>
      </c>
      <c r="Z22" s="1">
        <v>41.393333333333331</v>
      </c>
      <c r="AA22" s="1">
        <v>53.31633333333334</v>
      </c>
      <c r="AB22" s="1">
        <v>47.745199999999997</v>
      </c>
      <c r="AC22" s="1">
        <v>42.707999999999998</v>
      </c>
      <c r="AD22" s="1">
        <v>39.196599999999997</v>
      </c>
      <c r="AE22" s="1"/>
      <c r="AF22" s="1">
        <f>G22*Q22</f>
        <v>146.20000000000007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35</v>
      </c>
      <c r="C23" s="1">
        <v>24.716000000000001</v>
      </c>
      <c r="D23" s="1"/>
      <c r="E23" s="1">
        <v>2.1859999999999999</v>
      </c>
      <c r="F23" s="1">
        <v>22.53</v>
      </c>
      <c r="G23" s="8">
        <v>1</v>
      </c>
      <c r="H23" s="1">
        <v>180</v>
      </c>
      <c r="I23" s="1" t="s">
        <v>36</v>
      </c>
      <c r="J23" s="1"/>
      <c r="K23" s="1">
        <v>1.98</v>
      </c>
      <c r="L23" s="1">
        <f t="shared" si="0"/>
        <v>0.20599999999999996</v>
      </c>
      <c r="M23" s="1">
        <f t="shared" si="1"/>
        <v>2.1859999999999999</v>
      </c>
      <c r="N23" s="1"/>
      <c r="O23" s="1">
        <v>0</v>
      </c>
      <c r="P23" s="1">
        <f t="shared" si="2"/>
        <v>0.43719999999999998</v>
      </c>
      <c r="Q23" s="5"/>
      <c r="R23" s="5"/>
      <c r="S23" s="1"/>
      <c r="T23" s="1"/>
      <c r="U23" s="1">
        <f t="shared" si="3"/>
        <v>51.532479414455629</v>
      </c>
      <c r="V23" s="1">
        <f t="shared" si="4"/>
        <v>51.532479414455629</v>
      </c>
      <c r="W23" s="1">
        <v>7.3800000000000004E-2</v>
      </c>
      <c r="X23" s="1">
        <v>0.88800000000000012</v>
      </c>
      <c r="Y23" s="1">
        <v>1.4079999999999999</v>
      </c>
      <c r="Z23" s="1">
        <v>1.6639999999999999</v>
      </c>
      <c r="AA23" s="1">
        <v>2.4003333333333332</v>
      </c>
      <c r="AB23" s="1">
        <v>2.6547999999999998</v>
      </c>
      <c r="AC23" s="1">
        <v>1.0336000000000001</v>
      </c>
      <c r="AD23" s="1">
        <v>0.96579999999999999</v>
      </c>
      <c r="AE23" s="19" t="s">
        <v>50</v>
      </c>
      <c r="AF23" s="1">
        <f>G23*Q23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57</v>
      </c>
      <c r="B24" s="1" t="s">
        <v>35</v>
      </c>
      <c r="C24" s="1">
        <v>728.55799999999999</v>
      </c>
      <c r="D24" s="1">
        <v>564.12800000000004</v>
      </c>
      <c r="E24" s="1">
        <v>453.60700000000003</v>
      </c>
      <c r="F24" s="1">
        <v>787.976</v>
      </c>
      <c r="G24" s="8">
        <v>1</v>
      </c>
      <c r="H24" s="1">
        <v>60</v>
      </c>
      <c r="I24" s="1" t="s">
        <v>36</v>
      </c>
      <c r="J24" s="1"/>
      <c r="K24" s="1">
        <v>439.755</v>
      </c>
      <c r="L24" s="1">
        <f t="shared" si="0"/>
        <v>13.852000000000032</v>
      </c>
      <c r="M24" s="1">
        <f t="shared" si="1"/>
        <v>453.60700000000003</v>
      </c>
      <c r="N24" s="1"/>
      <c r="O24" s="1">
        <v>363.6807500000001</v>
      </c>
      <c r="P24" s="1">
        <f t="shared" si="2"/>
        <v>90.721400000000003</v>
      </c>
      <c r="Q24" s="5"/>
      <c r="R24" s="5"/>
      <c r="S24" s="1"/>
      <c r="T24" s="1"/>
      <c r="U24" s="1">
        <f t="shared" si="3"/>
        <v>12.694433176736691</v>
      </c>
      <c r="V24" s="1">
        <f t="shared" si="4"/>
        <v>12.694433176736691</v>
      </c>
      <c r="W24" s="1">
        <v>100.31659999999999</v>
      </c>
      <c r="X24" s="1">
        <v>102.56659999999999</v>
      </c>
      <c r="Y24" s="1">
        <v>85.265200000000007</v>
      </c>
      <c r="Z24" s="1">
        <v>91.987500000000011</v>
      </c>
      <c r="AA24" s="1">
        <v>117.01366666666669</v>
      </c>
      <c r="AB24" s="1">
        <v>123.928</v>
      </c>
      <c r="AC24" s="1">
        <v>105.0656</v>
      </c>
      <c r="AD24" s="1">
        <v>103.96639999999999</v>
      </c>
      <c r="AE24" s="1" t="s">
        <v>46</v>
      </c>
      <c r="AF24" s="1">
        <f>G24*Q24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35</v>
      </c>
      <c r="C25" s="1">
        <v>243.059</v>
      </c>
      <c r="D25" s="1">
        <v>291.24200000000002</v>
      </c>
      <c r="E25" s="1">
        <v>232.89699999999999</v>
      </c>
      <c r="F25" s="1">
        <v>269.42200000000003</v>
      </c>
      <c r="G25" s="8">
        <v>1</v>
      </c>
      <c r="H25" s="1">
        <v>30</v>
      </c>
      <c r="I25" s="1" t="s">
        <v>36</v>
      </c>
      <c r="J25" s="1"/>
      <c r="K25" s="1">
        <v>239.654</v>
      </c>
      <c r="L25" s="1">
        <f t="shared" si="0"/>
        <v>-6.757000000000005</v>
      </c>
      <c r="M25" s="1">
        <f t="shared" si="1"/>
        <v>232.89699999999999</v>
      </c>
      <c r="N25" s="1"/>
      <c r="O25" s="1">
        <v>33.23840193333325</v>
      </c>
      <c r="P25" s="1">
        <f t="shared" si="2"/>
        <v>46.5794</v>
      </c>
      <c r="Q25" s="5">
        <f t="shared" ref="Q25:Q30" si="7">11*P25-O25-F25</f>
        <v>209.71299806666667</v>
      </c>
      <c r="R25" s="5"/>
      <c r="S25" s="1"/>
      <c r="T25" s="1"/>
      <c r="U25" s="1">
        <f t="shared" si="3"/>
        <v>10.999999999999998</v>
      </c>
      <c r="V25" s="1">
        <f t="shared" si="4"/>
        <v>6.4977307980208696</v>
      </c>
      <c r="W25" s="1">
        <v>42.232199999999999</v>
      </c>
      <c r="X25" s="1">
        <v>45.095999999999997</v>
      </c>
      <c r="Y25" s="1">
        <v>41.325599999999987</v>
      </c>
      <c r="Z25" s="1">
        <v>40.599333333333327</v>
      </c>
      <c r="AA25" s="1">
        <v>45.578000000000003</v>
      </c>
      <c r="AB25" s="1">
        <v>43.288600000000002</v>
      </c>
      <c r="AC25" s="1">
        <v>49.251600000000003</v>
      </c>
      <c r="AD25" s="1">
        <v>45.033000000000001</v>
      </c>
      <c r="AE25" s="1"/>
      <c r="AF25" s="1">
        <f>G25*Q25</f>
        <v>209.71299806666667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59</v>
      </c>
      <c r="B26" s="1" t="s">
        <v>35</v>
      </c>
      <c r="C26" s="1">
        <v>127.55500000000001</v>
      </c>
      <c r="D26" s="1">
        <v>343.43900000000002</v>
      </c>
      <c r="E26" s="1">
        <v>164.547</v>
      </c>
      <c r="F26" s="1">
        <v>270.346</v>
      </c>
      <c r="G26" s="8">
        <v>1</v>
      </c>
      <c r="H26" s="1">
        <v>30</v>
      </c>
      <c r="I26" s="1" t="s">
        <v>36</v>
      </c>
      <c r="J26" s="1"/>
      <c r="K26" s="1">
        <v>166.119</v>
      </c>
      <c r="L26" s="1">
        <f t="shared" si="0"/>
        <v>-1.5720000000000027</v>
      </c>
      <c r="M26" s="1">
        <f t="shared" si="1"/>
        <v>164.547</v>
      </c>
      <c r="N26" s="1"/>
      <c r="O26" s="1">
        <v>44.90179599999982</v>
      </c>
      <c r="P26" s="1">
        <f t="shared" si="2"/>
        <v>32.909399999999998</v>
      </c>
      <c r="Q26" s="5">
        <f t="shared" si="7"/>
        <v>46.755604000000176</v>
      </c>
      <c r="R26" s="5"/>
      <c r="S26" s="1"/>
      <c r="T26" s="1"/>
      <c r="U26" s="1">
        <f t="shared" si="3"/>
        <v>11</v>
      </c>
      <c r="V26" s="1">
        <f t="shared" si="4"/>
        <v>9.5792629461491199</v>
      </c>
      <c r="W26" s="1">
        <v>37.429199999999987</v>
      </c>
      <c r="X26" s="1">
        <v>38.073799999999999</v>
      </c>
      <c r="Y26" s="1">
        <v>30.935600000000001</v>
      </c>
      <c r="Z26" s="1">
        <v>27.695</v>
      </c>
      <c r="AA26" s="1">
        <v>33.022166666666671</v>
      </c>
      <c r="AB26" s="1">
        <v>34.018799999999999</v>
      </c>
      <c r="AC26" s="1">
        <v>32.119599999999998</v>
      </c>
      <c r="AD26" s="1">
        <v>32.944599999999987</v>
      </c>
      <c r="AE26" s="1"/>
      <c r="AF26" s="1">
        <f>G26*Q26</f>
        <v>46.755604000000176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60</v>
      </c>
      <c r="B27" s="1" t="s">
        <v>35</v>
      </c>
      <c r="C27" s="1">
        <v>491.209</v>
      </c>
      <c r="D27" s="1">
        <v>1588.289</v>
      </c>
      <c r="E27" s="1">
        <v>891.80399999999997</v>
      </c>
      <c r="F27" s="1">
        <v>1101.9639999999999</v>
      </c>
      <c r="G27" s="8">
        <v>1</v>
      </c>
      <c r="H27" s="1">
        <v>30</v>
      </c>
      <c r="I27" s="1" t="s">
        <v>36</v>
      </c>
      <c r="J27" s="1"/>
      <c r="K27" s="1">
        <v>892.2</v>
      </c>
      <c r="L27" s="1">
        <f t="shared" si="0"/>
        <v>-0.39600000000007185</v>
      </c>
      <c r="M27" s="1">
        <f t="shared" si="1"/>
        <v>891.80399999999997</v>
      </c>
      <c r="N27" s="1"/>
      <c r="O27" s="1">
        <v>314.42948226666738</v>
      </c>
      <c r="P27" s="1">
        <f t="shared" si="2"/>
        <v>178.36079999999998</v>
      </c>
      <c r="Q27" s="5">
        <f t="shared" si="7"/>
        <v>545.57531773333267</v>
      </c>
      <c r="R27" s="5"/>
      <c r="S27" s="1"/>
      <c r="T27" s="1"/>
      <c r="U27" s="1">
        <f t="shared" si="3"/>
        <v>11.000000000000002</v>
      </c>
      <c r="V27" s="1">
        <f t="shared" si="4"/>
        <v>7.9411702698500317</v>
      </c>
      <c r="W27" s="1">
        <v>181.51320000000001</v>
      </c>
      <c r="X27" s="1">
        <v>181.39660000000001</v>
      </c>
      <c r="Y27" s="1">
        <v>147.7868</v>
      </c>
      <c r="Z27" s="1">
        <v>128.00916666666669</v>
      </c>
      <c r="AA27" s="1">
        <v>142.40666666666669</v>
      </c>
      <c r="AB27" s="1">
        <v>164.65260000000001</v>
      </c>
      <c r="AC27" s="1">
        <v>162.02099999999999</v>
      </c>
      <c r="AD27" s="1">
        <v>164.52979999999999</v>
      </c>
      <c r="AE27" s="1" t="s">
        <v>46</v>
      </c>
      <c r="AF27" s="1">
        <f>G27*Q27</f>
        <v>545.57531773333267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61</v>
      </c>
      <c r="B28" s="1" t="s">
        <v>35</v>
      </c>
      <c r="C28" s="1">
        <v>7.4509999999999996</v>
      </c>
      <c r="D28" s="1">
        <v>39.957000000000001</v>
      </c>
      <c r="E28" s="1">
        <v>20.936</v>
      </c>
      <c r="F28" s="1">
        <v>24.832000000000001</v>
      </c>
      <c r="G28" s="8">
        <v>1</v>
      </c>
      <c r="H28" s="1">
        <v>45</v>
      </c>
      <c r="I28" s="1" t="s">
        <v>36</v>
      </c>
      <c r="J28" s="1"/>
      <c r="K28" s="1">
        <v>21</v>
      </c>
      <c r="L28" s="1">
        <f t="shared" si="0"/>
        <v>-6.4000000000000057E-2</v>
      </c>
      <c r="M28" s="1">
        <f t="shared" si="1"/>
        <v>20.936</v>
      </c>
      <c r="N28" s="1"/>
      <c r="O28" s="1">
        <v>0</v>
      </c>
      <c r="P28" s="1">
        <f t="shared" si="2"/>
        <v>4.1871999999999998</v>
      </c>
      <c r="Q28" s="5">
        <f t="shared" si="7"/>
        <v>21.227199999999996</v>
      </c>
      <c r="R28" s="5"/>
      <c r="S28" s="1"/>
      <c r="T28" s="1"/>
      <c r="U28" s="1">
        <f t="shared" si="3"/>
        <v>11</v>
      </c>
      <c r="V28" s="1">
        <f t="shared" si="4"/>
        <v>5.9304547191440582</v>
      </c>
      <c r="W28" s="1">
        <v>2.8690000000000002</v>
      </c>
      <c r="X28" s="1">
        <v>3.4502000000000002</v>
      </c>
      <c r="Y28" s="1">
        <v>3.6918000000000002</v>
      </c>
      <c r="Z28" s="1">
        <v>2.1896666666666671</v>
      </c>
      <c r="AA28" s="1">
        <v>2.9525000000000001</v>
      </c>
      <c r="AB28" s="1">
        <v>4.2566000000000006</v>
      </c>
      <c r="AC28" s="1">
        <v>1.9974000000000001</v>
      </c>
      <c r="AD28" s="1">
        <v>2.797400000000001</v>
      </c>
      <c r="AE28" s="1"/>
      <c r="AF28" s="1">
        <f>G28*Q28</f>
        <v>21.227199999999996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62</v>
      </c>
      <c r="B29" s="1" t="s">
        <v>35</v>
      </c>
      <c r="C29" s="1">
        <v>7.9160000000000004</v>
      </c>
      <c r="D29" s="1">
        <v>44.454000000000001</v>
      </c>
      <c r="E29" s="1">
        <v>17.829999999999998</v>
      </c>
      <c r="F29" s="1">
        <v>33.06</v>
      </c>
      <c r="G29" s="8">
        <v>1</v>
      </c>
      <c r="H29" s="1">
        <v>40</v>
      </c>
      <c r="I29" s="1" t="s">
        <v>36</v>
      </c>
      <c r="J29" s="1"/>
      <c r="K29" s="1">
        <v>15.7</v>
      </c>
      <c r="L29" s="1">
        <f t="shared" si="0"/>
        <v>2.129999999999999</v>
      </c>
      <c r="M29" s="1">
        <f t="shared" si="1"/>
        <v>17.829999999999998</v>
      </c>
      <c r="N29" s="1"/>
      <c r="O29" s="1">
        <v>0</v>
      </c>
      <c r="P29" s="1">
        <f t="shared" si="2"/>
        <v>3.5659999999999998</v>
      </c>
      <c r="Q29" s="5">
        <f t="shared" si="7"/>
        <v>6.1659999999999968</v>
      </c>
      <c r="R29" s="5"/>
      <c r="S29" s="1"/>
      <c r="T29" s="1"/>
      <c r="U29" s="1">
        <f t="shared" si="3"/>
        <v>11</v>
      </c>
      <c r="V29" s="1">
        <f t="shared" si="4"/>
        <v>9.2708917554683126</v>
      </c>
      <c r="W29" s="1">
        <v>2.093</v>
      </c>
      <c r="X29" s="1">
        <v>3.9485999999999999</v>
      </c>
      <c r="Y29" s="1">
        <v>3.9470000000000001</v>
      </c>
      <c r="Z29" s="1">
        <v>2.241333333333333</v>
      </c>
      <c r="AA29" s="1">
        <v>2.7323333333333331</v>
      </c>
      <c r="AB29" s="1">
        <v>2.6025999999999998</v>
      </c>
      <c r="AC29" s="1">
        <v>3.7467999999999999</v>
      </c>
      <c r="AD29" s="1">
        <v>3.1909999999999998</v>
      </c>
      <c r="AE29" s="1"/>
      <c r="AF29" s="1">
        <f>G29*Q29</f>
        <v>6.1659999999999968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63</v>
      </c>
      <c r="B30" s="1" t="s">
        <v>35</v>
      </c>
      <c r="C30" s="1">
        <v>128.55199999999999</v>
      </c>
      <c r="D30" s="1">
        <v>291.35000000000002</v>
      </c>
      <c r="E30" s="1">
        <v>177.58799999999999</v>
      </c>
      <c r="F30" s="1">
        <v>219.58699999999999</v>
      </c>
      <c r="G30" s="8">
        <v>1</v>
      </c>
      <c r="H30" s="1">
        <v>30</v>
      </c>
      <c r="I30" s="1" t="s">
        <v>36</v>
      </c>
      <c r="J30" s="1"/>
      <c r="K30" s="1">
        <v>174.6</v>
      </c>
      <c r="L30" s="1">
        <f t="shared" si="0"/>
        <v>2.9879999999999995</v>
      </c>
      <c r="M30" s="1">
        <f t="shared" si="1"/>
        <v>177.58799999999999</v>
      </c>
      <c r="N30" s="1"/>
      <c r="O30" s="1">
        <v>45.90803980000004</v>
      </c>
      <c r="P30" s="1">
        <f t="shared" si="2"/>
        <v>35.517600000000002</v>
      </c>
      <c r="Q30" s="5">
        <f t="shared" si="7"/>
        <v>125.19856019999997</v>
      </c>
      <c r="R30" s="5"/>
      <c r="S30" s="1"/>
      <c r="T30" s="1"/>
      <c r="U30" s="1">
        <f t="shared" si="3"/>
        <v>11</v>
      </c>
      <c r="V30" s="1">
        <f t="shared" si="4"/>
        <v>7.4750275863234004</v>
      </c>
      <c r="W30" s="1">
        <v>35.735999999999997</v>
      </c>
      <c r="X30" s="1">
        <v>36.132800000000003</v>
      </c>
      <c r="Y30" s="1">
        <v>29.5976</v>
      </c>
      <c r="Z30" s="1">
        <v>27.172000000000001</v>
      </c>
      <c r="AA30" s="1">
        <v>32.773499999999999</v>
      </c>
      <c r="AB30" s="1">
        <v>34.592799999999997</v>
      </c>
      <c r="AC30" s="1">
        <v>37.761600000000001</v>
      </c>
      <c r="AD30" s="1">
        <v>42.185400000000001</v>
      </c>
      <c r="AE30" s="1"/>
      <c r="AF30" s="1">
        <f>G30*Q30</f>
        <v>125.19856019999997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4" t="s">
        <v>64</v>
      </c>
      <c r="B31" s="14" t="s">
        <v>35</v>
      </c>
      <c r="C31" s="14"/>
      <c r="D31" s="14"/>
      <c r="E31" s="14"/>
      <c r="F31" s="14"/>
      <c r="G31" s="15">
        <v>0</v>
      </c>
      <c r="H31" s="14">
        <v>50</v>
      </c>
      <c r="I31" s="14" t="s">
        <v>36</v>
      </c>
      <c r="J31" s="14"/>
      <c r="K31" s="14"/>
      <c r="L31" s="14">
        <f t="shared" si="0"/>
        <v>0</v>
      </c>
      <c r="M31" s="14">
        <f t="shared" si="1"/>
        <v>0</v>
      </c>
      <c r="N31" s="14"/>
      <c r="O31" s="14">
        <v>0</v>
      </c>
      <c r="P31" s="14">
        <f t="shared" si="2"/>
        <v>0</v>
      </c>
      <c r="Q31" s="16"/>
      <c r="R31" s="16"/>
      <c r="S31" s="14"/>
      <c r="T31" s="14"/>
      <c r="U31" s="14" t="e">
        <f t="shared" si="3"/>
        <v>#DIV/0!</v>
      </c>
      <c r="V31" s="14" t="e">
        <f t="shared" si="4"/>
        <v>#DIV/0!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 t="s">
        <v>65</v>
      </c>
      <c r="AF31" s="14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4" t="s">
        <v>66</v>
      </c>
      <c r="B32" s="14" t="s">
        <v>35</v>
      </c>
      <c r="C32" s="14"/>
      <c r="D32" s="14"/>
      <c r="E32" s="14"/>
      <c r="F32" s="14"/>
      <c r="G32" s="15">
        <v>0</v>
      </c>
      <c r="H32" s="14">
        <v>50</v>
      </c>
      <c r="I32" s="14" t="s">
        <v>36</v>
      </c>
      <c r="J32" s="14"/>
      <c r="K32" s="14"/>
      <c r="L32" s="14">
        <f t="shared" si="0"/>
        <v>0</v>
      </c>
      <c r="M32" s="14">
        <f t="shared" si="1"/>
        <v>0</v>
      </c>
      <c r="N32" s="14"/>
      <c r="O32" s="14">
        <v>0</v>
      </c>
      <c r="P32" s="14">
        <f t="shared" si="2"/>
        <v>0</v>
      </c>
      <c r="Q32" s="16"/>
      <c r="R32" s="16"/>
      <c r="S32" s="14"/>
      <c r="T32" s="14"/>
      <c r="U32" s="14" t="e">
        <f t="shared" si="3"/>
        <v>#DIV/0!</v>
      </c>
      <c r="V32" s="14" t="e">
        <f t="shared" si="4"/>
        <v>#DIV/0!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 t="s">
        <v>65</v>
      </c>
      <c r="AF32" s="14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67</v>
      </c>
      <c r="B33" s="1" t="s">
        <v>40</v>
      </c>
      <c r="C33" s="1">
        <v>3305</v>
      </c>
      <c r="D33" s="1">
        <v>2908</v>
      </c>
      <c r="E33" s="1">
        <v>2991</v>
      </c>
      <c r="F33" s="1">
        <v>2950</v>
      </c>
      <c r="G33" s="8">
        <v>0.4</v>
      </c>
      <c r="H33" s="1">
        <v>45</v>
      </c>
      <c r="I33" s="1" t="s">
        <v>36</v>
      </c>
      <c r="J33" s="1"/>
      <c r="K33" s="1">
        <v>3051</v>
      </c>
      <c r="L33" s="1">
        <f t="shared" si="0"/>
        <v>-60</v>
      </c>
      <c r="M33" s="1">
        <f t="shared" si="1"/>
        <v>2990</v>
      </c>
      <c r="N33" s="1">
        <v>1</v>
      </c>
      <c r="O33" s="1">
        <v>1932.4498000000001</v>
      </c>
      <c r="P33" s="1">
        <f t="shared" si="2"/>
        <v>598</v>
      </c>
      <c r="Q33" s="5">
        <f>11*P33-O33-F33</f>
        <v>1695.5501999999997</v>
      </c>
      <c r="R33" s="5"/>
      <c r="S33" s="1"/>
      <c r="T33" s="1"/>
      <c r="U33" s="1">
        <f t="shared" si="3"/>
        <v>11</v>
      </c>
      <c r="V33" s="1">
        <f t="shared" si="4"/>
        <v>8.1646317725752517</v>
      </c>
      <c r="W33" s="1">
        <v>608.4</v>
      </c>
      <c r="X33" s="1">
        <v>544.4</v>
      </c>
      <c r="Y33" s="1">
        <v>466.6</v>
      </c>
      <c r="Z33" s="1">
        <v>488.16666666666669</v>
      </c>
      <c r="AA33" s="1">
        <v>532.33333333333337</v>
      </c>
      <c r="AB33" s="1">
        <v>540.6</v>
      </c>
      <c r="AC33" s="1">
        <v>547</v>
      </c>
      <c r="AD33" s="1">
        <v>536.6</v>
      </c>
      <c r="AE33" s="1" t="s">
        <v>68</v>
      </c>
      <c r="AF33" s="1">
        <f>G33*Q33</f>
        <v>678.22007999999994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40</v>
      </c>
      <c r="C34" s="1">
        <v>1101</v>
      </c>
      <c r="D34" s="1">
        <v>249</v>
      </c>
      <c r="E34" s="1">
        <v>676</v>
      </c>
      <c r="F34" s="1">
        <v>540</v>
      </c>
      <c r="G34" s="8">
        <v>0.45</v>
      </c>
      <c r="H34" s="1">
        <v>50</v>
      </c>
      <c r="I34" s="1" t="s">
        <v>36</v>
      </c>
      <c r="J34" s="1"/>
      <c r="K34" s="1">
        <v>720</v>
      </c>
      <c r="L34" s="1">
        <f t="shared" si="0"/>
        <v>-44</v>
      </c>
      <c r="M34" s="1">
        <f t="shared" si="1"/>
        <v>676</v>
      </c>
      <c r="N34" s="1"/>
      <c r="O34" s="1">
        <v>749.04999999999973</v>
      </c>
      <c r="P34" s="1">
        <f t="shared" si="2"/>
        <v>135.19999999999999</v>
      </c>
      <c r="Q34" s="5">
        <f t="shared" ref="Q33:Q35" si="8">12*P34-O34-F34</f>
        <v>333.35000000000014</v>
      </c>
      <c r="R34" s="5"/>
      <c r="S34" s="1"/>
      <c r="T34" s="1"/>
      <c r="U34" s="1">
        <f t="shared" si="3"/>
        <v>12</v>
      </c>
      <c r="V34" s="1">
        <f t="shared" si="4"/>
        <v>9.5343934911242592</v>
      </c>
      <c r="W34" s="1">
        <v>130.6</v>
      </c>
      <c r="X34" s="1">
        <v>102.2</v>
      </c>
      <c r="Y34" s="1">
        <v>86.4</v>
      </c>
      <c r="Z34" s="1">
        <v>123.5</v>
      </c>
      <c r="AA34" s="1">
        <v>140.33333333333329</v>
      </c>
      <c r="AB34" s="1">
        <v>137.80000000000001</v>
      </c>
      <c r="AC34" s="1">
        <v>120.6</v>
      </c>
      <c r="AD34" s="1">
        <v>117.2</v>
      </c>
      <c r="AE34" s="1" t="s">
        <v>70</v>
      </c>
      <c r="AF34" s="1">
        <f>G34*Q34</f>
        <v>150.00750000000008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40</v>
      </c>
      <c r="C35" s="1">
        <v>1796</v>
      </c>
      <c r="D35" s="1">
        <v>1955</v>
      </c>
      <c r="E35" s="1">
        <v>2040</v>
      </c>
      <c r="F35" s="1">
        <v>1443</v>
      </c>
      <c r="G35" s="8">
        <v>0.4</v>
      </c>
      <c r="H35" s="1">
        <v>45</v>
      </c>
      <c r="I35" s="1" t="s">
        <v>36</v>
      </c>
      <c r="J35" s="1"/>
      <c r="K35" s="1">
        <v>2070</v>
      </c>
      <c r="L35" s="1">
        <f t="shared" si="0"/>
        <v>-30</v>
      </c>
      <c r="M35" s="1">
        <f t="shared" si="1"/>
        <v>2040</v>
      </c>
      <c r="N35" s="1"/>
      <c r="O35" s="1">
        <v>1547.2</v>
      </c>
      <c r="P35" s="1">
        <f t="shared" si="2"/>
        <v>408</v>
      </c>
      <c r="Q35" s="5">
        <f>11*P35-O35-F35</f>
        <v>1497.8000000000002</v>
      </c>
      <c r="R35" s="5"/>
      <c r="S35" s="1"/>
      <c r="T35" s="1"/>
      <c r="U35" s="1">
        <f t="shared" si="3"/>
        <v>11</v>
      </c>
      <c r="V35" s="1">
        <f t="shared" si="4"/>
        <v>7.3289215686274503</v>
      </c>
      <c r="W35" s="1">
        <v>398.2</v>
      </c>
      <c r="X35" s="1">
        <v>322.60000000000002</v>
      </c>
      <c r="Y35" s="1">
        <v>255.8</v>
      </c>
      <c r="Z35" s="1">
        <v>270.33333333333331</v>
      </c>
      <c r="AA35" s="1">
        <v>298.83333333333331</v>
      </c>
      <c r="AB35" s="1">
        <v>341.2</v>
      </c>
      <c r="AC35" s="1">
        <v>319.2</v>
      </c>
      <c r="AD35" s="1">
        <v>311.39999999999998</v>
      </c>
      <c r="AE35" s="1" t="s">
        <v>72</v>
      </c>
      <c r="AF35" s="1">
        <f>G35*Q35</f>
        <v>599.12000000000012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1" t="s">
        <v>73</v>
      </c>
      <c r="B36" s="11" t="s">
        <v>40</v>
      </c>
      <c r="C36" s="11">
        <v>40</v>
      </c>
      <c r="D36" s="11">
        <v>3</v>
      </c>
      <c r="E36" s="11">
        <v>39</v>
      </c>
      <c r="F36" s="11">
        <v>1</v>
      </c>
      <c r="G36" s="12">
        <v>0</v>
      </c>
      <c r="H36" s="11" t="e">
        <v>#N/A</v>
      </c>
      <c r="I36" s="11" t="s">
        <v>74</v>
      </c>
      <c r="J36" s="11"/>
      <c r="K36" s="11">
        <v>51</v>
      </c>
      <c r="L36" s="11">
        <f t="shared" si="0"/>
        <v>-12</v>
      </c>
      <c r="M36" s="11">
        <f t="shared" si="1"/>
        <v>39</v>
      </c>
      <c r="N36" s="11"/>
      <c r="O36" s="11">
        <v>0</v>
      </c>
      <c r="P36" s="11">
        <f t="shared" si="2"/>
        <v>7.8</v>
      </c>
      <c r="Q36" s="13"/>
      <c r="R36" s="13"/>
      <c r="S36" s="11"/>
      <c r="T36" s="11"/>
      <c r="U36" s="11">
        <f t="shared" si="3"/>
        <v>0.12820512820512822</v>
      </c>
      <c r="V36" s="11">
        <f t="shared" si="4"/>
        <v>0.12820512820512822</v>
      </c>
      <c r="W36" s="11">
        <v>9.4</v>
      </c>
      <c r="X36" s="11">
        <v>5.4</v>
      </c>
      <c r="Y36" s="11">
        <v>40.799999999999997</v>
      </c>
      <c r="Z36" s="11">
        <v>5.666666666666667</v>
      </c>
      <c r="AA36" s="11">
        <v>5.333333333333333</v>
      </c>
      <c r="AB36" s="11">
        <v>0</v>
      </c>
      <c r="AC36" s="11">
        <v>0</v>
      </c>
      <c r="AD36" s="11">
        <v>0</v>
      </c>
      <c r="AE36" s="11" t="s">
        <v>75</v>
      </c>
      <c r="AF36" s="1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40</v>
      </c>
      <c r="C37" s="1">
        <v>60</v>
      </c>
      <c r="D37" s="1"/>
      <c r="E37" s="1">
        <v>12</v>
      </c>
      <c r="F37" s="1">
        <v>47</v>
      </c>
      <c r="G37" s="8">
        <v>0.4</v>
      </c>
      <c r="H37" s="1">
        <v>40</v>
      </c>
      <c r="I37" s="1" t="s">
        <v>36</v>
      </c>
      <c r="J37" s="1"/>
      <c r="K37" s="1">
        <v>12</v>
      </c>
      <c r="L37" s="1">
        <f t="shared" si="0"/>
        <v>0</v>
      </c>
      <c r="M37" s="1">
        <f t="shared" si="1"/>
        <v>12</v>
      </c>
      <c r="N37" s="1"/>
      <c r="O37" s="1">
        <v>0</v>
      </c>
      <c r="P37" s="1">
        <f t="shared" si="2"/>
        <v>2.4</v>
      </c>
      <c r="Q37" s="5"/>
      <c r="R37" s="5"/>
      <c r="S37" s="1"/>
      <c r="T37" s="1"/>
      <c r="U37" s="1">
        <f t="shared" si="3"/>
        <v>19.583333333333336</v>
      </c>
      <c r="V37" s="1">
        <f t="shared" si="4"/>
        <v>19.583333333333336</v>
      </c>
      <c r="W37" s="1">
        <v>2.8</v>
      </c>
      <c r="X37" s="1">
        <v>1.6</v>
      </c>
      <c r="Y37" s="1">
        <v>1.6</v>
      </c>
      <c r="Z37" s="1">
        <v>3.666666666666667</v>
      </c>
      <c r="AA37" s="1">
        <v>3.166666666666667</v>
      </c>
      <c r="AB37" s="1">
        <v>2.8</v>
      </c>
      <c r="AC37" s="1">
        <v>10.4</v>
      </c>
      <c r="AD37" s="1">
        <v>12.8</v>
      </c>
      <c r="AE37" s="19" t="s">
        <v>50</v>
      </c>
      <c r="AF37" s="1">
        <f>G37*Q37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35</v>
      </c>
      <c r="C38" s="1">
        <v>381.16899999999998</v>
      </c>
      <c r="D38" s="1">
        <v>570.505</v>
      </c>
      <c r="E38" s="1">
        <v>382.21600000000001</v>
      </c>
      <c r="F38" s="1">
        <v>523.59900000000005</v>
      </c>
      <c r="G38" s="8">
        <v>1</v>
      </c>
      <c r="H38" s="1">
        <v>45</v>
      </c>
      <c r="I38" s="1" t="s">
        <v>36</v>
      </c>
      <c r="J38" s="1"/>
      <c r="K38" s="1">
        <v>356.9</v>
      </c>
      <c r="L38" s="1">
        <f t="shared" ref="L38:L69" si="9">E38-K38</f>
        <v>25.316000000000031</v>
      </c>
      <c r="M38" s="1">
        <f t="shared" si="1"/>
        <v>382.21600000000001</v>
      </c>
      <c r="N38" s="1"/>
      <c r="O38" s="1">
        <v>72.923800999999798</v>
      </c>
      <c r="P38" s="1">
        <f t="shared" si="2"/>
        <v>76.443200000000004</v>
      </c>
      <c r="Q38" s="5">
        <f>11*P38-O38-F38</f>
        <v>244.35239900000022</v>
      </c>
      <c r="R38" s="5"/>
      <c r="S38" s="1"/>
      <c r="T38" s="1"/>
      <c r="U38" s="1">
        <f t="shared" si="3"/>
        <v>11</v>
      </c>
      <c r="V38" s="1">
        <f t="shared" si="4"/>
        <v>7.8034776278334741</v>
      </c>
      <c r="W38" s="1">
        <v>76.036000000000001</v>
      </c>
      <c r="X38" s="1">
        <v>80.184799999999996</v>
      </c>
      <c r="Y38" s="1">
        <v>60.999199999999988</v>
      </c>
      <c r="Z38" s="1">
        <v>63.831333333333333</v>
      </c>
      <c r="AA38" s="1">
        <v>71.549333333333337</v>
      </c>
      <c r="AB38" s="1">
        <v>69.070000000000007</v>
      </c>
      <c r="AC38" s="1">
        <v>69.38300000000001</v>
      </c>
      <c r="AD38" s="1">
        <v>68.669000000000011</v>
      </c>
      <c r="AE38" s="1"/>
      <c r="AF38" s="1">
        <f>G38*Q38</f>
        <v>244.35239900000022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40</v>
      </c>
      <c r="C39" s="1">
        <v>317</v>
      </c>
      <c r="D39" s="1">
        <v>85</v>
      </c>
      <c r="E39" s="1">
        <v>192</v>
      </c>
      <c r="F39" s="1">
        <v>200</v>
      </c>
      <c r="G39" s="8">
        <v>0.1</v>
      </c>
      <c r="H39" s="1">
        <v>730</v>
      </c>
      <c r="I39" s="1" t="s">
        <v>36</v>
      </c>
      <c r="J39" s="1"/>
      <c r="K39" s="1">
        <v>195</v>
      </c>
      <c r="L39" s="1">
        <f t="shared" si="9"/>
        <v>-3</v>
      </c>
      <c r="M39" s="1">
        <f t="shared" si="1"/>
        <v>192</v>
      </c>
      <c r="N39" s="1"/>
      <c r="O39" s="1">
        <v>201</v>
      </c>
      <c r="P39" s="1">
        <f t="shared" si="2"/>
        <v>38.4</v>
      </c>
      <c r="Q39" s="5">
        <f t="shared" ref="Q37:Q48" si="10">12*P39-O39-F39</f>
        <v>59.799999999999955</v>
      </c>
      <c r="R39" s="5"/>
      <c r="S39" s="1"/>
      <c r="T39" s="1"/>
      <c r="U39" s="1">
        <f t="shared" si="3"/>
        <v>12</v>
      </c>
      <c r="V39" s="1">
        <f t="shared" si="4"/>
        <v>10.442708333333334</v>
      </c>
      <c r="W39" s="1">
        <v>41</v>
      </c>
      <c r="X39" s="1">
        <v>30</v>
      </c>
      <c r="Y39" s="1">
        <v>26.6</v>
      </c>
      <c r="Z39" s="1">
        <v>36.5</v>
      </c>
      <c r="AA39" s="1">
        <v>38</v>
      </c>
      <c r="AB39" s="1">
        <v>42.8</v>
      </c>
      <c r="AC39" s="1">
        <v>39</v>
      </c>
      <c r="AD39" s="1">
        <v>39.4</v>
      </c>
      <c r="AE39" s="1"/>
      <c r="AF39" s="1">
        <f>G39*Q39</f>
        <v>5.979999999999996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40</v>
      </c>
      <c r="C40" s="1">
        <v>516</v>
      </c>
      <c r="D40" s="1">
        <v>326</v>
      </c>
      <c r="E40" s="1">
        <v>495</v>
      </c>
      <c r="F40" s="1">
        <v>286</v>
      </c>
      <c r="G40" s="8">
        <v>0.35</v>
      </c>
      <c r="H40" s="1">
        <v>40</v>
      </c>
      <c r="I40" s="1" t="s">
        <v>36</v>
      </c>
      <c r="J40" s="1"/>
      <c r="K40" s="1">
        <v>521</v>
      </c>
      <c r="L40" s="1">
        <f t="shared" si="9"/>
        <v>-26</v>
      </c>
      <c r="M40" s="1">
        <f t="shared" si="1"/>
        <v>495</v>
      </c>
      <c r="N40" s="1"/>
      <c r="O40" s="1">
        <v>325.40000000000009</v>
      </c>
      <c r="P40" s="1">
        <f t="shared" si="2"/>
        <v>99</v>
      </c>
      <c r="Q40" s="5">
        <f t="shared" ref="Q40:Q46" si="11">11*P40-O40-F40</f>
        <v>477.59999999999991</v>
      </c>
      <c r="R40" s="5"/>
      <c r="S40" s="1"/>
      <c r="T40" s="1"/>
      <c r="U40" s="1">
        <f t="shared" si="3"/>
        <v>11</v>
      </c>
      <c r="V40" s="1">
        <f t="shared" si="4"/>
        <v>6.1757575757575767</v>
      </c>
      <c r="W40" s="1">
        <v>86.2</v>
      </c>
      <c r="X40" s="1">
        <v>72.599999999999994</v>
      </c>
      <c r="Y40" s="1">
        <v>75.599999999999994</v>
      </c>
      <c r="Z40" s="1">
        <v>92.666666666666671</v>
      </c>
      <c r="AA40" s="1">
        <v>112</v>
      </c>
      <c r="AB40" s="1">
        <v>114</v>
      </c>
      <c r="AC40" s="1">
        <v>91.8</v>
      </c>
      <c r="AD40" s="1">
        <v>89.6</v>
      </c>
      <c r="AE40" s="1" t="s">
        <v>80</v>
      </c>
      <c r="AF40" s="1">
        <f>G40*Q40</f>
        <v>167.15999999999997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35</v>
      </c>
      <c r="C41" s="1">
        <v>284.459</v>
      </c>
      <c r="D41" s="1">
        <v>160.797</v>
      </c>
      <c r="E41" s="1">
        <v>170.22</v>
      </c>
      <c r="F41" s="1">
        <v>167.16300000000001</v>
      </c>
      <c r="G41" s="8">
        <v>1</v>
      </c>
      <c r="H41" s="1">
        <v>40</v>
      </c>
      <c r="I41" s="1" t="s">
        <v>36</v>
      </c>
      <c r="J41" s="1"/>
      <c r="K41" s="1">
        <v>235.38</v>
      </c>
      <c r="L41" s="1">
        <f t="shared" si="9"/>
        <v>-65.16</v>
      </c>
      <c r="M41" s="1">
        <f t="shared" si="1"/>
        <v>104.94</v>
      </c>
      <c r="N41" s="1">
        <v>65.28</v>
      </c>
      <c r="O41" s="1">
        <v>52.559399999999982</v>
      </c>
      <c r="P41" s="1">
        <f t="shared" si="2"/>
        <v>20.988</v>
      </c>
      <c r="Q41" s="5">
        <f t="shared" si="11"/>
        <v>11.145600000000002</v>
      </c>
      <c r="R41" s="5"/>
      <c r="S41" s="1"/>
      <c r="T41" s="1"/>
      <c r="U41" s="1">
        <f t="shared" si="3"/>
        <v>11</v>
      </c>
      <c r="V41" s="1">
        <f t="shared" si="4"/>
        <v>10.468953687821612</v>
      </c>
      <c r="W41" s="1">
        <v>25.069800000000001</v>
      </c>
      <c r="X41" s="1">
        <v>29.814599999999999</v>
      </c>
      <c r="Y41" s="1">
        <v>21.733000000000001</v>
      </c>
      <c r="Z41" s="1">
        <v>23.811</v>
      </c>
      <c r="AA41" s="1">
        <v>46.635833333333331</v>
      </c>
      <c r="AB41" s="1">
        <v>51.186799999999991</v>
      </c>
      <c r="AC41" s="1">
        <v>28.554400000000001</v>
      </c>
      <c r="AD41" s="1">
        <v>37.6922</v>
      </c>
      <c r="AE41" s="1"/>
      <c r="AF41" s="1">
        <f>G41*Q41</f>
        <v>11.145600000000002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40</v>
      </c>
      <c r="C42" s="1">
        <v>365</v>
      </c>
      <c r="D42" s="1">
        <v>18</v>
      </c>
      <c r="E42" s="1">
        <v>261</v>
      </c>
      <c r="F42" s="1">
        <v>76</v>
      </c>
      <c r="G42" s="8">
        <v>0.4</v>
      </c>
      <c r="H42" s="1">
        <v>40</v>
      </c>
      <c r="I42" s="1" t="s">
        <v>36</v>
      </c>
      <c r="J42" s="1"/>
      <c r="K42" s="1">
        <v>271</v>
      </c>
      <c r="L42" s="1">
        <f t="shared" si="9"/>
        <v>-10</v>
      </c>
      <c r="M42" s="1">
        <f t="shared" si="1"/>
        <v>261</v>
      </c>
      <c r="N42" s="1"/>
      <c r="O42" s="1">
        <v>146.19999999999999</v>
      </c>
      <c r="P42" s="1">
        <f t="shared" si="2"/>
        <v>52.2</v>
      </c>
      <c r="Q42" s="5">
        <f>10*P42-O42-F42</f>
        <v>299.8</v>
      </c>
      <c r="R42" s="5"/>
      <c r="S42" s="1"/>
      <c r="T42" s="1"/>
      <c r="U42" s="1">
        <f t="shared" si="3"/>
        <v>10</v>
      </c>
      <c r="V42" s="1">
        <f t="shared" si="4"/>
        <v>4.2567049808429118</v>
      </c>
      <c r="W42" s="1">
        <v>40.4</v>
      </c>
      <c r="X42" s="1">
        <v>32.799999999999997</v>
      </c>
      <c r="Y42" s="1">
        <v>37.200000000000003</v>
      </c>
      <c r="Z42" s="1">
        <v>44.166666666666657</v>
      </c>
      <c r="AA42" s="1">
        <v>48.5</v>
      </c>
      <c r="AB42" s="1">
        <v>51.6</v>
      </c>
      <c r="AC42" s="1">
        <v>60.2</v>
      </c>
      <c r="AD42" s="1">
        <v>46.6</v>
      </c>
      <c r="AE42" s="1"/>
      <c r="AF42" s="1">
        <f>G42*Q42</f>
        <v>119.92000000000002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83</v>
      </c>
      <c r="B43" s="1" t="s">
        <v>40</v>
      </c>
      <c r="C43" s="1">
        <v>570</v>
      </c>
      <c r="D43" s="1">
        <v>60</v>
      </c>
      <c r="E43" s="1">
        <v>491</v>
      </c>
      <c r="F43" s="1">
        <v>60</v>
      </c>
      <c r="G43" s="8">
        <v>0.4</v>
      </c>
      <c r="H43" s="1">
        <v>45</v>
      </c>
      <c r="I43" s="1" t="s">
        <v>36</v>
      </c>
      <c r="J43" s="1"/>
      <c r="K43" s="1">
        <v>500</v>
      </c>
      <c r="L43" s="1">
        <f t="shared" si="9"/>
        <v>-9</v>
      </c>
      <c r="M43" s="1">
        <f t="shared" si="1"/>
        <v>491</v>
      </c>
      <c r="N43" s="1"/>
      <c r="O43" s="1">
        <v>232</v>
      </c>
      <c r="P43" s="1">
        <f t="shared" si="2"/>
        <v>98.2</v>
      </c>
      <c r="Q43" s="5">
        <f>9*P43-O43-F43</f>
        <v>591.80000000000007</v>
      </c>
      <c r="R43" s="5"/>
      <c r="S43" s="1"/>
      <c r="T43" s="1"/>
      <c r="U43" s="1">
        <f t="shared" si="3"/>
        <v>9</v>
      </c>
      <c r="V43" s="1">
        <f t="shared" si="4"/>
        <v>2.9735234215885948</v>
      </c>
      <c r="W43" s="1">
        <v>67</v>
      </c>
      <c r="X43" s="1">
        <v>51</v>
      </c>
      <c r="Y43" s="1">
        <v>44.4</v>
      </c>
      <c r="Z43" s="1">
        <v>54.5</v>
      </c>
      <c r="AA43" s="1">
        <v>76</v>
      </c>
      <c r="AB43" s="1">
        <v>85.6</v>
      </c>
      <c r="AC43" s="1">
        <v>91.8</v>
      </c>
      <c r="AD43" s="1">
        <v>70.2</v>
      </c>
      <c r="AE43" s="1" t="s">
        <v>72</v>
      </c>
      <c r="AF43" s="1">
        <f>G43*Q43</f>
        <v>236.72000000000003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84</v>
      </c>
      <c r="B44" s="1" t="s">
        <v>35</v>
      </c>
      <c r="C44" s="1">
        <v>379.947</v>
      </c>
      <c r="D44" s="1">
        <v>331.29599999999999</v>
      </c>
      <c r="E44" s="1">
        <v>241.23400000000001</v>
      </c>
      <c r="F44" s="1">
        <v>405.529</v>
      </c>
      <c r="G44" s="8">
        <v>1</v>
      </c>
      <c r="H44" s="1">
        <v>40</v>
      </c>
      <c r="I44" s="1" t="s">
        <v>36</v>
      </c>
      <c r="J44" s="1"/>
      <c r="K44" s="1">
        <v>261.96100000000001</v>
      </c>
      <c r="L44" s="1">
        <f t="shared" si="9"/>
        <v>-20.727000000000004</v>
      </c>
      <c r="M44" s="1">
        <f t="shared" si="1"/>
        <v>219.08700000000002</v>
      </c>
      <c r="N44" s="1">
        <v>22.146999999999998</v>
      </c>
      <c r="O44" s="1">
        <v>0</v>
      </c>
      <c r="P44" s="1">
        <f t="shared" si="2"/>
        <v>43.817400000000006</v>
      </c>
      <c r="Q44" s="5">
        <f t="shared" si="11"/>
        <v>76.462400000000059</v>
      </c>
      <c r="R44" s="5"/>
      <c r="S44" s="1"/>
      <c r="T44" s="1"/>
      <c r="U44" s="1">
        <f t="shared" si="3"/>
        <v>11</v>
      </c>
      <c r="V44" s="1">
        <f t="shared" si="4"/>
        <v>9.2549763336026309</v>
      </c>
      <c r="W44" s="1">
        <v>46.393999999999991</v>
      </c>
      <c r="X44" s="1">
        <v>57.397599999999997</v>
      </c>
      <c r="Y44" s="1">
        <v>47.432200000000002</v>
      </c>
      <c r="Z44" s="1">
        <v>46.639666666666663</v>
      </c>
      <c r="AA44" s="1">
        <v>71.757333333333335</v>
      </c>
      <c r="AB44" s="1">
        <v>83.283799999999999</v>
      </c>
      <c r="AC44" s="1">
        <v>58.600200000000008</v>
      </c>
      <c r="AD44" s="1">
        <v>61.506399999999999</v>
      </c>
      <c r="AE44" s="1"/>
      <c r="AF44" s="1">
        <f>G44*Q44</f>
        <v>76.462400000000059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85</v>
      </c>
      <c r="B45" s="1" t="s">
        <v>40</v>
      </c>
      <c r="C45" s="1">
        <v>2654</v>
      </c>
      <c r="D45" s="1">
        <v>551</v>
      </c>
      <c r="E45" s="1">
        <v>1451</v>
      </c>
      <c r="F45" s="1">
        <v>1578</v>
      </c>
      <c r="G45" s="8">
        <v>0.35</v>
      </c>
      <c r="H45" s="1">
        <v>40</v>
      </c>
      <c r="I45" s="1" t="s">
        <v>36</v>
      </c>
      <c r="J45" s="1"/>
      <c r="K45" s="1">
        <v>1494</v>
      </c>
      <c r="L45" s="1">
        <f t="shared" si="9"/>
        <v>-43</v>
      </c>
      <c r="M45" s="1">
        <f t="shared" si="1"/>
        <v>1451</v>
      </c>
      <c r="N45" s="1"/>
      <c r="O45" s="1">
        <v>525.60000000000036</v>
      </c>
      <c r="P45" s="1">
        <f t="shared" si="2"/>
        <v>290.2</v>
      </c>
      <c r="Q45" s="5">
        <f t="shared" si="11"/>
        <v>1088.5999999999995</v>
      </c>
      <c r="R45" s="5"/>
      <c r="S45" s="1"/>
      <c r="T45" s="1"/>
      <c r="U45" s="1">
        <f t="shared" si="3"/>
        <v>11</v>
      </c>
      <c r="V45" s="1">
        <f t="shared" si="4"/>
        <v>7.2487939352170931</v>
      </c>
      <c r="W45" s="1">
        <v>282</v>
      </c>
      <c r="X45" s="1">
        <v>277.39999999999998</v>
      </c>
      <c r="Y45" s="1">
        <v>260.8</v>
      </c>
      <c r="Z45" s="1">
        <v>336.16666666666669</v>
      </c>
      <c r="AA45" s="1">
        <v>389.16666666666669</v>
      </c>
      <c r="AB45" s="1">
        <v>344.8</v>
      </c>
      <c r="AC45" s="1">
        <v>361</v>
      </c>
      <c r="AD45" s="1">
        <v>344.6</v>
      </c>
      <c r="AE45" s="1" t="s">
        <v>46</v>
      </c>
      <c r="AF45" s="1">
        <f>G45*Q45</f>
        <v>381.00999999999976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86</v>
      </c>
      <c r="B46" s="1" t="s">
        <v>40</v>
      </c>
      <c r="C46" s="1">
        <v>618</v>
      </c>
      <c r="D46" s="1">
        <v>787</v>
      </c>
      <c r="E46" s="1">
        <v>617</v>
      </c>
      <c r="F46" s="1">
        <v>688</v>
      </c>
      <c r="G46" s="8">
        <v>0.4</v>
      </c>
      <c r="H46" s="1">
        <v>40</v>
      </c>
      <c r="I46" s="1" t="s">
        <v>36</v>
      </c>
      <c r="J46" s="1"/>
      <c r="K46" s="1">
        <v>634</v>
      </c>
      <c r="L46" s="1">
        <f t="shared" si="9"/>
        <v>-17</v>
      </c>
      <c r="M46" s="1">
        <f t="shared" si="1"/>
        <v>617</v>
      </c>
      <c r="N46" s="1"/>
      <c r="O46" s="1">
        <v>224.37019999999981</v>
      </c>
      <c r="P46" s="1">
        <f t="shared" si="2"/>
        <v>123.4</v>
      </c>
      <c r="Q46" s="5">
        <f t="shared" si="11"/>
        <v>445.02980000000025</v>
      </c>
      <c r="R46" s="5"/>
      <c r="S46" s="1"/>
      <c r="T46" s="1"/>
      <c r="U46" s="1">
        <f t="shared" si="3"/>
        <v>11</v>
      </c>
      <c r="V46" s="1">
        <f t="shared" si="4"/>
        <v>7.39359967585089</v>
      </c>
      <c r="W46" s="1">
        <v>124.4</v>
      </c>
      <c r="X46" s="1">
        <v>122.8</v>
      </c>
      <c r="Y46" s="1">
        <v>100.6</v>
      </c>
      <c r="Z46" s="1">
        <v>98.833333333333329</v>
      </c>
      <c r="AA46" s="1">
        <v>114.6666666666667</v>
      </c>
      <c r="AB46" s="1">
        <v>119.6</v>
      </c>
      <c r="AC46" s="1">
        <v>132.19999999999999</v>
      </c>
      <c r="AD46" s="1">
        <v>149.4</v>
      </c>
      <c r="AE46" s="1"/>
      <c r="AF46" s="1">
        <f>G46*Q46</f>
        <v>178.01192000000012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87</v>
      </c>
      <c r="B47" s="1" t="s">
        <v>35</v>
      </c>
      <c r="C47" s="1">
        <v>1151.183</v>
      </c>
      <c r="D47" s="1">
        <v>198.56899999999999</v>
      </c>
      <c r="E47" s="1">
        <v>398.14699999999999</v>
      </c>
      <c r="F47" s="1">
        <v>919.43200000000002</v>
      </c>
      <c r="G47" s="8">
        <v>1</v>
      </c>
      <c r="H47" s="1">
        <v>50</v>
      </c>
      <c r="I47" s="1" t="s">
        <v>36</v>
      </c>
      <c r="J47" s="1"/>
      <c r="K47" s="1">
        <v>395.05</v>
      </c>
      <c r="L47" s="1">
        <f t="shared" si="9"/>
        <v>3.09699999999998</v>
      </c>
      <c r="M47" s="1">
        <f t="shared" si="1"/>
        <v>398.14699999999999</v>
      </c>
      <c r="N47" s="1"/>
      <c r="O47" s="1">
        <v>0</v>
      </c>
      <c r="P47" s="1">
        <f t="shared" si="2"/>
        <v>79.629400000000004</v>
      </c>
      <c r="Q47" s="5">
        <f t="shared" si="10"/>
        <v>36.120800000000031</v>
      </c>
      <c r="R47" s="5"/>
      <c r="S47" s="1"/>
      <c r="T47" s="1"/>
      <c r="U47" s="1">
        <f t="shared" si="3"/>
        <v>12</v>
      </c>
      <c r="V47" s="1">
        <f t="shared" si="4"/>
        <v>11.546388645399814</v>
      </c>
      <c r="W47" s="1">
        <v>80.302800000000005</v>
      </c>
      <c r="X47" s="1">
        <v>76.09559999999999</v>
      </c>
      <c r="Y47" s="1">
        <v>78.237200000000001</v>
      </c>
      <c r="Z47" s="1">
        <v>113.8388333333333</v>
      </c>
      <c r="AA47" s="1">
        <v>139.50733333333329</v>
      </c>
      <c r="AB47" s="1">
        <v>121.01179999999999</v>
      </c>
      <c r="AC47" s="1">
        <v>93.060199999999995</v>
      </c>
      <c r="AD47" s="1">
        <v>85.131</v>
      </c>
      <c r="AE47" s="1"/>
      <c r="AF47" s="1">
        <f>G47*Q47</f>
        <v>36.120800000000031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88</v>
      </c>
      <c r="B48" s="1" t="s">
        <v>35</v>
      </c>
      <c r="C48" s="1">
        <v>1616.8630000000001</v>
      </c>
      <c r="D48" s="1">
        <v>311.49200000000002</v>
      </c>
      <c r="E48" s="1">
        <v>658.37300000000005</v>
      </c>
      <c r="F48" s="1">
        <v>1197.0820000000001</v>
      </c>
      <c r="G48" s="8">
        <v>1</v>
      </c>
      <c r="H48" s="1">
        <v>50</v>
      </c>
      <c r="I48" s="1" t="s">
        <v>36</v>
      </c>
      <c r="J48" s="1"/>
      <c r="K48" s="1">
        <v>652.29999999999995</v>
      </c>
      <c r="L48" s="1">
        <f t="shared" si="9"/>
        <v>6.0730000000000928</v>
      </c>
      <c r="M48" s="1">
        <f t="shared" si="1"/>
        <v>658.37300000000005</v>
      </c>
      <c r="N48" s="1"/>
      <c r="O48" s="1">
        <v>295.53975000000003</v>
      </c>
      <c r="P48" s="1">
        <f t="shared" si="2"/>
        <v>131.6746</v>
      </c>
      <c r="Q48" s="5">
        <f t="shared" si="10"/>
        <v>87.47344999999973</v>
      </c>
      <c r="R48" s="5"/>
      <c r="S48" s="1"/>
      <c r="T48" s="1"/>
      <c r="U48" s="1">
        <f t="shared" si="3"/>
        <v>12</v>
      </c>
      <c r="V48" s="1">
        <f t="shared" si="4"/>
        <v>11.335684710642754</v>
      </c>
      <c r="W48" s="1">
        <v>131.351</v>
      </c>
      <c r="X48" s="1">
        <v>145.19319999999999</v>
      </c>
      <c r="Y48" s="1">
        <v>147.6936</v>
      </c>
      <c r="Z48" s="1">
        <v>181.881</v>
      </c>
      <c r="AA48" s="1">
        <v>217.1925</v>
      </c>
      <c r="AB48" s="1">
        <v>190.73140000000001</v>
      </c>
      <c r="AC48" s="1">
        <v>140.89320000000001</v>
      </c>
      <c r="AD48" s="1">
        <v>145.45400000000001</v>
      </c>
      <c r="AE48" s="1"/>
      <c r="AF48" s="1">
        <f>G48*Q48</f>
        <v>87.47344999999973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4" t="s">
        <v>89</v>
      </c>
      <c r="B49" s="14" t="s">
        <v>35</v>
      </c>
      <c r="C49" s="14"/>
      <c r="D49" s="14"/>
      <c r="E49" s="14"/>
      <c r="F49" s="14"/>
      <c r="G49" s="15">
        <v>0</v>
      </c>
      <c r="H49" s="14">
        <v>40</v>
      </c>
      <c r="I49" s="14" t="s">
        <v>36</v>
      </c>
      <c r="J49" s="14"/>
      <c r="K49" s="14"/>
      <c r="L49" s="14">
        <f t="shared" si="9"/>
        <v>0</v>
      </c>
      <c r="M49" s="14">
        <f t="shared" si="1"/>
        <v>0</v>
      </c>
      <c r="N49" s="14"/>
      <c r="O49" s="14">
        <v>0</v>
      </c>
      <c r="P49" s="14">
        <f t="shared" si="2"/>
        <v>0</v>
      </c>
      <c r="Q49" s="16"/>
      <c r="R49" s="16"/>
      <c r="S49" s="14"/>
      <c r="T49" s="14"/>
      <c r="U49" s="14" t="e">
        <f t="shared" si="3"/>
        <v>#DIV/0!</v>
      </c>
      <c r="V49" s="14" t="e">
        <f t="shared" si="4"/>
        <v>#DIV/0!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 t="s">
        <v>65</v>
      </c>
      <c r="AF49" s="14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1" t="s">
        <v>90</v>
      </c>
      <c r="B50" s="11" t="s">
        <v>40</v>
      </c>
      <c r="C50" s="11">
        <v>22</v>
      </c>
      <c r="D50" s="11"/>
      <c r="E50" s="11">
        <v>3</v>
      </c>
      <c r="F50" s="11">
        <v>14</v>
      </c>
      <c r="G50" s="12">
        <v>0</v>
      </c>
      <c r="H50" s="11" t="e">
        <v>#N/A</v>
      </c>
      <c r="I50" s="11" t="s">
        <v>74</v>
      </c>
      <c r="J50" s="11"/>
      <c r="K50" s="11">
        <v>32</v>
      </c>
      <c r="L50" s="11">
        <f t="shared" si="9"/>
        <v>-29</v>
      </c>
      <c r="M50" s="11">
        <f t="shared" si="1"/>
        <v>3</v>
      </c>
      <c r="N50" s="11"/>
      <c r="O50" s="11">
        <v>0</v>
      </c>
      <c r="P50" s="11">
        <f t="shared" si="2"/>
        <v>0.6</v>
      </c>
      <c r="Q50" s="13"/>
      <c r="R50" s="13"/>
      <c r="S50" s="11"/>
      <c r="T50" s="11"/>
      <c r="U50" s="11">
        <f t="shared" si="3"/>
        <v>23.333333333333336</v>
      </c>
      <c r="V50" s="11">
        <f t="shared" si="4"/>
        <v>23.333333333333336</v>
      </c>
      <c r="W50" s="11">
        <v>2</v>
      </c>
      <c r="X50" s="11">
        <v>3.8</v>
      </c>
      <c r="Y50" s="11">
        <v>31.2</v>
      </c>
      <c r="Z50" s="11">
        <v>3.666666666666667</v>
      </c>
      <c r="AA50" s="11">
        <v>2.5</v>
      </c>
      <c r="AB50" s="11">
        <v>0</v>
      </c>
      <c r="AC50" s="11">
        <v>0</v>
      </c>
      <c r="AD50" s="11">
        <v>0</v>
      </c>
      <c r="AE50" s="11" t="s">
        <v>75</v>
      </c>
      <c r="AF50" s="1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91</v>
      </c>
      <c r="B51" s="1" t="s">
        <v>40</v>
      </c>
      <c r="C51" s="1">
        <v>1237</v>
      </c>
      <c r="D51" s="1">
        <v>235</v>
      </c>
      <c r="E51" s="1">
        <v>716</v>
      </c>
      <c r="F51" s="1">
        <v>634</v>
      </c>
      <c r="G51" s="8">
        <v>0.45</v>
      </c>
      <c r="H51" s="1">
        <v>50</v>
      </c>
      <c r="I51" s="1" t="s">
        <v>36</v>
      </c>
      <c r="J51" s="1"/>
      <c r="K51" s="1">
        <v>732</v>
      </c>
      <c r="L51" s="1">
        <f t="shared" si="9"/>
        <v>-16</v>
      </c>
      <c r="M51" s="1">
        <f t="shared" si="1"/>
        <v>716</v>
      </c>
      <c r="N51" s="1"/>
      <c r="O51" s="1">
        <v>775.51</v>
      </c>
      <c r="P51" s="1">
        <f t="shared" si="2"/>
        <v>143.19999999999999</v>
      </c>
      <c r="Q51" s="5">
        <f>12*P51-O51-F51</f>
        <v>308.88999999999987</v>
      </c>
      <c r="R51" s="5"/>
      <c r="S51" s="1"/>
      <c r="T51" s="1"/>
      <c r="U51" s="1">
        <f t="shared" si="3"/>
        <v>12</v>
      </c>
      <c r="V51" s="1">
        <f t="shared" si="4"/>
        <v>9.8429469273743031</v>
      </c>
      <c r="W51" s="1">
        <v>139</v>
      </c>
      <c r="X51" s="1">
        <v>112.6</v>
      </c>
      <c r="Y51" s="1">
        <v>93</v>
      </c>
      <c r="Z51" s="1">
        <v>135.33333333333329</v>
      </c>
      <c r="AA51" s="1">
        <v>155.33333333333329</v>
      </c>
      <c r="AB51" s="1">
        <v>124.6</v>
      </c>
      <c r="AC51" s="1">
        <v>110</v>
      </c>
      <c r="AD51" s="1">
        <v>102.8</v>
      </c>
      <c r="AE51" s="1" t="s">
        <v>92</v>
      </c>
      <c r="AF51" s="1">
        <f>G51*Q51</f>
        <v>139.00049999999996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1" t="s">
        <v>93</v>
      </c>
      <c r="B52" s="11" t="s">
        <v>40</v>
      </c>
      <c r="C52" s="11">
        <v>54</v>
      </c>
      <c r="D52" s="11"/>
      <c r="E52" s="11">
        <v>28</v>
      </c>
      <c r="F52" s="11">
        <v>26</v>
      </c>
      <c r="G52" s="12">
        <v>0</v>
      </c>
      <c r="H52" s="11" t="e">
        <v>#N/A</v>
      </c>
      <c r="I52" s="11" t="s">
        <v>74</v>
      </c>
      <c r="J52" s="11"/>
      <c r="K52" s="11">
        <v>37</v>
      </c>
      <c r="L52" s="11">
        <f t="shared" si="9"/>
        <v>-9</v>
      </c>
      <c r="M52" s="11">
        <f t="shared" si="1"/>
        <v>28</v>
      </c>
      <c r="N52" s="11"/>
      <c r="O52" s="11">
        <v>0</v>
      </c>
      <c r="P52" s="11">
        <f t="shared" si="2"/>
        <v>5.6</v>
      </c>
      <c r="Q52" s="13"/>
      <c r="R52" s="13"/>
      <c r="S52" s="11"/>
      <c r="T52" s="11"/>
      <c r="U52" s="11">
        <f t="shared" si="3"/>
        <v>4.6428571428571432</v>
      </c>
      <c r="V52" s="11">
        <f t="shared" si="4"/>
        <v>4.6428571428571432</v>
      </c>
      <c r="W52" s="11">
        <v>5</v>
      </c>
      <c r="X52" s="11">
        <v>1.8</v>
      </c>
      <c r="Y52" s="11">
        <v>3.6</v>
      </c>
      <c r="Z52" s="11">
        <v>5</v>
      </c>
      <c r="AA52" s="11">
        <v>3.333333333333333</v>
      </c>
      <c r="AB52" s="11">
        <v>0</v>
      </c>
      <c r="AC52" s="11">
        <v>0</v>
      </c>
      <c r="AD52" s="11">
        <v>0</v>
      </c>
      <c r="AE52" s="11" t="s">
        <v>75</v>
      </c>
      <c r="AF52" s="1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94</v>
      </c>
      <c r="B53" s="1" t="s">
        <v>40</v>
      </c>
      <c r="C53" s="1">
        <v>134</v>
      </c>
      <c r="D53" s="1">
        <v>90</v>
      </c>
      <c r="E53" s="1">
        <v>91</v>
      </c>
      <c r="F53" s="1">
        <v>96</v>
      </c>
      <c r="G53" s="8">
        <v>0.4</v>
      </c>
      <c r="H53" s="1">
        <v>40</v>
      </c>
      <c r="I53" s="1" t="s">
        <v>36</v>
      </c>
      <c r="J53" s="1"/>
      <c r="K53" s="1">
        <v>102</v>
      </c>
      <c r="L53" s="1">
        <f t="shared" si="9"/>
        <v>-11</v>
      </c>
      <c r="M53" s="1">
        <f t="shared" si="1"/>
        <v>91</v>
      </c>
      <c r="N53" s="1"/>
      <c r="O53" s="1">
        <v>53.600000000000023</v>
      </c>
      <c r="P53" s="1">
        <f t="shared" si="2"/>
        <v>18.2</v>
      </c>
      <c r="Q53" s="5">
        <f t="shared" ref="Q53:Q54" si="12">11*P53-O53-F53</f>
        <v>50.599999999999966</v>
      </c>
      <c r="R53" s="5"/>
      <c r="S53" s="1"/>
      <c r="T53" s="1"/>
      <c r="U53" s="1">
        <f t="shared" si="3"/>
        <v>11</v>
      </c>
      <c r="V53" s="1">
        <f t="shared" si="4"/>
        <v>8.2197802197802208</v>
      </c>
      <c r="W53" s="1">
        <v>21.8</v>
      </c>
      <c r="X53" s="1">
        <v>18.399999999999999</v>
      </c>
      <c r="Y53" s="1">
        <v>13.2</v>
      </c>
      <c r="Z53" s="1">
        <v>18.5</v>
      </c>
      <c r="AA53" s="1">
        <v>22.5</v>
      </c>
      <c r="AB53" s="1">
        <v>24.2</v>
      </c>
      <c r="AC53" s="1">
        <v>27.4</v>
      </c>
      <c r="AD53" s="1">
        <v>20.2</v>
      </c>
      <c r="AE53" s="1"/>
      <c r="AF53" s="1">
        <f>G53*Q53</f>
        <v>20.239999999999988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95</v>
      </c>
      <c r="B54" s="1" t="s">
        <v>40</v>
      </c>
      <c r="C54" s="1">
        <v>157</v>
      </c>
      <c r="D54" s="1">
        <v>50</v>
      </c>
      <c r="E54" s="1">
        <v>105</v>
      </c>
      <c r="F54" s="1">
        <v>72</v>
      </c>
      <c r="G54" s="8">
        <v>0.4</v>
      </c>
      <c r="H54" s="1">
        <v>40</v>
      </c>
      <c r="I54" s="1" t="s">
        <v>36</v>
      </c>
      <c r="J54" s="1"/>
      <c r="K54" s="1">
        <v>129</v>
      </c>
      <c r="L54" s="1">
        <f t="shared" si="9"/>
        <v>-24</v>
      </c>
      <c r="M54" s="1">
        <f t="shared" si="1"/>
        <v>105</v>
      </c>
      <c r="N54" s="1"/>
      <c r="O54" s="1">
        <v>74.800000000000011</v>
      </c>
      <c r="P54" s="1">
        <f t="shared" si="2"/>
        <v>21</v>
      </c>
      <c r="Q54" s="5">
        <f t="shared" si="12"/>
        <v>84.199999999999989</v>
      </c>
      <c r="R54" s="5"/>
      <c r="S54" s="1"/>
      <c r="T54" s="1"/>
      <c r="U54" s="1">
        <f t="shared" si="3"/>
        <v>11</v>
      </c>
      <c r="V54" s="1">
        <f t="shared" si="4"/>
        <v>6.9904761904761914</v>
      </c>
      <c r="W54" s="1">
        <v>19.399999999999999</v>
      </c>
      <c r="X54" s="1">
        <v>17.2</v>
      </c>
      <c r="Y54" s="1">
        <v>17.600000000000001</v>
      </c>
      <c r="Z54" s="1">
        <v>16.833333333333329</v>
      </c>
      <c r="AA54" s="1">
        <v>23.166666666666671</v>
      </c>
      <c r="AB54" s="1">
        <v>31</v>
      </c>
      <c r="AC54" s="1">
        <v>30.8</v>
      </c>
      <c r="AD54" s="1">
        <v>35.6</v>
      </c>
      <c r="AE54" s="1" t="s">
        <v>46</v>
      </c>
      <c r="AF54" s="1">
        <f>G54*Q54</f>
        <v>33.68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96</v>
      </c>
      <c r="B55" s="1" t="s">
        <v>35</v>
      </c>
      <c r="C55" s="1">
        <v>1066.6479999999999</v>
      </c>
      <c r="D55" s="1">
        <v>191.39</v>
      </c>
      <c r="E55" s="1">
        <v>361.74299999999999</v>
      </c>
      <c r="F55" s="1">
        <v>845.47400000000005</v>
      </c>
      <c r="G55" s="8">
        <v>1</v>
      </c>
      <c r="H55" s="1">
        <v>50</v>
      </c>
      <c r="I55" s="1" t="s">
        <v>36</v>
      </c>
      <c r="J55" s="1"/>
      <c r="K55" s="1">
        <v>359.05</v>
      </c>
      <c r="L55" s="1">
        <f t="shared" si="9"/>
        <v>2.6929999999999836</v>
      </c>
      <c r="M55" s="1">
        <f t="shared" si="1"/>
        <v>361.74299999999999</v>
      </c>
      <c r="N55" s="1"/>
      <c r="O55" s="1">
        <v>0</v>
      </c>
      <c r="P55" s="1">
        <f t="shared" si="2"/>
        <v>72.348600000000005</v>
      </c>
      <c r="Q55" s="5">
        <f t="shared" ref="Q53:Q89" si="13">12*P55-O55-F55</f>
        <v>22.70920000000001</v>
      </c>
      <c r="R55" s="5"/>
      <c r="S55" s="1"/>
      <c r="T55" s="1"/>
      <c r="U55" s="1">
        <f t="shared" si="3"/>
        <v>12</v>
      </c>
      <c r="V55" s="1">
        <f t="shared" si="4"/>
        <v>11.686114174980579</v>
      </c>
      <c r="W55" s="1">
        <v>65.211399999999998</v>
      </c>
      <c r="X55" s="1">
        <v>69.487600000000015</v>
      </c>
      <c r="Y55" s="1">
        <v>74.926999999999992</v>
      </c>
      <c r="Z55" s="1">
        <v>106.79300000000001</v>
      </c>
      <c r="AA55" s="1">
        <v>119.64416666666671</v>
      </c>
      <c r="AB55" s="1">
        <v>99.509600000000006</v>
      </c>
      <c r="AC55" s="1">
        <v>73.804599999999994</v>
      </c>
      <c r="AD55" s="1">
        <v>73.170400000000001</v>
      </c>
      <c r="AE55" s="1"/>
      <c r="AF55" s="1">
        <f>G55*Q55</f>
        <v>22.70920000000001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97</v>
      </c>
      <c r="B56" s="1" t="s">
        <v>40</v>
      </c>
      <c r="C56" s="1">
        <v>1084</v>
      </c>
      <c r="D56" s="1">
        <v>5</v>
      </c>
      <c r="E56" s="1">
        <v>87</v>
      </c>
      <c r="F56" s="1">
        <v>995</v>
      </c>
      <c r="G56" s="8">
        <v>0.1</v>
      </c>
      <c r="H56" s="1">
        <v>730</v>
      </c>
      <c r="I56" s="1" t="s">
        <v>36</v>
      </c>
      <c r="J56" s="1"/>
      <c r="K56" s="1">
        <v>90</v>
      </c>
      <c r="L56" s="1">
        <f t="shared" si="9"/>
        <v>-3</v>
      </c>
      <c r="M56" s="1">
        <f t="shared" si="1"/>
        <v>87</v>
      </c>
      <c r="N56" s="1"/>
      <c r="O56" s="1">
        <v>0</v>
      </c>
      <c r="P56" s="1">
        <f t="shared" si="2"/>
        <v>17.399999999999999</v>
      </c>
      <c r="Q56" s="5"/>
      <c r="R56" s="5"/>
      <c r="S56" s="1"/>
      <c r="T56" s="1"/>
      <c r="U56" s="1">
        <f t="shared" si="3"/>
        <v>57.183908045977013</v>
      </c>
      <c r="V56" s="1">
        <f t="shared" si="4"/>
        <v>57.183908045977013</v>
      </c>
      <c r="W56" s="1">
        <v>17.600000000000001</v>
      </c>
      <c r="X56" s="1">
        <v>15.6</v>
      </c>
      <c r="Y56" s="1">
        <v>15</v>
      </c>
      <c r="Z56" s="1">
        <v>22</v>
      </c>
      <c r="AA56" s="1">
        <v>20.166666666666671</v>
      </c>
      <c r="AB56" s="1">
        <v>17</v>
      </c>
      <c r="AC56" s="1">
        <v>20.399999999999999</v>
      </c>
      <c r="AD56" s="1">
        <v>22</v>
      </c>
      <c r="AE56" s="19" t="s">
        <v>50</v>
      </c>
      <c r="AF56" s="1">
        <f>G56*Q56</f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98</v>
      </c>
      <c r="B57" s="1" t="s">
        <v>35</v>
      </c>
      <c r="C57" s="1">
        <v>2414.0250000000001</v>
      </c>
      <c r="D57" s="1">
        <v>24.061</v>
      </c>
      <c r="E57" s="1">
        <v>769.01099999999997</v>
      </c>
      <c r="F57" s="1">
        <v>1589.17</v>
      </c>
      <c r="G57" s="8">
        <v>1</v>
      </c>
      <c r="H57" s="1">
        <v>50</v>
      </c>
      <c r="I57" s="1" t="s">
        <v>36</v>
      </c>
      <c r="J57" s="1"/>
      <c r="K57" s="1">
        <v>785.31100000000004</v>
      </c>
      <c r="L57" s="1">
        <f t="shared" si="9"/>
        <v>-16.300000000000068</v>
      </c>
      <c r="M57" s="1">
        <f t="shared" si="1"/>
        <v>747.65</v>
      </c>
      <c r="N57" s="1">
        <v>21.361000000000001</v>
      </c>
      <c r="O57" s="1">
        <v>0</v>
      </c>
      <c r="P57" s="1">
        <f t="shared" si="2"/>
        <v>149.53</v>
      </c>
      <c r="Q57" s="5">
        <f t="shared" si="13"/>
        <v>205.19000000000005</v>
      </c>
      <c r="R57" s="5"/>
      <c r="S57" s="1"/>
      <c r="T57" s="1"/>
      <c r="U57" s="1">
        <f t="shared" si="3"/>
        <v>12</v>
      </c>
      <c r="V57" s="1">
        <f t="shared" si="4"/>
        <v>10.627767003276935</v>
      </c>
      <c r="W57" s="1">
        <v>150.5806</v>
      </c>
      <c r="X57" s="1">
        <v>166.9306</v>
      </c>
      <c r="Y57" s="1">
        <v>170.37739999999999</v>
      </c>
      <c r="Z57" s="1">
        <v>231.67033333333339</v>
      </c>
      <c r="AA57" s="1">
        <v>295.91216666666668</v>
      </c>
      <c r="AB57" s="1">
        <v>221.24639999999999</v>
      </c>
      <c r="AC57" s="1">
        <v>170.66679999999999</v>
      </c>
      <c r="AD57" s="1">
        <v>161.72380000000001</v>
      </c>
      <c r="AE57" s="1"/>
      <c r="AF57" s="1">
        <f>G57*Q57</f>
        <v>205.19000000000005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99</v>
      </c>
      <c r="B58" s="1" t="s">
        <v>35</v>
      </c>
      <c r="C58" s="1">
        <v>177.584</v>
      </c>
      <c r="D58" s="1">
        <v>21.542000000000002</v>
      </c>
      <c r="E58" s="1">
        <v>98.498000000000005</v>
      </c>
      <c r="F58" s="1">
        <v>72.358999999999995</v>
      </c>
      <c r="G58" s="8">
        <v>1</v>
      </c>
      <c r="H58" s="1">
        <v>50</v>
      </c>
      <c r="I58" s="1" t="s">
        <v>36</v>
      </c>
      <c r="J58" s="1"/>
      <c r="K58" s="1">
        <v>121.69199999999999</v>
      </c>
      <c r="L58" s="1">
        <f t="shared" si="9"/>
        <v>-23.193999999999988</v>
      </c>
      <c r="M58" s="1">
        <f t="shared" si="1"/>
        <v>76.956000000000003</v>
      </c>
      <c r="N58" s="1">
        <v>21.542000000000002</v>
      </c>
      <c r="O58" s="1">
        <v>58.552199999999999</v>
      </c>
      <c r="P58" s="1">
        <f t="shared" si="2"/>
        <v>15.391200000000001</v>
      </c>
      <c r="Q58" s="5">
        <f t="shared" si="13"/>
        <v>53.783200000000036</v>
      </c>
      <c r="R58" s="5"/>
      <c r="S58" s="1"/>
      <c r="T58" s="1"/>
      <c r="U58" s="1">
        <f t="shared" si="3"/>
        <v>12.000000000000002</v>
      </c>
      <c r="V58" s="1">
        <f t="shared" si="4"/>
        <v>8.5055876085035607</v>
      </c>
      <c r="W58" s="1">
        <v>15.696199999999999</v>
      </c>
      <c r="X58" s="1">
        <v>10.1632</v>
      </c>
      <c r="Y58" s="1">
        <v>12.3104</v>
      </c>
      <c r="Z58" s="1">
        <v>20.058499999999999</v>
      </c>
      <c r="AA58" s="1">
        <v>27.692666666666671</v>
      </c>
      <c r="AB58" s="1">
        <v>17.691199999999998</v>
      </c>
      <c r="AC58" s="1">
        <v>17.258800000000001</v>
      </c>
      <c r="AD58" s="1">
        <v>15.8902</v>
      </c>
      <c r="AE58" s="1"/>
      <c r="AF58" s="1">
        <f>G58*Q58</f>
        <v>53.783200000000036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100</v>
      </c>
      <c r="B59" s="1" t="s">
        <v>40</v>
      </c>
      <c r="C59" s="1">
        <v>161</v>
      </c>
      <c r="D59" s="1">
        <v>45</v>
      </c>
      <c r="E59" s="1">
        <v>61</v>
      </c>
      <c r="F59" s="1">
        <v>137</v>
      </c>
      <c r="G59" s="8">
        <v>0.1</v>
      </c>
      <c r="H59" s="1">
        <v>730</v>
      </c>
      <c r="I59" s="1" t="s">
        <v>36</v>
      </c>
      <c r="J59" s="1"/>
      <c r="K59" s="1">
        <v>64</v>
      </c>
      <c r="L59" s="1">
        <f t="shared" si="9"/>
        <v>-3</v>
      </c>
      <c r="M59" s="1">
        <f t="shared" si="1"/>
        <v>61</v>
      </c>
      <c r="N59" s="1"/>
      <c r="O59" s="1">
        <v>10.400000000000009</v>
      </c>
      <c r="P59" s="1">
        <f t="shared" si="2"/>
        <v>12.2</v>
      </c>
      <c r="Q59" s="5"/>
      <c r="R59" s="5"/>
      <c r="S59" s="1"/>
      <c r="T59" s="1"/>
      <c r="U59" s="1">
        <f t="shared" si="3"/>
        <v>12.081967213114755</v>
      </c>
      <c r="V59" s="1">
        <f t="shared" si="4"/>
        <v>12.081967213114755</v>
      </c>
      <c r="W59" s="1">
        <v>15.6</v>
      </c>
      <c r="X59" s="1">
        <v>15.6</v>
      </c>
      <c r="Y59" s="1">
        <v>10.8</v>
      </c>
      <c r="Z59" s="1">
        <v>17.5</v>
      </c>
      <c r="AA59" s="1">
        <v>20.166666666666671</v>
      </c>
      <c r="AB59" s="1">
        <v>17</v>
      </c>
      <c r="AC59" s="1">
        <v>15.8</v>
      </c>
      <c r="AD59" s="1">
        <v>15.6</v>
      </c>
      <c r="AE59" s="1"/>
      <c r="AF59" s="1">
        <f>G59*Q59</f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101</v>
      </c>
      <c r="B60" s="1" t="s">
        <v>40</v>
      </c>
      <c r="C60" s="1">
        <v>1733</v>
      </c>
      <c r="D60" s="1">
        <v>274</v>
      </c>
      <c r="E60" s="1">
        <v>622</v>
      </c>
      <c r="F60" s="1">
        <v>1350</v>
      </c>
      <c r="G60" s="8">
        <v>0.4</v>
      </c>
      <c r="H60" s="1">
        <v>50</v>
      </c>
      <c r="I60" s="1" t="s">
        <v>36</v>
      </c>
      <c r="J60" s="1"/>
      <c r="K60" s="1">
        <v>628</v>
      </c>
      <c r="L60" s="1">
        <f t="shared" si="9"/>
        <v>-6</v>
      </c>
      <c r="M60" s="1">
        <f t="shared" si="1"/>
        <v>622</v>
      </c>
      <c r="N60" s="1"/>
      <c r="O60" s="1">
        <v>0</v>
      </c>
      <c r="P60" s="1">
        <f t="shared" si="2"/>
        <v>124.4</v>
      </c>
      <c r="Q60" s="5">
        <f t="shared" si="13"/>
        <v>142.80000000000018</v>
      </c>
      <c r="R60" s="5"/>
      <c r="S60" s="1"/>
      <c r="T60" s="1"/>
      <c r="U60" s="1">
        <f t="shared" si="3"/>
        <v>12.000000000000002</v>
      </c>
      <c r="V60" s="1">
        <f t="shared" si="4"/>
        <v>10.85209003215434</v>
      </c>
      <c r="W60" s="1">
        <v>129.6</v>
      </c>
      <c r="X60" s="1">
        <v>117.6</v>
      </c>
      <c r="Y60" s="1">
        <v>91.4</v>
      </c>
      <c r="Z60" s="1">
        <v>164.33333333333329</v>
      </c>
      <c r="AA60" s="1">
        <v>207.5</v>
      </c>
      <c r="AB60" s="1">
        <v>174.6</v>
      </c>
      <c r="AC60" s="1">
        <v>120.8</v>
      </c>
      <c r="AD60" s="1">
        <v>103.8</v>
      </c>
      <c r="AE60" s="1" t="s">
        <v>102</v>
      </c>
      <c r="AF60" s="1">
        <f>G60*Q60</f>
        <v>57.120000000000076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103</v>
      </c>
      <c r="B61" s="1" t="s">
        <v>35</v>
      </c>
      <c r="C61" s="1">
        <v>89.625</v>
      </c>
      <c r="D61" s="1">
        <v>37.298000000000002</v>
      </c>
      <c r="E61" s="1">
        <v>63.204000000000001</v>
      </c>
      <c r="F61" s="1">
        <v>61.021999999999998</v>
      </c>
      <c r="G61" s="8">
        <v>1</v>
      </c>
      <c r="H61" s="1">
        <v>40</v>
      </c>
      <c r="I61" s="1" t="s">
        <v>36</v>
      </c>
      <c r="J61" s="1"/>
      <c r="K61" s="1">
        <v>62.8</v>
      </c>
      <c r="L61" s="1">
        <f t="shared" si="9"/>
        <v>0.40400000000000347</v>
      </c>
      <c r="M61" s="1">
        <f t="shared" si="1"/>
        <v>63.204000000000001</v>
      </c>
      <c r="N61" s="1"/>
      <c r="O61" s="1">
        <v>29.527999999999992</v>
      </c>
      <c r="P61" s="1">
        <f t="shared" si="2"/>
        <v>12.6408</v>
      </c>
      <c r="Q61" s="5">
        <f t="shared" ref="Q61:Q68" si="14">11*P61-O61-F61</f>
        <v>48.49880000000001</v>
      </c>
      <c r="R61" s="5"/>
      <c r="S61" s="1"/>
      <c r="T61" s="1"/>
      <c r="U61" s="1">
        <f t="shared" si="3"/>
        <v>11</v>
      </c>
      <c r="V61" s="1">
        <f t="shared" si="4"/>
        <v>7.1633124485792026</v>
      </c>
      <c r="W61" s="1">
        <v>11.1</v>
      </c>
      <c r="X61" s="1">
        <v>9.9060000000000006</v>
      </c>
      <c r="Y61" s="1">
        <v>10.132</v>
      </c>
      <c r="Z61" s="1">
        <v>11.39216666666667</v>
      </c>
      <c r="AA61" s="1">
        <v>11.128833333333329</v>
      </c>
      <c r="AB61" s="1">
        <v>10.2502</v>
      </c>
      <c r="AC61" s="1">
        <v>9.4443999999999999</v>
      </c>
      <c r="AD61" s="1">
        <v>9.3394000000000013</v>
      </c>
      <c r="AE61" s="1"/>
      <c r="AF61" s="1">
        <f>G61*Q61</f>
        <v>48.49880000000001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104</v>
      </c>
      <c r="B62" s="1" t="s">
        <v>35</v>
      </c>
      <c r="C62" s="1">
        <v>52.49</v>
      </c>
      <c r="D62" s="1">
        <v>73.573999999999998</v>
      </c>
      <c r="E62" s="1">
        <v>54.517000000000003</v>
      </c>
      <c r="F62" s="1">
        <v>67.164000000000001</v>
      </c>
      <c r="G62" s="8">
        <v>1</v>
      </c>
      <c r="H62" s="1">
        <v>40</v>
      </c>
      <c r="I62" s="1" t="s">
        <v>36</v>
      </c>
      <c r="J62" s="1"/>
      <c r="K62" s="1">
        <v>53.8</v>
      </c>
      <c r="L62" s="1">
        <f t="shared" si="9"/>
        <v>0.71700000000000585</v>
      </c>
      <c r="M62" s="1">
        <f t="shared" si="1"/>
        <v>54.517000000000003</v>
      </c>
      <c r="N62" s="1"/>
      <c r="O62" s="1">
        <v>10.256599999999979</v>
      </c>
      <c r="P62" s="1">
        <f t="shared" si="2"/>
        <v>10.903400000000001</v>
      </c>
      <c r="Q62" s="5">
        <f t="shared" si="14"/>
        <v>42.516800000000032</v>
      </c>
      <c r="R62" s="5"/>
      <c r="S62" s="1"/>
      <c r="T62" s="1"/>
      <c r="U62" s="1">
        <f t="shared" si="3"/>
        <v>11</v>
      </c>
      <c r="V62" s="1">
        <f t="shared" si="4"/>
        <v>7.1005924757415091</v>
      </c>
      <c r="W62" s="1">
        <v>9.3065999999999995</v>
      </c>
      <c r="X62" s="1">
        <v>10.376200000000001</v>
      </c>
      <c r="Y62" s="1">
        <v>9.2058</v>
      </c>
      <c r="Z62" s="1">
        <v>7.9091666666666667</v>
      </c>
      <c r="AA62" s="1">
        <v>8.7806666666666668</v>
      </c>
      <c r="AB62" s="1">
        <v>6.8506</v>
      </c>
      <c r="AC62" s="1">
        <v>10.49</v>
      </c>
      <c r="AD62" s="1">
        <v>8.8762000000000008</v>
      </c>
      <c r="AE62" s="1"/>
      <c r="AF62" s="1">
        <f>G62*Q62</f>
        <v>42.516800000000032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105</v>
      </c>
      <c r="B63" s="1" t="s">
        <v>40</v>
      </c>
      <c r="C63" s="1">
        <v>1130</v>
      </c>
      <c r="D63" s="1">
        <v>1173</v>
      </c>
      <c r="E63" s="1">
        <v>1021</v>
      </c>
      <c r="F63" s="1">
        <v>1120</v>
      </c>
      <c r="G63" s="8">
        <v>0.4</v>
      </c>
      <c r="H63" s="1">
        <v>40</v>
      </c>
      <c r="I63" s="1" t="s">
        <v>36</v>
      </c>
      <c r="J63" s="1"/>
      <c r="K63" s="1">
        <v>1041</v>
      </c>
      <c r="L63" s="1">
        <f t="shared" si="9"/>
        <v>-20</v>
      </c>
      <c r="M63" s="1">
        <f t="shared" si="1"/>
        <v>1021</v>
      </c>
      <c r="N63" s="1"/>
      <c r="O63" s="1">
        <v>452.55080000000021</v>
      </c>
      <c r="P63" s="1">
        <f t="shared" si="2"/>
        <v>204.2</v>
      </c>
      <c r="Q63" s="5">
        <f t="shared" si="14"/>
        <v>673.64919999999961</v>
      </c>
      <c r="R63" s="5"/>
      <c r="S63" s="1"/>
      <c r="T63" s="1"/>
      <c r="U63" s="1">
        <f t="shared" si="3"/>
        <v>11</v>
      </c>
      <c r="V63" s="1">
        <f t="shared" si="4"/>
        <v>7.701032321253674</v>
      </c>
      <c r="W63" s="1">
        <v>201.8</v>
      </c>
      <c r="X63" s="1">
        <v>197.4</v>
      </c>
      <c r="Y63" s="1">
        <v>167.8</v>
      </c>
      <c r="Z63" s="1">
        <v>175.16666666666671</v>
      </c>
      <c r="AA63" s="1">
        <v>191.33333333333329</v>
      </c>
      <c r="AB63" s="1">
        <v>178.4</v>
      </c>
      <c r="AC63" s="1">
        <v>193.6</v>
      </c>
      <c r="AD63" s="1">
        <v>214.4</v>
      </c>
      <c r="AE63" s="1"/>
      <c r="AF63" s="1">
        <f>G63*Q63</f>
        <v>269.45967999999988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106</v>
      </c>
      <c r="B64" s="1" t="s">
        <v>40</v>
      </c>
      <c r="C64" s="1">
        <v>675</v>
      </c>
      <c r="D64" s="1">
        <v>978</v>
      </c>
      <c r="E64" s="1">
        <v>748</v>
      </c>
      <c r="F64" s="1">
        <v>769</v>
      </c>
      <c r="G64" s="8">
        <v>0.4</v>
      </c>
      <c r="H64" s="1">
        <v>40</v>
      </c>
      <c r="I64" s="1" t="s">
        <v>36</v>
      </c>
      <c r="J64" s="1"/>
      <c r="K64" s="1">
        <v>775</v>
      </c>
      <c r="L64" s="1">
        <f t="shared" si="9"/>
        <v>-27</v>
      </c>
      <c r="M64" s="1">
        <f t="shared" si="1"/>
        <v>748</v>
      </c>
      <c r="N64" s="1"/>
      <c r="O64" s="1">
        <v>408.49</v>
      </c>
      <c r="P64" s="1">
        <f t="shared" si="2"/>
        <v>149.6</v>
      </c>
      <c r="Q64" s="5">
        <f t="shared" si="14"/>
        <v>468.1099999999999</v>
      </c>
      <c r="R64" s="5"/>
      <c r="S64" s="1"/>
      <c r="T64" s="1"/>
      <c r="U64" s="1">
        <f t="shared" si="3"/>
        <v>11</v>
      </c>
      <c r="V64" s="1">
        <f t="shared" si="4"/>
        <v>7.8709224598930483</v>
      </c>
      <c r="W64" s="1">
        <v>152</v>
      </c>
      <c r="X64" s="1">
        <v>141</v>
      </c>
      <c r="Y64" s="1">
        <v>114.8</v>
      </c>
      <c r="Z64" s="1">
        <v>113.5</v>
      </c>
      <c r="AA64" s="1">
        <v>126.5</v>
      </c>
      <c r="AB64" s="1">
        <v>126</v>
      </c>
      <c r="AC64" s="1">
        <v>123</v>
      </c>
      <c r="AD64" s="1">
        <v>139.4</v>
      </c>
      <c r="AE64" s="1"/>
      <c r="AF64" s="1">
        <f>G64*Q64</f>
        <v>187.24399999999997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107</v>
      </c>
      <c r="B65" s="1" t="s">
        <v>35</v>
      </c>
      <c r="C65" s="1">
        <v>1190.6479999999999</v>
      </c>
      <c r="D65" s="1">
        <v>136.91399999999999</v>
      </c>
      <c r="E65" s="1">
        <v>599.13099999999997</v>
      </c>
      <c r="F65" s="1">
        <v>533.02800000000002</v>
      </c>
      <c r="G65" s="8">
        <v>1</v>
      </c>
      <c r="H65" s="1">
        <v>40</v>
      </c>
      <c r="I65" s="1" t="s">
        <v>36</v>
      </c>
      <c r="J65" s="1"/>
      <c r="K65" s="1">
        <v>669.21100000000001</v>
      </c>
      <c r="L65" s="1">
        <f t="shared" si="9"/>
        <v>-70.080000000000041</v>
      </c>
      <c r="M65" s="1">
        <f t="shared" si="1"/>
        <v>501.91999999999996</v>
      </c>
      <c r="N65" s="1">
        <v>97.210999999999999</v>
      </c>
      <c r="O65" s="1">
        <v>146.58099999999999</v>
      </c>
      <c r="P65" s="1">
        <f t="shared" si="2"/>
        <v>100.38399999999999</v>
      </c>
      <c r="Q65" s="5">
        <f t="shared" si="14"/>
        <v>424.6149999999999</v>
      </c>
      <c r="R65" s="5"/>
      <c r="S65" s="1"/>
      <c r="T65" s="1"/>
      <c r="U65" s="1">
        <f t="shared" si="3"/>
        <v>11</v>
      </c>
      <c r="V65" s="1">
        <f t="shared" si="4"/>
        <v>6.7700928434810344</v>
      </c>
      <c r="W65" s="1">
        <v>93.133799999999994</v>
      </c>
      <c r="X65" s="1">
        <v>90.374800000000008</v>
      </c>
      <c r="Y65" s="1">
        <v>74.040199999999999</v>
      </c>
      <c r="Z65" s="1">
        <v>110.36716666666671</v>
      </c>
      <c r="AA65" s="1">
        <v>177.70683333333329</v>
      </c>
      <c r="AB65" s="1">
        <v>162.19739999999999</v>
      </c>
      <c r="AC65" s="1">
        <v>134.4308</v>
      </c>
      <c r="AD65" s="1">
        <v>116.4502</v>
      </c>
      <c r="AE65" s="1"/>
      <c r="AF65" s="1">
        <f>G65*Q65</f>
        <v>424.6149999999999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108</v>
      </c>
      <c r="B66" s="1" t="s">
        <v>35</v>
      </c>
      <c r="C66" s="1">
        <v>578.41700000000003</v>
      </c>
      <c r="D66" s="1">
        <v>319.30399999999997</v>
      </c>
      <c r="E66" s="1">
        <v>393.65699999999998</v>
      </c>
      <c r="F66" s="1">
        <v>347.36900000000003</v>
      </c>
      <c r="G66" s="8">
        <v>1</v>
      </c>
      <c r="H66" s="1">
        <v>40</v>
      </c>
      <c r="I66" s="1" t="s">
        <v>36</v>
      </c>
      <c r="J66" s="1"/>
      <c r="K66" s="1">
        <v>453.29199999999997</v>
      </c>
      <c r="L66" s="1">
        <f t="shared" si="9"/>
        <v>-59.634999999999991</v>
      </c>
      <c r="M66" s="1">
        <f t="shared" si="1"/>
        <v>307.26499999999999</v>
      </c>
      <c r="N66" s="1">
        <v>86.391999999999996</v>
      </c>
      <c r="O66" s="1">
        <v>154.88679999999991</v>
      </c>
      <c r="P66" s="1">
        <f t="shared" si="2"/>
        <v>61.452999999999996</v>
      </c>
      <c r="Q66" s="5">
        <f t="shared" si="14"/>
        <v>173.72720000000004</v>
      </c>
      <c r="R66" s="5"/>
      <c r="S66" s="1"/>
      <c r="T66" s="1"/>
      <c r="U66" s="1">
        <f t="shared" si="3"/>
        <v>11</v>
      </c>
      <c r="V66" s="1">
        <f t="shared" si="4"/>
        <v>8.1730070134899826</v>
      </c>
      <c r="W66" s="1">
        <v>63.693599999999989</v>
      </c>
      <c r="X66" s="1">
        <v>67.308199999999999</v>
      </c>
      <c r="Y66" s="1">
        <v>58.001800000000003</v>
      </c>
      <c r="Z66" s="1">
        <v>71.165833333333339</v>
      </c>
      <c r="AA66" s="1">
        <v>103.0198333333333</v>
      </c>
      <c r="AB66" s="1">
        <v>96.553600000000003</v>
      </c>
      <c r="AC66" s="1">
        <v>75.583600000000004</v>
      </c>
      <c r="AD66" s="1">
        <v>79.619200000000006</v>
      </c>
      <c r="AE66" s="1"/>
      <c r="AF66" s="1">
        <f>G66*Q66</f>
        <v>173.72720000000004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109</v>
      </c>
      <c r="B67" s="1" t="s">
        <v>35</v>
      </c>
      <c r="C67" s="1">
        <v>748.02200000000005</v>
      </c>
      <c r="D67" s="1">
        <v>146.126</v>
      </c>
      <c r="E67" s="1">
        <v>470.822</v>
      </c>
      <c r="F67" s="1">
        <v>288.928</v>
      </c>
      <c r="G67" s="8">
        <v>1</v>
      </c>
      <c r="H67" s="1">
        <v>40</v>
      </c>
      <c r="I67" s="1" t="s">
        <v>36</v>
      </c>
      <c r="J67" s="1"/>
      <c r="K67" s="1">
        <v>544.55600000000004</v>
      </c>
      <c r="L67" s="1">
        <f t="shared" si="9"/>
        <v>-73.734000000000037</v>
      </c>
      <c r="M67" s="1">
        <f t="shared" si="1"/>
        <v>378.81600000000003</v>
      </c>
      <c r="N67" s="1">
        <v>92.006</v>
      </c>
      <c r="O67" s="1">
        <v>294.63099999999997</v>
      </c>
      <c r="P67" s="1">
        <f t="shared" si="2"/>
        <v>75.763200000000012</v>
      </c>
      <c r="Q67" s="5">
        <f t="shared" si="14"/>
        <v>249.83620000000019</v>
      </c>
      <c r="R67" s="5"/>
      <c r="S67" s="1"/>
      <c r="T67" s="1"/>
      <c r="U67" s="1">
        <f t="shared" si="3"/>
        <v>11</v>
      </c>
      <c r="V67" s="1">
        <f t="shared" si="4"/>
        <v>7.7024069733063003</v>
      </c>
      <c r="W67" s="1">
        <v>77.224599999999995</v>
      </c>
      <c r="X67" s="1">
        <v>70.448999999999998</v>
      </c>
      <c r="Y67" s="1">
        <v>64.313800000000001</v>
      </c>
      <c r="Z67" s="1">
        <v>90.017166666666682</v>
      </c>
      <c r="AA67" s="1">
        <v>121.6483333333333</v>
      </c>
      <c r="AB67" s="1">
        <v>102.806</v>
      </c>
      <c r="AC67" s="1">
        <v>92.429000000000002</v>
      </c>
      <c r="AD67" s="1">
        <v>93.965800000000002</v>
      </c>
      <c r="AE67" s="1"/>
      <c r="AF67" s="1">
        <f>G67*Q67</f>
        <v>249.83620000000019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110</v>
      </c>
      <c r="B68" s="1" t="s">
        <v>35</v>
      </c>
      <c r="C68" s="1">
        <v>115.14700000000001</v>
      </c>
      <c r="D68" s="1">
        <v>182.71</v>
      </c>
      <c r="E68" s="1">
        <v>102.86799999999999</v>
      </c>
      <c r="F68" s="1">
        <v>180.67400000000001</v>
      </c>
      <c r="G68" s="8">
        <v>1</v>
      </c>
      <c r="H68" s="1">
        <v>30</v>
      </c>
      <c r="I68" s="1" t="s">
        <v>36</v>
      </c>
      <c r="J68" s="1"/>
      <c r="K68" s="1">
        <v>113</v>
      </c>
      <c r="L68" s="1">
        <f t="shared" si="9"/>
        <v>-10.132000000000005</v>
      </c>
      <c r="M68" s="1">
        <f t="shared" si="1"/>
        <v>102.86799999999999</v>
      </c>
      <c r="N68" s="1"/>
      <c r="O68" s="1">
        <v>0</v>
      </c>
      <c r="P68" s="1">
        <f t="shared" si="2"/>
        <v>20.573599999999999</v>
      </c>
      <c r="Q68" s="5">
        <f t="shared" si="14"/>
        <v>45.635599999999982</v>
      </c>
      <c r="R68" s="5"/>
      <c r="S68" s="1"/>
      <c r="T68" s="1"/>
      <c r="U68" s="1">
        <f t="shared" si="3"/>
        <v>11</v>
      </c>
      <c r="V68" s="1">
        <f t="shared" si="4"/>
        <v>8.781836917214294</v>
      </c>
      <c r="W68" s="1">
        <v>21.076000000000001</v>
      </c>
      <c r="X68" s="1">
        <v>24.190999999999999</v>
      </c>
      <c r="Y68" s="1">
        <v>22.1416</v>
      </c>
      <c r="Z68" s="1">
        <v>19.448166666666669</v>
      </c>
      <c r="AA68" s="1">
        <v>20.00716666666667</v>
      </c>
      <c r="AB68" s="1">
        <v>20.477</v>
      </c>
      <c r="AC68" s="1">
        <v>24.0608</v>
      </c>
      <c r="AD68" s="1">
        <v>21.084</v>
      </c>
      <c r="AE68" s="1" t="s">
        <v>72</v>
      </c>
      <c r="AF68" s="1">
        <f>G68*Q68</f>
        <v>45.635599999999982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111</v>
      </c>
      <c r="B69" s="1" t="s">
        <v>40</v>
      </c>
      <c r="C69" s="1">
        <v>135</v>
      </c>
      <c r="D69" s="1">
        <v>64</v>
      </c>
      <c r="E69" s="1">
        <v>78</v>
      </c>
      <c r="F69" s="1">
        <v>103</v>
      </c>
      <c r="G69" s="8">
        <v>0.6</v>
      </c>
      <c r="H69" s="1">
        <v>60</v>
      </c>
      <c r="I69" s="1" t="s">
        <v>36</v>
      </c>
      <c r="J69" s="1"/>
      <c r="K69" s="1">
        <v>78</v>
      </c>
      <c r="L69" s="1">
        <f t="shared" si="9"/>
        <v>0</v>
      </c>
      <c r="M69" s="1">
        <f t="shared" si="1"/>
        <v>78</v>
      </c>
      <c r="N69" s="1"/>
      <c r="O69" s="1">
        <v>23.600000000000019</v>
      </c>
      <c r="P69" s="1">
        <f t="shared" si="2"/>
        <v>15.6</v>
      </c>
      <c r="Q69" s="5">
        <f t="shared" si="13"/>
        <v>60.599999999999966</v>
      </c>
      <c r="R69" s="5"/>
      <c r="S69" s="1"/>
      <c r="T69" s="1"/>
      <c r="U69" s="1">
        <f t="shared" si="3"/>
        <v>12</v>
      </c>
      <c r="V69" s="1">
        <f t="shared" si="4"/>
        <v>8.1153846153846168</v>
      </c>
      <c r="W69" s="1">
        <v>17</v>
      </c>
      <c r="X69" s="1">
        <v>15.2</v>
      </c>
      <c r="Y69" s="1">
        <v>10.6</v>
      </c>
      <c r="Z69" s="1">
        <v>10.866666666666671</v>
      </c>
      <c r="AA69" s="1">
        <v>23.033333333333331</v>
      </c>
      <c r="AB69" s="1">
        <v>25.6</v>
      </c>
      <c r="AC69" s="1">
        <v>11</v>
      </c>
      <c r="AD69" s="1">
        <v>13.8</v>
      </c>
      <c r="AE69" s="1" t="s">
        <v>102</v>
      </c>
      <c r="AF69" s="1">
        <f>G69*Q69</f>
        <v>36.359999999999978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112</v>
      </c>
      <c r="B70" s="1" t="s">
        <v>40</v>
      </c>
      <c r="C70" s="1">
        <v>27</v>
      </c>
      <c r="D70" s="1">
        <v>17</v>
      </c>
      <c r="E70" s="1">
        <v>9</v>
      </c>
      <c r="F70" s="1">
        <v>34</v>
      </c>
      <c r="G70" s="8">
        <v>0.6</v>
      </c>
      <c r="H70" s="1">
        <v>60</v>
      </c>
      <c r="I70" s="1" t="s">
        <v>36</v>
      </c>
      <c r="J70" s="1"/>
      <c r="K70" s="1">
        <v>10</v>
      </c>
      <c r="L70" s="1">
        <f t="shared" ref="L70:L98" si="15">E70-K70</f>
        <v>-1</v>
      </c>
      <c r="M70" s="1">
        <f t="shared" si="1"/>
        <v>9</v>
      </c>
      <c r="N70" s="1"/>
      <c r="O70" s="1">
        <v>0</v>
      </c>
      <c r="P70" s="1">
        <f t="shared" si="2"/>
        <v>1.8</v>
      </c>
      <c r="Q70" s="5"/>
      <c r="R70" s="5"/>
      <c r="S70" s="1"/>
      <c r="T70" s="1"/>
      <c r="U70" s="1">
        <f t="shared" si="3"/>
        <v>18.888888888888889</v>
      </c>
      <c r="V70" s="1">
        <f t="shared" si="4"/>
        <v>18.888888888888889</v>
      </c>
      <c r="W70" s="1">
        <v>2.2000000000000002</v>
      </c>
      <c r="X70" s="1">
        <v>3</v>
      </c>
      <c r="Y70" s="1">
        <v>3.2</v>
      </c>
      <c r="Z70" s="1">
        <v>2.666666666666667</v>
      </c>
      <c r="AA70" s="1">
        <v>2.5</v>
      </c>
      <c r="AB70" s="1">
        <v>2.8</v>
      </c>
      <c r="AC70" s="1">
        <v>1</v>
      </c>
      <c r="AD70" s="1">
        <v>0</v>
      </c>
      <c r="AE70" s="1" t="s">
        <v>113</v>
      </c>
      <c r="AF70" s="1">
        <f>G70*Q70</f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114</v>
      </c>
      <c r="B71" s="1" t="s">
        <v>40</v>
      </c>
      <c r="C71" s="1">
        <v>1010</v>
      </c>
      <c r="D71" s="1">
        <v>279</v>
      </c>
      <c r="E71" s="1">
        <v>789</v>
      </c>
      <c r="F71" s="1">
        <v>415</v>
      </c>
      <c r="G71" s="8">
        <v>0.37</v>
      </c>
      <c r="H71" s="1">
        <v>50</v>
      </c>
      <c r="I71" s="1" t="s">
        <v>36</v>
      </c>
      <c r="J71" s="1"/>
      <c r="K71" s="1">
        <v>815</v>
      </c>
      <c r="L71" s="1">
        <f t="shared" si="15"/>
        <v>-26</v>
      </c>
      <c r="M71" s="1">
        <f t="shared" ref="M71:M98" si="16">E71-N71</f>
        <v>789</v>
      </c>
      <c r="N71" s="1"/>
      <c r="O71" s="1">
        <v>1253.05</v>
      </c>
      <c r="P71" s="1">
        <f t="shared" ref="P71:P98" si="17">M71/5</f>
        <v>157.80000000000001</v>
      </c>
      <c r="Q71" s="5">
        <f t="shared" si="13"/>
        <v>225.55000000000018</v>
      </c>
      <c r="R71" s="5"/>
      <c r="S71" s="1"/>
      <c r="T71" s="1"/>
      <c r="U71" s="1">
        <f t="shared" ref="U71:U98" si="18">(F71+O71+Q71)/P71</f>
        <v>12</v>
      </c>
      <c r="V71" s="1">
        <f t="shared" ref="V71:V98" si="19">(F71+O71)/P71</f>
        <v>10.570659062103928</v>
      </c>
      <c r="W71" s="1">
        <v>153</v>
      </c>
      <c r="X71" s="1">
        <v>99.6</v>
      </c>
      <c r="Y71" s="1">
        <v>87.4</v>
      </c>
      <c r="Z71" s="1">
        <v>113.1666666666667</v>
      </c>
      <c r="AA71" s="1">
        <v>145.5</v>
      </c>
      <c r="AB71" s="1">
        <v>125</v>
      </c>
      <c r="AC71" s="1">
        <v>95.8</v>
      </c>
      <c r="AD71" s="1">
        <v>85</v>
      </c>
      <c r="AE71" s="1"/>
      <c r="AF71" s="1">
        <f>G71*Q71</f>
        <v>83.453500000000062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115</v>
      </c>
      <c r="B72" s="1" t="s">
        <v>40</v>
      </c>
      <c r="C72" s="1">
        <v>55</v>
      </c>
      <c r="D72" s="1">
        <v>54</v>
      </c>
      <c r="E72" s="1">
        <v>55</v>
      </c>
      <c r="F72" s="1">
        <v>40</v>
      </c>
      <c r="G72" s="8">
        <v>0.4</v>
      </c>
      <c r="H72" s="1">
        <v>30</v>
      </c>
      <c r="I72" s="1" t="s">
        <v>36</v>
      </c>
      <c r="J72" s="1"/>
      <c r="K72" s="1">
        <v>57</v>
      </c>
      <c r="L72" s="1">
        <f t="shared" si="15"/>
        <v>-2</v>
      </c>
      <c r="M72" s="1">
        <f t="shared" si="16"/>
        <v>55</v>
      </c>
      <c r="N72" s="1"/>
      <c r="O72" s="1">
        <v>17.800000000000011</v>
      </c>
      <c r="P72" s="1">
        <f t="shared" si="17"/>
        <v>11</v>
      </c>
      <c r="Q72" s="5">
        <f>11*P72-O72-F72</f>
        <v>63.199999999999989</v>
      </c>
      <c r="R72" s="5"/>
      <c r="S72" s="1"/>
      <c r="T72" s="1"/>
      <c r="U72" s="1">
        <f t="shared" si="18"/>
        <v>11</v>
      </c>
      <c r="V72" s="1">
        <f t="shared" si="19"/>
        <v>5.2545454545454557</v>
      </c>
      <c r="W72" s="1">
        <v>10</v>
      </c>
      <c r="X72" s="1">
        <v>9.1999999999999993</v>
      </c>
      <c r="Y72" s="1">
        <v>7.4</v>
      </c>
      <c r="Z72" s="1">
        <v>7.833333333333333</v>
      </c>
      <c r="AA72" s="1">
        <v>8.3333333333333339</v>
      </c>
      <c r="AB72" s="1">
        <v>9.8000000000000007</v>
      </c>
      <c r="AC72" s="1">
        <v>8.8000000000000007</v>
      </c>
      <c r="AD72" s="1">
        <v>7.4</v>
      </c>
      <c r="AE72" s="1"/>
      <c r="AF72" s="1">
        <f>G72*Q72</f>
        <v>25.279999999999998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116</v>
      </c>
      <c r="B73" s="1" t="s">
        <v>40</v>
      </c>
      <c r="C73" s="1">
        <v>263</v>
      </c>
      <c r="D73" s="1"/>
      <c r="E73" s="1">
        <v>181</v>
      </c>
      <c r="F73" s="1">
        <v>28</v>
      </c>
      <c r="G73" s="8">
        <v>0.6</v>
      </c>
      <c r="H73" s="1">
        <v>55</v>
      </c>
      <c r="I73" s="1" t="s">
        <v>36</v>
      </c>
      <c r="J73" s="1"/>
      <c r="K73" s="1">
        <v>181</v>
      </c>
      <c r="L73" s="1">
        <f t="shared" si="15"/>
        <v>0</v>
      </c>
      <c r="M73" s="1">
        <f t="shared" si="16"/>
        <v>181</v>
      </c>
      <c r="N73" s="1"/>
      <c r="O73" s="1">
        <v>59.199999999999989</v>
      </c>
      <c r="P73" s="1">
        <f t="shared" si="17"/>
        <v>36.200000000000003</v>
      </c>
      <c r="Q73" s="5">
        <f>9*P73-O73-F73</f>
        <v>238.60000000000002</v>
      </c>
      <c r="R73" s="5"/>
      <c r="S73" s="1"/>
      <c r="T73" s="1"/>
      <c r="U73" s="1">
        <f t="shared" si="18"/>
        <v>9</v>
      </c>
      <c r="V73" s="1">
        <f t="shared" si="19"/>
        <v>2.4088397790055245</v>
      </c>
      <c r="W73" s="1">
        <v>24.2</v>
      </c>
      <c r="X73" s="1">
        <v>14.8</v>
      </c>
      <c r="Y73" s="1">
        <v>19.399999999999999</v>
      </c>
      <c r="Z73" s="1">
        <v>27.333333333333329</v>
      </c>
      <c r="AA73" s="1">
        <v>35.633333333333333</v>
      </c>
      <c r="AB73" s="1">
        <v>27.76</v>
      </c>
      <c r="AC73" s="1">
        <v>27</v>
      </c>
      <c r="AD73" s="1">
        <v>17.920000000000002</v>
      </c>
      <c r="AE73" s="1" t="s">
        <v>72</v>
      </c>
      <c r="AF73" s="1">
        <f>G73*Q73</f>
        <v>143.16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7" t="s">
        <v>117</v>
      </c>
      <c r="B74" s="1" t="s">
        <v>40</v>
      </c>
      <c r="C74" s="1"/>
      <c r="D74" s="1"/>
      <c r="E74" s="1"/>
      <c r="F74" s="1"/>
      <c r="G74" s="8">
        <v>0.45</v>
      </c>
      <c r="H74" s="1">
        <v>40</v>
      </c>
      <c r="I74" s="1" t="s">
        <v>36</v>
      </c>
      <c r="J74" s="1"/>
      <c r="K74" s="1"/>
      <c r="L74" s="1">
        <f t="shared" si="15"/>
        <v>0</v>
      </c>
      <c r="M74" s="1">
        <f t="shared" si="16"/>
        <v>0</v>
      </c>
      <c r="N74" s="1"/>
      <c r="O74" s="17"/>
      <c r="P74" s="1">
        <f t="shared" si="17"/>
        <v>0</v>
      </c>
      <c r="Q74" s="18">
        <v>10</v>
      </c>
      <c r="R74" s="5"/>
      <c r="S74" s="1"/>
      <c r="T74" s="1"/>
      <c r="U74" s="1" t="e">
        <f t="shared" si="18"/>
        <v>#DIV/0!</v>
      </c>
      <c r="V74" s="1" t="e">
        <f t="shared" si="19"/>
        <v>#DIV/0!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7" t="s">
        <v>118</v>
      </c>
      <c r="AF74" s="1">
        <f>G74*Q74</f>
        <v>4.5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119</v>
      </c>
      <c r="B75" s="1" t="s">
        <v>40</v>
      </c>
      <c r="C75" s="1">
        <v>1178</v>
      </c>
      <c r="D75" s="1">
        <v>193</v>
      </c>
      <c r="E75" s="1">
        <v>492</v>
      </c>
      <c r="F75" s="1">
        <v>820</v>
      </c>
      <c r="G75" s="8">
        <v>0.4</v>
      </c>
      <c r="H75" s="1">
        <v>50</v>
      </c>
      <c r="I75" s="1" t="s">
        <v>36</v>
      </c>
      <c r="J75" s="1"/>
      <c r="K75" s="1">
        <v>498</v>
      </c>
      <c r="L75" s="1">
        <f t="shared" si="15"/>
        <v>-6</v>
      </c>
      <c r="M75" s="1">
        <f t="shared" si="16"/>
        <v>492</v>
      </c>
      <c r="N75" s="1"/>
      <c r="O75" s="1">
        <v>220.43</v>
      </c>
      <c r="P75" s="1">
        <f t="shared" si="17"/>
        <v>98.4</v>
      </c>
      <c r="Q75" s="5">
        <f t="shared" si="13"/>
        <v>140.37000000000012</v>
      </c>
      <c r="R75" s="5"/>
      <c r="S75" s="1"/>
      <c r="T75" s="1"/>
      <c r="U75" s="1">
        <f t="shared" si="18"/>
        <v>12.000000000000002</v>
      </c>
      <c r="V75" s="1">
        <f t="shared" si="19"/>
        <v>10.573475609756098</v>
      </c>
      <c r="W75" s="1">
        <v>96.2</v>
      </c>
      <c r="X75" s="1">
        <v>72.599999999999994</v>
      </c>
      <c r="Y75" s="1">
        <v>72.400000000000006</v>
      </c>
      <c r="Z75" s="1">
        <v>114.3333333333333</v>
      </c>
      <c r="AA75" s="1">
        <v>140.66666666666671</v>
      </c>
      <c r="AB75" s="1">
        <v>118.6</v>
      </c>
      <c r="AC75" s="1">
        <v>99</v>
      </c>
      <c r="AD75" s="1">
        <v>90.8</v>
      </c>
      <c r="AE75" s="1" t="s">
        <v>72</v>
      </c>
      <c r="AF75" s="1">
        <f>G75*Q75</f>
        <v>56.148000000000053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120</v>
      </c>
      <c r="B76" s="1" t="s">
        <v>40</v>
      </c>
      <c r="C76" s="1">
        <v>62</v>
      </c>
      <c r="D76" s="1"/>
      <c r="E76" s="1">
        <v>29</v>
      </c>
      <c r="F76" s="1">
        <v>33</v>
      </c>
      <c r="G76" s="8">
        <v>0.4</v>
      </c>
      <c r="H76" s="1">
        <v>55</v>
      </c>
      <c r="I76" s="1" t="s">
        <v>36</v>
      </c>
      <c r="J76" s="1"/>
      <c r="K76" s="1">
        <v>29</v>
      </c>
      <c r="L76" s="1">
        <f t="shared" si="15"/>
        <v>0</v>
      </c>
      <c r="M76" s="1">
        <f t="shared" si="16"/>
        <v>29</v>
      </c>
      <c r="N76" s="1"/>
      <c r="O76" s="1">
        <v>17.8</v>
      </c>
      <c r="P76" s="1">
        <f t="shared" si="17"/>
        <v>5.8</v>
      </c>
      <c r="Q76" s="5">
        <f t="shared" si="13"/>
        <v>18.799999999999997</v>
      </c>
      <c r="R76" s="5"/>
      <c r="S76" s="1"/>
      <c r="T76" s="1"/>
      <c r="U76" s="1">
        <f t="shared" si="18"/>
        <v>12</v>
      </c>
      <c r="V76" s="1">
        <f t="shared" si="19"/>
        <v>8.7586206896551726</v>
      </c>
      <c r="W76" s="1">
        <v>5.8</v>
      </c>
      <c r="X76" s="1">
        <v>4.4000000000000004</v>
      </c>
      <c r="Y76" s="1">
        <v>3.8</v>
      </c>
      <c r="Z76" s="1">
        <v>6.833333333333333</v>
      </c>
      <c r="AA76" s="1">
        <v>7.5</v>
      </c>
      <c r="AB76" s="1">
        <v>6.6</v>
      </c>
      <c r="AC76" s="1">
        <v>4.8</v>
      </c>
      <c r="AD76" s="1">
        <v>6.4</v>
      </c>
      <c r="AE76" s="1"/>
      <c r="AF76" s="1">
        <f>G76*Q76</f>
        <v>7.52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121</v>
      </c>
      <c r="B77" s="1" t="s">
        <v>35</v>
      </c>
      <c r="C77" s="1">
        <v>632.49300000000005</v>
      </c>
      <c r="D77" s="1">
        <v>57.567999999999998</v>
      </c>
      <c r="E77" s="1">
        <v>474.17500000000001</v>
      </c>
      <c r="F77" s="1">
        <v>117.771</v>
      </c>
      <c r="G77" s="8">
        <v>1</v>
      </c>
      <c r="H77" s="1">
        <v>55</v>
      </c>
      <c r="I77" s="1" t="s">
        <v>36</v>
      </c>
      <c r="J77" s="1"/>
      <c r="K77" s="1">
        <v>518.46799999999996</v>
      </c>
      <c r="L77" s="1">
        <f t="shared" si="15"/>
        <v>-44.29299999999995</v>
      </c>
      <c r="M77" s="1">
        <f t="shared" si="16"/>
        <v>416.60700000000003</v>
      </c>
      <c r="N77" s="1">
        <v>57.567999999999998</v>
      </c>
      <c r="O77" s="1">
        <v>649.2983999999999</v>
      </c>
      <c r="P77" s="1">
        <f t="shared" si="17"/>
        <v>83.321400000000011</v>
      </c>
      <c r="Q77" s="5">
        <f t="shared" si="13"/>
        <v>232.78740000000022</v>
      </c>
      <c r="R77" s="5"/>
      <c r="S77" s="1"/>
      <c r="T77" s="1"/>
      <c r="U77" s="1">
        <f t="shared" si="18"/>
        <v>11.999999999999998</v>
      </c>
      <c r="V77" s="1">
        <f t="shared" si="19"/>
        <v>9.2061511208405022</v>
      </c>
      <c r="W77" s="1">
        <v>76.307199999999995</v>
      </c>
      <c r="X77" s="1">
        <v>50.047800000000002</v>
      </c>
      <c r="Y77" s="1">
        <v>41.0852</v>
      </c>
      <c r="Z77" s="1">
        <v>58.197000000000003</v>
      </c>
      <c r="AA77" s="1">
        <v>90.01966666666668</v>
      </c>
      <c r="AB77" s="1">
        <v>65.712800000000001</v>
      </c>
      <c r="AC77" s="1">
        <v>40.026799999999987</v>
      </c>
      <c r="AD77" s="1">
        <v>43.802399999999999</v>
      </c>
      <c r="AE77" s="1" t="s">
        <v>70</v>
      </c>
      <c r="AF77" s="1">
        <f>G77*Q77</f>
        <v>232.78740000000022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122</v>
      </c>
      <c r="B78" s="1" t="s">
        <v>35</v>
      </c>
      <c r="C78" s="1">
        <v>1782.9760000000001</v>
      </c>
      <c r="D78" s="1">
        <v>315.32100000000003</v>
      </c>
      <c r="E78" s="1">
        <v>668.24300000000005</v>
      </c>
      <c r="F78" s="1">
        <v>1341.3140000000001</v>
      </c>
      <c r="G78" s="8">
        <v>1</v>
      </c>
      <c r="H78" s="1">
        <v>60</v>
      </c>
      <c r="I78" s="1" t="s">
        <v>36</v>
      </c>
      <c r="J78" s="1"/>
      <c r="K78" s="1">
        <v>673.39499999999998</v>
      </c>
      <c r="L78" s="1">
        <f t="shared" si="15"/>
        <v>-5.15199999999993</v>
      </c>
      <c r="M78" s="1">
        <f t="shared" si="16"/>
        <v>668.24300000000005</v>
      </c>
      <c r="N78" s="1"/>
      <c r="O78" s="1">
        <v>0</v>
      </c>
      <c r="P78" s="1">
        <f t="shared" si="17"/>
        <v>133.64860000000002</v>
      </c>
      <c r="Q78" s="5">
        <f t="shared" si="13"/>
        <v>262.46920000000023</v>
      </c>
      <c r="R78" s="5"/>
      <c r="S78" s="1"/>
      <c r="T78" s="1"/>
      <c r="U78" s="1">
        <f t="shared" si="18"/>
        <v>12</v>
      </c>
      <c r="V78" s="1">
        <f t="shared" si="19"/>
        <v>10.036124583422497</v>
      </c>
      <c r="W78" s="1">
        <v>131.27279999999999</v>
      </c>
      <c r="X78" s="1">
        <v>138.1112</v>
      </c>
      <c r="Y78" s="1">
        <v>134.04859999999999</v>
      </c>
      <c r="Z78" s="1">
        <v>185.8355</v>
      </c>
      <c r="AA78" s="1">
        <v>209.12350000000001</v>
      </c>
      <c r="AB78" s="1">
        <v>170.20240000000001</v>
      </c>
      <c r="AC78" s="1">
        <v>146.2998</v>
      </c>
      <c r="AD78" s="1">
        <v>142.84119999999999</v>
      </c>
      <c r="AE78" s="1" t="s">
        <v>46</v>
      </c>
      <c r="AF78" s="1">
        <f>G78*Q78</f>
        <v>262.46920000000023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123</v>
      </c>
      <c r="B79" s="1" t="s">
        <v>35</v>
      </c>
      <c r="C79" s="1">
        <v>1490.0709999999999</v>
      </c>
      <c r="D79" s="1">
        <v>984.88099999999997</v>
      </c>
      <c r="E79" s="1">
        <v>882.86</v>
      </c>
      <c r="F79" s="1">
        <v>1424.1010000000001</v>
      </c>
      <c r="G79" s="8">
        <v>1</v>
      </c>
      <c r="H79" s="1">
        <v>60</v>
      </c>
      <c r="I79" s="1" t="s">
        <v>36</v>
      </c>
      <c r="J79" s="1"/>
      <c r="K79" s="1">
        <v>930.13300000000004</v>
      </c>
      <c r="L79" s="1">
        <f t="shared" si="15"/>
        <v>-47.273000000000025</v>
      </c>
      <c r="M79" s="1">
        <f t="shared" si="16"/>
        <v>882.86</v>
      </c>
      <c r="N79" s="1"/>
      <c r="O79" s="1">
        <v>547.87209999999982</v>
      </c>
      <c r="P79" s="1">
        <f t="shared" si="17"/>
        <v>176.572</v>
      </c>
      <c r="Q79" s="5">
        <f t="shared" si="13"/>
        <v>146.8909000000001</v>
      </c>
      <c r="R79" s="5"/>
      <c r="S79" s="1"/>
      <c r="T79" s="1"/>
      <c r="U79" s="1">
        <f t="shared" si="18"/>
        <v>12</v>
      </c>
      <c r="V79" s="1">
        <f t="shared" si="19"/>
        <v>11.16809630065922</v>
      </c>
      <c r="W79" s="1">
        <v>180.48439999999999</v>
      </c>
      <c r="X79" s="1">
        <v>192.92660000000001</v>
      </c>
      <c r="Y79" s="1">
        <v>178.32560000000001</v>
      </c>
      <c r="Z79" s="1">
        <v>184.20500000000001</v>
      </c>
      <c r="AA79" s="1">
        <v>206.04866666666669</v>
      </c>
      <c r="AB79" s="1">
        <v>206.80799999999999</v>
      </c>
      <c r="AC79" s="1">
        <v>196.8236</v>
      </c>
      <c r="AD79" s="1">
        <v>207.64080000000001</v>
      </c>
      <c r="AE79" s="1"/>
      <c r="AF79" s="1">
        <f>G79*Q79</f>
        <v>146.8909000000001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124</v>
      </c>
      <c r="B80" s="1" t="s">
        <v>35</v>
      </c>
      <c r="C80" s="1">
        <v>2555.2060000000001</v>
      </c>
      <c r="D80" s="1">
        <v>1629.5630000000001</v>
      </c>
      <c r="E80" s="1">
        <v>1402.4280000000001</v>
      </c>
      <c r="F80" s="1">
        <v>2575.922</v>
      </c>
      <c r="G80" s="8">
        <v>1</v>
      </c>
      <c r="H80" s="1">
        <v>60</v>
      </c>
      <c r="I80" s="1" t="s">
        <v>36</v>
      </c>
      <c r="J80" s="1"/>
      <c r="K80" s="1">
        <v>1430.7349999999999</v>
      </c>
      <c r="L80" s="1">
        <f t="shared" si="15"/>
        <v>-28.306999999999789</v>
      </c>
      <c r="M80" s="1">
        <f t="shared" si="16"/>
        <v>1372.0930000000001</v>
      </c>
      <c r="N80" s="1">
        <v>30.335000000000001</v>
      </c>
      <c r="O80" s="1">
        <v>0</v>
      </c>
      <c r="P80" s="1">
        <f t="shared" si="17"/>
        <v>274.41860000000003</v>
      </c>
      <c r="Q80" s="5">
        <f t="shared" si="13"/>
        <v>717.10120000000052</v>
      </c>
      <c r="R80" s="5"/>
      <c r="S80" s="1"/>
      <c r="T80" s="1"/>
      <c r="U80" s="1">
        <f t="shared" si="18"/>
        <v>12</v>
      </c>
      <c r="V80" s="1">
        <f t="shared" si="19"/>
        <v>9.3868345658785515</v>
      </c>
      <c r="W80" s="1">
        <v>278.57479999999998</v>
      </c>
      <c r="X80" s="1">
        <v>331.53820000000002</v>
      </c>
      <c r="Y80" s="1">
        <v>283.67020000000002</v>
      </c>
      <c r="Z80" s="1">
        <v>301.72716666666668</v>
      </c>
      <c r="AA80" s="1">
        <v>379.86399999999998</v>
      </c>
      <c r="AB80" s="1">
        <v>326.0292</v>
      </c>
      <c r="AC80" s="1">
        <v>209.27440000000001</v>
      </c>
      <c r="AD80" s="1">
        <v>200.9734</v>
      </c>
      <c r="AE80" s="1" t="s">
        <v>46</v>
      </c>
      <c r="AF80" s="1">
        <f>G80*Q80</f>
        <v>717.10120000000052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125</v>
      </c>
      <c r="B81" s="1" t="s">
        <v>35</v>
      </c>
      <c r="C81" s="1">
        <v>4185.3109999999997</v>
      </c>
      <c r="D81" s="1">
        <v>893.49199999999996</v>
      </c>
      <c r="E81" s="1">
        <v>1753.711</v>
      </c>
      <c r="F81" s="1">
        <v>3019.2739999999999</v>
      </c>
      <c r="G81" s="8">
        <v>1</v>
      </c>
      <c r="H81" s="1">
        <v>60</v>
      </c>
      <c r="I81" s="1" t="s">
        <v>36</v>
      </c>
      <c r="J81" s="1"/>
      <c r="K81" s="1">
        <v>1837.23</v>
      </c>
      <c r="L81" s="1">
        <f t="shared" si="15"/>
        <v>-83.519000000000005</v>
      </c>
      <c r="M81" s="1">
        <f t="shared" si="16"/>
        <v>1753.711</v>
      </c>
      <c r="N81" s="1"/>
      <c r="O81" s="1">
        <v>1207.5099700000001</v>
      </c>
      <c r="P81" s="1">
        <f t="shared" si="17"/>
        <v>350.74220000000003</v>
      </c>
      <c r="Q81" s="5"/>
      <c r="R81" s="5"/>
      <c r="S81" s="1"/>
      <c r="T81" s="1"/>
      <c r="U81" s="1">
        <f t="shared" si="18"/>
        <v>12.05097068445143</v>
      </c>
      <c r="V81" s="1">
        <f t="shared" si="19"/>
        <v>12.05097068445143</v>
      </c>
      <c r="W81" s="1">
        <v>381.8734</v>
      </c>
      <c r="X81" s="1">
        <v>388.40460000000002</v>
      </c>
      <c r="Y81" s="1">
        <v>336.00880000000001</v>
      </c>
      <c r="Z81" s="1">
        <v>459.40899999999999</v>
      </c>
      <c r="AA81" s="1">
        <v>519.86833333333334</v>
      </c>
      <c r="AB81" s="1">
        <v>386.87880000000001</v>
      </c>
      <c r="AC81" s="1">
        <v>333.82440000000003</v>
      </c>
      <c r="AD81" s="1">
        <v>329.97120000000001</v>
      </c>
      <c r="AE81" s="1" t="s">
        <v>46</v>
      </c>
      <c r="AF81" s="1">
        <f>G81*Q81</f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126</v>
      </c>
      <c r="B82" s="1" t="s">
        <v>35</v>
      </c>
      <c r="C82" s="1">
        <v>50.372</v>
      </c>
      <c r="D82" s="1">
        <v>23.998999999999999</v>
      </c>
      <c r="E82" s="1">
        <v>23.12</v>
      </c>
      <c r="F82" s="1">
        <v>51.250999999999998</v>
      </c>
      <c r="G82" s="8">
        <v>1</v>
      </c>
      <c r="H82" s="1">
        <v>60</v>
      </c>
      <c r="I82" s="1" t="s">
        <v>36</v>
      </c>
      <c r="J82" s="1"/>
      <c r="K82" s="1">
        <v>23.85</v>
      </c>
      <c r="L82" s="1">
        <f t="shared" si="15"/>
        <v>-0.73000000000000043</v>
      </c>
      <c r="M82" s="1">
        <f t="shared" si="16"/>
        <v>23.12</v>
      </c>
      <c r="N82" s="1"/>
      <c r="O82" s="1">
        <v>0</v>
      </c>
      <c r="P82" s="1">
        <f t="shared" si="17"/>
        <v>4.6240000000000006</v>
      </c>
      <c r="Q82" s="5">
        <f t="shared" si="13"/>
        <v>4.237000000000009</v>
      </c>
      <c r="R82" s="5"/>
      <c r="S82" s="1"/>
      <c r="T82" s="1"/>
      <c r="U82" s="1">
        <f t="shared" si="18"/>
        <v>12</v>
      </c>
      <c r="V82" s="1">
        <f t="shared" si="19"/>
        <v>11.083693771626296</v>
      </c>
      <c r="W82" s="1">
        <v>5.1020000000000003</v>
      </c>
      <c r="X82" s="1">
        <v>5.7572000000000001</v>
      </c>
      <c r="Y82" s="1">
        <v>5.8224</v>
      </c>
      <c r="Z82" s="1">
        <v>4.7101666666666659</v>
      </c>
      <c r="AA82" s="1">
        <v>5.1921666666666662</v>
      </c>
      <c r="AB82" s="1">
        <v>6.5578000000000003</v>
      </c>
      <c r="AC82" s="1">
        <v>7.5507999999999997</v>
      </c>
      <c r="AD82" s="1">
        <v>4.0162000000000004</v>
      </c>
      <c r="AE82" s="1"/>
      <c r="AF82" s="1">
        <f>G82*Q82</f>
        <v>4.237000000000009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127</v>
      </c>
      <c r="B83" s="1" t="s">
        <v>40</v>
      </c>
      <c r="C83" s="1">
        <v>531</v>
      </c>
      <c r="D83" s="1"/>
      <c r="E83" s="1">
        <v>301</v>
      </c>
      <c r="F83" s="1">
        <v>196</v>
      </c>
      <c r="G83" s="8">
        <v>0.3</v>
      </c>
      <c r="H83" s="1">
        <v>40</v>
      </c>
      <c r="I83" s="1" t="s">
        <v>36</v>
      </c>
      <c r="J83" s="1"/>
      <c r="K83" s="1">
        <v>306</v>
      </c>
      <c r="L83" s="1">
        <f t="shared" si="15"/>
        <v>-5</v>
      </c>
      <c r="M83" s="1">
        <f t="shared" si="16"/>
        <v>301</v>
      </c>
      <c r="N83" s="1"/>
      <c r="O83" s="1">
        <v>112.6</v>
      </c>
      <c r="P83" s="1">
        <f t="shared" si="17"/>
        <v>60.2</v>
      </c>
      <c r="Q83" s="5">
        <f>11*P83-O83-F83</f>
        <v>353.6</v>
      </c>
      <c r="R83" s="5"/>
      <c r="S83" s="1"/>
      <c r="T83" s="1"/>
      <c r="U83" s="1">
        <f t="shared" si="18"/>
        <v>11</v>
      </c>
      <c r="V83" s="1">
        <f t="shared" si="19"/>
        <v>5.1262458471760795</v>
      </c>
      <c r="W83" s="1">
        <v>59.4</v>
      </c>
      <c r="X83" s="1">
        <v>59.4</v>
      </c>
      <c r="Y83" s="1">
        <v>55.4</v>
      </c>
      <c r="Z83" s="1">
        <v>68.5</v>
      </c>
      <c r="AA83" s="1">
        <v>81.166666666666671</v>
      </c>
      <c r="AB83" s="1">
        <v>69.2</v>
      </c>
      <c r="AC83" s="1">
        <v>63.2</v>
      </c>
      <c r="AD83" s="1">
        <v>61.4</v>
      </c>
      <c r="AE83" s="1"/>
      <c r="AF83" s="1">
        <f>G83*Q83</f>
        <v>106.08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128</v>
      </c>
      <c r="B84" s="1" t="s">
        <v>40</v>
      </c>
      <c r="C84" s="1">
        <v>290</v>
      </c>
      <c r="D84" s="1">
        <v>3</v>
      </c>
      <c r="E84" s="1">
        <v>92</v>
      </c>
      <c r="F84" s="1">
        <v>194</v>
      </c>
      <c r="G84" s="8">
        <v>7.0000000000000007E-2</v>
      </c>
      <c r="H84" s="1">
        <v>90</v>
      </c>
      <c r="I84" s="1" t="s">
        <v>36</v>
      </c>
      <c r="J84" s="1"/>
      <c r="K84" s="1">
        <v>93</v>
      </c>
      <c r="L84" s="1">
        <f t="shared" si="15"/>
        <v>-1</v>
      </c>
      <c r="M84" s="1">
        <f t="shared" si="16"/>
        <v>92</v>
      </c>
      <c r="N84" s="1"/>
      <c r="O84" s="1">
        <v>0</v>
      </c>
      <c r="P84" s="1">
        <f t="shared" si="17"/>
        <v>18.399999999999999</v>
      </c>
      <c r="Q84" s="5">
        <f t="shared" si="13"/>
        <v>26.799999999999983</v>
      </c>
      <c r="R84" s="5"/>
      <c r="S84" s="1"/>
      <c r="T84" s="1"/>
      <c r="U84" s="1">
        <f t="shared" si="18"/>
        <v>12</v>
      </c>
      <c r="V84" s="1">
        <f t="shared" si="19"/>
        <v>10.543478260869566</v>
      </c>
      <c r="W84" s="1">
        <v>17.8</v>
      </c>
      <c r="X84" s="1">
        <v>20</v>
      </c>
      <c r="Y84" s="1">
        <v>20</v>
      </c>
      <c r="Z84" s="1">
        <v>30.666666666666671</v>
      </c>
      <c r="AA84" s="1">
        <v>36</v>
      </c>
      <c r="AB84" s="1">
        <v>29.8</v>
      </c>
      <c r="AC84" s="1">
        <v>24.4</v>
      </c>
      <c r="AD84" s="1">
        <v>24.4</v>
      </c>
      <c r="AE84" s="1"/>
      <c r="AF84" s="1">
        <f>G84*Q84</f>
        <v>1.875999999999999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129</v>
      </c>
      <c r="B85" s="1" t="s">
        <v>40</v>
      </c>
      <c r="C85" s="1">
        <v>397</v>
      </c>
      <c r="D85" s="1">
        <v>3</v>
      </c>
      <c r="E85" s="1">
        <v>130</v>
      </c>
      <c r="F85" s="1">
        <v>255</v>
      </c>
      <c r="G85" s="8">
        <v>7.0000000000000007E-2</v>
      </c>
      <c r="H85" s="1">
        <v>90</v>
      </c>
      <c r="I85" s="1" t="s">
        <v>36</v>
      </c>
      <c r="J85" s="1"/>
      <c r="K85" s="1">
        <v>132</v>
      </c>
      <c r="L85" s="1">
        <f t="shared" si="15"/>
        <v>-2</v>
      </c>
      <c r="M85" s="1">
        <f t="shared" si="16"/>
        <v>130</v>
      </c>
      <c r="N85" s="1"/>
      <c r="O85" s="1">
        <v>0</v>
      </c>
      <c r="P85" s="1">
        <f t="shared" si="17"/>
        <v>26</v>
      </c>
      <c r="Q85" s="5">
        <f t="shared" si="13"/>
        <v>57</v>
      </c>
      <c r="R85" s="5"/>
      <c r="S85" s="1"/>
      <c r="T85" s="1"/>
      <c r="U85" s="1">
        <f t="shared" si="18"/>
        <v>12</v>
      </c>
      <c r="V85" s="1">
        <f t="shared" si="19"/>
        <v>9.8076923076923084</v>
      </c>
      <c r="W85" s="1">
        <v>27.2</v>
      </c>
      <c r="X85" s="1">
        <v>24.2</v>
      </c>
      <c r="Y85" s="1">
        <v>23</v>
      </c>
      <c r="Z85" s="1">
        <v>40.5</v>
      </c>
      <c r="AA85" s="1">
        <v>46.5</v>
      </c>
      <c r="AB85" s="1">
        <v>45.2</v>
      </c>
      <c r="AC85" s="1">
        <v>28.2</v>
      </c>
      <c r="AD85" s="1">
        <v>24.8</v>
      </c>
      <c r="AE85" s="1"/>
      <c r="AF85" s="1">
        <f>G85*Q85</f>
        <v>3.99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130</v>
      </c>
      <c r="B86" s="1" t="s">
        <v>40</v>
      </c>
      <c r="C86" s="1">
        <v>378</v>
      </c>
      <c r="D86" s="1">
        <v>3</v>
      </c>
      <c r="E86" s="1">
        <v>73</v>
      </c>
      <c r="F86" s="1">
        <v>291</v>
      </c>
      <c r="G86" s="8">
        <v>7.0000000000000007E-2</v>
      </c>
      <c r="H86" s="1">
        <v>90</v>
      </c>
      <c r="I86" s="1" t="s">
        <v>36</v>
      </c>
      <c r="J86" s="1"/>
      <c r="K86" s="1">
        <v>80</v>
      </c>
      <c r="L86" s="1">
        <f t="shared" si="15"/>
        <v>-7</v>
      </c>
      <c r="M86" s="1">
        <f t="shared" si="16"/>
        <v>73</v>
      </c>
      <c r="N86" s="1"/>
      <c r="O86" s="1">
        <v>0</v>
      </c>
      <c r="P86" s="1">
        <f t="shared" si="17"/>
        <v>14.6</v>
      </c>
      <c r="Q86" s="5"/>
      <c r="R86" s="5"/>
      <c r="S86" s="1"/>
      <c r="T86" s="1"/>
      <c r="U86" s="1">
        <f t="shared" si="18"/>
        <v>19.93150684931507</v>
      </c>
      <c r="V86" s="1">
        <f t="shared" si="19"/>
        <v>19.93150684931507</v>
      </c>
      <c r="W86" s="1">
        <v>16.8</v>
      </c>
      <c r="X86" s="1">
        <v>20.8</v>
      </c>
      <c r="Y86" s="1">
        <v>21</v>
      </c>
      <c r="Z86" s="1">
        <v>35.833333333333343</v>
      </c>
      <c r="AA86" s="1">
        <v>41.166666666666657</v>
      </c>
      <c r="AB86" s="1">
        <v>31</v>
      </c>
      <c r="AC86" s="1">
        <v>22.8</v>
      </c>
      <c r="AD86" s="1">
        <v>20.399999999999999</v>
      </c>
      <c r="AE86" s="19" t="s">
        <v>50</v>
      </c>
      <c r="AF86" s="1">
        <f>G86*Q86</f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131</v>
      </c>
      <c r="B87" s="1" t="s">
        <v>40</v>
      </c>
      <c r="C87" s="1">
        <v>336</v>
      </c>
      <c r="D87" s="1"/>
      <c r="E87" s="1">
        <v>42</v>
      </c>
      <c r="F87" s="1">
        <v>283</v>
      </c>
      <c r="G87" s="8">
        <v>0.05</v>
      </c>
      <c r="H87" s="1">
        <v>90</v>
      </c>
      <c r="I87" s="1" t="s">
        <v>36</v>
      </c>
      <c r="J87" s="1"/>
      <c r="K87" s="1">
        <v>45</v>
      </c>
      <c r="L87" s="1">
        <f t="shared" si="15"/>
        <v>-3</v>
      </c>
      <c r="M87" s="1">
        <f t="shared" si="16"/>
        <v>42</v>
      </c>
      <c r="N87" s="1"/>
      <c r="O87" s="1">
        <v>0</v>
      </c>
      <c r="P87" s="1">
        <f t="shared" si="17"/>
        <v>8.4</v>
      </c>
      <c r="Q87" s="5"/>
      <c r="R87" s="5"/>
      <c r="S87" s="1"/>
      <c r="T87" s="1"/>
      <c r="U87" s="1">
        <f t="shared" si="18"/>
        <v>33.69047619047619</v>
      </c>
      <c r="V87" s="1">
        <f t="shared" si="19"/>
        <v>33.69047619047619</v>
      </c>
      <c r="W87" s="1">
        <v>11</v>
      </c>
      <c r="X87" s="1">
        <v>12</v>
      </c>
      <c r="Y87" s="1">
        <v>12.6</v>
      </c>
      <c r="Z87" s="1">
        <v>29.166666666666671</v>
      </c>
      <c r="AA87" s="1">
        <v>32.833333333333343</v>
      </c>
      <c r="AB87" s="1">
        <v>26.2</v>
      </c>
      <c r="AC87" s="1">
        <v>19.2</v>
      </c>
      <c r="AD87" s="1">
        <v>17.600000000000001</v>
      </c>
      <c r="AE87" s="19" t="s">
        <v>50</v>
      </c>
      <c r="AF87" s="1">
        <f>G87*Q87</f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132</v>
      </c>
      <c r="B88" s="1" t="s">
        <v>40</v>
      </c>
      <c r="C88" s="1">
        <v>311</v>
      </c>
      <c r="D88" s="1">
        <v>6</v>
      </c>
      <c r="E88" s="1">
        <v>65</v>
      </c>
      <c r="F88" s="1">
        <v>241</v>
      </c>
      <c r="G88" s="8">
        <v>0.05</v>
      </c>
      <c r="H88" s="1">
        <v>90</v>
      </c>
      <c r="I88" s="1" t="s">
        <v>36</v>
      </c>
      <c r="J88" s="1"/>
      <c r="K88" s="1">
        <v>69</v>
      </c>
      <c r="L88" s="1">
        <f t="shared" si="15"/>
        <v>-4</v>
      </c>
      <c r="M88" s="1">
        <f t="shared" si="16"/>
        <v>65</v>
      </c>
      <c r="N88" s="1"/>
      <c r="O88" s="1">
        <v>0</v>
      </c>
      <c r="P88" s="1">
        <f t="shared" si="17"/>
        <v>13</v>
      </c>
      <c r="Q88" s="5"/>
      <c r="R88" s="5"/>
      <c r="S88" s="1"/>
      <c r="T88" s="1"/>
      <c r="U88" s="1">
        <f t="shared" si="18"/>
        <v>18.53846153846154</v>
      </c>
      <c r="V88" s="1">
        <f t="shared" si="19"/>
        <v>18.53846153846154</v>
      </c>
      <c r="W88" s="1">
        <v>19</v>
      </c>
      <c r="X88" s="1">
        <v>17.600000000000001</v>
      </c>
      <c r="Y88" s="1">
        <v>15.2</v>
      </c>
      <c r="Z88" s="1">
        <v>30.833333333333329</v>
      </c>
      <c r="AA88" s="1">
        <v>40.833333333333343</v>
      </c>
      <c r="AB88" s="1">
        <v>40.799999999999997</v>
      </c>
      <c r="AC88" s="1">
        <v>25.8</v>
      </c>
      <c r="AD88" s="1">
        <v>22.8</v>
      </c>
      <c r="AE88" s="1"/>
      <c r="AF88" s="1">
        <f>G88*Q88</f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133</v>
      </c>
      <c r="B89" s="1" t="s">
        <v>40</v>
      </c>
      <c r="C89" s="1">
        <v>374</v>
      </c>
      <c r="D89" s="1">
        <v>2</v>
      </c>
      <c r="E89" s="1">
        <v>33</v>
      </c>
      <c r="F89" s="1">
        <v>322</v>
      </c>
      <c r="G89" s="8">
        <v>5.5E-2</v>
      </c>
      <c r="H89" s="1">
        <v>90</v>
      </c>
      <c r="I89" s="1" t="s">
        <v>36</v>
      </c>
      <c r="J89" s="1"/>
      <c r="K89" s="1">
        <v>47</v>
      </c>
      <c r="L89" s="1">
        <f t="shared" si="15"/>
        <v>-14</v>
      </c>
      <c r="M89" s="1">
        <f t="shared" si="16"/>
        <v>33</v>
      </c>
      <c r="N89" s="1"/>
      <c r="O89" s="1">
        <v>0</v>
      </c>
      <c r="P89" s="1">
        <f t="shared" si="17"/>
        <v>6.6</v>
      </c>
      <c r="Q89" s="5"/>
      <c r="R89" s="5"/>
      <c r="S89" s="1"/>
      <c r="T89" s="1"/>
      <c r="U89" s="1">
        <f t="shared" si="18"/>
        <v>48.787878787878789</v>
      </c>
      <c r="V89" s="1">
        <f t="shared" si="19"/>
        <v>48.787878787878789</v>
      </c>
      <c r="W89" s="1">
        <v>8.8000000000000007</v>
      </c>
      <c r="X89" s="1">
        <v>14</v>
      </c>
      <c r="Y89" s="1">
        <v>13.6</v>
      </c>
      <c r="Z89" s="1">
        <v>32.666666666666657</v>
      </c>
      <c r="AA89" s="1">
        <v>36.833333333333343</v>
      </c>
      <c r="AB89" s="1">
        <v>27.8</v>
      </c>
      <c r="AC89" s="1">
        <v>18.8</v>
      </c>
      <c r="AD89" s="1">
        <v>20.6</v>
      </c>
      <c r="AE89" s="19" t="s">
        <v>50</v>
      </c>
      <c r="AF89" s="1">
        <f>G89*Q89</f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1" t="s">
        <v>134</v>
      </c>
      <c r="B90" s="11" t="s">
        <v>40</v>
      </c>
      <c r="C90" s="11"/>
      <c r="D90" s="11">
        <v>120</v>
      </c>
      <c r="E90" s="11"/>
      <c r="F90" s="11">
        <v>120</v>
      </c>
      <c r="G90" s="12">
        <v>0</v>
      </c>
      <c r="H90" s="11" t="e">
        <v>#N/A</v>
      </c>
      <c r="I90" s="11" t="s">
        <v>74</v>
      </c>
      <c r="J90" s="11"/>
      <c r="K90" s="11"/>
      <c r="L90" s="11">
        <f t="shared" si="15"/>
        <v>0</v>
      </c>
      <c r="M90" s="11">
        <f t="shared" si="16"/>
        <v>0</v>
      </c>
      <c r="N90" s="11"/>
      <c r="O90" s="11"/>
      <c r="P90" s="11">
        <f t="shared" si="17"/>
        <v>0</v>
      </c>
      <c r="Q90" s="13"/>
      <c r="R90" s="13"/>
      <c r="S90" s="11"/>
      <c r="T90" s="11"/>
      <c r="U90" s="11" t="e">
        <f t="shared" si="18"/>
        <v>#DIV/0!</v>
      </c>
      <c r="V90" s="11" t="e">
        <f t="shared" si="19"/>
        <v>#DIV/0!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 t="s">
        <v>144</v>
      </c>
      <c r="AF90" s="1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1" t="s">
        <v>135</v>
      </c>
      <c r="B91" s="11" t="s">
        <v>40</v>
      </c>
      <c r="C91" s="11"/>
      <c r="D91" s="11"/>
      <c r="E91" s="11">
        <v>3</v>
      </c>
      <c r="F91" s="11">
        <v>-3</v>
      </c>
      <c r="G91" s="12">
        <v>0</v>
      </c>
      <c r="H91" s="11" t="e">
        <v>#N/A</v>
      </c>
      <c r="I91" s="11" t="s">
        <v>74</v>
      </c>
      <c r="J91" s="11"/>
      <c r="K91" s="11">
        <v>3</v>
      </c>
      <c r="L91" s="11">
        <f t="shared" si="15"/>
        <v>0</v>
      </c>
      <c r="M91" s="11">
        <f t="shared" si="16"/>
        <v>3</v>
      </c>
      <c r="N91" s="11"/>
      <c r="O91" s="11"/>
      <c r="P91" s="11">
        <f t="shared" si="17"/>
        <v>0.6</v>
      </c>
      <c r="Q91" s="13"/>
      <c r="R91" s="13"/>
      <c r="S91" s="11"/>
      <c r="T91" s="11"/>
      <c r="U91" s="11">
        <f t="shared" si="18"/>
        <v>-5</v>
      </c>
      <c r="V91" s="11">
        <f t="shared" si="19"/>
        <v>-5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/>
      <c r="AF91" s="1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136</v>
      </c>
      <c r="B92" s="1" t="s">
        <v>35</v>
      </c>
      <c r="C92" s="1">
        <v>1395.26</v>
      </c>
      <c r="D92" s="1">
        <v>4334.415</v>
      </c>
      <c r="E92" s="1">
        <v>2249.7260000000001</v>
      </c>
      <c r="F92" s="1">
        <v>3330.5070000000001</v>
      </c>
      <c r="G92" s="8">
        <v>1</v>
      </c>
      <c r="H92" s="1">
        <v>40</v>
      </c>
      <c r="I92" s="1" t="s">
        <v>36</v>
      </c>
      <c r="J92" s="1"/>
      <c r="K92" s="1">
        <v>2128.944</v>
      </c>
      <c r="L92" s="1">
        <f t="shared" si="15"/>
        <v>120.78200000000015</v>
      </c>
      <c r="M92" s="1">
        <f t="shared" si="16"/>
        <v>2249.7260000000001</v>
      </c>
      <c r="N92" s="1"/>
      <c r="O92" s="1">
        <v>257.09109159999957</v>
      </c>
      <c r="P92" s="1">
        <f t="shared" si="17"/>
        <v>449.9452</v>
      </c>
      <c r="Q92" s="5">
        <f>11*P92-O92-F92</f>
        <v>1361.7991084000009</v>
      </c>
      <c r="R92" s="5"/>
      <c r="S92" s="1"/>
      <c r="T92" s="1"/>
      <c r="U92" s="1">
        <f t="shared" si="18"/>
        <v>11.000000000000004</v>
      </c>
      <c r="V92" s="1">
        <f t="shared" si="19"/>
        <v>7.9734111878513199</v>
      </c>
      <c r="W92" s="1">
        <v>463.87920000000003</v>
      </c>
      <c r="X92" s="1">
        <v>508.7688</v>
      </c>
      <c r="Y92" s="1">
        <v>393.01440000000002</v>
      </c>
      <c r="Z92" s="1">
        <v>322.64249999999998</v>
      </c>
      <c r="AA92" s="1">
        <v>397.798</v>
      </c>
      <c r="AB92" s="1">
        <v>445.56380000000001</v>
      </c>
      <c r="AC92" s="1">
        <v>442.54119999999989</v>
      </c>
      <c r="AD92" s="1">
        <v>447.75979999999998</v>
      </c>
      <c r="AE92" s="1" t="s">
        <v>46</v>
      </c>
      <c r="AF92" s="1">
        <f>G92*Q92</f>
        <v>1361.7991084000009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4" t="s">
        <v>137</v>
      </c>
      <c r="B93" s="14" t="s">
        <v>35</v>
      </c>
      <c r="C93" s="14"/>
      <c r="D93" s="14"/>
      <c r="E93" s="14"/>
      <c r="F93" s="14"/>
      <c r="G93" s="15">
        <v>0</v>
      </c>
      <c r="H93" s="14">
        <v>60</v>
      </c>
      <c r="I93" s="14" t="s">
        <v>36</v>
      </c>
      <c r="J93" s="14"/>
      <c r="K93" s="14"/>
      <c r="L93" s="14">
        <f t="shared" si="15"/>
        <v>0</v>
      </c>
      <c r="M93" s="14">
        <f t="shared" si="16"/>
        <v>0</v>
      </c>
      <c r="N93" s="14"/>
      <c r="O93" s="14">
        <v>0</v>
      </c>
      <c r="P93" s="14">
        <f t="shared" si="17"/>
        <v>0</v>
      </c>
      <c r="Q93" s="16"/>
      <c r="R93" s="16"/>
      <c r="S93" s="14"/>
      <c r="T93" s="14"/>
      <c r="U93" s="14" t="e">
        <f t="shared" si="18"/>
        <v>#DIV/0!</v>
      </c>
      <c r="V93" s="14" t="e">
        <f t="shared" si="19"/>
        <v>#DIV/0!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 t="s">
        <v>138</v>
      </c>
      <c r="AF93" s="14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139</v>
      </c>
      <c r="B94" s="1" t="s">
        <v>40</v>
      </c>
      <c r="C94" s="1">
        <v>710</v>
      </c>
      <c r="D94" s="1">
        <v>132</v>
      </c>
      <c r="E94" s="1">
        <v>389</v>
      </c>
      <c r="F94" s="1">
        <v>406</v>
      </c>
      <c r="G94" s="8">
        <v>0.3</v>
      </c>
      <c r="H94" s="1">
        <v>40</v>
      </c>
      <c r="I94" s="1" t="s">
        <v>36</v>
      </c>
      <c r="J94" s="1"/>
      <c r="K94" s="1">
        <v>398</v>
      </c>
      <c r="L94" s="1">
        <f t="shared" si="15"/>
        <v>-9</v>
      </c>
      <c r="M94" s="1">
        <f t="shared" si="16"/>
        <v>389</v>
      </c>
      <c r="N94" s="1"/>
      <c r="O94" s="1">
        <v>186.2</v>
      </c>
      <c r="P94" s="1">
        <f t="shared" si="17"/>
        <v>77.8</v>
      </c>
      <c r="Q94" s="5">
        <f t="shared" ref="Q94:Q95" si="20">11*P94-O94-F94</f>
        <v>263.59999999999991</v>
      </c>
      <c r="R94" s="5"/>
      <c r="S94" s="1"/>
      <c r="T94" s="1"/>
      <c r="U94" s="1">
        <f t="shared" si="18"/>
        <v>11</v>
      </c>
      <c r="V94" s="1">
        <f t="shared" si="19"/>
        <v>7.6118251928020575</v>
      </c>
      <c r="W94" s="1">
        <v>77.599999999999994</v>
      </c>
      <c r="X94" s="1">
        <v>73.8</v>
      </c>
      <c r="Y94" s="1">
        <v>72</v>
      </c>
      <c r="Z94" s="1">
        <v>89.833333333333329</v>
      </c>
      <c r="AA94" s="1">
        <v>98.666666666666671</v>
      </c>
      <c r="AB94" s="1">
        <v>82.6</v>
      </c>
      <c r="AC94" s="1">
        <v>93</v>
      </c>
      <c r="AD94" s="1">
        <v>87.8</v>
      </c>
      <c r="AE94" s="1"/>
      <c r="AF94" s="1">
        <f>G94*Q94</f>
        <v>79.07999999999997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140</v>
      </c>
      <c r="B95" s="1" t="s">
        <v>40</v>
      </c>
      <c r="C95" s="1">
        <v>512</v>
      </c>
      <c r="D95" s="1">
        <v>150</v>
      </c>
      <c r="E95" s="1">
        <v>281</v>
      </c>
      <c r="F95" s="1">
        <v>327</v>
      </c>
      <c r="G95" s="8">
        <v>0.3</v>
      </c>
      <c r="H95" s="1">
        <v>40</v>
      </c>
      <c r="I95" s="1" t="s">
        <v>36</v>
      </c>
      <c r="J95" s="1"/>
      <c r="K95" s="1">
        <v>304</v>
      </c>
      <c r="L95" s="1">
        <f t="shared" si="15"/>
        <v>-23</v>
      </c>
      <c r="M95" s="1">
        <f t="shared" si="16"/>
        <v>281</v>
      </c>
      <c r="N95" s="1"/>
      <c r="O95" s="1">
        <v>91.800000000000011</v>
      </c>
      <c r="P95" s="1">
        <f t="shared" si="17"/>
        <v>56.2</v>
      </c>
      <c r="Q95" s="5">
        <f t="shared" si="20"/>
        <v>199.40000000000009</v>
      </c>
      <c r="R95" s="5"/>
      <c r="S95" s="1"/>
      <c r="T95" s="1"/>
      <c r="U95" s="1">
        <f t="shared" si="18"/>
        <v>11</v>
      </c>
      <c r="V95" s="1">
        <f t="shared" si="19"/>
        <v>7.4519572953736652</v>
      </c>
      <c r="W95" s="1">
        <v>57.2</v>
      </c>
      <c r="X95" s="1">
        <v>58.2</v>
      </c>
      <c r="Y95" s="1">
        <v>53.2</v>
      </c>
      <c r="Z95" s="1">
        <v>67.333333333333329</v>
      </c>
      <c r="AA95" s="1">
        <v>82.166666666666671</v>
      </c>
      <c r="AB95" s="1">
        <v>68.599999999999994</v>
      </c>
      <c r="AC95" s="1">
        <v>70</v>
      </c>
      <c r="AD95" s="1">
        <v>63.8</v>
      </c>
      <c r="AE95" s="1"/>
      <c r="AF95" s="1">
        <f>G95*Q95</f>
        <v>59.820000000000022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141</v>
      </c>
      <c r="B96" s="1" t="s">
        <v>35</v>
      </c>
      <c r="C96" s="1">
        <v>404.93400000000003</v>
      </c>
      <c r="D96" s="1">
        <v>257.77499999999998</v>
      </c>
      <c r="E96" s="1">
        <v>221.61699999999999</v>
      </c>
      <c r="F96" s="1">
        <v>410.18400000000003</v>
      </c>
      <c r="G96" s="8">
        <v>1</v>
      </c>
      <c r="H96" s="1">
        <v>50</v>
      </c>
      <c r="I96" s="1" t="s">
        <v>36</v>
      </c>
      <c r="J96" s="1"/>
      <c r="K96" s="1">
        <v>219.25</v>
      </c>
      <c r="L96" s="1">
        <f t="shared" si="15"/>
        <v>2.3669999999999902</v>
      </c>
      <c r="M96" s="1">
        <f t="shared" si="16"/>
        <v>221.61699999999999</v>
      </c>
      <c r="N96" s="1"/>
      <c r="O96" s="1">
        <v>0</v>
      </c>
      <c r="P96" s="1">
        <f t="shared" si="17"/>
        <v>44.323399999999999</v>
      </c>
      <c r="Q96" s="5">
        <f t="shared" ref="Q94:Q98" si="21">12*P96-O96-F96</f>
        <v>121.6968</v>
      </c>
      <c r="R96" s="5"/>
      <c r="S96" s="1"/>
      <c r="T96" s="1"/>
      <c r="U96" s="1">
        <f t="shared" si="18"/>
        <v>12</v>
      </c>
      <c r="V96" s="1">
        <f t="shared" si="19"/>
        <v>9.2543442064462571</v>
      </c>
      <c r="W96" s="1">
        <v>43.525599999999997</v>
      </c>
      <c r="X96" s="1">
        <v>50.857399999999998</v>
      </c>
      <c r="Y96" s="1">
        <v>52.645799999999987</v>
      </c>
      <c r="Z96" s="1">
        <v>50.757833333333338</v>
      </c>
      <c r="AA96" s="1">
        <v>55.884666666666668</v>
      </c>
      <c r="AB96" s="1">
        <v>55.122599999999998</v>
      </c>
      <c r="AC96" s="1">
        <v>59.655599999999993</v>
      </c>
      <c r="AD96" s="1">
        <v>49.415999999999997</v>
      </c>
      <c r="AE96" s="1"/>
      <c r="AF96" s="1">
        <f>G96*Q96</f>
        <v>121.6968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142</v>
      </c>
      <c r="B97" s="1" t="s">
        <v>40</v>
      </c>
      <c r="C97" s="1">
        <v>474</v>
      </c>
      <c r="D97" s="1">
        <v>67</v>
      </c>
      <c r="E97" s="1">
        <v>310</v>
      </c>
      <c r="F97" s="1">
        <v>193</v>
      </c>
      <c r="G97" s="8">
        <v>0.3</v>
      </c>
      <c r="H97" s="1">
        <v>40</v>
      </c>
      <c r="I97" s="1" t="s">
        <v>36</v>
      </c>
      <c r="J97" s="1"/>
      <c r="K97" s="1">
        <v>322</v>
      </c>
      <c r="L97" s="1">
        <f t="shared" si="15"/>
        <v>-12</v>
      </c>
      <c r="M97" s="1">
        <f t="shared" si="16"/>
        <v>310</v>
      </c>
      <c r="N97" s="1"/>
      <c r="O97" s="1">
        <v>357.2</v>
      </c>
      <c r="P97" s="1">
        <f t="shared" si="17"/>
        <v>62</v>
      </c>
      <c r="Q97" s="5">
        <f>11*P97-O97-F97</f>
        <v>131.80000000000001</v>
      </c>
      <c r="R97" s="5"/>
      <c r="S97" s="1"/>
      <c r="T97" s="1"/>
      <c r="U97" s="1">
        <f t="shared" si="18"/>
        <v>11</v>
      </c>
      <c r="V97" s="1">
        <f t="shared" si="19"/>
        <v>8.8741935483870975</v>
      </c>
      <c r="W97" s="1">
        <v>66.400000000000006</v>
      </c>
      <c r="X97" s="1">
        <v>46.8</v>
      </c>
      <c r="Y97" s="1">
        <v>37.6</v>
      </c>
      <c r="Z97" s="1">
        <v>59.333333333333343</v>
      </c>
      <c r="AA97" s="1">
        <v>72</v>
      </c>
      <c r="AB97" s="1">
        <v>64.8</v>
      </c>
      <c r="AC97" s="1">
        <v>57.6</v>
      </c>
      <c r="AD97" s="1">
        <v>50.4</v>
      </c>
      <c r="AE97" s="1"/>
      <c r="AF97" s="1">
        <f>G97*Q97</f>
        <v>39.54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143</v>
      </c>
      <c r="B98" s="1" t="s">
        <v>40</v>
      </c>
      <c r="C98" s="1">
        <v>80</v>
      </c>
      <c r="D98" s="1">
        <v>16</v>
      </c>
      <c r="E98" s="1">
        <v>33</v>
      </c>
      <c r="F98" s="1">
        <v>58</v>
      </c>
      <c r="G98" s="8">
        <v>0.12</v>
      </c>
      <c r="H98" s="1">
        <v>45</v>
      </c>
      <c r="I98" s="1" t="s">
        <v>36</v>
      </c>
      <c r="J98" s="1"/>
      <c r="K98" s="1">
        <v>37</v>
      </c>
      <c r="L98" s="1">
        <f t="shared" si="15"/>
        <v>-4</v>
      </c>
      <c r="M98" s="1">
        <f t="shared" si="16"/>
        <v>33</v>
      </c>
      <c r="N98" s="1"/>
      <c r="O98" s="1">
        <v>32</v>
      </c>
      <c r="P98" s="1">
        <f t="shared" si="17"/>
        <v>6.6</v>
      </c>
      <c r="Q98" s="5"/>
      <c r="R98" s="5"/>
      <c r="S98" s="1"/>
      <c r="T98" s="1"/>
      <c r="U98" s="1">
        <f t="shared" si="18"/>
        <v>13.636363636363637</v>
      </c>
      <c r="V98" s="1">
        <f t="shared" si="19"/>
        <v>13.636363636363637</v>
      </c>
      <c r="W98" s="1">
        <v>9.1999999999999993</v>
      </c>
      <c r="X98" s="1">
        <v>7.4</v>
      </c>
      <c r="Y98" s="1">
        <v>8</v>
      </c>
      <c r="Z98" s="1">
        <v>10.66666666666667</v>
      </c>
      <c r="AA98" s="1">
        <v>14.33333333333333</v>
      </c>
      <c r="AB98" s="1">
        <v>18</v>
      </c>
      <c r="AC98" s="1">
        <v>9.4</v>
      </c>
      <c r="AD98" s="1">
        <v>9.6</v>
      </c>
      <c r="AE98" s="1"/>
      <c r="AF98" s="1">
        <f>G98*Q98</f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98" xr:uid="{F5C7D943-5A1B-4BBA-B3A6-DE079FEC836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2026-01-22T11:10:31Z</dcterms:created>
  <dcterms:modified xsi:type="dcterms:W3CDTF">2026-01-22T11:30:30Z</dcterms:modified>
</cp:coreProperties>
</file>