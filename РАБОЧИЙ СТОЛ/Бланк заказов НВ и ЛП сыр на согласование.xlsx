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1626DE2-3119-49AA-842F-43172A33B85B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definedNames>
    <definedName name="_xlnm._FilterDatabase" localSheetId="0" hidden="1">'11.02'!$A$1:$N$13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I13" i="1"/>
  <c r="I10" i="1"/>
  <c r="I11" i="1"/>
  <c r="I12" i="1"/>
  <c r="I8" i="1"/>
  <c r="I9" i="1"/>
  <c r="I4" i="1"/>
  <c r="I5" i="1"/>
  <c r="I6" i="1"/>
  <c r="I7" i="1"/>
  <c r="I3" i="1"/>
  <c r="I2" i="1"/>
</calcChain>
</file>

<file path=xl/sharedStrings.xml><?xml version="1.0" encoding="utf-8"?>
<sst xmlns="http://schemas.openxmlformats.org/spreadsheetml/2006/main" count="34" uniqueCount="34">
  <si>
    <t>Артикул</t>
  </si>
  <si>
    <t>Наименование</t>
  </si>
  <si>
    <t>Комментарии</t>
  </si>
  <si>
    <t>Сыр Перлини со вкусом Васаби 40% 100гр (8шт)</t>
  </si>
  <si>
    <t>783К811</t>
  </si>
  <si>
    <t>783К825</t>
  </si>
  <si>
    <t>Бердянск</t>
  </si>
  <si>
    <t>Донецк</t>
  </si>
  <si>
    <t>Луганск</t>
  </si>
  <si>
    <t>Мариуполь</t>
  </si>
  <si>
    <t>Мелитополь</t>
  </si>
  <si>
    <t>Итого</t>
  </si>
  <si>
    <t>Сыр "Пармезан" 180 гр (срок созревания 3 мес) 40% фас, ОСТАНКИНО,</t>
  </si>
  <si>
    <t xml:space="preserve">Сыр ПАПА МОЖЕТ "Тильзитер" 45%, 180 гр Славяна, </t>
  </si>
  <si>
    <t xml:space="preserve">Сыр ПАПА МОЖЕТ "Гауда Голд" 45%, 180гр Славяна, </t>
  </si>
  <si>
    <t>Сыр ПАПА МОЖЕТ "Папин завтрак" 45% 180г Славяна,</t>
  </si>
  <si>
    <t>Сыр ПАПА МОЖЕТ "Министерский" 45%  180г Славяна,</t>
  </si>
  <si>
    <t>Плавленый Сыр 45% "С ветчиной" СТМ "ПапаМожет" 180гр,</t>
  </si>
  <si>
    <t>Плавленый Сыр колбасный копченый 40% СТМ "ПапаМожет" 400гр,</t>
  </si>
  <si>
    <t>Желтый/Сыр полутвердый "Голландский" 45% брус ТМ Папа может</t>
  </si>
  <si>
    <t xml:space="preserve">Майонезный соус деликатесный 25% ведро 824,5гр (12шт), </t>
  </si>
  <si>
    <t>Донецк                             (СЕТИ)</t>
  </si>
  <si>
    <r>
      <t>Сыч/Прод 20% Коровино Российский Оригин  50% вес  (5 кг брус) СЗМЖ,</t>
    </r>
    <r>
      <rPr>
        <b/>
        <sz val="11"/>
        <color rgb="FFFF0000"/>
        <rFont val="Times New Roman"/>
        <family val="1"/>
        <charset val="204"/>
      </rPr>
      <t xml:space="preserve"> </t>
    </r>
  </si>
  <si>
    <r>
      <t>Сыч/Прод 20% Коровино Тильзитер Оригин  50% вес  (5 кг брус) СЗМЖ,</t>
    </r>
    <r>
      <rPr>
        <b/>
        <sz val="11"/>
        <color rgb="FFFF0000"/>
        <rFont val="Times New Roman"/>
        <family val="1"/>
        <charset val="204"/>
      </rPr>
      <t xml:space="preserve"> </t>
    </r>
  </si>
  <si>
    <t>нет</t>
  </si>
  <si>
    <t>поставка 02.11.2026г</t>
  </si>
  <si>
    <t>срок до</t>
  </si>
  <si>
    <t>дата прихода</t>
  </si>
  <si>
    <t>СГ</t>
  </si>
  <si>
    <t>осг на 06,11</t>
  </si>
  <si>
    <t>приход 02/11</t>
  </si>
  <si>
    <t>нет в наличии, приход 9,11</t>
  </si>
  <si>
    <t>нет в наличии</t>
  </si>
  <si>
    <t>удаление из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</si>
</sst>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Liberation Sans1"/>
      <charset val="204"/>
    </font>
    <font>
      <b/>
      <sz val="12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top" wrapText="1"/>
    </xf>
    <xf numFmtId="0" fontId="1" fillId="3" borderId="1" xfId="0" applyFont="1" applyFill="1" applyBorder="1" applyAlignment="1">
      <alignment vertical="center"/>
    </xf>
    <xf numFmtId="2" fontId="1" fillId="3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wrapText="1"/>
    </xf>
    <xf numFmtId="14" fontId="1" fillId="0" borderId="0" xfId="0" applyNumberFormat="1" applyFont="1"/>
    <xf numFmtId="10" fontId="1" fillId="0" borderId="0" xfId="0" applyNumberFormat="1" applyFont="1" applyAlignment="1">
      <alignment vertical="center"/>
    </xf>
    <xf numFmtId="10" fontId="1" fillId="0" borderId="0" xfId="0" applyNumberFormat="1" applyFont="1"/>
    <xf numFmtId="14" fontId="1" fillId="0" borderId="0" xfId="0" applyNumberFormat="1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top" wrapText="1"/>
    </xf>
    <xf numFmtId="10" fontId="1" fillId="4" borderId="0" xfId="0" applyNumberFormat="1" applyFont="1" applyFill="1"/>
    <xf numFmtId="14" fontId="1" fillId="4" borderId="0" xfId="0" applyNumberFormat="1" applyFont="1" applyFill="1"/>
    <xf numFmtId="0" fontId="1" fillId="4" borderId="0" xfId="0" applyFont="1" applyFill="1"/>
    <xf numFmtId="2" fontId="5" fillId="4" borderId="1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wrapText="1"/>
    </xf>
    <xf numFmtId="2" fontId="1" fillId="4" borderId="1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vertical="center" wrapText="1"/>
    </xf>
    <xf numFmtId="3" fontId="2" fillId="5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90" zoomScaleNormal="90" workbookViewId="0">
      <pane ySplit="1" topLeftCell="A2" activePane="bottomLeft" state="frozen"/>
      <selection activeCell="B1" sqref="B1"/>
      <selection pane="bottomLeft" activeCell="B16" sqref="B16"/>
    </sheetView>
  </sheetViews>
  <sheetFormatPr defaultColWidth="8.7109375" defaultRowHeight="15.75"/>
  <cols>
    <col min="1" max="1" width="10" style="1" customWidth="1"/>
    <col min="2" max="2" width="58.42578125" style="1" customWidth="1"/>
    <col min="3" max="4" width="10.7109375" style="3" customWidth="1"/>
    <col min="5" max="5" width="13.140625" style="3" customWidth="1"/>
    <col min="6" max="9" width="10.7109375" style="3" customWidth="1"/>
    <col min="10" max="10" width="25.28515625" style="6" customWidth="1"/>
    <col min="11" max="11" width="13.140625" style="12" customWidth="1"/>
    <col min="12" max="12" width="12.42578125" style="10" bestFit="1" customWidth="1"/>
    <col min="13" max="13" width="15.7109375" style="1" bestFit="1" customWidth="1"/>
    <col min="14" max="16384" width="8.7109375" style="1"/>
  </cols>
  <sheetData>
    <row r="1" spans="1:14" s="5" customFormat="1" ht="31.5">
      <c r="A1" s="7" t="s">
        <v>0</v>
      </c>
      <c r="B1" s="4" t="s">
        <v>1</v>
      </c>
      <c r="C1" s="2" t="s">
        <v>6</v>
      </c>
      <c r="D1" s="2" t="s">
        <v>7</v>
      </c>
      <c r="E1" s="9" t="s">
        <v>21</v>
      </c>
      <c r="F1" s="2" t="s">
        <v>8</v>
      </c>
      <c r="G1" s="2" t="s">
        <v>9</v>
      </c>
      <c r="H1" s="2" t="s">
        <v>10</v>
      </c>
      <c r="I1" s="2" t="s">
        <v>11</v>
      </c>
      <c r="J1" s="8" t="s">
        <v>2</v>
      </c>
      <c r="K1" s="11" t="s">
        <v>29</v>
      </c>
      <c r="L1" s="13" t="s">
        <v>26</v>
      </c>
      <c r="M1" s="5" t="s">
        <v>27</v>
      </c>
      <c r="N1" s="5" t="s">
        <v>28</v>
      </c>
    </row>
    <row r="2" spans="1:14">
      <c r="A2" s="14">
        <v>8444927</v>
      </c>
      <c r="B2" s="15" t="s">
        <v>3</v>
      </c>
      <c r="C2" s="16">
        <v>24</v>
      </c>
      <c r="D2" s="16">
        <v>0</v>
      </c>
      <c r="E2" s="16">
        <v>0</v>
      </c>
      <c r="F2" s="17">
        <v>0</v>
      </c>
      <c r="G2" s="18">
        <v>0</v>
      </c>
      <c r="H2" s="18">
        <v>0</v>
      </c>
      <c r="I2" s="18">
        <f t="shared" ref="I2" si="0">H2+G2+F2+E2+D2+C2</f>
        <v>24</v>
      </c>
      <c r="J2" s="19" t="s">
        <v>30</v>
      </c>
      <c r="K2" s="20">
        <f t="shared" ref="K2:K13" si="1">(L2-M2)/N2*1</f>
        <v>-772.2</v>
      </c>
      <c r="L2" s="21"/>
      <c r="M2" s="21">
        <v>46332</v>
      </c>
      <c r="N2" s="22">
        <v>60</v>
      </c>
    </row>
    <row r="3" spans="1:14" ht="28.5">
      <c r="A3" s="14">
        <v>5034819</v>
      </c>
      <c r="B3" s="15" t="s">
        <v>12</v>
      </c>
      <c r="C3" s="16">
        <v>102</v>
      </c>
      <c r="D3" s="16">
        <v>126</v>
      </c>
      <c r="E3" s="16">
        <v>0</v>
      </c>
      <c r="F3" s="17">
        <v>0</v>
      </c>
      <c r="G3" s="18">
        <v>6</v>
      </c>
      <c r="H3" s="18">
        <v>0</v>
      </c>
      <c r="I3" s="18">
        <f>SUM(C3:H3)</f>
        <v>234</v>
      </c>
      <c r="J3" s="23" t="s">
        <v>31</v>
      </c>
      <c r="K3" s="20">
        <f t="shared" si="1"/>
        <v>-308.88</v>
      </c>
      <c r="L3" s="21"/>
      <c r="M3" s="21">
        <v>46332</v>
      </c>
      <c r="N3" s="22">
        <v>150</v>
      </c>
    </row>
    <row r="4" spans="1:14" ht="28.5">
      <c r="A4" s="24">
        <v>5038398</v>
      </c>
      <c r="B4" s="15" t="s">
        <v>13</v>
      </c>
      <c r="C4" s="16">
        <v>0</v>
      </c>
      <c r="D4" s="16">
        <v>0</v>
      </c>
      <c r="E4" s="16">
        <v>200</v>
      </c>
      <c r="F4" s="17">
        <v>0</v>
      </c>
      <c r="G4" s="18">
        <v>0</v>
      </c>
      <c r="H4" s="18">
        <v>80</v>
      </c>
      <c r="I4" s="18">
        <f t="shared" ref="I4:I7" si="2">SUM(C4:H4)</f>
        <v>280</v>
      </c>
      <c r="J4" s="25"/>
      <c r="K4" s="20">
        <f t="shared" si="1"/>
        <v>0.78666666666666663</v>
      </c>
      <c r="L4" s="21">
        <v>46450</v>
      </c>
      <c r="M4" s="21">
        <v>46332</v>
      </c>
      <c r="N4" s="22">
        <v>150</v>
      </c>
    </row>
    <row r="5" spans="1:14">
      <c r="A5" s="24">
        <v>5038411</v>
      </c>
      <c r="B5" s="15" t="s">
        <v>14</v>
      </c>
      <c r="C5" s="16">
        <v>0</v>
      </c>
      <c r="D5" s="16">
        <v>0</v>
      </c>
      <c r="E5" s="16">
        <v>0</v>
      </c>
      <c r="F5" s="17">
        <v>20</v>
      </c>
      <c r="G5" s="18">
        <v>0</v>
      </c>
      <c r="H5" s="18">
        <v>500</v>
      </c>
      <c r="I5" s="18">
        <f t="shared" si="2"/>
        <v>520</v>
      </c>
      <c r="J5" s="25"/>
      <c r="K5" s="20">
        <f t="shared" si="1"/>
        <v>0.64</v>
      </c>
      <c r="L5" s="21">
        <v>46428</v>
      </c>
      <c r="M5" s="21">
        <v>46332</v>
      </c>
      <c r="N5" s="22">
        <v>150</v>
      </c>
    </row>
    <row r="6" spans="1:14" ht="28.5">
      <c r="A6" s="24">
        <v>5038855</v>
      </c>
      <c r="B6" s="15" t="s">
        <v>15</v>
      </c>
      <c r="C6" s="16">
        <v>0</v>
      </c>
      <c r="D6" s="16">
        <v>30</v>
      </c>
      <c r="E6" s="16">
        <v>0</v>
      </c>
      <c r="F6" s="31">
        <v>70</v>
      </c>
      <c r="G6" s="18">
        <v>0</v>
      </c>
      <c r="H6" s="18">
        <v>400</v>
      </c>
      <c r="I6" s="18">
        <f t="shared" si="2"/>
        <v>500</v>
      </c>
      <c r="J6" s="26"/>
      <c r="K6" s="20">
        <f t="shared" si="1"/>
        <v>0.45333333333333331</v>
      </c>
      <c r="L6" s="21">
        <v>46400</v>
      </c>
      <c r="M6" s="21">
        <v>46332</v>
      </c>
      <c r="N6" s="22">
        <v>150</v>
      </c>
    </row>
    <row r="7" spans="1:14" ht="28.5">
      <c r="A7" s="24">
        <v>5038831</v>
      </c>
      <c r="B7" s="15" t="s">
        <v>16</v>
      </c>
      <c r="C7" s="16">
        <v>0</v>
      </c>
      <c r="D7" s="16">
        <v>40</v>
      </c>
      <c r="E7" s="16">
        <v>0</v>
      </c>
      <c r="F7" s="17">
        <v>0</v>
      </c>
      <c r="G7" s="18">
        <v>0</v>
      </c>
      <c r="H7" s="18">
        <v>40</v>
      </c>
      <c r="I7" s="18">
        <f t="shared" si="2"/>
        <v>80</v>
      </c>
      <c r="J7" s="26"/>
      <c r="K7" s="20">
        <f t="shared" si="1"/>
        <v>0.45333333333333331</v>
      </c>
      <c r="L7" s="21">
        <v>46400</v>
      </c>
      <c r="M7" s="21">
        <v>46332</v>
      </c>
      <c r="N7" s="22">
        <v>150</v>
      </c>
    </row>
    <row r="8" spans="1:14" ht="28.5">
      <c r="A8" s="16">
        <v>9988438</v>
      </c>
      <c r="B8" s="27" t="s">
        <v>17</v>
      </c>
      <c r="C8" s="16">
        <v>0</v>
      </c>
      <c r="D8" s="16">
        <v>32</v>
      </c>
      <c r="E8" s="16">
        <v>0</v>
      </c>
      <c r="F8" s="17">
        <v>0</v>
      </c>
      <c r="G8" s="18">
        <v>0</v>
      </c>
      <c r="H8" s="18">
        <v>0</v>
      </c>
      <c r="I8" s="18">
        <f t="shared" ref="I8:I9" si="3">SUM(C8:H8)</f>
        <v>32</v>
      </c>
      <c r="J8" s="28" t="s">
        <v>25</v>
      </c>
      <c r="K8" s="20">
        <f t="shared" si="1"/>
        <v>-171.6</v>
      </c>
      <c r="L8" s="21"/>
      <c r="M8" s="21">
        <v>46332</v>
      </c>
      <c r="N8" s="22">
        <v>270</v>
      </c>
    </row>
    <row r="9" spans="1:14" ht="28.5">
      <c r="A9" s="24">
        <v>9988452</v>
      </c>
      <c r="B9" s="27" t="s">
        <v>18</v>
      </c>
      <c r="C9" s="16">
        <v>32</v>
      </c>
      <c r="D9" s="16">
        <v>48</v>
      </c>
      <c r="E9" s="16">
        <v>0</v>
      </c>
      <c r="F9" s="17">
        <v>0</v>
      </c>
      <c r="G9" s="18">
        <v>0</v>
      </c>
      <c r="H9" s="18">
        <v>0</v>
      </c>
      <c r="I9" s="18">
        <f t="shared" si="3"/>
        <v>80</v>
      </c>
      <c r="J9" s="28"/>
      <c r="K9" s="20">
        <f t="shared" si="1"/>
        <v>0.61111111111111116</v>
      </c>
      <c r="L9" s="21">
        <v>46497</v>
      </c>
      <c r="M9" s="21">
        <v>46332</v>
      </c>
      <c r="N9" s="22">
        <v>270</v>
      </c>
    </row>
    <row r="10" spans="1:14" ht="28.5">
      <c r="A10" s="14" t="s">
        <v>4</v>
      </c>
      <c r="B10" s="15" t="s">
        <v>22</v>
      </c>
      <c r="C10" s="16">
        <v>450</v>
      </c>
      <c r="D10" s="16">
        <v>15</v>
      </c>
      <c r="E10" s="16">
        <v>0</v>
      </c>
      <c r="F10" s="17">
        <v>15</v>
      </c>
      <c r="G10" s="18">
        <v>0</v>
      </c>
      <c r="H10" s="18">
        <v>0</v>
      </c>
      <c r="I10" s="18">
        <f t="shared" ref="I10:I12" si="4">SUM(C10:H10)</f>
        <v>480</v>
      </c>
      <c r="J10" s="25" t="s">
        <v>32</v>
      </c>
      <c r="K10" s="20">
        <f t="shared" si="1"/>
        <v>0.6166666666666667</v>
      </c>
      <c r="L10" s="21">
        <v>46406</v>
      </c>
      <c r="M10" s="21">
        <v>46332</v>
      </c>
      <c r="N10" s="22">
        <v>120</v>
      </c>
    </row>
    <row r="11" spans="1:14" ht="28.5">
      <c r="A11" s="14" t="s">
        <v>5</v>
      </c>
      <c r="B11" s="15" t="s">
        <v>23</v>
      </c>
      <c r="C11" s="16">
        <v>0</v>
      </c>
      <c r="D11" s="16">
        <v>0</v>
      </c>
      <c r="E11" s="16">
        <v>0</v>
      </c>
      <c r="F11" s="17">
        <v>15</v>
      </c>
      <c r="G11" s="18">
        <v>0</v>
      </c>
      <c r="H11" s="18">
        <v>0</v>
      </c>
      <c r="I11" s="18">
        <f t="shared" si="4"/>
        <v>15</v>
      </c>
      <c r="J11" s="25"/>
      <c r="K11" s="20">
        <f t="shared" si="1"/>
        <v>0.625</v>
      </c>
      <c r="L11" s="21">
        <v>46407</v>
      </c>
      <c r="M11" s="21">
        <v>46332</v>
      </c>
      <c r="N11" s="22">
        <v>120</v>
      </c>
    </row>
    <row r="12" spans="1:14" ht="28.5">
      <c r="A12" s="14">
        <v>8785235</v>
      </c>
      <c r="B12" s="15" t="s">
        <v>19</v>
      </c>
      <c r="C12" s="16">
        <v>32</v>
      </c>
      <c r="D12" s="16">
        <v>16.5</v>
      </c>
      <c r="E12" s="16">
        <v>0</v>
      </c>
      <c r="F12" s="17">
        <v>0</v>
      </c>
      <c r="G12" s="18">
        <v>0</v>
      </c>
      <c r="H12" s="18">
        <v>33</v>
      </c>
      <c r="I12" s="18">
        <f t="shared" si="4"/>
        <v>81.5</v>
      </c>
      <c r="J12" s="29" t="s">
        <v>24</v>
      </c>
      <c r="K12" s="20">
        <f t="shared" si="1"/>
        <v>-257.39999999999998</v>
      </c>
      <c r="L12" s="21"/>
      <c r="M12" s="21">
        <v>46332</v>
      </c>
      <c r="N12" s="22">
        <v>180</v>
      </c>
    </row>
    <row r="13" spans="1:14" ht="28.5">
      <c r="A13" s="14">
        <v>6948249</v>
      </c>
      <c r="B13" s="30" t="s">
        <v>20</v>
      </c>
      <c r="C13" s="16">
        <v>0</v>
      </c>
      <c r="D13" s="16">
        <v>0</v>
      </c>
      <c r="E13" s="16">
        <v>0</v>
      </c>
      <c r="F13" s="31">
        <v>60</v>
      </c>
      <c r="G13" s="18">
        <v>0</v>
      </c>
      <c r="H13" s="18">
        <v>0</v>
      </c>
      <c r="I13" s="18">
        <f t="shared" ref="I13" si="5">SUM(C13:H13)</f>
        <v>60</v>
      </c>
      <c r="J13" s="28"/>
      <c r="K13" s="20">
        <f t="shared" si="1"/>
        <v>0.45555555555555555</v>
      </c>
      <c r="L13" s="21">
        <v>46414</v>
      </c>
      <c r="M13" s="21">
        <v>46332</v>
      </c>
      <c r="N13" s="22">
        <v>180</v>
      </c>
    </row>
    <row r="15" spans="1:14">
      <c r="B15" s="31" t="s">
        <v>33</v>
      </c>
    </row>
  </sheetData>
  <sheetProtection selectLockedCells="1" selectUnlockedCells="1"/>
  <autoFilter ref="A1:N13" xr:uid="{00000000-0001-0000-0000-000000000000}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2026-10-30T09:46:36Z</dcterms:modified>
</cp:coreProperties>
</file>