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Донецк\"/>
    </mc:Choice>
  </mc:AlternateContent>
  <xr:revisionPtr revIDLastSave="0" documentId="13_ncr:1_{1C774B0D-5E85-4AF4-82E2-6D4E15F12CC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Sheet!$A$3:$AO$94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T7" i="1" l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6" i="1"/>
  <c r="AR11" i="1"/>
  <c r="AR12" i="1"/>
  <c r="AR18" i="1"/>
  <c r="AR19" i="1"/>
  <c r="AR23" i="1"/>
  <c r="AR25" i="1"/>
  <c r="AR26" i="1"/>
  <c r="AR28" i="1"/>
  <c r="AR29" i="1"/>
  <c r="AR30" i="1"/>
  <c r="AR31" i="1"/>
  <c r="AR32" i="1"/>
  <c r="AR46" i="1"/>
  <c r="AR48" i="1"/>
  <c r="AR51" i="1"/>
  <c r="AR53" i="1"/>
  <c r="AR56" i="1"/>
  <c r="AR58" i="1"/>
  <c r="AR63" i="1"/>
  <c r="AR65" i="1"/>
  <c r="AR66" i="1"/>
  <c r="AR68" i="1"/>
  <c r="AR69" i="1"/>
  <c r="AR70" i="1"/>
  <c r="AR71" i="1"/>
  <c r="AR73" i="1"/>
  <c r="AR74" i="1"/>
  <c r="AR79" i="1"/>
  <c r="AR83" i="1"/>
  <c r="AR86" i="1"/>
  <c r="AR87" i="1"/>
  <c r="AR89" i="1"/>
  <c r="AR94" i="1"/>
  <c r="AR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6" i="1"/>
  <c r="Z5" i="1"/>
  <c r="Y5" i="1"/>
  <c r="W5" i="1"/>
  <c r="V5" i="1"/>
  <c r="AT5" i="1" l="1"/>
  <c r="AS5" i="1"/>
  <c r="AQ5" i="1"/>
  <c r="AP5" i="1"/>
  <c r="T18" i="1"/>
  <c r="U18" i="1" s="1"/>
  <c r="AO18" i="1" s="1"/>
  <c r="T25" i="1"/>
  <c r="U25" i="1" s="1"/>
  <c r="AO25" i="1" s="1"/>
  <c r="T26" i="1"/>
  <c r="U26" i="1" s="1"/>
  <c r="AO26" i="1" s="1"/>
  <c r="T28" i="1"/>
  <c r="U28" i="1" s="1"/>
  <c r="AO28" i="1" s="1"/>
  <c r="T29" i="1"/>
  <c r="U29" i="1" s="1"/>
  <c r="AO29" i="1" s="1"/>
  <c r="T30" i="1"/>
  <c r="U30" i="1" s="1"/>
  <c r="AO30" i="1" s="1"/>
  <c r="T31" i="1"/>
  <c r="U31" i="1" s="1"/>
  <c r="AO31" i="1" s="1"/>
  <c r="T46" i="1"/>
  <c r="U46" i="1" s="1"/>
  <c r="AO46" i="1" s="1"/>
  <c r="T48" i="1"/>
  <c r="U48" i="1" s="1"/>
  <c r="AO48" i="1" s="1"/>
  <c r="T53" i="1"/>
  <c r="U53" i="1" s="1"/>
  <c r="AO53" i="1" s="1"/>
  <c r="T56" i="1"/>
  <c r="U56" i="1" s="1"/>
  <c r="AO56" i="1" s="1"/>
  <c r="T63" i="1"/>
  <c r="U63" i="1" s="1"/>
  <c r="AO63" i="1" s="1"/>
  <c r="T65" i="1"/>
  <c r="U65" i="1" s="1"/>
  <c r="AO65" i="1" s="1"/>
  <c r="T66" i="1"/>
  <c r="U66" i="1" s="1"/>
  <c r="AO66" i="1" s="1"/>
  <c r="T68" i="1"/>
  <c r="U68" i="1" s="1"/>
  <c r="AO68" i="1" s="1"/>
  <c r="T69" i="1"/>
  <c r="U69" i="1" s="1"/>
  <c r="AO69" i="1" s="1"/>
  <c r="T70" i="1"/>
  <c r="U70" i="1" s="1"/>
  <c r="AO70" i="1" s="1"/>
  <c r="T71" i="1"/>
  <c r="U71" i="1" s="1"/>
  <c r="AO71" i="1" s="1"/>
  <c r="T73" i="1"/>
  <c r="U73" i="1" s="1"/>
  <c r="AO73" i="1" s="1"/>
  <c r="T74" i="1"/>
  <c r="U74" i="1" s="1"/>
  <c r="AO74" i="1" s="1"/>
  <c r="T79" i="1"/>
  <c r="U79" i="1" s="1"/>
  <c r="AO79" i="1" s="1"/>
  <c r="T87" i="1"/>
  <c r="U87" i="1" s="1"/>
  <c r="AO87" i="1" s="1"/>
  <c r="T89" i="1"/>
  <c r="U89" i="1" s="1"/>
  <c r="AO89" i="1" s="1"/>
  <c r="T94" i="1"/>
  <c r="U94" i="1" s="1"/>
  <c r="AO94" i="1" s="1"/>
  <c r="T6" i="1"/>
  <c r="U6" i="1" s="1"/>
  <c r="AO6" i="1" s="1"/>
  <c r="AC5" i="1" l="1"/>
  <c r="M7" i="1"/>
  <c r="Q7" i="1" s="1"/>
  <c r="M8" i="1"/>
  <c r="Q8" i="1" s="1"/>
  <c r="S8" i="1" s="1"/>
  <c r="M9" i="1"/>
  <c r="Q9" i="1" s="1"/>
  <c r="S9" i="1" s="1"/>
  <c r="M10" i="1"/>
  <c r="Q10" i="1" s="1"/>
  <c r="S10" i="1" s="1"/>
  <c r="M11" i="1"/>
  <c r="Q11" i="1" s="1"/>
  <c r="M12" i="1"/>
  <c r="Q12" i="1" s="1"/>
  <c r="M13" i="1"/>
  <c r="Q13" i="1" s="1"/>
  <c r="M14" i="1"/>
  <c r="Q14" i="1" s="1"/>
  <c r="S14" i="1" s="1"/>
  <c r="M15" i="1"/>
  <c r="Q15" i="1" s="1"/>
  <c r="S15" i="1" s="1"/>
  <c r="M16" i="1"/>
  <c r="Q16" i="1" s="1"/>
  <c r="S16" i="1" s="1"/>
  <c r="M17" i="1"/>
  <c r="Q17" i="1" s="1"/>
  <c r="S17" i="1" s="1"/>
  <c r="M18" i="1"/>
  <c r="Q18" i="1" s="1"/>
  <c r="AE18" i="1" s="1"/>
  <c r="M19" i="1"/>
  <c r="Q19" i="1" s="1"/>
  <c r="R19" i="1" s="1"/>
  <c r="T19" i="1" s="1"/>
  <c r="U19" i="1" s="1"/>
  <c r="AO19" i="1" s="1"/>
  <c r="M20" i="1"/>
  <c r="Q20" i="1" s="1"/>
  <c r="S20" i="1" s="1"/>
  <c r="M21" i="1"/>
  <c r="Q21" i="1" s="1"/>
  <c r="M22" i="1"/>
  <c r="Q22" i="1" s="1"/>
  <c r="S22" i="1" s="1"/>
  <c r="M23" i="1"/>
  <c r="Q23" i="1" s="1"/>
  <c r="M24" i="1"/>
  <c r="Q24" i="1" s="1"/>
  <c r="S24" i="1" s="1"/>
  <c r="M25" i="1"/>
  <c r="Q25" i="1" s="1"/>
  <c r="M26" i="1"/>
  <c r="Q26" i="1" s="1"/>
  <c r="AE26" i="1" s="1"/>
  <c r="M27" i="1"/>
  <c r="Q27" i="1" s="1"/>
  <c r="R27" i="1" s="1"/>
  <c r="T27" i="1" s="1"/>
  <c r="M28" i="1"/>
  <c r="Q28" i="1" s="1"/>
  <c r="AE28" i="1" s="1"/>
  <c r="M29" i="1"/>
  <c r="Q29" i="1" s="1"/>
  <c r="M30" i="1"/>
  <c r="Q30" i="1" s="1"/>
  <c r="AE30" i="1" s="1"/>
  <c r="M31" i="1"/>
  <c r="Q31" i="1" s="1"/>
  <c r="M32" i="1"/>
  <c r="Q32" i="1" s="1"/>
  <c r="M33" i="1"/>
  <c r="Q33" i="1" s="1"/>
  <c r="S33" i="1" s="1"/>
  <c r="M34" i="1"/>
  <c r="Q34" i="1" s="1"/>
  <c r="S34" i="1" s="1"/>
  <c r="M35" i="1"/>
  <c r="Q35" i="1" s="1"/>
  <c r="S35" i="1" s="1"/>
  <c r="M36" i="1"/>
  <c r="Q36" i="1" s="1"/>
  <c r="M37" i="1"/>
  <c r="Q37" i="1" s="1"/>
  <c r="S37" i="1" s="1"/>
  <c r="M38" i="1"/>
  <c r="Q38" i="1" s="1"/>
  <c r="M39" i="1"/>
  <c r="Q39" i="1" s="1"/>
  <c r="M40" i="1"/>
  <c r="Q40" i="1" s="1"/>
  <c r="R40" i="1" s="1"/>
  <c r="T40" i="1" s="1"/>
  <c r="X40" i="1" s="1"/>
  <c r="AR40" i="1" s="1"/>
  <c r="M41" i="1"/>
  <c r="Q41" i="1" s="1"/>
  <c r="M42" i="1"/>
  <c r="Q42" i="1" s="1"/>
  <c r="S42" i="1" s="1"/>
  <c r="M43" i="1"/>
  <c r="Q43" i="1" s="1"/>
  <c r="M44" i="1"/>
  <c r="Q44" i="1" s="1"/>
  <c r="R44" i="1" s="1"/>
  <c r="T44" i="1" s="1"/>
  <c r="X44" i="1" s="1"/>
  <c r="AR44" i="1" s="1"/>
  <c r="M45" i="1"/>
  <c r="Q45" i="1" s="1"/>
  <c r="M46" i="1"/>
  <c r="Q46" i="1" s="1"/>
  <c r="AD46" i="1" s="1"/>
  <c r="M47" i="1"/>
  <c r="Q47" i="1" s="1"/>
  <c r="M48" i="1"/>
  <c r="Q48" i="1" s="1"/>
  <c r="AE48" i="1" s="1"/>
  <c r="M49" i="1"/>
  <c r="Q49" i="1" s="1"/>
  <c r="S49" i="1" s="1"/>
  <c r="M50" i="1"/>
  <c r="Q50" i="1" s="1"/>
  <c r="M51" i="1"/>
  <c r="Q51" i="1" s="1"/>
  <c r="M52" i="1"/>
  <c r="Q52" i="1" s="1"/>
  <c r="M53" i="1"/>
  <c r="Q53" i="1" s="1"/>
  <c r="AD53" i="1" s="1"/>
  <c r="M54" i="1"/>
  <c r="Q54" i="1" s="1"/>
  <c r="S54" i="1" s="1"/>
  <c r="M55" i="1"/>
  <c r="Q55" i="1" s="1"/>
  <c r="M56" i="1"/>
  <c r="Q56" i="1" s="1"/>
  <c r="AD56" i="1" s="1"/>
  <c r="M57" i="1"/>
  <c r="Q57" i="1" s="1"/>
  <c r="R57" i="1" s="1"/>
  <c r="T57" i="1" s="1"/>
  <c r="M58" i="1"/>
  <c r="Q58" i="1" s="1"/>
  <c r="M59" i="1"/>
  <c r="Q59" i="1" s="1"/>
  <c r="R59" i="1" s="1"/>
  <c r="T59" i="1" s="1"/>
  <c r="M60" i="1"/>
  <c r="Q60" i="1" s="1"/>
  <c r="M61" i="1"/>
  <c r="Q61" i="1" s="1"/>
  <c r="M62" i="1"/>
  <c r="Q62" i="1" s="1"/>
  <c r="R62" i="1" s="1"/>
  <c r="T62" i="1" s="1"/>
  <c r="X62" i="1" s="1"/>
  <c r="AR62" i="1" s="1"/>
  <c r="M63" i="1"/>
  <c r="Q63" i="1" s="1"/>
  <c r="AD63" i="1" s="1"/>
  <c r="M64" i="1"/>
  <c r="Q64" i="1" s="1"/>
  <c r="M65" i="1"/>
  <c r="Q65" i="1" s="1"/>
  <c r="AD65" i="1" s="1"/>
  <c r="M66" i="1"/>
  <c r="Q66" i="1" s="1"/>
  <c r="AD66" i="1" s="1"/>
  <c r="M67" i="1"/>
  <c r="Q67" i="1" s="1"/>
  <c r="R67" i="1" s="1"/>
  <c r="T67" i="1" s="1"/>
  <c r="M68" i="1"/>
  <c r="Q68" i="1" s="1"/>
  <c r="AE68" i="1" s="1"/>
  <c r="M69" i="1"/>
  <c r="Q69" i="1" s="1"/>
  <c r="M70" i="1"/>
  <c r="Q70" i="1" s="1"/>
  <c r="AD70" i="1" s="1"/>
  <c r="M71" i="1"/>
  <c r="Q71" i="1" s="1"/>
  <c r="M72" i="1"/>
  <c r="Q72" i="1" s="1"/>
  <c r="M73" i="1"/>
  <c r="Q73" i="1" s="1"/>
  <c r="M74" i="1"/>
  <c r="Q74" i="1" s="1"/>
  <c r="AD74" i="1" s="1"/>
  <c r="M75" i="1"/>
  <c r="Q75" i="1" s="1"/>
  <c r="S75" i="1" s="1"/>
  <c r="M76" i="1"/>
  <c r="Q76" i="1" s="1"/>
  <c r="S76" i="1" s="1"/>
  <c r="M77" i="1"/>
  <c r="Q77" i="1" s="1"/>
  <c r="S77" i="1" s="1"/>
  <c r="M78" i="1"/>
  <c r="Q78" i="1" s="1"/>
  <c r="S78" i="1" s="1"/>
  <c r="M79" i="1"/>
  <c r="Q79" i="1" s="1"/>
  <c r="AD79" i="1" s="1"/>
  <c r="M80" i="1"/>
  <c r="Q80" i="1" s="1"/>
  <c r="M81" i="1"/>
  <c r="Q81" i="1" s="1"/>
  <c r="R81" i="1" s="1"/>
  <c r="T81" i="1" s="1"/>
  <c r="M82" i="1"/>
  <c r="Q82" i="1" s="1"/>
  <c r="M83" i="1"/>
  <c r="Q83" i="1" s="1"/>
  <c r="M84" i="1"/>
  <c r="Q84" i="1" s="1"/>
  <c r="R84" i="1" s="1"/>
  <c r="T84" i="1" s="1"/>
  <c r="X84" i="1" s="1"/>
  <c r="AR84" i="1" s="1"/>
  <c r="M85" i="1"/>
  <c r="Q85" i="1" s="1"/>
  <c r="R85" i="1" s="1"/>
  <c r="T85" i="1" s="1"/>
  <c r="M86" i="1"/>
  <c r="Q86" i="1" s="1"/>
  <c r="M87" i="1"/>
  <c r="Q87" i="1" s="1"/>
  <c r="M88" i="1"/>
  <c r="Q88" i="1" s="1"/>
  <c r="M89" i="1"/>
  <c r="Q89" i="1" s="1"/>
  <c r="M90" i="1"/>
  <c r="Q90" i="1" s="1"/>
  <c r="M91" i="1"/>
  <c r="Q91" i="1" s="1"/>
  <c r="M92" i="1"/>
  <c r="Q92" i="1" s="1"/>
  <c r="M93" i="1"/>
  <c r="Q93" i="1" s="1"/>
  <c r="R93" i="1" s="1"/>
  <c r="T93" i="1" s="1"/>
  <c r="M94" i="1"/>
  <c r="Q94" i="1" s="1"/>
  <c r="AD94" i="1" s="1"/>
  <c r="M6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M5" i="1"/>
  <c r="AL5" i="1"/>
  <c r="AK5" i="1"/>
  <c r="AJ5" i="1"/>
  <c r="AI5" i="1"/>
  <c r="AH5" i="1"/>
  <c r="AG5" i="1"/>
  <c r="AF5" i="1"/>
  <c r="AA5" i="1"/>
  <c r="P5" i="1"/>
  <c r="O5" i="1"/>
  <c r="N5" i="1"/>
  <c r="K5" i="1"/>
  <c r="F5" i="1"/>
  <c r="E5" i="1"/>
  <c r="X93" i="1" l="1"/>
  <c r="AR93" i="1" s="1"/>
  <c r="X85" i="1"/>
  <c r="AR85" i="1" s="1"/>
  <c r="X81" i="1"/>
  <c r="AR81" i="1" s="1"/>
  <c r="X67" i="1"/>
  <c r="AR67" i="1" s="1"/>
  <c r="X59" i="1"/>
  <c r="AR59" i="1" s="1"/>
  <c r="X57" i="1"/>
  <c r="AR57" i="1" s="1"/>
  <c r="X27" i="1"/>
  <c r="AR27" i="1" s="1"/>
  <c r="AD84" i="1"/>
  <c r="U84" i="1"/>
  <c r="AO84" i="1" s="1"/>
  <c r="AD62" i="1"/>
  <c r="U62" i="1"/>
  <c r="AO62" i="1" s="1"/>
  <c r="AD44" i="1"/>
  <c r="U44" i="1"/>
  <c r="AO44" i="1" s="1"/>
  <c r="AD40" i="1"/>
  <c r="U40" i="1"/>
  <c r="AO40" i="1" s="1"/>
  <c r="R47" i="1"/>
  <c r="S47" i="1"/>
  <c r="R21" i="1"/>
  <c r="S21" i="1"/>
  <c r="R13" i="1"/>
  <c r="S13" i="1"/>
  <c r="R7" i="1"/>
  <c r="S7" i="1"/>
  <c r="S5" i="1" s="1"/>
  <c r="AD93" i="1"/>
  <c r="AE89" i="1"/>
  <c r="AD89" i="1"/>
  <c r="AE87" i="1"/>
  <c r="AD87" i="1"/>
  <c r="AD85" i="1"/>
  <c r="AD81" i="1"/>
  <c r="AE73" i="1"/>
  <c r="AD73" i="1"/>
  <c r="AE71" i="1"/>
  <c r="AD71" i="1"/>
  <c r="AE69" i="1"/>
  <c r="AD69" i="1"/>
  <c r="AD67" i="1"/>
  <c r="AD59" i="1"/>
  <c r="AD57" i="1"/>
  <c r="AE31" i="1"/>
  <c r="AD31" i="1"/>
  <c r="AE29" i="1"/>
  <c r="AD29" i="1"/>
  <c r="AD27" i="1"/>
  <c r="AE25" i="1"/>
  <c r="AD25" i="1"/>
  <c r="AD19" i="1"/>
  <c r="AD18" i="1"/>
  <c r="AD26" i="1"/>
  <c r="AD28" i="1"/>
  <c r="AD30" i="1"/>
  <c r="AD48" i="1"/>
  <c r="AD68" i="1"/>
  <c r="AE93" i="1"/>
  <c r="AE91" i="1"/>
  <c r="R91" i="1"/>
  <c r="T91" i="1" s="1"/>
  <c r="AE85" i="1"/>
  <c r="AE83" i="1"/>
  <c r="R83" i="1"/>
  <c r="T83" i="1" s="1"/>
  <c r="U83" i="1" s="1"/>
  <c r="AO83" i="1" s="1"/>
  <c r="AE81" i="1"/>
  <c r="AE79" i="1"/>
  <c r="AE77" i="1"/>
  <c r="R77" i="1"/>
  <c r="T77" i="1" s="1"/>
  <c r="AE75" i="1"/>
  <c r="R75" i="1"/>
  <c r="T75" i="1" s="1"/>
  <c r="AE67" i="1"/>
  <c r="AE65" i="1"/>
  <c r="AE63" i="1"/>
  <c r="AE61" i="1"/>
  <c r="R61" i="1"/>
  <c r="T61" i="1" s="1"/>
  <c r="AE59" i="1"/>
  <c r="AE57" i="1"/>
  <c r="AE55" i="1"/>
  <c r="R55" i="1"/>
  <c r="T55" i="1" s="1"/>
  <c r="AE53" i="1"/>
  <c r="AE51" i="1"/>
  <c r="R51" i="1"/>
  <c r="T51" i="1" s="1"/>
  <c r="U51" i="1" s="1"/>
  <c r="AO51" i="1" s="1"/>
  <c r="AE49" i="1"/>
  <c r="R49" i="1"/>
  <c r="T49" i="1" s="1"/>
  <c r="AE47" i="1"/>
  <c r="AE45" i="1"/>
  <c r="R45" i="1"/>
  <c r="T45" i="1" s="1"/>
  <c r="AE43" i="1"/>
  <c r="R43" i="1"/>
  <c r="T43" i="1" s="1"/>
  <c r="AE41" i="1"/>
  <c r="R41" i="1"/>
  <c r="T41" i="1" s="1"/>
  <c r="AE39" i="1"/>
  <c r="R39" i="1"/>
  <c r="T39" i="1" s="1"/>
  <c r="AE37" i="1"/>
  <c r="R37" i="1"/>
  <c r="T37" i="1" s="1"/>
  <c r="AE35" i="1"/>
  <c r="R35" i="1"/>
  <c r="T35" i="1" s="1"/>
  <c r="AE33" i="1"/>
  <c r="R33" i="1"/>
  <c r="T33" i="1" s="1"/>
  <c r="AE27" i="1"/>
  <c r="AE23" i="1"/>
  <c r="R23" i="1"/>
  <c r="T23" i="1" s="1"/>
  <c r="U23" i="1" s="1"/>
  <c r="AO23" i="1" s="1"/>
  <c r="AE21" i="1"/>
  <c r="AE19" i="1"/>
  <c r="AE17" i="1"/>
  <c r="R17" i="1"/>
  <c r="T17" i="1" s="1"/>
  <c r="AE15" i="1"/>
  <c r="R15" i="1"/>
  <c r="T15" i="1" s="1"/>
  <c r="AE13" i="1"/>
  <c r="AE11" i="1"/>
  <c r="R11" i="1"/>
  <c r="T11" i="1" s="1"/>
  <c r="U11" i="1" s="1"/>
  <c r="AO11" i="1" s="1"/>
  <c r="AE9" i="1"/>
  <c r="R9" i="1"/>
  <c r="T9" i="1" s="1"/>
  <c r="AE7" i="1"/>
  <c r="AE94" i="1"/>
  <c r="AE92" i="1"/>
  <c r="R92" i="1"/>
  <c r="T92" i="1" s="1"/>
  <c r="AE90" i="1"/>
  <c r="R90" i="1"/>
  <c r="T90" i="1" s="1"/>
  <c r="AE88" i="1"/>
  <c r="R88" i="1"/>
  <c r="T88" i="1" s="1"/>
  <c r="AE86" i="1"/>
  <c r="R86" i="1"/>
  <c r="T86" i="1" s="1"/>
  <c r="U86" i="1" s="1"/>
  <c r="AO86" i="1" s="1"/>
  <c r="AE84" i="1"/>
  <c r="AE82" i="1"/>
  <c r="R82" i="1"/>
  <c r="T82" i="1" s="1"/>
  <c r="AE80" i="1"/>
  <c r="R80" i="1"/>
  <c r="T80" i="1" s="1"/>
  <c r="AE78" i="1"/>
  <c r="R78" i="1"/>
  <c r="T78" i="1" s="1"/>
  <c r="AE76" i="1"/>
  <c r="R76" i="1"/>
  <c r="T76" i="1" s="1"/>
  <c r="AE74" i="1"/>
  <c r="AE72" i="1"/>
  <c r="R72" i="1"/>
  <c r="T72" i="1" s="1"/>
  <c r="AE70" i="1"/>
  <c r="AE66" i="1"/>
  <c r="AE64" i="1"/>
  <c r="R64" i="1"/>
  <c r="T64" i="1" s="1"/>
  <c r="AE62" i="1"/>
  <c r="AE60" i="1"/>
  <c r="R60" i="1"/>
  <c r="T60" i="1" s="1"/>
  <c r="AE58" i="1"/>
  <c r="R58" i="1"/>
  <c r="T58" i="1" s="1"/>
  <c r="U58" i="1" s="1"/>
  <c r="AO58" i="1" s="1"/>
  <c r="AE56" i="1"/>
  <c r="AE54" i="1"/>
  <c r="R54" i="1"/>
  <c r="T54" i="1" s="1"/>
  <c r="AE52" i="1"/>
  <c r="R52" i="1"/>
  <c r="T52" i="1" s="1"/>
  <c r="AE50" i="1"/>
  <c r="R50" i="1"/>
  <c r="T50" i="1" s="1"/>
  <c r="AE46" i="1"/>
  <c r="AE44" i="1"/>
  <c r="AE42" i="1"/>
  <c r="R42" i="1"/>
  <c r="T42" i="1" s="1"/>
  <c r="AE40" i="1"/>
  <c r="AE38" i="1"/>
  <c r="R38" i="1"/>
  <c r="T38" i="1" s="1"/>
  <c r="AE36" i="1"/>
  <c r="R36" i="1"/>
  <c r="T36" i="1" s="1"/>
  <c r="AE34" i="1"/>
  <c r="R34" i="1"/>
  <c r="T34" i="1" s="1"/>
  <c r="AE32" i="1"/>
  <c r="R32" i="1"/>
  <c r="T32" i="1" s="1"/>
  <c r="U32" i="1" s="1"/>
  <c r="AO32" i="1" s="1"/>
  <c r="AE24" i="1"/>
  <c r="R24" i="1"/>
  <c r="T24" i="1" s="1"/>
  <c r="AE22" i="1"/>
  <c r="R22" i="1"/>
  <c r="T22" i="1" s="1"/>
  <c r="AE20" i="1"/>
  <c r="R20" i="1"/>
  <c r="T20" i="1" s="1"/>
  <c r="AE16" i="1"/>
  <c r="R16" i="1"/>
  <c r="T16" i="1" s="1"/>
  <c r="AE14" i="1"/>
  <c r="R14" i="1"/>
  <c r="T14" i="1" s="1"/>
  <c r="AE12" i="1"/>
  <c r="R12" i="1"/>
  <c r="T12" i="1" s="1"/>
  <c r="U12" i="1" s="1"/>
  <c r="AO12" i="1" s="1"/>
  <c r="AE10" i="1"/>
  <c r="R10" i="1"/>
  <c r="T10" i="1" s="1"/>
  <c r="AE8" i="1"/>
  <c r="R8" i="1"/>
  <c r="T8" i="1" s="1"/>
  <c r="L5" i="1"/>
  <c r="M5" i="1"/>
  <c r="Q6" i="1"/>
  <c r="AD6" i="1" s="1"/>
  <c r="U27" i="1" l="1"/>
  <c r="AO27" i="1" s="1"/>
  <c r="U57" i="1"/>
  <c r="AO57" i="1" s="1"/>
  <c r="U59" i="1"/>
  <c r="AO59" i="1" s="1"/>
  <c r="U67" i="1"/>
  <c r="AO67" i="1" s="1"/>
  <c r="U81" i="1"/>
  <c r="AO81" i="1" s="1"/>
  <c r="U85" i="1"/>
  <c r="AO85" i="1" s="1"/>
  <c r="U93" i="1"/>
  <c r="AO93" i="1" s="1"/>
  <c r="X42" i="1"/>
  <c r="AR42" i="1" s="1"/>
  <c r="X50" i="1"/>
  <c r="AR50" i="1" s="1"/>
  <c r="X52" i="1"/>
  <c r="AR52" i="1" s="1"/>
  <c r="X54" i="1"/>
  <c r="AR54" i="1" s="1"/>
  <c r="X64" i="1"/>
  <c r="AR64" i="1" s="1"/>
  <c r="X72" i="1"/>
  <c r="AR72" i="1" s="1"/>
  <c r="X88" i="1"/>
  <c r="AR88" i="1" s="1"/>
  <c r="X90" i="1"/>
  <c r="AR90" i="1" s="1"/>
  <c r="X92" i="1"/>
  <c r="AR92" i="1" s="1"/>
  <c r="X9" i="1"/>
  <c r="AR9" i="1" s="1"/>
  <c r="X33" i="1"/>
  <c r="AR33" i="1" s="1"/>
  <c r="X35" i="1"/>
  <c r="AR35" i="1" s="1"/>
  <c r="X37" i="1"/>
  <c r="AR37" i="1" s="1"/>
  <c r="X39" i="1"/>
  <c r="AR39" i="1" s="1"/>
  <c r="X41" i="1"/>
  <c r="AR41" i="1" s="1"/>
  <c r="X43" i="1"/>
  <c r="AR43" i="1" s="1"/>
  <c r="X45" i="1"/>
  <c r="AR45" i="1" s="1"/>
  <c r="X55" i="1"/>
  <c r="AR55" i="1" s="1"/>
  <c r="X61" i="1"/>
  <c r="AR61" i="1" s="1"/>
  <c r="X91" i="1"/>
  <c r="AR91" i="1" s="1"/>
  <c r="X8" i="1"/>
  <c r="AR8" i="1" s="1"/>
  <c r="X10" i="1"/>
  <c r="AR10" i="1" s="1"/>
  <c r="X14" i="1"/>
  <c r="AR14" i="1" s="1"/>
  <c r="X16" i="1"/>
  <c r="AR16" i="1" s="1"/>
  <c r="X20" i="1"/>
  <c r="AR20" i="1" s="1"/>
  <c r="X22" i="1"/>
  <c r="AR22" i="1" s="1"/>
  <c r="X24" i="1"/>
  <c r="AR24" i="1" s="1"/>
  <c r="X34" i="1"/>
  <c r="AR34" i="1" s="1"/>
  <c r="X36" i="1"/>
  <c r="AR36" i="1" s="1"/>
  <c r="X38" i="1"/>
  <c r="AR38" i="1" s="1"/>
  <c r="X60" i="1"/>
  <c r="AR60" i="1" s="1"/>
  <c r="X76" i="1"/>
  <c r="AR76" i="1" s="1"/>
  <c r="X78" i="1"/>
  <c r="AR78" i="1" s="1"/>
  <c r="X80" i="1"/>
  <c r="AR80" i="1" s="1"/>
  <c r="X82" i="1"/>
  <c r="AR82" i="1" s="1"/>
  <c r="X15" i="1"/>
  <c r="AR15" i="1" s="1"/>
  <c r="X17" i="1"/>
  <c r="AR17" i="1" s="1"/>
  <c r="X49" i="1"/>
  <c r="AR49" i="1" s="1"/>
  <c r="X75" i="1"/>
  <c r="AR75" i="1" s="1"/>
  <c r="X77" i="1"/>
  <c r="AR77" i="1" s="1"/>
  <c r="T7" i="1"/>
  <c r="T13" i="1"/>
  <c r="T21" i="1"/>
  <c r="T47" i="1"/>
  <c r="AD8" i="1"/>
  <c r="AD10" i="1"/>
  <c r="AD12" i="1"/>
  <c r="AD14" i="1"/>
  <c r="AD16" i="1"/>
  <c r="AD20" i="1"/>
  <c r="AD22" i="1"/>
  <c r="AD24" i="1"/>
  <c r="AD32" i="1"/>
  <c r="AD34" i="1"/>
  <c r="AD36" i="1"/>
  <c r="AD38" i="1"/>
  <c r="AD58" i="1"/>
  <c r="AD60" i="1"/>
  <c r="AD76" i="1"/>
  <c r="AD78" i="1"/>
  <c r="AD80" i="1"/>
  <c r="AD82" i="1"/>
  <c r="AD15" i="1"/>
  <c r="AD17" i="1"/>
  <c r="AD23" i="1"/>
  <c r="AD49" i="1"/>
  <c r="AD51" i="1"/>
  <c r="AD75" i="1"/>
  <c r="AD77" i="1"/>
  <c r="AD83" i="1"/>
  <c r="AD42" i="1"/>
  <c r="AD50" i="1"/>
  <c r="AD52" i="1"/>
  <c r="AD54" i="1"/>
  <c r="AD64" i="1"/>
  <c r="AD72" i="1"/>
  <c r="AD86" i="1"/>
  <c r="AD88" i="1"/>
  <c r="AD90" i="1"/>
  <c r="AD92" i="1"/>
  <c r="AD9" i="1"/>
  <c r="AD11" i="1"/>
  <c r="AD33" i="1"/>
  <c r="AD35" i="1"/>
  <c r="AD37" i="1"/>
  <c r="AD39" i="1"/>
  <c r="AD41" i="1"/>
  <c r="AD43" i="1"/>
  <c r="AD45" i="1"/>
  <c r="AD55" i="1"/>
  <c r="AD61" i="1"/>
  <c r="AD91" i="1"/>
  <c r="R5" i="1"/>
  <c r="Q5" i="1"/>
  <c r="AE6" i="1"/>
  <c r="X47" i="1" l="1"/>
  <c r="AR47" i="1" s="1"/>
  <c r="X13" i="1"/>
  <c r="AR13" i="1" s="1"/>
  <c r="X21" i="1"/>
  <c r="AR21" i="1" s="1"/>
  <c r="X7" i="1"/>
  <c r="U7" i="1" s="1"/>
  <c r="AO7" i="1" s="1"/>
  <c r="U77" i="1"/>
  <c r="AO77" i="1" s="1"/>
  <c r="U75" i="1"/>
  <c r="AO75" i="1" s="1"/>
  <c r="U49" i="1"/>
  <c r="AO49" i="1" s="1"/>
  <c r="U17" i="1"/>
  <c r="AO17" i="1" s="1"/>
  <c r="U15" i="1"/>
  <c r="AO15" i="1" s="1"/>
  <c r="U82" i="1"/>
  <c r="AO82" i="1" s="1"/>
  <c r="U80" i="1"/>
  <c r="AO80" i="1" s="1"/>
  <c r="U78" i="1"/>
  <c r="AO78" i="1" s="1"/>
  <c r="U76" i="1"/>
  <c r="AO76" i="1" s="1"/>
  <c r="U60" i="1"/>
  <c r="AO60" i="1" s="1"/>
  <c r="U38" i="1"/>
  <c r="AO38" i="1" s="1"/>
  <c r="U36" i="1"/>
  <c r="AO36" i="1" s="1"/>
  <c r="U34" i="1"/>
  <c r="AO34" i="1" s="1"/>
  <c r="U24" i="1"/>
  <c r="AO24" i="1" s="1"/>
  <c r="U22" i="1"/>
  <c r="AO22" i="1" s="1"/>
  <c r="U20" i="1"/>
  <c r="AO20" i="1" s="1"/>
  <c r="U16" i="1"/>
  <c r="AO16" i="1" s="1"/>
  <c r="U14" i="1"/>
  <c r="AO14" i="1" s="1"/>
  <c r="U10" i="1"/>
  <c r="AO10" i="1" s="1"/>
  <c r="U8" i="1"/>
  <c r="AO8" i="1" s="1"/>
  <c r="U91" i="1"/>
  <c r="AO91" i="1" s="1"/>
  <c r="U61" i="1"/>
  <c r="AO61" i="1" s="1"/>
  <c r="U55" i="1"/>
  <c r="AO55" i="1" s="1"/>
  <c r="U45" i="1"/>
  <c r="AO45" i="1" s="1"/>
  <c r="U43" i="1"/>
  <c r="AO43" i="1" s="1"/>
  <c r="U41" i="1"/>
  <c r="AO41" i="1" s="1"/>
  <c r="U39" i="1"/>
  <c r="AO39" i="1" s="1"/>
  <c r="U37" i="1"/>
  <c r="AO37" i="1" s="1"/>
  <c r="U35" i="1"/>
  <c r="AO35" i="1" s="1"/>
  <c r="U33" i="1"/>
  <c r="AO33" i="1" s="1"/>
  <c r="U9" i="1"/>
  <c r="AO9" i="1" s="1"/>
  <c r="U92" i="1"/>
  <c r="AO92" i="1" s="1"/>
  <c r="U90" i="1"/>
  <c r="AO90" i="1" s="1"/>
  <c r="U88" i="1"/>
  <c r="AO88" i="1" s="1"/>
  <c r="U72" i="1"/>
  <c r="AO72" i="1" s="1"/>
  <c r="U64" i="1"/>
  <c r="AO64" i="1" s="1"/>
  <c r="U54" i="1"/>
  <c r="AO54" i="1" s="1"/>
  <c r="U52" i="1"/>
  <c r="AO52" i="1" s="1"/>
  <c r="U50" i="1"/>
  <c r="AO50" i="1" s="1"/>
  <c r="U42" i="1"/>
  <c r="AO42" i="1" s="1"/>
  <c r="AD47" i="1"/>
  <c r="AD13" i="1"/>
  <c r="T5" i="1"/>
  <c r="AD21" i="1"/>
  <c r="AD7" i="1"/>
  <c r="U21" i="1" l="1"/>
  <c r="AO21" i="1" s="1"/>
  <c r="U13" i="1"/>
  <c r="AO13" i="1" s="1"/>
  <c r="U47" i="1"/>
  <c r="AO47" i="1" s="1"/>
  <c r="AR7" i="1"/>
  <c r="AR5" i="1" s="1"/>
  <c r="X5" i="1"/>
  <c r="AO5" i="1" l="1"/>
  <c r="U5" i="1"/>
</calcChain>
</file>

<file path=xl/sharedStrings.xml><?xml version="1.0" encoding="utf-8"?>
<sst xmlns="http://schemas.openxmlformats.org/spreadsheetml/2006/main" count="377" uniqueCount="155">
  <si>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</si>
  <si>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</si>
  <si>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</si>
  <si>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</si>
  <si>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</si>
  <si>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</si>
  <si>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</si>
  <si>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</si>
  <si>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</si>
  <si>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</si>
  <si>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</si>
  <si>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</si>
  <si>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</si>
  <si>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</si>
  <si>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</si>
  <si>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</si>
  <si>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</si>
  <si>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</si>
  <si>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</si>
  <si>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</si>
  <si>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</si>
  <si>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</si>
  <si>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</si>
  <si>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</si>
  <si>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21,12,</t>
  </si>
  <si>
    <t>22,12,</t>
  </si>
  <si>
    <t>25,12,</t>
  </si>
  <si>
    <t>18,12,</t>
  </si>
  <si>
    <t>16,12,</t>
  </si>
  <si>
    <t>11,12,</t>
  </si>
  <si>
    <t>09,12,</t>
  </si>
  <si>
    <t>04,12,</t>
  </si>
  <si>
    <t>02,12,</t>
  </si>
  <si>
    <t>27,11,</t>
  </si>
  <si>
    <t>25,11,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</si>
  <si>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</si>
  <si>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</si>
  <si>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</si>
  <si>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</si>
  <si>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</si>
  <si>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</si>
  <si>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</si>
  <si>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</si>
  <si>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</si>
  <si>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</si>
  <si>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</si>
  <si>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</si>
  <si>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</si>
  <si>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</si>
  <si>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</si>
  <si>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</si>
  <si>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</si>
  <si>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</si>
  <si>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</si>
  <si>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</si>
  <si>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</si>
  <si>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</si>
  <si>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</si>
  <si>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</si>
  <si>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</si>
  <si>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</si>
  <si>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</si>
  <si>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</si>
  <si>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</si>
  <si>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</si>
  <si>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</si>
  <si>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</si>
  <si>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</si>
  <si>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</si>
  <si>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</si>
  <si>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</si>
  <si>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</si>
  <si>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</si>
  <si>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</si>
  <si>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</si>
  <si>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</si>
  <si>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</si>
  <si>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</si>
  <si>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</si>
  <si>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</si>
  <si>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</si>
  <si>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</si>
  <si>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</si>
  <si>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</si>
  <si>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</si>
  <si>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</si>
  <si>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</si>
  <si>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</si>
  <si>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</si>
  <si>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</si>
  <si>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</si>
  <si>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</si>
  <si>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</si>
  <si>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</si>
  <si>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</si>
  <si>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нужно увеличить продажи!!!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</si>
  <si>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</si>
  <si>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</si>
  <si>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</si>
  <si>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</si>
  <si>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</si>
  <si>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</si>
  <si>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</si>
  <si>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ВНИМАНИЕ / матрица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</si>
  <si>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</si>
  <si>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</si>
  <si>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</si>
  <si>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</si>
  <si>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</si>
  <si>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</si>
  <si>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</si>
  <si>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</si>
  <si>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</si>
  <si>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</si>
  <si>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</si>
  <si>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</si>
  <si>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</si>
  <si>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</si>
  <si>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</si>
  <si>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</si>
  <si>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</si>
  <si>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</si>
  <si>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</si>
  <si>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</si>
  <si>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</si>
  <si>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</si>
  <si>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</si>
  <si>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</si>
  <si>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</si>
  <si>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</si>
  <si>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</si>
  <si>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новинка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</si>
  <si>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</si>
  <si>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</si>
  <si>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</si>
  <si>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</si>
  <si>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</si>
  <si>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</si>
  <si>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</si>
  <si>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Химич</t>
  </si>
  <si>
    <t>ТМА декабрь_январь</t>
  </si>
  <si>
    <t>ТМА декабрь_январь / ТС Обжора</t>
  </si>
  <si>
    <t>ТМА декабрь_январь / 20,01,25 в уценку 86шт.</t>
  </si>
  <si>
    <t>ТМА декабрь_январь / 22,01,25 в уценку 1989кг</t>
  </si>
  <si>
    <t>19,12,25 списание 146кг (сроки)</t>
  </si>
  <si>
    <t>23,06,25 в уценку 6кг / 22,04,25 в уценку 34 кг / 25,01,25 в уценку 108кг</t>
  </si>
  <si>
    <t>до машины</t>
  </si>
  <si>
    <t>итого</t>
  </si>
  <si>
    <t>заказ</t>
  </si>
  <si>
    <t>03,01,(1)</t>
  </si>
  <si>
    <t>04,01,</t>
  </si>
  <si>
    <t>05,01,(1)</t>
  </si>
  <si>
    <t>05,01,(3)</t>
  </si>
  <si>
    <t>03,01,(3)</t>
  </si>
  <si>
    <t>05,01,(4)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</si>
</sst>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0" borderId="1" xfId="1" applyNumberFormat="1" applyFont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6" fillId="8" borderId="1" xfId="1" applyNumberFormat="1" applyFont="1" applyFill="1"/>
    <xf numFmtId="165" fontId="1" fillId="0" borderId="1" xfId="1" applyNumberFormat="1"/>
    <xf numFmtId="9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6" sqref="AB6"/>
    </sheetView>
  </sheetViews>
  <sheetFormatPr defaultRowHeight="15" x14ac:dyDescent="0.25"/>
  <cols>
    <col min="1" max="1" width="54.42578125" customWidth="1"/>
    <col min="2" max="2" width="3" customWidth="1"/>
    <col min="3" max="6" width="4.7109375" customWidth="1"/>
    <col min="7" max="7" width="5" style="6" customWidth="1"/>
    <col min="8" max="8" width="5" customWidth="1"/>
    <col min="9" max="9" width="9" customWidth="1"/>
    <col min="10" max="10" width="1" customWidth="1"/>
    <col min="11" max="17" width="5.7109375" customWidth="1"/>
    <col min="18" max="20" width="6.5703125" customWidth="1"/>
    <col min="21" max="26" width="8" customWidth="1"/>
    <col min="27" max="27" width="7" customWidth="1"/>
    <col min="28" max="28" width="5.5703125" customWidth="1"/>
    <col min="29" max="29" width="1.85546875" customWidth="1"/>
    <col min="30" max="31" width="5" customWidth="1"/>
    <col min="32" max="39" width="4.85546875" customWidth="1"/>
    <col min="40" max="40" width="7.7109375" customWidth="1"/>
    <col min="41" max="46" width="8.28515625" customWidth="1"/>
    <col min="47" max="56" width="8" customWidth="1"/>
  </cols>
  <sheetData>
    <row r="1" spans="1:56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2">
        <v>1</v>
      </c>
      <c r="T1" s="1"/>
      <c r="U1" s="1"/>
      <c r="V1" s="1"/>
      <c r="W1" s="1"/>
      <c r="X1" s="23">
        <v>0.53249999999999997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146</v>
      </c>
      <c r="T3" s="3" t="s">
        <v>147</v>
      </c>
      <c r="U3" s="3" t="s">
        <v>148</v>
      </c>
      <c r="V3" s="3" t="s">
        <v>148</v>
      </c>
      <c r="W3" s="3" t="s">
        <v>148</v>
      </c>
      <c r="X3" s="3" t="s">
        <v>148</v>
      </c>
      <c r="Y3" s="3" t="s">
        <v>148</v>
      </c>
      <c r="Z3" s="3" t="s">
        <v>148</v>
      </c>
      <c r="AA3" s="7" t="s">
        <v>17</v>
      </c>
      <c r="AB3" s="7" t="s">
        <v>18</v>
      </c>
      <c r="AC3" s="11" t="s">
        <v>139</v>
      </c>
      <c r="AD3" s="2" t="s">
        <v>19</v>
      </c>
      <c r="AE3" s="2" t="s">
        <v>20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21</v>
      </c>
      <c r="AL3" s="2" t="s">
        <v>21</v>
      </c>
      <c r="AM3" s="2" t="s">
        <v>21</v>
      </c>
      <c r="AN3" s="2" t="s">
        <v>22</v>
      </c>
      <c r="AO3" s="2" t="s">
        <v>23</v>
      </c>
      <c r="AP3" s="2" t="s">
        <v>23</v>
      </c>
      <c r="AQ3" s="2" t="s">
        <v>23</v>
      </c>
      <c r="AR3" s="2" t="s">
        <v>23</v>
      </c>
      <c r="AS3" s="2" t="s">
        <v>23</v>
      </c>
      <c r="AT3" s="2" t="s">
        <v>23</v>
      </c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 t="s">
        <v>149</v>
      </c>
      <c r="V4" s="1" t="s">
        <v>153</v>
      </c>
      <c r="W4" s="1" t="s">
        <v>150</v>
      </c>
      <c r="X4" s="1" t="s">
        <v>151</v>
      </c>
      <c r="Y4" s="1" t="s">
        <v>152</v>
      </c>
      <c r="Z4" s="1" t="s">
        <v>154</v>
      </c>
      <c r="AA4" s="1"/>
      <c r="AB4" s="1"/>
      <c r="AC4" s="1"/>
      <c r="AD4" s="1"/>
      <c r="AE4" s="1"/>
      <c r="AF4" s="1" t="s">
        <v>27</v>
      </c>
      <c r="AG4" s="1" t="s">
        <v>28</v>
      </c>
      <c r="AH4" s="1" t="s">
        <v>29</v>
      </c>
      <c r="AI4" s="1" t="s">
        <v>30</v>
      </c>
      <c r="AJ4" s="1" t="s">
        <v>31</v>
      </c>
      <c r="AK4" s="1" t="s">
        <v>32</v>
      </c>
      <c r="AL4" s="1" t="s">
        <v>33</v>
      </c>
      <c r="AM4" s="1" t="s">
        <v>34</v>
      </c>
      <c r="AN4" s="1"/>
      <c r="AO4" s="1" t="s">
        <v>149</v>
      </c>
      <c r="AP4" s="1" t="s">
        <v>153</v>
      </c>
      <c r="AQ4" s="1" t="s">
        <v>150</v>
      </c>
      <c r="AR4" s="1" t="s">
        <v>151</v>
      </c>
      <c r="AS4" s="1" t="s">
        <v>152</v>
      </c>
      <c r="AT4" s="1" t="s">
        <v>154</v>
      </c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 x14ac:dyDescent="0.25">
      <c r="A5" s="1"/>
      <c r="B5" s="1"/>
      <c r="C5" s="1"/>
      <c r="D5" s="1"/>
      <c r="E5" s="4">
        <f>SUM(E6:E499)</f>
        <v>40701.913</v>
      </c>
      <c r="F5" s="4">
        <f>SUM(F6:F499)</f>
        <v>39141.626000000004</v>
      </c>
      <c r="G5" s="8"/>
      <c r="H5" s="1"/>
      <c r="I5" s="1"/>
      <c r="J5" s="1"/>
      <c r="K5" s="4">
        <f t="shared" ref="K5:AA5" si="0">SUM(K6:K499)</f>
        <v>48111.889000000003</v>
      </c>
      <c r="L5" s="4">
        <f t="shared" si="0"/>
        <v>-7409.9760000000024</v>
      </c>
      <c r="M5" s="4">
        <f t="shared" si="0"/>
        <v>37160.326999999997</v>
      </c>
      <c r="N5" s="4">
        <f t="shared" si="0"/>
        <v>3541.5859999999993</v>
      </c>
      <c r="O5" s="4">
        <f t="shared" si="0"/>
        <v>11677.111799999991</v>
      </c>
      <c r="P5" s="4">
        <f t="shared" si="0"/>
        <v>6090</v>
      </c>
      <c r="Q5" s="4">
        <f t="shared" si="0"/>
        <v>7432.0654000000004</v>
      </c>
      <c r="R5" s="4">
        <f t="shared" si="0"/>
        <v>46289.275664000001</v>
      </c>
      <c r="S5" s="4">
        <f t="shared" ref="S5" si="1">SUM(S6:S499)</f>
        <v>5090.0767999999998</v>
      </c>
      <c r="T5" s="4">
        <f t="shared" ref="T5:U5" si="2">SUM(T6:T499)</f>
        <v>51379.352464000011</v>
      </c>
      <c r="U5" s="4">
        <f t="shared" si="2"/>
        <v>13092.249263419999</v>
      </c>
      <c r="V5" s="4">
        <f t="shared" ref="V5:Z5" si="3">SUM(V6:V499)</f>
        <v>9160</v>
      </c>
      <c r="W5" s="4">
        <f t="shared" si="3"/>
        <v>4000</v>
      </c>
      <c r="X5" s="4">
        <f t="shared" si="3"/>
        <v>13667.103200580003</v>
      </c>
      <c r="Y5" s="4">
        <f t="shared" si="3"/>
        <v>9060</v>
      </c>
      <c r="Z5" s="4">
        <f t="shared" si="3"/>
        <v>2400</v>
      </c>
      <c r="AA5" s="4">
        <f t="shared" si="0"/>
        <v>0</v>
      </c>
      <c r="AB5" s="1"/>
      <c r="AC5" s="4">
        <f>SUM(AC6:AC499)</f>
        <v>0</v>
      </c>
      <c r="AD5" s="1"/>
      <c r="AE5" s="1"/>
      <c r="AF5" s="4">
        <f t="shared" ref="AF5:AM5" si="4">SUM(AF6:AF499)</f>
        <v>7216.2931999999973</v>
      </c>
      <c r="AG5" s="4">
        <f t="shared" si="4"/>
        <v>6953.5805999999984</v>
      </c>
      <c r="AH5" s="4">
        <f t="shared" si="4"/>
        <v>6680.8209999999999</v>
      </c>
      <c r="AI5" s="4">
        <f t="shared" si="4"/>
        <v>6846.5255999999999</v>
      </c>
      <c r="AJ5" s="4">
        <f t="shared" si="4"/>
        <v>6312.9053999999996</v>
      </c>
      <c r="AK5" s="4">
        <f t="shared" si="4"/>
        <v>5752.2629999999999</v>
      </c>
      <c r="AL5" s="4">
        <f t="shared" si="4"/>
        <v>6866.8038000000015</v>
      </c>
      <c r="AM5" s="4">
        <f t="shared" si="4"/>
        <v>6386.0083999999988</v>
      </c>
      <c r="AN5" s="1"/>
      <c r="AO5" s="4">
        <f>SUM(AO6:AO499)</f>
        <v>10005</v>
      </c>
      <c r="AP5" s="4">
        <f t="shared" ref="AP5:AT5" si="5">SUM(AP6:AP499)</f>
        <v>8500</v>
      </c>
      <c r="AQ5" s="4">
        <f t="shared" si="5"/>
        <v>4000</v>
      </c>
      <c r="AR5" s="4">
        <f t="shared" si="5"/>
        <v>10092</v>
      </c>
      <c r="AS5" s="4">
        <f t="shared" si="5"/>
        <v>8460</v>
      </c>
      <c r="AT5" s="4">
        <f t="shared" si="5"/>
        <v>2400</v>
      </c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x14ac:dyDescent="0.25">
      <c r="A6" s="1" t="s">
        <v>35</v>
      </c>
      <c r="B6" s="1" t="s">
        <v>36</v>
      </c>
      <c r="C6" s="1">
        <v>-7.19</v>
      </c>
      <c r="D6" s="1">
        <v>785.54100000000005</v>
      </c>
      <c r="E6" s="1">
        <v>32.886000000000003</v>
      </c>
      <c r="F6" s="1">
        <v>733.02</v>
      </c>
      <c r="G6" s="8">
        <v>1</v>
      </c>
      <c r="H6" s="1">
        <v>50</v>
      </c>
      <c r="I6" s="1" t="s">
        <v>37</v>
      </c>
      <c r="J6" s="1"/>
      <c r="K6" s="1">
        <v>103.17</v>
      </c>
      <c r="L6" s="1">
        <f t="shared" ref="L6:L37" si="6">E6-K6</f>
        <v>-70.283999999999992</v>
      </c>
      <c r="M6" s="1">
        <f>E6-N6</f>
        <v>30.216000000000001</v>
      </c>
      <c r="N6" s="1">
        <v>2.67</v>
      </c>
      <c r="O6" s="1">
        <v>242.31656800000019</v>
      </c>
      <c r="P6" s="1"/>
      <c r="Q6" s="1">
        <f>M6/5</f>
        <v>6.0432000000000006</v>
      </c>
      <c r="R6" s="5"/>
      <c r="S6" s="5"/>
      <c r="T6" s="5">
        <f>S6+R6</f>
        <v>0</v>
      </c>
      <c r="U6" s="5">
        <f>T6-V6-W6-X6-Y6-Z6</f>
        <v>0</v>
      </c>
      <c r="V6" s="5"/>
      <c r="W6" s="5"/>
      <c r="X6" s="5"/>
      <c r="Y6" s="5"/>
      <c r="Z6" s="5"/>
      <c r="AA6" s="5"/>
      <c r="AB6" s="1"/>
      <c r="AC6" s="1"/>
      <c r="AD6" s="1">
        <f>(F6+O6+P6+T6)/Q6</f>
        <v>161.39405745300505</v>
      </c>
      <c r="AE6" s="1">
        <f>(F6+O6+P6)/Q6</f>
        <v>161.39405745300505</v>
      </c>
      <c r="AF6" s="1">
        <v>71.900600000000011</v>
      </c>
      <c r="AG6" s="1">
        <v>107.9282</v>
      </c>
      <c r="AH6" s="1">
        <v>34.925199999999997</v>
      </c>
      <c r="AI6" s="1">
        <v>21.172999999999998</v>
      </c>
      <c r="AJ6" s="1">
        <v>57.832000000000008</v>
      </c>
      <c r="AK6" s="1">
        <v>49.332799999999999</v>
      </c>
      <c r="AL6" s="1">
        <v>31.3186</v>
      </c>
      <c r="AM6" s="1">
        <v>41.005799999999986</v>
      </c>
      <c r="AN6" s="1"/>
      <c r="AO6" s="1">
        <f>ROUND(G6*U6,0)</f>
        <v>0</v>
      </c>
      <c r="AP6" s="1">
        <f>ROUND(G6*V6,0)</f>
        <v>0</v>
      </c>
      <c r="AQ6" s="1">
        <f>ROUND(G6*W6,0)</f>
        <v>0</v>
      </c>
      <c r="AR6" s="1">
        <f>ROUND(G6*X6,0)</f>
        <v>0</v>
      </c>
      <c r="AS6" s="1">
        <f>ROUND(G6*Y6,0)</f>
        <v>0</v>
      </c>
      <c r="AT6" s="1">
        <f>ROUND(G6*Z6,0)</f>
        <v>0</v>
      </c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 x14ac:dyDescent="0.25">
      <c r="A7" s="1" t="s">
        <v>38</v>
      </c>
      <c r="B7" s="1" t="s">
        <v>36</v>
      </c>
      <c r="C7" s="1">
        <v>230.14400000000001</v>
      </c>
      <c r="D7" s="1">
        <v>544.21799999999996</v>
      </c>
      <c r="E7" s="1">
        <v>364.02</v>
      </c>
      <c r="F7" s="1">
        <v>160.66200000000001</v>
      </c>
      <c r="G7" s="8">
        <v>1</v>
      </c>
      <c r="H7" s="1">
        <v>45</v>
      </c>
      <c r="I7" s="1" t="s">
        <v>37</v>
      </c>
      <c r="J7" s="1"/>
      <c r="K7" s="1">
        <v>488.35300000000001</v>
      </c>
      <c r="L7" s="1">
        <f t="shared" si="6"/>
        <v>-124.33300000000003</v>
      </c>
      <c r="M7" s="1">
        <f t="shared" ref="M7:M70" si="7">E7-N7</f>
        <v>227.13699999999997</v>
      </c>
      <c r="N7" s="1">
        <v>136.88300000000001</v>
      </c>
      <c r="O7" s="1">
        <v>28.01222399999995</v>
      </c>
      <c r="P7" s="1"/>
      <c r="Q7" s="1">
        <f t="shared" ref="Q7:Q70" si="8">M7/5</f>
        <v>45.427399999999992</v>
      </c>
      <c r="R7" s="5">
        <f>12*Q7-P7-O7-F7</f>
        <v>356.45457599999997</v>
      </c>
      <c r="S7" s="5">
        <f>$S$1*Q7</f>
        <v>45.427399999999992</v>
      </c>
      <c r="T7" s="5">
        <f t="shared" ref="T7:T70" si="9">S7+R7</f>
        <v>401.88197599999995</v>
      </c>
      <c r="U7" s="5">
        <f t="shared" ref="U7:U70" si="10">T7-V7-W7-X7-Y7-Z7</f>
        <v>187.87982377999998</v>
      </c>
      <c r="V7" s="5"/>
      <c r="W7" s="5"/>
      <c r="X7" s="5">
        <f t="shared" ref="X7:X10" si="11">$X$1*(T7-W7)-Y7-Z7</f>
        <v>214.00215221999997</v>
      </c>
      <c r="Y7" s="5"/>
      <c r="Z7" s="5"/>
      <c r="AA7" s="5"/>
      <c r="AB7" s="1"/>
      <c r="AC7" s="1"/>
      <c r="AD7" s="1">
        <f t="shared" ref="AD7:AD70" si="12">(F7+O7+P7+T7)/Q7</f>
        <v>13</v>
      </c>
      <c r="AE7" s="1">
        <f t="shared" ref="AE7:AE70" si="13">(F7+O7+P7)/Q7</f>
        <v>4.1533132866948135</v>
      </c>
      <c r="AF7" s="1">
        <v>32.1462</v>
      </c>
      <c r="AG7" s="1">
        <v>34.432600000000001</v>
      </c>
      <c r="AH7" s="1">
        <v>36.957800000000013</v>
      </c>
      <c r="AI7" s="1">
        <v>35.177799999999998</v>
      </c>
      <c r="AJ7" s="1">
        <v>28.428999999999998</v>
      </c>
      <c r="AK7" s="1">
        <v>22.7546</v>
      </c>
      <c r="AL7" s="1">
        <v>28.552800000000001</v>
      </c>
      <c r="AM7" s="1">
        <v>28.0106</v>
      </c>
      <c r="AN7" s="1"/>
      <c r="AO7" s="1">
        <f t="shared" ref="AO7:AO70" si="14">ROUND(G7*U7,0)</f>
        <v>188</v>
      </c>
      <c r="AP7" s="1">
        <f t="shared" ref="AP7:AP70" si="15">ROUND(G7*V7,0)</f>
        <v>0</v>
      </c>
      <c r="AQ7" s="1">
        <f t="shared" ref="AQ7:AQ70" si="16">ROUND(G7*W7,0)</f>
        <v>0</v>
      </c>
      <c r="AR7" s="1">
        <f t="shared" ref="AR7:AR70" si="17">ROUND(G7*X7,0)</f>
        <v>214</v>
      </c>
      <c r="AS7" s="1">
        <f t="shared" ref="AS7:AS70" si="18">ROUND(G7*Y7,0)</f>
        <v>0</v>
      </c>
      <c r="AT7" s="1">
        <f t="shared" ref="AT7:AT70" si="19">ROUND(G7*Z7,0)</f>
        <v>0</v>
      </c>
      <c r="AU7" s="1"/>
      <c r="AV7" s="1"/>
      <c r="AW7" s="1"/>
      <c r="AX7" s="1"/>
      <c r="AY7" s="1"/>
      <c r="AZ7" s="1"/>
      <c r="BA7" s="1"/>
      <c r="BB7" s="1"/>
      <c r="BC7" s="1"/>
      <c r="BD7" s="1"/>
    </row>
    <row r="8" spans="1:56" x14ac:dyDescent="0.25">
      <c r="A8" s="1" t="s">
        <v>39</v>
      </c>
      <c r="B8" s="1" t="s">
        <v>36</v>
      </c>
      <c r="C8" s="1">
        <v>165.09</v>
      </c>
      <c r="D8" s="1">
        <v>1758.36</v>
      </c>
      <c r="E8" s="1">
        <v>873.61300000000006</v>
      </c>
      <c r="F8" s="1">
        <v>303.89400000000001</v>
      </c>
      <c r="G8" s="8">
        <v>1</v>
      </c>
      <c r="H8" s="1">
        <v>45</v>
      </c>
      <c r="I8" s="1" t="s">
        <v>37</v>
      </c>
      <c r="J8" s="1"/>
      <c r="K8" s="1">
        <v>1199.096</v>
      </c>
      <c r="L8" s="1">
        <f t="shared" si="6"/>
        <v>-325.48299999999995</v>
      </c>
      <c r="M8" s="1">
        <f t="shared" si="7"/>
        <v>529.84300000000007</v>
      </c>
      <c r="N8" s="1">
        <v>343.77</v>
      </c>
      <c r="O8" s="1">
        <v>346.90490999999952</v>
      </c>
      <c r="P8" s="1">
        <v>400</v>
      </c>
      <c r="Q8" s="1">
        <f t="shared" si="8"/>
        <v>105.96860000000001</v>
      </c>
      <c r="R8" s="5">
        <f t="shared" ref="R8:R17" si="20">14*Q8-P8-O8-F8</f>
        <v>432.76149000000055</v>
      </c>
      <c r="S8" s="5">
        <f t="shared" ref="S8:S10" si="21">$S$1*Q8</f>
        <v>105.96860000000001</v>
      </c>
      <c r="T8" s="5">
        <f t="shared" si="9"/>
        <v>538.73009000000059</v>
      </c>
      <c r="U8" s="5">
        <f t="shared" si="10"/>
        <v>251.85631707500028</v>
      </c>
      <c r="V8" s="5"/>
      <c r="W8" s="5"/>
      <c r="X8" s="5">
        <f t="shared" si="11"/>
        <v>286.87377292500031</v>
      </c>
      <c r="Y8" s="5"/>
      <c r="Z8" s="5"/>
      <c r="AA8" s="5"/>
      <c r="AB8" s="1"/>
      <c r="AC8" s="1"/>
      <c r="AD8" s="1">
        <f t="shared" si="12"/>
        <v>14.999999999999998</v>
      </c>
      <c r="AE8" s="1">
        <f t="shared" si="13"/>
        <v>9.9161346851803209</v>
      </c>
      <c r="AF8" s="1">
        <v>133.38380000000001</v>
      </c>
      <c r="AG8" s="1">
        <v>84.897999999999996</v>
      </c>
      <c r="AH8" s="1">
        <v>144.35059999999999</v>
      </c>
      <c r="AI8" s="1">
        <v>122.66119999999999</v>
      </c>
      <c r="AJ8" s="1">
        <v>92.555399999999992</v>
      </c>
      <c r="AK8" s="1">
        <v>83.119</v>
      </c>
      <c r="AL8" s="1">
        <v>114.33620000000001</v>
      </c>
      <c r="AM8" s="1">
        <v>107.63379999999999</v>
      </c>
      <c r="AN8" s="1"/>
      <c r="AO8" s="1">
        <f t="shared" si="14"/>
        <v>252</v>
      </c>
      <c r="AP8" s="1">
        <f t="shared" si="15"/>
        <v>0</v>
      </c>
      <c r="AQ8" s="1">
        <f t="shared" si="16"/>
        <v>0</v>
      </c>
      <c r="AR8" s="1">
        <f t="shared" si="17"/>
        <v>287</v>
      </c>
      <c r="AS8" s="1">
        <f t="shared" si="18"/>
        <v>0</v>
      </c>
      <c r="AT8" s="1">
        <f t="shared" si="19"/>
        <v>0</v>
      </c>
      <c r="AU8" s="1"/>
      <c r="AV8" s="1"/>
      <c r="AW8" s="1"/>
      <c r="AX8" s="1"/>
      <c r="AY8" s="1"/>
      <c r="AZ8" s="1"/>
      <c r="BA8" s="1"/>
      <c r="BB8" s="1"/>
      <c r="BC8" s="1"/>
      <c r="BD8" s="1"/>
    </row>
    <row r="9" spans="1:56" x14ac:dyDescent="0.25">
      <c r="A9" s="1" t="s">
        <v>40</v>
      </c>
      <c r="B9" s="1" t="s">
        <v>41</v>
      </c>
      <c r="C9" s="1">
        <v>53</v>
      </c>
      <c r="D9" s="1">
        <v>2271.9899999999998</v>
      </c>
      <c r="E9" s="1">
        <v>917</v>
      </c>
      <c r="F9" s="1">
        <v>1252</v>
      </c>
      <c r="G9" s="8">
        <v>0.45</v>
      </c>
      <c r="H9" s="1">
        <v>45</v>
      </c>
      <c r="I9" s="1" t="s">
        <v>37</v>
      </c>
      <c r="J9" s="1"/>
      <c r="K9" s="1">
        <v>982</v>
      </c>
      <c r="L9" s="1">
        <f t="shared" si="6"/>
        <v>-65</v>
      </c>
      <c r="M9" s="1">
        <f t="shared" si="7"/>
        <v>869</v>
      </c>
      <c r="N9" s="1">
        <v>48</v>
      </c>
      <c r="O9" s="1">
        <v>251.7679999999998</v>
      </c>
      <c r="P9" s="1">
        <v>300</v>
      </c>
      <c r="Q9" s="1">
        <f t="shared" si="8"/>
        <v>173.8</v>
      </c>
      <c r="R9" s="5">
        <f t="shared" si="20"/>
        <v>629.43200000000047</v>
      </c>
      <c r="S9" s="5">
        <f t="shared" si="21"/>
        <v>173.8</v>
      </c>
      <c r="T9" s="5">
        <f t="shared" si="9"/>
        <v>803.23200000000043</v>
      </c>
      <c r="U9" s="5">
        <f t="shared" si="10"/>
        <v>375.51096000000024</v>
      </c>
      <c r="V9" s="5"/>
      <c r="W9" s="5"/>
      <c r="X9" s="5">
        <f t="shared" si="11"/>
        <v>427.72104000000019</v>
      </c>
      <c r="Y9" s="5"/>
      <c r="Z9" s="5"/>
      <c r="AA9" s="5"/>
      <c r="AB9" s="1"/>
      <c r="AC9" s="1"/>
      <c r="AD9" s="1">
        <f t="shared" si="12"/>
        <v>14.999999999999998</v>
      </c>
      <c r="AE9" s="1">
        <f t="shared" si="13"/>
        <v>10.378411967779055</v>
      </c>
      <c r="AF9" s="1">
        <v>199.2</v>
      </c>
      <c r="AG9" s="1">
        <v>203.2</v>
      </c>
      <c r="AH9" s="1">
        <v>188.4</v>
      </c>
      <c r="AI9" s="1">
        <v>156.6</v>
      </c>
      <c r="AJ9" s="1">
        <v>144.6</v>
      </c>
      <c r="AK9" s="1">
        <v>164.2</v>
      </c>
      <c r="AL9" s="1">
        <v>172.6</v>
      </c>
      <c r="AM9" s="1">
        <v>146.6</v>
      </c>
      <c r="AN9" s="1" t="s">
        <v>42</v>
      </c>
      <c r="AO9" s="1">
        <f t="shared" si="14"/>
        <v>169</v>
      </c>
      <c r="AP9" s="1">
        <f t="shared" si="15"/>
        <v>0</v>
      </c>
      <c r="AQ9" s="1">
        <f t="shared" si="16"/>
        <v>0</v>
      </c>
      <c r="AR9" s="1">
        <f t="shared" si="17"/>
        <v>192</v>
      </c>
      <c r="AS9" s="1">
        <f t="shared" si="18"/>
        <v>0</v>
      </c>
      <c r="AT9" s="1">
        <f t="shared" si="19"/>
        <v>0</v>
      </c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x14ac:dyDescent="0.25">
      <c r="A10" s="1" t="s">
        <v>43</v>
      </c>
      <c r="B10" s="1" t="s">
        <v>41</v>
      </c>
      <c r="C10" s="1">
        <v>85</v>
      </c>
      <c r="D10" s="1">
        <v>3026.89</v>
      </c>
      <c r="E10" s="1">
        <v>1388</v>
      </c>
      <c r="F10" s="1">
        <v>1294</v>
      </c>
      <c r="G10" s="8">
        <v>0.45</v>
      </c>
      <c r="H10" s="1">
        <v>45</v>
      </c>
      <c r="I10" s="1" t="s">
        <v>37</v>
      </c>
      <c r="J10" s="1"/>
      <c r="K10" s="1">
        <v>1625</v>
      </c>
      <c r="L10" s="1">
        <f t="shared" si="6"/>
        <v>-237</v>
      </c>
      <c r="M10" s="1">
        <f t="shared" si="7"/>
        <v>1166</v>
      </c>
      <c r="N10" s="1">
        <v>222</v>
      </c>
      <c r="O10" s="1">
        <v>741.1439999999991</v>
      </c>
      <c r="P10" s="1">
        <v>700</v>
      </c>
      <c r="Q10" s="1">
        <f t="shared" si="8"/>
        <v>233.2</v>
      </c>
      <c r="R10" s="5">
        <f t="shared" si="20"/>
        <v>529.65600000000063</v>
      </c>
      <c r="S10" s="5">
        <f t="shared" si="21"/>
        <v>233.2</v>
      </c>
      <c r="T10" s="5">
        <f t="shared" si="9"/>
        <v>762.85600000000068</v>
      </c>
      <c r="U10" s="5">
        <f t="shared" si="10"/>
        <v>356.63518000000033</v>
      </c>
      <c r="V10" s="5"/>
      <c r="W10" s="5"/>
      <c r="X10" s="5">
        <f t="shared" si="11"/>
        <v>406.22082000000034</v>
      </c>
      <c r="Y10" s="5"/>
      <c r="Z10" s="5"/>
      <c r="AA10" s="5"/>
      <c r="AB10" s="1"/>
      <c r="AC10" s="1"/>
      <c r="AD10" s="1">
        <f t="shared" si="12"/>
        <v>15</v>
      </c>
      <c r="AE10" s="1">
        <f t="shared" si="13"/>
        <v>11.728747855917664</v>
      </c>
      <c r="AF10" s="1">
        <v>300</v>
      </c>
      <c r="AG10" s="1">
        <v>260.60000000000002</v>
      </c>
      <c r="AH10" s="1">
        <v>270.2</v>
      </c>
      <c r="AI10" s="1">
        <v>249.2</v>
      </c>
      <c r="AJ10" s="1">
        <v>219.4</v>
      </c>
      <c r="AK10" s="1">
        <v>240.4</v>
      </c>
      <c r="AL10" s="1">
        <v>272.39999999999998</v>
      </c>
      <c r="AM10" s="1">
        <v>258.2</v>
      </c>
      <c r="AN10" s="1" t="s">
        <v>42</v>
      </c>
      <c r="AO10" s="1">
        <f t="shared" si="14"/>
        <v>160</v>
      </c>
      <c r="AP10" s="1">
        <f t="shared" si="15"/>
        <v>0</v>
      </c>
      <c r="AQ10" s="1">
        <f t="shared" si="16"/>
        <v>0</v>
      </c>
      <c r="AR10" s="1">
        <f t="shared" si="17"/>
        <v>183</v>
      </c>
      <c r="AS10" s="1">
        <f t="shared" si="18"/>
        <v>0</v>
      </c>
      <c r="AT10" s="1">
        <f t="shared" si="19"/>
        <v>0</v>
      </c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x14ac:dyDescent="0.25">
      <c r="A11" s="1" t="s">
        <v>44</v>
      </c>
      <c r="B11" s="1" t="s">
        <v>41</v>
      </c>
      <c r="C11" s="1">
        <v>17</v>
      </c>
      <c r="D11" s="1">
        <v>165</v>
      </c>
      <c r="E11" s="1">
        <v>78</v>
      </c>
      <c r="F11" s="1">
        <v>80</v>
      </c>
      <c r="G11" s="8">
        <v>0.17</v>
      </c>
      <c r="H11" s="1">
        <v>180</v>
      </c>
      <c r="I11" s="1" t="s">
        <v>37</v>
      </c>
      <c r="J11" s="1"/>
      <c r="K11" s="1">
        <v>93</v>
      </c>
      <c r="L11" s="1">
        <f t="shared" si="6"/>
        <v>-15</v>
      </c>
      <c r="M11" s="1">
        <f t="shared" si="7"/>
        <v>63</v>
      </c>
      <c r="N11" s="1">
        <v>15</v>
      </c>
      <c r="O11" s="1">
        <v>73.504000000000005</v>
      </c>
      <c r="P11" s="1"/>
      <c r="Q11" s="1">
        <f t="shared" si="8"/>
        <v>12.6</v>
      </c>
      <c r="R11" s="5">
        <f t="shared" si="20"/>
        <v>22.896000000000001</v>
      </c>
      <c r="S11" s="5"/>
      <c r="T11" s="5">
        <f t="shared" si="9"/>
        <v>22.896000000000001</v>
      </c>
      <c r="U11" s="5">
        <f t="shared" si="10"/>
        <v>22.896000000000001</v>
      </c>
      <c r="V11" s="5"/>
      <c r="W11" s="5"/>
      <c r="X11" s="5"/>
      <c r="Y11" s="5"/>
      <c r="Z11" s="5"/>
      <c r="AA11" s="5"/>
      <c r="AB11" s="1"/>
      <c r="AC11" s="1"/>
      <c r="AD11" s="1">
        <f t="shared" si="12"/>
        <v>14.000000000000004</v>
      </c>
      <c r="AE11" s="1">
        <f t="shared" si="13"/>
        <v>12.182857142857145</v>
      </c>
      <c r="AF11" s="1">
        <v>15.8</v>
      </c>
      <c r="AG11" s="1">
        <v>14.6</v>
      </c>
      <c r="AH11" s="1">
        <v>8.4</v>
      </c>
      <c r="AI11" s="1">
        <v>13.8</v>
      </c>
      <c r="AJ11" s="1">
        <v>14.8</v>
      </c>
      <c r="AK11" s="1">
        <v>13.2</v>
      </c>
      <c r="AL11" s="1">
        <v>13.6</v>
      </c>
      <c r="AM11" s="1">
        <v>16</v>
      </c>
      <c r="AN11" s="1" t="s">
        <v>42</v>
      </c>
      <c r="AO11" s="1">
        <f t="shared" si="14"/>
        <v>4</v>
      </c>
      <c r="AP11" s="1">
        <f t="shared" si="15"/>
        <v>0</v>
      </c>
      <c r="AQ11" s="1">
        <f t="shared" si="16"/>
        <v>0</v>
      </c>
      <c r="AR11" s="1">
        <f t="shared" si="17"/>
        <v>0</v>
      </c>
      <c r="AS11" s="1">
        <f t="shared" si="18"/>
        <v>0</v>
      </c>
      <c r="AT11" s="1">
        <f t="shared" si="19"/>
        <v>0</v>
      </c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x14ac:dyDescent="0.25">
      <c r="A12" s="1" t="s">
        <v>45</v>
      </c>
      <c r="B12" s="1" t="s">
        <v>41</v>
      </c>
      <c r="C12" s="1">
        <v>59</v>
      </c>
      <c r="D12" s="1"/>
      <c r="E12" s="1">
        <v>19</v>
      </c>
      <c r="F12" s="1">
        <v>40</v>
      </c>
      <c r="G12" s="8">
        <v>0.3</v>
      </c>
      <c r="H12" s="1">
        <v>40</v>
      </c>
      <c r="I12" s="1" t="s">
        <v>37</v>
      </c>
      <c r="J12" s="1"/>
      <c r="K12" s="1">
        <v>19</v>
      </c>
      <c r="L12" s="1">
        <f t="shared" si="6"/>
        <v>0</v>
      </c>
      <c r="M12" s="1">
        <f t="shared" si="7"/>
        <v>19</v>
      </c>
      <c r="N12" s="1"/>
      <c r="O12" s="1">
        <v>0</v>
      </c>
      <c r="P12" s="1"/>
      <c r="Q12" s="1">
        <f t="shared" si="8"/>
        <v>3.8</v>
      </c>
      <c r="R12" s="5">
        <f t="shared" si="20"/>
        <v>13.199999999999996</v>
      </c>
      <c r="S12" s="5"/>
      <c r="T12" s="5">
        <f t="shared" si="9"/>
        <v>13.199999999999996</v>
      </c>
      <c r="U12" s="5">
        <f t="shared" si="10"/>
        <v>13.199999999999996</v>
      </c>
      <c r="V12" s="5"/>
      <c r="W12" s="5"/>
      <c r="X12" s="5"/>
      <c r="Y12" s="5"/>
      <c r="Z12" s="5"/>
      <c r="AA12" s="5"/>
      <c r="AB12" s="1"/>
      <c r="AC12" s="1"/>
      <c r="AD12" s="1">
        <f t="shared" si="12"/>
        <v>14</v>
      </c>
      <c r="AE12" s="1">
        <f t="shared" si="13"/>
        <v>10.526315789473685</v>
      </c>
      <c r="AF12" s="1">
        <v>4.4000000000000004</v>
      </c>
      <c r="AG12" s="1">
        <v>4</v>
      </c>
      <c r="AH12" s="1">
        <v>3</v>
      </c>
      <c r="AI12" s="1">
        <v>7.2</v>
      </c>
      <c r="AJ12" s="1">
        <v>5.6</v>
      </c>
      <c r="AK12" s="1">
        <v>2</v>
      </c>
      <c r="AL12" s="1">
        <v>1.4</v>
      </c>
      <c r="AM12" s="1">
        <v>3</v>
      </c>
      <c r="AN12" s="1"/>
      <c r="AO12" s="1">
        <f t="shared" si="14"/>
        <v>4</v>
      </c>
      <c r="AP12" s="1">
        <f t="shared" si="15"/>
        <v>0</v>
      </c>
      <c r="AQ12" s="1">
        <f t="shared" si="16"/>
        <v>0</v>
      </c>
      <c r="AR12" s="1">
        <f t="shared" si="17"/>
        <v>0</v>
      </c>
      <c r="AS12" s="1">
        <f t="shared" si="18"/>
        <v>0</v>
      </c>
      <c r="AT12" s="1">
        <f t="shared" si="19"/>
        <v>0</v>
      </c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 x14ac:dyDescent="0.25">
      <c r="A13" s="1" t="s">
        <v>46</v>
      </c>
      <c r="B13" s="1" t="s">
        <v>41</v>
      </c>
      <c r="C13" s="1">
        <v>132</v>
      </c>
      <c r="D13" s="1">
        <v>330</v>
      </c>
      <c r="E13" s="1">
        <v>277</v>
      </c>
      <c r="F13" s="1">
        <v>129</v>
      </c>
      <c r="G13" s="8">
        <v>0.17</v>
      </c>
      <c r="H13" s="1">
        <v>180</v>
      </c>
      <c r="I13" s="1" t="s">
        <v>37</v>
      </c>
      <c r="J13" s="1"/>
      <c r="K13" s="1">
        <v>322</v>
      </c>
      <c r="L13" s="1">
        <f t="shared" si="6"/>
        <v>-45</v>
      </c>
      <c r="M13" s="1">
        <f t="shared" si="7"/>
        <v>232</v>
      </c>
      <c r="N13" s="1">
        <v>45</v>
      </c>
      <c r="O13" s="1">
        <v>0</v>
      </c>
      <c r="P13" s="1"/>
      <c r="Q13" s="1">
        <f t="shared" si="8"/>
        <v>46.4</v>
      </c>
      <c r="R13" s="5">
        <f>11*Q13-P13-O13-F13</f>
        <v>381.4</v>
      </c>
      <c r="S13" s="5">
        <f t="shared" ref="S13:S17" si="22">$S$1*Q13</f>
        <v>46.4</v>
      </c>
      <c r="T13" s="5">
        <f t="shared" si="9"/>
        <v>427.79999999999995</v>
      </c>
      <c r="U13" s="5">
        <f t="shared" si="10"/>
        <v>199.9965</v>
      </c>
      <c r="V13" s="5"/>
      <c r="W13" s="5"/>
      <c r="X13" s="5">
        <f>$X$1*(T13-W13)-Y13-Z13</f>
        <v>227.80349999999996</v>
      </c>
      <c r="Y13" s="5"/>
      <c r="Z13" s="5"/>
      <c r="AA13" s="5"/>
      <c r="AB13" s="1"/>
      <c r="AC13" s="1"/>
      <c r="AD13" s="1">
        <f t="shared" si="12"/>
        <v>12</v>
      </c>
      <c r="AE13" s="1">
        <f t="shared" si="13"/>
        <v>2.7801724137931036</v>
      </c>
      <c r="AF13" s="1">
        <v>29.2</v>
      </c>
      <c r="AG13" s="1">
        <v>41.4</v>
      </c>
      <c r="AH13" s="1">
        <v>37</v>
      </c>
      <c r="AI13" s="1">
        <v>39.6</v>
      </c>
      <c r="AJ13" s="1">
        <v>23</v>
      </c>
      <c r="AK13" s="1">
        <v>24.8</v>
      </c>
      <c r="AL13" s="1">
        <v>33.799999999999997</v>
      </c>
      <c r="AM13" s="1">
        <v>26.2</v>
      </c>
      <c r="AN13" s="1"/>
      <c r="AO13" s="1">
        <f t="shared" si="14"/>
        <v>34</v>
      </c>
      <c r="AP13" s="1">
        <f t="shared" si="15"/>
        <v>0</v>
      </c>
      <c r="AQ13" s="1">
        <f t="shared" si="16"/>
        <v>0</v>
      </c>
      <c r="AR13" s="1">
        <f t="shared" si="17"/>
        <v>39</v>
      </c>
      <c r="AS13" s="1">
        <f t="shared" si="18"/>
        <v>0</v>
      </c>
      <c r="AT13" s="1">
        <f t="shared" si="19"/>
        <v>0</v>
      </c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 x14ac:dyDescent="0.25">
      <c r="A14" s="1" t="s">
        <v>47</v>
      </c>
      <c r="B14" s="1" t="s">
        <v>36</v>
      </c>
      <c r="C14" s="1">
        <v>3831.3009999999999</v>
      </c>
      <c r="D14" s="1">
        <v>3561.76</v>
      </c>
      <c r="E14" s="1">
        <v>2011.1990000000001</v>
      </c>
      <c r="F14" s="1">
        <v>2018.954</v>
      </c>
      <c r="G14" s="8">
        <v>1</v>
      </c>
      <c r="H14" s="1">
        <v>55</v>
      </c>
      <c r="I14" s="1" t="s">
        <v>37</v>
      </c>
      <c r="J14" s="1"/>
      <c r="K14" s="1">
        <v>2075.1610000000001</v>
      </c>
      <c r="L14" s="1">
        <f t="shared" si="6"/>
        <v>-63.961999999999989</v>
      </c>
      <c r="M14" s="1">
        <f t="shared" si="7"/>
        <v>2011.1990000000001</v>
      </c>
      <c r="N14" s="1"/>
      <c r="O14" s="1">
        <v>431.2199899999996</v>
      </c>
      <c r="P14" s="1">
        <v>450</v>
      </c>
      <c r="Q14" s="1">
        <f t="shared" si="8"/>
        <v>402.2398</v>
      </c>
      <c r="R14" s="5">
        <f t="shared" si="20"/>
        <v>2731.1832100000011</v>
      </c>
      <c r="S14" s="5">
        <f t="shared" si="22"/>
        <v>402.2398</v>
      </c>
      <c r="T14" s="5">
        <f t="shared" si="9"/>
        <v>3133.4230100000009</v>
      </c>
      <c r="U14" s="5">
        <f t="shared" si="10"/>
        <v>431.12525717500057</v>
      </c>
      <c r="V14" s="5">
        <v>800</v>
      </c>
      <c r="W14" s="5">
        <v>500</v>
      </c>
      <c r="X14" s="5">
        <f>$X$1*(T14-W14)-Y14-Z14</f>
        <v>602.29775282500032</v>
      </c>
      <c r="Y14" s="5">
        <v>800</v>
      </c>
      <c r="Z14" s="5"/>
      <c r="AA14" s="5"/>
      <c r="AB14" s="1"/>
      <c r="AC14" s="1"/>
      <c r="AD14" s="1">
        <f t="shared" si="12"/>
        <v>15</v>
      </c>
      <c r="AE14" s="1">
        <f t="shared" si="13"/>
        <v>7.2100622315345211</v>
      </c>
      <c r="AF14" s="1">
        <v>358.09359999999998</v>
      </c>
      <c r="AG14" s="1">
        <v>345.32100000000003</v>
      </c>
      <c r="AH14" s="1">
        <v>333.00639999999999</v>
      </c>
      <c r="AI14" s="1">
        <v>394.661</v>
      </c>
      <c r="AJ14" s="1">
        <v>323.76679999999999</v>
      </c>
      <c r="AK14" s="1">
        <v>244.8562</v>
      </c>
      <c r="AL14" s="1">
        <v>340.5652</v>
      </c>
      <c r="AM14" s="1">
        <v>343.31139999999999</v>
      </c>
      <c r="AN14" s="1" t="s">
        <v>140</v>
      </c>
      <c r="AO14" s="1">
        <f t="shared" si="14"/>
        <v>431</v>
      </c>
      <c r="AP14" s="1">
        <f t="shared" si="15"/>
        <v>800</v>
      </c>
      <c r="AQ14" s="1">
        <f t="shared" si="16"/>
        <v>500</v>
      </c>
      <c r="AR14" s="1">
        <f t="shared" si="17"/>
        <v>602</v>
      </c>
      <c r="AS14" s="1">
        <f t="shared" si="18"/>
        <v>800</v>
      </c>
      <c r="AT14" s="1">
        <f t="shared" si="19"/>
        <v>0</v>
      </c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 x14ac:dyDescent="0.25">
      <c r="A15" s="1" t="s">
        <v>48</v>
      </c>
      <c r="B15" s="1" t="s">
        <v>36</v>
      </c>
      <c r="C15" s="1">
        <v>3687.3829999999998</v>
      </c>
      <c r="D15" s="1">
        <v>4001.0169999999998</v>
      </c>
      <c r="E15" s="1">
        <v>2268.7060000000001</v>
      </c>
      <c r="F15" s="1">
        <v>2416.1129999999998</v>
      </c>
      <c r="G15" s="8">
        <v>1</v>
      </c>
      <c r="H15" s="1">
        <v>50</v>
      </c>
      <c r="I15" s="1" t="s">
        <v>37</v>
      </c>
      <c r="J15" s="1"/>
      <c r="K15" s="1">
        <v>2648.01</v>
      </c>
      <c r="L15" s="1">
        <f t="shared" si="6"/>
        <v>-379.30400000000009</v>
      </c>
      <c r="M15" s="1">
        <f t="shared" si="7"/>
        <v>2268.7060000000001</v>
      </c>
      <c r="N15" s="1"/>
      <c r="O15" s="1">
        <v>319.36940399999997</v>
      </c>
      <c r="P15" s="1">
        <v>300</v>
      </c>
      <c r="Q15" s="1">
        <f t="shared" si="8"/>
        <v>453.74120000000005</v>
      </c>
      <c r="R15" s="5">
        <f t="shared" si="20"/>
        <v>3316.8943960000011</v>
      </c>
      <c r="S15" s="5">
        <f t="shared" si="22"/>
        <v>453.74120000000005</v>
      </c>
      <c r="T15" s="5">
        <f t="shared" si="9"/>
        <v>3770.635596000001</v>
      </c>
      <c r="U15" s="5">
        <f t="shared" si="10"/>
        <v>529.02214113000059</v>
      </c>
      <c r="V15" s="5">
        <v>1000</v>
      </c>
      <c r="W15" s="5">
        <v>500</v>
      </c>
      <c r="X15" s="5">
        <f t="shared" ref="X15:X17" si="23">$X$1*(T15-W15)-Y15-Z15</f>
        <v>741.6134548700004</v>
      </c>
      <c r="Y15" s="5">
        <v>1000</v>
      </c>
      <c r="Z15" s="5"/>
      <c r="AA15" s="5"/>
      <c r="AB15" s="1"/>
      <c r="AC15" s="1"/>
      <c r="AD15" s="1">
        <f t="shared" si="12"/>
        <v>15</v>
      </c>
      <c r="AE15" s="1">
        <f t="shared" si="13"/>
        <v>6.6898981269498989</v>
      </c>
      <c r="AF15" s="1">
        <v>386.56920000000002</v>
      </c>
      <c r="AG15" s="1">
        <v>388.9726</v>
      </c>
      <c r="AH15" s="1">
        <v>395.18700000000001</v>
      </c>
      <c r="AI15" s="1">
        <v>398.24360000000001</v>
      </c>
      <c r="AJ15" s="1">
        <v>378.39319999999998</v>
      </c>
      <c r="AK15" s="1">
        <v>325.65100000000001</v>
      </c>
      <c r="AL15" s="1">
        <v>355.86079999999998</v>
      </c>
      <c r="AM15" s="1">
        <v>327.43279999999999</v>
      </c>
      <c r="AN15" s="1" t="s">
        <v>140</v>
      </c>
      <c r="AO15" s="1">
        <f t="shared" si="14"/>
        <v>529</v>
      </c>
      <c r="AP15" s="1">
        <f t="shared" si="15"/>
        <v>1000</v>
      </c>
      <c r="AQ15" s="1">
        <f t="shared" si="16"/>
        <v>500</v>
      </c>
      <c r="AR15" s="1">
        <f t="shared" si="17"/>
        <v>742</v>
      </c>
      <c r="AS15" s="1">
        <f t="shared" si="18"/>
        <v>1000</v>
      </c>
      <c r="AT15" s="1">
        <f t="shared" si="19"/>
        <v>0</v>
      </c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 x14ac:dyDescent="0.25">
      <c r="A16" s="1" t="s">
        <v>49</v>
      </c>
      <c r="B16" s="1" t="s">
        <v>36</v>
      </c>
      <c r="C16" s="1">
        <v>261.87700000000001</v>
      </c>
      <c r="D16" s="1">
        <v>400.31200000000001</v>
      </c>
      <c r="E16" s="1">
        <v>265.68400000000003</v>
      </c>
      <c r="F16" s="1">
        <v>196.92099999999999</v>
      </c>
      <c r="G16" s="8">
        <v>1</v>
      </c>
      <c r="H16" s="1">
        <v>60</v>
      </c>
      <c r="I16" s="1" t="s">
        <v>37</v>
      </c>
      <c r="J16" s="1"/>
      <c r="K16" s="1">
        <v>275.01600000000002</v>
      </c>
      <c r="L16" s="1">
        <f t="shared" si="6"/>
        <v>-9.3319999999999936</v>
      </c>
      <c r="M16" s="1">
        <f t="shared" si="7"/>
        <v>242.91800000000003</v>
      </c>
      <c r="N16" s="1">
        <v>22.765999999999998</v>
      </c>
      <c r="O16" s="1">
        <v>80.090138000000053</v>
      </c>
      <c r="P16" s="1"/>
      <c r="Q16" s="1">
        <f t="shared" si="8"/>
        <v>48.583600000000004</v>
      </c>
      <c r="R16" s="5">
        <f t="shared" si="20"/>
        <v>403.15926200000007</v>
      </c>
      <c r="S16" s="5">
        <f t="shared" si="22"/>
        <v>48.583600000000004</v>
      </c>
      <c r="T16" s="5">
        <f t="shared" si="9"/>
        <v>451.74286200000006</v>
      </c>
      <c r="U16" s="5">
        <f t="shared" si="10"/>
        <v>211.18978798500004</v>
      </c>
      <c r="V16" s="5"/>
      <c r="W16" s="5"/>
      <c r="X16" s="5">
        <f t="shared" si="23"/>
        <v>240.55307401500002</v>
      </c>
      <c r="Y16" s="5"/>
      <c r="Z16" s="5"/>
      <c r="AA16" s="5"/>
      <c r="AB16" s="1"/>
      <c r="AC16" s="1"/>
      <c r="AD16" s="1">
        <f t="shared" si="12"/>
        <v>15.000000000000002</v>
      </c>
      <c r="AE16" s="1">
        <f t="shared" si="13"/>
        <v>5.701741698844879</v>
      </c>
      <c r="AF16" s="1">
        <v>39.573</v>
      </c>
      <c r="AG16" s="1">
        <v>39.678199999999997</v>
      </c>
      <c r="AH16" s="1">
        <v>30.9574</v>
      </c>
      <c r="AI16" s="1">
        <v>35.621400000000001</v>
      </c>
      <c r="AJ16" s="1">
        <v>30.276199999999999</v>
      </c>
      <c r="AK16" s="1">
        <v>27.043199999999999</v>
      </c>
      <c r="AL16" s="1">
        <v>37.480800000000002</v>
      </c>
      <c r="AM16" s="1">
        <v>35.740400000000001</v>
      </c>
      <c r="AN16" s="1"/>
      <c r="AO16" s="1">
        <f t="shared" si="14"/>
        <v>211</v>
      </c>
      <c r="AP16" s="1">
        <f t="shared" si="15"/>
        <v>0</v>
      </c>
      <c r="AQ16" s="1">
        <f t="shared" si="16"/>
        <v>0</v>
      </c>
      <c r="AR16" s="1">
        <f t="shared" si="17"/>
        <v>241</v>
      </c>
      <c r="AS16" s="1">
        <f t="shared" si="18"/>
        <v>0</v>
      </c>
      <c r="AT16" s="1">
        <f t="shared" si="19"/>
        <v>0</v>
      </c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 x14ac:dyDescent="0.25">
      <c r="A17" s="1" t="s">
        <v>50</v>
      </c>
      <c r="B17" s="1" t="s">
        <v>36</v>
      </c>
      <c r="C17" s="1">
        <v>1244.992</v>
      </c>
      <c r="D17" s="1">
        <v>2230.6109999999999</v>
      </c>
      <c r="E17" s="1">
        <v>1105.675</v>
      </c>
      <c r="F17" s="1">
        <v>1691.2840000000001</v>
      </c>
      <c r="G17" s="8">
        <v>1</v>
      </c>
      <c r="H17" s="1">
        <v>60</v>
      </c>
      <c r="I17" s="1" t="s">
        <v>37</v>
      </c>
      <c r="J17" s="1"/>
      <c r="K17" s="1">
        <v>1250.6780000000001</v>
      </c>
      <c r="L17" s="1">
        <f t="shared" si="6"/>
        <v>-145.00300000000016</v>
      </c>
      <c r="M17" s="1">
        <f t="shared" si="7"/>
        <v>1105.675</v>
      </c>
      <c r="N17" s="1"/>
      <c r="O17" s="1">
        <v>0</v>
      </c>
      <c r="P17" s="1"/>
      <c r="Q17" s="1">
        <f t="shared" si="8"/>
        <v>221.13499999999999</v>
      </c>
      <c r="R17" s="5">
        <f t="shared" si="20"/>
        <v>1404.6059999999998</v>
      </c>
      <c r="S17" s="5">
        <f t="shared" si="22"/>
        <v>221.13499999999999</v>
      </c>
      <c r="T17" s="5">
        <f t="shared" si="9"/>
        <v>1625.7409999999998</v>
      </c>
      <c r="U17" s="5">
        <f t="shared" si="10"/>
        <v>300.03391749999992</v>
      </c>
      <c r="V17" s="5">
        <v>460</v>
      </c>
      <c r="W17" s="5"/>
      <c r="X17" s="5">
        <f t="shared" si="23"/>
        <v>865.70708249999984</v>
      </c>
      <c r="Y17" s="5"/>
      <c r="Z17" s="5"/>
      <c r="AA17" s="5"/>
      <c r="AB17" s="1"/>
      <c r="AC17" s="1"/>
      <c r="AD17" s="1">
        <f t="shared" si="12"/>
        <v>14.999999999999998</v>
      </c>
      <c r="AE17" s="1">
        <f t="shared" si="13"/>
        <v>7.6481968028579832</v>
      </c>
      <c r="AF17" s="1">
        <v>136.88759999999999</v>
      </c>
      <c r="AG17" s="1">
        <v>149.70660000000001</v>
      </c>
      <c r="AH17" s="1">
        <v>254.6002</v>
      </c>
      <c r="AI17" s="1">
        <v>220.2482</v>
      </c>
      <c r="AJ17" s="1">
        <v>120.8116</v>
      </c>
      <c r="AK17" s="1">
        <v>94.181799999999996</v>
      </c>
      <c r="AL17" s="1">
        <v>120.8854</v>
      </c>
      <c r="AM17" s="1">
        <v>123.5022</v>
      </c>
      <c r="AN17" s="1"/>
      <c r="AO17" s="1">
        <f t="shared" si="14"/>
        <v>300</v>
      </c>
      <c r="AP17" s="1">
        <f t="shared" si="15"/>
        <v>460</v>
      </c>
      <c r="AQ17" s="1">
        <f t="shared" si="16"/>
        <v>0</v>
      </c>
      <c r="AR17" s="1">
        <f t="shared" si="17"/>
        <v>866</v>
      </c>
      <c r="AS17" s="1">
        <f t="shared" si="18"/>
        <v>0</v>
      </c>
      <c r="AT17" s="1">
        <f t="shared" si="19"/>
        <v>0</v>
      </c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x14ac:dyDescent="0.25">
      <c r="A18" s="17" t="s">
        <v>51</v>
      </c>
      <c r="B18" s="17" t="s">
        <v>36</v>
      </c>
      <c r="C18" s="17"/>
      <c r="D18" s="17"/>
      <c r="E18" s="17"/>
      <c r="F18" s="17"/>
      <c r="G18" s="18">
        <v>0</v>
      </c>
      <c r="H18" s="17">
        <v>60</v>
      </c>
      <c r="I18" s="17" t="s">
        <v>37</v>
      </c>
      <c r="J18" s="17"/>
      <c r="K18" s="17">
        <v>15</v>
      </c>
      <c r="L18" s="17">
        <f t="shared" si="6"/>
        <v>-15</v>
      </c>
      <c r="M18" s="17">
        <f t="shared" si="7"/>
        <v>0</v>
      </c>
      <c r="N18" s="17"/>
      <c r="O18" s="17">
        <v>0</v>
      </c>
      <c r="P18" s="17"/>
      <c r="Q18" s="17">
        <f t="shared" si="8"/>
        <v>0</v>
      </c>
      <c r="R18" s="19"/>
      <c r="S18" s="19"/>
      <c r="T18" s="5">
        <f t="shared" si="9"/>
        <v>0</v>
      </c>
      <c r="U18" s="5">
        <f t="shared" si="10"/>
        <v>0</v>
      </c>
      <c r="V18" s="5"/>
      <c r="W18" s="5"/>
      <c r="X18" s="5"/>
      <c r="Y18" s="5"/>
      <c r="Z18" s="5"/>
      <c r="AA18" s="19"/>
      <c r="AB18" s="17"/>
      <c r="AC18" s="17"/>
      <c r="AD18" s="1" t="e">
        <f t="shared" si="12"/>
        <v>#DIV/0!</v>
      </c>
      <c r="AE18" s="17" t="e">
        <f t="shared" si="13"/>
        <v>#DIV/0!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 t="s">
        <v>52</v>
      </c>
      <c r="AO18" s="1">
        <f t="shared" si="14"/>
        <v>0</v>
      </c>
      <c r="AP18" s="1">
        <f t="shared" si="15"/>
        <v>0</v>
      </c>
      <c r="AQ18" s="1">
        <f t="shared" si="16"/>
        <v>0</v>
      </c>
      <c r="AR18" s="1">
        <f t="shared" si="17"/>
        <v>0</v>
      </c>
      <c r="AS18" s="1">
        <f t="shared" si="18"/>
        <v>0</v>
      </c>
      <c r="AT18" s="1">
        <f t="shared" si="19"/>
        <v>0</v>
      </c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spans="1:56" x14ac:dyDescent="0.25">
      <c r="A19" s="1" t="s">
        <v>53</v>
      </c>
      <c r="B19" s="1" t="s">
        <v>36</v>
      </c>
      <c r="C19" s="1">
        <v>11.031000000000001</v>
      </c>
      <c r="D19" s="1">
        <v>8.0000000000000002E-3</v>
      </c>
      <c r="E19" s="1">
        <v>6.2869999999999999</v>
      </c>
      <c r="F19" s="1">
        <v>4.7519999999999998</v>
      </c>
      <c r="G19" s="8">
        <v>1</v>
      </c>
      <c r="H19" s="1">
        <v>180</v>
      </c>
      <c r="I19" s="1" t="s">
        <v>37</v>
      </c>
      <c r="J19" s="1"/>
      <c r="K19" s="1">
        <v>5.37</v>
      </c>
      <c r="L19" s="1">
        <f t="shared" si="6"/>
        <v>0.91699999999999982</v>
      </c>
      <c r="M19" s="1">
        <f t="shared" si="7"/>
        <v>6.2869999999999999</v>
      </c>
      <c r="N19" s="1"/>
      <c r="O19" s="1">
        <v>0</v>
      </c>
      <c r="P19" s="1"/>
      <c r="Q19" s="1">
        <f t="shared" si="8"/>
        <v>1.2574000000000001</v>
      </c>
      <c r="R19" s="5">
        <f>12*Q19-P19-O19-F19</f>
        <v>10.3368</v>
      </c>
      <c r="S19" s="5"/>
      <c r="T19" s="5">
        <f t="shared" si="9"/>
        <v>10.3368</v>
      </c>
      <c r="U19" s="5">
        <f t="shared" si="10"/>
        <v>10.3368</v>
      </c>
      <c r="V19" s="5"/>
      <c r="W19" s="5"/>
      <c r="X19" s="5"/>
      <c r="Y19" s="5"/>
      <c r="Z19" s="5"/>
      <c r="AA19" s="5"/>
      <c r="AB19" s="1"/>
      <c r="AC19" s="1"/>
      <c r="AD19" s="1">
        <f t="shared" si="12"/>
        <v>11.999999999999998</v>
      </c>
      <c r="AE19" s="1">
        <f t="shared" si="13"/>
        <v>3.7792269763003019</v>
      </c>
      <c r="AF19" s="1">
        <v>0.877</v>
      </c>
      <c r="AG19" s="1">
        <v>0.71840000000000004</v>
      </c>
      <c r="AH19" s="1">
        <v>0.39600000000000002</v>
      </c>
      <c r="AI19" s="1">
        <v>0.7994</v>
      </c>
      <c r="AJ19" s="1">
        <v>0.95459999999999989</v>
      </c>
      <c r="AK19" s="1">
        <v>0.47639999999999999</v>
      </c>
      <c r="AL19" s="1">
        <v>0.63159999999999994</v>
      </c>
      <c r="AM19" s="1">
        <v>0.62739999999999996</v>
      </c>
      <c r="AN19" s="1"/>
      <c r="AO19" s="1">
        <f t="shared" si="14"/>
        <v>10</v>
      </c>
      <c r="AP19" s="1">
        <f t="shared" si="15"/>
        <v>0</v>
      </c>
      <c r="AQ19" s="1">
        <f t="shared" si="16"/>
        <v>0</v>
      </c>
      <c r="AR19" s="1">
        <f t="shared" si="17"/>
        <v>0</v>
      </c>
      <c r="AS19" s="1">
        <f t="shared" si="18"/>
        <v>0</v>
      </c>
      <c r="AT19" s="1">
        <f t="shared" si="19"/>
        <v>0</v>
      </c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x14ac:dyDescent="0.25">
      <c r="A20" s="1" t="s">
        <v>54</v>
      </c>
      <c r="B20" s="1" t="s">
        <v>36</v>
      </c>
      <c r="C20" s="1">
        <v>4499.4549999999999</v>
      </c>
      <c r="D20" s="1">
        <v>5092.0190000000002</v>
      </c>
      <c r="E20" s="1">
        <v>3473.3159999999998</v>
      </c>
      <c r="F20" s="1">
        <v>1954.2919999999999</v>
      </c>
      <c r="G20" s="8">
        <v>1</v>
      </c>
      <c r="H20" s="1">
        <v>60</v>
      </c>
      <c r="I20" s="1" t="s">
        <v>37</v>
      </c>
      <c r="J20" s="1"/>
      <c r="K20" s="1">
        <v>3841.77</v>
      </c>
      <c r="L20" s="1">
        <f t="shared" si="6"/>
        <v>-368.45400000000018</v>
      </c>
      <c r="M20" s="1">
        <f t="shared" si="7"/>
        <v>3096.2860000000001</v>
      </c>
      <c r="N20" s="1">
        <v>377.03</v>
      </c>
      <c r="O20" s="1">
        <v>807.61582799999906</v>
      </c>
      <c r="P20" s="1">
        <v>700</v>
      </c>
      <c r="Q20" s="1">
        <f t="shared" si="8"/>
        <v>619.25720000000001</v>
      </c>
      <c r="R20" s="5">
        <f t="shared" ref="R20:R24" si="24">14*Q20-P20-O20-F20</f>
        <v>5207.6929720000007</v>
      </c>
      <c r="S20" s="5">
        <f t="shared" ref="S20:S22" si="25">$S$1*Q20</f>
        <v>619.25720000000001</v>
      </c>
      <c r="T20" s="5">
        <f t="shared" si="9"/>
        <v>5826.9501720000007</v>
      </c>
      <c r="U20" s="5">
        <f t="shared" si="10"/>
        <v>1056.5992054100006</v>
      </c>
      <c r="V20" s="5">
        <v>1200</v>
      </c>
      <c r="W20" s="5">
        <v>1000</v>
      </c>
      <c r="X20" s="5">
        <f t="shared" ref="X20:X22" si="26">$X$1*(T20-W20)-Y20-Z20</f>
        <v>570.3509665900001</v>
      </c>
      <c r="Y20" s="5">
        <v>800</v>
      </c>
      <c r="Z20" s="5">
        <v>1200</v>
      </c>
      <c r="AA20" s="5"/>
      <c r="AB20" s="1"/>
      <c r="AC20" s="1"/>
      <c r="AD20" s="1">
        <f t="shared" si="12"/>
        <v>15</v>
      </c>
      <c r="AE20" s="1">
        <f t="shared" si="13"/>
        <v>5.5904199870425391</v>
      </c>
      <c r="AF20" s="1">
        <v>510.13720000000001</v>
      </c>
      <c r="AG20" s="1">
        <v>478.51620000000003</v>
      </c>
      <c r="AH20" s="1">
        <v>470.24</v>
      </c>
      <c r="AI20" s="1">
        <v>507.13479999999998</v>
      </c>
      <c r="AJ20" s="1">
        <v>444.26359999999988</v>
      </c>
      <c r="AK20" s="1">
        <v>462.14479999999998</v>
      </c>
      <c r="AL20" s="1">
        <v>598.63080000000002</v>
      </c>
      <c r="AM20" s="1">
        <v>533.14740000000006</v>
      </c>
      <c r="AN20" s="1" t="s">
        <v>140</v>
      </c>
      <c r="AO20" s="1">
        <f t="shared" si="14"/>
        <v>1057</v>
      </c>
      <c r="AP20" s="1">
        <f t="shared" si="15"/>
        <v>1200</v>
      </c>
      <c r="AQ20" s="1">
        <f t="shared" si="16"/>
        <v>1000</v>
      </c>
      <c r="AR20" s="1">
        <f t="shared" si="17"/>
        <v>570</v>
      </c>
      <c r="AS20" s="1">
        <f t="shared" si="18"/>
        <v>800</v>
      </c>
      <c r="AT20" s="1">
        <f t="shared" si="19"/>
        <v>1200</v>
      </c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x14ac:dyDescent="0.25">
      <c r="A21" s="1" t="s">
        <v>55</v>
      </c>
      <c r="B21" s="1" t="s">
        <v>36</v>
      </c>
      <c r="C21" s="1">
        <v>628.101</v>
      </c>
      <c r="D21" s="1">
        <v>758.096</v>
      </c>
      <c r="E21" s="1">
        <v>545.00099999999998</v>
      </c>
      <c r="F21" s="1">
        <v>130.113</v>
      </c>
      <c r="G21" s="8">
        <v>1</v>
      </c>
      <c r="H21" s="1">
        <v>60</v>
      </c>
      <c r="I21" s="1" t="s">
        <v>37</v>
      </c>
      <c r="J21" s="1"/>
      <c r="K21" s="1">
        <v>657.74</v>
      </c>
      <c r="L21" s="1">
        <f t="shared" si="6"/>
        <v>-112.73900000000003</v>
      </c>
      <c r="M21" s="1">
        <f t="shared" si="7"/>
        <v>405.88099999999997</v>
      </c>
      <c r="N21" s="1">
        <v>139.12</v>
      </c>
      <c r="O21" s="1">
        <v>249.95199999999991</v>
      </c>
      <c r="P21" s="1"/>
      <c r="Q21" s="1">
        <f t="shared" si="8"/>
        <v>81.176199999999994</v>
      </c>
      <c r="R21" s="5">
        <f>13*Q21-P21-O21-F21</f>
        <v>675.22559999999999</v>
      </c>
      <c r="S21" s="5">
        <f t="shared" si="25"/>
        <v>81.176199999999994</v>
      </c>
      <c r="T21" s="5">
        <f t="shared" si="9"/>
        <v>756.40179999999998</v>
      </c>
      <c r="U21" s="5">
        <f t="shared" si="10"/>
        <v>353.6178415</v>
      </c>
      <c r="V21" s="5"/>
      <c r="W21" s="5"/>
      <c r="X21" s="5">
        <f t="shared" si="26"/>
        <v>402.78395849999998</v>
      </c>
      <c r="Y21" s="5"/>
      <c r="Z21" s="5"/>
      <c r="AA21" s="5"/>
      <c r="AB21" s="1"/>
      <c r="AC21" s="1"/>
      <c r="AD21" s="1">
        <f t="shared" si="12"/>
        <v>14</v>
      </c>
      <c r="AE21" s="1">
        <f t="shared" si="13"/>
        <v>4.6819757515133746</v>
      </c>
      <c r="AF21" s="1">
        <v>74.248999999999995</v>
      </c>
      <c r="AG21" s="1">
        <v>67.222000000000008</v>
      </c>
      <c r="AH21" s="1">
        <v>71.748000000000005</v>
      </c>
      <c r="AI21" s="1">
        <v>81.498799999999989</v>
      </c>
      <c r="AJ21" s="1">
        <v>75.505799999999994</v>
      </c>
      <c r="AK21" s="1">
        <v>81.349599999999995</v>
      </c>
      <c r="AL21" s="1">
        <v>107.3248</v>
      </c>
      <c r="AM21" s="1">
        <v>103.1934</v>
      </c>
      <c r="AN21" s="1"/>
      <c r="AO21" s="1">
        <f t="shared" si="14"/>
        <v>354</v>
      </c>
      <c r="AP21" s="1">
        <f t="shared" si="15"/>
        <v>0</v>
      </c>
      <c r="AQ21" s="1">
        <f t="shared" si="16"/>
        <v>0</v>
      </c>
      <c r="AR21" s="1">
        <f t="shared" si="17"/>
        <v>403</v>
      </c>
      <c r="AS21" s="1">
        <f t="shared" si="18"/>
        <v>0</v>
      </c>
      <c r="AT21" s="1">
        <f t="shared" si="19"/>
        <v>0</v>
      </c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 x14ac:dyDescent="0.25">
      <c r="A22" s="1" t="s">
        <v>56</v>
      </c>
      <c r="B22" s="1" t="s">
        <v>36</v>
      </c>
      <c r="C22" s="1">
        <v>1214.1890000000001</v>
      </c>
      <c r="D22" s="1">
        <v>1273.116</v>
      </c>
      <c r="E22" s="1">
        <v>675.14200000000005</v>
      </c>
      <c r="F22" s="1">
        <v>626.06100000000004</v>
      </c>
      <c r="G22" s="8">
        <v>1</v>
      </c>
      <c r="H22" s="1">
        <v>60</v>
      </c>
      <c r="I22" s="1" t="s">
        <v>37</v>
      </c>
      <c r="J22" s="1"/>
      <c r="K22" s="1">
        <v>808.74300000000005</v>
      </c>
      <c r="L22" s="1">
        <f t="shared" si="6"/>
        <v>-133.601</v>
      </c>
      <c r="M22" s="1">
        <f t="shared" si="7"/>
        <v>622.44900000000007</v>
      </c>
      <c r="N22" s="1">
        <v>52.692999999999998</v>
      </c>
      <c r="O22" s="1">
        <v>144.22455800000009</v>
      </c>
      <c r="P22" s="1"/>
      <c r="Q22" s="1">
        <f t="shared" si="8"/>
        <v>124.48980000000002</v>
      </c>
      <c r="R22" s="5">
        <f t="shared" si="24"/>
        <v>972.571642</v>
      </c>
      <c r="S22" s="5">
        <f t="shared" si="25"/>
        <v>124.48980000000002</v>
      </c>
      <c r="T22" s="5">
        <f t="shared" si="9"/>
        <v>1097.0614419999999</v>
      </c>
      <c r="U22" s="5">
        <f t="shared" si="10"/>
        <v>212.87622413500003</v>
      </c>
      <c r="V22" s="5">
        <v>300</v>
      </c>
      <c r="W22" s="5"/>
      <c r="X22" s="5">
        <f t="shared" si="26"/>
        <v>324.18521786499991</v>
      </c>
      <c r="Y22" s="5">
        <v>260</v>
      </c>
      <c r="Z22" s="5"/>
      <c r="AA22" s="5"/>
      <c r="AB22" s="1"/>
      <c r="AC22" s="1"/>
      <c r="AD22" s="1">
        <f t="shared" si="12"/>
        <v>15</v>
      </c>
      <c r="AE22" s="1">
        <f t="shared" si="13"/>
        <v>6.1875395253265735</v>
      </c>
      <c r="AF22" s="1">
        <v>104.41800000000001</v>
      </c>
      <c r="AG22" s="1">
        <v>112.0742</v>
      </c>
      <c r="AH22" s="1">
        <v>117.4408</v>
      </c>
      <c r="AI22" s="1">
        <v>123.801</v>
      </c>
      <c r="AJ22" s="1">
        <v>113.193</v>
      </c>
      <c r="AK22" s="1">
        <v>102.5826</v>
      </c>
      <c r="AL22" s="1">
        <v>127.6872</v>
      </c>
      <c r="AM22" s="1">
        <v>124.87260000000001</v>
      </c>
      <c r="AN22" s="1"/>
      <c r="AO22" s="1">
        <f t="shared" si="14"/>
        <v>213</v>
      </c>
      <c r="AP22" s="1">
        <f t="shared" si="15"/>
        <v>300</v>
      </c>
      <c r="AQ22" s="1">
        <f t="shared" si="16"/>
        <v>0</v>
      </c>
      <c r="AR22" s="1">
        <f t="shared" si="17"/>
        <v>324</v>
      </c>
      <c r="AS22" s="1">
        <f t="shared" si="18"/>
        <v>260</v>
      </c>
      <c r="AT22" s="1">
        <f t="shared" si="19"/>
        <v>0</v>
      </c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 x14ac:dyDescent="0.25">
      <c r="A23" s="1" t="s">
        <v>57</v>
      </c>
      <c r="B23" s="1" t="s">
        <v>36</v>
      </c>
      <c r="C23" s="1">
        <v>15.497</v>
      </c>
      <c r="D23" s="1">
        <v>6.5759999999999996</v>
      </c>
      <c r="E23" s="1">
        <v>8.6359999999999992</v>
      </c>
      <c r="F23" s="1">
        <v>12.478999999999999</v>
      </c>
      <c r="G23" s="8">
        <v>1</v>
      </c>
      <c r="H23" s="1">
        <v>180</v>
      </c>
      <c r="I23" s="1" t="s">
        <v>37</v>
      </c>
      <c r="J23" s="1"/>
      <c r="K23" s="1">
        <v>8.86</v>
      </c>
      <c r="L23" s="1">
        <f t="shared" si="6"/>
        <v>-0.2240000000000002</v>
      </c>
      <c r="M23" s="1">
        <f t="shared" si="7"/>
        <v>8.6359999999999992</v>
      </c>
      <c r="N23" s="1"/>
      <c r="O23" s="1">
        <v>5.7618000000000036</v>
      </c>
      <c r="P23" s="1"/>
      <c r="Q23" s="1">
        <f t="shared" si="8"/>
        <v>1.7271999999999998</v>
      </c>
      <c r="R23" s="5">
        <f t="shared" si="24"/>
        <v>5.9399999999999942</v>
      </c>
      <c r="S23" s="5"/>
      <c r="T23" s="5">
        <f t="shared" si="9"/>
        <v>5.9399999999999942</v>
      </c>
      <c r="U23" s="5">
        <f t="shared" si="10"/>
        <v>5.9399999999999942</v>
      </c>
      <c r="V23" s="5"/>
      <c r="W23" s="5"/>
      <c r="X23" s="5"/>
      <c r="Y23" s="5"/>
      <c r="Z23" s="5"/>
      <c r="AA23" s="5"/>
      <c r="AB23" s="1"/>
      <c r="AC23" s="1"/>
      <c r="AD23" s="1">
        <f t="shared" si="12"/>
        <v>14</v>
      </c>
      <c r="AE23" s="1">
        <f t="shared" si="13"/>
        <v>10.560907827698012</v>
      </c>
      <c r="AF23" s="1">
        <v>1.8042</v>
      </c>
      <c r="AG23" s="1">
        <v>1.3904000000000001</v>
      </c>
      <c r="AH23" s="1">
        <v>0.35139999999999999</v>
      </c>
      <c r="AI23" s="1">
        <v>0.98520000000000008</v>
      </c>
      <c r="AJ23" s="1">
        <v>1.1292</v>
      </c>
      <c r="AK23" s="1">
        <v>0.56580000000000008</v>
      </c>
      <c r="AL23" s="1">
        <v>1.0658000000000001</v>
      </c>
      <c r="AM23" s="1">
        <v>0.92880000000000007</v>
      </c>
      <c r="AN23" s="1"/>
      <c r="AO23" s="1">
        <f t="shared" si="14"/>
        <v>6</v>
      </c>
      <c r="AP23" s="1">
        <f t="shared" si="15"/>
        <v>0</v>
      </c>
      <c r="AQ23" s="1">
        <f t="shared" si="16"/>
        <v>0</v>
      </c>
      <c r="AR23" s="1">
        <f t="shared" si="17"/>
        <v>0</v>
      </c>
      <c r="AS23" s="1">
        <f t="shared" si="18"/>
        <v>0</v>
      </c>
      <c r="AT23" s="1">
        <f t="shared" si="19"/>
        <v>0</v>
      </c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 x14ac:dyDescent="0.25">
      <c r="A24" s="1" t="s">
        <v>58</v>
      </c>
      <c r="B24" s="1" t="s">
        <v>36</v>
      </c>
      <c r="C24" s="1">
        <v>3118.5479999999998</v>
      </c>
      <c r="D24" s="1">
        <v>2172.4340000000002</v>
      </c>
      <c r="E24" s="1">
        <v>1487.2809999999999</v>
      </c>
      <c r="F24" s="1">
        <v>1662.6179999999999</v>
      </c>
      <c r="G24" s="8">
        <v>1</v>
      </c>
      <c r="H24" s="1">
        <v>60</v>
      </c>
      <c r="I24" s="1" t="s">
        <v>37</v>
      </c>
      <c r="J24" s="1"/>
      <c r="K24" s="1">
        <v>1514.5029999999999</v>
      </c>
      <c r="L24" s="1">
        <f t="shared" si="6"/>
        <v>-27.22199999999998</v>
      </c>
      <c r="M24" s="1">
        <f t="shared" si="7"/>
        <v>1487.2809999999999</v>
      </c>
      <c r="N24" s="1"/>
      <c r="O24" s="1">
        <v>299.26907999999997</v>
      </c>
      <c r="P24" s="1"/>
      <c r="Q24" s="1">
        <f t="shared" si="8"/>
        <v>297.45619999999997</v>
      </c>
      <c r="R24" s="5">
        <f t="shared" si="24"/>
        <v>2202.4997199999993</v>
      </c>
      <c r="S24" s="5">
        <f>$S$1*Q24</f>
        <v>297.45619999999997</v>
      </c>
      <c r="T24" s="5">
        <f t="shared" si="9"/>
        <v>2499.9559199999994</v>
      </c>
      <c r="U24" s="5">
        <f t="shared" si="10"/>
        <v>468.72939259999976</v>
      </c>
      <c r="V24" s="5">
        <v>700</v>
      </c>
      <c r="W24" s="5"/>
      <c r="X24" s="5">
        <f>$X$1*(T24-W24)-Y24-Z24</f>
        <v>631.22652739999967</v>
      </c>
      <c r="Y24" s="5">
        <v>700</v>
      </c>
      <c r="Z24" s="5"/>
      <c r="AA24" s="5"/>
      <c r="AB24" s="1"/>
      <c r="AC24" s="1"/>
      <c r="AD24" s="1">
        <f t="shared" si="12"/>
        <v>14.999999999999998</v>
      </c>
      <c r="AE24" s="1">
        <f t="shared" si="13"/>
        <v>6.5955494624082478</v>
      </c>
      <c r="AF24" s="1">
        <v>250.17160000000001</v>
      </c>
      <c r="AG24" s="1">
        <v>267.72300000000001</v>
      </c>
      <c r="AH24" s="1">
        <v>266.43220000000002</v>
      </c>
      <c r="AI24" s="1">
        <v>315.00720000000001</v>
      </c>
      <c r="AJ24" s="1">
        <v>251.37479999999999</v>
      </c>
      <c r="AK24" s="1">
        <v>179.57560000000001</v>
      </c>
      <c r="AL24" s="1">
        <v>251.23220000000001</v>
      </c>
      <c r="AM24" s="1">
        <v>230.3176</v>
      </c>
      <c r="AN24" s="1" t="s">
        <v>140</v>
      </c>
      <c r="AO24" s="1">
        <f t="shared" si="14"/>
        <v>469</v>
      </c>
      <c r="AP24" s="1">
        <f t="shared" si="15"/>
        <v>700</v>
      </c>
      <c r="AQ24" s="1">
        <f t="shared" si="16"/>
        <v>0</v>
      </c>
      <c r="AR24" s="1">
        <f t="shared" si="17"/>
        <v>631</v>
      </c>
      <c r="AS24" s="1">
        <f t="shared" si="18"/>
        <v>700</v>
      </c>
      <c r="AT24" s="1">
        <f t="shared" si="19"/>
        <v>0</v>
      </c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 x14ac:dyDescent="0.25">
      <c r="A25" s="17" t="s">
        <v>59</v>
      </c>
      <c r="B25" s="17" t="s">
        <v>36</v>
      </c>
      <c r="C25" s="17"/>
      <c r="D25" s="17"/>
      <c r="E25" s="17"/>
      <c r="F25" s="17"/>
      <c r="G25" s="18">
        <v>0</v>
      </c>
      <c r="H25" s="17">
        <v>30</v>
      </c>
      <c r="I25" s="17" t="s">
        <v>37</v>
      </c>
      <c r="J25" s="17"/>
      <c r="K25" s="17"/>
      <c r="L25" s="17">
        <f t="shared" si="6"/>
        <v>0</v>
      </c>
      <c r="M25" s="17">
        <f t="shared" si="7"/>
        <v>0</v>
      </c>
      <c r="N25" s="17"/>
      <c r="O25" s="17">
        <v>0</v>
      </c>
      <c r="P25" s="17"/>
      <c r="Q25" s="17">
        <f t="shared" si="8"/>
        <v>0</v>
      </c>
      <c r="R25" s="19"/>
      <c r="S25" s="19"/>
      <c r="T25" s="5">
        <f t="shared" si="9"/>
        <v>0</v>
      </c>
      <c r="U25" s="5">
        <f t="shared" si="10"/>
        <v>0</v>
      </c>
      <c r="V25" s="5"/>
      <c r="W25" s="5"/>
      <c r="X25" s="5"/>
      <c r="Y25" s="5"/>
      <c r="Z25" s="5"/>
      <c r="AA25" s="19"/>
      <c r="AB25" s="17"/>
      <c r="AC25" s="17"/>
      <c r="AD25" s="1" t="e">
        <f t="shared" si="12"/>
        <v>#DIV/0!</v>
      </c>
      <c r="AE25" s="17" t="e">
        <f t="shared" si="13"/>
        <v>#DIV/0!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 t="s">
        <v>52</v>
      </c>
      <c r="AO25" s="1">
        <f t="shared" si="14"/>
        <v>0</v>
      </c>
      <c r="AP25" s="1">
        <f t="shared" si="15"/>
        <v>0</v>
      </c>
      <c r="AQ25" s="1">
        <f t="shared" si="16"/>
        <v>0</v>
      </c>
      <c r="AR25" s="1">
        <f t="shared" si="17"/>
        <v>0</v>
      </c>
      <c r="AS25" s="1">
        <f t="shared" si="18"/>
        <v>0</v>
      </c>
      <c r="AT25" s="1">
        <f t="shared" si="19"/>
        <v>0</v>
      </c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 x14ac:dyDescent="0.25">
      <c r="A26" s="17" t="s">
        <v>60</v>
      </c>
      <c r="B26" s="17" t="s">
        <v>36</v>
      </c>
      <c r="C26" s="17"/>
      <c r="D26" s="17"/>
      <c r="E26" s="17"/>
      <c r="F26" s="17"/>
      <c r="G26" s="18">
        <v>0</v>
      </c>
      <c r="H26" s="17">
        <v>30</v>
      </c>
      <c r="I26" s="17" t="s">
        <v>37</v>
      </c>
      <c r="J26" s="17"/>
      <c r="K26" s="17"/>
      <c r="L26" s="17">
        <f t="shared" si="6"/>
        <v>0</v>
      </c>
      <c r="M26" s="17">
        <f t="shared" si="7"/>
        <v>0</v>
      </c>
      <c r="N26" s="17"/>
      <c r="O26" s="17">
        <v>0</v>
      </c>
      <c r="P26" s="17"/>
      <c r="Q26" s="17">
        <f t="shared" si="8"/>
        <v>0</v>
      </c>
      <c r="R26" s="19"/>
      <c r="S26" s="19"/>
      <c r="T26" s="5">
        <f t="shared" si="9"/>
        <v>0</v>
      </c>
      <c r="U26" s="5">
        <f t="shared" si="10"/>
        <v>0</v>
      </c>
      <c r="V26" s="5"/>
      <c r="W26" s="5"/>
      <c r="X26" s="5"/>
      <c r="Y26" s="5"/>
      <c r="Z26" s="5"/>
      <c r="AA26" s="19"/>
      <c r="AB26" s="17"/>
      <c r="AC26" s="17"/>
      <c r="AD26" s="1" t="e">
        <f t="shared" si="12"/>
        <v>#DIV/0!</v>
      </c>
      <c r="AE26" s="17" t="e">
        <f t="shared" si="13"/>
        <v>#DIV/0!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 t="s">
        <v>52</v>
      </c>
      <c r="AO26" s="1">
        <f t="shared" si="14"/>
        <v>0</v>
      </c>
      <c r="AP26" s="1">
        <f t="shared" si="15"/>
        <v>0</v>
      </c>
      <c r="AQ26" s="1">
        <f t="shared" si="16"/>
        <v>0</v>
      </c>
      <c r="AR26" s="1">
        <f t="shared" si="17"/>
        <v>0</v>
      </c>
      <c r="AS26" s="1">
        <f t="shared" si="18"/>
        <v>0</v>
      </c>
      <c r="AT26" s="1">
        <f t="shared" si="19"/>
        <v>0</v>
      </c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 x14ac:dyDescent="0.25">
      <c r="A27" s="1" t="s">
        <v>61</v>
      </c>
      <c r="B27" s="1" t="s">
        <v>36</v>
      </c>
      <c r="C27" s="1">
        <v>670.10299999999995</v>
      </c>
      <c r="D27" s="1">
        <v>2765.0839999999998</v>
      </c>
      <c r="E27" s="1">
        <v>1006.7910000000001</v>
      </c>
      <c r="F27" s="1">
        <v>1608.4870000000001</v>
      </c>
      <c r="G27" s="8">
        <v>1</v>
      </c>
      <c r="H27" s="1">
        <v>30</v>
      </c>
      <c r="I27" s="1" t="s">
        <v>37</v>
      </c>
      <c r="J27" s="1"/>
      <c r="K27" s="1">
        <v>1352.771</v>
      </c>
      <c r="L27" s="1">
        <f t="shared" si="6"/>
        <v>-345.9799999999999</v>
      </c>
      <c r="M27" s="1">
        <f t="shared" si="7"/>
        <v>919.45300000000009</v>
      </c>
      <c r="N27" s="1">
        <v>87.337999999999994</v>
      </c>
      <c r="O27" s="1">
        <v>0</v>
      </c>
      <c r="P27" s="1"/>
      <c r="Q27" s="1">
        <f t="shared" si="8"/>
        <v>183.89060000000001</v>
      </c>
      <c r="R27" s="5">
        <f>13*Q27-P27-O27-F27</f>
        <v>782.09079999999994</v>
      </c>
      <c r="S27" s="5"/>
      <c r="T27" s="5">
        <f t="shared" si="9"/>
        <v>782.09079999999994</v>
      </c>
      <c r="U27" s="5">
        <f t="shared" si="10"/>
        <v>165.62744900000001</v>
      </c>
      <c r="V27" s="5">
        <v>200</v>
      </c>
      <c r="W27" s="5"/>
      <c r="X27" s="5">
        <f>$X$1*(T27-W27)-Y27-Z27</f>
        <v>116.46335099999993</v>
      </c>
      <c r="Y27" s="5">
        <v>300</v>
      </c>
      <c r="Z27" s="5"/>
      <c r="AA27" s="5"/>
      <c r="AB27" s="1"/>
      <c r="AC27" s="1"/>
      <c r="AD27" s="1">
        <f t="shared" si="12"/>
        <v>13</v>
      </c>
      <c r="AE27" s="1">
        <f t="shared" si="13"/>
        <v>8.7469778226837036</v>
      </c>
      <c r="AF27" s="1">
        <v>229.03219999999999</v>
      </c>
      <c r="AG27" s="1">
        <v>235.68979999999999</v>
      </c>
      <c r="AH27" s="1">
        <v>181.5676</v>
      </c>
      <c r="AI27" s="1">
        <v>204.2704</v>
      </c>
      <c r="AJ27" s="1">
        <v>155.9264</v>
      </c>
      <c r="AK27" s="1">
        <v>116.1802</v>
      </c>
      <c r="AL27" s="1">
        <v>143.58860000000001</v>
      </c>
      <c r="AM27" s="1">
        <v>147.16900000000001</v>
      </c>
      <c r="AN27" s="16" t="s">
        <v>140</v>
      </c>
      <c r="AO27" s="1">
        <f t="shared" si="14"/>
        <v>166</v>
      </c>
      <c r="AP27" s="1">
        <f t="shared" si="15"/>
        <v>200</v>
      </c>
      <c r="AQ27" s="1">
        <f t="shared" si="16"/>
        <v>0</v>
      </c>
      <c r="AR27" s="1">
        <f t="shared" si="17"/>
        <v>116</v>
      </c>
      <c r="AS27" s="1">
        <f t="shared" si="18"/>
        <v>300</v>
      </c>
      <c r="AT27" s="1">
        <f t="shared" si="19"/>
        <v>0</v>
      </c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x14ac:dyDescent="0.25">
      <c r="A28" s="17" t="s">
        <v>62</v>
      </c>
      <c r="B28" s="17" t="s">
        <v>36</v>
      </c>
      <c r="C28" s="17"/>
      <c r="D28" s="17"/>
      <c r="E28" s="17"/>
      <c r="F28" s="17"/>
      <c r="G28" s="18">
        <v>0</v>
      </c>
      <c r="H28" s="17">
        <v>45</v>
      </c>
      <c r="I28" s="17" t="s">
        <v>37</v>
      </c>
      <c r="J28" s="17"/>
      <c r="K28" s="17"/>
      <c r="L28" s="17">
        <f t="shared" si="6"/>
        <v>0</v>
      </c>
      <c r="M28" s="17">
        <f t="shared" si="7"/>
        <v>0</v>
      </c>
      <c r="N28" s="17"/>
      <c r="O28" s="17">
        <v>0</v>
      </c>
      <c r="P28" s="17"/>
      <c r="Q28" s="17">
        <f t="shared" si="8"/>
        <v>0</v>
      </c>
      <c r="R28" s="19"/>
      <c r="S28" s="19"/>
      <c r="T28" s="5">
        <f t="shared" si="9"/>
        <v>0</v>
      </c>
      <c r="U28" s="5">
        <f t="shared" si="10"/>
        <v>0</v>
      </c>
      <c r="V28" s="5"/>
      <c r="W28" s="5"/>
      <c r="X28" s="5"/>
      <c r="Y28" s="5"/>
      <c r="Z28" s="5"/>
      <c r="AA28" s="19"/>
      <c r="AB28" s="17"/>
      <c r="AC28" s="17"/>
      <c r="AD28" s="1" t="e">
        <f t="shared" si="12"/>
        <v>#DIV/0!</v>
      </c>
      <c r="AE28" s="17" t="e">
        <f t="shared" si="13"/>
        <v>#DIV/0!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 t="s">
        <v>52</v>
      </c>
      <c r="AO28" s="1">
        <f t="shared" si="14"/>
        <v>0</v>
      </c>
      <c r="AP28" s="1">
        <f t="shared" si="15"/>
        <v>0</v>
      </c>
      <c r="AQ28" s="1">
        <f t="shared" si="16"/>
        <v>0</v>
      </c>
      <c r="AR28" s="1">
        <f t="shared" si="17"/>
        <v>0</v>
      </c>
      <c r="AS28" s="1">
        <f t="shared" si="18"/>
        <v>0</v>
      </c>
      <c r="AT28" s="1">
        <f t="shared" si="19"/>
        <v>0</v>
      </c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x14ac:dyDescent="0.25">
      <c r="A29" s="17" t="s">
        <v>63</v>
      </c>
      <c r="B29" s="17" t="s">
        <v>36</v>
      </c>
      <c r="C29" s="17"/>
      <c r="D29" s="17"/>
      <c r="E29" s="17"/>
      <c r="F29" s="17"/>
      <c r="G29" s="18">
        <v>0</v>
      </c>
      <c r="H29" s="17">
        <v>40</v>
      </c>
      <c r="I29" s="17" t="s">
        <v>37</v>
      </c>
      <c r="J29" s="17"/>
      <c r="K29" s="17"/>
      <c r="L29" s="17">
        <f t="shared" si="6"/>
        <v>0</v>
      </c>
      <c r="M29" s="17">
        <f t="shared" si="7"/>
        <v>0</v>
      </c>
      <c r="N29" s="17"/>
      <c r="O29" s="17">
        <v>0</v>
      </c>
      <c r="P29" s="17"/>
      <c r="Q29" s="17">
        <f t="shared" si="8"/>
        <v>0</v>
      </c>
      <c r="R29" s="19"/>
      <c r="S29" s="19"/>
      <c r="T29" s="5">
        <f t="shared" si="9"/>
        <v>0</v>
      </c>
      <c r="U29" s="5">
        <f t="shared" si="10"/>
        <v>0</v>
      </c>
      <c r="V29" s="5"/>
      <c r="W29" s="5"/>
      <c r="X29" s="5"/>
      <c r="Y29" s="5"/>
      <c r="Z29" s="5"/>
      <c r="AA29" s="19"/>
      <c r="AB29" s="17"/>
      <c r="AC29" s="17"/>
      <c r="AD29" s="1" t="e">
        <f t="shared" si="12"/>
        <v>#DIV/0!</v>
      </c>
      <c r="AE29" s="17" t="e">
        <f t="shared" si="13"/>
        <v>#DIV/0!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 t="s">
        <v>52</v>
      </c>
      <c r="AO29" s="1">
        <f t="shared" si="14"/>
        <v>0</v>
      </c>
      <c r="AP29" s="1">
        <f t="shared" si="15"/>
        <v>0</v>
      </c>
      <c r="AQ29" s="1">
        <f t="shared" si="16"/>
        <v>0</v>
      </c>
      <c r="AR29" s="1">
        <f t="shared" si="17"/>
        <v>0</v>
      </c>
      <c r="AS29" s="1">
        <f t="shared" si="18"/>
        <v>0</v>
      </c>
      <c r="AT29" s="1">
        <f t="shared" si="19"/>
        <v>0</v>
      </c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x14ac:dyDescent="0.25">
      <c r="A30" s="17" t="s">
        <v>64</v>
      </c>
      <c r="B30" s="17" t="s">
        <v>36</v>
      </c>
      <c r="C30" s="17"/>
      <c r="D30" s="17"/>
      <c r="E30" s="17"/>
      <c r="F30" s="17"/>
      <c r="G30" s="18">
        <v>0</v>
      </c>
      <c r="H30" s="17">
        <v>30</v>
      </c>
      <c r="I30" s="17" t="s">
        <v>37</v>
      </c>
      <c r="J30" s="17"/>
      <c r="K30" s="17"/>
      <c r="L30" s="17">
        <f t="shared" si="6"/>
        <v>0</v>
      </c>
      <c r="M30" s="17">
        <f t="shared" si="7"/>
        <v>0</v>
      </c>
      <c r="N30" s="17"/>
      <c r="O30" s="17">
        <v>0</v>
      </c>
      <c r="P30" s="17"/>
      <c r="Q30" s="17">
        <f t="shared" si="8"/>
        <v>0</v>
      </c>
      <c r="R30" s="19"/>
      <c r="S30" s="19"/>
      <c r="T30" s="5">
        <f t="shared" si="9"/>
        <v>0</v>
      </c>
      <c r="U30" s="5">
        <f t="shared" si="10"/>
        <v>0</v>
      </c>
      <c r="V30" s="5"/>
      <c r="W30" s="5"/>
      <c r="X30" s="5"/>
      <c r="Y30" s="5"/>
      <c r="Z30" s="5"/>
      <c r="AA30" s="19"/>
      <c r="AB30" s="17"/>
      <c r="AC30" s="17"/>
      <c r="AD30" s="1" t="e">
        <f t="shared" si="12"/>
        <v>#DIV/0!</v>
      </c>
      <c r="AE30" s="17" t="e">
        <f t="shared" si="13"/>
        <v>#DIV/0!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 t="s">
        <v>52</v>
      </c>
      <c r="AO30" s="1">
        <f t="shared" si="14"/>
        <v>0</v>
      </c>
      <c r="AP30" s="1">
        <f t="shared" si="15"/>
        <v>0</v>
      </c>
      <c r="AQ30" s="1">
        <f t="shared" si="16"/>
        <v>0</v>
      </c>
      <c r="AR30" s="1">
        <f t="shared" si="17"/>
        <v>0</v>
      </c>
      <c r="AS30" s="1">
        <f t="shared" si="18"/>
        <v>0</v>
      </c>
      <c r="AT30" s="1">
        <f t="shared" si="19"/>
        <v>0</v>
      </c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 x14ac:dyDescent="0.25">
      <c r="A31" s="17" t="s">
        <v>65</v>
      </c>
      <c r="B31" s="17" t="s">
        <v>36</v>
      </c>
      <c r="C31" s="17"/>
      <c r="D31" s="17"/>
      <c r="E31" s="17"/>
      <c r="F31" s="17"/>
      <c r="G31" s="18">
        <v>0</v>
      </c>
      <c r="H31" s="17">
        <v>50</v>
      </c>
      <c r="I31" s="17" t="s">
        <v>37</v>
      </c>
      <c r="J31" s="17"/>
      <c r="K31" s="17"/>
      <c r="L31" s="17">
        <f t="shared" si="6"/>
        <v>0</v>
      </c>
      <c r="M31" s="17">
        <f t="shared" si="7"/>
        <v>0</v>
      </c>
      <c r="N31" s="17"/>
      <c r="O31" s="17">
        <v>0</v>
      </c>
      <c r="P31" s="17"/>
      <c r="Q31" s="17">
        <f t="shared" si="8"/>
        <v>0</v>
      </c>
      <c r="R31" s="19"/>
      <c r="S31" s="19"/>
      <c r="T31" s="5">
        <f t="shared" si="9"/>
        <v>0</v>
      </c>
      <c r="U31" s="5">
        <f t="shared" si="10"/>
        <v>0</v>
      </c>
      <c r="V31" s="5"/>
      <c r="W31" s="5"/>
      <c r="X31" s="5"/>
      <c r="Y31" s="5"/>
      <c r="Z31" s="5"/>
      <c r="AA31" s="19"/>
      <c r="AB31" s="17"/>
      <c r="AC31" s="17"/>
      <c r="AD31" s="1" t="e">
        <f t="shared" si="12"/>
        <v>#DIV/0!</v>
      </c>
      <c r="AE31" s="17" t="e">
        <f t="shared" si="13"/>
        <v>#DIV/0!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 t="s">
        <v>52</v>
      </c>
      <c r="AO31" s="1">
        <f t="shared" si="14"/>
        <v>0</v>
      </c>
      <c r="AP31" s="1">
        <f t="shared" si="15"/>
        <v>0</v>
      </c>
      <c r="AQ31" s="1">
        <f t="shared" si="16"/>
        <v>0</v>
      </c>
      <c r="AR31" s="1">
        <f t="shared" si="17"/>
        <v>0</v>
      </c>
      <c r="AS31" s="1">
        <f t="shared" si="18"/>
        <v>0</v>
      </c>
      <c r="AT31" s="1">
        <f t="shared" si="19"/>
        <v>0</v>
      </c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 x14ac:dyDescent="0.25">
      <c r="A32" s="1" t="s">
        <v>66</v>
      </c>
      <c r="B32" s="1" t="s">
        <v>36</v>
      </c>
      <c r="C32" s="1">
        <v>10.797000000000001</v>
      </c>
      <c r="D32" s="1">
        <v>16.140999999999998</v>
      </c>
      <c r="E32" s="1">
        <v>11.721</v>
      </c>
      <c r="F32" s="1">
        <v>14.313000000000001</v>
      </c>
      <c r="G32" s="8">
        <v>1</v>
      </c>
      <c r="H32" s="1">
        <v>50</v>
      </c>
      <c r="I32" s="1" t="s">
        <v>37</v>
      </c>
      <c r="J32" s="1"/>
      <c r="K32" s="1">
        <v>10.199999999999999</v>
      </c>
      <c r="L32" s="1">
        <f t="shared" si="6"/>
        <v>1.5210000000000008</v>
      </c>
      <c r="M32" s="1">
        <f t="shared" si="7"/>
        <v>11.721</v>
      </c>
      <c r="N32" s="1"/>
      <c r="O32" s="1">
        <v>0</v>
      </c>
      <c r="P32" s="1"/>
      <c r="Q32" s="1">
        <f t="shared" si="8"/>
        <v>2.3441999999999998</v>
      </c>
      <c r="R32" s="5">
        <f t="shared" ref="R32:R45" si="27">14*Q32-P32-O32-F32</f>
        <v>18.505799999999994</v>
      </c>
      <c r="S32" s="5"/>
      <c r="T32" s="5">
        <f t="shared" si="9"/>
        <v>18.505799999999994</v>
      </c>
      <c r="U32" s="5">
        <f t="shared" si="10"/>
        <v>18.505799999999994</v>
      </c>
      <c r="V32" s="5"/>
      <c r="W32" s="5"/>
      <c r="X32" s="5"/>
      <c r="Y32" s="5"/>
      <c r="Z32" s="5"/>
      <c r="AA32" s="5"/>
      <c r="AB32" s="1"/>
      <c r="AC32" s="1"/>
      <c r="AD32" s="1">
        <f t="shared" si="12"/>
        <v>14</v>
      </c>
      <c r="AE32" s="1">
        <f t="shared" si="13"/>
        <v>6.1057077041208094</v>
      </c>
      <c r="AF32" s="1">
        <v>0.35959999999999998</v>
      </c>
      <c r="AG32" s="1">
        <v>1.2498</v>
      </c>
      <c r="AH32" s="1">
        <v>2.3142</v>
      </c>
      <c r="AI32" s="1">
        <v>1.6046</v>
      </c>
      <c r="AJ32" s="1">
        <v>0.71699999999999997</v>
      </c>
      <c r="AK32" s="1">
        <v>0.53520000000000001</v>
      </c>
      <c r="AL32" s="1">
        <v>1.073</v>
      </c>
      <c r="AM32" s="1">
        <v>1.974</v>
      </c>
      <c r="AN32" s="16" t="s">
        <v>145</v>
      </c>
      <c r="AO32" s="1">
        <f t="shared" si="14"/>
        <v>19</v>
      </c>
      <c r="AP32" s="1">
        <f t="shared" si="15"/>
        <v>0</v>
      </c>
      <c r="AQ32" s="1">
        <f t="shared" si="16"/>
        <v>0</v>
      </c>
      <c r="AR32" s="1">
        <f t="shared" si="17"/>
        <v>0</v>
      </c>
      <c r="AS32" s="1">
        <f t="shared" si="18"/>
        <v>0</v>
      </c>
      <c r="AT32" s="1">
        <f t="shared" si="19"/>
        <v>0</v>
      </c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 x14ac:dyDescent="0.25">
      <c r="A33" s="1" t="s">
        <v>67</v>
      </c>
      <c r="B33" s="1" t="s">
        <v>41</v>
      </c>
      <c r="C33" s="1">
        <v>599</v>
      </c>
      <c r="D33" s="1">
        <v>3101</v>
      </c>
      <c r="E33" s="1">
        <v>1819</v>
      </c>
      <c r="F33" s="1">
        <v>1175</v>
      </c>
      <c r="G33" s="8">
        <v>0.4</v>
      </c>
      <c r="H33" s="1">
        <v>45</v>
      </c>
      <c r="I33" s="1" t="s">
        <v>37</v>
      </c>
      <c r="J33" s="1"/>
      <c r="K33" s="1">
        <v>2269</v>
      </c>
      <c r="L33" s="1">
        <f t="shared" si="6"/>
        <v>-450</v>
      </c>
      <c r="M33" s="1">
        <f t="shared" si="7"/>
        <v>1375</v>
      </c>
      <c r="N33" s="1">
        <v>444</v>
      </c>
      <c r="O33" s="1">
        <v>457.62400000000071</v>
      </c>
      <c r="P33" s="1">
        <v>500</v>
      </c>
      <c r="Q33" s="1">
        <f t="shared" si="8"/>
        <v>275</v>
      </c>
      <c r="R33" s="5">
        <f t="shared" si="27"/>
        <v>1717.3759999999993</v>
      </c>
      <c r="S33" s="5">
        <f t="shared" ref="S33:S35" si="28">$S$1*Q33</f>
        <v>275</v>
      </c>
      <c r="T33" s="5">
        <f t="shared" si="9"/>
        <v>1992.3759999999993</v>
      </c>
      <c r="U33" s="5">
        <f t="shared" si="10"/>
        <v>431.4357799999998</v>
      </c>
      <c r="V33" s="5">
        <v>500</v>
      </c>
      <c r="W33" s="5"/>
      <c r="X33" s="5">
        <f t="shared" ref="X33:X45" si="29">$X$1*(T33-W33)-Y33-Z33</f>
        <v>560.9402199999995</v>
      </c>
      <c r="Y33" s="5">
        <v>500</v>
      </c>
      <c r="Z33" s="5"/>
      <c r="AA33" s="5"/>
      <c r="AB33" s="1"/>
      <c r="AC33" s="1"/>
      <c r="AD33" s="1">
        <f t="shared" si="12"/>
        <v>15</v>
      </c>
      <c r="AE33" s="1">
        <f t="shared" si="13"/>
        <v>7.7549963636363666</v>
      </c>
      <c r="AF33" s="1">
        <v>268.60000000000002</v>
      </c>
      <c r="AG33" s="1">
        <v>252.6</v>
      </c>
      <c r="AH33" s="1">
        <v>229.2</v>
      </c>
      <c r="AI33" s="1">
        <v>238.6</v>
      </c>
      <c r="AJ33" s="1">
        <v>223.8</v>
      </c>
      <c r="AK33" s="1">
        <v>240</v>
      </c>
      <c r="AL33" s="1">
        <v>250.8</v>
      </c>
      <c r="AM33" s="1">
        <v>231.8</v>
      </c>
      <c r="AN33" s="16" t="s">
        <v>141</v>
      </c>
      <c r="AO33" s="1">
        <f t="shared" si="14"/>
        <v>173</v>
      </c>
      <c r="AP33" s="1">
        <f t="shared" si="15"/>
        <v>200</v>
      </c>
      <c r="AQ33" s="1">
        <f t="shared" si="16"/>
        <v>0</v>
      </c>
      <c r="AR33" s="1">
        <f t="shared" si="17"/>
        <v>224</v>
      </c>
      <c r="AS33" s="1">
        <f t="shared" si="18"/>
        <v>200</v>
      </c>
      <c r="AT33" s="1">
        <f t="shared" si="19"/>
        <v>0</v>
      </c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 x14ac:dyDescent="0.25">
      <c r="A34" s="1" t="s">
        <v>68</v>
      </c>
      <c r="B34" s="1" t="s">
        <v>41</v>
      </c>
      <c r="C34" s="1">
        <v>258.42099999999999</v>
      </c>
      <c r="D34" s="1">
        <v>392.41</v>
      </c>
      <c r="E34" s="1">
        <v>285.39999999999998</v>
      </c>
      <c r="F34" s="1">
        <v>292.02100000000002</v>
      </c>
      <c r="G34" s="8">
        <v>0.45</v>
      </c>
      <c r="H34" s="1">
        <v>50</v>
      </c>
      <c r="I34" s="1" t="s">
        <v>37</v>
      </c>
      <c r="J34" s="1"/>
      <c r="K34" s="1">
        <v>350</v>
      </c>
      <c r="L34" s="1">
        <f t="shared" si="6"/>
        <v>-64.600000000000023</v>
      </c>
      <c r="M34" s="1">
        <f t="shared" si="7"/>
        <v>225.39999999999998</v>
      </c>
      <c r="N34" s="1">
        <v>60</v>
      </c>
      <c r="O34" s="1">
        <v>169.56620000000001</v>
      </c>
      <c r="P34" s="1"/>
      <c r="Q34" s="1">
        <f t="shared" si="8"/>
        <v>45.08</v>
      </c>
      <c r="R34" s="5">
        <f t="shared" si="27"/>
        <v>169.53280000000001</v>
      </c>
      <c r="S34" s="5">
        <f t="shared" si="28"/>
        <v>45.08</v>
      </c>
      <c r="T34" s="5">
        <f t="shared" si="9"/>
        <v>214.61279999999999</v>
      </c>
      <c r="U34" s="5">
        <f t="shared" si="10"/>
        <v>100.331484</v>
      </c>
      <c r="V34" s="5"/>
      <c r="W34" s="5"/>
      <c r="X34" s="5">
        <f t="shared" si="29"/>
        <v>114.28131599999999</v>
      </c>
      <c r="Y34" s="5"/>
      <c r="Z34" s="5"/>
      <c r="AA34" s="5"/>
      <c r="AB34" s="1"/>
      <c r="AC34" s="1"/>
      <c r="AD34" s="1">
        <f t="shared" si="12"/>
        <v>15.000000000000002</v>
      </c>
      <c r="AE34" s="1">
        <f t="shared" si="13"/>
        <v>10.239290150842947</v>
      </c>
      <c r="AF34" s="1">
        <v>53.1158</v>
      </c>
      <c r="AG34" s="1">
        <v>56.4</v>
      </c>
      <c r="AH34" s="1">
        <v>42.8</v>
      </c>
      <c r="AI34" s="1">
        <v>50.6</v>
      </c>
      <c r="AJ34" s="1">
        <v>53.8</v>
      </c>
      <c r="AK34" s="1">
        <v>52</v>
      </c>
      <c r="AL34" s="1">
        <v>53.4</v>
      </c>
      <c r="AM34" s="1">
        <v>52</v>
      </c>
      <c r="AN34" s="1" t="s">
        <v>42</v>
      </c>
      <c r="AO34" s="1">
        <f t="shared" si="14"/>
        <v>45</v>
      </c>
      <c r="AP34" s="1">
        <f t="shared" si="15"/>
        <v>0</v>
      </c>
      <c r="AQ34" s="1">
        <f t="shared" si="16"/>
        <v>0</v>
      </c>
      <c r="AR34" s="1">
        <f t="shared" si="17"/>
        <v>51</v>
      </c>
      <c r="AS34" s="1">
        <f t="shared" si="18"/>
        <v>0</v>
      </c>
      <c r="AT34" s="1">
        <f t="shared" si="19"/>
        <v>0</v>
      </c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 x14ac:dyDescent="0.25">
      <c r="A35" s="1" t="s">
        <v>69</v>
      </c>
      <c r="B35" s="1" t="s">
        <v>41</v>
      </c>
      <c r="C35" s="1">
        <v>1263</v>
      </c>
      <c r="D35" s="1">
        <v>2595</v>
      </c>
      <c r="E35" s="1">
        <v>1456</v>
      </c>
      <c r="F35" s="1">
        <v>1690</v>
      </c>
      <c r="G35" s="8">
        <v>0.4</v>
      </c>
      <c r="H35" s="1">
        <v>45</v>
      </c>
      <c r="I35" s="1" t="s">
        <v>37</v>
      </c>
      <c r="J35" s="1"/>
      <c r="K35" s="1">
        <v>1907</v>
      </c>
      <c r="L35" s="1">
        <f t="shared" si="6"/>
        <v>-451</v>
      </c>
      <c r="M35" s="1">
        <f t="shared" si="7"/>
        <v>1456</v>
      </c>
      <c r="N35" s="1"/>
      <c r="O35" s="1">
        <v>344.56799999999981</v>
      </c>
      <c r="P35" s="1"/>
      <c r="Q35" s="1">
        <f t="shared" si="8"/>
        <v>291.2</v>
      </c>
      <c r="R35" s="5">
        <f t="shared" si="27"/>
        <v>2042.232</v>
      </c>
      <c r="S35" s="5">
        <f t="shared" si="28"/>
        <v>291.2</v>
      </c>
      <c r="T35" s="5">
        <f t="shared" si="9"/>
        <v>2333.4319999999998</v>
      </c>
      <c r="U35" s="5">
        <f t="shared" si="10"/>
        <v>490.87945999999988</v>
      </c>
      <c r="V35" s="5">
        <v>600</v>
      </c>
      <c r="W35" s="5"/>
      <c r="X35" s="5">
        <f t="shared" si="29"/>
        <v>742.55253999999991</v>
      </c>
      <c r="Y35" s="5">
        <v>500</v>
      </c>
      <c r="Z35" s="5"/>
      <c r="AA35" s="5"/>
      <c r="AB35" s="1"/>
      <c r="AC35" s="1"/>
      <c r="AD35" s="1">
        <f t="shared" si="12"/>
        <v>15</v>
      </c>
      <c r="AE35" s="1">
        <f t="shared" si="13"/>
        <v>6.9868406593406585</v>
      </c>
      <c r="AF35" s="1">
        <v>238.6</v>
      </c>
      <c r="AG35" s="1">
        <v>258.2</v>
      </c>
      <c r="AH35" s="1">
        <v>190.8</v>
      </c>
      <c r="AI35" s="1">
        <v>257.39999999999998</v>
      </c>
      <c r="AJ35" s="1">
        <v>270</v>
      </c>
      <c r="AK35" s="1">
        <v>250.8</v>
      </c>
      <c r="AL35" s="1">
        <v>238.8</v>
      </c>
      <c r="AM35" s="1">
        <v>264.2</v>
      </c>
      <c r="AN35" s="1"/>
      <c r="AO35" s="1">
        <f t="shared" si="14"/>
        <v>196</v>
      </c>
      <c r="AP35" s="1">
        <f t="shared" si="15"/>
        <v>240</v>
      </c>
      <c r="AQ35" s="1">
        <f t="shared" si="16"/>
        <v>0</v>
      </c>
      <c r="AR35" s="1">
        <f t="shared" si="17"/>
        <v>297</v>
      </c>
      <c r="AS35" s="1">
        <f t="shared" si="18"/>
        <v>200</v>
      </c>
      <c r="AT35" s="1">
        <f t="shared" si="19"/>
        <v>0</v>
      </c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x14ac:dyDescent="0.25">
      <c r="A36" s="1" t="s">
        <v>70</v>
      </c>
      <c r="B36" s="1" t="s">
        <v>41</v>
      </c>
      <c r="C36" s="1">
        <v>18</v>
      </c>
      <c r="D36" s="1">
        <v>448</v>
      </c>
      <c r="E36" s="1">
        <v>227</v>
      </c>
      <c r="F36" s="1">
        <v>214</v>
      </c>
      <c r="G36" s="8">
        <v>0.4</v>
      </c>
      <c r="H36" s="1">
        <v>40</v>
      </c>
      <c r="I36" s="1" t="s">
        <v>37</v>
      </c>
      <c r="J36" s="1"/>
      <c r="K36" s="1">
        <v>230</v>
      </c>
      <c r="L36" s="1">
        <f t="shared" si="6"/>
        <v>-3</v>
      </c>
      <c r="M36" s="1">
        <f t="shared" si="7"/>
        <v>127</v>
      </c>
      <c r="N36" s="1">
        <v>100</v>
      </c>
      <c r="O36" s="1">
        <v>0</v>
      </c>
      <c r="P36" s="1"/>
      <c r="Q36" s="1">
        <f t="shared" si="8"/>
        <v>25.4</v>
      </c>
      <c r="R36" s="5">
        <f t="shared" si="27"/>
        <v>141.59999999999997</v>
      </c>
      <c r="S36" s="5"/>
      <c r="T36" s="5">
        <f t="shared" si="9"/>
        <v>141.59999999999997</v>
      </c>
      <c r="U36" s="5">
        <f t="shared" si="10"/>
        <v>66.197999999999993</v>
      </c>
      <c r="V36" s="5"/>
      <c r="W36" s="5"/>
      <c r="X36" s="5">
        <f t="shared" si="29"/>
        <v>75.401999999999973</v>
      </c>
      <c r="Y36" s="5"/>
      <c r="Z36" s="5"/>
      <c r="AA36" s="5"/>
      <c r="AB36" s="1"/>
      <c r="AC36" s="1"/>
      <c r="AD36" s="1">
        <f t="shared" si="12"/>
        <v>14</v>
      </c>
      <c r="AE36" s="1">
        <f t="shared" si="13"/>
        <v>8.4251968503937018</v>
      </c>
      <c r="AF36" s="1">
        <v>20.8</v>
      </c>
      <c r="AG36" s="1">
        <v>30</v>
      </c>
      <c r="AH36" s="1">
        <v>21.8</v>
      </c>
      <c r="AI36" s="1">
        <v>12.6</v>
      </c>
      <c r="AJ36" s="1">
        <v>10.4</v>
      </c>
      <c r="AK36" s="1">
        <v>17</v>
      </c>
      <c r="AL36" s="1">
        <v>20.6</v>
      </c>
      <c r="AM36" s="1">
        <v>12.6</v>
      </c>
      <c r="AN36" s="1"/>
      <c r="AO36" s="1">
        <f t="shared" si="14"/>
        <v>26</v>
      </c>
      <c r="AP36" s="1">
        <f t="shared" si="15"/>
        <v>0</v>
      </c>
      <c r="AQ36" s="1">
        <f t="shared" si="16"/>
        <v>0</v>
      </c>
      <c r="AR36" s="1">
        <f t="shared" si="17"/>
        <v>30</v>
      </c>
      <c r="AS36" s="1">
        <f t="shared" si="18"/>
        <v>0</v>
      </c>
      <c r="AT36" s="1">
        <f t="shared" si="19"/>
        <v>0</v>
      </c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 x14ac:dyDescent="0.25">
      <c r="A37" s="1" t="s">
        <v>71</v>
      </c>
      <c r="B37" s="1" t="s">
        <v>36</v>
      </c>
      <c r="C37" s="1">
        <v>615.19600000000003</v>
      </c>
      <c r="D37" s="1">
        <v>482.63200000000001</v>
      </c>
      <c r="E37" s="1">
        <v>407.20400000000001</v>
      </c>
      <c r="F37" s="1">
        <v>404.05099999999999</v>
      </c>
      <c r="G37" s="8">
        <v>1</v>
      </c>
      <c r="H37" s="1">
        <v>45</v>
      </c>
      <c r="I37" s="1" t="s">
        <v>37</v>
      </c>
      <c r="J37" s="1"/>
      <c r="K37" s="1">
        <v>642.22400000000005</v>
      </c>
      <c r="L37" s="1">
        <f t="shared" si="6"/>
        <v>-235.02000000000004</v>
      </c>
      <c r="M37" s="1">
        <f t="shared" si="7"/>
        <v>407.20400000000001</v>
      </c>
      <c r="N37" s="1"/>
      <c r="O37" s="1">
        <v>256.57266399999992</v>
      </c>
      <c r="P37" s="1"/>
      <c r="Q37" s="1">
        <f t="shared" si="8"/>
        <v>81.440799999999996</v>
      </c>
      <c r="R37" s="5">
        <f t="shared" si="27"/>
        <v>479.54753600000009</v>
      </c>
      <c r="S37" s="5">
        <f>$S$1*Q37</f>
        <v>81.440799999999996</v>
      </c>
      <c r="T37" s="5">
        <f t="shared" si="9"/>
        <v>560.98833600000012</v>
      </c>
      <c r="U37" s="5">
        <f t="shared" si="10"/>
        <v>262.26204708000006</v>
      </c>
      <c r="V37" s="5"/>
      <c r="W37" s="5"/>
      <c r="X37" s="5">
        <f t="shared" si="29"/>
        <v>98.726288920000059</v>
      </c>
      <c r="Y37" s="5">
        <v>200</v>
      </c>
      <c r="Z37" s="5"/>
      <c r="AA37" s="5"/>
      <c r="AB37" s="1"/>
      <c r="AC37" s="1"/>
      <c r="AD37" s="1">
        <f t="shared" si="12"/>
        <v>15.000000000000002</v>
      </c>
      <c r="AE37" s="1">
        <f t="shared" si="13"/>
        <v>8.1117040107661023</v>
      </c>
      <c r="AF37" s="1">
        <v>76.940799999999996</v>
      </c>
      <c r="AG37" s="1">
        <v>67.9786</v>
      </c>
      <c r="AH37" s="1">
        <v>64.661199999999994</v>
      </c>
      <c r="AI37" s="1">
        <v>58.102600000000002</v>
      </c>
      <c r="AJ37" s="1">
        <v>74.066200000000009</v>
      </c>
      <c r="AK37" s="1">
        <v>96.037400000000005</v>
      </c>
      <c r="AL37" s="1">
        <v>76.811599999999999</v>
      </c>
      <c r="AM37" s="1">
        <v>61.268600000000013</v>
      </c>
      <c r="AN37" s="1"/>
      <c r="AO37" s="1">
        <f t="shared" si="14"/>
        <v>262</v>
      </c>
      <c r="AP37" s="1">
        <f t="shared" si="15"/>
        <v>0</v>
      </c>
      <c r="AQ37" s="1">
        <f t="shared" si="16"/>
        <v>0</v>
      </c>
      <c r="AR37" s="1">
        <f t="shared" si="17"/>
        <v>99</v>
      </c>
      <c r="AS37" s="1">
        <f t="shared" si="18"/>
        <v>200</v>
      </c>
      <c r="AT37" s="1">
        <f t="shared" si="19"/>
        <v>0</v>
      </c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56" x14ac:dyDescent="0.25">
      <c r="A38" s="1" t="s">
        <v>72</v>
      </c>
      <c r="B38" s="1" t="s">
        <v>41</v>
      </c>
      <c r="C38" s="1">
        <v>267</v>
      </c>
      <c r="D38" s="1">
        <v>60</v>
      </c>
      <c r="E38" s="1">
        <v>137</v>
      </c>
      <c r="F38" s="1">
        <v>172</v>
      </c>
      <c r="G38" s="8">
        <v>0.1</v>
      </c>
      <c r="H38" s="1">
        <v>730</v>
      </c>
      <c r="I38" s="1" t="s">
        <v>37</v>
      </c>
      <c r="J38" s="1"/>
      <c r="K38" s="1">
        <v>137</v>
      </c>
      <c r="L38" s="1">
        <f t="shared" ref="L38:L69" si="30">E38-K38</f>
        <v>0</v>
      </c>
      <c r="M38" s="1">
        <f t="shared" si="7"/>
        <v>137</v>
      </c>
      <c r="N38" s="1"/>
      <c r="O38" s="1">
        <v>61.749999999999943</v>
      </c>
      <c r="P38" s="1"/>
      <c r="Q38" s="1">
        <f t="shared" si="8"/>
        <v>27.4</v>
      </c>
      <c r="R38" s="5">
        <f t="shared" si="27"/>
        <v>149.85000000000002</v>
      </c>
      <c r="S38" s="5"/>
      <c r="T38" s="5">
        <f t="shared" si="9"/>
        <v>149.85000000000002</v>
      </c>
      <c r="U38" s="5">
        <f t="shared" si="10"/>
        <v>70.05487500000001</v>
      </c>
      <c r="V38" s="5"/>
      <c r="W38" s="5"/>
      <c r="X38" s="5">
        <f t="shared" si="29"/>
        <v>79.795125000000013</v>
      </c>
      <c r="Y38" s="5"/>
      <c r="Z38" s="5"/>
      <c r="AA38" s="5"/>
      <c r="AB38" s="1"/>
      <c r="AC38" s="1"/>
      <c r="AD38" s="1">
        <f t="shared" si="12"/>
        <v>14</v>
      </c>
      <c r="AE38" s="1">
        <f t="shared" si="13"/>
        <v>8.5310218978102181</v>
      </c>
      <c r="AF38" s="1">
        <v>27.4</v>
      </c>
      <c r="AG38" s="1">
        <v>26</v>
      </c>
      <c r="AH38" s="1">
        <v>24.4</v>
      </c>
      <c r="AI38" s="1">
        <v>32.200000000000003</v>
      </c>
      <c r="AJ38" s="1">
        <v>34.6</v>
      </c>
      <c r="AK38" s="1">
        <v>28.2</v>
      </c>
      <c r="AL38" s="1">
        <v>27.6</v>
      </c>
      <c r="AM38" s="1">
        <v>28.6</v>
      </c>
      <c r="AN38" s="1"/>
      <c r="AO38" s="1">
        <f t="shared" si="14"/>
        <v>7</v>
      </c>
      <c r="AP38" s="1">
        <f t="shared" si="15"/>
        <v>0</v>
      </c>
      <c r="AQ38" s="1">
        <f t="shared" si="16"/>
        <v>0</v>
      </c>
      <c r="AR38" s="1">
        <f t="shared" si="17"/>
        <v>8</v>
      </c>
      <c r="AS38" s="1">
        <f t="shared" si="18"/>
        <v>0</v>
      </c>
      <c r="AT38" s="1">
        <f t="shared" si="19"/>
        <v>0</v>
      </c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56" x14ac:dyDescent="0.25">
      <c r="A39" s="1" t="s">
        <v>73</v>
      </c>
      <c r="B39" s="1" t="s">
        <v>41</v>
      </c>
      <c r="C39" s="1">
        <v>128</v>
      </c>
      <c r="D39" s="1">
        <v>747</v>
      </c>
      <c r="E39" s="1">
        <v>282</v>
      </c>
      <c r="F39" s="1">
        <v>503</v>
      </c>
      <c r="G39" s="8">
        <v>0.35</v>
      </c>
      <c r="H39" s="1">
        <v>40</v>
      </c>
      <c r="I39" s="1" t="s">
        <v>37</v>
      </c>
      <c r="J39" s="1"/>
      <c r="K39" s="1">
        <v>315</v>
      </c>
      <c r="L39" s="1">
        <f t="shared" si="30"/>
        <v>-33</v>
      </c>
      <c r="M39" s="1">
        <f t="shared" si="7"/>
        <v>282</v>
      </c>
      <c r="N39" s="1"/>
      <c r="O39" s="1">
        <v>0</v>
      </c>
      <c r="P39" s="1"/>
      <c r="Q39" s="1">
        <f t="shared" si="8"/>
        <v>56.4</v>
      </c>
      <c r="R39" s="5">
        <f t="shared" si="27"/>
        <v>286.60000000000002</v>
      </c>
      <c r="S39" s="5"/>
      <c r="T39" s="5">
        <f t="shared" si="9"/>
        <v>286.60000000000002</v>
      </c>
      <c r="U39" s="5">
        <f t="shared" si="10"/>
        <v>133.98550000000003</v>
      </c>
      <c r="V39" s="5"/>
      <c r="W39" s="5"/>
      <c r="X39" s="5">
        <f t="shared" si="29"/>
        <v>152.61449999999999</v>
      </c>
      <c r="Y39" s="5"/>
      <c r="Z39" s="5"/>
      <c r="AA39" s="5"/>
      <c r="AB39" s="1"/>
      <c r="AC39" s="1"/>
      <c r="AD39" s="1">
        <f t="shared" si="12"/>
        <v>14</v>
      </c>
      <c r="AE39" s="1">
        <f t="shared" si="13"/>
        <v>8.9184397163120561</v>
      </c>
      <c r="AF39" s="1">
        <v>50</v>
      </c>
      <c r="AG39" s="1">
        <v>71.599999999999994</v>
      </c>
      <c r="AH39" s="1">
        <v>46.4</v>
      </c>
      <c r="AI39" s="1">
        <v>34.4</v>
      </c>
      <c r="AJ39" s="1">
        <v>51</v>
      </c>
      <c r="AK39" s="1">
        <v>48.6</v>
      </c>
      <c r="AL39" s="1">
        <v>46.8</v>
      </c>
      <c r="AM39" s="1">
        <v>36.200000000000003</v>
      </c>
      <c r="AN39" s="1"/>
      <c r="AO39" s="1">
        <f t="shared" si="14"/>
        <v>47</v>
      </c>
      <c r="AP39" s="1">
        <f t="shared" si="15"/>
        <v>0</v>
      </c>
      <c r="AQ39" s="1">
        <f t="shared" si="16"/>
        <v>0</v>
      </c>
      <c r="AR39" s="1">
        <f t="shared" si="17"/>
        <v>53</v>
      </c>
      <c r="AS39" s="1">
        <f t="shared" si="18"/>
        <v>0</v>
      </c>
      <c r="AT39" s="1">
        <f t="shared" si="19"/>
        <v>0</v>
      </c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56" x14ac:dyDescent="0.25">
      <c r="A40" s="1" t="s">
        <v>74</v>
      </c>
      <c r="B40" s="1" t="s">
        <v>36</v>
      </c>
      <c r="C40" s="1">
        <v>62.322000000000003</v>
      </c>
      <c r="D40" s="1">
        <v>58.765000000000001</v>
      </c>
      <c r="E40" s="1">
        <v>65.856999999999999</v>
      </c>
      <c r="F40" s="1">
        <v>41.456000000000003</v>
      </c>
      <c r="G40" s="8">
        <v>1</v>
      </c>
      <c r="H40" s="1">
        <v>40</v>
      </c>
      <c r="I40" s="1" t="s">
        <v>37</v>
      </c>
      <c r="J40" s="1"/>
      <c r="K40" s="1">
        <v>75.057000000000002</v>
      </c>
      <c r="L40" s="1">
        <f t="shared" si="30"/>
        <v>-9.2000000000000028</v>
      </c>
      <c r="M40" s="1">
        <f t="shared" si="7"/>
        <v>59.3</v>
      </c>
      <c r="N40" s="1">
        <v>6.5570000000000004</v>
      </c>
      <c r="O40" s="1">
        <v>0</v>
      </c>
      <c r="P40" s="1"/>
      <c r="Q40" s="1">
        <f t="shared" si="8"/>
        <v>11.86</v>
      </c>
      <c r="R40" s="5">
        <f>11*Q40-P40-O40-F40</f>
        <v>89.003999999999976</v>
      </c>
      <c r="S40" s="5"/>
      <c r="T40" s="5">
        <f t="shared" si="9"/>
        <v>89.003999999999976</v>
      </c>
      <c r="U40" s="5">
        <f t="shared" si="10"/>
        <v>41.609369999999991</v>
      </c>
      <c r="V40" s="5"/>
      <c r="W40" s="5"/>
      <c r="X40" s="5">
        <f t="shared" si="29"/>
        <v>47.394629999999985</v>
      </c>
      <c r="Y40" s="5"/>
      <c r="Z40" s="5"/>
      <c r="AA40" s="5"/>
      <c r="AB40" s="1"/>
      <c r="AC40" s="1"/>
      <c r="AD40" s="1">
        <f t="shared" si="12"/>
        <v>10.999999999999998</v>
      </c>
      <c r="AE40" s="1">
        <f t="shared" si="13"/>
        <v>3.4954468802698151</v>
      </c>
      <c r="AF40" s="1">
        <v>6.3483999999999998</v>
      </c>
      <c r="AG40" s="1">
        <v>6.6596000000000002</v>
      </c>
      <c r="AH40" s="1">
        <v>11.127599999999999</v>
      </c>
      <c r="AI40" s="1">
        <v>10.8368</v>
      </c>
      <c r="AJ40" s="1">
        <v>6.8138000000000014</v>
      </c>
      <c r="AK40" s="1">
        <v>6.9438000000000004</v>
      </c>
      <c r="AL40" s="1">
        <v>7.7876000000000003</v>
      </c>
      <c r="AM40" s="1">
        <v>7.6316000000000006</v>
      </c>
      <c r="AN40" s="1"/>
      <c r="AO40" s="1">
        <f t="shared" si="14"/>
        <v>42</v>
      </c>
      <c r="AP40" s="1">
        <f t="shared" si="15"/>
        <v>0</v>
      </c>
      <c r="AQ40" s="1">
        <f t="shared" si="16"/>
        <v>0</v>
      </c>
      <c r="AR40" s="1">
        <f t="shared" si="17"/>
        <v>47</v>
      </c>
      <c r="AS40" s="1">
        <f t="shared" si="18"/>
        <v>0</v>
      </c>
      <c r="AT40" s="1">
        <f t="shared" si="19"/>
        <v>0</v>
      </c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56" x14ac:dyDescent="0.25">
      <c r="A41" s="1" t="s">
        <v>75</v>
      </c>
      <c r="B41" s="1" t="s">
        <v>41</v>
      </c>
      <c r="C41" s="1">
        <v>297</v>
      </c>
      <c r="D41" s="1">
        <v>282</v>
      </c>
      <c r="E41" s="1">
        <v>267</v>
      </c>
      <c r="F41" s="1">
        <v>114</v>
      </c>
      <c r="G41" s="8">
        <v>0.4</v>
      </c>
      <c r="H41" s="1">
        <v>40</v>
      </c>
      <c r="I41" s="1" t="s">
        <v>37</v>
      </c>
      <c r="J41" s="1"/>
      <c r="K41" s="1">
        <v>439</v>
      </c>
      <c r="L41" s="1">
        <f t="shared" si="30"/>
        <v>-172</v>
      </c>
      <c r="M41" s="1">
        <f t="shared" si="7"/>
        <v>177</v>
      </c>
      <c r="N41" s="1">
        <v>90</v>
      </c>
      <c r="O41" s="1">
        <v>199.78399999999999</v>
      </c>
      <c r="P41" s="1"/>
      <c r="Q41" s="1">
        <f t="shared" si="8"/>
        <v>35.4</v>
      </c>
      <c r="R41" s="5">
        <f t="shared" si="27"/>
        <v>181.81599999999997</v>
      </c>
      <c r="S41" s="5"/>
      <c r="T41" s="5">
        <f t="shared" si="9"/>
        <v>181.81599999999997</v>
      </c>
      <c r="U41" s="5">
        <f t="shared" si="10"/>
        <v>84.998979999999989</v>
      </c>
      <c r="V41" s="5"/>
      <c r="W41" s="5"/>
      <c r="X41" s="5">
        <f t="shared" si="29"/>
        <v>96.817019999999985</v>
      </c>
      <c r="Y41" s="5"/>
      <c r="Z41" s="5"/>
      <c r="AA41" s="5"/>
      <c r="AB41" s="1"/>
      <c r="AC41" s="1"/>
      <c r="AD41" s="1">
        <f t="shared" si="12"/>
        <v>14</v>
      </c>
      <c r="AE41" s="1">
        <f t="shared" si="13"/>
        <v>8.8639548022598866</v>
      </c>
      <c r="AF41" s="1">
        <v>42</v>
      </c>
      <c r="AG41" s="1">
        <v>31.6</v>
      </c>
      <c r="AH41" s="1">
        <v>25.8</v>
      </c>
      <c r="AI41" s="1">
        <v>42.2</v>
      </c>
      <c r="AJ41" s="1">
        <v>42.4</v>
      </c>
      <c r="AK41" s="1">
        <v>28</v>
      </c>
      <c r="AL41" s="1">
        <v>36.4</v>
      </c>
      <c r="AM41" s="1">
        <v>34.6</v>
      </c>
      <c r="AN41" s="1"/>
      <c r="AO41" s="1">
        <f t="shared" si="14"/>
        <v>34</v>
      </c>
      <c r="AP41" s="1">
        <f t="shared" si="15"/>
        <v>0</v>
      </c>
      <c r="AQ41" s="1">
        <f t="shared" si="16"/>
        <v>0</v>
      </c>
      <c r="AR41" s="1">
        <f t="shared" si="17"/>
        <v>39</v>
      </c>
      <c r="AS41" s="1">
        <f t="shared" si="18"/>
        <v>0</v>
      </c>
      <c r="AT41" s="1">
        <f t="shared" si="19"/>
        <v>0</v>
      </c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 x14ac:dyDescent="0.25">
      <c r="A42" s="1" t="s">
        <v>76</v>
      </c>
      <c r="B42" s="1" t="s">
        <v>41</v>
      </c>
      <c r="C42" s="1">
        <v>363</v>
      </c>
      <c r="D42" s="1">
        <v>824</v>
      </c>
      <c r="E42" s="1">
        <v>400</v>
      </c>
      <c r="F42" s="1">
        <v>577</v>
      </c>
      <c r="G42" s="8">
        <v>0.4</v>
      </c>
      <c r="H42" s="1">
        <v>45</v>
      </c>
      <c r="I42" s="1" t="s">
        <v>37</v>
      </c>
      <c r="J42" s="1"/>
      <c r="K42" s="1">
        <v>484</v>
      </c>
      <c r="L42" s="1">
        <f t="shared" si="30"/>
        <v>-84</v>
      </c>
      <c r="M42" s="1">
        <f t="shared" si="7"/>
        <v>322</v>
      </c>
      <c r="N42" s="1">
        <v>78</v>
      </c>
      <c r="O42" s="1">
        <v>74.584000000000174</v>
      </c>
      <c r="P42" s="1"/>
      <c r="Q42" s="1">
        <f t="shared" si="8"/>
        <v>64.400000000000006</v>
      </c>
      <c r="R42" s="5">
        <f t="shared" si="27"/>
        <v>250.01599999999996</v>
      </c>
      <c r="S42" s="5">
        <f>$S$1*Q42</f>
        <v>64.400000000000006</v>
      </c>
      <c r="T42" s="5">
        <f t="shared" si="9"/>
        <v>314.41599999999994</v>
      </c>
      <c r="U42" s="5">
        <f t="shared" si="10"/>
        <v>146.98947999999999</v>
      </c>
      <c r="V42" s="5"/>
      <c r="W42" s="5"/>
      <c r="X42" s="5">
        <f t="shared" si="29"/>
        <v>167.42651999999995</v>
      </c>
      <c r="Y42" s="5"/>
      <c r="Z42" s="5"/>
      <c r="AA42" s="5"/>
      <c r="AB42" s="1"/>
      <c r="AC42" s="1"/>
      <c r="AD42" s="1">
        <f t="shared" si="12"/>
        <v>15</v>
      </c>
      <c r="AE42" s="1">
        <f t="shared" si="13"/>
        <v>10.117763975155281</v>
      </c>
      <c r="AF42" s="1">
        <v>71.400000000000006</v>
      </c>
      <c r="AG42" s="1">
        <v>76.599999999999994</v>
      </c>
      <c r="AH42" s="1">
        <v>67.2</v>
      </c>
      <c r="AI42" s="1">
        <v>72</v>
      </c>
      <c r="AJ42" s="1">
        <v>66</v>
      </c>
      <c r="AK42" s="1">
        <v>72.8</v>
      </c>
      <c r="AL42" s="1">
        <v>72.599999999999994</v>
      </c>
      <c r="AM42" s="1">
        <v>97.8</v>
      </c>
      <c r="AN42" s="1" t="s">
        <v>42</v>
      </c>
      <c r="AO42" s="1">
        <f t="shared" si="14"/>
        <v>59</v>
      </c>
      <c r="AP42" s="1">
        <f t="shared" si="15"/>
        <v>0</v>
      </c>
      <c r="AQ42" s="1">
        <f t="shared" si="16"/>
        <v>0</v>
      </c>
      <c r="AR42" s="1">
        <f t="shared" si="17"/>
        <v>67</v>
      </c>
      <c r="AS42" s="1">
        <f t="shared" si="18"/>
        <v>0</v>
      </c>
      <c r="AT42" s="1">
        <f t="shared" si="19"/>
        <v>0</v>
      </c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56" x14ac:dyDescent="0.25">
      <c r="A43" s="1" t="s">
        <v>77</v>
      </c>
      <c r="B43" s="1" t="s">
        <v>36</v>
      </c>
      <c r="C43" s="1">
        <v>54.253999999999998</v>
      </c>
      <c r="D43" s="1">
        <v>187.67099999999999</v>
      </c>
      <c r="E43" s="1">
        <v>106.822</v>
      </c>
      <c r="F43" s="1">
        <v>99.555000000000007</v>
      </c>
      <c r="G43" s="8">
        <v>1</v>
      </c>
      <c r="H43" s="1">
        <v>40</v>
      </c>
      <c r="I43" s="1" t="s">
        <v>37</v>
      </c>
      <c r="J43" s="1"/>
      <c r="K43" s="1">
        <v>149.928</v>
      </c>
      <c r="L43" s="1">
        <f t="shared" si="30"/>
        <v>-43.105999999999995</v>
      </c>
      <c r="M43" s="1">
        <f t="shared" si="7"/>
        <v>71.994</v>
      </c>
      <c r="N43" s="1">
        <v>34.828000000000003</v>
      </c>
      <c r="O43" s="1">
        <v>26.894743999997839</v>
      </c>
      <c r="P43" s="1"/>
      <c r="Q43" s="1">
        <f t="shared" si="8"/>
        <v>14.3988</v>
      </c>
      <c r="R43" s="5">
        <f t="shared" si="27"/>
        <v>75.133456000002155</v>
      </c>
      <c r="S43" s="5"/>
      <c r="T43" s="5">
        <f t="shared" si="9"/>
        <v>75.133456000002155</v>
      </c>
      <c r="U43" s="5">
        <f t="shared" si="10"/>
        <v>35.124890680001009</v>
      </c>
      <c r="V43" s="5"/>
      <c r="W43" s="5"/>
      <c r="X43" s="5">
        <f t="shared" si="29"/>
        <v>40.008565320001146</v>
      </c>
      <c r="Y43" s="5"/>
      <c r="Z43" s="5"/>
      <c r="AA43" s="5"/>
      <c r="AB43" s="1"/>
      <c r="AC43" s="1"/>
      <c r="AD43" s="1">
        <f t="shared" si="12"/>
        <v>14</v>
      </c>
      <c r="AE43" s="1">
        <f t="shared" si="13"/>
        <v>8.7819640525597862</v>
      </c>
      <c r="AF43" s="1">
        <v>18.870199999999819</v>
      </c>
      <c r="AG43" s="1">
        <v>17.675599999999999</v>
      </c>
      <c r="AH43" s="1">
        <v>5.4978000000000007</v>
      </c>
      <c r="AI43" s="1">
        <v>18.39</v>
      </c>
      <c r="AJ43" s="1">
        <v>23.522400000000001</v>
      </c>
      <c r="AK43" s="1">
        <v>12.7408</v>
      </c>
      <c r="AL43" s="1">
        <v>11.8408</v>
      </c>
      <c r="AM43" s="1">
        <v>19.4712</v>
      </c>
      <c r="AN43" s="1"/>
      <c r="AO43" s="1">
        <f t="shared" si="14"/>
        <v>35</v>
      </c>
      <c r="AP43" s="1">
        <f t="shared" si="15"/>
        <v>0</v>
      </c>
      <c r="AQ43" s="1">
        <f t="shared" si="16"/>
        <v>0</v>
      </c>
      <c r="AR43" s="1">
        <f t="shared" si="17"/>
        <v>40</v>
      </c>
      <c r="AS43" s="1">
        <f t="shared" si="18"/>
        <v>0</v>
      </c>
      <c r="AT43" s="1">
        <f t="shared" si="19"/>
        <v>0</v>
      </c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 x14ac:dyDescent="0.25">
      <c r="A44" s="1" t="s">
        <v>78</v>
      </c>
      <c r="B44" s="1" t="s">
        <v>41</v>
      </c>
      <c r="C44" s="1">
        <v>536</v>
      </c>
      <c r="D44" s="1">
        <v>605</v>
      </c>
      <c r="E44" s="1">
        <v>651</v>
      </c>
      <c r="F44" s="1">
        <v>378</v>
      </c>
      <c r="G44" s="8">
        <v>0.35</v>
      </c>
      <c r="H44" s="1">
        <v>40</v>
      </c>
      <c r="I44" s="1" t="s">
        <v>37</v>
      </c>
      <c r="J44" s="1"/>
      <c r="K44" s="1">
        <v>660</v>
      </c>
      <c r="L44" s="1">
        <f t="shared" si="30"/>
        <v>-9</v>
      </c>
      <c r="M44" s="1">
        <f t="shared" si="7"/>
        <v>651</v>
      </c>
      <c r="N44" s="1"/>
      <c r="O44" s="1">
        <v>137.00800000000001</v>
      </c>
      <c r="P44" s="1"/>
      <c r="Q44" s="1">
        <f t="shared" si="8"/>
        <v>130.19999999999999</v>
      </c>
      <c r="R44" s="5">
        <f>12*Q44-P44-O44-F44</f>
        <v>1047.3919999999998</v>
      </c>
      <c r="S44" s="5"/>
      <c r="T44" s="5">
        <f t="shared" si="9"/>
        <v>1047.3919999999998</v>
      </c>
      <c r="U44" s="5">
        <f t="shared" si="10"/>
        <v>489.65575999999999</v>
      </c>
      <c r="V44" s="5"/>
      <c r="W44" s="5"/>
      <c r="X44" s="5">
        <f t="shared" si="29"/>
        <v>557.73623999999984</v>
      </c>
      <c r="Y44" s="5"/>
      <c r="Z44" s="5"/>
      <c r="AA44" s="5"/>
      <c r="AB44" s="1"/>
      <c r="AC44" s="1"/>
      <c r="AD44" s="1">
        <f t="shared" si="12"/>
        <v>12</v>
      </c>
      <c r="AE44" s="1">
        <f t="shared" si="13"/>
        <v>3.9555145929339486</v>
      </c>
      <c r="AF44" s="1">
        <v>104.8</v>
      </c>
      <c r="AG44" s="1">
        <v>104.2</v>
      </c>
      <c r="AH44" s="1">
        <v>119.2</v>
      </c>
      <c r="AI44" s="1">
        <v>117.2</v>
      </c>
      <c r="AJ44" s="1">
        <v>97.4</v>
      </c>
      <c r="AK44" s="1">
        <v>102.6</v>
      </c>
      <c r="AL44" s="1">
        <v>122</v>
      </c>
      <c r="AM44" s="1">
        <v>112.2</v>
      </c>
      <c r="AN44" s="1" t="s">
        <v>140</v>
      </c>
      <c r="AO44" s="1">
        <f t="shared" si="14"/>
        <v>171</v>
      </c>
      <c r="AP44" s="1">
        <f t="shared" si="15"/>
        <v>0</v>
      </c>
      <c r="AQ44" s="1">
        <f t="shared" si="16"/>
        <v>0</v>
      </c>
      <c r="AR44" s="1">
        <f t="shared" si="17"/>
        <v>195</v>
      </c>
      <c r="AS44" s="1">
        <f t="shared" si="18"/>
        <v>0</v>
      </c>
      <c r="AT44" s="1">
        <f t="shared" si="19"/>
        <v>0</v>
      </c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56" x14ac:dyDescent="0.25">
      <c r="A45" s="1" t="s">
        <v>79</v>
      </c>
      <c r="B45" s="1" t="s">
        <v>41</v>
      </c>
      <c r="C45" s="1">
        <v>343</v>
      </c>
      <c r="D45" s="1">
        <v>234</v>
      </c>
      <c r="E45" s="1">
        <v>271</v>
      </c>
      <c r="F45" s="1">
        <v>279</v>
      </c>
      <c r="G45" s="8">
        <v>0.4</v>
      </c>
      <c r="H45" s="1">
        <v>40</v>
      </c>
      <c r="I45" s="1" t="s">
        <v>37</v>
      </c>
      <c r="J45" s="1"/>
      <c r="K45" s="1">
        <v>278</v>
      </c>
      <c r="L45" s="1">
        <f t="shared" si="30"/>
        <v>-7</v>
      </c>
      <c r="M45" s="1">
        <f t="shared" si="7"/>
        <v>271</v>
      </c>
      <c r="N45" s="1"/>
      <c r="O45" s="1">
        <v>322.75999999999988</v>
      </c>
      <c r="P45" s="1"/>
      <c r="Q45" s="1">
        <f t="shared" si="8"/>
        <v>54.2</v>
      </c>
      <c r="R45" s="5">
        <f t="shared" si="27"/>
        <v>157.04000000000019</v>
      </c>
      <c r="S45" s="5"/>
      <c r="T45" s="5">
        <f t="shared" si="9"/>
        <v>157.04000000000019</v>
      </c>
      <c r="U45" s="5">
        <f t="shared" si="10"/>
        <v>73.416200000000089</v>
      </c>
      <c r="V45" s="5"/>
      <c r="W45" s="5"/>
      <c r="X45" s="5">
        <f t="shared" si="29"/>
        <v>83.623800000000102</v>
      </c>
      <c r="Y45" s="5"/>
      <c r="Z45" s="5"/>
      <c r="AA45" s="5"/>
      <c r="AB45" s="1"/>
      <c r="AC45" s="1"/>
      <c r="AD45" s="1">
        <f t="shared" si="12"/>
        <v>14</v>
      </c>
      <c r="AE45" s="1">
        <f t="shared" si="13"/>
        <v>11.102583025830256</v>
      </c>
      <c r="AF45" s="1">
        <v>73.8</v>
      </c>
      <c r="AG45" s="1">
        <v>59</v>
      </c>
      <c r="AH45" s="1">
        <v>65</v>
      </c>
      <c r="AI45" s="1">
        <v>86.2</v>
      </c>
      <c r="AJ45" s="1">
        <v>82.2</v>
      </c>
      <c r="AK45" s="1">
        <v>63.2</v>
      </c>
      <c r="AL45" s="1">
        <v>63.8</v>
      </c>
      <c r="AM45" s="1">
        <v>59.6</v>
      </c>
      <c r="AN45" s="1" t="s">
        <v>42</v>
      </c>
      <c r="AO45" s="1">
        <f t="shared" si="14"/>
        <v>29</v>
      </c>
      <c r="AP45" s="1">
        <f t="shared" si="15"/>
        <v>0</v>
      </c>
      <c r="AQ45" s="1">
        <f t="shared" si="16"/>
        <v>0</v>
      </c>
      <c r="AR45" s="1">
        <f t="shared" si="17"/>
        <v>33</v>
      </c>
      <c r="AS45" s="1">
        <f t="shared" si="18"/>
        <v>0</v>
      </c>
      <c r="AT45" s="1">
        <f t="shared" si="19"/>
        <v>0</v>
      </c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 x14ac:dyDescent="0.25">
      <c r="A46" s="1" t="s">
        <v>80</v>
      </c>
      <c r="B46" s="1" t="s">
        <v>36</v>
      </c>
      <c r="C46" s="1">
        <v>23.053000000000001</v>
      </c>
      <c r="D46" s="1">
        <v>186.55500000000001</v>
      </c>
      <c r="E46" s="1">
        <v>59.439</v>
      </c>
      <c r="F46" s="1">
        <v>144.804</v>
      </c>
      <c r="G46" s="8">
        <v>1</v>
      </c>
      <c r="H46" s="1">
        <v>50</v>
      </c>
      <c r="I46" s="1" t="s">
        <v>37</v>
      </c>
      <c r="J46" s="1"/>
      <c r="K46" s="1">
        <v>76.84</v>
      </c>
      <c r="L46" s="1">
        <f t="shared" si="30"/>
        <v>-17.401000000000003</v>
      </c>
      <c r="M46" s="1">
        <f t="shared" si="7"/>
        <v>56.753999999999998</v>
      </c>
      <c r="N46" s="1">
        <v>2.6850000000000001</v>
      </c>
      <c r="O46" s="1">
        <v>206.06813600000001</v>
      </c>
      <c r="P46" s="1"/>
      <c r="Q46" s="1">
        <f t="shared" si="8"/>
        <v>11.3508</v>
      </c>
      <c r="R46" s="5"/>
      <c r="S46" s="5"/>
      <c r="T46" s="5">
        <f t="shared" si="9"/>
        <v>0</v>
      </c>
      <c r="U46" s="5">
        <f t="shared" si="10"/>
        <v>0</v>
      </c>
      <c r="V46" s="5"/>
      <c r="W46" s="5"/>
      <c r="X46" s="5"/>
      <c r="Y46" s="5"/>
      <c r="Z46" s="5"/>
      <c r="AA46" s="5"/>
      <c r="AB46" s="1"/>
      <c r="AC46" s="1"/>
      <c r="AD46" s="1">
        <f t="shared" si="12"/>
        <v>30.911665785671495</v>
      </c>
      <c r="AE46" s="1">
        <f t="shared" si="13"/>
        <v>30.911665785671495</v>
      </c>
      <c r="AF46" s="1">
        <v>29.2</v>
      </c>
      <c r="AG46" s="1">
        <v>20.061399999999999</v>
      </c>
      <c r="AH46" s="1">
        <v>16.882400000000001</v>
      </c>
      <c r="AI46" s="1">
        <v>21.015599999999999</v>
      </c>
      <c r="AJ46" s="1">
        <v>17.166</v>
      </c>
      <c r="AK46" s="1">
        <v>13.372400000000001</v>
      </c>
      <c r="AL46" s="1">
        <v>16.836600000000001</v>
      </c>
      <c r="AM46" s="1">
        <v>15.747999999999999</v>
      </c>
      <c r="AN46" s="1"/>
      <c r="AO46" s="1">
        <f t="shared" si="14"/>
        <v>0</v>
      </c>
      <c r="AP46" s="1">
        <f t="shared" si="15"/>
        <v>0</v>
      </c>
      <c r="AQ46" s="1">
        <f t="shared" si="16"/>
        <v>0</v>
      </c>
      <c r="AR46" s="1">
        <f t="shared" si="17"/>
        <v>0</v>
      </c>
      <c r="AS46" s="1">
        <f t="shared" si="18"/>
        <v>0</v>
      </c>
      <c r="AT46" s="1">
        <f t="shared" si="19"/>
        <v>0</v>
      </c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1:56" x14ac:dyDescent="0.25">
      <c r="A47" s="1" t="s">
        <v>81</v>
      </c>
      <c r="B47" s="1" t="s">
        <v>36</v>
      </c>
      <c r="C47" s="1">
        <v>520.16200000000003</v>
      </c>
      <c r="D47" s="1">
        <v>784.976</v>
      </c>
      <c r="E47" s="1">
        <v>725.59199999999998</v>
      </c>
      <c r="F47" s="1">
        <v>214.459</v>
      </c>
      <c r="G47" s="8">
        <v>1</v>
      </c>
      <c r="H47" s="1">
        <v>50</v>
      </c>
      <c r="I47" s="1" t="s">
        <v>37</v>
      </c>
      <c r="J47" s="1"/>
      <c r="K47" s="1">
        <v>893.505</v>
      </c>
      <c r="L47" s="1">
        <f t="shared" si="30"/>
        <v>-167.91300000000001</v>
      </c>
      <c r="M47" s="1">
        <f t="shared" si="7"/>
        <v>536.38699999999994</v>
      </c>
      <c r="N47" s="1">
        <v>189.20500000000001</v>
      </c>
      <c r="O47" s="1">
        <v>178.31690999999969</v>
      </c>
      <c r="P47" s="1"/>
      <c r="Q47" s="1">
        <f t="shared" si="8"/>
        <v>107.27739999999999</v>
      </c>
      <c r="R47" s="5">
        <f>12*Q47-P47-O47-F47</f>
        <v>894.55288999999993</v>
      </c>
      <c r="S47" s="5">
        <f>$S$1*Q47</f>
        <v>107.27739999999999</v>
      </c>
      <c r="T47" s="5">
        <f t="shared" si="9"/>
        <v>1001.8302899999999</v>
      </c>
      <c r="U47" s="5">
        <f t="shared" si="10"/>
        <v>268.355660575</v>
      </c>
      <c r="V47" s="5">
        <v>200</v>
      </c>
      <c r="W47" s="5"/>
      <c r="X47" s="5">
        <f>$X$1*(T47-W47)-Y47-Z47</f>
        <v>233.47462942499988</v>
      </c>
      <c r="Y47" s="5">
        <v>300</v>
      </c>
      <c r="Z47" s="5"/>
      <c r="AA47" s="5"/>
      <c r="AB47" s="1"/>
      <c r="AC47" s="1"/>
      <c r="AD47" s="1">
        <f t="shared" si="12"/>
        <v>12.999999999999998</v>
      </c>
      <c r="AE47" s="1">
        <f t="shared" si="13"/>
        <v>3.6613108632386671</v>
      </c>
      <c r="AF47" s="1">
        <v>87.752600000000001</v>
      </c>
      <c r="AG47" s="1">
        <v>58.676399999999987</v>
      </c>
      <c r="AH47" s="1">
        <v>110.0492</v>
      </c>
      <c r="AI47" s="1">
        <v>99.636199999999988</v>
      </c>
      <c r="AJ47" s="1">
        <v>44.864999999999988</v>
      </c>
      <c r="AK47" s="1">
        <v>26.1844</v>
      </c>
      <c r="AL47" s="1">
        <v>110.61839999999999</v>
      </c>
      <c r="AM47" s="1">
        <v>105.82640000000001</v>
      </c>
      <c r="AN47" s="1"/>
      <c r="AO47" s="1">
        <f t="shared" si="14"/>
        <v>268</v>
      </c>
      <c r="AP47" s="1">
        <f t="shared" si="15"/>
        <v>200</v>
      </c>
      <c r="AQ47" s="1">
        <f t="shared" si="16"/>
        <v>0</v>
      </c>
      <c r="AR47" s="1">
        <f t="shared" si="17"/>
        <v>233</v>
      </c>
      <c r="AS47" s="1">
        <f t="shared" si="18"/>
        <v>300</v>
      </c>
      <c r="AT47" s="1">
        <f t="shared" si="19"/>
        <v>0</v>
      </c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 x14ac:dyDescent="0.25">
      <c r="A48" s="17" t="s">
        <v>82</v>
      </c>
      <c r="B48" s="17" t="s">
        <v>36</v>
      </c>
      <c r="C48" s="17"/>
      <c r="D48" s="17"/>
      <c r="E48" s="17"/>
      <c r="F48" s="17"/>
      <c r="G48" s="18">
        <v>0</v>
      </c>
      <c r="H48" s="17">
        <v>40</v>
      </c>
      <c r="I48" s="17" t="s">
        <v>37</v>
      </c>
      <c r="J48" s="17"/>
      <c r="K48" s="17"/>
      <c r="L48" s="17">
        <f t="shared" si="30"/>
        <v>0</v>
      </c>
      <c r="M48" s="17">
        <f t="shared" si="7"/>
        <v>0</v>
      </c>
      <c r="N48" s="17"/>
      <c r="O48" s="17">
        <v>0</v>
      </c>
      <c r="P48" s="17"/>
      <c r="Q48" s="17">
        <f t="shared" si="8"/>
        <v>0</v>
      </c>
      <c r="R48" s="19"/>
      <c r="S48" s="19"/>
      <c r="T48" s="5">
        <f t="shared" si="9"/>
        <v>0</v>
      </c>
      <c r="U48" s="5">
        <f t="shared" si="10"/>
        <v>0</v>
      </c>
      <c r="V48" s="5"/>
      <c r="W48" s="5"/>
      <c r="X48" s="5"/>
      <c r="Y48" s="5"/>
      <c r="Z48" s="5"/>
      <c r="AA48" s="19"/>
      <c r="AB48" s="17"/>
      <c r="AC48" s="17"/>
      <c r="AD48" s="1" t="e">
        <f t="shared" si="12"/>
        <v>#DIV/0!</v>
      </c>
      <c r="AE48" s="17" t="e">
        <f t="shared" si="13"/>
        <v>#DIV/0!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 t="s">
        <v>52</v>
      </c>
      <c r="AO48" s="1">
        <f t="shared" si="14"/>
        <v>0</v>
      </c>
      <c r="AP48" s="1">
        <f t="shared" si="15"/>
        <v>0</v>
      </c>
      <c r="AQ48" s="1">
        <f t="shared" si="16"/>
        <v>0</v>
      </c>
      <c r="AR48" s="1">
        <f t="shared" si="17"/>
        <v>0</v>
      </c>
      <c r="AS48" s="1">
        <f t="shared" si="18"/>
        <v>0</v>
      </c>
      <c r="AT48" s="1">
        <f t="shared" si="19"/>
        <v>0</v>
      </c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x14ac:dyDescent="0.25">
      <c r="A49" s="1" t="s">
        <v>83</v>
      </c>
      <c r="B49" s="1" t="s">
        <v>41</v>
      </c>
      <c r="C49" s="1">
        <v>155.43899999999999</v>
      </c>
      <c r="D49" s="1">
        <v>640.56100000000004</v>
      </c>
      <c r="E49" s="1">
        <v>352</v>
      </c>
      <c r="F49" s="1">
        <v>358</v>
      </c>
      <c r="G49" s="8">
        <v>0.45</v>
      </c>
      <c r="H49" s="1">
        <v>50</v>
      </c>
      <c r="I49" s="1" t="s">
        <v>37</v>
      </c>
      <c r="J49" s="1"/>
      <c r="K49" s="1">
        <v>417</v>
      </c>
      <c r="L49" s="1">
        <f t="shared" si="30"/>
        <v>-65</v>
      </c>
      <c r="M49" s="1">
        <f t="shared" si="7"/>
        <v>302</v>
      </c>
      <c r="N49" s="1">
        <v>50</v>
      </c>
      <c r="O49" s="1">
        <v>0</v>
      </c>
      <c r="P49" s="1"/>
      <c r="Q49" s="1">
        <f t="shared" si="8"/>
        <v>60.4</v>
      </c>
      <c r="R49" s="5">
        <f t="shared" ref="R49:R64" si="31">14*Q49-P49-O49-F49</f>
        <v>487.6</v>
      </c>
      <c r="S49" s="5">
        <f>$S$1*Q49</f>
        <v>60.4</v>
      </c>
      <c r="T49" s="5">
        <f t="shared" si="9"/>
        <v>548</v>
      </c>
      <c r="U49" s="5">
        <f t="shared" si="10"/>
        <v>256.19</v>
      </c>
      <c r="V49" s="5"/>
      <c r="W49" s="5"/>
      <c r="X49" s="5">
        <f t="shared" ref="X49:X50" si="32">$X$1*(T49-W49)-Y49-Z49</f>
        <v>291.81</v>
      </c>
      <c r="Y49" s="5"/>
      <c r="Z49" s="5"/>
      <c r="AA49" s="5"/>
      <c r="AB49" s="1"/>
      <c r="AC49" s="1"/>
      <c r="AD49" s="1">
        <f t="shared" si="12"/>
        <v>15</v>
      </c>
      <c r="AE49" s="1">
        <f t="shared" si="13"/>
        <v>5.927152317880795</v>
      </c>
      <c r="AF49" s="1">
        <v>44.512199999999993</v>
      </c>
      <c r="AG49" s="1">
        <v>58.2</v>
      </c>
      <c r="AH49" s="1">
        <v>38.799999999999997</v>
      </c>
      <c r="AI49" s="1">
        <v>35.4</v>
      </c>
      <c r="AJ49" s="1">
        <v>32.799999999999997</v>
      </c>
      <c r="AK49" s="1">
        <v>31.4</v>
      </c>
      <c r="AL49" s="1">
        <v>35</v>
      </c>
      <c r="AM49" s="1">
        <v>33.4</v>
      </c>
      <c r="AN49" s="1" t="s">
        <v>42</v>
      </c>
      <c r="AO49" s="1">
        <f t="shared" si="14"/>
        <v>115</v>
      </c>
      <c r="AP49" s="1">
        <f t="shared" si="15"/>
        <v>0</v>
      </c>
      <c r="AQ49" s="1">
        <f t="shared" si="16"/>
        <v>0</v>
      </c>
      <c r="AR49" s="1">
        <f t="shared" si="17"/>
        <v>131</v>
      </c>
      <c r="AS49" s="1">
        <f t="shared" si="18"/>
        <v>0</v>
      </c>
      <c r="AT49" s="1">
        <f t="shared" si="19"/>
        <v>0</v>
      </c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 x14ac:dyDescent="0.25">
      <c r="A50" s="1" t="s">
        <v>84</v>
      </c>
      <c r="B50" s="1" t="s">
        <v>41</v>
      </c>
      <c r="C50" s="1">
        <v>37</v>
      </c>
      <c r="D50" s="1">
        <v>56</v>
      </c>
      <c r="E50" s="1">
        <v>53</v>
      </c>
      <c r="F50" s="1">
        <v>39</v>
      </c>
      <c r="G50" s="8">
        <v>0.4</v>
      </c>
      <c r="H50" s="1">
        <v>40</v>
      </c>
      <c r="I50" s="1" t="s">
        <v>37</v>
      </c>
      <c r="J50" s="1"/>
      <c r="K50" s="1">
        <v>53</v>
      </c>
      <c r="L50" s="1">
        <f t="shared" si="30"/>
        <v>0</v>
      </c>
      <c r="M50" s="1">
        <f t="shared" si="7"/>
        <v>53</v>
      </c>
      <c r="N50" s="1"/>
      <c r="O50" s="1">
        <v>65.703999999999979</v>
      </c>
      <c r="P50" s="1"/>
      <c r="Q50" s="1">
        <f t="shared" si="8"/>
        <v>10.6</v>
      </c>
      <c r="R50" s="5">
        <f t="shared" si="31"/>
        <v>43.696000000000026</v>
      </c>
      <c r="S50" s="5"/>
      <c r="T50" s="5">
        <f t="shared" si="9"/>
        <v>43.696000000000026</v>
      </c>
      <c r="U50" s="5">
        <f t="shared" si="10"/>
        <v>20.427880000000012</v>
      </c>
      <c r="V50" s="5"/>
      <c r="W50" s="5"/>
      <c r="X50" s="5">
        <f t="shared" si="32"/>
        <v>23.268120000000014</v>
      </c>
      <c r="Y50" s="5"/>
      <c r="Z50" s="5"/>
      <c r="AA50" s="5"/>
      <c r="AB50" s="1"/>
      <c r="AC50" s="1"/>
      <c r="AD50" s="1">
        <f t="shared" si="12"/>
        <v>14.000000000000002</v>
      </c>
      <c r="AE50" s="1">
        <f t="shared" si="13"/>
        <v>9.8777358490566023</v>
      </c>
      <c r="AF50" s="1">
        <v>12.6</v>
      </c>
      <c r="AG50" s="1">
        <v>9.6</v>
      </c>
      <c r="AH50" s="1">
        <v>10</v>
      </c>
      <c r="AI50" s="1">
        <v>12.6</v>
      </c>
      <c r="AJ50" s="1">
        <v>12.4</v>
      </c>
      <c r="AK50" s="1">
        <v>11</v>
      </c>
      <c r="AL50" s="1">
        <v>12.8</v>
      </c>
      <c r="AM50" s="1">
        <v>13</v>
      </c>
      <c r="AN50" s="1"/>
      <c r="AO50" s="1">
        <f t="shared" si="14"/>
        <v>8</v>
      </c>
      <c r="AP50" s="1">
        <f t="shared" si="15"/>
        <v>0</v>
      </c>
      <c r="AQ50" s="1">
        <f t="shared" si="16"/>
        <v>0</v>
      </c>
      <c r="AR50" s="1">
        <f t="shared" si="17"/>
        <v>9</v>
      </c>
      <c r="AS50" s="1">
        <f t="shared" si="18"/>
        <v>0</v>
      </c>
      <c r="AT50" s="1">
        <f t="shared" si="19"/>
        <v>0</v>
      </c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 x14ac:dyDescent="0.25">
      <c r="A51" s="1" t="s">
        <v>85</v>
      </c>
      <c r="B51" s="1" t="s">
        <v>41</v>
      </c>
      <c r="C51" s="1">
        <v>54</v>
      </c>
      <c r="D51" s="1">
        <v>90</v>
      </c>
      <c r="E51" s="1">
        <v>49</v>
      </c>
      <c r="F51" s="1">
        <v>85</v>
      </c>
      <c r="G51" s="8">
        <v>0.4</v>
      </c>
      <c r="H51" s="1">
        <v>40</v>
      </c>
      <c r="I51" s="1" t="s">
        <v>37</v>
      </c>
      <c r="J51" s="1"/>
      <c r="K51" s="1">
        <v>54</v>
      </c>
      <c r="L51" s="1">
        <f t="shared" si="30"/>
        <v>-5</v>
      </c>
      <c r="M51" s="1">
        <f t="shared" si="7"/>
        <v>49</v>
      </c>
      <c r="N51" s="1"/>
      <c r="O51" s="1">
        <v>45.16</v>
      </c>
      <c r="P51" s="1"/>
      <c r="Q51" s="1">
        <f t="shared" si="8"/>
        <v>9.8000000000000007</v>
      </c>
      <c r="R51" s="5">
        <f t="shared" si="31"/>
        <v>7.0400000000000205</v>
      </c>
      <c r="S51" s="5"/>
      <c r="T51" s="5">
        <f t="shared" si="9"/>
        <v>7.0400000000000205</v>
      </c>
      <c r="U51" s="5">
        <f t="shared" si="10"/>
        <v>7.0400000000000205</v>
      </c>
      <c r="V51" s="5"/>
      <c r="W51" s="5"/>
      <c r="X51" s="5"/>
      <c r="Y51" s="5"/>
      <c r="Z51" s="5"/>
      <c r="AA51" s="5"/>
      <c r="AB51" s="1"/>
      <c r="AC51" s="1"/>
      <c r="AD51" s="1">
        <f t="shared" si="12"/>
        <v>14</v>
      </c>
      <c r="AE51" s="1">
        <f t="shared" si="13"/>
        <v>13.281632653061223</v>
      </c>
      <c r="AF51" s="1">
        <v>15.4</v>
      </c>
      <c r="AG51" s="1">
        <v>14</v>
      </c>
      <c r="AH51" s="1">
        <v>14.6</v>
      </c>
      <c r="AI51" s="1">
        <v>17</v>
      </c>
      <c r="AJ51" s="1">
        <v>16.399999999999999</v>
      </c>
      <c r="AK51" s="1">
        <v>16.8</v>
      </c>
      <c r="AL51" s="1">
        <v>19</v>
      </c>
      <c r="AM51" s="1">
        <v>19</v>
      </c>
      <c r="AN51" s="16" t="s">
        <v>142</v>
      </c>
      <c r="AO51" s="1">
        <f t="shared" si="14"/>
        <v>3</v>
      </c>
      <c r="AP51" s="1">
        <f t="shared" si="15"/>
        <v>0</v>
      </c>
      <c r="AQ51" s="1">
        <f t="shared" si="16"/>
        <v>0</v>
      </c>
      <c r="AR51" s="1">
        <f t="shared" si="17"/>
        <v>0</v>
      </c>
      <c r="AS51" s="1">
        <f t="shared" si="18"/>
        <v>0</v>
      </c>
      <c r="AT51" s="1">
        <f t="shared" si="19"/>
        <v>0</v>
      </c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 x14ac:dyDescent="0.25">
      <c r="A52" s="1" t="s">
        <v>86</v>
      </c>
      <c r="B52" s="1" t="s">
        <v>36</v>
      </c>
      <c r="C52" s="1">
        <v>-4.056</v>
      </c>
      <c r="D52" s="1">
        <v>667.15</v>
      </c>
      <c r="E52" s="1">
        <v>195.89400000000001</v>
      </c>
      <c r="F52" s="1">
        <v>426.47300000000001</v>
      </c>
      <c r="G52" s="8">
        <v>1</v>
      </c>
      <c r="H52" s="1">
        <v>50</v>
      </c>
      <c r="I52" s="1" t="s">
        <v>37</v>
      </c>
      <c r="J52" s="1"/>
      <c r="K52" s="1">
        <v>213.39400000000001</v>
      </c>
      <c r="L52" s="1">
        <f t="shared" si="30"/>
        <v>-17.5</v>
      </c>
      <c r="M52" s="1">
        <f t="shared" si="7"/>
        <v>171.5</v>
      </c>
      <c r="N52" s="1">
        <v>24.393999999999998</v>
      </c>
      <c r="O52" s="1">
        <v>0</v>
      </c>
      <c r="P52" s="1"/>
      <c r="Q52" s="1">
        <f t="shared" si="8"/>
        <v>34.299999999999997</v>
      </c>
      <c r="R52" s="5">
        <f t="shared" si="31"/>
        <v>53.726999999999919</v>
      </c>
      <c r="S52" s="5"/>
      <c r="T52" s="5">
        <f t="shared" si="9"/>
        <v>53.726999999999919</v>
      </c>
      <c r="U52" s="5">
        <f t="shared" si="10"/>
        <v>25.117372499999963</v>
      </c>
      <c r="V52" s="5"/>
      <c r="W52" s="5"/>
      <c r="X52" s="5">
        <f>$X$1*(T52-W52)-Y52-Z52</f>
        <v>28.609627499999956</v>
      </c>
      <c r="Y52" s="5"/>
      <c r="Z52" s="5"/>
      <c r="AA52" s="5"/>
      <c r="AB52" s="1"/>
      <c r="AC52" s="1"/>
      <c r="AD52" s="1">
        <f t="shared" si="12"/>
        <v>14</v>
      </c>
      <c r="AE52" s="1">
        <f t="shared" si="13"/>
        <v>12.433615160349856</v>
      </c>
      <c r="AF52" s="1">
        <v>24.556799999999999</v>
      </c>
      <c r="AG52" s="1">
        <v>46.5458</v>
      </c>
      <c r="AH52" s="1">
        <v>33.462800000000001</v>
      </c>
      <c r="AI52" s="1">
        <v>19.481000000000002</v>
      </c>
      <c r="AJ52" s="1">
        <v>17.349799999999998</v>
      </c>
      <c r="AK52" s="1">
        <v>27.253599999999999</v>
      </c>
      <c r="AL52" s="1">
        <v>33.127000000000002</v>
      </c>
      <c r="AM52" s="1">
        <v>25.907599999999999</v>
      </c>
      <c r="AN52" s="1"/>
      <c r="AO52" s="1">
        <f t="shared" si="14"/>
        <v>25</v>
      </c>
      <c r="AP52" s="1">
        <f t="shared" si="15"/>
        <v>0</v>
      </c>
      <c r="AQ52" s="1">
        <f t="shared" si="16"/>
        <v>0</v>
      </c>
      <c r="AR52" s="1">
        <f t="shared" si="17"/>
        <v>29</v>
      </c>
      <c r="AS52" s="1">
        <f t="shared" si="18"/>
        <v>0</v>
      </c>
      <c r="AT52" s="1">
        <f t="shared" si="19"/>
        <v>0</v>
      </c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 x14ac:dyDescent="0.25">
      <c r="A53" s="1" t="s">
        <v>87</v>
      </c>
      <c r="B53" s="1" t="s">
        <v>41</v>
      </c>
      <c r="C53" s="1">
        <v>162</v>
      </c>
      <c r="D53" s="1">
        <v>160</v>
      </c>
      <c r="E53" s="1">
        <v>76</v>
      </c>
      <c r="F53" s="1">
        <v>233</v>
      </c>
      <c r="G53" s="8">
        <v>0.1</v>
      </c>
      <c r="H53" s="1">
        <v>730</v>
      </c>
      <c r="I53" s="1" t="s">
        <v>37</v>
      </c>
      <c r="J53" s="1"/>
      <c r="K53" s="1">
        <v>76</v>
      </c>
      <c r="L53" s="1">
        <f t="shared" si="30"/>
        <v>0</v>
      </c>
      <c r="M53" s="1">
        <f t="shared" si="7"/>
        <v>76</v>
      </c>
      <c r="N53" s="1"/>
      <c r="O53" s="1">
        <v>53.240000000000009</v>
      </c>
      <c r="P53" s="1"/>
      <c r="Q53" s="1">
        <f t="shared" si="8"/>
        <v>15.2</v>
      </c>
      <c r="R53" s="5"/>
      <c r="S53" s="5"/>
      <c r="T53" s="5">
        <f t="shared" si="9"/>
        <v>0</v>
      </c>
      <c r="U53" s="5">
        <f t="shared" si="10"/>
        <v>0</v>
      </c>
      <c r="V53" s="5"/>
      <c r="W53" s="5"/>
      <c r="X53" s="5"/>
      <c r="Y53" s="5"/>
      <c r="Z53" s="5"/>
      <c r="AA53" s="5"/>
      <c r="AB53" s="1"/>
      <c r="AC53" s="1"/>
      <c r="AD53" s="1">
        <f t="shared" si="12"/>
        <v>18.831578947368424</v>
      </c>
      <c r="AE53" s="1">
        <f t="shared" si="13"/>
        <v>18.831578947368424</v>
      </c>
      <c r="AF53" s="1">
        <v>27</v>
      </c>
      <c r="AG53" s="1">
        <v>26</v>
      </c>
      <c r="AH53" s="1">
        <v>21</v>
      </c>
      <c r="AI53" s="1">
        <v>23.8</v>
      </c>
      <c r="AJ53" s="1">
        <v>25</v>
      </c>
      <c r="AK53" s="1">
        <v>23</v>
      </c>
      <c r="AL53" s="1">
        <v>17.8</v>
      </c>
      <c r="AM53" s="1">
        <v>19.399999999999999</v>
      </c>
      <c r="AN53" s="1"/>
      <c r="AO53" s="1">
        <f t="shared" si="14"/>
        <v>0</v>
      </c>
      <c r="AP53" s="1">
        <f t="shared" si="15"/>
        <v>0</v>
      </c>
      <c r="AQ53" s="1">
        <f t="shared" si="16"/>
        <v>0</v>
      </c>
      <c r="AR53" s="1">
        <f t="shared" si="17"/>
        <v>0</v>
      </c>
      <c r="AS53" s="1">
        <f t="shared" si="18"/>
        <v>0</v>
      </c>
      <c r="AT53" s="1">
        <f t="shared" si="19"/>
        <v>0</v>
      </c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 x14ac:dyDescent="0.25">
      <c r="A54" s="1" t="s">
        <v>88</v>
      </c>
      <c r="B54" s="1" t="s">
        <v>36</v>
      </c>
      <c r="C54" s="1">
        <v>875.05499999999995</v>
      </c>
      <c r="D54" s="1">
        <v>984.90599999999995</v>
      </c>
      <c r="E54" s="1">
        <v>781.553</v>
      </c>
      <c r="F54" s="1">
        <v>775.18499999999995</v>
      </c>
      <c r="G54" s="8">
        <v>1</v>
      </c>
      <c r="H54" s="1">
        <v>50</v>
      </c>
      <c r="I54" s="1" t="s">
        <v>37</v>
      </c>
      <c r="J54" s="1"/>
      <c r="K54" s="1">
        <v>955.62199999999996</v>
      </c>
      <c r="L54" s="1">
        <f t="shared" si="30"/>
        <v>-174.06899999999996</v>
      </c>
      <c r="M54" s="1">
        <f t="shared" si="7"/>
        <v>781.553</v>
      </c>
      <c r="N54" s="1"/>
      <c r="O54" s="1">
        <v>375.31848200000002</v>
      </c>
      <c r="P54" s="1"/>
      <c r="Q54" s="1">
        <f t="shared" si="8"/>
        <v>156.31059999999999</v>
      </c>
      <c r="R54" s="5">
        <f t="shared" si="31"/>
        <v>1037.8449179999998</v>
      </c>
      <c r="S54" s="5">
        <f>$S$1*Q54</f>
        <v>156.31059999999999</v>
      </c>
      <c r="T54" s="5">
        <f t="shared" si="9"/>
        <v>1194.1555179999998</v>
      </c>
      <c r="U54" s="5">
        <f t="shared" si="10"/>
        <v>558.26770466499988</v>
      </c>
      <c r="V54" s="5"/>
      <c r="W54" s="5"/>
      <c r="X54" s="5">
        <f t="shared" ref="X54:X55" si="33">$X$1*(T54-W54)-Y54-Z54</f>
        <v>235.88781333499992</v>
      </c>
      <c r="Y54" s="5">
        <v>400</v>
      </c>
      <c r="Z54" s="5"/>
      <c r="AA54" s="5"/>
      <c r="AB54" s="1"/>
      <c r="AC54" s="1"/>
      <c r="AD54" s="1">
        <f t="shared" si="12"/>
        <v>14.999999999999998</v>
      </c>
      <c r="AE54" s="1">
        <f t="shared" si="13"/>
        <v>7.3603676398145748</v>
      </c>
      <c r="AF54" s="1">
        <v>140.68879999999999</v>
      </c>
      <c r="AG54" s="1">
        <v>132.6848</v>
      </c>
      <c r="AH54" s="1">
        <v>108.95659999999999</v>
      </c>
      <c r="AI54" s="1">
        <v>114.7846</v>
      </c>
      <c r="AJ54" s="1">
        <v>101.64019999999999</v>
      </c>
      <c r="AK54" s="1">
        <v>65.553399999999982</v>
      </c>
      <c r="AL54" s="1">
        <v>91.80019999999999</v>
      </c>
      <c r="AM54" s="1">
        <v>77.473200000000006</v>
      </c>
      <c r="AN54" s="1"/>
      <c r="AO54" s="1">
        <f t="shared" si="14"/>
        <v>558</v>
      </c>
      <c r="AP54" s="1">
        <f t="shared" si="15"/>
        <v>0</v>
      </c>
      <c r="AQ54" s="1">
        <f t="shared" si="16"/>
        <v>0</v>
      </c>
      <c r="AR54" s="1">
        <f t="shared" si="17"/>
        <v>236</v>
      </c>
      <c r="AS54" s="1">
        <f t="shared" si="18"/>
        <v>400</v>
      </c>
      <c r="AT54" s="1">
        <f t="shared" si="19"/>
        <v>0</v>
      </c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x14ac:dyDescent="0.25">
      <c r="A55" s="1" t="s">
        <v>89</v>
      </c>
      <c r="B55" s="1" t="s">
        <v>36</v>
      </c>
      <c r="C55" s="1">
        <v>42.07</v>
      </c>
      <c r="D55" s="1">
        <v>97.385000000000005</v>
      </c>
      <c r="E55" s="1">
        <v>59.69</v>
      </c>
      <c r="F55" s="1">
        <v>64.813999999999993</v>
      </c>
      <c r="G55" s="8">
        <v>1</v>
      </c>
      <c r="H55" s="1">
        <v>50</v>
      </c>
      <c r="I55" s="1" t="s">
        <v>37</v>
      </c>
      <c r="J55" s="1"/>
      <c r="K55" s="1">
        <v>83.61</v>
      </c>
      <c r="L55" s="1">
        <f t="shared" si="30"/>
        <v>-23.92</v>
      </c>
      <c r="M55" s="1">
        <f t="shared" si="7"/>
        <v>48.78</v>
      </c>
      <c r="N55" s="1">
        <v>10.91</v>
      </c>
      <c r="O55" s="1">
        <v>19.078575999999959</v>
      </c>
      <c r="P55" s="1"/>
      <c r="Q55" s="1">
        <f t="shared" si="8"/>
        <v>9.7560000000000002</v>
      </c>
      <c r="R55" s="5">
        <f t="shared" si="31"/>
        <v>52.691424000000055</v>
      </c>
      <c r="S55" s="5"/>
      <c r="T55" s="5">
        <f t="shared" si="9"/>
        <v>52.691424000000055</v>
      </c>
      <c r="U55" s="5">
        <f t="shared" si="10"/>
        <v>24.633240720000028</v>
      </c>
      <c r="V55" s="5"/>
      <c r="W55" s="5"/>
      <c r="X55" s="5">
        <f t="shared" si="33"/>
        <v>28.058183280000026</v>
      </c>
      <c r="Y55" s="5"/>
      <c r="Z55" s="5"/>
      <c r="AA55" s="5"/>
      <c r="AB55" s="1"/>
      <c r="AC55" s="1"/>
      <c r="AD55" s="1">
        <f t="shared" si="12"/>
        <v>14</v>
      </c>
      <c r="AE55" s="1">
        <f t="shared" si="13"/>
        <v>8.5990750307503028</v>
      </c>
      <c r="AF55" s="1">
        <v>9.4539999999999988</v>
      </c>
      <c r="AG55" s="1">
        <v>8.9174000000000007</v>
      </c>
      <c r="AH55" s="1">
        <v>7.0279999999999996</v>
      </c>
      <c r="AI55" s="1">
        <v>7.0244</v>
      </c>
      <c r="AJ55" s="1">
        <v>6.4551999999999996</v>
      </c>
      <c r="AK55" s="1">
        <v>7.2674000000000003</v>
      </c>
      <c r="AL55" s="1">
        <v>5.3938000000000006</v>
      </c>
      <c r="AM55" s="1">
        <v>4.0502000000000002</v>
      </c>
      <c r="AN55" s="1" t="s">
        <v>90</v>
      </c>
      <c r="AO55" s="1">
        <f t="shared" si="14"/>
        <v>25</v>
      </c>
      <c r="AP55" s="1">
        <f t="shared" si="15"/>
        <v>0</v>
      </c>
      <c r="AQ55" s="1">
        <f t="shared" si="16"/>
        <v>0</v>
      </c>
      <c r="AR55" s="1">
        <f t="shared" si="17"/>
        <v>28</v>
      </c>
      <c r="AS55" s="1">
        <f t="shared" si="18"/>
        <v>0</v>
      </c>
      <c r="AT55" s="1">
        <f t="shared" si="19"/>
        <v>0</v>
      </c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x14ac:dyDescent="0.25">
      <c r="A56" s="1" t="s">
        <v>91</v>
      </c>
      <c r="B56" s="1" t="s">
        <v>41</v>
      </c>
      <c r="C56" s="1">
        <v>95</v>
      </c>
      <c r="D56" s="1">
        <v>240</v>
      </c>
      <c r="E56" s="1">
        <v>83</v>
      </c>
      <c r="F56" s="1">
        <v>241</v>
      </c>
      <c r="G56" s="8">
        <v>0.1</v>
      </c>
      <c r="H56" s="1">
        <v>730</v>
      </c>
      <c r="I56" s="1" t="s">
        <v>37</v>
      </c>
      <c r="J56" s="1"/>
      <c r="K56" s="1">
        <v>83</v>
      </c>
      <c r="L56" s="1">
        <f t="shared" si="30"/>
        <v>0</v>
      </c>
      <c r="M56" s="1">
        <f t="shared" si="7"/>
        <v>83</v>
      </c>
      <c r="N56" s="1"/>
      <c r="O56" s="1">
        <v>52.496000000000009</v>
      </c>
      <c r="P56" s="1"/>
      <c r="Q56" s="1">
        <f t="shared" si="8"/>
        <v>16.600000000000001</v>
      </c>
      <c r="R56" s="5"/>
      <c r="S56" s="5"/>
      <c r="T56" s="5">
        <f t="shared" si="9"/>
        <v>0</v>
      </c>
      <c r="U56" s="5">
        <f t="shared" si="10"/>
        <v>0</v>
      </c>
      <c r="V56" s="5"/>
      <c r="W56" s="5"/>
      <c r="X56" s="5"/>
      <c r="Y56" s="5"/>
      <c r="Z56" s="5"/>
      <c r="AA56" s="5"/>
      <c r="AB56" s="1"/>
      <c r="AC56" s="1"/>
      <c r="AD56" s="1">
        <f t="shared" si="12"/>
        <v>17.68048192771084</v>
      </c>
      <c r="AE56" s="1">
        <f t="shared" si="13"/>
        <v>17.68048192771084</v>
      </c>
      <c r="AF56" s="1">
        <v>26</v>
      </c>
      <c r="AG56" s="1">
        <v>25.4</v>
      </c>
      <c r="AH56" s="1">
        <v>22</v>
      </c>
      <c r="AI56" s="1">
        <v>23.6</v>
      </c>
      <c r="AJ56" s="1">
        <v>26.2</v>
      </c>
      <c r="AK56" s="1">
        <v>27.6</v>
      </c>
      <c r="AL56" s="1">
        <v>22.6</v>
      </c>
      <c r="AM56" s="1">
        <v>22.2</v>
      </c>
      <c r="AN56" s="1"/>
      <c r="AO56" s="1">
        <f t="shared" si="14"/>
        <v>0</v>
      </c>
      <c r="AP56" s="1">
        <f t="shared" si="15"/>
        <v>0</v>
      </c>
      <c r="AQ56" s="1">
        <f t="shared" si="16"/>
        <v>0</v>
      </c>
      <c r="AR56" s="1">
        <f t="shared" si="17"/>
        <v>0</v>
      </c>
      <c r="AS56" s="1">
        <f t="shared" si="18"/>
        <v>0</v>
      </c>
      <c r="AT56" s="1">
        <f t="shared" si="19"/>
        <v>0</v>
      </c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x14ac:dyDescent="0.25">
      <c r="A57" s="1" t="s">
        <v>92</v>
      </c>
      <c r="B57" s="1" t="s">
        <v>41</v>
      </c>
      <c r="C57" s="1">
        <v>81.194000000000003</v>
      </c>
      <c r="D57" s="1">
        <v>202</v>
      </c>
      <c r="E57" s="1">
        <v>209</v>
      </c>
      <c r="F57" s="1">
        <v>28.193999999999999</v>
      </c>
      <c r="G57" s="8">
        <v>0.4</v>
      </c>
      <c r="H57" s="1">
        <v>50</v>
      </c>
      <c r="I57" s="1" t="s">
        <v>37</v>
      </c>
      <c r="J57" s="1"/>
      <c r="K57" s="1">
        <v>250</v>
      </c>
      <c r="L57" s="1">
        <f t="shared" si="30"/>
        <v>-41</v>
      </c>
      <c r="M57" s="1">
        <f t="shared" si="7"/>
        <v>209</v>
      </c>
      <c r="N57" s="1"/>
      <c r="O57" s="1">
        <v>66.246799999999965</v>
      </c>
      <c r="P57" s="1"/>
      <c r="Q57" s="1">
        <f t="shared" si="8"/>
        <v>41.8</v>
      </c>
      <c r="R57" s="5">
        <f>10*Q57-P57-O57-F57</f>
        <v>323.55920000000003</v>
      </c>
      <c r="S57" s="5"/>
      <c r="T57" s="5">
        <f t="shared" si="9"/>
        <v>323.55920000000003</v>
      </c>
      <c r="U57" s="5">
        <f t="shared" si="10"/>
        <v>151.26392600000003</v>
      </c>
      <c r="V57" s="5"/>
      <c r="W57" s="5"/>
      <c r="X57" s="5">
        <f>$X$1*(T57-W57)-Y57-Z57</f>
        <v>172.29527400000001</v>
      </c>
      <c r="Y57" s="5"/>
      <c r="Z57" s="5"/>
      <c r="AA57" s="5"/>
      <c r="AB57" s="1"/>
      <c r="AC57" s="1"/>
      <c r="AD57" s="1">
        <f t="shared" si="12"/>
        <v>10</v>
      </c>
      <c r="AE57" s="1">
        <f t="shared" si="13"/>
        <v>2.2593492822966499</v>
      </c>
      <c r="AF57" s="1">
        <v>21.761199999999999</v>
      </c>
      <c r="AG57" s="1">
        <v>21.6</v>
      </c>
      <c r="AH57" s="1">
        <v>23.8</v>
      </c>
      <c r="AI57" s="1">
        <v>22</v>
      </c>
      <c r="AJ57" s="1">
        <v>25.4</v>
      </c>
      <c r="AK57" s="1">
        <v>27.4</v>
      </c>
      <c r="AL57" s="1">
        <v>33.6</v>
      </c>
      <c r="AM57" s="1">
        <v>26</v>
      </c>
      <c r="AN57" s="1"/>
      <c r="AO57" s="1">
        <f t="shared" si="14"/>
        <v>61</v>
      </c>
      <c r="AP57" s="1">
        <f t="shared" si="15"/>
        <v>0</v>
      </c>
      <c r="AQ57" s="1">
        <f t="shared" si="16"/>
        <v>0</v>
      </c>
      <c r="AR57" s="1">
        <f t="shared" si="17"/>
        <v>69</v>
      </c>
      <c r="AS57" s="1">
        <f t="shared" si="18"/>
        <v>0</v>
      </c>
      <c r="AT57" s="1">
        <f t="shared" si="19"/>
        <v>0</v>
      </c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 x14ac:dyDescent="0.25">
      <c r="A58" s="1" t="s">
        <v>93</v>
      </c>
      <c r="B58" s="1" t="s">
        <v>36</v>
      </c>
      <c r="C58" s="1">
        <v>12.476000000000001</v>
      </c>
      <c r="D58" s="1">
        <v>153.00399999999999</v>
      </c>
      <c r="E58" s="1">
        <v>52.171999999999997</v>
      </c>
      <c r="F58" s="1">
        <v>110.64</v>
      </c>
      <c r="G58" s="8">
        <v>1</v>
      </c>
      <c r="H58" s="1">
        <v>40</v>
      </c>
      <c r="I58" s="1" t="s">
        <v>37</v>
      </c>
      <c r="J58" s="1"/>
      <c r="K58" s="1">
        <v>55</v>
      </c>
      <c r="L58" s="1">
        <f t="shared" si="30"/>
        <v>-2.828000000000003</v>
      </c>
      <c r="M58" s="1">
        <f t="shared" si="7"/>
        <v>52.171999999999997</v>
      </c>
      <c r="N58" s="1"/>
      <c r="O58" s="1">
        <v>0</v>
      </c>
      <c r="P58" s="1"/>
      <c r="Q58" s="1">
        <f t="shared" si="8"/>
        <v>10.4344</v>
      </c>
      <c r="R58" s="5">
        <f t="shared" si="31"/>
        <v>35.441600000000008</v>
      </c>
      <c r="S58" s="5"/>
      <c r="T58" s="5">
        <f t="shared" si="9"/>
        <v>35.441600000000008</v>
      </c>
      <c r="U58" s="5">
        <f t="shared" si="10"/>
        <v>35.441600000000008</v>
      </c>
      <c r="V58" s="5"/>
      <c r="W58" s="5"/>
      <c r="X58" s="5"/>
      <c r="Y58" s="5"/>
      <c r="Z58" s="5"/>
      <c r="AA58" s="5"/>
      <c r="AB58" s="1"/>
      <c r="AC58" s="1"/>
      <c r="AD58" s="1">
        <f t="shared" si="12"/>
        <v>14</v>
      </c>
      <c r="AE58" s="1">
        <f t="shared" si="13"/>
        <v>10.603388790922335</v>
      </c>
      <c r="AF58" s="1">
        <v>10.0336</v>
      </c>
      <c r="AG58" s="1">
        <v>14.316800000000001</v>
      </c>
      <c r="AH58" s="1">
        <v>7.9794</v>
      </c>
      <c r="AI58" s="1">
        <v>6.9054000000000002</v>
      </c>
      <c r="AJ58" s="1">
        <v>6.2113999999999994</v>
      </c>
      <c r="AK58" s="1">
        <v>4.8975999999999997</v>
      </c>
      <c r="AL58" s="1">
        <v>6.1856000000000009</v>
      </c>
      <c r="AM58" s="1">
        <v>10.2956</v>
      </c>
      <c r="AN58" s="1"/>
      <c r="AO58" s="1">
        <f t="shared" si="14"/>
        <v>35</v>
      </c>
      <c r="AP58" s="1">
        <f t="shared" si="15"/>
        <v>0</v>
      </c>
      <c r="AQ58" s="1">
        <f t="shared" si="16"/>
        <v>0</v>
      </c>
      <c r="AR58" s="1">
        <f t="shared" si="17"/>
        <v>0</v>
      </c>
      <c r="AS58" s="1">
        <f t="shared" si="18"/>
        <v>0</v>
      </c>
      <c r="AT58" s="1">
        <f t="shared" si="19"/>
        <v>0</v>
      </c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1:56" x14ac:dyDescent="0.25">
      <c r="A59" s="1" t="s">
        <v>94</v>
      </c>
      <c r="B59" s="1" t="s">
        <v>36</v>
      </c>
      <c r="C59" s="1">
        <v>63.384999999999998</v>
      </c>
      <c r="D59" s="1"/>
      <c r="E59" s="1">
        <v>36.496000000000002</v>
      </c>
      <c r="F59" s="1">
        <v>25.536999999999999</v>
      </c>
      <c r="G59" s="8">
        <v>1</v>
      </c>
      <c r="H59" s="1">
        <v>40</v>
      </c>
      <c r="I59" s="1" t="s">
        <v>37</v>
      </c>
      <c r="J59" s="1"/>
      <c r="K59" s="1">
        <v>34.799999999999997</v>
      </c>
      <c r="L59" s="1">
        <f t="shared" si="30"/>
        <v>1.6960000000000051</v>
      </c>
      <c r="M59" s="1">
        <f t="shared" si="7"/>
        <v>36.496000000000002</v>
      </c>
      <c r="N59" s="1"/>
      <c r="O59" s="1">
        <v>0</v>
      </c>
      <c r="P59" s="1"/>
      <c r="Q59" s="1">
        <f t="shared" si="8"/>
        <v>7.2992000000000008</v>
      </c>
      <c r="R59" s="5">
        <f>11*Q59-P59-O59-F59</f>
        <v>54.754200000000004</v>
      </c>
      <c r="S59" s="5"/>
      <c r="T59" s="5">
        <f t="shared" si="9"/>
        <v>54.754200000000004</v>
      </c>
      <c r="U59" s="5">
        <f t="shared" si="10"/>
        <v>25.597588500000004</v>
      </c>
      <c r="V59" s="5"/>
      <c r="W59" s="5"/>
      <c r="X59" s="5">
        <f t="shared" ref="X59:X62" si="34">$X$1*(T59-W59)-Y59-Z59</f>
        <v>29.1566115</v>
      </c>
      <c r="Y59" s="5"/>
      <c r="Z59" s="5"/>
      <c r="AA59" s="5"/>
      <c r="AB59" s="1"/>
      <c r="AC59" s="1"/>
      <c r="AD59" s="1">
        <f t="shared" si="12"/>
        <v>11</v>
      </c>
      <c r="AE59" s="1">
        <f t="shared" si="13"/>
        <v>3.4986025865848309</v>
      </c>
      <c r="AF59" s="1">
        <v>2.4436</v>
      </c>
      <c r="AG59" s="1">
        <v>1.631</v>
      </c>
      <c r="AH59" s="1">
        <v>1.9201999999999999</v>
      </c>
      <c r="AI59" s="1">
        <v>4.9551999999999996</v>
      </c>
      <c r="AJ59" s="1">
        <v>5.2279999999999998</v>
      </c>
      <c r="AK59" s="1">
        <v>3.0215999999999998</v>
      </c>
      <c r="AL59" s="1">
        <v>1.9358</v>
      </c>
      <c r="AM59" s="1">
        <v>1.9308000000000001</v>
      </c>
      <c r="AN59" s="1"/>
      <c r="AO59" s="1">
        <f t="shared" si="14"/>
        <v>26</v>
      </c>
      <c r="AP59" s="1">
        <f t="shared" si="15"/>
        <v>0</v>
      </c>
      <c r="AQ59" s="1">
        <f t="shared" si="16"/>
        <v>0</v>
      </c>
      <c r="AR59" s="1">
        <f t="shared" si="17"/>
        <v>29</v>
      </c>
      <c r="AS59" s="1">
        <f t="shared" si="18"/>
        <v>0</v>
      </c>
      <c r="AT59" s="1">
        <f t="shared" si="19"/>
        <v>0</v>
      </c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 x14ac:dyDescent="0.25">
      <c r="A60" s="1" t="s">
        <v>96</v>
      </c>
      <c r="B60" s="1" t="s">
        <v>41</v>
      </c>
      <c r="C60" s="1">
        <v>360</v>
      </c>
      <c r="D60" s="1">
        <v>1592</v>
      </c>
      <c r="E60" s="1">
        <v>753</v>
      </c>
      <c r="F60" s="1">
        <v>965</v>
      </c>
      <c r="G60" s="8">
        <v>0.4</v>
      </c>
      <c r="H60" s="1">
        <v>40</v>
      </c>
      <c r="I60" s="1" t="s">
        <v>37</v>
      </c>
      <c r="J60" s="1"/>
      <c r="K60" s="1">
        <v>920</v>
      </c>
      <c r="L60" s="1">
        <f t="shared" si="30"/>
        <v>-167</v>
      </c>
      <c r="M60" s="1">
        <f t="shared" si="7"/>
        <v>753</v>
      </c>
      <c r="N60" s="1"/>
      <c r="O60" s="1">
        <v>224.57600000000019</v>
      </c>
      <c r="P60" s="1">
        <v>200</v>
      </c>
      <c r="Q60" s="1">
        <f t="shared" si="8"/>
        <v>150.6</v>
      </c>
      <c r="R60" s="5">
        <f t="shared" si="31"/>
        <v>718.82399999999984</v>
      </c>
      <c r="S60" s="5"/>
      <c r="T60" s="5">
        <f t="shared" si="9"/>
        <v>718.82399999999984</v>
      </c>
      <c r="U60" s="5">
        <f t="shared" si="10"/>
        <v>336.05021999999997</v>
      </c>
      <c r="V60" s="5"/>
      <c r="W60" s="5"/>
      <c r="X60" s="5">
        <f t="shared" si="34"/>
        <v>382.77377999999987</v>
      </c>
      <c r="Y60" s="5"/>
      <c r="Z60" s="5"/>
      <c r="AA60" s="5"/>
      <c r="AB60" s="1"/>
      <c r="AC60" s="1"/>
      <c r="AD60" s="1">
        <f t="shared" si="12"/>
        <v>14.000000000000002</v>
      </c>
      <c r="AE60" s="1">
        <f t="shared" si="13"/>
        <v>9.2269322709163362</v>
      </c>
      <c r="AF60" s="1">
        <v>182.4</v>
      </c>
      <c r="AG60" s="1">
        <v>162.4</v>
      </c>
      <c r="AH60" s="1">
        <v>141</v>
      </c>
      <c r="AI60" s="1">
        <v>149.19999999999999</v>
      </c>
      <c r="AJ60" s="1">
        <v>132.6</v>
      </c>
      <c r="AK60" s="1">
        <v>109.2</v>
      </c>
      <c r="AL60" s="1">
        <v>108.4</v>
      </c>
      <c r="AM60" s="1">
        <v>128.19999999999999</v>
      </c>
      <c r="AN60" s="1"/>
      <c r="AO60" s="1">
        <f t="shared" si="14"/>
        <v>134</v>
      </c>
      <c r="AP60" s="1">
        <f t="shared" si="15"/>
        <v>0</v>
      </c>
      <c r="AQ60" s="1">
        <f t="shared" si="16"/>
        <v>0</v>
      </c>
      <c r="AR60" s="1">
        <f t="shared" si="17"/>
        <v>153</v>
      </c>
      <c r="AS60" s="1">
        <f t="shared" si="18"/>
        <v>0</v>
      </c>
      <c r="AT60" s="1">
        <f t="shared" si="19"/>
        <v>0</v>
      </c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1:56" x14ac:dyDescent="0.25">
      <c r="A61" s="1" t="s">
        <v>97</v>
      </c>
      <c r="B61" s="1" t="s">
        <v>41</v>
      </c>
      <c r="C61" s="1">
        <v>334</v>
      </c>
      <c r="D61" s="1">
        <v>1078.126</v>
      </c>
      <c r="E61" s="1">
        <v>514</v>
      </c>
      <c r="F61" s="1">
        <v>694</v>
      </c>
      <c r="G61" s="8">
        <v>0.4</v>
      </c>
      <c r="H61" s="1">
        <v>40</v>
      </c>
      <c r="I61" s="1" t="s">
        <v>37</v>
      </c>
      <c r="J61" s="1"/>
      <c r="K61" s="1">
        <v>663</v>
      </c>
      <c r="L61" s="1">
        <f t="shared" si="30"/>
        <v>-149</v>
      </c>
      <c r="M61" s="1">
        <f t="shared" si="7"/>
        <v>514</v>
      </c>
      <c r="N61" s="1"/>
      <c r="O61" s="1">
        <v>119.57599999999999</v>
      </c>
      <c r="P61" s="1"/>
      <c r="Q61" s="1">
        <f t="shared" si="8"/>
        <v>102.8</v>
      </c>
      <c r="R61" s="5">
        <f t="shared" si="31"/>
        <v>625.62400000000002</v>
      </c>
      <c r="S61" s="5"/>
      <c r="T61" s="5">
        <f t="shared" si="9"/>
        <v>625.62400000000002</v>
      </c>
      <c r="U61" s="5">
        <f t="shared" si="10"/>
        <v>292.47922000000005</v>
      </c>
      <c r="V61" s="5"/>
      <c r="W61" s="5"/>
      <c r="X61" s="5">
        <f t="shared" si="34"/>
        <v>333.14477999999997</v>
      </c>
      <c r="Y61" s="5"/>
      <c r="Z61" s="5"/>
      <c r="AA61" s="5"/>
      <c r="AB61" s="1"/>
      <c r="AC61" s="1"/>
      <c r="AD61" s="1">
        <f t="shared" si="12"/>
        <v>14</v>
      </c>
      <c r="AE61" s="1">
        <f t="shared" si="13"/>
        <v>7.9141634241245145</v>
      </c>
      <c r="AF61" s="1">
        <v>114.4</v>
      </c>
      <c r="AG61" s="1">
        <v>112.4</v>
      </c>
      <c r="AH61" s="1">
        <v>104.4</v>
      </c>
      <c r="AI61" s="1">
        <v>112</v>
      </c>
      <c r="AJ61" s="1">
        <v>91.2</v>
      </c>
      <c r="AK61" s="1">
        <v>82</v>
      </c>
      <c r="AL61" s="1">
        <v>82.2</v>
      </c>
      <c r="AM61" s="1">
        <v>90</v>
      </c>
      <c r="AN61" s="1"/>
      <c r="AO61" s="1">
        <f t="shared" si="14"/>
        <v>117</v>
      </c>
      <c r="AP61" s="1">
        <f t="shared" si="15"/>
        <v>0</v>
      </c>
      <c r="AQ61" s="1">
        <f t="shared" si="16"/>
        <v>0</v>
      </c>
      <c r="AR61" s="1">
        <f t="shared" si="17"/>
        <v>133</v>
      </c>
      <c r="AS61" s="1">
        <f t="shared" si="18"/>
        <v>0</v>
      </c>
      <c r="AT61" s="1">
        <f t="shared" si="19"/>
        <v>0</v>
      </c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 x14ac:dyDescent="0.25">
      <c r="A62" s="1" t="s">
        <v>98</v>
      </c>
      <c r="B62" s="1" t="s">
        <v>36</v>
      </c>
      <c r="C62" s="1">
        <v>660.71100000000001</v>
      </c>
      <c r="D62" s="1">
        <v>1837.203</v>
      </c>
      <c r="E62" s="1">
        <v>1158.0509999999999</v>
      </c>
      <c r="F62" s="1">
        <v>486.92399999999998</v>
      </c>
      <c r="G62" s="8">
        <v>1</v>
      </c>
      <c r="H62" s="1">
        <v>40</v>
      </c>
      <c r="I62" s="1" t="s">
        <v>37</v>
      </c>
      <c r="J62" s="1"/>
      <c r="K62" s="1">
        <v>1919.558</v>
      </c>
      <c r="L62" s="1">
        <f t="shared" si="30"/>
        <v>-761.50700000000006</v>
      </c>
      <c r="M62" s="1">
        <f t="shared" si="7"/>
        <v>1158.0509999999999</v>
      </c>
      <c r="N62" s="1"/>
      <c r="O62" s="1">
        <v>0</v>
      </c>
      <c r="P62" s="1"/>
      <c r="Q62" s="1">
        <f t="shared" si="8"/>
        <v>231.61019999999999</v>
      </c>
      <c r="R62" s="5">
        <f>10*Q62-P62-O62-F62</f>
        <v>1829.1779999999999</v>
      </c>
      <c r="S62" s="5"/>
      <c r="T62" s="5">
        <f t="shared" si="9"/>
        <v>1829.1779999999999</v>
      </c>
      <c r="U62" s="5">
        <f t="shared" si="10"/>
        <v>355.140715</v>
      </c>
      <c r="V62" s="5">
        <v>500</v>
      </c>
      <c r="W62" s="5"/>
      <c r="X62" s="5">
        <f t="shared" si="34"/>
        <v>374.03728499999988</v>
      </c>
      <c r="Y62" s="5">
        <v>600</v>
      </c>
      <c r="Z62" s="5"/>
      <c r="AA62" s="5"/>
      <c r="AB62" s="1"/>
      <c r="AC62" s="1"/>
      <c r="AD62" s="1">
        <f t="shared" si="12"/>
        <v>10</v>
      </c>
      <c r="AE62" s="1">
        <f t="shared" si="13"/>
        <v>2.102342642940596</v>
      </c>
      <c r="AF62" s="1">
        <v>130.88919999999999</v>
      </c>
      <c r="AG62" s="1">
        <v>145.9238</v>
      </c>
      <c r="AH62" s="1">
        <v>154.0566</v>
      </c>
      <c r="AI62" s="1">
        <v>143.7722</v>
      </c>
      <c r="AJ62" s="1">
        <v>147.16999999999999</v>
      </c>
      <c r="AK62" s="1">
        <v>132.55840000000001</v>
      </c>
      <c r="AL62" s="1">
        <v>118.876</v>
      </c>
      <c r="AM62" s="1">
        <v>86.885599999999997</v>
      </c>
      <c r="AN62" s="1"/>
      <c r="AO62" s="1">
        <f t="shared" si="14"/>
        <v>355</v>
      </c>
      <c r="AP62" s="1">
        <f t="shared" si="15"/>
        <v>500</v>
      </c>
      <c r="AQ62" s="1">
        <f t="shared" si="16"/>
        <v>0</v>
      </c>
      <c r="AR62" s="1">
        <f t="shared" si="17"/>
        <v>374</v>
      </c>
      <c r="AS62" s="1">
        <f t="shared" si="18"/>
        <v>600</v>
      </c>
      <c r="AT62" s="1">
        <f t="shared" si="19"/>
        <v>0</v>
      </c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 x14ac:dyDescent="0.25">
      <c r="A63" s="1" t="s">
        <v>99</v>
      </c>
      <c r="B63" s="1" t="s">
        <v>36</v>
      </c>
      <c r="C63" s="1">
        <v>66.655000000000001</v>
      </c>
      <c r="D63" s="1">
        <v>293.904</v>
      </c>
      <c r="E63" s="1">
        <v>140.47900000000001</v>
      </c>
      <c r="F63" s="1">
        <v>166.97300000000001</v>
      </c>
      <c r="G63" s="8">
        <v>1</v>
      </c>
      <c r="H63" s="1">
        <v>40</v>
      </c>
      <c r="I63" s="1" t="s">
        <v>37</v>
      </c>
      <c r="J63" s="1"/>
      <c r="K63" s="1">
        <v>253.476</v>
      </c>
      <c r="L63" s="1">
        <f t="shared" si="30"/>
        <v>-112.99699999999999</v>
      </c>
      <c r="M63" s="1">
        <f t="shared" si="7"/>
        <v>99.90300000000002</v>
      </c>
      <c r="N63" s="1">
        <v>40.576000000000001</v>
      </c>
      <c r="O63" s="1">
        <v>157.87530399999989</v>
      </c>
      <c r="P63" s="1"/>
      <c r="Q63" s="1">
        <f t="shared" si="8"/>
        <v>19.980600000000003</v>
      </c>
      <c r="R63" s="5"/>
      <c r="S63" s="5"/>
      <c r="T63" s="5">
        <f t="shared" si="9"/>
        <v>0</v>
      </c>
      <c r="U63" s="5">
        <f t="shared" si="10"/>
        <v>0</v>
      </c>
      <c r="V63" s="5"/>
      <c r="W63" s="5"/>
      <c r="X63" s="5"/>
      <c r="Y63" s="5"/>
      <c r="Z63" s="5"/>
      <c r="AA63" s="5"/>
      <c r="AB63" s="1"/>
      <c r="AC63" s="1"/>
      <c r="AD63" s="1">
        <f t="shared" si="12"/>
        <v>16.25818564007086</v>
      </c>
      <c r="AE63" s="1">
        <f t="shared" si="13"/>
        <v>16.25818564007086</v>
      </c>
      <c r="AF63" s="1">
        <v>38.773400000000002</v>
      </c>
      <c r="AG63" s="1">
        <v>30.109600000000011</v>
      </c>
      <c r="AH63" s="1">
        <v>11.0832</v>
      </c>
      <c r="AI63" s="1">
        <v>20.750800000000002</v>
      </c>
      <c r="AJ63" s="1">
        <v>39.793799999999997</v>
      </c>
      <c r="AK63" s="1">
        <v>35.145799999999987</v>
      </c>
      <c r="AL63" s="1">
        <v>28.92</v>
      </c>
      <c r="AM63" s="1">
        <v>35.021999999999998</v>
      </c>
      <c r="AN63" s="1"/>
      <c r="AO63" s="1">
        <f t="shared" si="14"/>
        <v>0</v>
      </c>
      <c r="AP63" s="1">
        <f t="shared" si="15"/>
        <v>0</v>
      </c>
      <c r="AQ63" s="1">
        <f t="shared" si="16"/>
        <v>0</v>
      </c>
      <c r="AR63" s="1">
        <f t="shared" si="17"/>
        <v>0</v>
      </c>
      <c r="AS63" s="1">
        <f t="shared" si="18"/>
        <v>0</v>
      </c>
      <c r="AT63" s="1">
        <f t="shared" si="19"/>
        <v>0</v>
      </c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 x14ac:dyDescent="0.25">
      <c r="A64" s="1" t="s">
        <v>100</v>
      </c>
      <c r="B64" s="1" t="s">
        <v>36</v>
      </c>
      <c r="C64" s="1">
        <v>12.532</v>
      </c>
      <c r="D64" s="1">
        <v>185.26</v>
      </c>
      <c r="E64" s="1">
        <v>146.24199999999999</v>
      </c>
      <c r="F64" s="1">
        <v>1.5920000000000001</v>
      </c>
      <c r="G64" s="8">
        <v>1</v>
      </c>
      <c r="H64" s="1">
        <v>40</v>
      </c>
      <c r="I64" s="1" t="s">
        <v>37</v>
      </c>
      <c r="J64" s="1"/>
      <c r="K64" s="1">
        <v>457.86399999999998</v>
      </c>
      <c r="L64" s="1">
        <f t="shared" si="30"/>
        <v>-311.62199999999996</v>
      </c>
      <c r="M64" s="1">
        <f t="shared" si="7"/>
        <v>97.177999999999997</v>
      </c>
      <c r="N64" s="1">
        <v>49.064</v>
      </c>
      <c r="O64" s="1">
        <v>187.47400000000019</v>
      </c>
      <c r="P64" s="1"/>
      <c r="Q64" s="1">
        <f t="shared" si="8"/>
        <v>19.435600000000001</v>
      </c>
      <c r="R64" s="5">
        <f t="shared" si="31"/>
        <v>83.032399999999839</v>
      </c>
      <c r="S64" s="5"/>
      <c r="T64" s="5">
        <f t="shared" si="9"/>
        <v>83.032399999999839</v>
      </c>
      <c r="U64" s="5">
        <f t="shared" si="10"/>
        <v>38.81764699999993</v>
      </c>
      <c r="V64" s="5"/>
      <c r="W64" s="5"/>
      <c r="X64" s="5">
        <f>$X$1*(T64-W64)-Y64-Z64</f>
        <v>44.214752999999909</v>
      </c>
      <c r="Y64" s="5"/>
      <c r="Z64" s="5"/>
      <c r="AA64" s="5"/>
      <c r="AB64" s="1"/>
      <c r="AC64" s="1"/>
      <c r="AD64" s="1">
        <f t="shared" si="12"/>
        <v>14</v>
      </c>
      <c r="AE64" s="1">
        <f t="shared" si="13"/>
        <v>9.7278190536952902</v>
      </c>
      <c r="AF64" s="1">
        <v>27.9544</v>
      </c>
      <c r="AG64" s="1">
        <v>15.6214</v>
      </c>
      <c r="AH64" s="1">
        <v>30.359200000000001</v>
      </c>
      <c r="AI64" s="1">
        <v>25.82180000000001</v>
      </c>
      <c r="AJ64" s="1">
        <v>32.968800000000002</v>
      </c>
      <c r="AK64" s="1">
        <v>35.78860000000001</v>
      </c>
      <c r="AL64" s="1">
        <v>48.407200000000003</v>
      </c>
      <c r="AM64" s="1">
        <v>42.871199999999988</v>
      </c>
      <c r="AN64" s="1"/>
      <c r="AO64" s="1">
        <f t="shared" si="14"/>
        <v>39</v>
      </c>
      <c r="AP64" s="1">
        <f t="shared" si="15"/>
        <v>0</v>
      </c>
      <c r="AQ64" s="1">
        <f t="shared" si="16"/>
        <v>0</v>
      </c>
      <c r="AR64" s="1">
        <f t="shared" si="17"/>
        <v>44</v>
      </c>
      <c r="AS64" s="1">
        <f t="shared" si="18"/>
        <v>0</v>
      </c>
      <c r="AT64" s="1">
        <f t="shared" si="19"/>
        <v>0</v>
      </c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 x14ac:dyDescent="0.25">
      <c r="A65" s="1" t="s">
        <v>101</v>
      </c>
      <c r="B65" s="1" t="s">
        <v>36</v>
      </c>
      <c r="C65" s="1">
        <v>58.841999999999999</v>
      </c>
      <c r="D65" s="1">
        <v>70.427999999999997</v>
      </c>
      <c r="E65" s="1">
        <v>48.996000000000002</v>
      </c>
      <c r="F65" s="1">
        <v>77.394000000000005</v>
      </c>
      <c r="G65" s="8">
        <v>1</v>
      </c>
      <c r="H65" s="1">
        <v>30</v>
      </c>
      <c r="I65" s="1" t="s">
        <v>37</v>
      </c>
      <c r="J65" s="1"/>
      <c r="K65" s="1">
        <v>49.4</v>
      </c>
      <c r="L65" s="1">
        <f t="shared" si="30"/>
        <v>-0.40399999999999636</v>
      </c>
      <c r="M65" s="1">
        <f t="shared" si="7"/>
        <v>48.996000000000002</v>
      </c>
      <c r="N65" s="1"/>
      <c r="O65" s="1">
        <v>54.918256</v>
      </c>
      <c r="P65" s="1"/>
      <c r="Q65" s="1">
        <f t="shared" si="8"/>
        <v>9.7992000000000008</v>
      </c>
      <c r="R65" s="5"/>
      <c r="S65" s="5"/>
      <c r="T65" s="5">
        <f t="shared" si="9"/>
        <v>0</v>
      </c>
      <c r="U65" s="5">
        <f t="shared" si="10"/>
        <v>0</v>
      </c>
      <c r="V65" s="5"/>
      <c r="W65" s="5"/>
      <c r="X65" s="5"/>
      <c r="Y65" s="5"/>
      <c r="Z65" s="5"/>
      <c r="AA65" s="5"/>
      <c r="AB65" s="1"/>
      <c r="AC65" s="1"/>
      <c r="AD65" s="1">
        <f t="shared" si="12"/>
        <v>13.502352845130213</v>
      </c>
      <c r="AE65" s="1">
        <f t="shared" si="13"/>
        <v>13.502352845130213</v>
      </c>
      <c r="AF65" s="1">
        <v>16.130199999999999</v>
      </c>
      <c r="AG65" s="1">
        <v>12.4094</v>
      </c>
      <c r="AH65" s="1">
        <v>14.855</v>
      </c>
      <c r="AI65" s="1">
        <v>16.055199999999999</v>
      </c>
      <c r="AJ65" s="1">
        <v>11.606999999999999</v>
      </c>
      <c r="AK65" s="1">
        <v>9.7897999999999996</v>
      </c>
      <c r="AL65" s="1">
        <v>10.714600000000001</v>
      </c>
      <c r="AM65" s="1">
        <v>10.331799999999999</v>
      </c>
      <c r="AN65" s="1"/>
      <c r="AO65" s="1">
        <f t="shared" si="14"/>
        <v>0</v>
      </c>
      <c r="AP65" s="1">
        <f t="shared" si="15"/>
        <v>0</v>
      </c>
      <c r="AQ65" s="1">
        <f t="shared" si="16"/>
        <v>0</v>
      </c>
      <c r="AR65" s="1">
        <f t="shared" si="17"/>
        <v>0</v>
      </c>
      <c r="AS65" s="1">
        <f t="shared" si="18"/>
        <v>0</v>
      </c>
      <c r="AT65" s="1">
        <f t="shared" si="19"/>
        <v>0</v>
      </c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 x14ac:dyDescent="0.25">
      <c r="A66" s="1" t="s">
        <v>102</v>
      </c>
      <c r="B66" s="1" t="s">
        <v>41</v>
      </c>
      <c r="C66" s="1">
        <v>-2</v>
      </c>
      <c r="D66" s="1">
        <v>385</v>
      </c>
      <c r="E66" s="1">
        <v>212</v>
      </c>
      <c r="F66" s="1">
        <v>147</v>
      </c>
      <c r="G66" s="8">
        <v>0.6</v>
      </c>
      <c r="H66" s="1">
        <v>60</v>
      </c>
      <c r="I66" s="12" t="s">
        <v>103</v>
      </c>
      <c r="J66" s="1"/>
      <c r="K66" s="1">
        <v>213</v>
      </c>
      <c r="L66" s="1">
        <f t="shared" si="30"/>
        <v>-1</v>
      </c>
      <c r="M66" s="1">
        <f t="shared" si="7"/>
        <v>212</v>
      </c>
      <c r="N66" s="1"/>
      <c r="O66" s="1">
        <v>222.08</v>
      </c>
      <c r="P66" s="1">
        <v>200</v>
      </c>
      <c r="Q66" s="1">
        <f t="shared" si="8"/>
        <v>42.4</v>
      </c>
      <c r="R66" s="5"/>
      <c r="S66" s="5"/>
      <c r="T66" s="5">
        <f t="shared" si="9"/>
        <v>0</v>
      </c>
      <c r="U66" s="5">
        <f t="shared" si="10"/>
        <v>0</v>
      </c>
      <c r="V66" s="5"/>
      <c r="W66" s="5"/>
      <c r="X66" s="5"/>
      <c r="Y66" s="5"/>
      <c r="Z66" s="5"/>
      <c r="AA66" s="5"/>
      <c r="AB66" s="1"/>
      <c r="AC66" s="1"/>
      <c r="AD66" s="1">
        <f t="shared" si="12"/>
        <v>13.421698113207549</v>
      </c>
      <c r="AE66" s="1">
        <f t="shared" si="13"/>
        <v>13.421698113207549</v>
      </c>
      <c r="AF66" s="1">
        <v>57</v>
      </c>
      <c r="AG66" s="1">
        <v>42</v>
      </c>
      <c r="AH66" s="1">
        <v>33.799999999999997</v>
      </c>
      <c r="AI66" s="1">
        <v>18.2</v>
      </c>
      <c r="AJ66" s="1">
        <v>16.2</v>
      </c>
      <c r="AK66" s="1">
        <v>15.6</v>
      </c>
      <c r="AL66" s="1">
        <v>19.399999999999999</v>
      </c>
      <c r="AM66" s="1">
        <v>21.4</v>
      </c>
      <c r="AN66" s="1" t="s">
        <v>42</v>
      </c>
      <c r="AO66" s="1">
        <f t="shared" si="14"/>
        <v>0</v>
      </c>
      <c r="AP66" s="1">
        <f t="shared" si="15"/>
        <v>0</v>
      </c>
      <c r="AQ66" s="1">
        <f t="shared" si="16"/>
        <v>0</v>
      </c>
      <c r="AR66" s="1">
        <f t="shared" si="17"/>
        <v>0</v>
      </c>
      <c r="AS66" s="1">
        <f t="shared" si="18"/>
        <v>0</v>
      </c>
      <c r="AT66" s="1">
        <f t="shared" si="19"/>
        <v>0</v>
      </c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1:56" x14ac:dyDescent="0.25">
      <c r="A67" s="10" t="s">
        <v>104</v>
      </c>
      <c r="B67" s="1" t="s">
        <v>41</v>
      </c>
      <c r="C67" s="1"/>
      <c r="D67" s="1">
        <v>184</v>
      </c>
      <c r="E67" s="1">
        <v>167</v>
      </c>
      <c r="F67" s="1">
        <v>17</v>
      </c>
      <c r="G67" s="8">
        <v>0.6</v>
      </c>
      <c r="H67" s="1">
        <v>60</v>
      </c>
      <c r="I67" s="1" t="s">
        <v>37</v>
      </c>
      <c r="J67" s="1"/>
      <c r="K67" s="1">
        <v>168</v>
      </c>
      <c r="L67" s="1">
        <f t="shared" si="30"/>
        <v>-1</v>
      </c>
      <c r="M67" s="1">
        <f t="shared" si="7"/>
        <v>167</v>
      </c>
      <c r="N67" s="1"/>
      <c r="O67" s="1"/>
      <c r="P67" s="1"/>
      <c r="Q67" s="1">
        <f t="shared" si="8"/>
        <v>33.4</v>
      </c>
      <c r="R67" s="5">
        <f>9*Q67-P67-O67-F67</f>
        <v>283.59999999999997</v>
      </c>
      <c r="S67" s="5"/>
      <c r="T67" s="5">
        <f t="shared" si="9"/>
        <v>283.59999999999997</v>
      </c>
      <c r="U67" s="5">
        <f t="shared" si="10"/>
        <v>132.583</v>
      </c>
      <c r="V67" s="5"/>
      <c r="W67" s="5"/>
      <c r="X67" s="5">
        <f>$X$1*(T67-W67)-Y67-Z67</f>
        <v>151.01699999999997</v>
      </c>
      <c r="Y67" s="5"/>
      <c r="Z67" s="5"/>
      <c r="AA67" s="5"/>
      <c r="AB67" s="1"/>
      <c r="AC67" s="1"/>
      <c r="AD67" s="1">
        <f t="shared" si="12"/>
        <v>9</v>
      </c>
      <c r="AE67" s="1">
        <f t="shared" si="13"/>
        <v>0.50898203592814373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 t="s">
        <v>131</v>
      </c>
      <c r="AO67" s="1">
        <f t="shared" si="14"/>
        <v>80</v>
      </c>
      <c r="AP67" s="1">
        <f t="shared" si="15"/>
        <v>0</v>
      </c>
      <c r="AQ67" s="1">
        <f t="shared" si="16"/>
        <v>0</v>
      </c>
      <c r="AR67" s="1">
        <f t="shared" si="17"/>
        <v>91</v>
      </c>
      <c r="AS67" s="1">
        <f t="shared" si="18"/>
        <v>0</v>
      </c>
      <c r="AT67" s="1">
        <f t="shared" si="19"/>
        <v>0</v>
      </c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x14ac:dyDescent="0.25">
      <c r="A68" s="17" t="s">
        <v>105</v>
      </c>
      <c r="B68" s="17" t="s">
        <v>41</v>
      </c>
      <c r="C68" s="17"/>
      <c r="D68" s="17"/>
      <c r="E68" s="17"/>
      <c r="F68" s="17"/>
      <c r="G68" s="18">
        <v>0</v>
      </c>
      <c r="H68" s="17">
        <v>50</v>
      </c>
      <c r="I68" s="17" t="s">
        <v>37</v>
      </c>
      <c r="J68" s="17"/>
      <c r="K68" s="17"/>
      <c r="L68" s="17">
        <f t="shared" si="30"/>
        <v>0</v>
      </c>
      <c r="M68" s="17">
        <f t="shared" si="7"/>
        <v>0</v>
      </c>
      <c r="N68" s="17"/>
      <c r="O68" s="17">
        <v>0</v>
      </c>
      <c r="P68" s="17"/>
      <c r="Q68" s="17">
        <f t="shared" si="8"/>
        <v>0</v>
      </c>
      <c r="R68" s="19"/>
      <c r="S68" s="19"/>
      <c r="T68" s="5">
        <f t="shared" si="9"/>
        <v>0</v>
      </c>
      <c r="U68" s="5">
        <f t="shared" si="10"/>
        <v>0</v>
      </c>
      <c r="V68" s="5"/>
      <c r="W68" s="5"/>
      <c r="X68" s="5"/>
      <c r="Y68" s="5"/>
      <c r="Z68" s="5"/>
      <c r="AA68" s="19"/>
      <c r="AB68" s="17"/>
      <c r="AC68" s="17"/>
      <c r="AD68" s="1" t="e">
        <f t="shared" si="12"/>
        <v>#DIV/0!</v>
      </c>
      <c r="AE68" s="17" t="e">
        <f t="shared" si="13"/>
        <v>#DIV/0!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 t="s">
        <v>52</v>
      </c>
      <c r="AO68" s="1">
        <f t="shared" si="14"/>
        <v>0</v>
      </c>
      <c r="AP68" s="1">
        <f t="shared" si="15"/>
        <v>0</v>
      </c>
      <c r="AQ68" s="1">
        <f t="shared" si="16"/>
        <v>0</v>
      </c>
      <c r="AR68" s="1">
        <f t="shared" si="17"/>
        <v>0</v>
      </c>
      <c r="AS68" s="1">
        <f t="shared" si="18"/>
        <v>0</v>
      </c>
      <c r="AT68" s="1">
        <f t="shared" si="19"/>
        <v>0</v>
      </c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 x14ac:dyDescent="0.25">
      <c r="A69" s="17" t="s">
        <v>106</v>
      </c>
      <c r="B69" s="17" t="s">
        <v>41</v>
      </c>
      <c r="C69" s="17"/>
      <c r="D69" s="17"/>
      <c r="E69" s="17"/>
      <c r="F69" s="17"/>
      <c r="G69" s="18">
        <v>0</v>
      </c>
      <c r="H69" s="17">
        <v>30</v>
      </c>
      <c r="I69" s="17" t="s">
        <v>37</v>
      </c>
      <c r="J69" s="17"/>
      <c r="K69" s="17"/>
      <c r="L69" s="17">
        <f t="shared" si="30"/>
        <v>0</v>
      </c>
      <c r="M69" s="17">
        <f t="shared" si="7"/>
        <v>0</v>
      </c>
      <c r="N69" s="17"/>
      <c r="O69" s="17">
        <v>0</v>
      </c>
      <c r="P69" s="17"/>
      <c r="Q69" s="17">
        <f t="shared" si="8"/>
        <v>0</v>
      </c>
      <c r="R69" s="19"/>
      <c r="S69" s="19"/>
      <c r="T69" s="5">
        <f t="shared" si="9"/>
        <v>0</v>
      </c>
      <c r="U69" s="5">
        <f t="shared" si="10"/>
        <v>0</v>
      </c>
      <c r="V69" s="5"/>
      <c r="W69" s="5"/>
      <c r="X69" s="5"/>
      <c r="Y69" s="5"/>
      <c r="Z69" s="5"/>
      <c r="AA69" s="19"/>
      <c r="AB69" s="17"/>
      <c r="AC69" s="17"/>
      <c r="AD69" s="1" t="e">
        <f t="shared" si="12"/>
        <v>#DIV/0!</v>
      </c>
      <c r="AE69" s="17" t="e">
        <f t="shared" si="13"/>
        <v>#DIV/0!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 t="s">
        <v>52</v>
      </c>
      <c r="AO69" s="1">
        <f t="shared" si="14"/>
        <v>0</v>
      </c>
      <c r="AP69" s="1">
        <f t="shared" si="15"/>
        <v>0</v>
      </c>
      <c r="AQ69" s="1">
        <f t="shared" si="16"/>
        <v>0</v>
      </c>
      <c r="AR69" s="1">
        <f t="shared" si="17"/>
        <v>0</v>
      </c>
      <c r="AS69" s="1">
        <f t="shared" si="18"/>
        <v>0</v>
      </c>
      <c r="AT69" s="1">
        <f t="shared" si="19"/>
        <v>0</v>
      </c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x14ac:dyDescent="0.25">
      <c r="A70" s="1" t="s">
        <v>107</v>
      </c>
      <c r="B70" s="1" t="s">
        <v>41</v>
      </c>
      <c r="C70" s="1">
        <v>77</v>
      </c>
      <c r="D70" s="1">
        <v>370</v>
      </c>
      <c r="E70" s="1">
        <v>138</v>
      </c>
      <c r="F70" s="1">
        <v>304</v>
      </c>
      <c r="G70" s="8">
        <v>0.6</v>
      </c>
      <c r="H70" s="1">
        <v>55</v>
      </c>
      <c r="I70" s="12" t="s">
        <v>103</v>
      </c>
      <c r="J70" s="1"/>
      <c r="K70" s="1">
        <v>139</v>
      </c>
      <c r="L70" s="1">
        <f t="shared" ref="L70:L94" si="35">E70-K70</f>
        <v>-1</v>
      </c>
      <c r="M70" s="1">
        <f t="shared" si="7"/>
        <v>138</v>
      </c>
      <c r="N70" s="1"/>
      <c r="O70" s="1">
        <v>300</v>
      </c>
      <c r="P70" s="1"/>
      <c r="Q70" s="1">
        <f t="shared" si="8"/>
        <v>27.6</v>
      </c>
      <c r="R70" s="5"/>
      <c r="S70" s="5"/>
      <c r="T70" s="5">
        <f t="shared" si="9"/>
        <v>0</v>
      </c>
      <c r="U70" s="5">
        <f t="shared" si="10"/>
        <v>0</v>
      </c>
      <c r="V70" s="5"/>
      <c r="W70" s="5"/>
      <c r="X70" s="5"/>
      <c r="Y70" s="5"/>
      <c r="Z70" s="5"/>
      <c r="AA70" s="5"/>
      <c r="AB70" s="1"/>
      <c r="AC70" s="1"/>
      <c r="AD70" s="1">
        <f t="shared" si="12"/>
        <v>21.884057971014492</v>
      </c>
      <c r="AE70" s="1">
        <f t="shared" si="13"/>
        <v>21.884057971014492</v>
      </c>
      <c r="AF70" s="1">
        <v>30.6</v>
      </c>
      <c r="AG70" s="1">
        <v>37.4</v>
      </c>
      <c r="AH70" s="1">
        <v>31</v>
      </c>
      <c r="AI70" s="1">
        <v>16</v>
      </c>
      <c r="AJ70" s="1">
        <v>12.4</v>
      </c>
      <c r="AK70" s="1">
        <v>10</v>
      </c>
      <c r="AL70" s="1">
        <v>10.6</v>
      </c>
      <c r="AM70" s="1">
        <v>15.2</v>
      </c>
      <c r="AN70" s="1"/>
      <c r="AO70" s="1">
        <f t="shared" si="14"/>
        <v>0</v>
      </c>
      <c r="AP70" s="1">
        <f t="shared" si="15"/>
        <v>0</v>
      </c>
      <c r="AQ70" s="1">
        <f t="shared" si="16"/>
        <v>0</v>
      </c>
      <c r="AR70" s="1">
        <f t="shared" si="17"/>
        <v>0</v>
      </c>
      <c r="AS70" s="1">
        <f t="shared" si="18"/>
        <v>0</v>
      </c>
      <c r="AT70" s="1">
        <f t="shared" si="19"/>
        <v>0</v>
      </c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 x14ac:dyDescent="0.25">
      <c r="A71" s="17" t="s">
        <v>108</v>
      </c>
      <c r="B71" s="17" t="s">
        <v>41</v>
      </c>
      <c r="C71" s="17"/>
      <c r="D71" s="17"/>
      <c r="E71" s="17"/>
      <c r="F71" s="17"/>
      <c r="G71" s="18">
        <v>0</v>
      </c>
      <c r="H71" s="17">
        <v>40</v>
      </c>
      <c r="I71" s="17" t="s">
        <v>37</v>
      </c>
      <c r="J71" s="17"/>
      <c r="K71" s="17"/>
      <c r="L71" s="17">
        <f t="shared" si="35"/>
        <v>0</v>
      </c>
      <c r="M71" s="17">
        <f t="shared" ref="M71:M94" si="36">E71-N71</f>
        <v>0</v>
      </c>
      <c r="N71" s="17"/>
      <c r="O71" s="17">
        <v>0</v>
      </c>
      <c r="P71" s="17"/>
      <c r="Q71" s="17">
        <f t="shared" ref="Q71:Q94" si="37">M71/5</f>
        <v>0</v>
      </c>
      <c r="R71" s="19"/>
      <c r="S71" s="19"/>
      <c r="T71" s="5">
        <f t="shared" ref="T71:T94" si="38">S71+R71</f>
        <v>0</v>
      </c>
      <c r="U71" s="5">
        <f t="shared" ref="U71:U94" si="39">T71-V71-W71-X71-Y71-Z71</f>
        <v>0</v>
      </c>
      <c r="V71" s="5"/>
      <c r="W71" s="5"/>
      <c r="X71" s="5"/>
      <c r="Y71" s="5"/>
      <c r="Z71" s="5"/>
      <c r="AA71" s="19"/>
      <c r="AB71" s="17"/>
      <c r="AC71" s="17"/>
      <c r="AD71" s="1" t="e">
        <f t="shared" ref="AD71:AD94" si="40">(F71+O71+P71+T71)/Q71</f>
        <v>#DIV/0!</v>
      </c>
      <c r="AE71" s="17" t="e">
        <f t="shared" ref="AE71:AE94" si="41">(F71+O71+P71)/Q71</f>
        <v>#DIV/0!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 t="s">
        <v>109</v>
      </c>
      <c r="AO71" s="1">
        <f t="shared" ref="AO71:AO94" si="42">ROUND(G71*U71,0)</f>
        <v>0</v>
      </c>
      <c r="AP71" s="1">
        <f t="shared" ref="AP71:AP94" si="43">ROUND(G71*V71,0)</f>
        <v>0</v>
      </c>
      <c r="AQ71" s="1">
        <f t="shared" ref="AQ71:AQ94" si="44">ROUND(G71*W71,0)</f>
        <v>0</v>
      </c>
      <c r="AR71" s="1">
        <f t="shared" ref="AR71:AR94" si="45">ROUND(G71*X71,0)</f>
        <v>0</v>
      </c>
      <c r="AS71" s="1">
        <f t="shared" ref="AS71:AS94" si="46">ROUND(G71*Y71,0)</f>
        <v>0</v>
      </c>
      <c r="AT71" s="1">
        <f t="shared" ref="AT71:AT94" si="47">ROUND(G71*Z71,0)</f>
        <v>0</v>
      </c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x14ac:dyDescent="0.25">
      <c r="A72" s="1" t="s">
        <v>110</v>
      </c>
      <c r="B72" s="1" t="s">
        <v>41</v>
      </c>
      <c r="C72" s="1">
        <v>30</v>
      </c>
      <c r="D72" s="1">
        <v>80</v>
      </c>
      <c r="E72" s="1">
        <v>56</v>
      </c>
      <c r="F72" s="1">
        <v>46</v>
      </c>
      <c r="G72" s="8">
        <v>0.4</v>
      </c>
      <c r="H72" s="1">
        <v>50</v>
      </c>
      <c r="I72" s="1" t="s">
        <v>37</v>
      </c>
      <c r="J72" s="1"/>
      <c r="K72" s="1">
        <v>58</v>
      </c>
      <c r="L72" s="1">
        <f t="shared" si="35"/>
        <v>-2</v>
      </c>
      <c r="M72" s="1">
        <f t="shared" si="36"/>
        <v>56</v>
      </c>
      <c r="N72" s="1"/>
      <c r="O72" s="1">
        <v>25.799999999999979</v>
      </c>
      <c r="P72" s="1"/>
      <c r="Q72" s="1">
        <f t="shared" si="37"/>
        <v>11.2</v>
      </c>
      <c r="R72" s="5">
        <f>14*Q72-P72-O72-F72</f>
        <v>85</v>
      </c>
      <c r="S72" s="5"/>
      <c r="T72" s="5">
        <f t="shared" si="38"/>
        <v>85</v>
      </c>
      <c r="U72" s="5">
        <f t="shared" si="39"/>
        <v>39.737500000000004</v>
      </c>
      <c r="V72" s="5"/>
      <c r="W72" s="5"/>
      <c r="X72" s="5">
        <f>$X$1*(T72-W72)-Y72-Z72</f>
        <v>45.262499999999996</v>
      </c>
      <c r="Y72" s="5"/>
      <c r="Z72" s="5"/>
      <c r="AA72" s="5"/>
      <c r="AB72" s="1"/>
      <c r="AC72" s="1"/>
      <c r="AD72" s="1">
        <f t="shared" si="40"/>
        <v>14</v>
      </c>
      <c r="AE72" s="1">
        <f t="shared" si="41"/>
        <v>6.4107142857142847</v>
      </c>
      <c r="AF72" s="1">
        <v>9.1999999999999993</v>
      </c>
      <c r="AG72" s="1">
        <v>8.6</v>
      </c>
      <c r="AH72" s="1">
        <v>9.8000000000000007</v>
      </c>
      <c r="AI72" s="1">
        <v>8.4</v>
      </c>
      <c r="AJ72" s="1">
        <v>7.4</v>
      </c>
      <c r="AK72" s="1">
        <v>12</v>
      </c>
      <c r="AL72" s="1">
        <v>12</v>
      </c>
      <c r="AM72" s="1">
        <v>9</v>
      </c>
      <c r="AN72" s="1" t="s">
        <v>42</v>
      </c>
      <c r="AO72" s="1">
        <f t="shared" si="42"/>
        <v>16</v>
      </c>
      <c r="AP72" s="1">
        <f t="shared" si="43"/>
        <v>0</v>
      </c>
      <c r="AQ72" s="1">
        <f t="shared" si="44"/>
        <v>0</v>
      </c>
      <c r="AR72" s="1">
        <f t="shared" si="45"/>
        <v>18</v>
      </c>
      <c r="AS72" s="1">
        <f t="shared" si="46"/>
        <v>0</v>
      </c>
      <c r="AT72" s="1">
        <f t="shared" si="47"/>
        <v>0</v>
      </c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 x14ac:dyDescent="0.25">
      <c r="A73" s="17" t="s">
        <v>111</v>
      </c>
      <c r="B73" s="17" t="s">
        <v>41</v>
      </c>
      <c r="C73" s="17"/>
      <c r="D73" s="17"/>
      <c r="E73" s="17"/>
      <c r="F73" s="17"/>
      <c r="G73" s="18">
        <v>0</v>
      </c>
      <c r="H73" s="17">
        <v>55</v>
      </c>
      <c r="I73" s="17" t="s">
        <v>37</v>
      </c>
      <c r="J73" s="17"/>
      <c r="K73" s="17"/>
      <c r="L73" s="17">
        <f t="shared" si="35"/>
        <v>0</v>
      </c>
      <c r="M73" s="17">
        <f t="shared" si="36"/>
        <v>0</v>
      </c>
      <c r="N73" s="17"/>
      <c r="O73" s="17">
        <v>0</v>
      </c>
      <c r="P73" s="17"/>
      <c r="Q73" s="17">
        <f t="shared" si="37"/>
        <v>0</v>
      </c>
      <c r="R73" s="19"/>
      <c r="S73" s="19"/>
      <c r="T73" s="5">
        <f t="shared" si="38"/>
        <v>0</v>
      </c>
      <c r="U73" s="5">
        <f t="shared" si="39"/>
        <v>0</v>
      </c>
      <c r="V73" s="5"/>
      <c r="W73" s="5"/>
      <c r="X73" s="5"/>
      <c r="Y73" s="5"/>
      <c r="Z73" s="5"/>
      <c r="AA73" s="19"/>
      <c r="AB73" s="17"/>
      <c r="AC73" s="17"/>
      <c r="AD73" s="1" t="e">
        <f t="shared" si="40"/>
        <v>#DIV/0!</v>
      </c>
      <c r="AE73" s="17" t="e">
        <f t="shared" si="41"/>
        <v>#DIV/0!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 t="s">
        <v>112</v>
      </c>
      <c r="AO73" s="1">
        <f t="shared" si="42"/>
        <v>0</v>
      </c>
      <c r="AP73" s="1">
        <f t="shared" si="43"/>
        <v>0</v>
      </c>
      <c r="AQ73" s="1">
        <f t="shared" si="44"/>
        <v>0</v>
      </c>
      <c r="AR73" s="1">
        <f t="shared" si="45"/>
        <v>0</v>
      </c>
      <c r="AS73" s="1">
        <f t="shared" si="46"/>
        <v>0</v>
      </c>
      <c r="AT73" s="1">
        <f t="shared" si="47"/>
        <v>0</v>
      </c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x14ac:dyDescent="0.25">
      <c r="A74" s="1" t="s">
        <v>113</v>
      </c>
      <c r="B74" s="1" t="s">
        <v>36</v>
      </c>
      <c r="C74" s="1">
        <v>15.726000000000001</v>
      </c>
      <c r="D74" s="1">
        <v>11.629</v>
      </c>
      <c r="E74" s="1">
        <v>2.8719999999999999</v>
      </c>
      <c r="F74" s="1">
        <v>24.483000000000001</v>
      </c>
      <c r="G74" s="8">
        <v>1</v>
      </c>
      <c r="H74" s="1">
        <v>55</v>
      </c>
      <c r="I74" s="1" t="s">
        <v>37</v>
      </c>
      <c r="J74" s="1"/>
      <c r="K74" s="1">
        <v>2.6</v>
      </c>
      <c r="L74" s="1">
        <f t="shared" si="35"/>
        <v>0.2719999999999998</v>
      </c>
      <c r="M74" s="1">
        <f t="shared" si="36"/>
        <v>2.8719999999999999</v>
      </c>
      <c r="N74" s="1"/>
      <c r="O74" s="1">
        <v>0</v>
      </c>
      <c r="P74" s="1"/>
      <c r="Q74" s="1">
        <f t="shared" si="37"/>
        <v>0.57440000000000002</v>
      </c>
      <c r="R74" s="5"/>
      <c r="S74" s="5"/>
      <c r="T74" s="5">
        <f t="shared" si="38"/>
        <v>0</v>
      </c>
      <c r="U74" s="5">
        <f t="shared" si="39"/>
        <v>0</v>
      </c>
      <c r="V74" s="5"/>
      <c r="W74" s="5"/>
      <c r="X74" s="5"/>
      <c r="Y74" s="5"/>
      <c r="Z74" s="5"/>
      <c r="AA74" s="5"/>
      <c r="AB74" s="1"/>
      <c r="AC74" s="1"/>
      <c r="AD74" s="1">
        <f t="shared" si="40"/>
        <v>42.62360724233983</v>
      </c>
      <c r="AE74" s="1">
        <f t="shared" si="41"/>
        <v>42.62360724233983</v>
      </c>
      <c r="AF74" s="1">
        <v>1.1484000000000001</v>
      </c>
      <c r="AG74" s="1">
        <v>1.4388000000000001</v>
      </c>
      <c r="AH74" s="1">
        <v>1.7248000000000001</v>
      </c>
      <c r="AI74" s="1">
        <v>1.1499999999999999</v>
      </c>
      <c r="AJ74" s="1">
        <v>0.28799999999999998</v>
      </c>
      <c r="AK74" s="1">
        <v>0.86720000000000008</v>
      </c>
      <c r="AL74" s="1">
        <v>2.3111999999999999</v>
      </c>
      <c r="AM74" s="1">
        <v>2.8879999999999999</v>
      </c>
      <c r="AN74" s="21" t="s">
        <v>95</v>
      </c>
      <c r="AO74" s="1">
        <f t="shared" si="42"/>
        <v>0</v>
      </c>
      <c r="AP74" s="1">
        <f t="shared" si="43"/>
        <v>0</v>
      </c>
      <c r="AQ74" s="1">
        <f t="shared" si="44"/>
        <v>0</v>
      </c>
      <c r="AR74" s="1">
        <f t="shared" si="45"/>
        <v>0</v>
      </c>
      <c r="AS74" s="1">
        <f t="shared" si="46"/>
        <v>0</v>
      </c>
      <c r="AT74" s="1">
        <f t="shared" si="47"/>
        <v>0</v>
      </c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 x14ac:dyDescent="0.25">
      <c r="A75" s="1" t="s">
        <v>114</v>
      </c>
      <c r="B75" s="1" t="s">
        <v>36</v>
      </c>
      <c r="C75" s="1">
        <v>2389.4899999999998</v>
      </c>
      <c r="D75" s="1">
        <v>2154.2550000000001</v>
      </c>
      <c r="E75" s="1">
        <v>2218.317</v>
      </c>
      <c r="F75" s="1">
        <v>1824.4059999999999</v>
      </c>
      <c r="G75" s="8">
        <v>1</v>
      </c>
      <c r="H75" s="1">
        <v>60</v>
      </c>
      <c r="I75" s="1" t="s">
        <v>37</v>
      </c>
      <c r="J75" s="1"/>
      <c r="K75" s="1">
        <v>2351.1350000000002</v>
      </c>
      <c r="L75" s="1">
        <f t="shared" si="35"/>
        <v>-132.81800000000021</v>
      </c>
      <c r="M75" s="1">
        <f t="shared" si="36"/>
        <v>2114.6819999999998</v>
      </c>
      <c r="N75" s="1">
        <v>103.63500000000001</v>
      </c>
      <c r="O75" s="1">
        <v>573.04491199999939</v>
      </c>
      <c r="P75" s="1">
        <v>600</v>
      </c>
      <c r="Q75" s="1">
        <f t="shared" si="37"/>
        <v>422.93639999999994</v>
      </c>
      <c r="R75" s="5">
        <f t="shared" ref="R75:R86" si="48">14*Q75-P75-O75-F75</f>
        <v>2923.6586879999995</v>
      </c>
      <c r="S75" s="5">
        <f t="shared" ref="S75:S78" si="49">$S$1*Q75</f>
        <v>422.93639999999994</v>
      </c>
      <c r="T75" s="5">
        <f t="shared" si="38"/>
        <v>3346.5950879999996</v>
      </c>
      <c r="U75" s="5">
        <f t="shared" si="39"/>
        <v>530.78320363999978</v>
      </c>
      <c r="V75" s="5">
        <v>800</v>
      </c>
      <c r="W75" s="5">
        <v>500</v>
      </c>
      <c r="X75" s="5">
        <f t="shared" ref="X75:X78" si="50">$X$1*(T75-W75)-Y75-Z75</f>
        <v>615.81188435999979</v>
      </c>
      <c r="Y75" s="5">
        <v>900</v>
      </c>
      <c r="Z75" s="5"/>
      <c r="AA75" s="5"/>
      <c r="AB75" s="1"/>
      <c r="AC75" s="1"/>
      <c r="AD75" s="1">
        <f t="shared" si="40"/>
        <v>14.999999999999998</v>
      </c>
      <c r="AE75" s="1">
        <f t="shared" si="41"/>
        <v>7.087237967694433</v>
      </c>
      <c r="AF75" s="1">
        <v>386.452</v>
      </c>
      <c r="AG75" s="1">
        <v>363.56479999999999</v>
      </c>
      <c r="AH75" s="1">
        <v>351.21839999999997</v>
      </c>
      <c r="AI75" s="1">
        <v>339.5752</v>
      </c>
      <c r="AJ75" s="1">
        <v>281.68239999999997</v>
      </c>
      <c r="AK75" s="1">
        <v>292.14519999999999</v>
      </c>
      <c r="AL75" s="1">
        <v>426.10300000000001</v>
      </c>
      <c r="AM75" s="1">
        <v>356.89120000000003</v>
      </c>
      <c r="AN75" s="1" t="s">
        <v>140</v>
      </c>
      <c r="AO75" s="1">
        <f t="shared" si="42"/>
        <v>531</v>
      </c>
      <c r="AP75" s="1">
        <f t="shared" si="43"/>
        <v>800</v>
      </c>
      <c r="AQ75" s="1">
        <f t="shared" si="44"/>
        <v>500</v>
      </c>
      <c r="AR75" s="1">
        <f t="shared" si="45"/>
        <v>616</v>
      </c>
      <c r="AS75" s="1">
        <f t="shared" si="46"/>
        <v>900</v>
      </c>
      <c r="AT75" s="1">
        <f t="shared" si="47"/>
        <v>0</v>
      </c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 x14ac:dyDescent="0.25">
      <c r="A76" s="1" t="s">
        <v>115</v>
      </c>
      <c r="B76" s="1" t="s">
        <v>36</v>
      </c>
      <c r="C76" s="1">
        <v>648.95899999999995</v>
      </c>
      <c r="D76" s="1">
        <v>798.05100000000004</v>
      </c>
      <c r="E76" s="1">
        <v>574.572</v>
      </c>
      <c r="F76" s="1">
        <v>655.87599999999998</v>
      </c>
      <c r="G76" s="8">
        <v>1</v>
      </c>
      <c r="H76" s="1">
        <v>60</v>
      </c>
      <c r="I76" s="1" t="s">
        <v>37</v>
      </c>
      <c r="J76" s="1"/>
      <c r="K76" s="1">
        <v>788.64</v>
      </c>
      <c r="L76" s="1">
        <f t="shared" si="35"/>
        <v>-214.06799999999998</v>
      </c>
      <c r="M76" s="1">
        <f t="shared" si="36"/>
        <v>466.03199999999998</v>
      </c>
      <c r="N76" s="1">
        <v>108.54</v>
      </c>
      <c r="O76" s="1">
        <v>256.65875199999988</v>
      </c>
      <c r="P76" s="1"/>
      <c r="Q76" s="1">
        <f t="shared" si="37"/>
        <v>93.206400000000002</v>
      </c>
      <c r="R76" s="5">
        <f t="shared" si="48"/>
        <v>392.35484800000017</v>
      </c>
      <c r="S76" s="5">
        <f t="shared" si="49"/>
        <v>93.206400000000002</v>
      </c>
      <c r="T76" s="5">
        <f t="shared" si="38"/>
        <v>485.56124800000021</v>
      </c>
      <c r="U76" s="5">
        <f t="shared" si="39"/>
        <v>126.99988344000013</v>
      </c>
      <c r="V76" s="5">
        <v>100</v>
      </c>
      <c r="W76" s="5"/>
      <c r="X76" s="5">
        <f t="shared" si="50"/>
        <v>158.56136456000007</v>
      </c>
      <c r="Y76" s="5">
        <v>100</v>
      </c>
      <c r="Z76" s="5"/>
      <c r="AA76" s="5"/>
      <c r="AB76" s="1"/>
      <c r="AC76" s="1"/>
      <c r="AD76" s="1">
        <f t="shared" si="40"/>
        <v>15</v>
      </c>
      <c r="AE76" s="1">
        <f t="shared" si="41"/>
        <v>9.7904731005596162</v>
      </c>
      <c r="AF76" s="1">
        <v>104.95820000000001</v>
      </c>
      <c r="AG76" s="1">
        <v>100.2758</v>
      </c>
      <c r="AH76" s="1">
        <v>97.202000000000012</v>
      </c>
      <c r="AI76" s="1">
        <v>100.2632</v>
      </c>
      <c r="AJ76" s="1">
        <v>114.20740000000001</v>
      </c>
      <c r="AK76" s="1">
        <v>92.879800000000003</v>
      </c>
      <c r="AL76" s="1">
        <v>145.39879999999999</v>
      </c>
      <c r="AM76" s="1">
        <v>123.854</v>
      </c>
      <c r="AN76" s="1"/>
      <c r="AO76" s="1">
        <f t="shared" si="42"/>
        <v>127</v>
      </c>
      <c r="AP76" s="1">
        <f t="shared" si="43"/>
        <v>100</v>
      </c>
      <c r="AQ76" s="1">
        <f t="shared" si="44"/>
        <v>0</v>
      </c>
      <c r="AR76" s="1">
        <f t="shared" si="45"/>
        <v>159</v>
      </c>
      <c r="AS76" s="1">
        <f t="shared" si="46"/>
        <v>100</v>
      </c>
      <c r="AT76" s="1">
        <f t="shared" si="47"/>
        <v>0</v>
      </c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1:56" x14ac:dyDescent="0.25">
      <c r="A77" s="1" t="s">
        <v>116</v>
      </c>
      <c r="B77" s="1" t="s">
        <v>36</v>
      </c>
      <c r="C77" s="1">
        <v>1104.5440000000001</v>
      </c>
      <c r="D77" s="1">
        <v>2268.7139999999999</v>
      </c>
      <c r="E77" s="1">
        <v>1304.421</v>
      </c>
      <c r="F77" s="1">
        <v>1559.3989999999999</v>
      </c>
      <c r="G77" s="8">
        <v>1</v>
      </c>
      <c r="H77" s="1">
        <v>60</v>
      </c>
      <c r="I77" s="1" t="s">
        <v>37</v>
      </c>
      <c r="J77" s="1"/>
      <c r="K77" s="1">
        <v>1658.335</v>
      </c>
      <c r="L77" s="1">
        <f t="shared" si="35"/>
        <v>-353.91399999999999</v>
      </c>
      <c r="M77" s="1">
        <f t="shared" si="36"/>
        <v>1304.421</v>
      </c>
      <c r="N77" s="1"/>
      <c r="O77" s="1">
        <v>903.79552000000149</v>
      </c>
      <c r="P77" s="1">
        <v>840</v>
      </c>
      <c r="Q77" s="1">
        <f t="shared" si="37"/>
        <v>260.88420000000002</v>
      </c>
      <c r="R77" s="5">
        <f t="shared" si="48"/>
        <v>349.18427999999903</v>
      </c>
      <c r="S77" s="5">
        <f t="shared" si="49"/>
        <v>260.88420000000002</v>
      </c>
      <c r="T77" s="5">
        <f t="shared" si="38"/>
        <v>610.068479999999</v>
      </c>
      <c r="U77" s="5">
        <f t="shared" si="39"/>
        <v>185.20701439999954</v>
      </c>
      <c r="V77" s="5">
        <v>100</v>
      </c>
      <c r="W77" s="5"/>
      <c r="X77" s="5">
        <f t="shared" si="50"/>
        <v>124.86146559999946</v>
      </c>
      <c r="Y77" s="5">
        <v>200</v>
      </c>
      <c r="Z77" s="5"/>
      <c r="AA77" s="5"/>
      <c r="AB77" s="1"/>
      <c r="AC77" s="1"/>
      <c r="AD77" s="1">
        <f t="shared" si="40"/>
        <v>15</v>
      </c>
      <c r="AE77" s="1">
        <f t="shared" si="41"/>
        <v>12.661535347866989</v>
      </c>
      <c r="AF77" s="1">
        <v>328.93779999999998</v>
      </c>
      <c r="AG77" s="1">
        <v>245.31800000000001</v>
      </c>
      <c r="AH77" s="1">
        <v>205.1558</v>
      </c>
      <c r="AI77" s="1">
        <v>218.61439999999999</v>
      </c>
      <c r="AJ77" s="1">
        <v>337.26299999999998</v>
      </c>
      <c r="AK77" s="1">
        <v>184.1644</v>
      </c>
      <c r="AL77" s="1">
        <v>188.6756</v>
      </c>
      <c r="AM77" s="1">
        <v>191.93440000000001</v>
      </c>
      <c r="AN77" s="16" t="s">
        <v>143</v>
      </c>
      <c r="AO77" s="1">
        <f t="shared" si="42"/>
        <v>185</v>
      </c>
      <c r="AP77" s="1">
        <f t="shared" si="43"/>
        <v>100</v>
      </c>
      <c r="AQ77" s="1">
        <f t="shared" si="44"/>
        <v>0</v>
      </c>
      <c r="AR77" s="1">
        <f t="shared" si="45"/>
        <v>125</v>
      </c>
      <c r="AS77" s="1">
        <f t="shared" si="46"/>
        <v>200</v>
      </c>
      <c r="AT77" s="1">
        <f t="shared" si="47"/>
        <v>0</v>
      </c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 x14ac:dyDescent="0.25">
      <c r="A78" s="1" t="s">
        <v>117</v>
      </c>
      <c r="B78" s="1" t="s">
        <v>36</v>
      </c>
      <c r="C78" s="1">
        <v>1476.1110000000001</v>
      </c>
      <c r="D78" s="1">
        <v>3398.8879999999999</v>
      </c>
      <c r="E78" s="1">
        <v>2379.7460000000001</v>
      </c>
      <c r="F78" s="1">
        <v>1618.9079999999999</v>
      </c>
      <c r="G78" s="8">
        <v>1</v>
      </c>
      <c r="H78" s="1">
        <v>60</v>
      </c>
      <c r="I78" s="1" t="s">
        <v>37</v>
      </c>
      <c r="J78" s="1"/>
      <c r="K78" s="1">
        <v>2870.8539999999998</v>
      </c>
      <c r="L78" s="1">
        <f t="shared" si="35"/>
        <v>-491.10799999999972</v>
      </c>
      <c r="M78" s="1">
        <f t="shared" si="36"/>
        <v>1895.3300000000002</v>
      </c>
      <c r="N78" s="1">
        <v>484.416</v>
      </c>
      <c r="O78" s="1">
        <v>417.12560799999937</v>
      </c>
      <c r="P78" s="1">
        <v>400</v>
      </c>
      <c r="Q78" s="1">
        <f t="shared" si="37"/>
        <v>379.06600000000003</v>
      </c>
      <c r="R78" s="5">
        <f t="shared" si="48"/>
        <v>2870.8903920000016</v>
      </c>
      <c r="S78" s="5">
        <f t="shared" si="49"/>
        <v>379.06600000000003</v>
      </c>
      <c r="T78" s="5">
        <f t="shared" si="38"/>
        <v>3249.9563920000019</v>
      </c>
      <c r="U78" s="5">
        <f t="shared" si="39"/>
        <v>585.60461326000086</v>
      </c>
      <c r="V78" s="5">
        <v>700</v>
      </c>
      <c r="W78" s="5">
        <v>500</v>
      </c>
      <c r="X78" s="5">
        <f t="shared" si="50"/>
        <v>364.35177874000101</v>
      </c>
      <c r="Y78" s="5">
        <v>500</v>
      </c>
      <c r="Z78" s="5">
        <v>600</v>
      </c>
      <c r="AA78" s="5"/>
      <c r="AB78" s="1"/>
      <c r="AC78" s="1"/>
      <c r="AD78" s="1">
        <f t="shared" si="40"/>
        <v>15.000000000000004</v>
      </c>
      <c r="AE78" s="1">
        <f t="shared" si="41"/>
        <v>6.4264101976964412</v>
      </c>
      <c r="AF78" s="1">
        <v>346.77960000000002</v>
      </c>
      <c r="AG78" s="1">
        <v>348.16919999999999</v>
      </c>
      <c r="AH78" s="1">
        <v>315.13279999999997</v>
      </c>
      <c r="AI78" s="1">
        <v>298.86800000000011</v>
      </c>
      <c r="AJ78" s="1">
        <v>282.35520000000002</v>
      </c>
      <c r="AK78" s="1">
        <v>298.19860000000011</v>
      </c>
      <c r="AL78" s="1">
        <v>418.76859999999999</v>
      </c>
      <c r="AM78" s="1">
        <v>363.77280000000002</v>
      </c>
      <c r="AN78" s="1" t="s">
        <v>140</v>
      </c>
      <c r="AO78" s="1">
        <f t="shared" si="42"/>
        <v>586</v>
      </c>
      <c r="AP78" s="1">
        <f t="shared" si="43"/>
        <v>700</v>
      </c>
      <c r="AQ78" s="1">
        <f t="shared" si="44"/>
        <v>500</v>
      </c>
      <c r="AR78" s="1">
        <f t="shared" si="45"/>
        <v>364</v>
      </c>
      <c r="AS78" s="1">
        <f t="shared" si="46"/>
        <v>500</v>
      </c>
      <c r="AT78" s="1">
        <f t="shared" si="47"/>
        <v>600</v>
      </c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1:56" x14ac:dyDescent="0.25">
      <c r="A79" s="1" t="s">
        <v>118</v>
      </c>
      <c r="B79" s="1" t="s">
        <v>36</v>
      </c>
      <c r="C79" s="1">
        <v>145.703</v>
      </c>
      <c r="D79" s="1"/>
      <c r="E79" s="1"/>
      <c r="F79" s="1">
        <v>1.4E-2</v>
      </c>
      <c r="G79" s="8">
        <v>1</v>
      </c>
      <c r="H79" s="1">
        <v>60</v>
      </c>
      <c r="I79" s="1" t="s">
        <v>37</v>
      </c>
      <c r="J79" s="1"/>
      <c r="K79" s="1">
        <v>29</v>
      </c>
      <c r="L79" s="1">
        <f t="shared" si="35"/>
        <v>-29</v>
      </c>
      <c r="M79" s="1">
        <f t="shared" si="36"/>
        <v>0</v>
      </c>
      <c r="N79" s="1"/>
      <c r="O79" s="1">
        <v>0</v>
      </c>
      <c r="P79" s="1"/>
      <c r="Q79" s="1">
        <f t="shared" si="37"/>
        <v>0</v>
      </c>
      <c r="R79" s="5">
        <v>20</v>
      </c>
      <c r="S79" s="5"/>
      <c r="T79" s="5">
        <f t="shared" si="38"/>
        <v>20</v>
      </c>
      <c r="U79" s="5">
        <f t="shared" si="39"/>
        <v>20</v>
      </c>
      <c r="V79" s="5"/>
      <c r="W79" s="5"/>
      <c r="X79" s="5"/>
      <c r="Y79" s="5"/>
      <c r="Z79" s="5"/>
      <c r="AA79" s="5"/>
      <c r="AB79" s="1"/>
      <c r="AC79" s="1"/>
      <c r="AD79" s="1" t="e">
        <f t="shared" si="40"/>
        <v>#DIV/0!</v>
      </c>
      <c r="AE79" s="1" t="e">
        <f t="shared" si="41"/>
        <v>#DIV/0!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2.3967999999999998</v>
      </c>
      <c r="AM79" s="1">
        <v>0</v>
      </c>
      <c r="AN79" s="16" t="s">
        <v>144</v>
      </c>
      <c r="AO79" s="1">
        <f t="shared" si="42"/>
        <v>20</v>
      </c>
      <c r="AP79" s="1">
        <f t="shared" si="43"/>
        <v>0</v>
      </c>
      <c r="AQ79" s="1">
        <f t="shared" si="44"/>
        <v>0</v>
      </c>
      <c r="AR79" s="1">
        <f t="shared" si="45"/>
        <v>0</v>
      </c>
      <c r="AS79" s="1">
        <f t="shared" si="46"/>
        <v>0</v>
      </c>
      <c r="AT79" s="1">
        <f t="shared" si="47"/>
        <v>0</v>
      </c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 x14ac:dyDescent="0.25">
      <c r="A80" s="1" t="s">
        <v>119</v>
      </c>
      <c r="B80" s="1" t="s">
        <v>41</v>
      </c>
      <c r="C80" s="1">
        <v>82</v>
      </c>
      <c r="D80" s="1">
        <v>151</v>
      </c>
      <c r="E80" s="1">
        <v>104</v>
      </c>
      <c r="F80" s="1">
        <v>114</v>
      </c>
      <c r="G80" s="8">
        <v>0.3</v>
      </c>
      <c r="H80" s="1">
        <v>40</v>
      </c>
      <c r="I80" s="1" t="s">
        <v>37</v>
      </c>
      <c r="J80" s="1"/>
      <c r="K80" s="1">
        <v>116</v>
      </c>
      <c r="L80" s="1">
        <f t="shared" si="35"/>
        <v>-12</v>
      </c>
      <c r="M80" s="1">
        <f t="shared" si="36"/>
        <v>104</v>
      </c>
      <c r="N80" s="1"/>
      <c r="O80" s="1">
        <v>87.232000000000028</v>
      </c>
      <c r="P80" s="1"/>
      <c r="Q80" s="1">
        <f t="shared" si="37"/>
        <v>20.8</v>
      </c>
      <c r="R80" s="5">
        <f t="shared" si="48"/>
        <v>89.967999999999961</v>
      </c>
      <c r="S80" s="5"/>
      <c r="T80" s="5">
        <f t="shared" si="38"/>
        <v>89.967999999999961</v>
      </c>
      <c r="U80" s="5">
        <f t="shared" si="39"/>
        <v>42.060039999999987</v>
      </c>
      <c r="V80" s="5"/>
      <c r="W80" s="5"/>
      <c r="X80" s="5">
        <f t="shared" ref="X80:X82" si="51">$X$1*(T80-W80)-Y80-Z80</f>
        <v>47.907959999999974</v>
      </c>
      <c r="Y80" s="5"/>
      <c r="Z80" s="5"/>
      <c r="AA80" s="5"/>
      <c r="AB80" s="1"/>
      <c r="AC80" s="1"/>
      <c r="AD80" s="1">
        <f t="shared" si="40"/>
        <v>13.999999999999998</v>
      </c>
      <c r="AE80" s="1">
        <f t="shared" si="41"/>
        <v>9.6746153846153859</v>
      </c>
      <c r="AF80" s="1">
        <v>26.2</v>
      </c>
      <c r="AG80" s="1">
        <v>21.8</v>
      </c>
      <c r="AH80" s="1">
        <v>19.399999999999999</v>
      </c>
      <c r="AI80" s="1">
        <v>22.6</v>
      </c>
      <c r="AJ80" s="1">
        <v>20.6</v>
      </c>
      <c r="AK80" s="1">
        <v>17.600000000000001</v>
      </c>
      <c r="AL80" s="1">
        <v>16.2</v>
      </c>
      <c r="AM80" s="1">
        <v>16.600000000000001</v>
      </c>
      <c r="AN80" s="1"/>
      <c r="AO80" s="1">
        <f t="shared" si="42"/>
        <v>13</v>
      </c>
      <c r="AP80" s="1">
        <f t="shared" si="43"/>
        <v>0</v>
      </c>
      <c r="AQ80" s="1">
        <f t="shared" si="44"/>
        <v>0</v>
      </c>
      <c r="AR80" s="1">
        <f t="shared" si="45"/>
        <v>14</v>
      </c>
      <c r="AS80" s="1">
        <f t="shared" si="46"/>
        <v>0</v>
      </c>
      <c r="AT80" s="1">
        <f t="shared" si="47"/>
        <v>0</v>
      </c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1:56" x14ac:dyDescent="0.25">
      <c r="A81" s="1" t="s">
        <v>120</v>
      </c>
      <c r="B81" s="1" t="s">
        <v>41</v>
      </c>
      <c r="C81" s="1">
        <v>63</v>
      </c>
      <c r="D81" s="1">
        <v>56</v>
      </c>
      <c r="E81" s="1">
        <v>75</v>
      </c>
      <c r="F81" s="1">
        <v>31</v>
      </c>
      <c r="G81" s="8">
        <v>7.0000000000000007E-2</v>
      </c>
      <c r="H81" s="1">
        <v>90</v>
      </c>
      <c r="I81" s="1" t="s">
        <v>37</v>
      </c>
      <c r="J81" s="1"/>
      <c r="K81" s="1">
        <v>104</v>
      </c>
      <c r="L81" s="1">
        <f t="shared" si="35"/>
        <v>-29</v>
      </c>
      <c r="M81" s="1">
        <f t="shared" si="36"/>
        <v>75</v>
      </c>
      <c r="N81" s="1"/>
      <c r="O81" s="1">
        <v>42.19999999999996</v>
      </c>
      <c r="P81" s="1"/>
      <c r="Q81" s="1">
        <f t="shared" si="37"/>
        <v>15</v>
      </c>
      <c r="R81" s="5">
        <f>13*Q81-P81-O81-F81</f>
        <v>121.80000000000004</v>
      </c>
      <c r="S81" s="5"/>
      <c r="T81" s="5">
        <f t="shared" si="38"/>
        <v>121.80000000000004</v>
      </c>
      <c r="U81" s="5">
        <f t="shared" si="39"/>
        <v>56.941500000000019</v>
      </c>
      <c r="V81" s="5"/>
      <c r="W81" s="5"/>
      <c r="X81" s="5">
        <f t="shared" si="51"/>
        <v>64.858500000000021</v>
      </c>
      <c r="Y81" s="5"/>
      <c r="Z81" s="5"/>
      <c r="AA81" s="5"/>
      <c r="AB81" s="1"/>
      <c r="AC81" s="1"/>
      <c r="AD81" s="1">
        <f t="shared" si="40"/>
        <v>13</v>
      </c>
      <c r="AE81" s="1">
        <f t="shared" si="41"/>
        <v>4.8799999999999972</v>
      </c>
      <c r="AF81" s="1">
        <v>10.4</v>
      </c>
      <c r="AG81" s="1">
        <v>7.8</v>
      </c>
      <c r="AH81" s="1">
        <v>11.8</v>
      </c>
      <c r="AI81" s="1">
        <v>11.2</v>
      </c>
      <c r="AJ81" s="1">
        <v>8</v>
      </c>
      <c r="AK81" s="1">
        <v>9</v>
      </c>
      <c r="AL81" s="1">
        <v>12.6</v>
      </c>
      <c r="AM81" s="1">
        <v>10.8</v>
      </c>
      <c r="AN81" s="1"/>
      <c r="AO81" s="1">
        <f t="shared" si="42"/>
        <v>4</v>
      </c>
      <c r="AP81" s="1">
        <f t="shared" si="43"/>
        <v>0</v>
      </c>
      <c r="AQ81" s="1">
        <f t="shared" si="44"/>
        <v>0</v>
      </c>
      <c r="AR81" s="1">
        <f t="shared" si="45"/>
        <v>5</v>
      </c>
      <c r="AS81" s="1">
        <f t="shared" si="46"/>
        <v>0</v>
      </c>
      <c r="AT81" s="1">
        <f t="shared" si="47"/>
        <v>0</v>
      </c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 x14ac:dyDescent="0.25">
      <c r="A82" s="1" t="s">
        <v>121</v>
      </c>
      <c r="B82" s="1" t="s">
        <v>41</v>
      </c>
      <c r="C82" s="1">
        <v>39</v>
      </c>
      <c r="D82" s="1">
        <v>92</v>
      </c>
      <c r="E82" s="1">
        <v>84</v>
      </c>
      <c r="F82" s="1">
        <v>35</v>
      </c>
      <c r="G82" s="8">
        <v>7.0000000000000007E-2</v>
      </c>
      <c r="H82" s="1">
        <v>90</v>
      </c>
      <c r="I82" s="1" t="s">
        <v>37</v>
      </c>
      <c r="J82" s="1"/>
      <c r="K82" s="1">
        <v>87</v>
      </c>
      <c r="L82" s="1">
        <f t="shared" si="35"/>
        <v>-3</v>
      </c>
      <c r="M82" s="1">
        <f t="shared" si="36"/>
        <v>84</v>
      </c>
      <c r="N82" s="1"/>
      <c r="O82" s="1">
        <v>61.400000000000013</v>
      </c>
      <c r="P82" s="1"/>
      <c r="Q82" s="1">
        <f t="shared" si="37"/>
        <v>16.8</v>
      </c>
      <c r="R82" s="5">
        <f t="shared" si="48"/>
        <v>138.80000000000001</v>
      </c>
      <c r="S82" s="5"/>
      <c r="T82" s="5">
        <f t="shared" si="38"/>
        <v>138.80000000000001</v>
      </c>
      <c r="U82" s="5">
        <f t="shared" si="39"/>
        <v>64.88900000000001</v>
      </c>
      <c r="V82" s="5"/>
      <c r="W82" s="5"/>
      <c r="X82" s="5">
        <f t="shared" si="51"/>
        <v>73.911000000000001</v>
      </c>
      <c r="Y82" s="5"/>
      <c r="Z82" s="5"/>
      <c r="AA82" s="5"/>
      <c r="AB82" s="1"/>
      <c r="AC82" s="1"/>
      <c r="AD82" s="1">
        <f t="shared" si="40"/>
        <v>14</v>
      </c>
      <c r="AE82" s="1">
        <f t="shared" si="41"/>
        <v>5.7380952380952381</v>
      </c>
      <c r="AF82" s="1">
        <v>11.6</v>
      </c>
      <c r="AG82" s="1">
        <v>8.8000000000000007</v>
      </c>
      <c r="AH82" s="1">
        <v>11</v>
      </c>
      <c r="AI82" s="1">
        <v>10.4</v>
      </c>
      <c r="AJ82" s="1">
        <v>8.4</v>
      </c>
      <c r="AK82" s="1">
        <v>10.8</v>
      </c>
      <c r="AL82" s="1">
        <v>13</v>
      </c>
      <c r="AM82" s="1">
        <v>12.2</v>
      </c>
      <c r="AN82" s="1"/>
      <c r="AO82" s="1">
        <f t="shared" si="42"/>
        <v>5</v>
      </c>
      <c r="AP82" s="1">
        <f t="shared" si="43"/>
        <v>0</v>
      </c>
      <c r="AQ82" s="1">
        <f t="shared" si="44"/>
        <v>0</v>
      </c>
      <c r="AR82" s="1">
        <f t="shared" si="45"/>
        <v>5</v>
      </c>
      <c r="AS82" s="1">
        <f t="shared" si="46"/>
        <v>0</v>
      </c>
      <c r="AT82" s="1">
        <f t="shared" si="47"/>
        <v>0</v>
      </c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1:56" x14ac:dyDescent="0.25">
      <c r="A83" s="1" t="s">
        <v>122</v>
      </c>
      <c r="B83" s="1" t="s">
        <v>41</v>
      </c>
      <c r="C83" s="1">
        <v>55</v>
      </c>
      <c r="D83" s="1">
        <v>55</v>
      </c>
      <c r="E83" s="1">
        <v>56</v>
      </c>
      <c r="F83" s="1">
        <v>53</v>
      </c>
      <c r="G83" s="8">
        <v>7.0000000000000007E-2</v>
      </c>
      <c r="H83" s="1">
        <v>90</v>
      </c>
      <c r="I83" s="1" t="s">
        <v>37</v>
      </c>
      <c r="J83" s="1"/>
      <c r="K83" s="1">
        <v>60</v>
      </c>
      <c r="L83" s="1">
        <f t="shared" si="35"/>
        <v>-4</v>
      </c>
      <c r="M83" s="1">
        <f t="shared" si="36"/>
        <v>56</v>
      </c>
      <c r="N83" s="1"/>
      <c r="O83" s="1">
        <v>82.656000000000006</v>
      </c>
      <c r="P83" s="1"/>
      <c r="Q83" s="1">
        <f t="shared" si="37"/>
        <v>11.2</v>
      </c>
      <c r="R83" s="5">
        <f t="shared" si="48"/>
        <v>21.143999999999977</v>
      </c>
      <c r="S83" s="5"/>
      <c r="T83" s="5">
        <f t="shared" si="38"/>
        <v>21.143999999999977</v>
      </c>
      <c r="U83" s="5">
        <f t="shared" si="39"/>
        <v>21.143999999999977</v>
      </c>
      <c r="V83" s="5"/>
      <c r="W83" s="5"/>
      <c r="X83" s="5"/>
      <c r="Y83" s="5"/>
      <c r="Z83" s="5"/>
      <c r="AA83" s="5"/>
      <c r="AB83" s="1"/>
      <c r="AC83" s="1"/>
      <c r="AD83" s="1">
        <f t="shared" si="40"/>
        <v>14</v>
      </c>
      <c r="AE83" s="1">
        <f t="shared" si="41"/>
        <v>12.112142857142858</v>
      </c>
      <c r="AF83" s="1">
        <v>13</v>
      </c>
      <c r="AG83" s="1">
        <v>9.4</v>
      </c>
      <c r="AH83" s="1">
        <v>9.8000000000000007</v>
      </c>
      <c r="AI83" s="1">
        <v>10.8</v>
      </c>
      <c r="AJ83" s="1">
        <v>10.199999999999999</v>
      </c>
      <c r="AK83" s="1">
        <v>10.4</v>
      </c>
      <c r="AL83" s="1">
        <v>9</v>
      </c>
      <c r="AM83" s="1">
        <v>8.8000000000000007</v>
      </c>
      <c r="AN83" s="1"/>
      <c r="AO83" s="1">
        <f t="shared" si="42"/>
        <v>1</v>
      </c>
      <c r="AP83" s="1">
        <f t="shared" si="43"/>
        <v>0</v>
      </c>
      <c r="AQ83" s="1">
        <f t="shared" si="44"/>
        <v>0</v>
      </c>
      <c r="AR83" s="1">
        <f t="shared" si="45"/>
        <v>0</v>
      </c>
      <c r="AS83" s="1">
        <f t="shared" si="46"/>
        <v>0</v>
      </c>
      <c r="AT83" s="1">
        <f t="shared" si="47"/>
        <v>0</v>
      </c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 x14ac:dyDescent="0.25">
      <c r="A84" s="1" t="s">
        <v>123</v>
      </c>
      <c r="B84" s="1" t="s">
        <v>41</v>
      </c>
      <c r="C84" s="1">
        <v>70</v>
      </c>
      <c r="D84" s="1">
        <v>36</v>
      </c>
      <c r="E84" s="1">
        <v>77</v>
      </c>
      <c r="F84" s="1">
        <v>29</v>
      </c>
      <c r="G84" s="8">
        <v>0.05</v>
      </c>
      <c r="H84" s="1">
        <v>90</v>
      </c>
      <c r="I84" s="1" t="s">
        <v>37</v>
      </c>
      <c r="J84" s="1"/>
      <c r="K84" s="1">
        <v>83</v>
      </c>
      <c r="L84" s="1">
        <f t="shared" si="35"/>
        <v>-6</v>
      </c>
      <c r="M84" s="1">
        <f t="shared" si="36"/>
        <v>77</v>
      </c>
      <c r="N84" s="1"/>
      <c r="O84" s="1">
        <v>48.799999999999983</v>
      </c>
      <c r="P84" s="1"/>
      <c r="Q84" s="1">
        <f t="shared" si="37"/>
        <v>15.4</v>
      </c>
      <c r="R84" s="5">
        <f t="shared" ref="R84:R85" si="52">13*Q84-P84-O84-F84</f>
        <v>122.40000000000003</v>
      </c>
      <c r="S84" s="5"/>
      <c r="T84" s="5">
        <f t="shared" si="38"/>
        <v>122.40000000000003</v>
      </c>
      <c r="U84" s="5">
        <f t="shared" si="39"/>
        <v>57.222000000000023</v>
      </c>
      <c r="V84" s="5"/>
      <c r="W84" s="5"/>
      <c r="X84" s="5">
        <f t="shared" ref="X84:X85" si="53">$X$1*(T84-W84)-Y84-Z84</f>
        <v>65.178000000000011</v>
      </c>
      <c r="Y84" s="5"/>
      <c r="Z84" s="5"/>
      <c r="AA84" s="5"/>
      <c r="AB84" s="1"/>
      <c r="AC84" s="1"/>
      <c r="AD84" s="1">
        <f t="shared" si="40"/>
        <v>13</v>
      </c>
      <c r="AE84" s="1">
        <f t="shared" si="41"/>
        <v>5.0519480519480506</v>
      </c>
      <c r="AF84" s="1">
        <v>9.1999999999999993</v>
      </c>
      <c r="AG84" s="1">
        <v>6.8</v>
      </c>
      <c r="AH84" s="1">
        <v>6.6</v>
      </c>
      <c r="AI84" s="1">
        <v>7.8</v>
      </c>
      <c r="AJ84" s="1">
        <v>7.8</v>
      </c>
      <c r="AK84" s="1">
        <v>9.4</v>
      </c>
      <c r="AL84" s="1">
        <v>10</v>
      </c>
      <c r="AM84" s="1">
        <v>9</v>
      </c>
      <c r="AN84" s="1"/>
      <c r="AO84" s="1">
        <f t="shared" si="42"/>
        <v>3</v>
      </c>
      <c r="AP84" s="1">
        <f t="shared" si="43"/>
        <v>0</v>
      </c>
      <c r="AQ84" s="1">
        <f t="shared" si="44"/>
        <v>0</v>
      </c>
      <c r="AR84" s="1">
        <f t="shared" si="45"/>
        <v>3</v>
      </c>
      <c r="AS84" s="1">
        <f t="shared" si="46"/>
        <v>0</v>
      </c>
      <c r="AT84" s="1">
        <f t="shared" si="47"/>
        <v>0</v>
      </c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1:56" x14ac:dyDescent="0.25">
      <c r="A85" s="1" t="s">
        <v>124</v>
      </c>
      <c r="B85" s="1" t="s">
        <v>41</v>
      </c>
      <c r="C85" s="1">
        <v>37</v>
      </c>
      <c r="D85" s="1">
        <v>90</v>
      </c>
      <c r="E85" s="1">
        <v>82</v>
      </c>
      <c r="F85" s="1">
        <v>41</v>
      </c>
      <c r="G85" s="8">
        <v>0.05</v>
      </c>
      <c r="H85" s="1">
        <v>90</v>
      </c>
      <c r="I85" s="1" t="s">
        <v>37</v>
      </c>
      <c r="J85" s="1"/>
      <c r="K85" s="1">
        <v>82</v>
      </c>
      <c r="L85" s="1">
        <f t="shared" si="35"/>
        <v>0</v>
      </c>
      <c r="M85" s="1">
        <f t="shared" si="36"/>
        <v>82</v>
      </c>
      <c r="N85" s="1"/>
      <c r="O85" s="1">
        <v>35.200000000000017</v>
      </c>
      <c r="P85" s="1"/>
      <c r="Q85" s="1">
        <f t="shared" si="37"/>
        <v>16.399999999999999</v>
      </c>
      <c r="R85" s="5">
        <f t="shared" si="52"/>
        <v>136.99999999999997</v>
      </c>
      <c r="S85" s="5"/>
      <c r="T85" s="5">
        <f t="shared" si="38"/>
        <v>136.99999999999997</v>
      </c>
      <c r="U85" s="5">
        <f t="shared" si="39"/>
        <v>64.047499999999985</v>
      </c>
      <c r="V85" s="5"/>
      <c r="W85" s="5"/>
      <c r="X85" s="5">
        <f t="shared" si="53"/>
        <v>72.952499999999986</v>
      </c>
      <c r="Y85" s="5"/>
      <c r="Z85" s="5"/>
      <c r="AA85" s="5"/>
      <c r="AB85" s="1"/>
      <c r="AC85" s="1"/>
      <c r="AD85" s="1">
        <f t="shared" si="40"/>
        <v>13</v>
      </c>
      <c r="AE85" s="1">
        <f t="shared" si="41"/>
        <v>4.6463414634146352</v>
      </c>
      <c r="AF85" s="1">
        <v>8.8000000000000007</v>
      </c>
      <c r="AG85" s="1">
        <v>7.4</v>
      </c>
      <c r="AH85" s="1">
        <v>9.1999999999999993</v>
      </c>
      <c r="AI85" s="1">
        <v>8.1999999999999993</v>
      </c>
      <c r="AJ85" s="1">
        <v>6.6</v>
      </c>
      <c r="AK85" s="1">
        <v>8.4</v>
      </c>
      <c r="AL85" s="1">
        <v>11.8</v>
      </c>
      <c r="AM85" s="1">
        <v>11</v>
      </c>
      <c r="AN85" s="1"/>
      <c r="AO85" s="1">
        <f t="shared" si="42"/>
        <v>3</v>
      </c>
      <c r="AP85" s="1">
        <f t="shared" si="43"/>
        <v>0</v>
      </c>
      <c r="AQ85" s="1">
        <f t="shared" si="44"/>
        <v>0</v>
      </c>
      <c r="AR85" s="1">
        <f t="shared" si="45"/>
        <v>4</v>
      </c>
      <c r="AS85" s="1">
        <f t="shared" si="46"/>
        <v>0</v>
      </c>
      <c r="AT85" s="1">
        <f t="shared" si="47"/>
        <v>0</v>
      </c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 x14ac:dyDescent="0.25">
      <c r="A86" s="1" t="s">
        <v>125</v>
      </c>
      <c r="B86" s="1" t="s">
        <v>41</v>
      </c>
      <c r="C86" s="1">
        <v>45</v>
      </c>
      <c r="D86" s="1">
        <v>1</v>
      </c>
      <c r="E86" s="1">
        <v>27</v>
      </c>
      <c r="F86" s="1"/>
      <c r="G86" s="8">
        <v>5.5E-2</v>
      </c>
      <c r="H86" s="1">
        <v>90</v>
      </c>
      <c r="I86" s="1" t="s">
        <v>37</v>
      </c>
      <c r="J86" s="1"/>
      <c r="K86" s="1">
        <v>36</v>
      </c>
      <c r="L86" s="1">
        <f t="shared" si="35"/>
        <v>-9</v>
      </c>
      <c r="M86" s="1">
        <f t="shared" si="36"/>
        <v>27</v>
      </c>
      <c r="N86" s="1"/>
      <c r="O86" s="1">
        <v>41.8</v>
      </c>
      <c r="P86" s="1"/>
      <c r="Q86" s="1">
        <f t="shared" si="37"/>
        <v>5.4</v>
      </c>
      <c r="R86" s="5">
        <f t="shared" si="48"/>
        <v>33.800000000000011</v>
      </c>
      <c r="S86" s="5"/>
      <c r="T86" s="5">
        <f t="shared" si="38"/>
        <v>33.800000000000011</v>
      </c>
      <c r="U86" s="5">
        <f t="shared" si="39"/>
        <v>33.800000000000011</v>
      </c>
      <c r="V86" s="5"/>
      <c r="W86" s="5"/>
      <c r="X86" s="5"/>
      <c r="Y86" s="5"/>
      <c r="Z86" s="5"/>
      <c r="AA86" s="5"/>
      <c r="AB86" s="1"/>
      <c r="AC86" s="1"/>
      <c r="AD86" s="1">
        <f t="shared" si="40"/>
        <v>14</v>
      </c>
      <c r="AE86" s="1">
        <f t="shared" si="41"/>
        <v>7.7407407407407396</v>
      </c>
      <c r="AF86" s="1">
        <v>6.2</v>
      </c>
      <c r="AG86" s="1">
        <v>3.4</v>
      </c>
      <c r="AH86" s="1">
        <v>4.5999999999999996</v>
      </c>
      <c r="AI86" s="1">
        <v>7</v>
      </c>
      <c r="AJ86" s="1">
        <v>6.8</v>
      </c>
      <c r="AK86" s="1">
        <v>6.8</v>
      </c>
      <c r="AL86" s="1">
        <v>10.199999999999999</v>
      </c>
      <c r="AM86" s="1">
        <v>8.1999999999999993</v>
      </c>
      <c r="AN86" s="1"/>
      <c r="AO86" s="1">
        <f t="shared" si="42"/>
        <v>2</v>
      </c>
      <c r="AP86" s="1">
        <f t="shared" si="43"/>
        <v>0</v>
      </c>
      <c r="AQ86" s="1">
        <f t="shared" si="44"/>
        <v>0</v>
      </c>
      <c r="AR86" s="1">
        <f t="shared" si="45"/>
        <v>0</v>
      </c>
      <c r="AS86" s="1">
        <f t="shared" si="46"/>
        <v>0</v>
      </c>
      <c r="AT86" s="1">
        <f t="shared" si="47"/>
        <v>0</v>
      </c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1:56" x14ac:dyDescent="0.25">
      <c r="A87" s="13" t="s">
        <v>126</v>
      </c>
      <c r="B87" s="13" t="s">
        <v>41</v>
      </c>
      <c r="C87" s="13">
        <v>11</v>
      </c>
      <c r="D87" s="13">
        <v>1</v>
      </c>
      <c r="E87" s="13"/>
      <c r="F87" s="13">
        <v>1</v>
      </c>
      <c r="G87" s="14">
        <v>0</v>
      </c>
      <c r="H87" s="13">
        <v>120</v>
      </c>
      <c r="I87" s="13" t="s">
        <v>127</v>
      </c>
      <c r="J87" s="13"/>
      <c r="K87" s="13">
        <v>1</v>
      </c>
      <c r="L87" s="13">
        <f t="shared" si="35"/>
        <v>-1</v>
      </c>
      <c r="M87" s="13">
        <f t="shared" si="36"/>
        <v>0</v>
      </c>
      <c r="N87" s="13"/>
      <c r="O87" s="13">
        <v>0</v>
      </c>
      <c r="P87" s="13"/>
      <c r="Q87" s="13">
        <f t="shared" si="37"/>
        <v>0</v>
      </c>
      <c r="R87" s="15"/>
      <c r="S87" s="15"/>
      <c r="T87" s="5">
        <f t="shared" si="38"/>
        <v>0</v>
      </c>
      <c r="U87" s="5">
        <f t="shared" si="39"/>
        <v>0</v>
      </c>
      <c r="V87" s="5"/>
      <c r="W87" s="5"/>
      <c r="X87" s="5"/>
      <c r="Y87" s="5"/>
      <c r="Z87" s="5"/>
      <c r="AA87" s="15"/>
      <c r="AB87" s="13"/>
      <c r="AC87" s="13"/>
      <c r="AD87" s="1" t="e">
        <f t="shared" si="40"/>
        <v>#DIV/0!</v>
      </c>
      <c r="AE87" s="13" t="e">
        <f t="shared" si="41"/>
        <v>#DIV/0!</v>
      </c>
      <c r="AF87" s="13">
        <v>0</v>
      </c>
      <c r="AG87" s="13">
        <v>0</v>
      </c>
      <c r="AH87" s="13">
        <v>0.2</v>
      </c>
      <c r="AI87" s="13">
        <v>0.2</v>
      </c>
      <c r="AJ87" s="13">
        <v>0</v>
      </c>
      <c r="AK87" s="13">
        <v>0</v>
      </c>
      <c r="AL87" s="13">
        <v>0</v>
      </c>
      <c r="AM87" s="13">
        <v>0</v>
      </c>
      <c r="AN87" s="13"/>
      <c r="AO87" s="1">
        <f t="shared" si="42"/>
        <v>0</v>
      </c>
      <c r="AP87" s="1">
        <f t="shared" si="43"/>
        <v>0</v>
      </c>
      <c r="AQ87" s="1">
        <f t="shared" si="44"/>
        <v>0</v>
      </c>
      <c r="AR87" s="1">
        <f t="shared" si="45"/>
        <v>0</v>
      </c>
      <c r="AS87" s="1">
        <f t="shared" si="46"/>
        <v>0</v>
      </c>
      <c r="AT87" s="1">
        <f t="shared" si="47"/>
        <v>0</v>
      </c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 x14ac:dyDescent="0.25">
      <c r="A88" s="1" t="s">
        <v>128</v>
      </c>
      <c r="B88" s="1" t="s">
        <v>36</v>
      </c>
      <c r="C88" s="1">
        <v>2220.9450000000002</v>
      </c>
      <c r="D88" s="1">
        <v>7320.8940000000002</v>
      </c>
      <c r="E88" s="1">
        <v>4028.643</v>
      </c>
      <c r="F88" s="1">
        <v>4845.6790000000001</v>
      </c>
      <c r="G88" s="8">
        <v>1</v>
      </c>
      <c r="H88" s="1">
        <v>40</v>
      </c>
      <c r="I88" s="1" t="s">
        <v>37</v>
      </c>
      <c r="J88" s="1"/>
      <c r="K88" s="1">
        <v>4020.826</v>
      </c>
      <c r="L88" s="1">
        <f t="shared" si="35"/>
        <v>7.8170000000000073</v>
      </c>
      <c r="M88" s="1">
        <f t="shared" si="36"/>
        <v>3858.817</v>
      </c>
      <c r="N88" s="1">
        <v>169.82599999999999</v>
      </c>
      <c r="O88" s="1">
        <v>511.44034799999832</v>
      </c>
      <c r="P88" s="1">
        <v>500</v>
      </c>
      <c r="Q88" s="1">
        <f t="shared" si="37"/>
        <v>771.76340000000005</v>
      </c>
      <c r="R88" s="5">
        <f t="shared" ref="R88:R92" si="54">14*Q88-P88-O88-F88</f>
        <v>4947.5682520000028</v>
      </c>
      <c r="S88" s="5"/>
      <c r="T88" s="5">
        <f t="shared" si="38"/>
        <v>4947.5682520000028</v>
      </c>
      <c r="U88" s="5">
        <f t="shared" si="39"/>
        <v>845.48815781000121</v>
      </c>
      <c r="V88" s="5">
        <v>1000</v>
      </c>
      <c r="W88" s="5">
        <v>1000</v>
      </c>
      <c r="X88" s="5">
        <f>$X$1*(T88-W88)-Y88-Z88</f>
        <v>502.08009419000155</v>
      </c>
      <c r="Y88" s="5">
        <v>1000</v>
      </c>
      <c r="Z88" s="5">
        <v>600</v>
      </c>
      <c r="AA88" s="5"/>
      <c r="AB88" s="1"/>
      <c r="AC88" s="1"/>
      <c r="AD88" s="1">
        <f t="shared" si="40"/>
        <v>14</v>
      </c>
      <c r="AE88" s="1">
        <f t="shared" si="41"/>
        <v>7.5892680943408282</v>
      </c>
      <c r="AF88" s="1">
        <v>885.34859999999992</v>
      </c>
      <c r="AG88" s="1">
        <v>846.00020000000006</v>
      </c>
      <c r="AH88" s="1">
        <v>851.7657999999999</v>
      </c>
      <c r="AI88" s="1">
        <v>846.95600000000013</v>
      </c>
      <c r="AJ88" s="1">
        <v>799.82920000000013</v>
      </c>
      <c r="AK88" s="1">
        <v>752.95440000000008</v>
      </c>
      <c r="AL88" s="1">
        <v>892.5472000000002</v>
      </c>
      <c r="AM88" s="1">
        <v>763.92160000000001</v>
      </c>
      <c r="AN88" s="1" t="s">
        <v>140</v>
      </c>
      <c r="AO88" s="1">
        <f t="shared" si="42"/>
        <v>845</v>
      </c>
      <c r="AP88" s="1">
        <f t="shared" si="43"/>
        <v>1000</v>
      </c>
      <c r="AQ88" s="1">
        <f t="shared" si="44"/>
        <v>1000</v>
      </c>
      <c r="AR88" s="1">
        <f t="shared" si="45"/>
        <v>502</v>
      </c>
      <c r="AS88" s="1">
        <f t="shared" si="46"/>
        <v>1000</v>
      </c>
      <c r="AT88" s="1">
        <f t="shared" si="47"/>
        <v>600</v>
      </c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1:56" x14ac:dyDescent="0.25">
      <c r="A89" s="12" t="s">
        <v>129</v>
      </c>
      <c r="B89" s="1" t="s">
        <v>36</v>
      </c>
      <c r="C89" s="1"/>
      <c r="D89" s="1"/>
      <c r="E89" s="1"/>
      <c r="F89" s="1"/>
      <c r="G89" s="8">
        <v>1</v>
      </c>
      <c r="H89" s="1">
        <v>60</v>
      </c>
      <c r="I89" s="1" t="s">
        <v>37</v>
      </c>
      <c r="J89" s="1"/>
      <c r="K89" s="1"/>
      <c r="L89" s="1">
        <f t="shared" si="35"/>
        <v>0</v>
      </c>
      <c r="M89" s="1">
        <f t="shared" si="36"/>
        <v>0</v>
      </c>
      <c r="N89" s="1"/>
      <c r="O89" s="12"/>
      <c r="P89" s="1"/>
      <c r="Q89" s="1">
        <f t="shared" si="37"/>
        <v>0</v>
      </c>
      <c r="R89" s="20">
        <v>4</v>
      </c>
      <c r="S89" s="20"/>
      <c r="T89" s="5">
        <f t="shared" si="38"/>
        <v>4</v>
      </c>
      <c r="U89" s="5">
        <f t="shared" si="39"/>
        <v>4</v>
      </c>
      <c r="V89" s="5"/>
      <c r="W89" s="5"/>
      <c r="X89" s="5"/>
      <c r="Y89" s="5"/>
      <c r="Z89" s="5"/>
      <c r="AA89" s="5"/>
      <c r="AB89" s="1"/>
      <c r="AC89" s="1"/>
      <c r="AD89" s="1" t="e">
        <f t="shared" si="40"/>
        <v>#DIV/0!</v>
      </c>
      <c r="AE89" s="1" t="e">
        <f t="shared" si="41"/>
        <v>#DIV/0!</v>
      </c>
      <c r="AF89" s="1">
        <v>0</v>
      </c>
      <c r="AG89" s="1">
        <v>0</v>
      </c>
      <c r="AH89" s="1">
        <v>0</v>
      </c>
      <c r="AI89" s="1">
        <v>0</v>
      </c>
      <c r="AJ89" s="1">
        <v>0.72300000000000009</v>
      </c>
      <c r="AK89" s="1">
        <v>1.7996000000000001</v>
      </c>
      <c r="AL89" s="1">
        <v>1.4376</v>
      </c>
      <c r="AM89" s="1">
        <v>2.16</v>
      </c>
      <c r="AN89" s="12" t="s">
        <v>130</v>
      </c>
      <c r="AO89" s="1">
        <f t="shared" si="42"/>
        <v>4</v>
      </c>
      <c r="AP89" s="1">
        <f t="shared" si="43"/>
        <v>0</v>
      </c>
      <c r="AQ89" s="1">
        <f t="shared" si="44"/>
        <v>0</v>
      </c>
      <c r="AR89" s="1">
        <f t="shared" si="45"/>
        <v>0</v>
      </c>
      <c r="AS89" s="1">
        <f t="shared" si="46"/>
        <v>0</v>
      </c>
      <c r="AT89" s="1">
        <f t="shared" si="47"/>
        <v>0</v>
      </c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 x14ac:dyDescent="0.25">
      <c r="A90" s="1" t="s">
        <v>132</v>
      </c>
      <c r="B90" s="1" t="s">
        <v>41</v>
      </c>
      <c r="C90" s="1">
        <v>90</v>
      </c>
      <c r="D90" s="1">
        <v>376</v>
      </c>
      <c r="E90" s="1">
        <v>221</v>
      </c>
      <c r="F90" s="1">
        <v>191</v>
      </c>
      <c r="G90" s="8">
        <v>0.3</v>
      </c>
      <c r="H90" s="1">
        <v>40</v>
      </c>
      <c r="I90" s="1" t="s">
        <v>37</v>
      </c>
      <c r="J90" s="1"/>
      <c r="K90" s="1">
        <v>260</v>
      </c>
      <c r="L90" s="1">
        <f t="shared" si="35"/>
        <v>-39</v>
      </c>
      <c r="M90" s="1">
        <f t="shared" si="36"/>
        <v>221</v>
      </c>
      <c r="N90" s="1"/>
      <c r="O90" s="1">
        <v>109.4399999999999</v>
      </c>
      <c r="P90" s="1"/>
      <c r="Q90" s="1">
        <f t="shared" si="37"/>
        <v>44.2</v>
      </c>
      <c r="R90" s="5">
        <f t="shared" si="54"/>
        <v>318.36000000000018</v>
      </c>
      <c r="S90" s="5"/>
      <c r="T90" s="5">
        <f t="shared" si="38"/>
        <v>318.36000000000018</v>
      </c>
      <c r="U90" s="5">
        <f t="shared" si="39"/>
        <v>148.83330000000009</v>
      </c>
      <c r="V90" s="5"/>
      <c r="W90" s="5"/>
      <c r="X90" s="5">
        <f t="shared" ref="X90:X93" si="55">$X$1*(T90-W90)-Y90-Z90</f>
        <v>169.52670000000009</v>
      </c>
      <c r="Y90" s="5"/>
      <c r="Z90" s="5"/>
      <c r="AA90" s="5"/>
      <c r="AB90" s="1"/>
      <c r="AC90" s="1"/>
      <c r="AD90" s="1">
        <f t="shared" si="40"/>
        <v>14</v>
      </c>
      <c r="AE90" s="1">
        <f t="shared" si="41"/>
        <v>6.7972850678733003</v>
      </c>
      <c r="AF90" s="1">
        <v>44.8</v>
      </c>
      <c r="AG90" s="1">
        <v>41</v>
      </c>
      <c r="AH90" s="1">
        <v>39.200000000000003</v>
      </c>
      <c r="AI90" s="1">
        <v>37</v>
      </c>
      <c r="AJ90" s="1">
        <v>36.799999999999997</v>
      </c>
      <c r="AK90" s="1">
        <v>38</v>
      </c>
      <c r="AL90" s="1">
        <v>39</v>
      </c>
      <c r="AM90" s="1">
        <v>38.6</v>
      </c>
      <c r="AN90" s="1"/>
      <c r="AO90" s="1">
        <f t="shared" si="42"/>
        <v>45</v>
      </c>
      <c r="AP90" s="1">
        <f t="shared" si="43"/>
        <v>0</v>
      </c>
      <c r="AQ90" s="1">
        <f t="shared" si="44"/>
        <v>0</v>
      </c>
      <c r="AR90" s="1">
        <f t="shared" si="45"/>
        <v>51</v>
      </c>
      <c r="AS90" s="1">
        <f t="shared" si="46"/>
        <v>0</v>
      </c>
      <c r="AT90" s="1">
        <f t="shared" si="47"/>
        <v>0</v>
      </c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1:56" x14ac:dyDescent="0.25">
      <c r="A91" s="1" t="s">
        <v>133</v>
      </c>
      <c r="B91" s="1" t="s">
        <v>41</v>
      </c>
      <c r="C91" s="1">
        <v>146</v>
      </c>
      <c r="D91" s="1">
        <v>109</v>
      </c>
      <c r="E91" s="1">
        <v>107</v>
      </c>
      <c r="F91" s="1">
        <v>106</v>
      </c>
      <c r="G91" s="8">
        <v>0.3</v>
      </c>
      <c r="H91" s="1">
        <v>40</v>
      </c>
      <c r="I91" s="1" t="s">
        <v>37</v>
      </c>
      <c r="J91" s="1"/>
      <c r="K91" s="1">
        <v>132</v>
      </c>
      <c r="L91" s="1">
        <f t="shared" si="35"/>
        <v>-25</v>
      </c>
      <c r="M91" s="1">
        <f t="shared" si="36"/>
        <v>107</v>
      </c>
      <c r="N91" s="1"/>
      <c r="O91" s="1">
        <v>20.688000000000049</v>
      </c>
      <c r="P91" s="1"/>
      <c r="Q91" s="1">
        <f t="shared" si="37"/>
        <v>21.4</v>
      </c>
      <c r="R91" s="5">
        <f t="shared" si="54"/>
        <v>172.91199999999992</v>
      </c>
      <c r="S91" s="5"/>
      <c r="T91" s="5">
        <f t="shared" si="38"/>
        <v>172.91199999999992</v>
      </c>
      <c r="U91" s="5">
        <f t="shared" si="39"/>
        <v>80.836359999999971</v>
      </c>
      <c r="V91" s="5"/>
      <c r="W91" s="5"/>
      <c r="X91" s="5">
        <f t="shared" si="55"/>
        <v>92.07563999999995</v>
      </c>
      <c r="Y91" s="5"/>
      <c r="Z91" s="5"/>
      <c r="AA91" s="5"/>
      <c r="AB91" s="1"/>
      <c r="AC91" s="1"/>
      <c r="AD91" s="1">
        <f t="shared" si="40"/>
        <v>14</v>
      </c>
      <c r="AE91" s="1">
        <f t="shared" si="41"/>
        <v>5.9200000000000026</v>
      </c>
      <c r="AF91" s="1">
        <v>21.6</v>
      </c>
      <c r="AG91" s="1">
        <v>21.2</v>
      </c>
      <c r="AH91" s="1">
        <v>18.2</v>
      </c>
      <c r="AI91" s="1">
        <v>22.2</v>
      </c>
      <c r="AJ91" s="1">
        <v>22.8</v>
      </c>
      <c r="AK91" s="1">
        <v>20.8</v>
      </c>
      <c r="AL91" s="1">
        <v>18.8</v>
      </c>
      <c r="AM91" s="1">
        <v>17.2</v>
      </c>
      <c r="AN91" s="1" t="s">
        <v>134</v>
      </c>
      <c r="AO91" s="1">
        <f t="shared" si="42"/>
        <v>24</v>
      </c>
      <c r="AP91" s="1">
        <f t="shared" si="43"/>
        <v>0</v>
      </c>
      <c r="AQ91" s="1">
        <f t="shared" si="44"/>
        <v>0</v>
      </c>
      <c r="AR91" s="1">
        <f t="shared" si="45"/>
        <v>28</v>
      </c>
      <c r="AS91" s="1">
        <f t="shared" si="46"/>
        <v>0</v>
      </c>
      <c r="AT91" s="1">
        <f t="shared" si="47"/>
        <v>0</v>
      </c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 x14ac:dyDescent="0.25">
      <c r="A92" s="1" t="s">
        <v>135</v>
      </c>
      <c r="B92" s="1" t="s">
        <v>36</v>
      </c>
      <c r="C92" s="1">
        <v>75.418999999999997</v>
      </c>
      <c r="D92" s="1">
        <v>78.284999999999997</v>
      </c>
      <c r="E92" s="1">
        <v>68.497</v>
      </c>
      <c r="F92" s="1">
        <v>72.825999999999993</v>
      </c>
      <c r="G92" s="8">
        <v>1</v>
      </c>
      <c r="H92" s="1">
        <v>50</v>
      </c>
      <c r="I92" s="1" t="s">
        <v>37</v>
      </c>
      <c r="J92" s="1"/>
      <c r="K92" s="1">
        <v>68.78</v>
      </c>
      <c r="L92" s="1">
        <f t="shared" si="35"/>
        <v>-0.28300000000000125</v>
      </c>
      <c r="M92" s="1">
        <f t="shared" si="36"/>
        <v>65.816999999999993</v>
      </c>
      <c r="N92" s="1">
        <v>2.68</v>
      </c>
      <c r="O92" s="1">
        <v>42.238087999999998</v>
      </c>
      <c r="P92" s="1"/>
      <c r="Q92" s="1">
        <f t="shared" si="37"/>
        <v>13.163399999999999</v>
      </c>
      <c r="R92" s="5">
        <f t="shared" si="54"/>
        <v>69.223511999999999</v>
      </c>
      <c r="S92" s="5"/>
      <c r="T92" s="5">
        <f t="shared" si="38"/>
        <v>69.223511999999999</v>
      </c>
      <c r="U92" s="5">
        <f t="shared" si="39"/>
        <v>32.361991860000003</v>
      </c>
      <c r="V92" s="5"/>
      <c r="W92" s="5"/>
      <c r="X92" s="5">
        <f t="shared" si="55"/>
        <v>36.861520139999996</v>
      </c>
      <c r="Y92" s="5"/>
      <c r="Z92" s="5"/>
      <c r="AA92" s="5"/>
      <c r="AB92" s="1"/>
      <c r="AC92" s="1"/>
      <c r="AD92" s="1">
        <f t="shared" si="40"/>
        <v>14</v>
      </c>
      <c r="AE92" s="1">
        <f t="shared" si="41"/>
        <v>8.7412133643283649</v>
      </c>
      <c r="AF92" s="1">
        <v>13.0406</v>
      </c>
      <c r="AG92" s="1">
        <v>11.8812</v>
      </c>
      <c r="AH92" s="1">
        <v>12.0274</v>
      </c>
      <c r="AI92" s="1">
        <v>14.679399999999999</v>
      </c>
      <c r="AJ92" s="1">
        <v>10.170999999999999</v>
      </c>
      <c r="AK92" s="1">
        <v>7.35</v>
      </c>
      <c r="AL92" s="1">
        <v>9.4760000000000009</v>
      </c>
      <c r="AM92" s="1">
        <v>8.6053999999999995</v>
      </c>
      <c r="AN92" s="1"/>
      <c r="AO92" s="1">
        <f t="shared" si="42"/>
        <v>32</v>
      </c>
      <c r="AP92" s="1">
        <f t="shared" si="43"/>
        <v>0</v>
      </c>
      <c r="AQ92" s="1">
        <f t="shared" si="44"/>
        <v>0</v>
      </c>
      <c r="AR92" s="1">
        <f t="shared" si="45"/>
        <v>37</v>
      </c>
      <c r="AS92" s="1">
        <f t="shared" si="46"/>
        <v>0</v>
      </c>
      <c r="AT92" s="1">
        <f t="shared" si="47"/>
        <v>0</v>
      </c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 x14ac:dyDescent="0.25">
      <c r="A93" s="1" t="s">
        <v>136</v>
      </c>
      <c r="B93" s="1" t="s">
        <v>41</v>
      </c>
      <c r="C93" s="1">
        <v>54</v>
      </c>
      <c r="D93" s="1"/>
      <c r="E93" s="1">
        <v>35</v>
      </c>
      <c r="F93" s="1">
        <v>10</v>
      </c>
      <c r="G93" s="8">
        <v>0.3</v>
      </c>
      <c r="H93" s="1">
        <v>40</v>
      </c>
      <c r="I93" s="1" t="s">
        <v>37</v>
      </c>
      <c r="J93" s="1"/>
      <c r="K93" s="1">
        <v>35</v>
      </c>
      <c r="L93" s="1">
        <f t="shared" si="35"/>
        <v>0</v>
      </c>
      <c r="M93" s="1">
        <f t="shared" si="36"/>
        <v>35</v>
      </c>
      <c r="N93" s="1"/>
      <c r="O93" s="1">
        <v>3.5999999999999939</v>
      </c>
      <c r="P93" s="1"/>
      <c r="Q93" s="1">
        <f t="shared" si="37"/>
        <v>7</v>
      </c>
      <c r="R93" s="5">
        <f>10*Q93-P93-O93-F93</f>
        <v>56.400000000000006</v>
      </c>
      <c r="S93" s="5"/>
      <c r="T93" s="5">
        <f t="shared" si="38"/>
        <v>56.400000000000006</v>
      </c>
      <c r="U93" s="5">
        <f t="shared" si="39"/>
        <v>26.367000000000004</v>
      </c>
      <c r="V93" s="5"/>
      <c r="W93" s="5"/>
      <c r="X93" s="5">
        <f t="shared" si="55"/>
        <v>30.033000000000001</v>
      </c>
      <c r="Y93" s="5"/>
      <c r="Z93" s="5"/>
      <c r="AA93" s="5"/>
      <c r="AB93" s="1"/>
      <c r="AC93" s="1"/>
      <c r="AD93" s="1">
        <f t="shared" si="40"/>
        <v>10</v>
      </c>
      <c r="AE93" s="1">
        <f t="shared" si="41"/>
        <v>1.9428571428571419</v>
      </c>
      <c r="AF93" s="1">
        <v>4.8</v>
      </c>
      <c r="AG93" s="1">
        <v>4.2</v>
      </c>
      <c r="AH93" s="1">
        <v>4.5999999999999996</v>
      </c>
      <c r="AI93" s="1">
        <v>5.6</v>
      </c>
      <c r="AJ93" s="1">
        <v>7.6</v>
      </c>
      <c r="AK93" s="1">
        <v>5.8</v>
      </c>
      <c r="AL93" s="1">
        <v>3.8</v>
      </c>
      <c r="AM93" s="1">
        <v>3</v>
      </c>
      <c r="AN93" s="1"/>
      <c r="AO93" s="1">
        <f t="shared" si="42"/>
        <v>8</v>
      </c>
      <c r="AP93" s="1">
        <f t="shared" si="43"/>
        <v>0</v>
      </c>
      <c r="AQ93" s="1">
        <f t="shared" si="44"/>
        <v>0</v>
      </c>
      <c r="AR93" s="1">
        <f t="shared" si="45"/>
        <v>9</v>
      </c>
      <c r="AS93" s="1">
        <f t="shared" si="46"/>
        <v>0</v>
      </c>
      <c r="AT93" s="1">
        <f t="shared" si="47"/>
        <v>0</v>
      </c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 x14ac:dyDescent="0.25">
      <c r="A94" s="1" t="s">
        <v>137</v>
      </c>
      <c r="B94" s="1" t="s">
        <v>41</v>
      </c>
      <c r="C94" s="1">
        <v>25</v>
      </c>
      <c r="D94" s="1">
        <v>15</v>
      </c>
      <c r="E94" s="1"/>
      <c r="F94" s="1">
        <v>9</v>
      </c>
      <c r="G94" s="8">
        <v>0.12</v>
      </c>
      <c r="H94" s="1">
        <v>45</v>
      </c>
      <c r="I94" s="1" t="s">
        <v>37</v>
      </c>
      <c r="J94" s="1"/>
      <c r="K94" s="1">
        <v>7</v>
      </c>
      <c r="L94" s="1">
        <f t="shared" si="35"/>
        <v>-7</v>
      </c>
      <c r="M94" s="1">
        <f t="shared" si="36"/>
        <v>0</v>
      </c>
      <c r="N94" s="1"/>
      <c r="O94" s="1">
        <v>13.6</v>
      </c>
      <c r="P94" s="1"/>
      <c r="Q94" s="1">
        <f t="shared" si="37"/>
        <v>0</v>
      </c>
      <c r="R94" s="5"/>
      <c r="S94" s="5"/>
      <c r="T94" s="5">
        <f t="shared" si="38"/>
        <v>0</v>
      </c>
      <c r="U94" s="5">
        <f t="shared" si="39"/>
        <v>0</v>
      </c>
      <c r="V94" s="5"/>
      <c r="W94" s="5"/>
      <c r="X94" s="5"/>
      <c r="Y94" s="5"/>
      <c r="Z94" s="5"/>
      <c r="AA94" s="5"/>
      <c r="AB94" s="1"/>
      <c r="AC94" s="1"/>
      <c r="AD94" s="1" t="e">
        <f t="shared" si="40"/>
        <v>#DIV/0!</v>
      </c>
      <c r="AE94" s="1" t="e">
        <f t="shared" si="41"/>
        <v>#DIV/0!</v>
      </c>
      <c r="AF94" s="1">
        <v>3.4</v>
      </c>
      <c r="AG94" s="1">
        <v>2.8</v>
      </c>
      <c r="AH94" s="1">
        <v>3.8</v>
      </c>
      <c r="AI94" s="1">
        <v>5</v>
      </c>
      <c r="AJ94" s="1">
        <v>3.8</v>
      </c>
      <c r="AK94" s="1">
        <v>4.2</v>
      </c>
      <c r="AL94" s="1">
        <v>5.8</v>
      </c>
      <c r="AM94" s="1">
        <v>6.6</v>
      </c>
      <c r="AN94" s="1" t="s">
        <v>138</v>
      </c>
      <c r="AO94" s="1">
        <f t="shared" si="42"/>
        <v>0</v>
      </c>
      <c r="AP94" s="1">
        <f t="shared" si="43"/>
        <v>0</v>
      </c>
      <c r="AQ94" s="1">
        <f t="shared" si="44"/>
        <v>0</v>
      </c>
      <c r="AR94" s="1">
        <f t="shared" si="45"/>
        <v>0</v>
      </c>
      <c r="AS94" s="1">
        <f t="shared" si="46"/>
        <v>0</v>
      </c>
      <c r="AT94" s="1">
        <f t="shared" si="47"/>
        <v>0</v>
      </c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1:56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1:56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1:56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1:56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1:56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1:56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1:56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1:56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1:56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1:56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56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56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1:56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1:56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1:56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1:56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1:56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1:56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1:56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1:56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1:56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1:56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1:56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1:56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1:56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1:56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spans="1:56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spans="1:56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spans="1:56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spans="1:56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1:56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spans="1:56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spans="1:56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spans="1:56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spans="1:56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spans="1:56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spans="1:56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spans="1:56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 spans="1:56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spans="1:56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spans="1:56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 spans="1:56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 spans="1:56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spans="1:56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spans="1:56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spans="1:56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spans="1:56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spans="1:56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spans="1:56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spans="1:56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spans="1:56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spans="1:56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spans="1:56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spans="1:56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spans="1:56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spans="1:56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spans="1:56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spans="1:56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spans="1:56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spans="1:56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spans="1:56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spans="1:56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spans="1:56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spans="1:56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spans="1:56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spans="1:56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spans="1:56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1:56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spans="1:56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spans="1:56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spans="1:56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 spans="1:56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spans="1:56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spans="1:56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spans="1:56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spans="1:56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spans="1:56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 spans="1:56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 spans="1:56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spans="1:56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spans="1:56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spans="1:56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spans="1:56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spans="1:56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 spans="1:56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spans="1:56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spans="1:56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spans="1:56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spans="1:56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spans="1:56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spans="1:56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 spans="1:56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 spans="1:56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 spans="1:56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 spans="1:56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 spans="1:56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 spans="1:56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 spans="1:56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 spans="1:56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 spans="1:56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 spans="1:56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 spans="1:56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 spans="1:56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 spans="1:56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 spans="1:56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spans="1:56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spans="1:56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 spans="1:56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 spans="1:56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 spans="1:56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 spans="1:56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 spans="1:56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 spans="1:56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spans="1:56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spans="1:56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spans="1:56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spans="1:56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 spans="1:56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 spans="1:56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 spans="1:56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 spans="1:56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 spans="1:56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 spans="1:56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 spans="1:56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 spans="1:56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 spans="1:56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 spans="1:56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 spans="1:56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 spans="1:56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 spans="1:56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 spans="1:56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 spans="1:56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 spans="1:56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 spans="1:56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 spans="1:56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 spans="1:56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 spans="1:56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 spans="1:56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 spans="1:56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 spans="1:56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 spans="1:56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 spans="1:56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 spans="1:56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 spans="1:56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 spans="1:56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 spans="1:56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 spans="1:56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 spans="1:56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 spans="1:56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 spans="1:56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 spans="1:56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 spans="1:56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 spans="1:56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spans="1:56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spans="1:56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spans="1:56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 spans="1:56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 spans="1:56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 spans="1:56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 spans="1:56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spans="1:56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spans="1:56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spans="1:56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spans="1:56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spans="1:56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spans="1:56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 spans="1:56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 spans="1:56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 spans="1:56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 spans="1:56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 spans="1:56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 spans="1:56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 spans="1:56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 spans="1:56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spans="1:56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 spans="1:56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 spans="1:56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 spans="1:56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 spans="1:56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 spans="1:56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 spans="1:56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 spans="1:56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 spans="1:56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 spans="1:56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 spans="1:56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 spans="1:56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 spans="1:56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 spans="1:56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 spans="1:56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 spans="1:56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 spans="1:56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 spans="1:56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 spans="1:56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 spans="1:56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 spans="1:56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 spans="1:56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 spans="1:56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 spans="1:56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 spans="1:56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 spans="1:56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 spans="1:56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 spans="1:56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 spans="1:56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 spans="1:56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 spans="1:56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 spans="1:56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 spans="1:56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 spans="1:56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 spans="1:56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 spans="1:56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 spans="1:56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 spans="1:56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 spans="1:56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 spans="1:56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 spans="1:56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 spans="1:56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 spans="1:56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 spans="1:56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 spans="1:56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 spans="1:56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 spans="1:56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 spans="1:56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 spans="1:56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 spans="1:56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 spans="1:56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 spans="1:56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 spans="1:56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 spans="1:56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 spans="1:56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 spans="1:56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 spans="1:56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 spans="1:56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 spans="1:56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 spans="1:56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 spans="1:56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 spans="1:56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 spans="1:56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 spans="1:56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 spans="1:56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 spans="1:56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 spans="1:56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 spans="1:56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 spans="1:56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 spans="1:56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 spans="1:56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 spans="1:56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 spans="1:56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 spans="1:56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 spans="1:56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 spans="1:56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 spans="1:56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 spans="1:56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 spans="1:56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 spans="1:56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 spans="1:56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 spans="1:56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 spans="1:56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 spans="1:56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 spans="1:56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 spans="1:56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 spans="1:56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 spans="1:56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 spans="1:56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 spans="1:56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pans="1:56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 spans="1:56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 spans="1:56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 spans="1:56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 spans="1:56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 spans="1:56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 spans="1:56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 spans="1:56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 spans="1:56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 spans="1:56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 spans="1:56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 spans="1:56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 spans="1:56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 spans="1:56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 spans="1:56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 spans="1:56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 spans="1:56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 spans="1:56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 spans="1:56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 spans="1:56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 spans="1:56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 spans="1:56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 spans="1:56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 spans="1:56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 spans="1:56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 spans="1:56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 spans="1:56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 spans="1:56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 spans="1:56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 spans="1:56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 spans="1:56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 spans="1:56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 spans="1:56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 spans="1:56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 spans="1:56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 spans="1:56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 spans="1:56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 spans="1:56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 spans="1:56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 spans="1:56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 spans="1:56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 spans="1:56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 spans="1:56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 spans="1:56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 spans="1:56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 spans="1:56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 spans="1:56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 spans="1:56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 spans="1:56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 spans="1:56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 spans="1:56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 spans="1:56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 spans="1:56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 spans="1:56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 spans="1:56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 spans="1:56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 spans="1:56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 spans="1:56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 spans="1:56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 spans="1:56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 spans="1:56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 spans="1:56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 spans="1:56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 spans="1:56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 spans="1:56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 spans="1:56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 spans="1:56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 spans="1:56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 spans="1:56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 spans="1:56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 spans="1:56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 spans="1:56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 spans="1:56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 spans="1:56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 spans="1:56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 spans="1:56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 spans="1:56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 spans="1:56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 spans="1:56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 spans="1:56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 spans="1:56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 spans="1:56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 spans="1:56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 spans="1:56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 spans="1:56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 spans="1:56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 spans="1:56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 spans="1:56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 spans="1:56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 spans="1:56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 spans="1:56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 spans="1:56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 spans="1:56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 spans="1:56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 spans="1:56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 spans="1:56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 spans="1:56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 spans="1:56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 spans="1:56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 spans="1:56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 spans="1:56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 spans="1:56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 spans="1:56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 spans="1:56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 spans="1:56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 spans="1:56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 spans="1:56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 spans="1:56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 spans="1:56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 spans="1:56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 spans="1:56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 spans="1:56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 spans="1:56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 spans="1:56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 spans="1:56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 spans="1:56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 spans="1:56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 spans="1:56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 spans="1:56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 spans="1:56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 spans="1:56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 spans="1:56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 spans="1:56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 spans="1:56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 spans="1:56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 spans="1:56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 spans="1:56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 spans="1:56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 spans="1:56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 spans="1:56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 spans="1:56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 spans="1:56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 spans="1:56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 spans="1:56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 spans="1:56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 spans="1:56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 spans="1:56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 spans="1:56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</sheetData>
  <autoFilter ref="A3:AO94" xr:uid="{6C083CA5-028B-4BCB-8709-CD03939DF634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2025-12-25T12:32:27Z</dcterms:created>
  <dcterms:modified xsi:type="dcterms:W3CDTF">2026-01-06T09:55:52Z</dcterms:modified>
</cp:coreProperties>
</file>