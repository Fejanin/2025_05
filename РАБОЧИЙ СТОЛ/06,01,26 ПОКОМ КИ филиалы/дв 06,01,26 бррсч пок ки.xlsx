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C246C60A-30B6-412E-A9BE-DBCF09C8DB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8" i="1" l="1"/>
  <c r="AF94" i="1"/>
  <c r="AF56" i="1"/>
  <c r="AF46" i="1"/>
  <c r="AF44" i="1"/>
  <c r="AF42" i="1"/>
  <c r="AF40" i="1"/>
  <c r="AF35" i="1"/>
  <c r="AF20" i="1"/>
  <c r="AF12" i="1"/>
  <c r="Q7" i="1"/>
  <c r="R7" i="1" s="1"/>
  <c r="AF7" i="1" s="1"/>
  <c r="Q8" i="1"/>
  <c r="Q9" i="1"/>
  <c r="U9" i="1" s="1"/>
  <c r="Q10" i="1"/>
  <c r="Q11" i="1"/>
  <c r="Q12" i="1"/>
  <c r="Q13" i="1"/>
  <c r="Q14" i="1"/>
  <c r="Q15" i="1"/>
  <c r="Q16" i="1"/>
  <c r="R16" i="1" s="1"/>
  <c r="AF16" i="1" s="1"/>
  <c r="Q17" i="1"/>
  <c r="Q18" i="1"/>
  <c r="R18" i="1" s="1"/>
  <c r="AF18" i="1" s="1"/>
  <c r="Q19" i="1"/>
  <c r="Q20" i="1"/>
  <c r="Q21" i="1"/>
  <c r="Q22" i="1"/>
  <c r="U22" i="1" s="1"/>
  <c r="Q23" i="1"/>
  <c r="Q24" i="1"/>
  <c r="Q25" i="1"/>
  <c r="R25" i="1" s="1"/>
  <c r="AF25" i="1" s="1"/>
  <c r="Q26" i="1"/>
  <c r="Q27" i="1"/>
  <c r="U27" i="1" s="1"/>
  <c r="Q28" i="1"/>
  <c r="R28" i="1" s="1"/>
  <c r="AF28" i="1" s="1"/>
  <c r="Q29" i="1"/>
  <c r="Q30" i="1"/>
  <c r="U30" i="1" s="1"/>
  <c r="Q31" i="1"/>
  <c r="AF31" i="1" s="1"/>
  <c r="Q32" i="1"/>
  <c r="Q33" i="1"/>
  <c r="Q34" i="1"/>
  <c r="R34" i="1" s="1"/>
  <c r="Q35" i="1"/>
  <c r="Q36" i="1"/>
  <c r="Q37" i="1"/>
  <c r="Q38" i="1"/>
  <c r="U38" i="1" s="1"/>
  <c r="Q39" i="1"/>
  <c r="Q40" i="1"/>
  <c r="Q41" i="1"/>
  <c r="Q42" i="1"/>
  <c r="Q43" i="1"/>
  <c r="Q44" i="1"/>
  <c r="Q45" i="1"/>
  <c r="Q46" i="1"/>
  <c r="Q47" i="1"/>
  <c r="Q48" i="1"/>
  <c r="R48" i="1" s="1"/>
  <c r="AF48" i="1" s="1"/>
  <c r="Q49" i="1"/>
  <c r="R49" i="1" s="1"/>
  <c r="Q50" i="1"/>
  <c r="R50" i="1" s="1"/>
  <c r="AF50" i="1" s="1"/>
  <c r="Q51" i="1"/>
  <c r="Q52" i="1"/>
  <c r="U52" i="1" s="1"/>
  <c r="Q53" i="1"/>
  <c r="R53" i="1" s="1"/>
  <c r="AF53" i="1" s="1"/>
  <c r="Q54" i="1"/>
  <c r="U54" i="1" s="1"/>
  <c r="Q55" i="1"/>
  <c r="Q56" i="1"/>
  <c r="Q57" i="1"/>
  <c r="U57" i="1" s="1"/>
  <c r="Q58" i="1"/>
  <c r="Q59" i="1"/>
  <c r="Q60" i="1"/>
  <c r="Q61" i="1"/>
  <c r="Q62" i="1"/>
  <c r="Q63" i="1"/>
  <c r="R63" i="1" s="1"/>
  <c r="Q64" i="1"/>
  <c r="Q65" i="1"/>
  <c r="Q66" i="1"/>
  <c r="Q67" i="1"/>
  <c r="Q68" i="1"/>
  <c r="Q69" i="1"/>
  <c r="Q70" i="1"/>
  <c r="U70" i="1" s="1"/>
  <c r="Q71" i="1"/>
  <c r="Q72" i="1"/>
  <c r="R72" i="1" s="1"/>
  <c r="AF72" i="1" s="1"/>
  <c r="Q73" i="1"/>
  <c r="R73" i="1" s="1"/>
  <c r="Q74" i="1"/>
  <c r="U74" i="1" s="1"/>
  <c r="Q75" i="1"/>
  <c r="Q76" i="1"/>
  <c r="U76" i="1" s="1"/>
  <c r="Q77" i="1"/>
  <c r="R77" i="1" s="1"/>
  <c r="Q78" i="1"/>
  <c r="U78" i="1" s="1"/>
  <c r="Q79" i="1"/>
  <c r="U79" i="1" s="1"/>
  <c r="Q80" i="1"/>
  <c r="R80" i="1" s="1"/>
  <c r="AF80" i="1" s="1"/>
  <c r="Q81" i="1"/>
  <c r="Q82" i="1"/>
  <c r="R82" i="1" s="1"/>
  <c r="AF82" i="1" s="1"/>
  <c r="Q83" i="1"/>
  <c r="Q84" i="1"/>
  <c r="U84" i="1" s="1"/>
  <c r="Q85" i="1"/>
  <c r="Q86" i="1"/>
  <c r="Q87" i="1"/>
  <c r="Q88" i="1"/>
  <c r="Q89" i="1"/>
  <c r="Q90" i="1"/>
  <c r="Q91" i="1"/>
  <c r="Q92" i="1"/>
  <c r="U92" i="1" s="1"/>
  <c r="Q93" i="1"/>
  <c r="Q94" i="1"/>
  <c r="Q95" i="1"/>
  <c r="Q96" i="1"/>
  <c r="R96" i="1" s="1"/>
  <c r="AF96" i="1" s="1"/>
  <c r="Q97" i="1"/>
  <c r="Q98" i="1"/>
  <c r="Q99" i="1"/>
  <c r="Q6" i="1"/>
  <c r="L54" i="1"/>
  <c r="L52" i="1"/>
  <c r="L38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3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AF14" i="1"/>
  <c r="L14" i="1"/>
  <c r="L13" i="1"/>
  <c r="L12" i="1"/>
  <c r="L11" i="1"/>
  <c r="AF10" i="1"/>
  <c r="L10" i="1"/>
  <c r="L9" i="1"/>
  <c r="L8" i="1"/>
  <c r="L7" i="1"/>
  <c r="AF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R99" i="1" l="1"/>
  <c r="AF99" i="1" s="1"/>
  <c r="AF97" i="1"/>
  <c r="R95" i="1"/>
  <c r="AF95" i="1" s="1"/>
  <c r="R93" i="1"/>
  <c r="AF93" i="1" s="1"/>
  <c r="R91" i="1"/>
  <c r="AF91" i="1" s="1"/>
  <c r="R89" i="1"/>
  <c r="AF89" i="1" s="1"/>
  <c r="R87" i="1"/>
  <c r="AF87" i="1" s="1"/>
  <c r="R85" i="1"/>
  <c r="AF85" i="1" s="1"/>
  <c r="R83" i="1"/>
  <c r="AF83" i="1" s="1"/>
  <c r="R81" i="1"/>
  <c r="AF81" i="1" s="1"/>
  <c r="AF77" i="1"/>
  <c r="AF75" i="1"/>
  <c r="AF73" i="1"/>
  <c r="AF71" i="1"/>
  <c r="AF69" i="1"/>
  <c r="R67" i="1"/>
  <c r="AF67" i="1" s="1"/>
  <c r="R65" i="1"/>
  <c r="AF65" i="1" s="1"/>
  <c r="AF63" i="1"/>
  <c r="AF61" i="1"/>
  <c r="AF59" i="1"/>
  <c r="R55" i="1"/>
  <c r="AF55" i="1" s="1"/>
  <c r="U53" i="1"/>
  <c r="U51" i="1"/>
  <c r="AF51" i="1"/>
  <c r="AF49" i="1"/>
  <c r="R47" i="1"/>
  <c r="AF47" i="1" s="1"/>
  <c r="U45" i="1"/>
  <c r="AF45" i="1"/>
  <c r="R43" i="1"/>
  <c r="AF43" i="1" s="1"/>
  <c r="U41" i="1"/>
  <c r="AF41" i="1"/>
  <c r="U39" i="1"/>
  <c r="AF39" i="1"/>
  <c r="U35" i="1"/>
  <c r="U31" i="1"/>
  <c r="U29" i="1"/>
  <c r="AF29" i="1"/>
  <c r="U25" i="1"/>
  <c r="U21" i="1"/>
  <c r="AF21" i="1"/>
  <c r="R19" i="1"/>
  <c r="AF19" i="1" s="1"/>
  <c r="U17" i="1"/>
  <c r="AF17" i="1"/>
  <c r="U15" i="1"/>
  <c r="AF15" i="1"/>
  <c r="U13" i="1"/>
  <c r="AF13" i="1"/>
  <c r="U11" i="1"/>
  <c r="AF11" i="1"/>
  <c r="U7" i="1"/>
  <c r="AF23" i="1"/>
  <c r="AF33" i="1"/>
  <c r="R37" i="1"/>
  <c r="AF37" i="1" s="1"/>
  <c r="U90" i="1"/>
  <c r="U86" i="1"/>
  <c r="U62" i="1"/>
  <c r="U26" i="1"/>
  <c r="R8" i="1"/>
  <c r="AF8" i="1" s="1"/>
  <c r="R24" i="1"/>
  <c r="AF24" i="1" s="1"/>
  <c r="AF26" i="1"/>
  <c r="AF32" i="1"/>
  <c r="AF34" i="1"/>
  <c r="R36" i="1"/>
  <c r="AF36" i="1" s="1"/>
  <c r="R58" i="1"/>
  <c r="AF58" i="1" s="1"/>
  <c r="AF60" i="1"/>
  <c r="AF62" i="1"/>
  <c r="AF64" i="1"/>
  <c r="R66" i="1"/>
  <c r="AF66" i="1" s="1"/>
  <c r="R68" i="1"/>
  <c r="AF68" i="1" s="1"/>
  <c r="AF86" i="1"/>
  <c r="R88" i="1"/>
  <c r="AF88" i="1" s="1"/>
  <c r="AF90" i="1"/>
  <c r="U98" i="1"/>
  <c r="U96" i="1"/>
  <c r="U94" i="1"/>
  <c r="U82" i="1"/>
  <c r="U80" i="1"/>
  <c r="U72" i="1"/>
  <c r="U56" i="1"/>
  <c r="U50" i="1"/>
  <c r="U48" i="1"/>
  <c r="U46" i="1"/>
  <c r="U44" i="1"/>
  <c r="U42" i="1"/>
  <c r="U40" i="1"/>
  <c r="U28" i="1"/>
  <c r="U20" i="1"/>
  <c r="U18" i="1"/>
  <c r="U16" i="1"/>
  <c r="U14" i="1"/>
  <c r="U12" i="1"/>
  <c r="U10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V9" i="1"/>
  <c r="Q5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7" i="1"/>
  <c r="U6" i="1"/>
  <c r="V98" i="1"/>
  <c r="V96" i="1"/>
  <c r="V94" i="1"/>
  <c r="V92" i="1"/>
  <c r="V6" i="1"/>
  <c r="V90" i="1"/>
  <c r="V88" i="1"/>
  <c r="V86" i="1"/>
  <c r="V84" i="1"/>
  <c r="V82" i="1"/>
  <c r="V80" i="1"/>
  <c r="V78" i="1"/>
  <c r="V76" i="1"/>
  <c r="V74" i="1"/>
  <c r="V72" i="1"/>
  <c r="V70" i="1"/>
  <c r="V68" i="1"/>
  <c r="V66" i="1"/>
  <c r="V64" i="1"/>
  <c r="V62" i="1"/>
  <c r="V60" i="1"/>
  <c r="V58" i="1"/>
  <c r="V56" i="1"/>
  <c r="V54" i="1"/>
  <c r="V52" i="1"/>
  <c r="V50" i="1"/>
  <c r="V48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L5" i="1"/>
  <c r="U19" i="1" l="1"/>
  <c r="U37" i="1"/>
  <c r="U43" i="1"/>
  <c r="U47" i="1"/>
  <c r="U49" i="1"/>
  <c r="U58" i="1"/>
  <c r="U66" i="1"/>
  <c r="R5" i="1"/>
  <c r="U8" i="1"/>
  <c r="U34" i="1"/>
  <c r="AF5" i="1"/>
  <c r="U33" i="1"/>
  <c r="U24" i="1"/>
  <c r="U32" i="1"/>
  <c r="U36" i="1"/>
  <c r="U60" i="1"/>
  <c r="U64" i="1"/>
  <c r="U68" i="1"/>
  <c r="U88" i="1"/>
  <c r="U23" i="1"/>
  <c r="U55" i="1"/>
  <c r="U59" i="1"/>
  <c r="U61" i="1"/>
  <c r="U63" i="1"/>
  <c r="U65" i="1"/>
  <c r="U67" i="1"/>
  <c r="U69" i="1"/>
  <c r="U71" i="1"/>
  <c r="U73" i="1"/>
  <c r="U75" i="1"/>
  <c r="U77" i="1"/>
  <c r="U81" i="1"/>
  <c r="U83" i="1"/>
  <c r="U85" i="1"/>
  <c r="U87" i="1"/>
  <c r="U89" i="1"/>
  <c r="U91" i="1"/>
  <c r="U93" i="1"/>
  <c r="U95" i="1"/>
  <c r="U97" i="1"/>
  <c r="U99" i="1"/>
</calcChain>
</file>

<file path=xl/sharedStrings.xml><?xml version="1.0" encoding="utf-8"?>
<sst xmlns="http://schemas.openxmlformats.org/spreadsheetml/2006/main" count="366" uniqueCount="150">
  <si>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</si>
  <si>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</si>
  <si>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</si>
  <si>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</si>
  <si>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</si>
  <si>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</si>
  <si>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</si>
  <si>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</si>
  <si>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</si>
  <si>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</si>
  <si>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</si>
  <si>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</si>
  <si>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</si>
  <si>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</si>
  <si>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</si>
  <si>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</si>
  <si>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</si>
  <si>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</si>
  <si>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</si>
  <si>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</si>
  <si>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</si>
  <si>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</si>
  <si>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</si>
  <si>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</si>
  <si>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03,01,(2)</t>
  </si>
  <si>
    <t>05,01,(2)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</si>
  <si>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</si>
  <si>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</si>
  <si>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</si>
  <si>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</si>
  <si>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</si>
  <si>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</si>
  <si>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</si>
  <si>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</si>
  <si>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</si>
  <si>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</si>
  <si>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</si>
  <si>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</si>
  <si>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</si>
  <si>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</si>
  <si>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</si>
  <si>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</si>
  <si>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</si>
  <si>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</si>
  <si>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</si>
  <si>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</si>
  <si>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</si>
  <si>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</si>
  <si>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</si>
  <si>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</si>
  <si>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</si>
  <si>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</si>
  <si>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</si>
  <si>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</si>
  <si>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</si>
  <si>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</si>
  <si>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</si>
  <si>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>не в матрице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</si>
  <si>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</si>
  <si>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</si>
  <si>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</si>
  <si>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</si>
  <si>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</si>
  <si>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</si>
  <si>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</si>
  <si>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</si>
  <si>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</si>
  <si>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</si>
  <si>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</si>
  <si>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</si>
  <si>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</si>
  <si>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</si>
  <si>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</si>
  <si>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</si>
  <si>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</si>
  <si>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</si>
  <si>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</si>
  <si>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</si>
  <si>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</si>
  <si>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</si>
  <si>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</si>
  <si>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</si>
  <si>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</si>
  <si>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</si>
  <si>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</si>
  <si>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</si>
  <si>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</si>
  <si>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</si>
  <si>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</si>
  <si>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</si>
  <si>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</si>
  <si>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</si>
  <si>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</si>
  <si>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</si>
  <si>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</si>
  <si>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</si>
  <si>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</si>
  <si>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</si>
  <si>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</si>
  <si>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</si>
  <si>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</si>
  <si>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</si>
  <si>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</si>
  <si>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</si>
  <si>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</si>
  <si>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</si>
  <si>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</si>
  <si>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</si>
  <si>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</si>
  <si>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</si>
  <si>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</si>
  <si>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</si>
  <si>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</si>
  <si>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</si>
  <si>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</si>
  <si>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</si>
  <si>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</si>
  <si>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</si>
  <si>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</si>
  <si>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</si>
  <si>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</si>
  <si>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</si>
  <si>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</si>
  <si>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</si>
  <si>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</si>
  <si>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</si>
  <si>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</si>
  <si>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</si>
  <si>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</si>
  <si>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</si>
  <si>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</si>
  <si>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</si>
  <si>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</si>
  <si>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</si>
  <si>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</si>
  <si>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</si>
  <si>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</si>
  <si>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</si>
  <si>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</si>
  <si>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</si>
  <si>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</si>
  <si>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</si>
  <si>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</si>
  <si>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</si>
  <si>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</si>
  <si>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</si>
  <si>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</si>
  <si>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</si>
  <si>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перемещение (Новороссийск)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</si>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</sst>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4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9" width="7" customWidth="1"/>
    <col min="20" max="20" width="21" customWidth="1"/>
    <col min="21" max="22" width="5" customWidth="1"/>
    <col min="23" max="30" width="6" customWidth="1"/>
    <col min="31" max="31" width="39.425781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14998.357000000002</v>
      </c>
      <c r="F5" s="4">
        <f>SUM(F6:F500)</f>
        <v>15050.800999999999</v>
      </c>
      <c r="G5" s="8"/>
      <c r="H5" s="1"/>
      <c r="I5" s="1"/>
      <c r="J5" s="1"/>
      <c r="K5" s="4">
        <f t="shared" ref="K5:S5" si="0">SUM(K6:K500)</f>
        <v>16225.833000000001</v>
      </c>
      <c r="L5" s="4">
        <f t="shared" si="0"/>
        <v>-1227.4759999999994</v>
      </c>
      <c r="M5" s="4">
        <f t="shared" si="0"/>
        <v>0</v>
      </c>
      <c r="N5" s="4">
        <f t="shared" si="0"/>
        <v>0</v>
      </c>
      <c r="O5" s="4">
        <f t="shared" si="0"/>
        <v>6778.0162100000016</v>
      </c>
      <c r="P5" s="4">
        <f t="shared" si="0"/>
        <v>6644.353610000001</v>
      </c>
      <c r="Q5" s="4">
        <f t="shared" si="0"/>
        <v>2999.6713999999997</v>
      </c>
      <c r="R5" s="4">
        <f t="shared" si="0"/>
        <v>6902.5860199999952</v>
      </c>
      <c r="S5" s="4">
        <f t="shared" si="0"/>
        <v>0</v>
      </c>
      <c r="T5" s="1"/>
      <c r="U5" s="1"/>
      <c r="V5" s="1"/>
      <c r="W5" s="4">
        <f t="shared" ref="W5:AD5" si="1">SUM(W6:W500)</f>
        <v>2379.5410000000002</v>
      </c>
      <c r="X5" s="4">
        <f t="shared" si="1"/>
        <v>2624.6326000000004</v>
      </c>
      <c r="Y5" s="4">
        <f t="shared" si="1"/>
        <v>2468.4562000000005</v>
      </c>
      <c r="Z5" s="4">
        <f t="shared" si="1"/>
        <v>2103.4102000000003</v>
      </c>
      <c r="AA5" s="4">
        <f t="shared" si="1"/>
        <v>2142.1634000000008</v>
      </c>
      <c r="AB5" s="4">
        <f t="shared" si="1"/>
        <v>2500.273799999999</v>
      </c>
      <c r="AC5" s="4">
        <f t="shared" si="1"/>
        <v>2546.3481999999999</v>
      </c>
      <c r="AD5" s="4">
        <f t="shared" si="1"/>
        <v>2145.5862000000011</v>
      </c>
      <c r="AE5" s="1"/>
      <c r="AF5" s="4">
        <f>SUM(AF6:AF500)</f>
        <v>5454.9834199999977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90.662999999999997</v>
      </c>
      <c r="D6" s="1">
        <v>265.863</v>
      </c>
      <c r="E6" s="1">
        <v>149.90299999999999</v>
      </c>
      <c r="F6" s="1">
        <v>136.78299999999999</v>
      </c>
      <c r="G6" s="8">
        <v>1</v>
      </c>
      <c r="H6" s="1">
        <v>50</v>
      </c>
      <c r="I6" s="1" t="s">
        <v>37</v>
      </c>
      <c r="J6" s="1"/>
      <c r="K6" s="1">
        <v>204.64699999999999</v>
      </c>
      <c r="L6" s="1">
        <f t="shared" ref="L6:L37" si="2">E6-K6</f>
        <v>-54.744</v>
      </c>
      <c r="M6" s="1"/>
      <c r="N6" s="1"/>
      <c r="O6" s="1">
        <v>125.80656</v>
      </c>
      <c r="P6" s="1">
        <v>125.80656</v>
      </c>
      <c r="Q6" s="1">
        <f>E6/5</f>
        <v>29.980599999999999</v>
      </c>
      <c r="R6" s="5"/>
      <c r="S6" s="5"/>
      <c r="T6" s="1"/>
      <c r="U6" s="1">
        <f>(F6+O6+P6+R6)/Q6</f>
        <v>12.954914844933057</v>
      </c>
      <c r="V6" s="1">
        <f>(F6+O6+P6)/Q6</f>
        <v>12.954914844933057</v>
      </c>
      <c r="W6" s="1">
        <v>30.4298</v>
      </c>
      <c r="X6" s="1">
        <v>21.640999999999998</v>
      </c>
      <c r="Y6" s="1">
        <v>28.107199999999999</v>
      </c>
      <c r="Z6" s="1">
        <v>22.5428</v>
      </c>
      <c r="AA6" s="1">
        <v>22.8916</v>
      </c>
      <c r="AB6" s="1">
        <v>13.454599999999999</v>
      </c>
      <c r="AC6" s="1">
        <v>13.1496</v>
      </c>
      <c r="AD6" s="1">
        <v>22.103400000000001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42.805</v>
      </c>
      <c r="D7" s="1">
        <v>56.642000000000003</v>
      </c>
      <c r="E7" s="1">
        <v>59.241</v>
      </c>
      <c r="F7" s="1">
        <v>16.126000000000001</v>
      </c>
      <c r="G7" s="8">
        <v>1</v>
      </c>
      <c r="H7" s="1">
        <v>45</v>
      </c>
      <c r="I7" s="1" t="s">
        <v>37</v>
      </c>
      <c r="J7" s="1"/>
      <c r="K7" s="1">
        <v>66.3</v>
      </c>
      <c r="L7" s="1">
        <f t="shared" si="2"/>
        <v>-7.0589999999999975</v>
      </c>
      <c r="M7" s="1"/>
      <c r="N7" s="1"/>
      <c r="O7" s="1">
        <v>50.615699999999997</v>
      </c>
      <c r="P7" s="1">
        <v>50.615699999999997</v>
      </c>
      <c r="Q7" s="1">
        <f t="shared" ref="Q7:Q70" si="3">E7/5</f>
        <v>11.8482</v>
      </c>
      <c r="R7" s="5">
        <f t="shared" ref="R7:R8" si="4">11*Q7-P7-O7-F7</f>
        <v>12.972799999999989</v>
      </c>
      <c r="S7" s="5"/>
      <c r="T7" s="1"/>
      <c r="U7" s="1">
        <f t="shared" ref="U7:U70" si="5">(F7+O7+P7+R7)/Q7</f>
        <v>10.999999999999996</v>
      </c>
      <c r="V7" s="1">
        <f t="shared" ref="V7:V70" si="6">(F7+O7+P7)/Q7</f>
        <v>9.9050826285849318</v>
      </c>
      <c r="W7" s="1">
        <v>12.653600000000001</v>
      </c>
      <c r="X7" s="1">
        <v>7.6798000000000002</v>
      </c>
      <c r="Y7" s="1">
        <v>7.6087999999999996</v>
      </c>
      <c r="Z7" s="1">
        <v>3.928199999999999</v>
      </c>
      <c r="AA7" s="1">
        <v>7.7417999999999996</v>
      </c>
      <c r="AB7" s="1">
        <v>10.5726</v>
      </c>
      <c r="AC7" s="1">
        <v>7.4672000000000001</v>
      </c>
      <c r="AD7" s="1">
        <v>13.5046</v>
      </c>
      <c r="AE7" s="1" t="s">
        <v>39</v>
      </c>
      <c r="AF7" s="1">
        <f>G7*R7</f>
        <v>12.972799999999989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36</v>
      </c>
      <c r="C8" s="1">
        <v>5.0149999999999997</v>
      </c>
      <c r="D8" s="1">
        <v>234.589</v>
      </c>
      <c r="E8" s="1">
        <v>57.246000000000002</v>
      </c>
      <c r="F8" s="1">
        <v>120.938</v>
      </c>
      <c r="G8" s="8">
        <v>1</v>
      </c>
      <c r="H8" s="1">
        <v>45</v>
      </c>
      <c r="I8" s="1" t="s">
        <v>37</v>
      </c>
      <c r="J8" s="1"/>
      <c r="K8" s="1">
        <v>66.3</v>
      </c>
      <c r="L8" s="1">
        <f t="shared" si="2"/>
        <v>-9.0539999999999949</v>
      </c>
      <c r="M8" s="1"/>
      <c r="N8" s="1"/>
      <c r="O8" s="1">
        <v>0</v>
      </c>
      <c r="P8" s="1"/>
      <c r="Q8" s="1">
        <f t="shared" si="3"/>
        <v>11.449200000000001</v>
      </c>
      <c r="R8" s="5">
        <f t="shared" si="4"/>
        <v>5.0032000000000068</v>
      </c>
      <c r="S8" s="5"/>
      <c r="T8" s="1"/>
      <c r="U8" s="1">
        <f t="shared" si="5"/>
        <v>11</v>
      </c>
      <c r="V8" s="1">
        <f t="shared" si="6"/>
        <v>10.563008769171644</v>
      </c>
      <c r="W8" s="1">
        <v>7.1951999999999998</v>
      </c>
      <c r="X8" s="1">
        <v>15.5526</v>
      </c>
      <c r="Y8" s="1">
        <v>14.3314</v>
      </c>
      <c r="Z8" s="1">
        <v>6.7866</v>
      </c>
      <c r="AA8" s="1">
        <v>8.9580000000000002</v>
      </c>
      <c r="AB8" s="1">
        <v>13.060600000000001</v>
      </c>
      <c r="AC8" s="1">
        <v>13.902799999999999</v>
      </c>
      <c r="AD8" s="1">
        <v>9.0680000000000014</v>
      </c>
      <c r="AE8" s="1"/>
      <c r="AF8" s="1">
        <f>G8*R8</f>
        <v>5.0032000000000068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41</v>
      </c>
      <c r="B9" s="14" t="s">
        <v>42</v>
      </c>
      <c r="C9" s="14"/>
      <c r="D9" s="14">
        <v>30</v>
      </c>
      <c r="E9" s="14"/>
      <c r="F9" s="14">
        <v>30</v>
      </c>
      <c r="G9" s="15">
        <v>0</v>
      </c>
      <c r="H9" s="14" t="e">
        <v>#N/A</v>
      </c>
      <c r="I9" s="14" t="s">
        <v>57</v>
      </c>
      <c r="J9" s="14"/>
      <c r="K9" s="14"/>
      <c r="L9" s="14">
        <f t="shared" si="2"/>
        <v>0</v>
      </c>
      <c r="M9" s="14"/>
      <c r="N9" s="14"/>
      <c r="O9" s="14"/>
      <c r="P9" s="14"/>
      <c r="Q9" s="14">
        <f t="shared" si="3"/>
        <v>0</v>
      </c>
      <c r="R9" s="16"/>
      <c r="S9" s="16"/>
      <c r="T9" s="14"/>
      <c r="U9" s="14" t="e">
        <f t="shared" si="5"/>
        <v>#DIV/0!</v>
      </c>
      <c r="V9" s="14" t="e">
        <f t="shared" si="6"/>
        <v>#DIV/0!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7" t="s">
        <v>148</v>
      </c>
      <c r="AF9" s="14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42</v>
      </c>
      <c r="C10" s="1">
        <v>96</v>
      </c>
      <c r="D10" s="1">
        <v>917</v>
      </c>
      <c r="E10" s="1">
        <v>250</v>
      </c>
      <c r="F10" s="1">
        <v>595</v>
      </c>
      <c r="G10" s="8">
        <v>0.45</v>
      </c>
      <c r="H10" s="1">
        <v>45</v>
      </c>
      <c r="I10" s="1" t="s">
        <v>37</v>
      </c>
      <c r="J10" s="1"/>
      <c r="K10" s="1">
        <v>247</v>
      </c>
      <c r="L10" s="1">
        <f t="shared" si="2"/>
        <v>3</v>
      </c>
      <c r="M10" s="1"/>
      <c r="N10" s="1"/>
      <c r="O10" s="1">
        <v>0</v>
      </c>
      <c r="P10" s="1"/>
      <c r="Q10" s="1">
        <f t="shared" si="3"/>
        <v>50</v>
      </c>
      <c r="R10" s="5"/>
      <c r="S10" s="5"/>
      <c r="T10" s="1"/>
      <c r="U10" s="1">
        <f t="shared" si="5"/>
        <v>11.9</v>
      </c>
      <c r="V10" s="1">
        <f t="shared" si="6"/>
        <v>11.9</v>
      </c>
      <c r="W10" s="1">
        <v>23.4</v>
      </c>
      <c r="X10" s="1">
        <v>65.2</v>
      </c>
      <c r="Y10" s="1">
        <v>49</v>
      </c>
      <c r="Z10" s="1">
        <v>23.2</v>
      </c>
      <c r="AA10" s="1">
        <v>35</v>
      </c>
      <c r="AB10" s="1">
        <v>51</v>
      </c>
      <c r="AC10" s="1">
        <v>52.8</v>
      </c>
      <c r="AD10" s="1">
        <v>26.6</v>
      </c>
      <c r="AE10" s="1" t="s">
        <v>39</v>
      </c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42</v>
      </c>
      <c r="C11" s="1">
        <v>68</v>
      </c>
      <c r="D11" s="1">
        <v>1174</v>
      </c>
      <c r="E11" s="1">
        <v>233</v>
      </c>
      <c r="F11" s="1">
        <v>712</v>
      </c>
      <c r="G11" s="8">
        <v>0.45</v>
      </c>
      <c r="H11" s="1">
        <v>45</v>
      </c>
      <c r="I11" s="1" t="s">
        <v>37</v>
      </c>
      <c r="J11" s="1"/>
      <c r="K11" s="1">
        <v>274</v>
      </c>
      <c r="L11" s="1">
        <f t="shared" si="2"/>
        <v>-41</v>
      </c>
      <c r="M11" s="1"/>
      <c r="N11" s="1"/>
      <c r="O11" s="1">
        <v>0</v>
      </c>
      <c r="P11" s="1"/>
      <c r="Q11" s="1">
        <f t="shared" si="3"/>
        <v>46.6</v>
      </c>
      <c r="R11" s="5"/>
      <c r="S11" s="5"/>
      <c r="T11" s="1"/>
      <c r="U11" s="1">
        <f t="shared" si="5"/>
        <v>15.278969957081545</v>
      </c>
      <c r="V11" s="1">
        <f t="shared" si="6"/>
        <v>15.278969957081545</v>
      </c>
      <c r="W11" s="1">
        <v>27.4</v>
      </c>
      <c r="X11" s="1">
        <v>74.8</v>
      </c>
      <c r="Y11" s="1">
        <v>59</v>
      </c>
      <c r="Z11" s="1">
        <v>31.8</v>
      </c>
      <c r="AA11" s="1">
        <v>33.6</v>
      </c>
      <c r="AB11" s="1">
        <v>51.4</v>
      </c>
      <c r="AC11" s="1">
        <v>57.2</v>
      </c>
      <c r="AD11" s="1">
        <v>53.4</v>
      </c>
      <c r="AE11" s="1"/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42</v>
      </c>
      <c r="C12" s="1">
        <v>14</v>
      </c>
      <c r="D12" s="1">
        <v>111</v>
      </c>
      <c r="E12" s="1">
        <v>38</v>
      </c>
      <c r="F12" s="1">
        <v>54</v>
      </c>
      <c r="G12" s="8">
        <v>0.17</v>
      </c>
      <c r="H12" s="1">
        <v>180</v>
      </c>
      <c r="I12" s="1" t="s">
        <v>37</v>
      </c>
      <c r="J12" s="1"/>
      <c r="K12" s="1">
        <v>45</v>
      </c>
      <c r="L12" s="1">
        <f t="shared" si="2"/>
        <v>-7</v>
      </c>
      <c r="M12" s="1"/>
      <c r="N12" s="1"/>
      <c r="O12" s="1">
        <v>20.100000000000001</v>
      </c>
      <c r="P12" s="1">
        <v>20.100000000000001</v>
      </c>
      <c r="Q12" s="1">
        <f t="shared" si="3"/>
        <v>7.6</v>
      </c>
      <c r="R12" s="5"/>
      <c r="S12" s="5"/>
      <c r="T12" s="1"/>
      <c r="U12" s="1">
        <f t="shared" si="5"/>
        <v>12.394736842105262</v>
      </c>
      <c r="V12" s="1">
        <f t="shared" si="6"/>
        <v>12.394736842105262</v>
      </c>
      <c r="W12" s="1">
        <v>6.8</v>
      </c>
      <c r="X12" s="1">
        <v>6</v>
      </c>
      <c r="Y12" s="1">
        <v>5.6</v>
      </c>
      <c r="Z12" s="1">
        <v>1.8</v>
      </c>
      <c r="AA12" s="1">
        <v>4.4000000000000004</v>
      </c>
      <c r="AB12" s="1">
        <v>5.4</v>
      </c>
      <c r="AC12" s="1">
        <v>2.6</v>
      </c>
      <c r="AD12" s="1">
        <v>2.4</v>
      </c>
      <c r="AE12" s="1"/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42</v>
      </c>
      <c r="C13" s="1">
        <v>12</v>
      </c>
      <c r="D13" s="1">
        <v>76</v>
      </c>
      <c r="E13" s="1">
        <v>22</v>
      </c>
      <c r="F13" s="1">
        <v>46</v>
      </c>
      <c r="G13" s="8">
        <v>0.3</v>
      </c>
      <c r="H13" s="1">
        <v>40</v>
      </c>
      <c r="I13" s="1" t="s">
        <v>37</v>
      </c>
      <c r="J13" s="1"/>
      <c r="K13" s="1">
        <v>28</v>
      </c>
      <c r="L13" s="1">
        <f t="shared" si="2"/>
        <v>-6</v>
      </c>
      <c r="M13" s="1"/>
      <c r="N13" s="1"/>
      <c r="O13" s="1">
        <v>16.400000000000009</v>
      </c>
      <c r="P13" s="1"/>
      <c r="Q13" s="1">
        <f t="shared" si="3"/>
        <v>4.4000000000000004</v>
      </c>
      <c r="R13" s="5"/>
      <c r="S13" s="5"/>
      <c r="T13" s="1"/>
      <c r="U13" s="1">
        <f t="shared" si="5"/>
        <v>14.181818181818182</v>
      </c>
      <c r="V13" s="1">
        <f t="shared" si="6"/>
        <v>14.181818181818182</v>
      </c>
      <c r="W13" s="1">
        <v>4.8</v>
      </c>
      <c r="X13" s="1">
        <v>6.8</v>
      </c>
      <c r="Y13" s="1">
        <v>3.4</v>
      </c>
      <c r="Z13" s="1">
        <v>1.2</v>
      </c>
      <c r="AA13" s="1">
        <v>3.4</v>
      </c>
      <c r="AB13" s="1">
        <v>5.8</v>
      </c>
      <c r="AC13" s="1">
        <v>4.5999999999999996</v>
      </c>
      <c r="AD13" s="1">
        <v>3</v>
      </c>
      <c r="AE13" s="1"/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42</v>
      </c>
      <c r="C14" s="1"/>
      <c r="D14" s="1">
        <v>154</v>
      </c>
      <c r="E14" s="1">
        <v>27</v>
      </c>
      <c r="F14" s="1">
        <v>123</v>
      </c>
      <c r="G14" s="8">
        <v>0.17</v>
      </c>
      <c r="H14" s="1">
        <v>180</v>
      </c>
      <c r="I14" s="1" t="s">
        <v>37</v>
      </c>
      <c r="J14" s="1"/>
      <c r="K14" s="1">
        <v>30</v>
      </c>
      <c r="L14" s="1">
        <f t="shared" si="2"/>
        <v>-3</v>
      </c>
      <c r="M14" s="1"/>
      <c r="N14" s="1"/>
      <c r="O14" s="1">
        <v>0</v>
      </c>
      <c r="P14" s="1"/>
      <c r="Q14" s="1">
        <f t="shared" si="3"/>
        <v>5.4</v>
      </c>
      <c r="R14" s="5"/>
      <c r="S14" s="5"/>
      <c r="T14" s="1"/>
      <c r="U14" s="1">
        <f t="shared" si="5"/>
        <v>22.777777777777775</v>
      </c>
      <c r="V14" s="1">
        <f t="shared" si="6"/>
        <v>22.777777777777775</v>
      </c>
      <c r="W14" s="1">
        <v>10.6</v>
      </c>
      <c r="X14" s="1">
        <v>15.8</v>
      </c>
      <c r="Y14" s="1">
        <v>3.8</v>
      </c>
      <c r="Z14" s="1">
        <v>1.8</v>
      </c>
      <c r="AA14" s="1">
        <v>10.4</v>
      </c>
      <c r="AB14" s="1">
        <v>13.2</v>
      </c>
      <c r="AC14" s="1">
        <v>5.6</v>
      </c>
      <c r="AD14" s="1">
        <v>4</v>
      </c>
      <c r="AE14" s="1"/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36</v>
      </c>
      <c r="C15" s="1">
        <v>168.24299999999999</v>
      </c>
      <c r="D15" s="1">
        <v>528.24699999999996</v>
      </c>
      <c r="E15" s="1">
        <v>180.858</v>
      </c>
      <c r="F15" s="1">
        <v>271.375</v>
      </c>
      <c r="G15" s="8">
        <v>1</v>
      </c>
      <c r="H15" s="1">
        <v>55</v>
      </c>
      <c r="I15" s="1" t="s">
        <v>37</v>
      </c>
      <c r="J15" s="1"/>
      <c r="K15" s="1">
        <v>167.7</v>
      </c>
      <c r="L15" s="1">
        <f t="shared" si="2"/>
        <v>13.158000000000015</v>
      </c>
      <c r="M15" s="1"/>
      <c r="N15" s="1"/>
      <c r="O15" s="1">
        <v>110.8476</v>
      </c>
      <c r="P15" s="1">
        <v>110.8476</v>
      </c>
      <c r="Q15" s="1">
        <f t="shared" si="3"/>
        <v>36.171599999999998</v>
      </c>
      <c r="R15" s="5"/>
      <c r="S15" s="5"/>
      <c r="T15" s="1"/>
      <c r="U15" s="1">
        <f t="shared" si="5"/>
        <v>13.631418018555994</v>
      </c>
      <c r="V15" s="1">
        <f t="shared" si="6"/>
        <v>13.631418018555994</v>
      </c>
      <c r="W15" s="1">
        <v>39.584600000000002</v>
      </c>
      <c r="X15" s="1">
        <v>39.674400000000013</v>
      </c>
      <c r="Y15" s="1">
        <v>34.943199999999997</v>
      </c>
      <c r="Z15" s="1">
        <v>35.653399999999998</v>
      </c>
      <c r="AA15" s="1">
        <v>39.485599999999998</v>
      </c>
      <c r="AB15" s="1">
        <v>30.003599999999999</v>
      </c>
      <c r="AC15" s="1">
        <v>28.9682</v>
      </c>
      <c r="AD15" s="1">
        <v>28.988199999999999</v>
      </c>
      <c r="AE15" s="1" t="s">
        <v>49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685.01</v>
      </c>
      <c r="D16" s="1">
        <v>3113.5859999999998</v>
      </c>
      <c r="E16" s="1">
        <v>1663.7840000000001</v>
      </c>
      <c r="F16" s="1">
        <v>1122.92</v>
      </c>
      <c r="G16" s="8">
        <v>1</v>
      </c>
      <c r="H16" s="1">
        <v>50</v>
      </c>
      <c r="I16" s="1" t="s">
        <v>37</v>
      </c>
      <c r="J16" s="1"/>
      <c r="K16" s="1">
        <v>1664.0039999999999</v>
      </c>
      <c r="L16" s="1">
        <f t="shared" si="2"/>
        <v>-0.21999999999979991</v>
      </c>
      <c r="M16" s="1"/>
      <c r="N16" s="1"/>
      <c r="O16" s="1">
        <v>793.15875000000005</v>
      </c>
      <c r="P16" s="1">
        <v>793.15875000000005</v>
      </c>
      <c r="Q16" s="1">
        <f t="shared" si="3"/>
        <v>332.7568</v>
      </c>
      <c r="R16" s="5">
        <f t="shared" ref="R10:R21" si="7">11*Q16-P16-O16-F16</f>
        <v>951.08729999999969</v>
      </c>
      <c r="S16" s="5"/>
      <c r="T16" s="1"/>
      <c r="U16" s="1">
        <f t="shared" si="5"/>
        <v>11</v>
      </c>
      <c r="V16" s="1">
        <f t="shared" si="6"/>
        <v>8.1417945478499618</v>
      </c>
      <c r="W16" s="1">
        <v>240.71799999999999</v>
      </c>
      <c r="X16" s="1">
        <v>226.48679999999999</v>
      </c>
      <c r="Y16" s="1">
        <v>222.994</v>
      </c>
      <c r="Z16" s="1">
        <v>199.20480000000001</v>
      </c>
      <c r="AA16" s="1">
        <v>189.55840000000001</v>
      </c>
      <c r="AB16" s="1">
        <v>187.78579999999999</v>
      </c>
      <c r="AC16" s="1">
        <v>203.39779999999999</v>
      </c>
      <c r="AD16" s="1">
        <v>204.13220000000001</v>
      </c>
      <c r="AE16" s="1" t="s">
        <v>49</v>
      </c>
      <c r="AF16" s="1">
        <f>G16*R16</f>
        <v>951.08729999999969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3.5680000000000001</v>
      </c>
      <c r="D17" s="1">
        <v>106.253</v>
      </c>
      <c r="E17" s="1">
        <v>31.733000000000001</v>
      </c>
      <c r="F17" s="1">
        <v>49.021999999999998</v>
      </c>
      <c r="G17" s="8">
        <v>1</v>
      </c>
      <c r="H17" s="1">
        <v>60</v>
      </c>
      <c r="I17" s="1" t="s">
        <v>37</v>
      </c>
      <c r="J17" s="1"/>
      <c r="K17" s="1">
        <v>37.9</v>
      </c>
      <c r="L17" s="1">
        <f t="shared" si="2"/>
        <v>-6.166999999999998</v>
      </c>
      <c r="M17" s="1"/>
      <c r="N17" s="1"/>
      <c r="O17" s="1">
        <v>18.167000000000009</v>
      </c>
      <c r="P17" s="1">
        <v>18.167000000000009</v>
      </c>
      <c r="Q17" s="1">
        <f t="shared" si="3"/>
        <v>6.3466000000000005</v>
      </c>
      <c r="R17" s="5"/>
      <c r="S17" s="5"/>
      <c r="T17" s="1"/>
      <c r="U17" s="1">
        <f t="shared" si="5"/>
        <v>13.449090851794665</v>
      </c>
      <c r="V17" s="1">
        <f t="shared" si="6"/>
        <v>13.449090851794665</v>
      </c>
      <c r="W17" s="1">
        <v>7.9516000000000009</v>
      </c>
      <c r="X17" s="1">
        <v>8.0396000000000001</v>
      </c>
      <c r="Y17" s="1">
        <v>7.3372000000000002</v>
      </c>
      <c r="Z17" s="1">
        <v>6.5974000000000004</v>
      </c>
      <c r="AA17" s="1">
        <v>7.4787999999999997</v>
      </c>
      <c r="AB17" s="1">
        <v>6.1229999999999993</v>
      </c>
      <c r="AC17" s="1">
        <v>4.5469999999999997</v>
      </c>
      <c r="AD17" s="1">
        <v>1.302</v>
      </c>
      <c r="AE17" s="1"/>
      <c r="AF17" s="1">
        <f>G17*R17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36</v>
      </c>
      <c r="C18" s="1">
        <v>584.16899999999998</v>
      </c>
      <c r="D18" s="1">
        <v>1570.1679999999999</v>
      </c>
      <c r="E18" s="1">
        <v>1096.567</v>
      </c>
      <c r="F18" s="1">
        <v>503.83100000000002</v>
      </c>
      <c r="G18" s="8">
        <v>1</v>
      </c>
      <c r="H18" s="1">
        <v>60</v>
      </c>
      <c r="I18" s="1" t="s">
        <v>37</v>
      </c>
      <c r="J18" s="1"/>
      <c r="K18" s="1">
        <v>1331.1289999999999</v>
      </c>
      <c r="L18" s="1">
        <f t="shared" si="2"/>
        <v>-234.5619999999999</v>
      </c>
      <c r="M18" s="1"/>
      <c r="N18" s="1"/>
      <c r="O18" s="1">
        <v>827.90535</v>
      </c>
      <c r="P18" s="1">
        <v>827.90535</v>
      </c>
      <c r="Q18" s="1">
        <f t="shared" si="3"/>
        <v>219.3134</v>
      </c>
      <c r="R18" s="5">
        <f t="shared" si="7"/>
        <v>252.8057</v>
      </c>
      <c r="S18" s="5"/>
      <c r="T18" s="1"/>
      <c r="U18" s="1">
        <f t="shared" si="5"/>
        <v>11</v>
      </c>
      <c r="V18" s="1">
        <f t="shared" si="6"/>
        <v>9.8472856651713947</v>
      </c>
      <c r="W18" s="1">
        <v>182.58320000000001</v>
      </c>
      <c r="X18" s="1">
        <v>142.5966</v>
      </c>
      <c r="Y18" s="1">
        <v>155.06899999999999</v>
      </c>
      <c r="Z18" s="1">
        <v>145.56960000000001</v>
      </c>
      <c r="AA18" s="1">
        <v>137.7544</v>
      </c>
      <c r="AB18" s="1">
        <v>134.04519999999999</v>
      </c>
      <c r="AC18" s="1">
        <v>126.4396</v>
      </c>
      <c r="AD18" s="1">
        <v>126.4182</v>
      </c>
      <c r="AE18" s="1"/>
      <c r="AF18" s="1">
        <f>G18*R18</f>
        <v>252.8057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36</v>
      </c>
      <c r="C19" s="1">
        <v>31.283999999999999</v>
      </c>
      <c r="D19" s="1">
        <v>73.414000000000001</v>
      </c>
      <c r="E19" s="1">
        <v>29.265999999999998</v>
      </c>
      <c r="F19" s="1">
        <v>49.127000000000002</v>
      </c>
      <c r="G19" s="8">
        <v>1</v>
      </c>
      <c r="H19" s="1">
        <v>60</v>
      </c>
      <c r="I19" s="1" t="s">
        <v>37</v>
      </c>
      <c r="J19" s="1"/>
      <c r="K19" s="1">
        <v>27.4</v>
      </c>
      <c r="L19" s="1">
        <f t="shared" si="2"/>
        <v>1.8659999999999997</v>
      </c>
      <c r="M19" s="1"/>
      <c r="N19" s="1"/>
      <c r="O19" s="1">
        <v>0</v>
      </c>
      <c r="P19" s="1"/>
      <c r="Q19" s="1">
        <f t="shared" si="3"/>
        <v>5.8531999999999993</v>
      </c>
      <c r="R19" s="5">
        <f t="shared" si="7"/>
        <v>15.258199999999995</v>
      </c>
      <c r="S19" s="5"/>
      <c r="T19" s="1"/>
      <c r="U19" s="1">
        <f t="shared" si="5"/>
        <v>11.000000000000002</v>
      </c>
      <c r="V19" s="1">
        <f t="shared" si="6"/>
        <v>8.3931866329529168</v>
      </c>
      <c r="W19" s="1">
        <v>3.4077999999999999</v>
      </c>
      <c r="X19" s="1">
        <v>5.8864000000000001</v>
      </c>
      <c r="Y19" s="1">
        <v>4.9603999999999999</v>
      </c>
      <c r="Z19" s="1">
        <v>4.3460000000000001</v>
      </c>
      <c r="AA19" s="1">
        <v>3.9996</v>
      </c>
      <c r="AB19" s="1">
        <v>6.077</v>
      </c>
      <c r="AC19" s="1">
        <v>8.2406000000000006</v>
      </c>
      <c r="AD19" s="1">
        <v>5.8932000000000002</v>
      </c>
      <c r="AE19" s="1"/>
      <c r="AF19" s="1">
        <f>G19*R19</f>
        <v>15.258199999999995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36</v>
      </c>
      <c r="C20" s="1">
        <v>3.3620000000000001</v>
      </c>
      <c r="D20" s="1">
        <v>8.1790000000000003</v>
      </c>
      <c r="E20" s="1">
        <v>2.6459999999999999</v>
      </c>
      <c r="F20" s="1">
        <v>6.6680000000000001</v>
      </c>
      <c r="G20" s="8">
        <v>1</v>
      </c>
      <c r="H20" s="1">
        <v>180</v>
      </c>
      <c r="I20" s="1" t="s">
        <v>37</v>
      </c>
      <c r="J20" s="1"/>
      <c r="K20" s="1">
        <v>3.85</v>
      </c>
      <c r="L20" s="1">
        <f t="shared" si="2"/>
        <v>-1.2040000000000002</v>
      </c>
      <c r="M20" s="1"/>
      <c r="N20" s="1"/>
      <c r="O20" s="1">
        <v>4</v>
      </c>
      <c r="P20" s="1"/>
      <c r="Q20" s="1">
        <f t="shared" si="3"/>
        <v>0.5292</v>
      </c>
      <c r="R20" s="5"/>
      <c r="S20" s="5"/>
      <c r="T20" s="1"/>
      <c r="U20" s="1">
        <f t="shared" si="5"/>
        <v>20.158730158730158</v>
      </c>
      <c r="V20" s="1">
        <f t="shared" si="6"/>
        <v>20.158730158730158</v>
      </c>
      <c r="W20" s="1">
        <v>0.68179999999999996</v>
      </c>
      <c r="X20" s="1">
        <v>0.67999999999999994</v>
      </c>
      <c r="Y20" s="1">
        <v>0.52779999999999994</v>
      </c>
      <c r="Z20" s="1">
        <v>0.222</v>
      </c>
      <c r="AA20" s="1">
        <v>0.4582</v>
      </c>
      <c r="AB20" s="1">
        <v>0.45879999999999999</v>
      </c>
      <c r="AC20" s="1">
        <v>0.15440000000000001</v>
      </c>
      <c r="AD20" s="1">
        <v>1.0407999999999999</v>
      </c>
      <c r="AE20" s="1"/>
      <c r="AF20" s="1">
        <f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36</v>
      </c>
      <c r="C21" s="1">
        <v>90.968999999999994</v>
      </c>
      <c r="D21" s="1">
        <v>685.59500000000003</v>
      </c>
      <c r="E21" s="1">
        <v>246.523</v>
      </c>
      <c r="F21" s="1">
        <v>392.87900000000002</v>
      </c>
      <c r="G21" s="8">
        <v>1</v>
      </c>
      <c r="H21" s="1">
        <v>60</v>
      </c>
      <c r="I21" s="1" t="s">
        <v>37</v>
      </c>
      <c r="J21" s="1"/>
      <c r="K21" s="1">
        <v>256.5</v>
      </c>
      <c r="L21" s="1">
        <f t="shared" si="2"/>
        <v>-9.9770000000000039</v>
      </c>
      <c r="M21" s="1"/>
      <c r="N21" s="1"/>
      <c r="O21" s="1">
        <v>99.020099999999957</v>
      </c>
      <c r="P21" s="1">
        <v>99.020099999999957</v>
      </c>
      <c r="Q21" s="1">
        <f t="shared" si="3"/>
        <v>49.304600000000001</v>
      </c>
      <c r="R21" s="5"/>
      <c r="S21" s="5"/>
      <c r="T21" s="1"/>
      <c r="U21" s="1">
        <f t="shared" si="5"/>
        <v>11.985072386754986</v>
      </c>
      <c r="V21" s="1">
        <f t="shared" si="6"/>
        <v>11.985072386754986</v>
      </c>
      <c r="W21" s="1">
        <v>49.347999999999999</v>
      </c>
      <c r="X21" s="1">
        <v>55.198400000000007</v>
      </c>
      <c r="Y21" s="1">
        <v>54.27</v>
      </c>
      <c r="Z21" s="1">
        <v>36.486600000000003</v>
      </c>
      <c r="AA21" s="1">
        <v>38.938000000000002</v>
      </c>
      <c r="AB21" s="1">
        <v>47.522599999999997</v>
      </c>
      <c r="AC21" s="1">
        <v>55.830800000000004</v>
      </c>
      <c r="AD21" s="1">
        <v>40.405999999999999</v>
      </c>
      <c r="AE21" s="1" t="s">
        <v>49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56</v>
      </c>
      <c r="B22" s="14" t="s">
        <v>36</v>
      </c>
      <c r="C22" s="14">
        <v>-5</v>
      </c>
      <c r="D22" s="14">
        <v>5</v>
      </c>
      <c r="E22" s="14"/>
      <c r="F22" s="14"/>
      <c r="G22" s="15">
        <v>0</v>
      </c>
      <c r="H22" s="14" t="e">
        <v>#N/A</v>
      </c>
      <c r="I22" s="14" t="s">
        <v>57</v>
      </c>
      <c r="J22" s="14" t="s">
        <v>58</v>
      </c>
      <c r="K22" s="14"/>
      <c r="L22" s="14">
        <f t="shared" si="2"/>
        <v>0</v>
      </c>
      <c r="M22" s="14"/>
      <c r="N22" s="14"/>
      <c r="O22" s="14">
        <v>0</v>
      </c>
      <c r="P22" s="14"/>
      <c r="Q22" s="14">
        <f t="shared" si="3"/>
        <v>0</v>
      </c>
      <c r="R22" s="16"/>
      <c r="S22" s="16"/>
      <c r="T22" s="14"/>
      <c r="U22" s="14" t="e">
        <f t="shared" si="5"/>
        <v>#DIV/0!</v>
      </c>
      <c r="V22" s="14" t="e">
        <f t="shared" si="6"/>
        <v>#DIV/0!</v>
      </c>
      <c r="W22" s="14">
        <v>0</v>
      </c>
      <c r="X22" s="14">
        <v>1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36</v>
      </c>
      <c r="C23" s="1">
        <v>1.615</v>
      </c>
      <c r="D23" s="1">
        <v>401.23599999999999</v>
      </c>
      <c r="E23" s="1">
        <v>79.188000000000002</v>
      </c>
      <c r="F23" s="1">
        <v>209.86600000000001</v>
      </c>
      <c r="G23" s="8">
        <v>1</v>
      </c>
      <c r="H23" s="1">
        <v>60</v>
      </c>
      <c r="I23" s="1" t="s">
        <v>37</v>
      </c>
      <c r="J23" s="1"/>
      <c r="K23" s="1">
        <v>110</v>
      </c>
      <c r="L23" s="1">
        <f t="shared" si="2"/>
        <v>-30.811999999999998</v>
      </c>
      <c r="M23" s="1"/>
      <c r="N23" s="1"/>
      <c r="O23" s="1">
        <v>0</v>
      </c>
      <c r="P23" s="1"/>
      <c r="Q23" s="1">
        <f t="shared" si="3"/>
        <v>15.8376</v>
      </c>
      <c r="R23" s="5"/>
      <c r="S23" s="5"/>
      <c r="T23" s="1"/>
      <c r="U23" s="1">
        <f t="shared" si="5"/>
        <v>13.251123907662778</v>
      </c>
      <c r="V23" s="1">
        <f t="shared" si="6"/>
        <v>13.251123907662778</v>
      </c>
      <c r="W23" s="1">
        <v>6.9802000000000008</v>
      </c>
      <c r="X23" s="1">
        <v>23.1342</v>
      </c>
      <c r="Y23" s="1">
        <v>16.4252</v>
      </c>
      <c r="Z23" s="1">
        <v>11.7744</v>
      </c>
      <c r="AA23" s="1">
        <v>13.5616</v>
      </c>
      <c r="AB23" s="1">
        <v>17.310600000000001</v>
      </c>
      <c r="AC23" s="1">
        <v>17.488199999999999</v>
      </c>
      <c r="AD23" s="1">
        <v>13.7178</v>
      </c>
      <c r="AE23" s="1"/>
      <c r="AF23" s="1">
        <f>G23*R23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36</v>
      </c>
      <c r="C24" s="1">
        <v>0.189</v>
      </c>
      <c r="D24" s="1">
        <v>295.14999999999998</v>
      </c>
      <c r="E24" s="1">
        <v>77.471999999999994</v>
      </c>
      <c r="F24" s="1">
        <v>131.89099999999999</v>
      </c>
      <c r="G24" s="8">
        <v>1</v>
      </c>
      <c r="H24" s="1">
        <v>60</v>
      </c>
      <c r="I24" s="1" t="s">
        <v>37</v>
      </c>
      <c r="J24" s="1"/>
      <c r="K24" s="1">
        <v>82.3</v>
      </c>
      <c r="L24" s="1">
        <f t="shared" si="2"/>
        <v>-4.828000000000003</v>
      </c>
      <c r="M24" s="1"/>
      <c r="N24" s="1"/>
      <c r="O24" s="1">
        <v>0</v>
      </c>
      <c r="P24" s="1"/>
      <c r="Q24" s="1">
        <f t="shared" si="3"/>
        <v>15.494399999999999</v>
      </c>
      <c r="R24" s="5">
        <f t="shared" ref="R23:R26" si="8">11*Q24-P24-O24-F24</f>
        <v>38.54740000000001</v>
      </c>
      <c r="S24" s="5"/>
      <c r="T24" s="1"/>
      <c r="U24" s="1">
        <f t="shared" si="5"/>
        <v>11.000000000000002</v>
      </c>
      <c r="V24" s="1">
        <f t="shared" si="6"/>
        <v>8.5121721396117316</v>
      </c>
      <c r="W24" s="1">
        <v>7.3226000000000004</v>
      </c>
      <c r="X24" s="1">
        <v>17.344200000000001</v>
      </c>
      <c r="Y24" s="1">
        <v>11.5716</v>
      </c>
      <c r="Z24" s="1">
        <v>10.374000000000001</v>
      </c>
      <c r="AA24" s="1">
        <v>5.6201999999999996</v>
      </c>
      <c r="AB24" s="1">
        <v>8.7821999999999996</v>
      </c>
      <c r="AC24" s="1">
        <v>15.809799999999999</v>
      </c>
      <c r="AD24" s="1">
        <v>11.1982</v>
      </c>
      <c r="AE24" s="1"/>
      <c r="AF24" s="1">
        <f>G24*R24</f>
        <v>38.54740000000001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36</v>
      </c>
      <c r="C25" s="1">
        <v>7.2519999999999998</v>
      </c>
      <c r="D25" s="1">
        <v>0.71</v>
      </c>
      <c r="E25" s="1">
        <v>5.5430000000000001</v>
      </c>
      <c r="F25" s="1">
        <v>1.042</v>
      </c>
      <c r="G25" s="8">
        <v>1</v>
      </c>
      <c r="H25" s="1">
        <v>180</v>
      </c>
      <c r="I25" s="1" t="s">
        <v>37</v>
      </c>
      <c r="J25" s="1"/>
      <c r="K25" s="1">
        <v>4.95</v>
      </c>
      <c r="L25" s="1">
        <f t="shared" si="2"/>
        <v>0.59299999999999997</v>
      </c>
      <c r="M25" s="1"/>
      <c r="N25" s="1"/>
      <c r="O25" s="1">
        <v>3.99</v>
      </c>
      <c r="P25" s="1"/>
      <c r="Q25" s="1">
        <f t="shared" si="3"/>
        <v>1.1086</v>
      </c>
      <c r="R25" s="5">
        <f t="shared" si="8"/>
        <v>7.1626000000000012</v>
      </c>
      <c r="S25" s="5"/>
      <c r="T25" s="1"/>
      <c r="U25" s="1">
        <f t="shared" si="5"/>
        <v>11</v>
      </c>
      <c r="V25" s="1">
        <f t="shared" si="6"/>
        <v>4.539058271694028</v>
      </c>
      <c r="W25" s="1">
        <v>0.628</v>
      </c>
      <c r="X25" s="1">
        <v>7.0199999999999999E-2</v>
      </c>
      <c r="Y25" s="1">
        <v>0.2114</v>
      </c>
      <c r="Z25" s="1">
        <v>0.35239999999999999</v>
      </c>
      <c r="AA25" s="1">
        <v>0.2112</v>
      </c>
      <c r="AB25" s="1">
        <v>0</v>
      </c>
      <c r="AC25" s="1">
        <v>7.2399999999999992E-2</v>
      </c>
      <c r="AD25" s="1">
        <v>0.28460000000000002</v>
      </c>
      <c r="AE25" s="1"/>
      <c r="AF25" s="1">
        <f>G25*R25</f>
        <v>7.1626000000000012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36</v>
      </c>
      <c r="C26" s="1">
        <v>14</v>
      </c>
      <c r="D26" s="1">
        <v>476.78300000000002</v>
      </c>
      <c r="E26" s="1">
        <v>89.183000000000007</v>
      </c>
      <c r="F26" s="1">
        <v>314.60300000000001</v>
      </c>
      <c r="G26" s="8">
        <v>1</v>
      </c>
      <c r="H26" s="1">
        <v>60</v>
      </c>
      <c r="I26" s="1" t="s">
        <v>37</v>
      </c>
      <c r="J26" s="1"/>
      <c r="K26" s="1">
        <v>126</v>
      </c>
      <c r="L26" s="1">
        <f t="shared" si="2"/>
        <v>-36.816999999999993</v>
      </c>
      <c r="M26" s="1"/>
      <c r="N26" s="1"/>
      <c r="O26" s="1">
        <v>0</v>
      </c>
      <c r="P26" s="1"/>
      <c r="Q26" s="1">
        <f t="shared" si="3"/>
        <v>17.836600000000001</v>
      </c>
      <c r="R26" s="5"/>
      <c r="S26" s="5"/>
      <c r="T26" s="1"/>
      <c r="U26" s="1">
        <f t="shared" si="5"/>
        <v>17.63805882286983</v>
      </c>
      <c r="V26" s="1">
        <f t="shared" si="6"/>
        <v>17.63805882286983</v>
      </c>
      <c r="W26" s="1">
        <v>19.833200000000001</v>
      </c>
      <c r="X26" s="1">
        <v>35.476999999999997</v>
      </c>
      <c r="Y26" s="1">
        <v>32.472999999999999</v>
      </c>
      <c r="Z26" s="1">
        <v>22.639800000000001</v>
      </c>
      <c r="AA26" s="1">
        <v>21.586600000000001</v>
      </c>
      <c r="AB26" s="1">
        <v>24.5672</v>
      </c>
      <c r="AC26" s="1">
        <v>26.389800000000001</v>
      </c>
      <c r="AD26" s="1">
        <v>14.9778</v>
      </c>
      <c r="AE26" s="1" t="s">
        <v>49</v>
      </c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8" t="s">
        <v>63</v>
      </c>
      <c r="B27" s="18" t="s">
        <v>36</v>
      </c>
      <c r="C27" s="18"/>
      <c r="D27" s="18"/>
      <c r="E27" s="18"/>
      <c r="F27" s="18"/>
      <c r="G27" s="19">
        <v>0</v>
      </c>
      <c r="H27" s="18">
        <v>30</v>
      </c>
      <c r="I27" s="18" t="s">
        <v>37</v>
      </c>
      <c r="J27" s="18"/>
      <c r="K27" s="18"/>
      <c r="L27" s="18">
        <f t="shared" si="2"/>
        <v>0</v>
      </c>
      <c r="M27" s="18"/>
      <c r="N27" s="18"/>
      <c r="O27" s="18">
        <v>0</v>
      </c>
      <c r="P27" s="18"/>
      <c r="Q27" s="18">
        <f t="shared" si="3"/>
        <v>0</v>
      </c>
      <c r="R27" s="20"/>
      <c r="S27" s="20"/>
      <c r="T27" s="18"/>
      <c r="U27" s="18" t="e">
        <f t="shared" si="5"/>
        <v>#DIV/0!</v>
      </c>
      <c r="V27" s="18" t="e">
        <f t="shared" si="6"/>
        <v>#DIV/0!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 t="s">
        <v>64</v>
      </c>
      <c r="AF27" s="18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36</v>
      </c>
      <c r="C28" s="1">
        <v>84.585999999999999</v>
      </c>
      <c r="D28" s="1">
        <v>138.58799999999999</v>
      </c>
      <c r="E28" s="1">
        <v>99.22</v>
      </c>
      <c r="F28" s="1">
        <v>62.761000000000003</v>
      </c>
      <c r="G28" s="8">
        <v>1</v>
      </c>
      <c r="H28" s="1">
        <v>30</v>
      </c>
      <c r="I28" s="1" t="s">
        <v>37</v>
      </c>
      <c r="J28" s="1"/>
      <c r="K28" s="1">
        <v>89.4</v>
      </c>
      <c r="L28" s="1">
        <f t="shared" si="2"/>
        <v>9.8199999999999932</v>
      </c>
      <c r="M28" s="1"/>
      <c r="N28" s="1"/>
      <c r="O28" s="1">
        <v>65.116999999999976</v>
      </c>
      <c r="P28" s="1">
        <v>65.116999999999976</v>
      </c>
      <c r="Q28" s="1">
        <f t="shared" si="3"/>
        <v>19.844000000000001</v>
      </c>
      <c r="R28" s="5">
        <f t="shared" ref="R28:R29" si="9">11*Q28-P28-O28-F28</f>
        <v>25.289000000000051</v>
      </c>
      <c r="S28" s="5"/>
      <c r="T28" s="1"/>
      <c r="U28" s="1">
        <f t="shared" si="5"/>
        <v>10.999999999999998</v>
      </c>
      <c r="V28" s="1">
        <f t="shared" si="6"/>
        <v>9.7256097560975583</v>
      </c>
      <c r="W28" s="1">
        <v>17.498000000000001</v>
      </c>
      <c r="X28" s="1">
        <v>13.9122</v>
      </c>
      <c r="Y28" s="1">
        <v>18.367000000000001</v>
      </c>
      <c r="Z28" s="1">
        <v>16.213000000000001</v>
      </c>
      <c r="AA28" s="1">
        <v>15.67</v>
      </c>
      <c r="AB28" s="1">
        <v>15.3672</v>
      </c>
      <c r="AC28" s="1">
        <v>14.0596</v>
      </c>
      <c r="AD28" s="1">
        <v>18.2806</v>
      </c>
      <c r="AE28" s="1"/>
      <c r="AF28" s="1">
        <f>G28*R28</f>
        <v>25.289000000000051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36</v>
      </c>
      <c r="C29" s="1">
        <v>38.305</v>
      </c>
      <c r="D29" s="1">
        <v>177.21799999999999</v>
      </c>
      <c r="E29" s="1">
        <v>57.512999999999998</v>
      </c>
      <c r="F29" s="1">
        <v>109.09099999999999</v>
      </c>
      <c r="G29" s="8">
        <v>1</v>
      </c>
      <c r="H29" s="1">
        <v>30</v>
      </c>
      <c r="I29" s="1" t="s">
        <v>37</v>
      </c>
      <c r="J29" s="1"/>
      <c r="K29" s="1">
        <v>94</v>
      </c>
      <c r="L29" s="1">
        <f t="shared" si="2"/>
        <v>-36.487000000000002</v>
      </c>
      <c r="M29" s="1"/>
      <c r="N29" s="1"/>
      <c r="O29" s="1">
        <v>53.536260000000063</v>
      </c>
      <c r="P29" s="1">
        <v>53.536260000000063</v>
      </c>
      <c r="Q29" s="1">
        <f t="shared" si="3"/>
        <v>11.502599999999999</v>
      </c>
      <c r="R29" s="5"/>
      <c r="S29" s="5"/>
      <c r="T29" s="1"/>
      <c r="U29" s="1">
        <f t="shared" si="5"/>
        <v>18.792579069080045</v>
      </c>
      <c r="V29" s="1">
        <f t="shared" si="6"/>
        <v>18.792579069080045</v>
      </c>
      <c r="W29" s="1">
        <v>17.809000000000001</v>
      </c>
      <c r="X29" s="1">
        <v>18.3062</v>
      </c>
      <c r="Y29" s="1">
        <v>19.308199999999999</v>
      </c>
      <c r="Z29" s="1">
        <v>15.922000000000001</v>
      </c>
      <c r="AA29" s="1">
        <v>20.171399999999998</v>
      </c>
      <c r="AB29" s="1">
        <v>17.4268</v>
      </c>
      <c r="AC29" s="1">
        <v>14.5634</v>
      </c>
      <c r="AD29" s="1">
        <v>17.923200000000001</v>
      </c>
      <c r="AE29" s="1" t="s">
        <v>49</v>
      </c>
      <c r="AF29" s="1">
        <f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8" t="s">
        <v>67</v>
      </c>
      <c r="B30" s="18" t="s">
        <v>36</v>
      </c>
      <c r="C30" s="18"/>
      <c r="D30" s="18"/>
      <c r="E30" s="18"/>
      <c r="F30" s="18"/>
      <c r="G30" s="19">
        <v>0</v>
      </c>
      <c r="H30" s="18">
        <v>45</v>
      </c>
      <c r="I30" s="18" t="s">
        <v>37</v>
      </c>
      <c r="J30" s="18"/>
      <c r="K30" s="18"/>
      <c r="L30" s="18">
        <f t="shared" si="2"/>
        <v>0</v>
      </c>
      <c r="M30" s="18"/>
      <c r="N30" s="18"/>
      <c r="O30" s="18">
        <v>0</v>
      </c>
      <c r="P30" s="18"/>
      <c r="Q30" s="18">
        <f t="shared" si="3"/>
        <v>0</v>
      </c>
      <c r="R30" s="20"/>
      <c r="S30" s="20"/>
      <c r="T30" s="18"/>
      <c r="U30" s="18" t="e">
        <f t="shared" si="5"/>
        <v>#DIV/0!</v>
      </c>
      <c r="V30" s="18" t="e">
        <f t="shared" si="6"/>
        <v>#DIV/0!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 t="s">
        <v>64</v>
      </c>
      <c r="AF30" s="18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68</v>
      </c>
      <c r="B31" s="1" t="s">
        <v>36</v>
      </c>
      <c r="C31" s="1">
        <v>32.590000000000003</v>
      </c>
      <c r="D31" s="1">
        <v>37.822000000000003</v>
      </c>
      <c r="E31" s="1">
        <v>32.692999999999998</v>
      </c>
      <c r="F31" s="1">
        <v>26.922999999999998</v>
      </c>
      <c r="G31" s="8">
        <v>1</v>
      </c>
      <c r="H31" s="1">
        <v>40</v>
      </c>
      <c r="I31" s="1" t="s">
        <v>37</v>
      </c>
      <c r="J31" s="1"/>
      <c r="K31" s="1">
        <v>31.4</v>
      </c>
      <c r="L31" s="1">
        <f t="shared" si="2"/>
        <v>1.2929999999999993</v>
      </c>
      <c r="M31" s="1"/>
      <c r="N31" s="1"/>
      <c r="O31" s="1">
        <v>21.6631</v>
      </c>
      <c r="P31" s="1">
        <v>21.6631</v>
      </c>
      <c r="Q31" s="1">
        <f t="shared" si="3"/>
        <v>6.5385999999999997</v>
      </c>
      <c r="R31" s="5"/>
      <c r="S31" s="5"/>
      <c r="T31" s="1"/>
      <c r="U31" s="1">
        <f t="shared" si="5"/>
        <v>10.743767779035268</v>
      </c>
      <c r="V31" s="1">
        <f t="shared" si="6"/>
        <v>10.743767779035268</v>
      </c>
      <c r="W31" s="1">
        <v>5.1761999999999997</v>
      </c>
      <c r="X31" s="1">
        <v>3.4788000000000001</v>
      </c>
      <c r="Y31" s="1">
        <v>4.9555999999999996</v>
      </c>
      <c r="Z31" s="1">
        <v>4.5793999999999997</v>
      </c>
      <c r="AA31" s="1">
        <v>1.9532</v>
      </c>
      <c r="AB31" s="1">
        <v>4.3648000000000007</v>
      </c>
      <c r="AC31" s="1">
        <v>5.7283999999999997</v>
      </c>
      <c r="AD31" s="1">
        <v>5.2148000000000003</v>
      </c>
      <c r="AE31" s="1"/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69</v>
      </c>
      <c r="B32" s="1" t="s">
        <v>36</v>
      </c>
      <c r="C32" s="1">
        <v>65.334000000000003</v>
      </c>
      <c r="D32" s="1">
        <v>33.893999999999998</v>
      </c>
      <c r="E32" s="1">
        <v>31.396000000000001</v>
      </c>
      <c r="F32" s="1">
        <v>29.962</v>
      </c>
      <c r="G32" s="8">
        <v>1</v>
      </c>
      <c r="H32" s="1">
        <v>30</v>
      </c>
      <c r="I32" s="1" t="s">
        <v>37</v>
      </c>
      <c r="J32" s="1"/>
      <c r="K32" s="1">
        <v>41.3</v>
      </c>
      <c r="L32" s="1">
        <f t="shared" si="2"/>
        <v>-9.9039999999999964</v>
      </c>
      <c r="M32" s="1"/>
      <c r="N32" s="1"/>
      <c r="O32" s="1">
        <v>24.463100000000001</v>
      </c>
      <c r="P32" s="1">
        <v>24.463100000000001</v>
      </c>
      <c r="Q32" s="1">
        <f t="shared" si="3"/>
        <v>6.2792000000000003</v>
      </c>
      <c r="R32" s="5"/>
      <c r="S32" s="5"/>
      <c r="T32" s="1"/>
      <c r="U32" s="1">
        <f t="shared" si="5"/>
        <v>12.563415721747992</v>
      </c>
      <c r="V32" s="1">
        <f t="shared" si="6"/>
        <v>12.563415721747992</v>
      </c>
      <c r="W32" s="1">
        <v>6.8353999999999999</v>
      </c>
      <c r="X32" s="1">
        <v>4.0375999999999994</v>
      </c>
      <c r="Y32" s="1">
        <v>4.9176000000000002</v>
      </c>
      <c r="Z32" s="1">
        <v>4.3883999999999999</v>
      </c>
      <c r="AA32" s="1">
        <v>7.2539999999999996</v>
      </c>
      <c r="AB32" s="1">
        <v>10.346</v>
      </c>
      <c r="AC32" s="1">
        <v>8.8159999999999989</v>
      </c>
      <c r="AD32" s="1">
        <v>5.7187999999999999</v>
      </c>
      <c r="AE32" s="1" t="s">
        <v>70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36</v>
      </c>
      <c r="C33" s="1">
        <v>80.033000000000001</v>
      </c>
      <c r="D33" s="1">
        <v>213.41300000000001</v>
      </c>
      <c r="E33" s="1">
        <v>128.12799999999999</v>
      </c>
      <c r="F33" s="1">
        <v>88.944999999999993</v>
      </c>
      <c r="G33" s="8">
        <v>1</v>
      </c>
      <c r="H33" s="1">
        <v>50</v>
      </c>
      <c r="I33" s="1" t="s">
        <v>37</v>
      </c>
      <c r="J33" s="1"/>
      <c r="K33" s="1">
        <v>157.69999999999999</v>
      </c>
      <c r="L33" s="1">
        <f t="shared" si="2"/>
        <v>-29.572000000000003</v>
      </c>
      <c r="M33" s="1"/>
      <c r="N33" s="1"/>
      <c r="O33" s="1">
        <v>98.000699999999981</v>
      </c>
      <c r="P33" s="1">
        <v>98.000699999999981</v>
      </c>
      <c r="Q33" s="1">
        <f t="shared" si="3"/>
        <v>25.625599999999999</v>
      </c>
      <c r="R33" s="5"/>
      <c r="S33" s="5"/>
      <c r="T33" s="1"/>
      <c r="U33" s="1">
        <f t="shared" si="5"/>
        <v>11.119599150849151</v>
      </c>
      <c r="V33" s="1">
        <f t="shared" si="6"/>
        <v>11.119599150849151</v>
      </c>
      <c r="W33" s="1">
        <v>24.022400000000001</v>
      </c>
      <c r="X33" s="1">
        <v>19.895800000000001</v>
      </c>
      <c r="Y33" s="1">
        <v>18.579599999999999</v>
      </c>
      <c r="Z33" s="1">
        <v>18.502600000000001</v>
      </c>
      <c r="AA33" s="1">
        <v>21.0794</v>
      </c>
      <c r="AB33" s="1">
        <v>22.010400000000001</v>
      </c>
      <c r="AC33" s="1">
        <v>23.454000000000001</v>
      </c>
      <c r="AD33" s="1">
        <v>19.119</v>
      </c>
      <c r="AE33" s="1"/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36</v>
      </c>
      <c r="C34" s="1">
        <v>89.028999999999996</v>
      </c>
      <c r="D34" s="1">
        <v>54.39</v>
      </c>
      <c r="E34" s="1">
        <v>119.374</v>
      </c>
      <c r="F34" s="1">
        <v>0.02</v>
      </c>
      <c r="G34" s="8">
        <v>1</v>
      </c>
      <c r="H34" s="1">
        <v>50</v>
      </c>
      <c r="I34" s="1" t="s">
        <v>37</v>
      </c>
      <c r="J34" s="1"/>
      <c r="K34" s="1">
        <v>110.2</v>
      </c>
      <c r="L34" s="1">
        <f t="shared" si="2"/>
        <v>9.1739999999999924</v>
      </c>
      <c r="M34" s="1"/>
      <c r="N34" s="1"/>
      <c r="O34" s="1">
        <v>53.665019999999963</v>
      </c>
      <c r="P34" s="1">
        <v>53.665019999999963</v>
      </c>
      <c r="Q34" s="1">
        <f t="shared" si="3"/>
        <v>23.8748</v>
      </c>
      <c r="R34" s="5">
        <f>10*Q34-P34-O34-F34</f>
        <v>131.39796000000004</v>
      </c>
      <c r="S34" s="5"/>
      <c r="T34" s="1"/>
      <c r="U34" s="1">
        <f t="shared" si="5"/>
        <v>9.9999999999999982</v>
      </c>
      <c r="V34" s="1">
        <f t="shared" si="6"/>
        <v>4.496374419890425</v>
      </c>
      <c r="W34" s="1">
        <v>12.8446</v>
      </c>
      <c r="X34" s="1">
        <v>10.7354</v>
      </c>
      <c r="Y34" s="1">
        <v>11.4434</v>
      </c>
      <c r="Z34" s="1">
        <v>14.2158</v>
      </c>
      <c r="AA34" s="1">
        <v>15.3316</v>
      </c>
      <c r="AB34" s="1">
        <v>10.8422</v>
      </c>
      <c r="AC34" s="1">
        <v>9.7569999999999997</v>
      </c>
      <c r="AD34" s="1">
        <v>10.241400000000001</v>
      </c>
      <c r="AE34" s="1"/>
      <c r="AF34" s="1">
        <f>G34*R34</f>
        <v>131.39796000000004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42</v>
      </c>
      <c r="C35" s="1">
        <v>306</v>
      </c>
      <c r="D35" s="1">
        <v>2252</v>
      </c>
      <c r="E35" s="1">
        <v>588</v>
      </c>
      <c r="F35" s="1">
        <v>1342</v>
      </c>
      <c r="G35" s="8">
        <v>0.4</v>
      </c>
      <c r="H35" s="1">
        <v>45</v>
      </c>
      <c r="I35" s="1" t="s">
        <v>37</v>
      </c>
      <c r="J35" s="1"/>
      <c r="K35" s="1">
        <v>623</v>
      </c>
      <c r="L35" s="1">
        <f t="shared" si="2"/>
        <v>-35</v>
      </c>
      <c r="M35" s="1"/>
      <c r="N35" s="1"/>
      <c r="O35" s="1">
        <v>0</v>
      </c>
      <c r="P35" s="1"/>
      <c r="Q35" s="1">
        <f t="shared" si="3"/>
        <v>117.6</v>
      </c>
      <c r="R35" s="5"/>
      <c r="S35" s="5"/>
      <c r="T35" s="1"/>
      <c r="U35" s="1">
        <f t="shared" si="5"/>
        <v>11.411564625850341</v>
      </c>
      <c r="V35" s="1">
        <f t="shared" si="6"/>
        <v>11.411564625850341</v>
      </c>
      <c r="W35" s="1">
        <v>98</v>
      </c>
      <c r="X35" s="1">
        <v>159.19999999999999</v>
      </c>
      <c r="Y35" s="1">
        <v>133.6</v>
      </c>
      <c r="Z35" s="1">
        <v>100.4</v>
      </c>
      <c r="AA35" s="1">
        <v>94.2</v>
      </c>
      <c r="AB35" s="1">
        <v>135.4</v>
      </c>
      <c r="AC35" s="1">
        <v>147</v>
      </c>
      <c r="AD35" s="1">
        <v>111.6</v>
      </c>
      <c r="AE35" s="1" t="s">
        <v>74</v>
      </c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42</v>
      </c>
      <c r="C36" s="1">
        <v>12</v>
      </c>
      <c r="D36" s="1">
        <v>417</v>
      </c>
      <c r="E36" s="1">
        <v>152</v>
      </c>
      <c r="F36" s="1">
        <v>189</v>
      </c>
      <c r="G36" s="8">
        <v>0.45</v>
      </c>
      <c r="H36" s="1">
        <v>50</v>
      </c>
      <c r="I36" s="13" t="s">
        <v>76</v>
      </c>
      <c r="J36" s="1"/>
      <c r="K36" s="1">
        <v>197</v>
      </c>
      <c r="L36" s="1">
        <f t="shared" si="2"/>
        <v>-45</v>
      </c>
      <c r="M36" s="1"/>
      <c r="N36" s="1"/>
      <c r="O36" s="1">
        <v>0</v>
      </c>
      <c r="P36" s="1"/>
      <c r="Q36" s="1">
        <f t="shared" si="3"/>
        <v>30.4</v>
      </c>
      <c r="R36" s="5">
        <f t="shared" ref="R31:R37" si="10">11*Q36-P36-O36-F36</f>
        <v>145.39999999999998</v>
      </c>
      <c r="S36" s="5"/>
      <c r="T36" s="1"/>
      <c r="U36" s="1">
        <f t="shared" si="5"/>
        <v>11</v>
      </c>
      <c r="V36" s="1">
        <f t="shared" si="6"/>
        <v>6.2171052631578947</v>
      </c>
      <c r="W36" s="1">
        <v>16.2</v>
      </c>
      <c r="X36" s="1">
        <v>29.8</v>
      </c>
      <c r="Y36" s="1">
        <v>26.2</v>
      </c>
      <c r="Z36" s="1">
        <v>20.2</v>
      </c>
      <c r="AA36" s="1">
        <v>21.2</v>
      </c>
      <c r="AB36" s="1">
        <v>21.6</v>
      </c>
      <c r="AC36" s="1">
        <v>19.2</v>
      </c>
      <c r="AD36" s="1">
        <v>22.2</v>
      </c>
      <c r="AE36" s="1" t="s">
        <v>39</v>
      </c>
      <c r="AF36" s="1">
        <f>G36*R36</f>
        <v>65.429999999999993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42</v>
      </c>
      <c r="C37" s="1">
        <v>231</v>
      </c>
      <c r="D37" s="1">
        <v>1507</v>
      </c>
      <c r="E37" s="1">
        <v>492</v>
      </c>
      <c r="F37" s="1">
        <v>891</v>
      </c>
      <c r="G37" s="8">
        <v>0.4</v>
      </c>
      <c r="H37" s="1">
        <v>45</v>
      </c>
      <c r="I37" s="1" t="s">
        <v>37</v>
      </c>
      <c r="J37" s="1"/>
      <c r="K37" s="1">
        <v>493</v>
      </c>
      <c r="L37" s="1">
        <f t="shared" si="2"/>
        <v>-1</v>
      </c>
      <c r="M37" s="1"/>
      <c r="N37" s="1"/>
      <c r="O37" s="1">
        <v>0</v>
      </c>
      <c r="P37" s="1"/>
      <c r="Q37" s="1">
        <f t="shared" si="3"/>
        <v>98.4</v>
      </c>
      <c r="R37" s="5">
        <f t="shared" si="10"/>
        <v>191.40000000000009</v>
      </c>
      <c r="S37" s="5"/>
      <c r="T37" s="1"/>
      <c r="U37" s="1">
        <f t="shared" si="5"/>
        <v>11</v>
      </c>
      <c r="V37" s="1">
        <f t="shared" si="6"/>
        <v>9.0548780487804876</v>
      </c>
      <c r="W37" s="1">
        <v>70.599999999999994</v>
      </c>
      <c r="X37" s="1">
        <v>114.4</v>
      </c>
      <c r="Y37" s="1">
        <v>103.2</v>
      </c>
      <c r="Z37" s="1">
        <v>73</v>
      </c>
      <c r="AA37" s="1">
        <v>81</v>
      </c>
      <c r="AB37" s="1">
        <v>109.4</v>
      </c>
      <c r="AC37" s="1">
        <v>112.4</v>
      </c>
      <c r="AD37" s="1">
        <v>85</v>
      </c>
      <c r="AE37" s="1"/>
      <c r="AF37" s="1">
        <f>G37*R37</f>
        <v>76.560000000000045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4" t="s">
        <v>78</v>
      </c>
      <c r="B38" s="14" t="s">
        <v>42</v>
      </c>
      <c r="C38" s="14"/>
      <c r="D38" s="14">
        <v>30</v>
      </c>
      <c r="E38" s="14"/>
      <c r="F38" s="14">
        <v>30</v>
      </c>
      <c r="G38" s="15">
        <v>0</v>
      </c>
      <c r="H38" s="14" t="e">
        <v>#N/A</v>
      </c>
      <c r="I38" s="14" t="s">
        <v>57</v>
      </c>
      <c r="J38" s="14"/>
      <c r="K38" s="14"/>
      <c r="L38" s="14">
        <f t="shared" ref="L38" si="11">E38-K38</f>
        <v>0</v>
      </c>
      <c r="M38" s="14"/>
      <c r="N38" s="14"/>
      <c r="O38" s="14"/>
      <c r="P38" s="14"/>
      <c r="Q38" s="14">
        <f t="shared" si="3"/>
        <v>0</v>
      </c>
      <c r="R38" s="16"/>
      <c r="S38" s="16"/>
      <c r="T38" s="14"/>
      <c r="U38" s="14" t="e">
        <f t="shared" si="5"/>
        <v>#DIV/0!</v>
      </c>
      <c r="V38" s="14" t="e">
        <f t="shared" si="6"/>
        <v>#DIV/0!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7" t="s">
        <v>148</v>
      </c>
      <c r="AF38" s="14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1" t="s">
        <v>79</v>
      </c>
      <c r="B39" s="1" t="s">
        <v>42</v>
      </c>
      <c r="C39" s="1">
        <v>161.63399999999999</v>
      </c>
      <c r="D39" s="1">
        <v>14.366</v>
      </c>
      <c r="E39" s="1">
        <v>-7</v>
      </c>
      <c r="F39" s="1"/>
      <c r="G39" s="8">
        <v>0.4</v>
      </c>
      <c r="H39" s="1">
        <v>40</v>
      </c>
      <c r="I39" s="1" t="s">
        <v>37</v>
      </c>
      <c r="J39" s="1"/>
      <c r="K39" s="1">
        <v>11</v>
      </c>
      <c r="L39" s="1">
        <f t="shared" ref="L39:L69" si="12">E39-K39</f>
        <v>-18</v>
      </c>
      <c r="M39" s="1"/>
      <c r="N39" s="1"/>
      <c r="O39" s="1">
        <v>20</v>
      </c>
      <c r="P39" s="1">
        <v>20</v>
      </c>
      <c r="Q39" s="1">
        <f t="shared" si="3"/>
        <v>-1.4</v>
      </c>
      <c r="R39" s="5"/>
      <c r="S39" s="5"/>
      <c r="T39" s="1"/>
      <c r="U39" s="1">
        <f t="shared" si="5"/>
        <v>-28.571428571428573</v>
      </c>
      <c r="V39" s="1">
        <f t="shared" si="6"/>
        <v>-28.571428571428573</v>
      </c>
      <c r="W39" s="1">
        <v>0.4</v>
      </c>
      <c r="X39" s="1">
        <v>8.4</v>
      </c>
      <c r="Y39" s="1">
        <v>6.4</v>
      </c>
      <c r="Z39" s="1">
        <v>3.2</v>
      </c>
      <c r="AA39" s="1">
        <v>6</v>
      </c>
      <c r="AB39" s="1">
        <v>8.1999999999999993</v>
      </c>
      <c r="AC39" s="1">
        <v>4.4000000000000004</v>
      </c>
      <c r="AD39" s="1">
        <v>0.87319999999999998</v>
      </c>
      <c r="AE39" s="1" t="s">
        <v>80</v>
      </c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1" t="s">
        <v>81</v>
      </c>
      <c r="B40" s="1" t="s">
        <v>36</v>
      </c>
      <c r="C40" s="1">
        <v>30.39</v>
      </c>
      <c r="D40" s="1">
        <v>69.02</v>
      </c>
      <c r="E40" s="1">
        <v>29.439</v>
      </c>
      <c r="F40" s="1">
        <v>43.753</v>
      </c>
      <c r="G40" s="8">
        <v>1</v>
      </c>
      <c r="H40" s="1">
        <v>45</v>
      </c>
      <c r="I40" s="1" t="s">
        <v>37</v>
      </c>
      <c r="J40" s="1"/>
      <c r="K40" s="1">
        <v>29.026</v>
      </c>
      <c r="L40" s="1">
        <f t="shared" si="12"/>
        <v>0.41300000000000026</v>
      </c>
      <c r="M40" s="1"/>
      <c r="N40" s="1"/>
      <c r="O40" s="1">
        <v>31.304200000000009</v>
      </c>
      <c r="P40" s="1">
        <v>31.304200000000009</v>
      </c>
      <c r="Q40" s="1">
        <f t="shared" si="3"/>
        <v>5.8878000000000004</v>
      </c>
      <c r="R40" s="5"/>
      <c r="S40" s="5"/>
      <c r="T40" s="1"/>
      <c r="U40" s="1">
        <f t="shared" si="5"/>
        <v>18.064710078467343</v>
      </c>
      <c r="V40" s="1">
        <f t="shared" si="6"/>
        <v>18.064710078467343</v>
      </c>
      <c r="W40" s="1">
        <v>7.9117999999999986</v>
      </c>
      <c r="X40" s="1">
        <v>5.5939999999999994</v>
      </c>
      <c r="Y40" s="1">
        <v>5.4148000000000014</v>
      </c>
      <c r="Z40" s="1">
        <v>3.1444000000000001</v>
      </c>
      <c r="AA40" s="1">
        <v>5.4264000000000001</v>
      </c>
      <c r="AB40" s="1">
        <v>7.1159999999999997</v>
      </c>
      <c r="AC40" s="1">
        <v>7.7611999999999997</v>
      </c>
      <c r="AD40" s="1">
        <v>9.8159999999999989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1" t="s">
        <v>82</v>
      </c>
      <c r="B41" s="1" t="s">
        <v>42</v>
      </c>
      <c r="C41" s="1">
        <v>20</v>
      </c>
      <c r="D41" s="1">
        <v>125</v>
      </c>
      <c r="E41" s="1">
        <v>28</v>
      </c>
      <c r="F41" s="1">
        <v>112</v>
      </c>
      <c r="G41" s="8">
        <v>0.1</v>
      </c>
      <c r="H41" s="1">
        <v>730</v>
      </c>
      <c r="I41" s="1" t="s">
        <v>37</v>
      </c>
      <c r="J41" s="1"/>
      <c r="K41" s="1">
        <v>34</v>
      </c>
      <c r="L41" s="1">
        <f t="shared" si="12"/>
        <v>-6</v>
      </c>
      <c r="M41" s="1"/>
      <c r="N41" s="1"/>
      <c r="O41" s="1">
        <v>0</v>
      </c>
      <c r="P41" s="1"/>
      <c r="Q41" s="1">
        <f t="shared" si="3"/>
        <v>5.6</v>
      </c>
      <c r="R41" s="5"/>
      <c r="S41" s="5"/>
      <c r="T41" s="1"/>
      <c r="U41" s="1">
        <f t="shared" si="5"/>
        <v>20</v>
      </c>
      <c r="V41" s="1">
        <f t="shared" si="6"/>
        <v>20</v>
      </c>
      <c r="W41" s="1">
        <v>4.8</v>
      </c>
      <c r="X41" s="1">
        <v>8.8000000000000007</v>
      </c>
      <c r="Y41" s="1">
        <v>10.6</v>
      </c>
      <c r="Z41" s="1">
        <v>5.2</v>
      </c>
      <c r="AA41" s="1">
        <v>5.4</v>
      </c>
      <c r="AB41" s="1">
        <v>3</v>
      </c>
      <c r="AC41" s="1">
        <v>3</v>
      </c>
      <c r="AD41" s="1">
        <v>6.2</v>
      </c>
      <c r="AE41" s="1"/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1" t="s">
        <v>83</v>
      </c>
      <c r="B42" s="1" t="s">
        <v>42</v>
      </c>
      <c r="C42" s="1">
        <v>74</v>
      </c>
      <c r="D42" s="1">
        <v>194</v>
      </c>
      <c r="E42" s="1">
        <v>104</v>
      </c>
      <c r="F42" s="1">
        <v>110</v>
      </c>
      <c r="G42" s="8">
        <v>0.35</v>
      </c>
      <c r="H42" s="1">
        <v>40</v>
      </c>
      <c r="I42" s="1" t="s">
        <v>37</v>
      </c>
      <c r="J42" s="1"/>
      <c r="K42" s="1">
        <v>121</v>
      </c>
      <c r="L42" s="1">
        <f t="shared" si="12"/>
        <v>-17</v>
      </c>
      <c r="M42" s="1"/>
      <c r="N42" s="1"/>
      <c r="O42" s="1">
        <v>66.359999999999928</v>
      </c>
      <c r="P42" s="1">
        <v>66.359999999999928</v>
      </c>
      <c r="Q42" s="1">
        <f t="shared" si="3"/>
        <v>20.8</v>
      </c>
      <c r="R42" s="5"/>
      <c r="S42" s="5"/>
      <c r="T42" s="1"/>
      <c r="U42" s="1">
        <f t="shared" si="5"/>
        <v>11.669230769230762</v>
      </c>
      <c r="V42" s="1">
        <f t="shared" si="6"/>
        <v>11.669230769230762</v>
      </c>
      <c r="W42" s="1">
        <v>22.4</v>
      </c>
      <c r="X42" s="1">
        <v>18.8</v>
      </c>
      <c r="Y42" s="1">
        <v>25.2</v>
      </c>
      <c r="Z42" s="1">
        <v>20.6</v>
      </c>
      <c r="AA42" s="1">
        <v>15</v>
      </c>
      <c r="AB42" s="1">
        <v>20.8</v>
      </c>
      <c r="AC42" s="1">
        <v>15</v>
      </c>
      <c r="AD42" s="1">
        <v>13.6</v>
      </c>
      <c r="AE42" s="1" t="s">
        <v>39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1" t="s">
        <v>84</v>
      </c>
      <c r="B43" s="1" t="s">
        <v>36</v>
      </c>
      <c r="C43" s="1">
        <v>153.364</v>
      </c>
      <c r="D43" s="1">
        <v>79.45</v>
      </c>
      <c r="E43" s="1">
        <v>190.09</v>
      </c>
      <c r="F43" s="1">
        <v>8.6999999999999994E-2</v>
      </c>
      <c r="G43" s="8">
        <v>1</v>
      </c>
      <c r="H43" s="1">
        <v>40</v>
      </c>
      <c r="I43" s="1" t="s">
        <v>37</v>
      </c>
      <c r="J43" s="1"/>
      <c r="K43" s="1">
        <v>192.6</v>
      </c>
      <c r="L43" s="1">
        <f t="shared" si="12"/>
        <v>-2.5099999999999909</v>
      </c>
      <c r="M43" s="1"/>
      <c r="N43" s="1"/>
      <c r="O43" s="1">
        <v>117.2850999999999</v>
      </c>
      <c r="P43" s="1">
        <v>117.2850999999999</v>
      </c>
      <c r="Q43" s="1">
        <f t="shared" si="3"/>
        <v>38.018000000000001</v>
      </c>
      <c r="R43" s="5">
        <f t="shared" ref="R39:R51" si="13">11*Q43-P43-O43-F43</f>
        <v>183.54080000000022</v>
      </c>
      <c r="S43" s="5"/>
      <c r="T43" s="1"/>
      <c r="U43" s="1">
        <f t="shared" si="5"/>
        <v>11</v>
      </c>
      <c r="V43" s="1">
        <f t="shared" si="6"/>
        <v>6.1722657688463309</v>
      </c>
      <c r="W43" s="1">
        <v>29.227399999999999</v>
      </c>
      <c r="X43" s="1">
        <v>18.8142</v>
      </c>
      <c r="Y43" s="1">
        <v>21.289200000000001</v>
      </c>
      <c r="Z43" s="1">
        <v>27.791599999999999</v>
      </c>
      <c r="AA43" s="1">
        <v>26.162600000000001</v>
      </c>
      <c r="AB43" s="1">
        <v>16.2638</v>
      </c>
      <c r="AC43" s="1">
        <v>14.3744</v>
      </c>
      <c r="AD43" s="1">
        <v>17.4038</v>
      </c>
      <c r="AE43" s="1"/>
      <c r="AF43" s="1">
        <f>G43*R43</f>
        <v>183.54080000000022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1" t="s">
        <v>85</v>
      </c>
      <c r="B44" s="1" t="s">
        <v>42</v>
      </c>
      <c r="C44" s="1">
        <v>-2</v>
      </c>
      <c r="D44" s="1">
        <v>587</v>
      </c>
      <c r="E44" s="1">
        <v>66</v>
      </c>
      <c r="F44" s="1">
        <v>331</v>
      </c>
      <c r="G44" s="8">
        <v>0.4</v>
      </c>
      <c r="H44" s="1">
        <v>40</v>
      </c>
      <c r="I44" s="1" t="s">
        <v>37</v>
      </c>
      <c r="J44" s="1"/>
      <c r="K44" s="1">
        <v>70</v>
      </c>
      <c r="L44" s="1">
        <f t="shared" si="12"/>
        <v>-4</v>
      </c>
      <c r="M44" s="1"/>
      <c r="N44" s="1"/>
      <c r="O44" s="1">
        <v>0</v>
      </c>
      <c r="P44" s="1"/>
      <c r="Q44" s="1">
        <f t="shared" si="3"/>
        <v>13.2</v>
      </c>
      <c r="R44" s="5"/>
      <c r="S44" s="5"/>
      <c r="T44" s="1"/>
      <c r="U44" s="1">
        <f t="shared" si="5"/>
        <v>25.075757575757578</v>
      </c>
      <c r="V44" s="1">
        <f t="shared" si="6"/>
        <v>25.075757575757578</v>
      </c>
      <c r="W44" s="1">
        <v>4.5999999999999996</v>
      </c>
      <c r="X44" s="1">
        <v>34.4</v>
      </c>
      <c r="Y44" s="1">
        <v>28</v>
      </c>
      <c r="Z44" s="1">
        <v>10.199999999999999</v>
      </c>
      <c r="AA44" s="1">
        <v>2</v>
      </c>
      <c r="AB44" s="1">
        <v>11.6</v>
      </c>
      <c r="AC44" s="1">
        <v>25.2</v>
      </c>
      <c r="AD44" s="1">
        <v>14.2</v>
      </c>
      <c r="AE44" s="1"/>
      <c r="AF44" s="1">
        <f>G44*R44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1" t="s">
        <v>86</v>
      </c>
      <c r="B45" s="1" t="s">
        <v>42</v>
      </c>
      <c r="C45" s="1">
        <v>272</v>
      </c>
      <c r="D45" s="1">
        <v>1195</v>
      </c>
      <c r="E45" s="1">
        <v>165</v>
      </c>
      <c r="F45" s="1">
        <v>573</v>
      </c>
      <c r="G45" s="8">
        <v>0.4</v>
      </c>
      <c r="H45" s="1">
        <v>45</v>
      </c>
      <c r="I45" s="1" t="s">
        <v>37</v>
      </c>
      <c r="J45" s="1"/>
      <c r="K45" s="1">
        <v>184</v>
      </c>
      <c r="L45" s="1">
        <f t="shared" si="12"/>
        <v>-19</v>
      </c>
      <c r="M45" s="1"/>
      <c r="N45" s="1"/>
      <c r="O45" s="1">
        <v>0</v>
      </c>
      <c r="P45" s="1"/>
      <c r="Q45" s="1">
        <f t="shared" si="3"/>
        <v>33</v>
      </c>
      <c r="R45" s="5"/>
      <c r="S45" s="5"/>
      <c r="T45" s="1"/>
      <c r="U45" s="1">
        <f t="shared" si="5"/>
        <v>17.363636363636363</v>
      </c>
      <c r="V45" s="1">
        <f t="shared" si="6"/>
        <v>17.363636363636363</v>
      </c>
      <c r="W45" s="1">
        <v>7.6</v>
      </c>
      <c r="X45" s="1">
        <v>55</v>
      </c>
      <c r="Y45" s="1">
        <v>27.8</v>
      </c>
      <c r="Z45" s="1">
        <v>13.8</v>
      </c>
      <c r="AA45" s="1">
        <v>13.2</v>
      </c>
      <c r="AB45" s="1">
        <v>28.6</v>
      </c>
      <c r="AC45" s="1">
        <v>46.2</v>
      </c>
      <c r="AD45" s="1">
        <v>36.6</v>
      </c>
      <c r="AE45" s="22" t="s">
        <v>118</v>
      </c>
      <c r="AF45" s="1">
        <f>G45*R45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1" t="s">
        <v>87</v>
      </c>
      <c r="B46" s="1" t="s">
        <v>36</v>
      </c>
      <c r="C46" s="1">
        <v>84.558000000000007</v>
      </c>
      <c r="D46" s="1">
        <v>231.09700000000001</v>
      </c>
      <c r="E46" s="1">
        <v>152.72300000000001</v>
      </c>
      <c r="F46" s="1">
        <v>101.425</v>
      </c>
      <c r="G46" s="8">
        <v>1</v>
      </c>
      <c r="H46" s="1">
        <v>40</v>
      </c>
      <c r="I46" s="1" t="s">
        <v>37</v>
      </c>
      <c r="J46" s="1"/>
      <c r="K46" s="1">
        <v>233.9</v>
      </c>
      <c r="L46" s="1">
        <f t="shared" si="12"/>
        <v>-81.176999999999992</v>
      </c>
      <c r="M46" s="1"/>
      <c r="N46" s="1"/>
      <c r="O46" s="1">
        <v>155.64700000000011</v>
      </c>
      <c r="P46" s="1">
        <v>155.64700000000011</v>
      </c>
      <c r="Q46" s="1">
        <f t="shared" si="3"/>
        <v>30.544600000000003</v>
      </c>
      <c r="R46" s="5"/>
      <c r="S46" s="5"/>
      <c r="T46" s="1"/>
      <c r="U46" s="1">
        <f t="shared" si="5"/>
        <v>13.512011943191274</v>
      </c>
      <c r="V46" s="1">
        <f t="shared" si="6"/>
        <v>13.512011943191274</v>
      </c>
      <c r="W46" s="1">
        <v>41.069400000000002</v>
      </c>
      <c r="X46" s="1">
        <v>29.6418</v>
      </c>
      <c r="Y46" s="1">
        <v>30.0472</v>
      </c>
      <c r="Z46" s="1">
        <v>29.268599999999999</v>
      </c>
      <c r="AA46" s="1">
        <v>32.658000000000001</v>
      </c>
      <c r="AB46" s="1">
        <v>25.21</v>
      </c>
      <c r="AC46" s="1">
        <v>22.6038</v>
      </c>
      <c r="AD46" s="1">
        <v>18.8994</v>
      </c>
      <c r="AE46" s="1"/>
      <c r="AF46" s="1">
        <f>G46*R46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1" t="s">
        <v>88</v>
      </c>
      <c r="B47" s="1" t="s">
        <v>42</v>
      </c>
      <c r="C47" s="1">
        <v>155</v>
      </c>
      <c r="D47" s="1">
        <v>625</v>
      </c>
      <c r="E47" s="1">
        <v>210</v>
      </c>
      <c r="F47" s="1">
        <v>300</v>
      </c>
      <c r="G47" s="8">
        <v>0.35</v>
      </c>
      <c r="H47" s="1">
        <v>40</v>
      </c>
      <c r="I47" s="1" t="s">
        <v>37</v>
      </c>
      <c r="J47" s="1"/>
      <c r="K47" s="1">
        <v>224</v>
      </c>
      <c r="L47" s="1">
        <f t="shared" si="12"/>
        <v>-14</v>
      </c>
      <c r="M47" s="1"/>
      <c r="N47" s="1"/>
      <c r="O47" s="1">
        <v>27.680000000000181</v>
      </c>
      <c r="P47" s="1"/>
      <c r="Q47" s="1">
        <f t="shared" si="3"/>
        <v>42</v>
      </c>
      <c r="R47" s="5">
        <f t="shared" si="13"/>
        <v>134.31999999999982</v>
      </c>
      <c r="S47" s="5"/>
      <c r="T47" s="1"/>
      <c r="U47" s="1">
        <f t="shared" si="5"/>
        <v>11</v>
      </c>
      <c r="V47" s="1">
        <f t="shared" si="6"/>
        <v>7.8019047619047663</v>
      </c>
      <c r="W47" s="1">
        <v>32.200000000000003</v>
      </c>
      <c r="X47" s="1">
        <v>40.200000000000003</v>
      </c>
      <c r="Y47" s="1">
        <v>48.8</v>
      </c>
      <c r="Z47" s="1">
        <v>36</v>
      </c>
      <c r="AA47" s="1">
        <v>32</v>
      </c>
      <c r="AB47" s="1">
        <v>25.8</v>
      </c>
      <c r="AC47" s="1">
        <v>37.6</v>
      </c>
      <c r="AD47" s="1">
        <v>37.799999999999997</v>
      </c>
      <c r="AE47" s="1" t="s">
        <v>49</v>
      </c>
      <c r="AF47" s="1">
        <f>G47*R47</f>
        <v>47.011999999999937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1" t="s">
        <v>89</v>
      </c>
      <c r="B48" s="1" t="s">
        <v>42</v>
      </c>
      <c r="C48" s="1">
        <v>104</v>
      </c>
      <c r="D48" s="1">
        <v>967</v>
      </c>
      <c r="E48" s="1">
        <v>326</v>
      </c>
      <c r="F48" s="1">
        <v>446</v>
      </c>
      <c r="G48" s="8">
        <v>0.4</v>
      </c>
      <c r="H48" s="1">
        <v>40</v>
      </c>
      <c r="I48" s="1" t="s">
        <v>37</v>
      </c>
      <c r="J48" s="1"/>
      <c r="K48" s="1">
        <v>346</v>
      </c>
      <c r="L48" s="1">
        <f t="shared" si="12"/>
        <v>-20</v>
      </c>
      <c r="M48" s="1"/>
      <c r="N48" s="1"/>
      <c r="O48" s="1">
        <v>0</v>
      </c>
      <c r="P48" s="1"/>
      <c r="Q48" s="1">
        <f t="shared" si="3"/>
        <v>65.2</v>
      </c>
      <c r="R48" s="5">
        <f t="shared" si="13"/>
        <v>271.20000000000005</v>
      </c>
      <c r="S48" s="5"/>
      <c r="T48" s="1"/>
      <c r="U48" s="1">
        <f t="shared" si="5"/>
        <v>11</v>
      </c>
      <c r="V48" s="1">
        <f t="shared" si="6"/>
        <v>6.8404907975460123</v>
      </c>
      <c r="W48" s="1">
        <v>44.6</v>
      </c>
      <c r="X48" s="1">
        <v>80.400000000000006</v>
      </c>
      <c r="Y48" s="1">
        <v>61.8</v>
      </c>
      <c r="Z48" s="1">
        <v>53.6</v>
      </c>
      <c r="AA48" s="1">
        <v>67.400000000000006</v>
      </c>
      <c r="AB48" s="1">
        <v>67.599999999999994</v>
      </c>
      <c r="AC48" s="1">
        <v>56</v>
      </c>
      <c r="AD48" s="1">
        <v>48.4</v>
      </c>
      <c r="AE48" s="1" t="s">
        <v>39</v>
      </c>
      <c r="AF48" s="1">
        <f>G48*R48</f>
        <v>108.48000000000002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1" t="s">
        <v>90</v>
      </c>
      <c r="B49" s="1" t="s">
        <v>36</v>
      </c>
      <c r="C49" s="1">
        <v>96.313999999999993</v>
      </c>
      <c r="D49" s="1">
        <v>139.37799999999999</v>
      </c>
      <c r="E49" s="1">
        <v>118.40900000000001</v>
      </c>
      <c r="F49" s="1">
        <v>30.841999999999999</v>
      </c>
      <c r="G49" s="8">
        <v>1</v>
      </c>
      <c r="H49" s="1">
        <v>50</v>
      </c>
      <c r="I49" s="1" t="s">
        <v>37</v>
      </c>
      <c r="J49" s="1"/>
      <c r="K49" s="1">
        <v>116.3</v>
      </c>
      <c r="L49" s="1">
        <f t="shared" si="12"/>
        <v>2.1090000000000089</v>
      </c>
      <c r="M49" s="1"/>
      <c r="N49" s="1"/>
      <c r="O49" s="1">
        <v>33.892900000000012</v>
      </c>
      <c r="P49" s="1">
        <v>33.892900000000012</v>
      </c>
      <c r="Q49" s="1">
        <f t="shared" si="3"/>
        <v>23.681800000000003</v>
      </c>
      <c r="R49" s="5">
        <f>10*Q49-P49-O49-F49</f>
        <v>138.19020000000006</v>
      </c>
      <c r="S49" s="5"/>
      <c r="T49" s="1"/>
      <c r="U49" s="1">
        <f t="shared" si="5"/>
        <v>10.000000000000004</v>
      </c>
      <c r="V49" s="1">
        <f t="shared" si="6"/>
        <v>4.1647087636919498</v>
      </c>
      <c r="W49" s="1">
        <v>12.9686</v>
      </c>
      <c r="X49" s="1">
        <v>13.4724</v>
      </c>
      <c r="Y49" s="1">
        <v>8.6025999999999989</v>
      </c>
      <c r="Z49" s="1">
        <v>10.509</v>
      </c>
      <c r="AA49" s="1">
        <v>18.158200000000001</v>
      </c>
      <c r="AB49" s="1">
        <v>18.692799999999998</v>
      </c>
      <c r="AC49" s="1">
        <v>9.9703999999999997</v>
      </c>
      <c r="AD49" s="1">
        <v>6.67</v>
      </c>
      <c r="AE49" s="1"/>
      <c r="AF49" s="1">
        <f>G49*R49</f>
        <v>138.19020000000006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1" t="s">
        <v>91</v>
      </c>
      <c r="B50" s="1" t="s">
        <v>36</v>
      </c>
      <c r="C50" s="1">
        <v>83.41</v>
      </c>
      <c r="D50" s="1">
        <v>366.73899999999998</v>
      </c>
      <c r="E50" s="1">
        <v>200.52199999999999</v>
      </c>
      <c r="F50" s="1">
        <v>154.23099999999999</v>
      </c>
      <c r="G50" s="8">
        <v>1</v>
      </c>
      <c r="H50" s="1">
        <v>50</v>
      </c>
      <c r="I50" s="1" t="s">
        <v>37</v>
      </c>
      <c r="J50" s="1"/>
      <c r="K50" s="1">
        <v>237.6</v>
      </c>
      <c r="L50" s="1">
        <f t="shared" si="12"/>
        <v>-37.078000000000003</v>
      </c>
      <c r="M50" s="1"/>
      <c r="N50" s="1"/>
      <c r="O50" s="1">
        <v>133.1746</v>
      </c>
      <c r="P50" s="1">
        <v>133.1746</v>
      </c>
      <c r="Q50" s="1">
        <f t="shared" si="3"/>
        <v>40.104399999999998</v>
      </c>
      <c r="R50" s="5">
        <f t="shared" si="13"/>
        <v>20.56819999999999</v>
      </c>
      <c r="S50" s="5"/>
      <c r="T50" s="1"/>
      <c r="U50" s="1">
        <f t="shared" si="5"/>
        <v>11</v>
      </c>
      <c r="V50" s="1">
        <f t="shared" si="6"/>
        <v>10.487133581352669</v>
      </c>
      <c r="W50" s="1">
        <v>36.584200000000003</v>
      </c>
      <c r="X50" s="1">
        <v>32.971200000000003</v>
      </c>
      <c r="Y50" s="1">
        <v>31.989000000000001</v>
      </c>
      <c r="Z50" s="1">
        <v>28.648</v>
      </c>
      <c r="AA50" s="1">
        <v>28.224799999999998</v>
      </c>
      <c r="AB50" s="1">
        <v>27.474399999999999</v>
      </c>
      <c r="AC50" s="1">
        <v>26.8276</v>
      </c>
      <c r="AD50" s="1">
        <v>28.4208</v>
      </c>
      <c r="AE50" s="1"/>
      <c r="AF50" s="1">
        <f>G50*R50</f>
        <v>20.56819999999999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1" t="s">
        <v>92</v>
      </c>
      <c r="B51" s="1" t="s">
        <v>36</v>
      </c>
      <c r="C51" s="1">
        <v>0.26</v>
      </c>
      <c r="D51" s="1">
        <v>94.921999999999997</v>
      </c>
      <c r="E51" s="1">
        <v>37.271999999999998</v>
      </c>
      <c r="F51" s="1">
        <v>43.838000000000001</v>
      </c>
      <c r="G51" s="8">
        <v>1</v>
      </c>
      <c r="H51" s="1">
        <v>40</v>
      </c>
      <c r="I51" s="12" t="s">
        <v>93</v>
      </c>
      <c r="J51" s="1"/>
      <c r="K51" s="1">
        <v>39.700000000000003</v>
      </c>
      <c r="L51" s="1">
        <f t="shared" si="12"/>
        <v>-2.4280000000000044</v>
      </c>
      <c r="M51" s="1"/>
      <c r="N51" s="1"/>
      <c r="O51" s="1">
        <v>21.3019</v>
      </c>
      <c r="P51" s="1">
        <v>21.3019</v>
      </c>
      <c r="Q51" s="1">
        <f t="shared" si="3"/>
        <v>7.4543999999999997</v>
      </c>
      <c r="R51" s="5"/>
      <c r="S51" s="5"/>
      <c r="T51" s="1"/>
      <c r="U51" s="1">
        <f t="shared" si="5"/>
        <v>11.596077484438721</v>
      </c>
      <c r="V51" s="1">
        <f t="shared" si="6"/>
        <v>11.596077484438721</v>
      </c>
      <c r="W51" s="1">
        <v>7.1261999999999999</v>
      </c>
      <c r="X51" s="1">
        <v>9.4860000000000007</v>
      </c>
      <c r="Y51" s="1">
        <v>5.6243999999999996</v>
      </c>
      <c r="Z51" s="1">
        <v>4.1120000000000001</v>
      </c>
      <c r="AA51" s="1">
        <v>5.6002000000000001</v>
      </c>
      <c r="AB51" s="1">
        <v>265.959</v>
      </c>
      <c r="AC51" s="1">
        <v>265.33980000000003</v>
      </c>
      <c r="AD51" s="1">
        <v>6.7629999999999999</v>
      </c>
      <c r="AE51" s="1" t="s">
        <v>94</v>
      </c>
      <c r="AF51" s="1">
        <f>G51*R51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4" t="s">
        <v>95</v>
      </c>
      <c r="B52" s="14" t="s">
        <v>42</v>
      </c>
      <c r="C52" s="14"/>
      <c r="D52" s="14">
        <v>30</v>
      </c>
      <c r="E52" s="14"/>
      <c r="F52" s="14">
        <v>30</v>
      </c>
      <c r="G52" s="15">
        <v>0</v>
      </c>
      <c r="H52" s="14" t="e">
        <v>#N/A</v>
      </c>
      <c r="I52" s="14" t="s">
        <v>57</v>
      </c>
      <c r="J52" s="14"/>
      <c r="K52" s="14"/>
      <c r="L52" s="14">
        <f t="shared" si="12"/>
        <v>0</v>
      </c>
      <c r="M52" s="14"/>
      <c r="N52" s="14"/>
      <c r="O52" s="14"/>
      <c r="P52" s="14"/>
      <c r="Q52" s="14">
        <f t="shared" si="3"/>
        <v>0</v>
      </c>
      <c r="R52" s="16"/>
      <c r="S52" s="16"/>
      <c r="T52" s="14"/>
      <c r="U52" s="14" t="e">
        <f t="shared" si="5"/>
        <v>#DIV/0!</v>
      </c>
      <c r="V52" s="14" t="e">
        <f t="shared" si="6"/>
        <v>#DIV/0!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7" t="s">
        <v>148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1" t="s">
        <v>96</v>
      </c>
      <c r="B53" s="1" t="s">
        <v>42</v>
      </c>
      <c r="C53" s="1">
        <v>-6</v>
      </c>
      <c r="D53" s="1">
        <v>491</v>
      </c>
      <c r="E53" s="1">
        <v>120</v>
      </c>
      <c r="F53" s="1">
        <v>252</v>
      </c>
      <c r="G53" s="8">
        <v>0.45</v>
      </c>
      <c r="H53" s="1">
        <v>50</v>
      </c>
      <c r="I53" s="1" t="s">
        <v>37</v>
      </c>
      <c r="J53" s="1"/>
      <c r="K53" s="1">
        <v>223</v>
      </c>
      <c r="L53" s="1">
        <f t="shared" si="12"/>
        <v>-103</v>
      </c>
      <c r="M53" s="1"/>
      <c r="N53" s="1"/>
      <c r="O53" s="1">
        <v>0</v>
      </c>
      <c r="P53" s="1"/>
      <c r="Q53" s="1">
        <f t="shared" si="3"/>
        <v>24</v>
      </c>
      <c r="R53" s="5">
        <f>11*Q53-P53-O53-F53</f>
        <v>12</v>
      </c>
      <c r="S53" s="5"/>
      <c r="T53" s="1"/>
      <c r="U53" s="1">
        <f t="shared" si="5"/>
        <v>11</v>
      </c>
      <c r="V53" s="1">
        <f t="shared" si="6"/>
        <v>10.5</v>
      </c>
      <c r="W53" s="1">
        <v>22</v>
      </c>
      <c r="X53" s="1">
        <v>31.4</v>
      </c>
      <c r="Y53" s="1">
        <v>33.4</v>
      </c>
      <c r="Z53" s="1">
        <v>23</v>
      </c>
      <c r="AA53" s="1">
        <v>21.8</v>
      </c>
      <c r="AB53" s="1">
        <v>22.8</v>
      </c>
      <c r="AC53" s="1">
        <v>17.8</v>
      </c>
      <c r="AD53" s="1">
        <v>20.8</v>
      </c>
      <c r="AE53" s="1"/>
      <c r="AF53" s="1">
        <f>G53*R53</f>
        <v>5.4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4" t="s">
        <v>97</v>
      </c>
      <c r="B54" s="14" t="s">
        <v>42</v>
      </c>
      <c r="C54" s="14"/>
      <c r="D54" s="14">
        <v>30</v>
      </c>
      <c r="E54" s="14"/>
      <c r="F54" s="14">
        <v>30</v>
      </c>
      <c r="G54" s="15">
        <v>0</v>
      </c>
      <c r="H54" s="14" t="e">
        <v>#N/A</v>
      </c>
      <c r="I54" s="14" t="s">
        <v>57</v>
      </c>
      <c r="J54" s="14"/>
      <c r="K54" s="14">
        <v>2</v>
      </c>
      <c r="L54" s="14">
        <f t="shared" si="12"/>
        <v>-2</v>
      </c>
      <c r="M54" s="14"/>
      <c r="N54" s="14"/>
      <c r="O54" s="14"/>
      <c r="P54" s="14"/>
      <c r="Q54" s="14">
        <f t="shared" si="3"/>
        <v>0</v>
      </c>
      <c r="R54" s="16"/>
      <c r="S54" s="16"/>
      <c r="T54" s="14"/>
      <c r="U54" s="14" t="e">
        <f t="shared" si="5"/>
        <v>#DIV/0!</v>
      </c>
      <c r="V54" s="14" t="e">
        <f t="shared" si="6"/>
        <v>#DIV/0!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7" t="s">
        <v>148</v>
      </c>
      <c r="AF54" s="14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1" t="s">
        <v>98</v>
      </c>
      <c r="B55" s="1" t="s">
        <v>42</v>
      </c>
      <c r="C55" s="1">
        <v>23</v>
      </c>
      <c r="D55" s="1">
        <v>27</v>
      </c>
      <c r="E55" s="1">
        <v>26</v>
      </c>
      <c r="F55" s="1"/>
      <c r="G55" s="8">
        <v>0.4</v>
      </c>
      <c r="H55" s="1">
        <v>40</v>
      </c>
      <c r="I55" s="1" t="s">
        <v>37</v>
      </c>
      <c r="J55" s="1"/>
      <c r="K55" s="1">
        <v>37</v>
      </c>
      <c r="L55" s="1">
        <f t="shared" si="12"/>
        <v>-11</v>
      </c>
      <c r="M55" s="1"/>
      <c r="N55" s="1"/>
      <c r="O55" s="1">
        <v>16.600000000000001</v>
      </c>
      <c r="P55" s="1">
        <v>16.600000000000001</v>
      </c>
      <c r="Q55" s="1">
        <f t="shared" si="3"/>
        <v>5.2</v>
      </c>
      <c r="R55" s="5">
        <f t="shared" ref="R55:R56" si="14">11*Q55-P55-O55-F55</f>
        <v>24</v>
      </c>
      <c r="S55" s="5"/>
      <c r="T55" s="1"/>
      <c r="U55" s="1">
        <f t="shared" si="5"/>
        <v>11</v>
      </c>
      <c r="V55" s="1">
        <f t="shared" si="6"/>
        <v>6.384615384615385</v>
      </c>
      <c r="W55" s="1">
        <v>4.2</v>
      </c>
      <c r="X55" s="1">
        <v>-0.2</v>
      </c>
      <c r="Y55" s="1">
        <v>5</v>
      </c>
      <c r="Z55" s="1">
        <v>1.8</v>
      </c>
      <c r="AA55" s="1">
        <v>0.4</v>
      </c>
      <c r="AB55" s="1">
        <v>7.8</v>
      </c>
      <c r="AC55" s="1">
        <v>9</v>
      </c>
      <c r="AD55" s="1">
        <v>8.1999999999999993</v>
      </c>
      <c r="AE55" s="1"/>
      <c r="AF55" s="1">
        <f>G55*R55</f>
        <v>9.6000000000000014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99</v>
      </c>
      <c r="B56" s="1" t="s">
        <v>42</v>
      </c>
      <c r="C56" s="1">
        <v>42</v>
      </c>
      <c r="D56" s="1">
        <v>215</v>
      </c>
      <c r="E56" s="1">
        <v>32</v>
      </c>
      <c r="F56" s="1">
        <v>113</v>
      </c>
      <c r="G56" s="8">
        <v>0.4</v>
      </c>
      <c r="H56" s="1">
        <v>40</v>
      </c>
      <c r="I56" s="1" t="s">
        <v>37</v>
      </c>
      <c r="J56" s="1"/>
      <c r="K56" s="1">
        <v>66</v>
      </c>
      <c r="L56" s="1">
        <f t="shared" si="12"/>
        <v>-34</v>
      </c>
      <c r="M56" s="1"/>
      <c r="N56" s="1"/>
      <c r="O56" s="1">
        <v>0</v>
      </c>
      <c r="P56" s="1"/>
      <c r="Q56" s="1">
        <f t="shared" si="3"/>
        <v>6.4</v>
      </c>
      <c r="R56" s="5"/>
      <c r="S56" s="5"/>
      <c r="T56" s="1"/>
      <c r="U56" s="1">
        <f t="shared" si="5"/>
        <v>17.65625</v>
      </c>
      <c r="V56" s="1">
        <f t="shared" si="6"/>
        <v>17.65625</v>
      </c>
      <c r="W56" s="1">
        <v>6.6</v>
      </c>
      <c r="X56" s="1">
        <v>14.6</v>
      </c>
      <c r="Y56" s="1">
        <v>12.2</v>
      </c>
      <c r="Z56" s="1">
        <v>6.6</v>
      </c>
      <c r="AA56" s="1">
        <v>10.4</v>
      </c>
      <c r="AB56" s="1">
        <v>15.8</v>
      </c>
      <c r="AC56" s="1">
        <v>12.2</v>
      </c>
      <c r="AD56" s="1">
        <v>7.2</v>
      </c>
      <c r="AE56" s="1" t="s">
        <v>49</v>
      </c>
      <c r="AF56" s="1">
        <f>G56*R56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8" t="s">
        <v>100</v>
      </c>
      <c r="B57" s="18" t="s">
        <v>36</v>
      </c>
      <c r="C57" s="18"/>
      <c r="D57" s="18"/>
      <c r="E57" s="18"/>
      <c r="F57" s="18"/>
      <c r="G57" s="19">
        <v>0</v>
      </c>
      <c r="H57" s="18">
        <v>50</v>
      </c>
      <c r="I57" s="18" t="s">
        <v>37</v>
      </c>
      <c r="J57" s="18"/>
      <c r="K57" s="18"/>
      <c r="L57" s="18">
        <f t="shared" si="12"/>
        <v>0</v>
      </c>
      <c r="M57" s="18"/>
      <c r="N57" s="18"/>
      <c r="O57" s="18">
        <v>0</v>
      </c>
      <c r="P57" s="18"/>
      <c r="Q57" s="18">
        <f t="shared" si="3"/>
        <v>0</v>
      </c>
      <c r="R57" s="20"/>
      <c r="S57" s="20"/>
      <c r="T57" s="18"/>
      <c r="U57" s="18" t="e">
        <f t="shared" si="5"/>
        <v>#DIV/0!</v>
      </c>
      <c r="V57" s="18" t="e">
        <f t="shared" si="6"/>
        <v>#DIV/0!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 t="s">
        <v>64</v>
      </c>
      <c r="AF57" s="18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101</v>
      </c>
      <c r="B58" s="1" t="s">
        <v>42</v>
      </c>
      <c r="C58" s="1">
        <v>47</v>
      </c>
      <c r="D58" s="1">
        <v>67</v>
      </c>
      <c r="E58" s="1">
        <v>51</v>
      </c>
      <c r="F58" s="1">
        <v>56</v>
      </c>
      <c r="G58" s="8">
        <v>0.1</v>
      </c>
      <c r="H58" s="1">
        <v>730</v>
      </c>
      <c r="I58" s="1" t="s">
        <v>37</v>
      </c>
      <c r="J58" s="1"/>
      <c r="K58" s="1">
        <v>51</v>
      </c>
      <c r="L58" s="1">
        <f t="shared" si="12"/>
        <v>0</v>
      </c>
      <c r="M58" s="1"/>
      <c r="N58" s="1"/>
      <c r="O58" s="1">
        <v>0</v>
      </c>
      <c r="P58" s="1"/>
      <c r="Q58" s="1">
        <f t="shared" si="3"/>
        <v>10.199999999999999</v>
      </c>
      <c r="R58" s="5">
        <f t="shared" ref="R58:R69" si="15">11*Q58-P58-O58-F58</f>
        <v>56.199999999999989</v>
      </c>
      <c r="S58" s="5"/>
      <c r="T58" s="1"/>
      <c r="U58" s="1">
        <f t="shared" si="5"/>
        <v>11</v>
      </c>
      <c r="V58" s="1">
        <f t="shared" si="6"/>
        <v>5.4901960784313726</v>
      </c>
      <c r="W58" s="1">
        <v>3.8</v>
      </c>
      <c r="X58" s="1">
        <v>5.6</v>
      </c>
      <c r="Y58" s="1">
        <v>7.4</v>
      </c>
      <c r="Z58" s="1">
        <v>6.2</v>
      </c>
      <c r="AA58" s="1">
        <v>6.4</v>
      </c>
      <c r="AB58" s="1">
        <v>3</v>
      </c>
      <c r="AC58" s="1">
        <v>3</v>
      </c>
      <c r="AD58" s="1">
        <v>5.4</v>
      </c>
      <c r="AE58" s="1"/>
      <c r="AF58" s="1">
        <f>G58*R58</f>
        <v>5.6199999999999992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102</v>
      </c>
      <c r="B59" s="1" t="s">
        <v>36</v>
      </c>
      <c r="C59" s="1">
        <v>71.251999999999995</v>
      </c>
      <c r="D59" s="1">
        <v>414.69200000000001</v>
      </c>
      <c r="E59" s="1">
        <v>192.02799999999999</v>
      </c>
      <c r="F59" s="1">
        <v>173.23400000000001</v>
      </c>
      <c r="G59" s="8">
        <v>1</v>
      </c>
      <c r="H59" s="1">
        <v>50</v>
      </c>
      <c r="I59" s="1" t="s">
        <v>37</v>
      </c>
      <c r="J59" s="1"/>
      <c r="K59" s="1">
        <v>216.1</v>
      </c>
      <c r="L59" s="1">
        <f t="shared" si="12"/>
        <v>-24.072000000000003</v>
      </c>
      <c r="M59" s="1"/>
      <c r="N59" s="1"/>
      <c r="O59" s="1">
        <v>162.76750000000001</v>
      </c>
      <c r="P59" s="1">
        <v>162.76750000000001</v>
      </c>
      <c r="Q59" s="1">
        <f t="shared" si="3"/>
        <v>38.4056</v>
      </c>
      <c r="R59" s="5"/>
      <c r="S59" s="5"/>
      <c r="T59" s="1"/>
      <c r="U59" s="1">
        <f t="shared" si="5"/>
        <v>12.986882121357302</v>
      </c>
      <c r="V59" s="1">
        <f t="shared" si="6"/>
        <v>12.986882121357302</v>
      </c>
      <c r="W59" s="1">
        <v>41.643000000000001</v>
      </c>
      <c r="X59" s="1">
        <v>35.771599999999999</v>
      </c>
      <c r="Y59" s="1">
        <v>36.772599999999997</v>
      </c>
      <c r="Z59" s="1">
        <v>32.881799999999998</v>
      </c>
      <c r="AA59" s="1">
        <v>30.616399999999999</v>
      </c>
      <c r="AB59" s="1">
        <v>26.2258</v>
      </c>
      <c r="AC59" s="1">
        <v>21.907599999999999</v>
      </c>
      <c r="AD59" s="1">
        <v>32.782200000000003</v>
      </c>
      <c r="AE59" s="1"/>
      <c r="AF59" s="1">
        <f>G59*R59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103</v>
      </c>
      <c r="B60" s="1" t="s">
        <v>36</v>
      </c>
      <c r="C60" s="1">
        <v>13.847</v>
      </c>
      <c r="D60" s="1">
        <v>180.44300000000001</v>
      </c>
      <c r="E60" s="1">
        <v>35.122</v>
      </c>
      <c r="F60" s="1">
        <v>128.05500000000001</v>
      </c>
      <c r="G60" s="8">
        <v>1</v>
      </c>
      <c r="H60" s="1">
        <v>50</v>
      </c>
      <c r="I60" s="1" t="s">
        <v>37</v>
      </c>
      <c r="J60" s="1"/>
      <c r="K60" s="1">
        <v>61.6</v>
      </c>
      <c r="L60" s="1">
        <f t="shared" si="12"/>
        <v>-26.478000000000002</v>
      </c>
      <c r="M60" s="1"/>
      <c r="N60" s="1"/>
      <c r="O60" s="1">
        <v>0</v>
      </c>
      <c r="P60" s="1"/>
      <c r="Q60" s="1">
        <f t="shared" si="3"/>
        <v>7.0244</v>
      </c>
      <c r="R60" s="5"/>
      <c r="S60" s="5"/>
      <c r="T60" s="1"/>
      <c r="U60" s="1">
        <f t="shared" si="5"/>
        <v>18.230026763851718</v>
      </c>
      <c r="V60" s="1">
        <f t="shared" si="6"/>
        <v>18.230026763851718</v>
      </c>
      <c r="W60" s="1">
        <v>6.891</v>
      </c>
      <c r="X60" s="1">
        <v>10.807600000000001</v>
      </c>
      <c r="Y60" s="1">
        <v>11.3232</v>
      </c>
      <c r="Z60" s="1">
        <v>6.4828000000000001</v>
      </c>
      <c r="AA60" s="1">
        <v>4.8945999999999996</v>
      </c>
      <c r="AB60" s="1">
        <v>7.6365999999999996</v>
      </c>
      <c r="AC60" s="1">
        <v>9.8180000000000014</v>
      </c>
      <c r="AD60" s="1">
        <v>6.6341999999999999</v>
      </c>
      <c r="AE60" s="1"/>
      <c r="AF60" s="1">
        <f>G60*R60</f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104</v>
      </c>
      <c r="B61" s="1" t="s">
        <v>42</v>
      </c>
      <c r="C61" s="1">
        <v>27</v>
      </c>
      <c r="D61" s="1">
        <v>100</v>
      </c>
      <c r="E61" s="1">
        <v>35</v>
      </c>
      <c r="F61" s="1">
        <v>92</v>
      </c>
      <c r="G61" s="8">
        <v>0.1</v>
      </c>
      <c r="H61" s="1">
        <v>730</v>
      </c>
      <c r="I61" s="1" t="s">
        <v>37</v>
      </c>
      <c r="J61" s="1"/>
      <c r="K61" s="1">
        <v>36</v>
      </c>
      <c r="L61" s="1">
        <f t="shared" si="12"/>
        <v>-1</v>
      </c>
      <c r="M61" s="1"/>
      <c r="N61" s="1"/>
      <c r="O61" s="1">
        <v>0</v>
      </c>
      <c r="P61" s="1"/>
      <c r="Q61" s="1">
        <f t="shared" si="3"/>
        <v>7</v>
      </c>
      <c r="R61" s="5"/>
      <c r="S61" s="5"/>
      <c r="T61" s="1"/>
      <c r="U61" s="1">
        <f t="shared" si="5"/>
        <v>13.142857142857142</v>
      </c>
      <c r="V61" s="1">
        <f t="shared" si="6"/>
        <v>13.142857142857142</v>
      </c>
      <c r="W61" s="1">
        <v>3</v>
      </c>
      <c r="X61" s="1">
        <v>6.4</v>
      </c>
      <c r="Y61" s="1">
        <v>8.1999999999999993</v>
      </c>
      <c r="Z61" s="1">
        <v>4</v>
      </c>
      <c r="AA61" s="1">
        <v>4.2</v>
      </c>
      <c r="AB61" s="1">
        <v>4.2</v>
      </c>
      <c r="AC61" s="1">
        <v>4.2</v>
      </c>
      <c r="AD61" s="1">
        <v>6</v>
      </c>
      <c r="AE61" s="1"/>
      <c r="AF61" s="1">
        <f>G61*R61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105</v>
      </c>
      <c r="B62" s="1" t="s">
        <v>42</v>
      </c>
      <c r="C62" s="1">
        <v>25</v>
      </c>
      <c r="D62" s="1">
        <v>129</v>
      </c>
      <c r="E62" s="1">
        <v>17</v>
      </c>
      <c r="F62" s="1">
        <v>100</v>
      </c>
      <c r="G62" s="8">
        <v>0.4</v>
      </c>
      <c r="H62" s="1">
        <v>50</v>
      </c>
      <c r="I62" s="1" t="s">
        <v>37</v>
      </c>
      <c r="J62" s="1"/>
      <c r="K62" s="1">
        <v>72</v>
      </c>
      <c r="L62" s="1">
        <f t="shared" si="12"/>
        <v>-55</v>
      </c>
      <c r="M62" s="1"/>
      <c r="N62" s="1"/>
      <c r="O62" s="1">
        <v>0</v>
      </c>
      <c r="P62" s="1"/>
      <c r="Q62" s="1">
        <f t="shared" si="3"/>
        <v>3.4</v>
      </c>
      <c r="R62" s="5"/>
      <c r="S62" s="5"/>
      <c r="T62" s="1"/>
      <c r="U62" s="1">
        <f t="shared" si="5"/>
        <v>29.411764705882355</v>
      </c>
      <c r="V62" s="1">
        <f t="shared" si="6"/>
        <v>29.411764705882355</v>
      </c>
      <c r="W62" s="1">
        <v>5.8</v>
      </c>
      <c r="X62" s="1">
        <v>8.4</v>
      </c>
      <c r="Y62" s="1">
        <v>12.4</v>
      </c>
      <c r="Z62" s="1">
        <v>5</v>
      </c>
      <c r="AA62" s="1">
        <v>3.8</v>
      </c>
      <c r="AB62" s="1">
        <v>9.4</v>
      </c>
      <c r="AC62" s="1">
        <v>8.4</v>
      </c>
      <c r="AD62" s="1">
        <v>9.8000000000000007</v>
      </c>
      <c r="AE62" s="23" t="s">
        <v>149</v>
      </c>
      <c r="AF62" s="1">
        <f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106</v>
      </c>
      <c r="B63" s="1" t="s">
        <v>36</v>
      </c>
      <c r="C63" s="1">
        <v>6.2329999999999997</v>
      </c>
      <c r="D63" s="1">
        <v>185.68199999999999</v>
      </c>
      <c r="E63" s="1">
        <v>99.974000000000004</v>
      </c>
      <c r="F63" s="1">
        <v>48.106999999999999</v>
      </c>
      <c r="G63" s="8">
        <v>1</v>
      </c>
      <c r="H63" s="1">
        <v>40</v>
      </c>
      <c r="I63" s="1" t="s">
        <v>37</v>
      </c>
      <c r="J63" s="1"/>
      <c r="K63" s="1">
        <v>133.6</v>
      </c>
      <c r="L63" s="1">
        <f t="shared" si="12"/>
        <v>-33.625999999999991</v>
      </c>
      <c r="M63" s="1"/>
      <c r="N63" s="1"/>
      <c r="O63" s="1">
        <v>0</v>
      </c>
      <c r="P63" s="1"/>
      <c r="Q63" s="1">
        <f t="shared" si="3"/>
        <v>19.994800000000001</v>
      </c>
      <c r="R63" s="5">
        <f>8*Q63-P63-O63-F63</f>
        <v>111.85140000000001</v>
      </c>
      <c r="S63" s="5"/>
      <c r="T63" s="1"/>
      <c r="U63" s="1">
        <f t="shared" si="5"/>
        <v>8</v>
      </c>
      <c r="V63" s="1">
        <f t="shared" si="6"/>
        <v>2.4059755536439473</v>
      </c>
      <c r="W63" s="1">
        <v>9.3117999999999999</v>
      </c>
      <c r="X63" s="1">
        <v>15.613799999999999</v>
      </c>
      <c r="Y63" s="1">
        <v>1.1060000000000001</v>
      </c>
      <c r="Z63" s="1">
        <v>5.3941999999999997</v>
      </c>
      <c r="AA63" s="1">
        <v>11.5876</v>
      </c>
      <c r="AB63" s="1">
        <v>10.593999999999999</v>
      </c>
      <c r="AC63" s="1">
        <v>4.4005999999999998</v>
      </c>
      <c r="AD63" s="1">
        <v>0</v>
      </c>
      <c r="AE63" s="1"/>
      <c r="AF63" s="1">
        <f>G63*R63</f>
        <v>111.85140000000001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107</v>
      </c>
      <c r="B64" s="1" t="s">
        <v>36</v>
      </c>
      <c r="C64" s="1">
        <v>17.151</v>
      </c>
      <c r="D64" s="1">
        <v>96.287999999999997</v>
      </c>
      <c r="E64" s="1">
        <v>15.974</v>
      </c>
      <c r="F64" s="1">
        <v>88.141000000000005</v>
      </c>
      <c r="G64" s="8">
        <v>1</v>
      </c>
      <c r="H64" s="1">
        <v>40</v>
      </c>
      <c r="I64" s="1" t="s">
        <v>37</v>
      </c>
      <c r="J64" s="1"/>
      <c r="K64" s="1">
        <v>17.399999999999999</v>
      </c>
      <c r="L64" s="1">
        <f t="shared" si="12"/>
        <v>-1.4259999999999984</v>
      </c>
      <c r="M64" s="1"/>
      <c r="N64" s="1"/>
      <c r="O64" s="1">
        <v>0</v>
      </c>
      <c r="P64" s="1"/>
      <c r="Q64" s="1">
        <f t="shared" si="3"/>
        <v>3.1947999999999999</v>
      </c>
      <c r="R64" s="5"/>
      <c r="S64" s="5"/>
      <c r="T64" s="1"/>
      <c r="U64" s="1">
        <f t="shared" si="5"/>
        <v>27.588894453486919</v>
      </c>
      <c r="V64" s="1">
        <f t="shared" si="6"/>
        <v>27.588894453486919</v>
      </c>
      <c r="W64" s="1">
        <v>1.8586</v>
      </c>
      <c r="X64" s="1">
        <v>8.3574000000000002</v>
      </c>
      <c r="Y64" s="1">
        <v>10.234</v>
      </c>
      <c r="Z64" s="1">
        <v>3.2046000000000001</v>
      </c>
      <c r="AA64" s="1">
        <v>1.6073999999999999</v>
      </c>
      <c r="AB64" s="1">
        <v>5.4567999999999994</v>
      </c>
      <c r="AC64" s="1">
        <v>4.6482000000000001</v>
      </c>
      <c r="AD64" s="1">
        <v>1.6592</v>
      </c>
      <c r="AE64" s="23" t="s">
        <v>149</v>
      </c>
      <c r="AF64" s="1">
        <f>G64*R64</f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108</v>
      </c>
      <c r="B65" s="1" t="s">
        <v>42</v>
      </c>
      <c r="C65" s="1">
        <v>279</v>
      </c>
      <c r="D65" s="1">
        <v>840</v>
      </c>
      <c r="E65" s="1">
        <v>417</v>
      </c>
      <c r="F65" s="1">
        <v>331</v>
      </c>
      <c r="G65" s="8">
        <v>0.4</v>
      </c>
      <c r="H65" s="1">
        <v>40</v>
      </c>
      <c r="I65" s="1" t="s">
        <v>37</v>
      </c>
      <c r="J65" s="1"/>
      <c r="K65" s="1">
        <v>423</v>
      </c>
      <c r="L65" s="1">
        <f t="shared" si="12"/>
        <v>-6</v>
      </c>
      <c r="M65" s="1"/>
      <c r="N65" s="1"/>
      <c r="O65" s="1">
        <v>162.5000000000002</v>
      </c>
      <c r="P65" s="1">
        <v>162.5000000000002</v>
      </c>
      <c r="Q65" s="1">
        <f t="shared" si="3"/>
        <v>83.4</v>
      </c>
      <c r="R65" s="5">
        <f t="shared" si="15"/>
        <v>261.39999999999964</v>
      </c>
      <c r="S65" s="5"/>
      <c r="T65" s="1"/>
      <c r="U65" s="1">
        <f t="shared" si="5"/>
        <v>11</v>
      </c>
      <c r="V65" s="1">
        <f t="shared" si="6"/>
        <v>7.8657074340527631</v>
      </c>
      <c r="W65" s="1">
        <v>65.8</v>
      </c>
      <c r="X65" s="1">
        <v>79.599999999999994</v>
      </c>
      <c r="Y65" s="1">
        <v>68.599999999999994</v>
      </c>
      <c r="Z65" s="1">
        <v>74</v>
      </c>
      <c r="AA65" s="1">
        <v>77.2</v>
      </c>
      <c r="AB65" s="1">
        <v>81.599999999999994</v>
      </c>
      <c r="AC65" s="1">
        <v>71.8</v>
      </c>
      <c r="AD65" s="1">
        <v>73.599999999999994</v>
      </c>
      <c r="AE65" s="1"/>
      <c r="AF65" s="1">
        <f>G65*R65</f>
        <v>104.55999999999986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42</v>
      </c>
      <c r="C66" s="1">
        <v>133</v>
      </c>
      <c r="D66" s="1">
        <v>1053</v>
      </c>
      <c r="E66" s="1">
        <v>375</v>
      </c>
      <c r="F66" s="1">
        <v>499</v>
      </c>
      <c r="G66" s="8">
        <v>0.4</v>
      </c>
      <c r="H66" s="1">
        <v>40</v>
      </c>
      <c r="I66" s="1" t="s">
        <v>37</v>
      </c>
      <c r="J66" s="1"/>
      <c r="K66" s="1">
        <v>388</v>
      </c>
      <c r="L66" s="1">
        <f t="shared" si="12"/>
        <v>-13</v>
      </c>
      <c r="M66" s="1"/>
      <c r="N66" s="1"/>
      <c r="O66" s="1">
        <v>0</v>
      </c>
      <c r="P66" s="1"/>
      <c r="Q66" s="1">
        <f t="shared" si="3"/>
        <v>75</v>
      </c>
      <c r="R66" s="5">
        <f t="shared" si="15"/>
        <v>326</v>
      </c>
      <c r="S66" s="5"/>
      <c r="T66" s="1"/>
      <c r="U66" s="1">
        <f t="shared" si="5"/>
        <v>11</v>
      </c>
      <c r="V66" s="1">
        <f t="shared" si="6"/>
        <v>6.6533333333333333</v>
      </c>
      <c r="W66" s="1">
        <v>39.200000000000003</v>
      </c>
      <c r="X66" s="1">
        <v>83.8</v>
      </c>
      <c r="Y66" s="1">
        <v>64.2</v>
      </c>
      <c r="Z66" s="1">
        <v>55.6</v>
      </c>
      <c r="AA66" s="1">
        <v>55</v>
      </c>
      <c r="AB66" s="1">
        <v>55</v>
      </c>
      <c r="AC66" s="1">
        <v>54</v>
      </c>
      <c r="AD66" s="1">
        <v>53</v>
      </c>
      <c r="AE66" s="1" t="s">
        <v>39</v>
      </c>
      <c r="AF66" s="1">
        <f>G66*R66</f>
        <v>130.4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110</v>
      </c>
      <c r="B67" s="1" t="s">
        <v>36</v>
      </c>
      <c r="C67" s="1">
        <v>165.09100000000001</v>
      </c>
      <c r="D67" s="1">
        <v>303.22399999999999</v>
      </c>
      <c r="E67" s="1">
        <v>290.959</v>
      </c>
      <c r="F67" s="1">
        <v>95.122</v>
      </c>
      <c r="G67" s="8">
        <v>1</v>
      </c>
      <c r="H67" s="1">
        <v>40</v>
      </c>
      <c r="I67" s="1" t="s">
        <v>37</v>
      </c>
      <c r="J67" s="1"/>
      <c r="K67" s="1">
        <v>264</v>
      </c>
      <c r="L67" s="1">
        <f t="shared" si="12"/>
        <v>26.959000000000003</v>
      </c>
      <c r="M67" s="1"/>
      <c r="N67" s="1"/>
      <c r="O67" s="1">
        <v>160.15240000000011</v>
      </c>
      <c r="P67" s="1">
        <v>160.15240000000011</v>
      </c>
      <c r="Q67" s="1">
        <f t="shared" si="3"/>
        <v>58.191800000000001</v>
      </c>
      <c r="R67" s="5">
        <f t="shared" si="15"/>
        <v>224.68299999999971</v>
      </c>
      <c r="S67" s="5"/>
      <c r="T67" s="1"/>
      <c r="U67" s="1">
        <f t="shared" si="5"/>
        <v>10.999999999999998</v>
      </c>
      <c r="V67" s="1">
        <f t="shared" si="6"/>
        <v>7.1389233534621761</v>
      </c>
      <c r="W67" s="1">
        <v>43.218000000000004</v>
      </c>
      <c r="X67" s="1">
        <v>41.256999999999998</v>
      </c>
      <c r="Y67" s="1">
        <v>33.469000000000001</v>
      </c>
      <c r="Z67" s="1">
        <v>39.264600000000002</v>
      </c>
      <c r="AA67" s="1">
        <v>38.571399999999997</v>
      </c>
      <c r="AB67" s="1">
        <v>30.079000000000001</v>
      </c>
      <c r="AC67" s="1">
        <v>28.5932</v>
      </c>
      <c r="AD67" s="1">
        <v>33.534999999999997</v>
      </c>
      <c r="AE67" s="1"/>
      <c r="AF67" s="1">
        <f>G67*R67</f>
        <v>224.68299999999971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36</v>
      </c>
      <c r="C68" s="1">
        <v>165.934</v>
      </c>
      <c r="D68" s="1">
        <v>317.60000000000002</v>
      </c>
      <c r="E68" s="1">
        <v>263.26600000000002</v>
      </c>
      <c r="F68" s="1">
        <v>80.100999999999999</v>
      </c>
      <c r="G68" s="8">
        <v>1</v>
      </c>
      <c r="H68" s="1">
        <v>40</v>
      </c>
      <c r="I68" s="1" t="s">
        <v>37</v>
      </c>
      <c r="J68" s="1"/>
      <c r="K68" s="1">
        <v>237.601</v>
      </c>
      <c r="L68" s="1">
        <f t="shared" si="12"/>
        <v>25.66500000000002</v>
      </c>
      <c r="M68" s="1"/>
      <c r="N68" s="1"/>
      <c r="O68" s="1">
        <v>177.1114</v>
      </c>
      <c r="P68" s="1">
        <v>177.1114</v>
      </c>
      <c r="Q68" s="1">
        <f t="shared" si="3"/>
        <v>52.653200000000005</v>
      </c>
      <c r="R68" s="5">
        <f t="shared" si="15"/>
        <v>144.8614</v>
      </c>
      <c r="S68" s="5"/>
      <c r="T68" s="1"/>
      <c r="U68" s="1">
        <f t="shared" si="5"/>
        <v>10.999999999999998</v>
      </c>
      <c r="V68" s="1">
        <f t="shared" si="6"/>
        <v>8.2487636079098703</v>
      </c>
      <c r="W68" s="1">
        <v>47.058199999999999</v>
      </c>
      <c r="X68" s="1">
        <v>39.851399999999998</v>
      </c>
      <c r="Y68" s="1">
        <v>34.515599999999999</v>
      </c>
      <c r="Z68" s="1">
        <v>40.766800000000003</v>
      </c>
      <c r="AA68" s="1">
        <v>41.4636</v>
      </c>
      <c r="AB68" s="1">
        <v>34.110199999999999</v>
      </c>
      <c r="AC68" s="1">
        <v>30.884</v>
      </c>
      <c r="AD68" s="1">
        <v>34.429199999999987</v>
      </c>
      <c r="AE68" s="1"/>
      <c r="AF68" s="1">
        <f>G68*R68</f>
        <v>144.8614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112</v>
      </c>
      <c r="B69" s="1" t="s">
        <v>36</v>
      </c>
      <c r="C69" s="1">
        <v>294.98899999999998</v>
      </c>
      <c r="D69" s="1">
        <v>548.70500000000004</v>
      </c>
      <c r="E69" s="1">
        <v>318.60899999999998</v>
      </c>
      <c r="F69" s="1">
        <v>63.686</v>
      </c>
      <c r="G69" s="8">
        <v>1</v>
      </c>
      <c r="H69" s="1">
        <v>40</v>
      </c>
      <c r="I69" s="1" t="s">
        <v>37</v>
      </c>
      <c r="J69" s="1"/>
      <c r="K69" s="1">
        <v>294</v>
      </c>
      <c r="L69" s="1">
        <f t="shared" si="12"/>
        <v>24.60899999999998</v>
      </c>
      <c r="M69" s="1"/>
      <c r="N69" s="1"/>
      <c r="O69" s="1">
        <v>522.87520000000006</v>
      </c>
      <c r="P69" s="1">
        <v>522.87520000000006</v>
      </c>
      <c r="Q69" s="1">
        <f t="shared" si="3"/>
        <v>63.721799999999995</v>
      </c>
      <c r="R69" s="5"/>
      <c r="S69" s="5"/>
      <c r="T69" s="1"/>
      <c r="U69" s="1">
        <f t="shared" si="5"/>
        <v>17.410625562994142</v>
      </c>
      <c r="V69" s="1">
        <f t="shared" si="6"/>
        <v>17.410625562994142</v>
      </c>
      <c r="W69" s="1">
        <v>127.86360000000001</v>
      </c>
      <c r="X69" s="1">
        <v>42.148200000000003</v>
      </c>
      <c r="Y69" s="1">
        <v>70.266999999999996</v>
      </c>
      <c r="Z69" s="1">
        <v>82.022000000000006</v>
      </c>
      <c r="AA69" s="1">
        <v>66.065799999999996</v>
      </c>
      <c r="AB69" s="1">
        <v>55.956800000000001</v>
      </c>
      <c r="AC69" s="1">
        <v>56.508200000000002</v>
      </c>
      <c r="AD69" s="1">
        <v>69.138599999999997</v>
      </c>
      <c r="AE69" s="1"/>
      <c r="AF69" s="1">
        <f>G69*R69</f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8" t="s">
        <v>113</v>
      </c>
      <c r="B70" s="18" t="s">
        <v>36</v>
      </c>
      <c r="C70" s="18"/>
      <c r="D70" s="18"/>
      <c r="E70" s="18"/>
      <c r="F70" s="18"/>
      <c r="G70" s="19">
        <v>0</v>
      </c>
      <c r="H70" s="18">
        <v>30</v>
      </c>
      <c r="I70" s="18" t="s">
        <v>37</v>
      </c>
      <c r="J70" s="18"/>
      <c r="K70" s="18"/>
      <c r="L70" s="18">
        <f t="shared" ref="L70:L99" si="16">E70-K70</f>
        <v>0</v>
      </c>
      <c r="M70" s="18"/>
      <c r="N70" s="18"/>
      <c r="O70" s="18">
        <v>0</v>
      </c>
      <c r="P70" s="18"/>
      <c r="Q70" s="18">
        <f t="shared" si="3"/>
        <v>0</v>
      </c>
      <c r="R70" s="20"/>
      <c r="S70" s="20"/>
      <c r="T70" s="18"/>
      <c r="U70" s="18" t="e">
        <f t="shared" si="5"/>
        <v>#DIV/0!</v>
      </c>
      <c r="V70" s="18" t="e">
        <f t="shared" si="6"/>
        <v>#DIV/0!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 t="s">
        <v>64</v>
      </c>
      <c r="AF70" s="18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114</v>
      </c>
      <c r="B71" s="1" t="s">
        <v>42</v>
      </c>
      <c r="C71" s="1">
        <v>-0.879</v>
      </c>
      <c r="D71" s="1">
        <v>57.878999999999998</v>
      </c>
      <c r="E71" s="1">
        <v>2</v>
      </c>
      <c r="F71" s="1">
        <v>46</v>
      </c>
      <c r="G71" s="8">
        <v>0.6</v>
      </c>
      <c r="H71" s="1">
        <v>60</v>
      </c>
      <c r="I71" s="13" t="s">
        <v>76</v>
      </c>
      <c r="J71" s="1"/>
      <c r="K71" s="1">
        <v>2</v>
      </c>
      <c r="L71" s="1">
        <f t="shared" si="16"/>
        <v>0</v>
      </c>
      <c r="M71" s="1"/>
      <c r="N71" s="1"/>
      <c r="O71" s="1">
        <v>0</v>
      </c>
      <c r="P71" s="1"/>
      <c r="Q71" s="1">
        <f t="shared" ref="Q71:Q99" si="17">E71/5</f>
        <v>0.4</v>
      </c>
      <c r="R71" s="5"/>
      <c r="S71" s="5"/>
      <c r="T71" s="1"/>
      <c r="U71" s="1">
        <f t="shared" ref="U71:U99" si="18">(F71+O71+P71+R71)/Q71</f>
        <v>115</v>
      </c>
      <c r="V71" s="1">
        <f t="shared" ref="V71:V99" si="19">(F71+O71+P71)/Q71</f>
        <v>115</v>
      </c>
      <c r="W71" s="1">
        <v>2.2000000000000002</v>
      </c>
      <c r="X71" s="1">
        <v>17.8</v>
      </c>
      <c r="Y71" s="1">
        <v>3.8</v>
      </c>
      <c r="Z71" s="1">
        <v>0.97579999999999989</v>
      </c>
      <c r="AA71" s="1">
        <v>2.1758000000000002</v>
      </c>
      <c r="AB71" s="1">
        <v>1.2</v>
      </c>
      <c r="AC71" s="1">
        <v>0.2</v>
      </c>
      <c r="AD71" s="1">
        <v>0.6</v>
      </c>
      <c r="AE71" s="1"/>
      <c r="AF71" s="1">
        <f>G71*R71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115</v>
      </c>
      <c r="B72" s="1" t="s">
        <v>42</v>
      </c>
      <c r="C72" s="1">
        <v>64</v>
      </c>
      <c r="D72" s="1">
        <v>16</v>
      </c>
      <c r="E72" s="1">
        <v>41</v>
      </c>
      <c r="F72" s="1">
        <v>31</v>
      </c>
      <c r="G72" s="8">
        <v>0.6</v>
      </c>
      <c r="H72" s="1">
        <v>60</v>
      </c>
      <c r="I72" s="1" t="s">
        <v>37</v>
      </c>
      <c r="J72" s="1"/>
      <c r="K72" s="1">
        <v>37</v>
      </c>
      <c r="L72" s="1">
        <f t="shared" si="16"/>
        <v>4</v>
      </c>
      <c r="M72" s="1"/>
      <c r="N72" s="1"/>
      <c r="O72" s="1">
        <v>24.6</v>
      </c>
      <c r="P72" s="1"/>
      <c r="Q72" s="1">
        <f t="shared" si="17"/>
        <v>8.1999999999999993</v>
      </c>
      <c r="R72" s="5">
        <f t="shared" ref="R71:R73" si="20">11*Q72-P72-O72-F72</f>
        <v>34.599999999999994</v>
      </c>
      <c r="S72" s="5"/>
      <c r="T72" s="1"/>
      <c r="U72" s="1">
        <f t="shared" si="18"/>
        <v>11</v>
      </c>
      <c r="V72" s="1">
        <f t="shared" si="19"/>
        <v>6.7804878048780495</v>
      </c>
      <c r="W72" s="1">
        <v>3.4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116</v>
      </c>
      <c r="AF72" s="1">
        <f>G72*R72</f>
        <v>20.759999999999994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117</v>
      </c>
      <c r="B73" s="1" t="s">
        <v>42</v>
      </c>
      <c r="C73" s="1">
        <v>101</v>
      </c>
      <c r="D73" s="1">
        <v>39</v>
      </c>
      <c r="E73" s="1">
        <v>110</v>
      </c>
      <c r="F73" s="1">
        <v>20</v>
      </c>
      <c r="G73" s="8">
        <v>0.37</v>
      </c>
      <c r="H73" s="1">
        <v>50</v>
      </c>
      <c r="I73" s="13" t="s">
        <v>76</v>
      </c>
      <c r="J73" s="1"/>
      <c r="K73" s="1">
        <v>123</v>
      </c>
      <c r="L73" s="1">
        <f t="shared" si="16"/>
        <v>-13</v>
      </c>
      <c r="M73" s="1"/>
      <c r="N73" s="1"/>
      <c r="O73" s="1">
        <v>20.599999999999991</v>
      </c>
      <c r="P73" s="1"/>
      <c r="Q73" s="1">
        <f t="shared" si="17"/>
        <v>22</v>
      </c>
      <c r="R73" s="5">
        <f>8*Q73-P73-O73-F73</f>
        <v>135.4</v>
      </c>
      <c r="S73" s="5"/>
      <c r="T73" s="1"/>
      <c r="U73" s="1">
        <f t="shared" si="18"/>
        <v>8</v>
      </c>
      <c r="V73" s="1">
        <f t="shared" si="19"/>
        <v>1.8454545454545452</v>
      </c>
      <c r="W73" s="1">
        <v>9.4</v>
      </c>
      <c r="X73" s="1">
        <v>9.6</v>
      </c>
      <c r="Y73" s="1">
        <v>12.4</v>
      </c>
      <c r="Z73" s="1">
        <v>9.6</v>
      </c>
      <c r="AA73" s="1">
        <v>9.1999999999999993</v>
      </c>
      <c r="AB73" s="1">
        <v>7.2</v>
      </c>
      <c r="AC73" s="1">
        <v>6.4</v>
      </c>
      <c r="AD73" s="1">
        <v>12.2</v>
      </c>
      <c r="AE73" s="10" t="s">
        <v>39</v>
      </c>
      <c r="AF73" s="1">
        <f>G73*R73</f>
        <v>50.097999999999999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8" t="s">
        <v>119</v>
      </c>
      <c r="B74" s="18" t="s">
        <v>42</v>
      </c>
      <c r="C74" s="18"/>
      <c r="D74" s="18"/>
      <c r="E74" s="18"/>
      <c r="F74" s="18"/>
      <c r="G74" s="19">
        <v>0</v>
      </c>
      <c r="H74" s="18">
        <v>30</v>
      </c>
      <c r="I74" s="18" t="s">
        <v>37</v>
      </c>
      <c r="J74" s="18"/>
      <c r="K74" s="18"/>
      <c r="L74" s="18">
        <f t="shared" si="16"/>
        <v>0</v>
      </c>
      <c r="M74" s="18"/>
      <c r="N74" s="18"/>
      <c r="O74" s="18">
        <v>0</v>
      </c>
      <c r="P74" s="18"/>
      <c r="Q74" s="18">
        <f t="shared" si="17"/>
        <v>0</v>
      </c>
      <c r="R74" s="20"/>
      <c r="S74" s="20"/>
      <c r="T74" s="18"/>
      <c r="U74" s="18" t="e">
        <f t="shared" si="18"/>
        <v>#DIV/0!</v>
      </c>
      <c r="V74" s="18" t="e">
        <f t="shared" si="19"/>
        <v>#DIV/0!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 t="s">
        <v>64</v>
      </c>
      <c r="AF74" s="18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42</v>
      </c>
      <c r="C75" s="1">
        <v>19.233000000000001</v>
      </c>
      <c r="D75" s="1">
        <v>165.119</v>
      </c>
      <c r="E75" s="1">
        <v>37</v>
      </c>
      <c r="F75" s="1">
        <v>120</v>
      </c>
      <c r="G75" s="8">
        <v>0.6</v>
      </c>
      <c r="H75" s="1">
        <v>55</v>
      </c>
      <c r="I75" s="13" t="s">
        <v>76</v>
      </c>
      <c r="J75" s="1"/>
      <c r="K75" s="1">
        <v>42</v>
      </c>
      <c r="L75" s="1">
        <f t="shared" si="16"/>
        <v>-5</v>
      </c>
      <c r="M75" s="1"/>
      <c r="N75" s="1"/>
      <c r="O75" s="1">
        <v>0</v>
      </c>
      <c r="P75" s="1"/>
      <c r="Q75" s="1">
        <f t="shared" si="17"/>
        <v>7.4</v>
      </c>
      <c r="R75" s="5"/>
      <c r="S75" s="5"/>
      <c r="T75" s="1"/>
      <c r="U75" s="1">
        <f t="shared" si="18"/>
        <v>16.216216216216214</v>
      </c>
      <c r="V75" s="1">
        <f t="shared" si="19"/>
        <v>16.216216216216214</v>
      </c>
      <c r="W75" s="1">
        <v>2.4</v>
      </c>
      <c r="X75" s="1">
        <v>12.953200000000001</v>
      </c>
      <c r="Y75" s="1">
        <v>3.6</v>
      </c>
      <c r="Z75" s="1">
        <v>0.7762</v>
      </c>
      <c r="AA75" s="1">
        <v>1.5762</v>
      </c>
      <c r="AB75" s="1">
        <v>1.2</v>
      </c>
      <c r="AC75" s="1">
        <v>0.6</v>
      </c>
      <c r="AD75" s="1">
        <v>1.6</v>
      </c>
      <c r="AE75" s="1"/>
      <c r="AF75" s="1">
        <f>G75*R75</f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8" t="s">
        <v>121</v>
      </c>
      <c r="B76" s="18" t="s">
        <v>42</v>
      </c>
      <c r="C76" s="18"/>
      <c r="D76" s="18"/>
      <c r="E76" s="18"/>
      <c r="F76" s="18"/>
      <c r="G76" s="19">
        <v>0</v>
      </c>
      <c r="H76" s="18">
        <v>40</v>
      </c>
      <c r="I76" s="18" t="s">
        <v>37</v>
      </c>
      <c r="J76" s="18"/>
      <c r="K76" s="18"/>
      <c r="L76" s="18">
        <f t="shared" si="16"/>
        <v>0</v>
      </c>
      <c r="M76" s="18"/>
      <c r="N76" s="18"/>
      <c r="O76" s="18">
        <v>0</v>
      </c>
      <c r="P76" s="18"/>
      <c r="Q76" s="18">
        <f t="shared" si="17"/>
        <v>0</v>
      </c>
      <c r="R76" s="20"/>
      <c r="S76" s="20"/>
      <c r="T76" s="18"/>
      <c r="U76" s="18" t="e">
        <f t="shared" si="18"/>
        <v>#DIV/0!</v>
      </c>
      <c r="V76" s="18" t="e">
        <f t="shared" si="19"/>
        <v>#DIV/0!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 t="s">
        <v>122</v>
      </c>
      <c r="AF76" s="18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42</v>
      </c>
      <c r="C77" s="1">
        <v>21</v>
      </c>
      <c r="D77" s="1">
        <v>122</v>
      </c>
      <c r="E77" s="1">
        <v>73</v>
      </c>
      <c r="F77" s="1">
        <v>52</v>
      </c>
      <c r="G77" s="8">
        <v>0.4</v>
      </c>
      <c r="H77" s="1">
        <v>50</v>
      </c>
      <c r="I77" s="1" t="s">
        <v>37</v>
      </c>
      <c r="J77" s="1"/>
      <c r="K77" s="1">
        <v>78</v>
      </c>
      <c r="L77" s="1">
        <f t="shared" si="16"/>
        <v>-5</v>
      </c>
      <c r="M77" s="1"/>
      <c r="N77" s="1"/>
      <c r="O77" s="1">
        <v>0</v>
      </c>
      <c r="P77" s="1"/>
      <c r="Q77" s="1">
        <f t="shared" si="17"/>
        <v>14.6</v>
      </c>
      <c r="R77" s="5">
        <f>10*Q77-P77-O77-F77</f>
        <v>94</v>
      </c>
      <c r="S77" s="5"/>
      <c r="T77" s="1"/>
      <c r="U77" s="1">
        <f t="shared" si="18"/>
        <v>10</v>
      </c>
      <c r="V77" s="1">
        <f t="shared" si="19"/>
        <v>3.5616438356164384</v>
      </c>
      <c r="W77" s="1">
        <v>3.8</v>
      </c>
      <c r="X77" s="1">
        <v>10</v>
      </c>
      <c r="Y77" s="1">
        <v>6.2</v>
      </c>
      <c r="Z77" s="1">
        <v>1.6</v>
      </c>
      <c r="AA77" s="1">
        <v>0.6</v>
      </c>
      <c r="AB77" s="1">
        <v>3.4</v>
      </c>
      <c r="AC77" s="1">
        <v>3</v>
      </c>
      <c r="AD77" s="1">
        <v>9.4</v>
      </c>
      <c r="AE77" s="1"/>
      <c r="AF77" s="1">
        <f>G77*R77</f>
        <v>37.6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8" t="s">
        <v>124</v>
      </c>
      <c r="B78" s="18" t="s">
        <v>42</v>
      </c>
      <c r="C78" s="18"/>
      <c r="D78" s="18"/>
      <c r="E78" s="18"/>
      <c r="F78" s="18"/>
      <c r="G78" s="19">
        <v>0</v>
      </c>
      <c r="H78" s="18">
        <v>55</v>
      </c>
      <c r="I78" s="18" t="s">
        <v>37</v>
      </c>
      <c r="J78" s="18"/>
      <c r="K78" s="18"/>
      <c r="L78" s="18">
        <f t="shared" si="16"/>
        <v>0</v>
      </c>
      <c r="M78" s="18"/>
      <c r="N78" s="18"/>
      <c r="O78" s="18">
        <v>0</v>
      </c>
      <c r="P78" s="18"/>
      <c r="Q78" s="18">
        <f t="shared" si="17"/>
        <v>0</v>
      </c>
      <c r="R78" s="20"/>
      <c r="S78" s="20"/>
      <c r="T78" s="18"/>
      <c r="U78" s="18" t="e">
        <f t="shared" si="18"/>
        <v>#DIV/0!</v>
      </c>
      <c r="V78" s="18" t="e">
        <f t="shared" si="19"/>
        <v>#DIV/0!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 t="s">
        <v>64</v>
      </c>
      <c r="AF78" s="18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8" t="s">
        <v>125</v>
      </c>
      <c r="B79" s="18" t="s">
        <v>36</v>
      </c>
      <c r="C79" s="18"/>
      <c r="D79" s="18"/>
      <c r="E79" s="18"/>
      <c r="F79" s="18"/>
      <c r="G79" s="19">
        <v>0</v>
      </c>
      <c r="H79" s="18">
        <v>55</v>
      </c>
      <c r="I79" s="18" t="s">
        <v>37</v>
      </c>
      <c r="J79" s="18"/>
      <c r="K79" s="18"/>
      <c r="L79" s="18">
        <f t="shared" si="16"/>
        <v>0</v>
      </c>
      <c r="M79" s="18"/>
      <c r="N79" s="18"/>
      <c r="O79" s="18">
        <v>0</v>
      </c>
      <c r="P79" s="18"/>
      <c r="Q79" s="18">
        <f t="shared" si="17"/>
        <v>0</v>
      </c>
      <c r="R79" s="20"/>
      <c r="S79" s="20"/>
      <c r="T79" s="18"/>
      <c r="U79" s="18" t="e">
        <f t="shared" si="18"/>
        <v>#DIV/0!</v>
      </c>
      <c r="V79" s="18" t="e">
        <f t="shared" si="19"/>
        <v>#DIV/0!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 t="s">
        <v>126</v>
      </c>
      <c r="AF79" s="18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127</v>
      </c>
      <c r="B80" s="1" t="s">
        <v>36</v>
      </c>
      <c r="C80" s="1">
        <v>96.915999999999997</v>
      </c>
      <c r="D80" s="1">
        <v>303.15800000000002</v>
      </c>
      <c r="E80" s="1">
        <v>150.75399999999999</v>
      </c>
      <c r="F80" s="1">
        <v>142.685</v>
      </c>
      <c r="G80" s="8">
        <v>1</v>
      </c>
      <c r="H80" s="1">
        <v>60</v>
      </c>
      <c r="I80" s="1" t="s">
        <v>37</v>
      </c>
      <c r="J80" s="1"/>
      <c r="K80" s="1">
        <v>167.1</v>
      </c>
      <c r="L80" s="1">
        <f t="shared" si="16"/>
        <v>-16.346000000000004</v>
      </c>
      <c r="M80" s="1"/>
      <c r="N80" s="1"/>
      <c r="O80" s="1">
        <v>17.592599999999951</v>
      </c>
      <c r="P80" s="1"/>
      <c r="Q80" s="1">
        <f t="shared" si="17"/>
        <v>30.150799999999997</v>
      </c>
      <c r="R80" s="5">
        <f t="shared" ref="R80:R83" si="21">11*Q80-P80-O80-F80</f>
        <v>171.38120000000004</v>
      </c>
      <c r="S80" s="5"/>
      <c r="T80" s="1"/>
      <c r="U80" s="1">
        <f t="shared" si="18"/>
        <v>11</v>
      </c>
      <c r="V80" s="1">
        <f t="shared" si="19"/>
        <v>5.3158655823394394</v>
      </c>
      <c r="W80" s="1">
        <v>19.381</v>
      </c>
      <c r="X80" s="1">
        <v>25.3506</v>
      </c>
      <c r="Y80" s="1">
        <v>19.732399999999998</v>
      </c>
      <c r="Z80" s="1">
        <v>19.7456</v>
      </c>
      <c r="AA80" s="1">
        <v>22.788799999999998</v>
      </c>
      <c r="AB80" s="1">
        <v>24.499400000000001</v>
      </c>
      <c r="AC80" s="1">
        <v>21.687000000000001</v>
      </c>
      <c r="AD80" s="1">
        <v>12.8858</v>
      </c>
      <c r="AE80" s="1" t="s">
        <v>49</v>
      </c>
      <c r="AF80" s="1">
        <f>G80*R80</f>
        <v>171.38120000000004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58</v>
      </c>
      <c r="B81" s="1" t="s">
        <v>36</v>
      </c>
      <c r="C81" s="1">
        <v>411.92899999999997</v>
      </c>
      <c r="D81" s="1">
        <v>1546.211</v>
      </c>
      <c r="E81" s="1">
        <v>660.22400000000005</v>
      </c>
      <c r="F81" s="1">
        <v>757.65499999999997</v>
      </c>
      <c r="G81" s="8">
        <v>1</v>
      </c>
      <c r="H81" s="1">
        <v>60</v>
      </c>
      <c r="I81" s="1" t="s">
        <v>37</v>
      </c>
      <c r="J81" s="1"/>
      <c r="K81" s="1">
        <v>653</v>
      </c>
      <c r="L81" s="1">
        <f t="shared" si="16"/>
        <v>7.2240000000000464</v>
      </c>
      <c r="M81" s="1"/>
      <c r="N81" s="1"/>
      <c r="O81" s="1">
        <v>193.95634999999999</v>
      </c>
      <c r="P81" s="1">
        <v>193.95634999999999</v>
      </c>
      <c r="Q81" s="1">
        <f t="shared" si="17"/>
        <v>132.04480000000001</v>
      </c>
      <c r="R81" s="5">
        <f t="shared" si="21"/>
        <v>306.92510000000016</v>
      </c>
      <c r="S81" s="5"/>
      <c r="T81" s="1"/>
      <c r="U81" s="1">
        <f t="shared" si="18"/>
        <v>11</v>
      </c>
      <c r="V81" s="1">
        <f t="shared" si="19"/>
        <v>8.6755987361865046</v>
      </c>
      <c r="W81" s="1">
        <v>98.457399999999993</v>
      </c>
      <c r="X81" s="1">
        <v>111.7734</v>
      </c>
      <c r="Y81" s="1">
        <v>108.4014</v>
      </c>
      <c r="Z81" s="1">
        <v>93.259799999999998</v>
      </c>
      <c r="AA81" s="1">
        <v>95.246000000000009</v>
      </c>
      <c r="AB81" s="1">
        <v>97.384600000000006</v>
      </c>
      <c r="AC81" s="1">
        <v>126.3728</v>
      </c>
      <c r="AD81" s="1">
        <v>133.16720000000001</v>
      </c>
      <c r="AE81" s="1"/>
      <c r="AF81" s="1">
        <f>G81*R81</f>
        <v>306.92510000000016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36</v>
      </c>
      <c r="C82" s="1">
        <v>274.58699999999999</v>
      </c>
      <c r="D82" s="1">
        <v>1121.155</v>
      </c>
      <c r="E82" s="1">
        <v>725.64099999999996</v>
      </c>
      <c r="F82" s="1">
        <v>266.54199999999997</v>
      </c>
      <c r="G82" s="8">
        <v>1</v>
      </c>
      <c r="H82" s="1">
        <v>60</v>
      </c>
      <c r="I82" s="1" t="s">
        <v>37</v>
      </c>
      <c r="J82" s="1"/>
      <c r="K82" s="1">
        <v>859.5</v>
      </c>
      <c r="L82" s="1">
        <f t="shared" si="16"/>
        <v>-133.85900000000004</v>
      </c>
      <c r="M82" s="1"/>
      <c r="N82" s="1"/>
      <c r="O82" s="1">
        <v>630.16200000000003</v>
      </c>
      <c r="P82" s="1">
        <v>630.16200000000003</v>
      </c>
      <c r="Q82" s="1">
        <f t="shared" si="17"/>
        <v>145.12819999999999</v>
      </c>
      <c r="R82" s="5">
        <f t="shared" si="21"/>
        <v>69.544199999999762</v>
      </c>
      <c r="S82" s="5"/>
      <c r="T82" s="1"/>
      <c r="U82" s="1">
        <f t="shared" si="18"/>
        <v>11</v>
      </c>
      <c r="V82" s="1">
        <f t="shared" si="19"/>
        <v>10.520808498968499</v>
      </c>
      <c r="W82" s="1">
        <v>136.1464</v>
      </c>
      <c r="X82" s="1">
        <v>92.448000000000008</v>
      </c>
      <c r="Y82" s="1">
        <v>96.532399999999996</v>
      </c>
      <c r="Z82" s="1">
        <v>92.557199999999995</v>
      </c>
      <c r="AA82" s="1">
        <v>91.076599999999999</v>
      </c>
      <c r="AB82" s="1">
        <v>98.073999999999998</v>
      </c>
      <c r="AC82" s="1">
        <v>113.5658</v>
      </c>
      <c r="AD82" s="1">
        <v>99.108800000000002</v>
      </c>
      <c r="AE82" s="1" t="s">
        <v>49</v>
      </c>
      <c r="AF82" s="1">
        <f>G82*R82</f>
        <v>69.544199999999762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36</v>
      </c>
      <c r="C83" s="1">
        <v>767.25300000000004</v>
      </c>
      <c r="D83" s="1">
        <v>2621.6970000000001</v>
      </c>
      <c r="E83" s="1">
        <v>2037.077</v>
      </c>
      <c r="F83" s="1">
        <v>499.09399999999999</v>
      </c>
      <c r="G83" s="8">
        <v>1</v>
      </c>
      <c r="H83" s="1">
        <v>60</v>
      </c>
      <c r="I83" s="1" t="s">
        <v>37</v>
      </c>
      <c r="J83" s="1"/>
      <c r="K83" s="1">
        <v>2043.5</v>
      </c>
      <c r="L83" s="1">
        <f t="shared" si="16"/>
        <v>-6.4230000000000018</v>
      </c>
      <c r="M83" s="1"/>
      <c r="N83" s="1"/>
      <c r="O83" s="1">
        <v>1197.669000000001</v>
      </c>
      <c r="P83" s="1">
        <v>1197.669000000001</v>
      </c>
      <c r="Q83" s="1">
        <f t="shared" si="17"/>
        <v>407.41539999999998</v>
      </c>
      <c r="R83" s="5">
        <f t="shared" si="21"/>
        <v>1587.1373999999978</v>
      </c>
      <c r="S83" s="5"/>
      <c r="T83" s="1"/>
      <c r="U83" s="1">
        <f t="shared" si="18"/>
        <v>11.000000000000002</v>
      </c>
      <c r="V83" s="1">
        <f t="shared" si="19"/>
        <v>7.1043755341599804</v>
      </c>
      <c r="W83" s="1">
        <v>277.85980000000001</v>
      </c>
      <c r="X83" s="1">
        <v>224.4718</v>
      </c>
      <c r="Y83" s="1">
        <v>221.23580000000001</v>
      </c>
      <c r="Z83" s="1">
        <v>215.50120000000001</v>
      </c>
      <c r="AA83" s="1">
        <v>220.69839999999999</v>
      </c>
      <c r="AB83" s="1">
        <v>201.9682</v>
      </c>
      <c r="AC83" s="1">
        <v>213.62459999999999</v>
      </c>
      <c r="AD83" s="1">
        <v>207.92019999999999</v>
      </c>
      <c r="AE83" s="1" t="s">
        <v>49</v>
      </c>
      <c r="AF83" s="1">
        <f>G83*R83</f>
        <v>1587.1373999999978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8" t="s">
        <v>130</v>
      </c>
      <c r="B84" s="18" t="s">
        <v>36</v>
      </c>
      <c r="C84" s="18"/>
      <c r="D84" s="18"/>
      <c r="E84" s="18"/>
      <c r="F84" s="18"/>
      <c r="G84" s="19">
        <v>0</v>
      </c>
      <c r="H84" s="18">
        <v>60</v>
      </c>
      <c r="I84" s="18" t="s">
        <v>37</v>
      </c>
      <c r="J84" s="18"/>
      <c r="K84" s="18"/>
      <c r="L84" s="18">
        <f t="shared" si="16"/>
        <v>0</v>
      </c>
      <c r="M84" s="18"/>
      <c r="N84" s="18"/>
      <c r="O84" s="18">
        <v>0</v>
      </c>
      <c r="P84" s="18"/>
      <c r="Q84" s="18">
        <f t="shared" si="17"/>
        <v>0</v>
      </c>
      <c r="R84" s="20"/>
      <c r="S84" s="20"/>
      <c r="T84" s="18"/>
      <c r="U84" s="18" t="e">
        <f t="shared" si="18"/>
        <v>#DIV/0!</v>
      </c>
      <c r="V84" s="18" t="e">
        <f t="shared" si="19"/>
        <v>#DIV/0!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 t="s">
        <v>64</v>
      </c>
      <c r="AF84" s="18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42</v>
      </c>
      <c r="C85" s="1">
        <v>129</v>
      </c>
      <c r="D85" s="1">
        <v>127</v>
      </c>
      <c r="E85" s="1">
        <v>141</v>
      </c>
      <c r="F85" s="1">
        <v>28</v>
      </c>
      <c r="G85" s="8">
        <v>0.3</v>
      </c>
      <c r="H85" s="1">
        <v>40</v>
      </c>
      <c r="I85" s="1" t="s">
        <v>37</v>
      </c>
      <c r="J85" s="1"/>
      <c r="K85" s="1">
        <v>152</v>
      </c>
      <c r="L85" s="1">
        <f t="shared" si="16"/>
        <v>-11</v>
      </c>
      <c r="M85" s="1"/>
      <c r="N85" s="1"/>
      <c r="O85" s="1">
        <v>77.400000000000006</v>
      </c>
      <c r="P85" s="1">
        <v>77.400000000000006</v>
      </c>
      <c r="Q85" s="1">
        <f t="shared" si="17"/>
        <v>28.2</v>
      </c>
      <c r="R85" s="5">
        <f t="shared" ref="R85:R91" si="22">11*Q85-P85-O85-F85</f>
        <v>127.39999999999998</v>
      </c>
      <c r="S85" s="5"/>
      <c r="T85" s="1"/>
      <c r="U85" s="1">
        <f t="shared" si="18"/>
        <v>11</v>
      </c>
      <c r="V85" s="1">
        <f t="shared" si="19"/>
        <v>6.4822695035460995</v>
      </c>
      <c r="W85" s="1">
        <v>19.8</v>
      </c>
      <c r="X85" s="1">
        <v>19.399999999999999</v>
      </c>
      <c r="Y85" s="1">
        <v>22</v>
      </c>
      <c r="Z85" s="1">
        <v>22.2</v>
      </c>
      <c r="AA85" s="1">
        <v>18</v>
      </c>
      <c r="AB85" s="1">
        <v>20.399999999999999</v>
      </c>
      <c r="AC85" s="1">
        <v>21.8</v>
      </c>
      <c r="AD85" s="1">
        <v>13.2</v>
      </c>
      <c r="AE85" s="1"/>
      <c r="AF85" s="1">
        <f>G85*R85</f>
        <v>38.219999999999992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132</v>
      </c>
      <c r="B86" s="1" t="s">
        <v>42</v>
      </c>
      <c r="C86" s="1">
        <v>3</v>
      </c>
      <c r="D86" s="1">
        <v>85</v>
      </c>
      <c r="E86" s="1">
        <v>22</v>
      </c>
      <c r="F86" s="1">
        <v>53</v>
      </c>
      <c r="G86" s="8">
        <v>7.0000000000000007E-2</v>
      </c>
      <c r="H86" s="1">
        <v>90</v>
      </c>
      <c r="I86" s="1" t="s">
        <v>37</v>
      </c>
      <c r="J86" s="1"/>
      <c r="K86" s="1">
        <v>24</v>
      </c>
      <c r="L86" s="1">
        <f t="shared" si="16"/>
        <v>-2</v>
      </c>
      <c r="M86" s="1"/>
      <c r="N86" s="1"/>
      <c r="O86" s="1">
        <v>21</v>
      </c>
      <c r="P86" s="1">
        <v>21</v>
      </c>
      <c r="Q86" s="1">
        <f t="shared" si="17"/>
        <v>4.4000000000000004</v>
      </c>
      <c r="R86" s="5"/>
      <c r="S86" s="5"/>
      <c r="T86" s="1"/>
      <c r="U86" s="1">
        <f t="shared" si="18"/>
        <v>21.59090909090909</v>
      </c>
      <c r="V86" s="1">
        <f t="shared" si="19"/>
        <v>21.59090909090909</v>
      </c>
      <c r="W86" s="1">
        <v>6.6</v>
      </c>
      <c r="X86" s="1">
        <v>6.2</v>
      </c>
      <c r="Y86" s="1">
        <v>6</v>
      </c>
      <c r="Z86" s="1">
        <v>5.2</v>
      </c>
      <c r="AA86" s="1">
        <v>4.5999999999999996</v>
      </c>
      <c r="AB86" s="1">
        <v>3.2</v>
      </c>
      <c r="AC86" s="1">
        <v>4.2</v>
      </c>
      <c r="AD86" s="1">
        <v>5</v>
      </c>
      <c r="AE86" s="1"/>
      <c r="AF86" s="1">
        <f>G86*R86</f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133</v>
      </c>
      <c r="B87" s="1" t="s">
        <v>42</v>
      </c>
      <c r="C87" s="1">
        <v>62</v>
      </c>
      <c r="D87" s="1">
        <v>100</v>
      </c>
      <c r="E87" s="1">
        <v>61</v>
      </c>
      <c r="F87" s="1">
        <v>70</v>
      </c>
      <c r="G87" s="8">
        <v>7.0000000000000007E-2</v>
      </c>
      <c r="H87" s="1">
        <v>90</v>
      </c>
      <c r="I87" s="1" t="s">
        <v>37</v>
      </c>
      <c r="J87" s="1"/>
      <c r="K87" s="1">
        <v>61</v>
      </c>
      <c r="L87" s="1">
        <f t="shared" si="16"/>
        <v>0</v>
      </c>
      <c r="M87" s="1"/>
      <c r="N87" s="1"/>
      <c r="O87" s="1">
        <v>15.54000000000001</v>
      </c>
      <c r="P87" s="1">
        <v>15.54000000000001</v>
      </c>
      <c r="Q87" s="1">
        <f t="shared" si="17"/>
        <v>12.2</v>
      </c>
      <c r="R87" s="5">
        <f t="shared" si="22"/>
        <v>33.119999999999976</v>
      </c>
      <c r="S87" s="5"/>
      <c r="T87" s="1"/>
      <c r="U87" s="1">
        <f t="shared" si="18"/>
        <v>11</v>
      </c>
      <c r="V87" s="1">
        <f t="shared" si="19"/>
        <v>8.285245901639346</v>
      </c>
      <c r="W87" s="1">
        <v>9</v>
      </c>
      <c r="X87" s="1">
        <v>6.6</v>
      </c>
      <c r="Y87" s="1">
        <v>9.8000000000000007</v>
      </c>
      <c r="Z87" s="1">
        <v>8.6</v>
      </c>
      <c r="AA87" s="1">
        <v>5.6</v>
      </c>
      <c r="AB87" s="1">
        <v>5.6</v>
      </c>
      <c r="AC87" s="1">
        <v>5.6</v>
      </c>
      <c r="AD87" s="1">
        <v>5</v>
      </c>
      <c r="AE87" s="1"/>
      <c r="AF87" s="1">
        <f>G87*R87</f>
        <v>2.3183999999999987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134</v>
      </c>
      <c r="B88" s="1" t="s">
        <v>42</v>
      </c>
      <c r="C88" s="1">
        <v>52</v>
      </c>
      <c r="D88" s="1">
        <v>56</v>
      </c>
      <c r="E88" s="1">
        <v>50</v>
      </c>
      <c r="F88" s="1">
        <v>56</v>
      </c>
      <c r="G88" s="8">
        <v>7.0000000000000007E-2</v>
      </c>
      <c r="H88" s="1">
        <v>90</v>
      </c>
      <c r="I88" s="1" t="s">
        <v>37</v>
      </c>
      <c r="J88" s="1"/>
      <c r="K88" s="1">
        <v>50</v>
      </c>
      <c r="L88" s="1">
        <f t="shared" si="16"/>
        <v>0</v>
      </c>
      <c r="M88" s="1"/>
      <c r="N88" s="1"/>
      <c r="O88" s="1">
        <v>18.8</v>
      </c>
      <c r="P88" s="1"/>
      <c r="Q88" s="1">
        <f t="shared" si="17"/>
        <v>10</v>
      </c>
      <c r="R88" s="5">
        <f t="shared" si="22"/>
        <v>35.200000000000003</v>
      </c>
      <c r="S88" s="5"/>
      <c r="T88" s="1"/>
      <c r="U88" s="1">
        <f t="shared" si="18"/>
        <v>11</v>
      </c>
      <c r="V88" s="1">
        <f t="shared" si="19"/>
        <v>7.4799999999999995</v>
      </c>
      <c r="W88" s="1">
        <v>6.4</v>
      </c>
      <c r="X88" s="1">
        <v>3.4</v>
      </c>
      <c r="Y88" s="1">
        <v>6</v>
      </c>
      <c r="Z88" s="1">
        <v>5.6</v>
      </c>
      <c r="AA88" s="1">
        <v>4</v>
      </c>
      <c r="AB88" s="1">
        <v>1.8</v>
      </c>
      <c r="AC88" s="1">
        <v>2.8</v>
      </c>
      <c r="AD88" s="1">
        <v>4.2</v>
      </c>
      <c r="AE88" s="1"/>
      <c r="AF88" s="1">
        <f>G88*R88</f>
        <v>2.4640000000000004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135</v>
      </c>
      <c r="B89" s="1" t="s">
        <v>42</v>
      </c>
      <c r="C89" s="1">
        <v>73</v>
      </c>
      <c r="D89" s="1">
        <v>79</v>
      </c>
      <c r="E89" s="1">
        <v>60</v>
      </c>
      <c r="F89" s="1">
        <v>48</v>
      </c>
      <c r="G89" s="8">
        <v>0.05</v>
      </c>
      <c r="H89" s="1">
        <v>90</v>
      </c>
      <c r="I89" s="1" t="s">
        <v>37</v>
      </c>
      <c r="J89" s="1"/>
      <c r="K89" s="1">
        <v>61</v>
      </c>
      <c r="L89" s="1">
        <f t="shared" si="16"/>
        <v>-1</v>
      </c>
      <c r="M89" s="1"/>
      <c r="N89" s="1"/>
      <c r="O89" s="1">
        <v>23.399999999999991</v>
      </c>
      <c r="P89" s="1">
        <v>23.399999999999991</v>
      </c>
      <c r="Q89" s="1">
        <f t="shared" si="17"/>
        <v>12</v>
      </c>
      <c r="R89" s="5">
        <f t="shared" si="22"/>
        <v>37.200000000000017</v>
      </c>
      <c r="S89" s="5"/>
      <c r="T89" s="1"/>
      <c r="U89" s="1">
        <f t="shared" si="18"/>
        <v>11</v>
      </c>
      <c r="V89" s="1">
        <f t="shared" si="19"/>
        <v>7.8999999999999986</v>
      </c>
      <c r="W89" s="1">
        <v>8.1999999999999993</v>
      </c>
      <c r="X89" s="1">
        <v>6.4</v>
      </c>
      <c r="Y89" s="1">
        <v>7</v>
      </c>
      <c r="Z89" s="1">
        <v>7.2</v>
      </c>
      <c r="AA89" s="1">
        <v>7.2</v>
      </c>
      <c r="AB89" s="1">
        <v>6.2</v>
      </c>
      <c r="AC89" s="1">
        <v>3.6</v>
      </c>
      <c r="AD89" s="1">
        <v>3.2</v>
      </c>
      <c r="AE89" s="1"/>
      <c r="AF89" s="1">
        <f>G89*R89</f>
        <v>1.860000000000001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136</v>
      </c>
      <c r="B90" s="1" t="s">
        <v>42</v>
      </c>
      <c r="C90" s="1">
        <v>9</v>
      </c>
      <c r="D90" s="1">
        <v>75</v>
      </c>
      <c r="E90" s="1">
        <v>5</v>
      </c>
      <c r="F90" s="1">
        <v>67</v>
      </c>
      <c r="G90" s="8">
        <v>0.05</v>
      </c>
      <c r="H90" s="1">
        <v>90</v>
      </c>
      <c r="I90" s="1" t="s">
        <v>37</v>
      </c>
      <c r="J90" s="1"/>
      <c r="K90" s="1">
        <v>9</v>
      </c>
      <c r="L90" s="1">
        <f t="shared" si="16"/>
        <v>-4</v>
      </c>
      <c r="M90" s="1"/>
      <c r="N90" s="1"/>
      <c r="O90" s="1">
        <v>0</v>
      </c>
      <c r="P90" s="1"/>
      <c r="Q90" s="1">
        <f t="shared" si="17"/>
        <v>1</v>
      </c>
      <c r="R90" s="5"/>
      <c r="S90" s="5"/>
      <c r="T90" s="1"/>
      <c r="U90" s="1">
        <f t="shared" si="18"/>
        <v>67</v>
      </c>
      <c r="V90" s="1">
        <f t="shared" si="19"/>
        <v>67</v>
      </c>
      <c r="W90" s="1">
        <v>4.4000000000000004</v>
      </c>
      <c r="X90" s="1">
        <v>7.6</v>
      </c>
      <c r="Y90" s="1">
        <v>8</v>
      </c>
      <c r="Z90" s="1">
        <v>5.2</v>
      </c>
      <c r="AA90" s="1">
        <v>6</v>
      </c>
      <c r="AB90" s="1">
        <v>5.2</v>
      </c>
      <c r="AC90" s="1">
        <v>3.2</v>
      </c>
      <c r="AD90" s="1">
        <v>3.6</v>
      </c>
      <c r="AE90" s="1"/>
      <c r="AF90" s="1">
        <f>G90*R90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137</v>
      </c>
      <c r="B91" s="1" t="s">
        <v>42</v>
      </c>
      <c r="C91" s="1">
        <v>29</v>
      </c>
      <c r="D91" s="1">
        <v>46</v>
      </c>
      <c r="E91" s="1">
        <v>45</v>
      </c>
      <c r="F91" s="1">
        <v>30</v>
      </c>
      <c r="G91" s="8">
        <v>5.5E-2</v>
      </c>
      <c r="H91" s="1">
        <v>90</v>
      </c>
      <c r="I91" s="1" t="s">
        <v>37</v>
      </c>
      <c r="J91" s="1"/>
      <c r="K91" s="1">
        <v>48</v>
      </c>
      <c r="L91" s="1">
        <f t="shared" si="16"/>
        <v>-3</v>
      </c>
      <c r="M91" s="1"/>
      <c r="N91" s="1"/>
      <c r="O91" s="1">
        <v>16.399999999999999</v>
      </c>
      <c r="P91" s="1">
        <v>16.399999999999999</v>
      </c>
      <c r="Q91" s="1">
        <f t="shared" si="17"/>
        <v>9</v>
      </c>
      <c r="R91" s="5">
        <f t="shared" si="22"/>
        <v>36.199999999999989</v>
      </c>
      <c r="S91" s="5"/>
      <c r="T91" s="1"/>
      <c r="U91" s="1">
        <f t="shared" si="18"/>
        <v>10.999999999999998</v>
      </c>
      <c r="V91" s="1">
        <f t="shared" si="19"/>
        <v>6.9777777777777779</v>
      </c>
      <c r="W91" s="1">
        <v>6.2</v>
      </c>
      <c r="X91" s="1">
        <v>5.4</v>
      </c>
      <c r="Y91" s="1">
        <v>6</v>
      </c>
      <c r="Z91" s="1">
        <v>5.4</v>
      </c>
      <c r="AA91" s="1">
        <v>6.4</v>
      </c>
      <c r="AB91" s="1">
        <v>5.2</v>
      </c>
      <c r="AC91" s="1">
        <v>2.6</v>
      </c>
      <c r="AD91" s="1">
        <v>3.2</v>
      </c>
      <c r="AE91" s="1"/>
      <c r="AF91" s="1">
        <f>G91*R91</f>
        <v>1.9909999999999994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4" t="s">
        <v>138</v>
      </c>
      <c r="B92" s="14" t="s">
        <v>42</v>
      </c>
      <c r="C92" s="14">
        <v>13</v>
      </c>
      <c r="D92" s="14"/>
      <c r="E92" s="14"/>
      <c r="F92" s="14"/>
      <c r="G92" s="15">
        <v>0</v>
      </c>
      <c r="H92" s="14">
        <v>120</v>
      </c>
      <c r="I92" s="14" t="s">
        <v>139</v>
      </c>
      <c r="J92" s="14"/>
      <c r="K92" s="14"/>
      <c r="L92" s="14">
        <f t="shared" si="16"/>
        <v>0</v>
      </c>
      <c r="M92" s="14"/>
      <c r="N92" s="14"/>
      <c r="O92" s="14">
        <v>0</v>
      </c>
      <c r="P92" s="14"/>
      <c r="Q92" s="14">
        <f t="shared" si="17"/>
        <v>0</v>
      </c>
      <c r="R92" s="16"/>
      <c r="S92" s="16"/>
      <c r="T92" s="14"/>
      <c r="U92" s="14" t="e">
        <f t="shared" si="18"/>
        <v>#DIV/0!</v>
      </c>
      <c r="V92" s="14" t="e">
        <f t="shared" si="19"/>
        <v>#DIV/0!</v>
      </c>
      <c r="W92" s="14">
        <v>0</v>
      </c>
      <c r="X92" s="14">
        <v>0</v>
      </c>
      <c r="Y92" s="14">
        <v>0</v>
      </c>
      <c r="Z92" s="14">
        <v>1</v>
      </c>
      <c r="AA92" s="14">
        <v>2.6</v>
      </c>
      <c r="AB92" s="14">
        <v>2</v>
      </c>
      <c r="AC92" s="14">
        <v>0.4</v>
      </c>
      <c r="AD92" s="14">
        <v>0</v>
      </c>
      <c r="AE92" s="14"/>
      <c r="AF92" s="14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140</v>
      </c>
      <c r="B93" s="1" t="s">
        <v>36</v>
      </c>
      <c r="C93" s="1">
        <v>380.55399999999997</v>
      </c>
      <c r="D93" s="1">
        <v>754.39800000000002</v>
      </c>
      <c r="E93" s="1">
        <v>416.50799999999998</v>
      </c>
      <c r="F93" s="1">
        <v>415.42899999999997</v>
      </c>
      <c r="G93" s="8">
        <v>1</v>
      </c>
      <c r="H93" s="1">
        <v>40</v>
      </c>
      <c r="I93" s="1" t="s">
        <v>37</v>
      </c>
      <c r="J93" s="1"/>
      <c r="K93" s="1">
        <v>385.52600000000001</v>
      </c>
      <c r="L93" s="1">
        <f t="shared" si="16"/>
        <v>30.981999999999971</v>
      </c>
      <c r="M93" s="1"/>
      <c r="N93" s="1"/>
      <c r="O93" s="1">
        <v>114.79482</v>
      </c>
      <c r="P93" s="1">
        <v>114.79482</v>
      </c>
      <c r="Q93" s="1">
        <f t="shared" si="17"/>
        <v>83.301599999999993</v>
      </c>
      <c r="R93" s="5">
        <f t="shared" ref="R93:R99" si="23">11*Q93-P93-O93-F93</f>
        <v>271.29896000000008</v>
      </c>
      <c r="S93" s="5"/>
      <c r="T93" s="1"/>
      <c r="U93" s="1">
        <f t="shared" si="18"/>
        <v>11</v>
      </c>
      <c r="V93" s="1">
        <f t="shared" si="19"/>
        <v>7.7431722800042246</v>
      </c>
      <c r="W93" s="1">
        <v>65.376999999999995</v>
      </c>
      <c r="X93" s="1">
        <v>86.279200000000003</v>
      </c>
      <c r="Y93" s="1">
        <v>92.022400000000005</v>
      </c>
      <c r="Z93" s="1">
        <v>83.626400000000004</v>
      </c>
      <c r="AA93" s="1">
        <v>92.351199999999992</v>
      </c>
      <c r="AB93" s="1">
        <v>84.256200000000007</v>
      </c>
      <c r="AC93" s="1">
        <v>83.1494</v>
      </c>
      <c r="AD93" s="1">
        <v>92.073400000000007</v>
      </c>
      <c r="AE93" s="1" t="s">
        <v>49</v>
      </c>
      <c r="AF93" s="1">
        <f>G93*R93</f>
        <v>271.29896000000008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3" t="s">
        <v>141</v>
      </c>
      <c r="B94" s="1" t="s">
        <v>36</v>
      </c>
      <c r="C94" s="1"/>
      <c r="D94" s="1"/>
      <c r="E94" s="1"/>
      <c r="F94" s="1"/>
      <c r="G94" s="8">
        <v>1</v>
      </c>
      <c r="H94" s="1">
        <v>60</v>
      </c>
      <c r="I94" s="1" t="s">
        <v>37</v>
      </c>
      <c r="J94" s="1"/>
      <c r="K94" s="1"/>
      <c r="L94" s="1">
        <f t="shared" si="16"/>
        <v>0</v>
      </c>
      <c r="M94" s="1"/>
      <c r="N94" s="1"/>
      <c r="O94" s="13"/>
      <c r="P94" s="1"/>
      <c r="Q94" s="1">
        <f t="shared" si="17"/>
        <v>0</v>
      </c>
      <c r="R94" s="21">
        <v>4</v>
      </c>
      <c r="S94" s="5"/>
      <c r="T94" s="1"/>
      <c r="U94" s="1" t="e">
        <f t="shared" si="18"/>
        <v>#DIV/0!</v>
      </c>
      <c r="V94" s="1" t="e">
        <f t="shared" si="19"/>
        <v>#DIV/0!</v>
      </c>
      <c r="W94" s="1">
        <v>0</v>
      </c>
      <c r="X94" s="1">
        <v>-0.71879999999999999</v>
      </c>
      <c r="Y94" s="1">
        <v>0</v>
      </c>
      <c r="Z94" s="1">
        <v>0</v>
      </c>
      <c r="AA94" s="1">
        <v>0</v>
      </c>
      <c r="AB94" s="1">
        <v>-0.83520000000000005</v>
      </c>
      <c r="AC94" s="1">
        <v>-0.83520000000000005</v>
      </c>
      <c r="AD94" s="1">
        <v>-0.68879999999999997</v>
      </c>
      <c r="AE94" s="13" t="s">
        <v>142</v>
      </c>
      <c r="AF94" s="1">
        <f>G94*R94</f>
        <v>4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143</v>
      </c>
      <c r="B95" s="1" t="s">
        <v>42</v>
      </c>
      <c r="C95" s="1">
        <v>50</v>
      </c>
      <c r="D95" s="1">
        <v>315</v>
      </c>
      <c r="E95" s="1">
        <v>116</v>
      </c>
      <c r="F95" s="1">
        <v>120</v>
      </c>
      <c r="G95" s="8">
        <v>0.3</v>
      </c>
      <c r="H95" s="1">
        <v>40</v>
      </c>
      <c r="I95" s="1" t="s">
        <v>37</v>
      </c>
      <c r="J95" s="1"/>
      <c r="K95" s="1">
        <v>144</v>
      </c>
      <c r="L95" s="1">
        <f t="shared" si="16"/>
        <v>-28</v>
      </c>
      <c r="M95" s="1"/>
      <c r="N95" s="1"/>
      <c r="O95" s="1">
        <v>56.399999999999977</v>
      </c>
      <c r="P95" s="1">
        <v>56.399999999999977</v>
      </c>
      <c r="Q95" s="1">
        <f t="shared" si="17"/>
        <v>23.2</v>
      </c>
      <c r="R95" s="5">
        <f t="shared" si="23"/>
        <v>22.400000000000034</v>
      </c>
      <c r="S95" s="5"/>
      <c r="T95" s="1"/>
      <c r="U95" s="1">
        <f t="shared" si="18"/>
        <v>11</v>
      </c>
      <c r="V95" s="1">
        <f t="shared" si="19"/>
        <v>10.034482758620689</v>
      </c>
      <c r="W95" s="1">
        <v>21.4</v>
      </c>
      <c r="X95" s="1">
        <v>24.8</v>
      </c>
      <c r="Y95" s="1">
        <v>24.4</v>
      </c>
      <c r="Z95" s="1">
        <v>19.8</v>
      </c>
      <c r="AA95" s="1">
        <v>19.8</v>
      </c>
      <c r="AB95" s="1">
        <v>21.2</v>
      </c>
      <c r="AC95" s="1">
        <v>23</v>
      </c>
      <c r="AD95" s="1">
        <v>17</v>
      </c>
      <c r="AE95" s="1"/>
      <c r="AF95" s="1">
        <f>G95*R95</f>
        <v>6.7200000000000104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144</v>
      </c>
      <c r="B96" s="1" t="s">
        <v>42</v>
      </c>
      <c r="C96" s="1">
        <v>149</v>
      </c>
      <c r="D96" s="1">
        <v>166</v>
      </c>
      <c r="E96" s="1">
        <v>162</v>
      </c>
      <c r="F96" s="1">
        <v>69</v>
      </c>
      <c r="G96" s="8">
        <v>0.3</v>
      </c>
      <c r="H96" s="1">
        <v>40</v>
      </c>
      <c r="I96" s="1" t="s">
        <v>37</v>
      </c>
      <c r="J96" s="1"/>
      <c r="K96" s="1">
        <v>166</v>
      </c>
      <c r="L96" s="1">
        <f t="shared" si="16"/>
        <v>-4</v>
      </c>
      <c r="M96" s="1"/>
      <c r="N96" s="1"/>
      <c r="O96" s="1">
        <v>43.179999999999978</v>
      </c>
      <c r="P96" s="1">
        <v>43.179999999999978</v>
      </c>
      <c r="Q96" s="1">
        <f t="shared" si="17"/>
        <v>32.4</v>
      </c>
      <c r="R96" s="5">
        <f t="shared" si="23"/>
        <v>201.04000000000008</v>
      </c>
      <c r="S96" s="5"/>
      <c r="T96" s="1"/>
      <c r="U96" s="1">
        <f t="shared" si="18"/>
        <v>11.000000000000002</v>
      </c>
      <c r="V96" s="1">
        <f t="shared" si="19"/>
        <v>4.7950617283950603</v>
      </c>
      <c r="W96" s="1">
        <v>19.399999999999999</v>
      </c>
      <c r="X96" s="1">
        <v>15.8</v>
      </c>
      <c r="Y96" s="1">
        <v>26.6</v>
      </c>
      <c r="Z96" s="1">
        <v>24.8</v>
      </c>
      <c r="AA96" s="1">
        <v>16.399999999999999</v>
      </c>
      <c r="AB96" s="1">
        <v>16.399999999999999</v>
      </c>
      <c r="AC96" s="1">
        <v>19.600000000000001</v>
      </c>
      <c r="AD96" s="1">
        <v>21.8</v>
      </c>
      <c r="AE96" s="1"/>
      <c r="AF96" s="1">
        <f>G96*R96</f>
        <v>60.312000000000019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145</v>
      </c>
      <c r="B97" s="1" t="s">
        <v>36</v>
      </c>
      <c r="C97" s="1">
        <v>31.568000000000001</v>
      </c>
      <c r="D97" s="1">
        <v>12.32</v>
      </c>
      <c r="E97" s="1">
        <v>23.289000000000001</v>
      </c>
      <c r="F97" s="1">
        <v>1E-3</v>
      </c>
      <c r="G97" s="8">
        <v>1</v>
      </c>
      <c r="H97" s="1">
        <v>50</v>
      </c>
      <c r="I97" s="1" t="s">
        <v>37</v>
      </c>
      <c r="J97" s="1"/>
      <c r="K97" s="1">
        <v>22.8</v>
      </c>
      <c r="L97" s="1">
        <f t="shared" si="16"/>
        <v>0.48900000000000077</v>
      </c>
      <c r="M97" s="1"/>
      <c r="N97" s="1"/>
      <c r="O97" s="1">
        <v>26.613</v>
      </c>
      <c r="P97" s="1">
        <v>26.613</v>
      </c>
      <c r="Q97" s="1">
        <f t="shared" si="17"/>
        <v>4.6577999999999999</v>
      </c>
      <c r="R97" s="5"/>
      <c r="S97" s="5"/>
      <c r="T97" s="1"/>
      <c r="U97" s="1">
        <f t="shared" si="18"/>
        <v>11.427497960410495</v>
      </c>
      <c r="V97" s="1">
        <f t="shared" si="19"/>
        <v>11.427497960410495</v>
      </c>
      <c r="W97" s="1">
        <v>6.2843999999999998</v>
      </c>
      <c r="X97" s="1">
        <v>2.4613999999999998</v>
      </c>
      <c r="Y97" s="1">
        <v>2.4756</v>
      </c>
      <c r="Z97" s="1">
        <v>2.7784</v>
      </c>
      <c r="AA97" s="1">
        <v>2.5097999999999998</v>
      </c>
      <c r="AB97" s="1">
        <v>5.2302</v>
      </c>
      <c r="AC97" s="1">
        <v>5.5101999999999993</v>
      </c>
      <c r="AD97" s="1">
        <v>2.7622</v>
      </c>
      <c r="AE97" s="1"/>
      <c r="AF97" s="1">
        <f>G97*R97</f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146</v>
      </c>
      <c r="B98" s="1" t="s">
        <v>42</v>
      </c>
      <c r="C98" s="1">
        <v>25</v>
      </c>
      <c r="D98" s="1">
        <v>143</v>
      </c>
      <c r="E98" s="1">
        <v>58</v>
      </c>
      <c r="F98" s="1">
        <v>59</v>
      </c>
      <c r="G98" s="8">
        <v>0.3</v>
      </c>
      <c r="H98" s="1">
        <v>40</v>
      </c>
      <c r="I98" s="1" t="s">
        <v>37</v>
      </c>
      <c r="J98" s="1"/>
      <c r="K98" s="1">
        <v>72</v>
      </c>
      <c r="L98" s="1">
        <f t="shared" si="16"/>
        <v>-14</v>
      </c>
      <c r="M98" s="1"/>
      <c r="N98" s="1"/>
      <c r="O98" s="1">
        <v>60.800000000000033</v>
      </c>
      <c r="P98" s="1">
        <v>60.800000000000033</v>
      </c>
      <c r="Q98" s="1">
        <f t="shared" si="17"/>
        <v>11.6</v>
      </c>
      <c r="R98" s="5"/>
      <c r="S98" s="5"/>
      <c r="T98" s="1"/>
      <c r="U98" s="1">
        <f t="shared" si="18"/>
        <v>15.568965517241386</v>
      </c>
      <c r="V98" s="1">
        <f t="shared" si="19"/>
        <v>15.568965517241386</v>
      </c>
      <c r="W98" s="1">
        <v>15.4</v>
      </c>
      <c r="X98" s="1">
        <v>13.2</v>
      </c>
      <c r="Y98" s="1">
        <v>13.4</v>
      </c>
      <c r="Z98" s="1">
        <v>11.6</v>
      </c>
      <c r="AA98" s="1">
        <v>12.2</v>
      </c>
      <c r="AB98" s="1">
        <v>11.8</v>
      </c>
      <c r="AC98" s="1">
        <v>12.8</v>
      </c>
      <c r="AD98" s="1">
        <v>10.199999999999999</v>
      </c>
      <c r="AE98" s="1"/>
      <c r="AF98" s="1">
        <f>G98*R98</f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147</v>
      </c>
      <c r="B99" s="1" t="s">
        <v>42</v>
      </c>
      <c r="C99" s="1">
        <v>72</v>
      </c>
      <c r="D99" s="1">
        <v>30</v>
      </c>
      <c r="E99" s="1">
        <v>53</v>
      </c>
      <c r="F99" s="1">
        <v>18</v>
      </c>
      <c r="G99" s="8">
        <v>0.12</v>
      </c>
      <c r="H99" s="1">
        <v>45</v>
      </c>
      <c r="I99" s="1" t="s">
        <v>37</v>
      </c>
      <c r="J99" s="1"/>
      <c r="K99" s="1">
        <v>54</v>
      </c>
      <c r="L99" s="1">
        <f t="shared" si="16"/>
        <v>-1</v>
      </c>
      <c r="M99" s="1"/>
      <c r="N99" s="1"/>
      <c r="O99" s="1">
        <v>24</v>
      </c>
      <c r="P99" s="1">
        <v>24</v>
      </c>
      <c r="Q99" s="1">
        <f t="shared" si="17"/>
        <v>10.6</v>
      </c>
      <c r="R99" s="5">
        <f t="shared" si="23"/>
        <v>50.599999999999994</v>
      </c>
      <c r="S99" s="5"/>
      <c r="T99" s="1"/>
      <c r="U99" s="1">
        <f t="shared" si="18"/>
        <v>11</v>
      </c>
      <c r="V99" s="1">
        <f t="shared" si="19"/>
        <v>6.2264150943396226</v>
      </c>
      <c r="W99" s="1">
        <v>7</v>
      </c>
      <c r="X99" s="1">
        <v>1.2</v>
      </c>
      <c r="Y99" s="1">
        <v>0</v>
      </c>
      <c r="Z99" s="1">
        <v>0.4</v>
      </c>
      <c r="AA99" s="1">
        <v>7</v>
      </c>
      <c r="AB99" s="1">
        <v>8.4</v>
      </c>
      <c r="AC99" s="1">
        <v>2.4</v>
      </c>
      <c r="AD99" s="1">
        <v>2.6</v>
      </c>
      <c r="AE99" s="1"/>
      <c r="AF99" s="1">
        <f>G99*R99</f>
        <v>6.0719999999999992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99" xr:uid="{D6519F91-7659-44B7-B7D5-5B1B49BE0A5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2026-01-06T08:58:08Z</dcterms:created>
  <dcterms:modified xsi:type="dcterms:W3CDTF">2026-01-06T09:14:54Z</dcterms:modified>
</cp:coreProperties>
</file>