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13_ncr:1_{1CDC0193-F376-45A6-9BCC-9ACEE0C6DC2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22" i="2" l="1"/>
  <c r="Z195" i="2"/>
  <c r="Z67" i="2"/>
  <c r="Z90" i="2"/>
  <c r="BN116" i="2"/>
  <c r="BN118" i="2"/>
  <c r="Z43" i="2"/>
  <c r="Y30" i="2"/>
  <c r="Z36" i="2"/>
  <c r="Z257" i="2"/>
  <c r="BN256" i="2"/>
  <c r="Z267" i="2"/>
  <c r="BN264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Z287" i="2" l="1"/>
  <c r="X285" i="2"/>
  <c r="Y286" i="2"/>
  <c r="Y284" i="2"/>
  <c r="Y283" i="2"/>
  <c r="Y282" i="2"/>
  <c r="Y285" i="2" l="1"/>
  <c r="A295" i="2" s="1"/>
  <c r="C295" i="2" l="1"/>
  <c r="B295" i="2"/>
</calcChain>
</file>

<file path=xl/sharedStrings.xml><?xml version="1.0" encoding="utf-8"?>
<sst xmlns="http://schemas.openxmlformats.org/spreadsheetml/2006/main" count="1761" uniqueCount="407">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</sst>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5"/>
  <sheetViews>
    <sheetView showGridLines="0" tabSelected="1" topLeftCell="A268" zoomScaleNormal="100" zoomScaleSheetLayoutView="100" workbookViewId="0">
      <selection activeCell="X41" sqref="X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1" t="s">
        <v>26</v>
      </c>
      <c r="E1" s="291"/>
      <c r="F1" s="291"/>
      <c r="G1" s="14" t="s">
        <v>70</v>
      </c>
      <c r="H1" s="291" t="s">
        <v>47</v>
      </c>
      <c r="I1" s="291"/>
      <c r="J1" s="291"/>
      <c r="K1" s="291"/>
      <c r="L1" s="291"/>
      <c r="M1" s="291"/>
      <c r="N1" s="291"/>
      <c r="O1" s="291"/>
      <c r="P1" s="291"/>
      <c r="Q1" s="291"/>
      <c r="R1" s="292" t="s">
        <v>71</v>
      </c>
      <c r="S1" s="293"/>
      <c r="T1" s="29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4"/>
      <c r="Q3" s="294"/>
      <c r="R3" s="294"/>
      <c r="S3" s="294"/>
      <c r="T3" s="294"/>
      <c r="U3" s="294"/>
      <c r="V3" s="294"/>
      <c r="W3" s="29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5" t="s">
        <v>8</v>
      </c>
      <c r="B5" s="295"/>
      <c r="C5" s="295"/>
      <c r="D5" s="296"/>
      <c r="E5" s="296"/>
      <c r="F5" s="297" t="s">
        <v>14</v>
      </c>
      <c r="G5" s="297"/>
      <c r="H5" s="296"/>
      <c r="I5" s="296"/>
      <c r="J5" s="296"/>
      <c r="K5" s="296"/>
      <c r="L5" s="296"/>
      <c r="M5" s="296"/>
      <c r="N5" s="75"/>
      <c r="P5" s="27" t="s">
        <v>4</v>
      </c>
      <c r="Q5" s="298">
        <v>46272</v>
      </c>
      <c r="R5" s="298"/>
      <c r="T5" s="299" t="s">
        <v>3</v>
      </c>
      <c r="U5" s="300"/>
      <c r="V5" s="301" t="s">
        <v>393</v>
      </c>
      <c r="W5" s="302"/>
      <c r="AB5" s="59"/>
      <c r="AC5" s="59"/>
      <c r="AD5" s="59"/>
      <c r="AE5" s="59"/>
    </row>
    <row r="6" spans="1:32" s="17" customFormat="1" ht="24" customHeight="1" x14ac:dyDescent="0.2">
      <c r="A6" s="295" t="s">
        <v>1</v>
      </c>
      <c r="B6" s="295"/>
      <c r="C6" s="295"/>
      <c r="D6" s="303" t="s">
        <v>79</v>
      </c>
      <c r="E6" s="303"/>
      <c r="F6" s="303"/>
      <c r="G6" s="303"/>
      <c r="H6" s="303"/>
      <c r="I6" s="303"/>
      <c r="J6" s="303"/>
      <c r="K6" s="303"/>
      <c r="L6" s="303"/>
      <c r="M6" s="303"/>
      <c r="N6" s="76"/>
      <c r="P6" s="27" t="s">
        <v>27</v>
      </c>
      <c r="Q6" s="304" t="str">
        <f>IF(Q5=0," ",CHOOSE(WEEKDAY(Q5,2),"Понедельник","Вторник","Среда","Четверг","Пятница","Суббота","Воскресенье"))</f>
        <v>Понедельник</v>
      </c>
      <c r="R6" s="304"/>
      <c r="T6" s="305" t="s">
        <v>5</v>
      </c>
      <c r="U6" s="306"/>
      <c r="V6" s="307" t="s">
        <v>73</v>
      </c>
      <c r="W6" s="30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3" t="str">
        <f>IFERROR(VLOOKUP(DeliveryAddress,Table,3,0),1)</f>
        <v>1</v>
      </c>
      <c r="E7" s="314"/>
      <c r="F7" s="314"/>
      <c r="G7" s="314"/>
      <c r="H7" s="314"/>
      <c r="I7" s="314"/>
      <c r="J7" s="314"/>
      <c r="K7" s="314"/>
      <c r="L7" s="314"/>
      <c r="M7" s="315"/>
      <c r="N7" s="77"/>
      <c r="P7" s="29"/>
      <c r="Q7" s="48"/>
      <c r="R7" s="48"/>
      <c r="T7" s="305"/>
      <c r="U7" s="306"/>
      <c r="V7" s="309"/>
      <c r="W7" s="310"/>
      <c r="AB7" s="59"/>
      <c r="AC7" s="59"/>
      <c r="AD7" s="59"/>
      <c r="AE7" s="59"/>
    </row>
    <row r="8" spans="1:32" s="17" customFormat="1" ht="25.5" customHeight="1" x14ac:dyDescent="0.2">
      <c r="A8" s="316" t="s">
        <v>58</v>
      </c>
      <c r="B8" s="316"/>
      <c r="C8" s="316"/>
      <c r="D8" s="317" t="s">
        <v>80</v>
      </c>
      <c r="E8" s="317"/>
      <c r="F8" s="317"/>
      <c r="G8" s="317"/>
      <c r="H8" s="317"/>
      <c r="I8" s="317"/>
      <c r="J8" s="317"/>
      <c r="K8" s="317"/>
      <c r="L8" s="317"/>
      <c r="M8" s="317"/>
      <c r="N8" s="78"/>
      <c r="P8" s="27" t="s">
        <v>11</v>
      </c>
      <c r="Q8" s="318">
        <v>0.41666666666666669</v>
      </c>
      <c r="R8" s="318"/>
      <c r="T8" s="305"/>
      <c r="U8" s="306"/>
      <c r="V8" s="309"/>
      <c r="W8" s="310"/>
      <c r="AB8" s="59"/>
      <c r="AC8" s="59"/>
      <c r="AD8" s="59"/>
      <c r="AE8" s="59"/>
    </row>
    <row r="9" spans="1:32" s="17" customFormat="1" ht="39.950000000000003" customHeight="1" x14ac:dyDescent="0.2">
      <c r="A9" s="3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9"/>
      <c r="C9" s="319"/>
      <c r="D9" s="320" t="s">
        <v>46</v>
      </c>
      <c r="E9" s="321"/>
      <c r="F9" s="3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9"/>
      <c r="H9" s="322" t="str">
        <f>IF(AND($A$9="Тип доверенности/получателя при получении в адресе перегруза:",$D$9="Разовая доверенность"),"Введите ФИО","")</f>
        <v/>
      </c>
      <c r="I9" s="322"/>
      <c r="J9" s="32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2"/>
      <c r="L9" s="322"/>
      <c r="M9" s="322"/>
      <c r="N9" s="73"/>
      <c r="P9" s="31" t="s">
        <v>15</v>
      </c>
      <c r="Q9" s="323"/>
      <c r="R9" s="323"/>
      <c r="T9" s="305"/>
      <c r="U9" s="306"/>
      <c r="V9" s="311"/>
      <c r="W9" s="31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9"/>
      <c r="C10" s="319"/>
      <c r="D10" s="320"/>
      <c r="E10" s="321"/>
      <c r="F10" s="3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9"/>
      <c r="H10" s="324" t="str">
        <f>IFERROR(VLOOKUP($D$10,Proxy,2,FALSE),"")</f>
        <v/>
      </c>
      <c r="I10" s="324"/>
      <c r="J10" s="324"/>
      <c r="K10" s="324"/>
      <c r="L10" s="324"/>
      <c r="M10" s="324"/>
      <c r="N10" s="74"/>
      <c r="P10" s="31" t="s">
        <v>32</v>
      </c>
      <c r="Q10" s="325"/>
      <c r="R10" s="325"/>
      <c r="U10" s="29" t="s">
        <v>12</v>
      </c>
      <c r="V10" s="326" t="s">
        <v>74</v>
      </c>
      <c r="W10" s="32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8"/>
      <c r="R11" s="328"/>
      <c r="U11" s="29" t="s">
        <v>28</v>
      </c>
      <c r="V11" s="329" t="s">
        <v>55</v>
      </c>
      <c r="W11" s="32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0" t="s">
        <v>75</v>
      </c>
      <c r="B12" s="330"/>
      <c r="C12" s="330"/>
      <c r="D12" s="330"/>
      <c r="E12" s="330"/>
      <c r="F12" s="330"/>
      <c r="G12" s="330"/>
      <c r="H12" s="330"/>
      <c r="I12" s="330"/>
      <c r="J12" s="330"/>
      <c r="K12" s="330"/>
      <c r="L12" s="330"/>
      <c r="M12" s="330"/>
      <c r="N12" s="79"/>
      <c r="P12" s="27" t="s">
        <v>30</v>
      </c>
      <c r="Q12" s="318"/>
      <c r="R12" s="318"/>
      <c r="S12" s="28"/>
      <c r="T12"/>
      <c r="U12" s="29" t="s">
        <v>46</v>
      </c>
      <c r="V12" s="331"/>
      <c r="W12" s="331"/>
      <c r="X12"/>
      <c r="AB12" s="59"/>
      <c r="AC12" s="59"/>
      <c r="AD12" s="59"/>
      <c r="AE12" s="59"/>
    </row>
    <row r="13" spans="1:32" s="17" customFormat="1" ht="23.25" customHeight="1" x14ac:dyDescent="0.2">
      <c r="A13" s="330" t="s">
        <v>76</v>
      </c>
      <c r="B13" s="330"/>
      <c r="C13" s="330"/>
      <c r="D13" s="330"/>
      <c r="E13" s="330"/>
      <c r="F13" s="330"/>
      <c r="G13" s="330"/>
      <c r="H13" s="330"/>
      <c r="I13" s="330"/>
      <c r="J13" s="330"/>
      <c r="K13" s="330"/>
      <c r="L13" s="330"/>
      <c r="M13" s="330"/>
      <c r="N13" s="79"/>
      <c r="O13" s="31"/>
      <c r="P13" s="31" t="s">
        <v>31</v>
      </c>
      <c r="Q13" s="329"/>
      <c r="R13" s="32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0" t="s">
        <v>77</v>
      </c>
      <c r="B14" s="330"/>
      <c r="C14" s="330"/>
      <c r="D14" s="330"/>
      <c r="E14" s="330"/>
      <c r="F14" s="330"/>
      <c r="G14" s="330"/>
      <c r="H14" s="330"/>
      <c r="I14" s="330"/>
      <c r="J14" s="330"/>
      <c r="K14" s="330"/>
      <c r="L14" s="330"/>
      <c r="M14" s="33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2" t="s">
        <v>78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80"/>
      <c r="O15"/>
      <c r="P15" s="333" t="s">
        <v>61</v>
      </c>
      <c r="Q15" s="333"/>
      <c r="R15" s="333"/>
      <c r="S15" s="333"/>
      <c r="T15" s="33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4"/>
      <c r="Q16" s="334"/>
      <c r="R16" s="334"/>
      <c r="S16" s="334"/>
      <c r="T16" s="33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7" t="s">
        <v>59</v>
      </c>
      <c r="B17" s="337" t="s">
        <v>49</v>
      </c>
      <c r="C17" s="339" t="s">
        <v>48</v>
      </c>
      <c r="D17" s="341" t="s">
        <v>50</v>
      </c>
      <c r="E17" s="342"/>
      <c r="F17" s="337" t="s">
        <v>21</v>
      </c>
      <c r="G17" s="337" t="s">
        <v>24</v>
      </c>
      <c r="H17" s="337" t="s">
        <v>22</v>
      </c>
      <c r="I17" s="337" t="s">
        <v>23</v>
      </c>
      <c r="J17" s="337" t="s">
        <v>16</v>
      </c>
      <c r="K17" s="337" t="s">
        <v>69</v>
      </c>
      <c r="L17" s="337" t="s">
        <v>67</v>
      </c>
      <c r="M17" s="337" t="s">
        <v>2</v>
      </c>
      <c r="N17" s="337" t="s">
        <v>66</v>
      </c>
      <c r="O17" s="337" t="s">
        <v>25</v>
      </c>
      <c r="P17" s="341" t="s">
        <v>17</v>
      </c>
      <c r="Q17" s="345"/>
      <c r="R17" s="345"/>
      <c r="S17" s="345"/>
      <c r="T17" s="342"/>
      <c r="U17" s="335" t="s">
        <v>56</v>
      </c>
      <c r="V17" s="336"/>
      <c r="W17" s="337" t="s">
        <v>6</v>
      </c>
      <c r="X17" s="337" t="s">
        <v>41</v>
      </c>
      <c r="Y17" s="347" t="s">
        <v>54</v>
      </c>
      <c r="Z17" s="349" t="s">
        <v>18</v>
      </c>
      <c r="AA17" s="351" t="s">
        <v>60</v>
      </c>
      <c r="AB17" s="351" t="s">
        <v>19</v>
      </c>
      <c r="AC17" s="351" t="s">
        <v>68</v>
      </c>
      <c r="AD17" s="353" t="s">
        <v>57</v>
      </c>
      <c r="AE17" s="354"/>
      <c r="AF17" s="355"/>
      <c r="AG17" s="85"/>
      <c r="BD17" s="84" t="s">
        <v>64</v>
      </c>
    </row>
    <row r="18" spans="1:68" ht="14.25" customHeight="1" x14ac:dyDescent="0.2">
      <c r="A18" s="338"/>
      <c r="B18" s="338"/>
      <c r="C18" s="340"/>
      <c r="D18" s="343"/>
      <c r="E18" s="344"/>
      <c r="F18" s="338"/>
      <c r="G18" s="338"/>
      <c r="H18" s="338"/>
      <c r="I18" s="338"/>
      <c r="J18" s="338"/>
      <c r="K18" s="338"/>
      <c r="L18" s="338"/>
      <c r="M18" s="338"/>
      <c r="N18" s="338"/>
      <c r="O18" s="338"/>
      <c r="P18" s="343"/>
      <c r="Q18" s="346"/>
      <c r="R18" s="346"/>
      <c r="S18" s="346"/>
      <c r="T18" s="344"/>
      <c r="U18" s="86" t="s">
        <v>44</v>
      </c>
      <c r="V18" s="86" t="s">
        <v>43</v>
      </c>
      <c r="W18" s="338"/>
      <c r="X18" s="338"/>
      <c r="Y18" s="348"/>
      <c r="Z18" s="350"/>
      <c r="AA18" s="352"/>
      <c r="AB18" s="352"/>
      <c r="AC18" s="352"/>
      <c r="AD18" s="356"/>
      <c r="AE18" s="357"/>
      <c r="AF18" s="358"/>
      <c r="AG18" s="85"/>
      <c r="BD18" s="84"/>
    </row>
    <row r="19" spans="1:68" ht="27.75" customHeight="1" x14ac:dyDescent="0.2">
      <c r="A19" s="359" t="s">
        <v>81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 s="359"/>
      <c r="Q19" s="359"/>
      <c r="R19" s="359"/>
      <c r="S19" s="359"/>
      <c r="T19" s="359"/>
      <c r="U19" s="359"/>
      <c r="V19" s="359"/>
      <c r="W19" s="359"/>
      <c r="X19" s="359"/>
      <c r="Y19" s="359"/>
      <c r="Z19" s="359"/>
      <c r="AA19" s="54"/>
      <c r="AB19" s="54"/>
      <c r="AC19" s="54"/>
    </row>
    <row r="20" spans="1:68" ht="16.5" customHeight="1" x14ac:dyDescent="0.25">
      <c r="A20" s="360" t="s">
        <v>81</v>
      </c>
      <c r="B20" s="360"/>
      <c r="C20" s="360"/>
      <c r="D20" s="360"/>
      <c r="E20" s="360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65"/>
      <c r="AB20" s="65"/>
      <c r="AC20" s="82"/>
    </row>
    <row r="21" spans="1:68" ht="14.25" customHeight="1" x14ac:dyDescent="0.25">
      <c r="A21" s="361" t="s">
        <v>82</v>
      </c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4301071113</v>
      </c>
      <c r="D22" s="362">
        <v>4620207491508</v>
      </c>
      <c r="E22" s="362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4"/>
      <c r="R22" s="364"/>
      <c r="S22" s="364"/>
      <c r="T22" s="365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90</v>
      </c>
      <c r="B23" s="63" t="s">
        <v>91</v>
      </c>
      <c r="C23" s="36">
        <v>4301071112</v>
      </c>
      <c r="D23" s="362">
        <v>4620207491256</v>
      </c>
      <c r="E23" s="362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66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4"/>
      <c r="R23" s="364"/>
      <c r="S23" s="364"/>
      <c r="T23" s="365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92</v>
      </c>
      <c r="B24" s="63" t="s">
        <v>93</v>
      </c>
      <c r="C24" s="36">
        <v>4301071135</v>
      </c>
      <c r="D24" s="362">
        <v>4620207491713</v>
      </c>
      <c r="E24" s="362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67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4"/>
      <c r="R24" s="364"/>
      <c r="S24" s="364"/>
      <c r="T24" s="365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95</v>
      </c>
      <c r="B25" s="63" t="s">
        <v>96</v>
      </c>
      <c r="C25" s="36">
        <v>4301071134</v>
      </c>
      <c r="D25" s="362">
        <v>4620207491720</v>
      </c>
      <c r="E25" s="362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8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4"/>
      <c r="R25" s="364"/>
      <c r="S25" s="364"/>
      <c r="T25" s="365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97</v>
      </c>
      <c r="B26" s="63" t="s">
        <v>98</v>
      </c>
      <c r="C26" s="36">
        <v>4301071108</v>
      </c>
      <c r="D26" s="362">
        <v>4607111035912</v>
      </c>
      <c r="E26" s="362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4"/>
      <c r="R26" s="364"/>
      <c r="S26" s="364"/>
      <c r="T26" s="365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99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100</v>
      </c>
      <c r="B27" s="63" t="s">
        <v>101</v>
      </c>
      <c r="C27" s="36">
        <v>4301071109</v>
      </c>
      <c r="D27" s="362">
        <v>4607111035929</v>
      </c>
      <c r="E27" s="362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7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4"/>
      <c r="R27" s="364"/>
      <c r="S27" s="364"/>
      <c r="T27" s="365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99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102</v>
      </c>
      <c r="B28" s="63" t="s">
        <v>103</v>
      </c>
      <c r="C28" s="36">
        <v>4301071106</v>
      </c>
      <c r="D28" s="362">
        <v>4607111035882</v>
      </c>
      <c r="E28" s="362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71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4"/>
      <c r="R28" s="364"/>
      <c r="S28" s="364"/>
      <c r="T28" s="365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99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104</v>
      </c>
      <c r="B29" s="63" t="s">
        <v>105</v>
      </c>
      <c r="C29" s="36">
        <v>4301071107</v>
      </c>
      <c r="D29" s="362">
        <v>4607111035905</v>
      </c>
      <c r="E29" s="362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7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4"/>
      <c r="R29" s="364"/>
      <c r="S29" s="364"/>
      <c r="T29" s="365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99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6"/>
      <c r="B30" s="376"/>
      <c r="C30" s="376"/>
      <c r="D30" s="376"/>
      <c r="E30" s="376"/>
      <c r="F30" s="376"/>
      <c r="G30" s="376"/>
      <c r="H30" s="376"/>
      <c r="I30" s="376"/>
      <c r="J30" s="376"/>
      <c r="K30" s="376"/>
      <c r="L30" s="376"/>
      <c r="M30" s="376"/>
      <c r="N30" s="376"/>
      <c r="O30" s="377"/>
      <c r="P30" s="373" t="s">
        <v>40</v>
      </c>
      <c r="Q30" s="374"/>
      <c r="R30" s="374"/>
      <c r="S30" s="374"/>
      <c r="T30" s="374"/>
      <c r="U30" s="374"/>
      <c r="V30" s="37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6"/>
      <c r="B31" s="376"/>
      <c r="C31" s="376"/>
      <c r="D31" s="376"/>
      <c r="E31" s="376"/>
      <c r="F31" s="376"/>
      <c r="G31" s="376"/>
      <c r="H31" s="376"/>
      <c r="I31" s="376"/>
      <c r="J31" s="376"/>
      <c r="K31" s="376"/>
      <c r="L31" s="376"/>
      <c r="M31" s="376"/>
      <c r="N31" s="376"/>
      <c r="O31" s="377"/>
      <c r="P31" s="373" t="s">
        <v>40</v>
      </c>
      <c r="Q31" s="374"/>
      <c r="R31" s="374"/>
      <c r="S31" s="374"/>
      <c r="T31" s="374"/>
      <c r="U31" s="374"/>
      <c r="V31" s="37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60" t="s">
        <v>106</v>
      </c>
      <c r="B32" s="360"/>
      <c r="C32" s="360"/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65"/>
      <c r="AB32" s="65"/>
      <c r="AC32" s="82"/>
    </row>
    <row r="33" spans="1:68" ht="14.25" customHeight="1" x14ac:dyDescent="0.25">
      <c r="A33" s="361" t="s">
        <v>82</v>
      </c>
      <c r="B33" s="361"/>
      <c r="C33" s="361"/>
      <c r="D33" s="361"/>
      <c r="E33" s="361"/>
      <c r="F33" s="361"/>
      <c r="G33" s="361"/>
      <c r="H33" s="361"/>
      <c r="I33" s="361"/>
      <c r="J33" s="361"/>
      <c r="K33" s="361"/>
      <c r="L33" s="361"/>
      <c r="M33" s="361"/>
      <c r="N33" s="361"/>
      <c r="O33" s="361"/>
      <c r="P33" s="361"/>
      <c r="Q33" s="361"/>
      <c r="R33" s="361"/>
      <c r="S33" s="361"/>
      <c r="T33" s="361"/>
      <c r="U33" s="361"/>
      <c r="V33" s="361"/>
      <c r="W33" s="361"/>
      <c r="X33" s="361"/>
      <c r="Y33" s="361"/>
      <c r="Z33" s="361"/>
      <c r="AA33" s="66"/>
      <c r="AB33" s="66"/>
      <c r="AC33" s="83"/>
    </row>
    <row r="34" spans="1:68" ht="16.5" customHeight="1" x14ac:dyDescent="0.25">
      <c r="A34" s="63" t="s">
        <v>107</v>
      </c>
      <c r="B34" s="63" t="s">
        <v>108</v>
      </c>
      <c r="C34" s="36">
        <v>4301071099</v>
      </c>
      <c r="D34" s="362">
        <v>4607111039019</v>
      </c>
      <c r="E34" s="362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4"/>
      <c r="R34" s="364"/>
      <c r="S34" s="364"/>
      <c r="T34" s="365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109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110</v>
      </c>
      <c r="B35" s="63" t="s">
        <v>111</v>
      </c>
      <c r="C35" s="36">
        <v>4301071100</v>
      </c>
      <c r="D35" s="362">
        <v>4607111038708</v>
      </c>
      <c r="E35" s="362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4"/>
      <c r="R35" s="364"/>
      <c r="S35" s="364"/>
      <c r="T35" s="365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109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6"/>
      <c r="B36" s="376"/>
      <c r="C36" s="376"/>
      <c r="D36" s="376"/>
      <c r="E36" s="376"/>
      <c r="F36" s="376"/>
      <c r="G36" s="376"/>
      <c r="H36" s="376"/>
      <c r="I36" s="376"/>
      <c r="J36" s="376"/>
      <c r="K36" s="376"/>
      <c r="L36" s="376"/>
      <c r="M36" s="376"/>
      <c r="N36" s="376"/>
      <c r="O36" s="377"/>
      <c r="P36" s="373" t="s">
        <v>40</v>
      </c>
      <c r="Q36" s="374"/>
      <c r="R36" s="374"/>
      <c r="S36" s="374"/>
      <c r="T36" s="374"/>
      <c r="U36" s="374"/>
      <c r="V36" s="37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6"/>
      <c r="B37" s="376"/>
      <c r="C37" s="376"/>
      <c r="D37" s="376"/>
      <c r="E37" s="376"/>
      <c r="F37" s="376"/>
      <c r="G37" s="376"/>
      <c r="H37" s="376"/>
      <c r="I37" s="376"/>
      <c r="J37" s="376"/>
      <c r="K37" s="376"/>
      <c r="L37" s="376"/>
      <c r="M37" s="376"/>
      <c r="N37" s="376"/>
      <c r="O37" s="377"/>
      <c r="P37" s="373" t="s">
        <v>40</v>
      </c>
      <c r="Q37" s="374"/>
      <c r="R37" s="374"/>
      <c r="S37" s="374"/>
      <c r="T37" s="374"/>
      <c r="U37" s="374"/>
      <c r="V37" s="37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9" t="s">
        <v>45</v>
      </c>
      <c r="B38" s="359"/>
      <c r="C38" s="359"/>
      <c r="D38" s="359"/>
      <c r="E38" s="359"/>
      <c r="F38" s="359"/>
      <c r="G38" s="359"/>
      <c r="H38" s="359"/>
      <c r="I38" s="359"/>
      <c r="J38" s="359"/>
      <c r="K38" s="359"/>
      <c r="L38" s="359"/>
      <c r="M38" s="359"/>
      <c r="N38" s="359"/>
      <c r="O38" s="359"/>
      <c r="P38" s="359"/>
      <c r="Q38" s="359"/>
      <c r="R38" s="359"/>
      <c r="S38" s="359"/>
      <c r="T38" s="359"/>
      <c r="U38" s="359"/>
      <c r="V38" s="359"/>
      <c r="W38" s="359"/>
      <c r="X38" s="359"/>
      <c r="Y38" s="359"/>
      <c r="Z38" s="359"/>
      <c r="AA38" s="54"/>
      <c r="AB38" s="54"/>
      <c r="AC38" s="54"/>
    </row>
    <row r="39" spans="1:68" ht="16.5" customHeight="1" x14ac:dyDescent="0.25">
      <c r="A39" s="360" t="s">
        <v>112</v>
      </c>
      <c r="B39" s="360"/>
      <c r="C39" s="360"/>
      <c r="D39" s="360"/>
      <c r="E39" s="360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65"/>
      <c r="AB39" s="65"/>
      <c r="AC39" s="82"/>
    </row>
    <row r="40" spans="1:68" ht="14.25" customHeight="1" x14ac:dyDescent="0.25">
      <c r="A40" s="361" t="s">
        <v>113</v>
      </c>
      <c r="B40" s="361"/>
      <c r="C40" s="361"/>
      <c r="D40" s="361"/>
      <c r="E40" s="361"/>
      <c r="F40" s="361"/>
      <c r="G40" s="361"/>
      <c r="H40" s="361"/>
      <c r="I40" s="361"/>
      <c r="J40" s="361"/>
      <c r="K40" s="361"/>
      <c r="L40" s="361"/>
      <c r="M40" s="361"/>
      <c r="N40" s="361"/>
      <c r="O40" s="361"/>
      <c r="P40" s="361"/>
      <c r="Q40" s="361"/>
      <c r="R40" s="361"/>
      <c r="S40" s="361"/>
      <c r="T40" s="361"/>
      <c r="U40" s="361"/>
      <c r="V40" s="361"/>
      <c r="W40" s="361"/>
      <c r="X40" s="361"/>
      <c r="Y40" s="361"/>
      <c r="Z40" s="361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4301132190</v>
      </c>
      <c r="D41" s="362">
        <v>4607111036537</v>
      </c>
      <c r="E41" s="362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118</v>
      </c>
      <c r="L41" s="37" t="s">
        <v>119</v>
      </c>
      <c r="M41" s="38" t="s">
        <v>86</v>
      </c>
      <c r="N41" s="38"/>
      <c r="O41" s="37">
        <v>365</v>
      </c>
      <c r="P41" s="38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4"/>
      <c r="R41" s="364"/>
      <c r="S41" s="364"/>
      <c r="T41" s="365"/>
      <c r="U41" s="39" t="s">
        <v>46</v>
      </c>
      <c r="V41" s="39" t="s">
        <v>46</v>
      </c>
      <c r="W41" s="40" t="s">
        <v>39</v>
      </c>
      <c r="X41" s="58">
        <v>350</v>
      </c>
      <c r="Y41" s="55">
        <f>IFERROR(IF(X41="","",X41),"")</f>
        <v>350</v>
      </c>
      <c r="Z41" s="41">
        <f>IFERROR(IF(X41="","",X41*0.00941),"")</f>
        <v>3.2934999999999999</v>
      </c>
      <c r="AA41" s="68" t="s">
        <v>46</v>
      </c>
      <c r="AB41" s="69" t="s">
        <v>46</v>
      </c>
      <c r="AC41" s="109" t="s">
        <v>116</v>
      </c>
      <c r="AG41" s="81"/>
      <c r="AJ41" s="87" t="s">
        <v>120</v>
      </c>
      <c r="AK41" s="87">
        <v>14</v>
      </c>
      <c r="BB41" s="110" t="s">
        <v>117</v>
      </c>
      <c r="BM41" s="81">
        <f>IFERROR(X41*I41,"0")</f>
        <v>672.63</v>
      </c>
      <c r="BN41" s="81">
        <f>IFERROR(Y41*I41,"0")</f>
        <v>672.63</v>
      </c>
      <c r="BO41" s="81">
        <f>IFERROR(X41/J41,"0")</f>
        <v>2.5</v>
      </c>
      <c r="BP41" s="81">
        <f>IFERROR(Y41/J41,"0")</f>
        <v>2.5</v>
      </c>
    </row>
    <row r="42" spans="1:68" ht="27" customHeight="1" x14ac:dyDescent="0.25">
      <c r="A42" s="63" t="s">
        <v>121</v>
      </c>
      <c r="B42" s="63" t="s">
        <v>122</v>
      </c>
      <c r="C42" s="36">
        <v>4301132188</v>
      </c>
      <c r="D42" s="362">
        <v>4607111036605</v>
      </c>
      <c r="E42" s="362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118</v>
      </c>
      <c r="L42" s="37" t="s">
        <v>119</v>
      </c>
      <c r="M42" s="38" t="s">
        <v>86</v>
      </c>
      <c r="N42" s="38"/>
      <c r="O42" s="37">
        <v>365</v>
      </c>
      <c r="P42" s="38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4"/>
      <c r="R42" s="364"/>
      <c r="S42" s="364"/>
      <c r="T42" s="365"/>
      <c r="U42" s="39" t="s">
        <v>46</v>
      </c>
      <c r="V42" s="39" t="s">
        <v>46</v>
      </c>
      <c r="W42" s="40" t="s">
        <v>39</v>
      </c>
      <c r="X42" s="58">
        <v>350</v>
      </c>
      <c r="Y42" s="55">
        <f>IFERROR(IF(X42="","",X42),"")</f>
        <v>350</v>
      </c>
      <c r="Z42" s="41">
        <f>IFERROR(IF(X42="","",X42*0.00941),"")</f>
        <v>3.2934999999999999</v>
      </c>
      <c r="AA42" s="68" t="s">
        <v>46</v>
      </c>
      <c r="AB42" s="69" t="s">
        <v>46</v>
      </c>
      <c r="AC42" s="111" t="s">
        <v>116</v>
      </c>
      <c r="AG42" s="81"/>
      <c r="AJ42" s="87" t="s">
        <v>120</v>
      </c>
      <c r="AK42" s="87">
        <v>14</v>
      </c>
      <c r="BB42" s="112" t="s">
        <v>117</v>
      </c>
      <c r="BM42" s="81">
        <f>IFERROR(X42*I42,"0")</f>
        <v>672.63</v>
      </c>
      <c r="BN42" s="81">
        <f>IFERROR(Y42*I42,"0")</f>
        <v>672.63</v>
      </c>
      <c r="BO42" s="81">
        <f>IFERROR(X42/J42,"0")</f>
        <v>2.5</v>
      </c>
      <c r="BP42" s="81">
        <f>IFERROR(Y42/J42,"0")</f>
        <v>2.5</v>
      </c>
    </row>
    <row r="43" spans="1:68" x14ac:dyDescent="0.2">
      <c r="A43" s="376"/>
      <c r="B43" s="376"/>
      <c r="C43" s="376"/>
      <c r="D43" s="376"/>
      <c r="E43" s="376"/>
      <c r="F43" s="376"/>
      <c r="G43" s="376"/>
      <c r="H43" s="376"/>
      <c r="I43" s="376"/>
      <c r="J43" s="376"/>
      <c r="K43" s="376"/>
      <c r="L43" s="376"/>
      <c r="M43" s="376"/>
      <c r="N43" s="376"/>
      <c r="O43" s="377"/>
      <c r="P43" s="373" t="s">
        <v>40</v>
      </c>
      <c r="Q43" s="374"/>
      <c r="R43" s="374"/>
      <c r="S43" s="374"/>
      <c r="T43" s="374"/>
      <c r="U43" s="374"/>
      <c r="V43" s="375"/>
      <c r="W43" s="42" t="s">
        <v>39</v>
      </c>
      <c r="X43" s="43">
        <f>IFERROR(SUM(X41:X42),"0")</f>
        <v>700</v>
      </c>
      <c r="Y43" s="43">
        <f>IFERROR(SUM(Y41:Y42),"0")</f>
        <v>700</v>
      </c>
      <c r="Z43" s="43">
        <f>IFERROR(IF(Z41="",0,Z41),"0")+IFERROR(IF(Z42="",0,Z42),"0")</f>
        <v>6.5869999999999997</v>
      </c>
      <c r="AA43" s="67"/>
      <c r="AB43" s="67"/>
      <c r="AC43" s="67"/>
    </row>
    <row r="44" spans="1:68" x14ac:dyDescent="0.2">
      <c r="A44" s="376"/>
      <c r="B44" s="376"/>
      <c r="C44" s="376"/>
      <c r="D44" s="376"/>
      <c r="E44" s="376"/>
      <c r="F44" s="376"/>
      <c r="G44" s="376"/>
      <c r="H44" s="376"/>
      <c r="I44" s="376"/>
      <c r="J44" s="376"/>
      <c r="K44" s="376"/>
      <c r="L44" s="376"/>
      <c r="M44" s="376"/>
      <c r="N44" s="376"/>
      <c r="O44" s="377"/>
      <c r="P44" s="373" t="s">
        <v>40</v>
      </c>
      <c r="Q44" s="374"/>
      <c r="R44" s="374"/>
      <c r="S44" s="374"/>
      <c r="T44" s="374"/>
      <c r="U44" s="374"/>
      <c r="V44" s="375"/>
      <c r="W44" s="42" t="s">
        <v>0</v>
      </c>
      <c r="X44" s="43">
        <f>IFERROR(SUMPRODUCT(X41:X42*H41:H42),"0")</f>
        <v>1050</v>
      </c>
      <c r="Y44" s="43">
        <f>IFERROR(SUMPRODUCT(Y41:Y42*H41:H42),"0")</f>
        <v>1050</v>
      </c>
      <c r="Z44" s="42"/>
      <c r="AA44" s="67"/>
      <c r="AB44" s="67"/>
      <c r="AC44" s="67"/>
    </row>
    <row r="45" spans="1:68" ht="16.5" customHeight="1" x14ac:dyDescent="0.25">
      <c r="A45" s="360" t="s">
        <v>123</v>
      </c>
      <c r="B45" s="360"/>
      <c r="C45" s="360"/>
      <c r="D45" s="360"/>
      <c r="E45" s="360"/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65"/>
      <c r="AB45" s="65"/>
      <c r="AC45" s="82"/>
    </row>
    <row r="46" spans="1:68" ht="14.25" customHeight="1" x14ac:dyDescent="0.25">
      <c r="A46" s="361" t="s">
        <v>82</v>
      </c>
      <c r="B46" s="361"/>
      <c r="C46" s="361"/>
      <c r="D46" s="361"/>
      <c r="E46" s="361"/>
      <c r="F46" s="361"/>
      <c r="G46" s="361"/>
      <c r="H46" s="361"/>
      <c r="I46" s="361"/>
      <c r="J46" s="361"/>
      <c r="K46" s="361"/>
      <c r="L46" s="361"/>
      <c r="M46" s="361"/>
      <c r="N46" s="361"/>
      <c r="O46" s="361"/>
      <c r="P46" s="361"/>
      <c r="Q46" s="361"/>
      <c r="R46" s="361"/>
      <c r="S46" s="361"/>
      <c r="T46" s="361"/>
      <c r="U46" s="361"/>
      <c r="V46" s="361"/>
      <c r="W46" s="361"/>
      <c r="X46" s="361"/>
      <c r="Y46" s="361"/>
      <c r="Z46" s="361"/>
      <c r="AA46" s="66"/>
      <c r="AB46" s="66"/>
      <c r="AC46" s="83"/>
    </row>
    <row r="47" spans="1:68" ht="27" customHeight="1" x14ac:dyDescent="0.25">
      <c r="A47" s="63" t="s">
        <v>124</v>
      </c>
      <c r="B47" s="63" t="s">
        <v>125</v>
      </c>
      <c r="C47" s="36">
        <v>4301071090</v>
      </c>
      <c r="D47" s="362">
        <v>4620207490075</v>
      </c>
      <c r="E47" s="362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119</v>
      </c>
      <c r="M47" s="38" t="s">
        <v>86</v>
      </c>
      <c r="N47" s="38"/>
      <c r="O47" s="37">
        <v>180</v>
      </c>
      <c r="P47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4"/>
      <c r="R47" s="364"/>
      <c r="S47" s="364"/>
      <c r="T47" s="365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126</v>
      </c>
      <c r="AG47" s="81"/>
      <c r="AJ47" s="87" t="s">
        <v>120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127</v>
      </c>
      <c r="B48" s="63" t="s">
        <v>128</v>
      </c>
      <c r="C48" s="36">
        <v>4301071092</v>
      </c>
      <c r="D48" s="362">
        <v>4620207490174</v>
      </c>
      <c r="E48" s="362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88</v>
      </c>
      <c r="M48" s="38" t="s">
        <v>86</v>
      </c>
      <c r="N48" s="38"/>
      <c r="O48" s="37">
        <v>180</v>
      </c>
      <c r="P48" s="38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4"/>
      <c r="R48" s="364"/>
      <c r="S48" s="364"/>
      <c r="T48" s="365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129</v>
      </c>
      <c r="AG48" s="81"/>
      <c r="AJ48" s="87" t="s">
        <v>89</v>
      </c>
      <c r="AK48" s="87">
        <v>1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376"/>
      <c r="N49" s="376"/>
      <c r="O49" s="377"/>
      <c r="P49" s="373" t="s">
        <v>40</v>
      </c>
      <c r="Q49" s="374"/>
      <c r="R49" s="374"/>
      <c r="S49" s="374"/>
      <c r="T49" s="374"/>
      <c r="U49" s="374"/>
      <c r="V49" s="37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376"/>
      <c r="B50" s="376"/>
      <c r="C50" s="376"/>
      <c r="D50" s="376"/>
      <c r="E50" s="376"/>
      <c r="F50" s="376"/>
      <c r="G50" s="376"/>
      <c r="H50" s="376"/>
      <c r="I50" s="376"/>
      <c r="J50" s="376"/>
      <c r="K50" s="376"/>
      <c r="L50" s="376"/>
      <c r="M50" s="376"/>
      <c r="N50" s="376"/>
      <c r="O50" s="377"/>
      <c r="P50" s="373" t="s">
        <v>40</v>
      </c>
      <c r="Q50" s="374"/>
      <c r="R50" s="374"/>
      <c r="S50" s="374"/>
      <c r="T50" s="374"/>
      <c r="U50" s="374"/>
      <c r="V50" s="37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60" t="s">
        <v>130</v>
      </c>
      <c r="B51" s="360"/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65"/>
      <c r="AB51" s="65"/>
      <c r="AC51" s="82"/>
    </row>
    <row r="52" spans="1:68" ht="14.25" customHeight="1" x14ac:dyDescent="0.25">
      <c r="A52" s="361" t="s">
        <v>82</v>
      </c>
      <c r="B52" s="361"/>
      <c r="C52" s="361"/>
      <c r="D52" s="361"/>
      <c r="E52" s="361"/>
      <c r="F52" s="361"/>
      <c r="G52" s="361"/>
      <c r="H52" s="361"/>
      <c r="I52" s="361"/>
      <c r="J52" s="361"/>
      <c r="K52" s="361"/>
      <c r="L52" s="361"/>
      <c r="M52" s="361"/>
      <c r="N52" s="361"/>
      <c r="O52" s="361"/>
      <c r="P52" s="361"/>
      <c r="Q52" s="361"/>
      <c r="R52" s="361"/>
      <c r="S52" s="361"/>
      <c r="T52" s="361"/>
      <c r="U52" s="361"/>
      <c r="V52" s="361"/>
      <c r="W52" s="361"/>
      <c r="X52" s="361"/>
      <c r="Y52" s="361"/>
      <c r="Z52" s="361"/>
      <c r="AA52" s="66"/>
      <c r="AB52" s="66"/>
      <c r="AC52" s="83"/>
    </row>
    <row r="53" spans="1:68" ht="27" customHeight="1" x14ac:dyDescent="0.25">
      <c r="A53" s="63" t="s">
        <v>131</v>
      </c>
      <c r="B53" s="63" t="s">
        <v>132</v>
      </c>
      <c r="C53" s="36">
        <v>4301071044</v>
      </c>
      <c r="D53" s="362">
        <v>4607111039385</v>
      </c>
      <c r="E53" s="362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87</v>
      </c>
      <c r="L53" s="37" t="s">
        <v>119</v>
      </c>
      <c r="M53" s="38" t="s">
        <v>86</v>
      </c>
      <c r="N53" s="38"/>
      <c r="O53" s="37">
        <v>180</v>
      </c>
      <c r="P53" s="38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64"/>
      <c r="R53" s="364"/>
      <c r="S53" s="364"/>
      <c r="T53" s="365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133</v>
      </c>
      <c r="AG53" s="81"/>
      <c r="AJ53" s="87" t="s">
        <v>120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134</v>
      </c>
      <c r="B54" s="63" t="s">
        <v>135</v>
      </c>
      <c r="C54" s="36">
        <v>4301071031</v>
      </c>
      <c r="D54" s="362">
        <v>4607111038982</v>
      </c>
      <c r="E54" s="362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87</v>
      </c>
      <c r="L54" s="37" t="s">
        <v>119</v>
      </c>
      <c r="M54" s="38" t="s">
        <v>86</v>
      </c>
      <c r="N54" s="38"/>
      <c r="O54" s="37">
        <v>180</v>
      </c>
      <c r="P54" s="385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64"/>
      <c r="R54" s="364"/>
      <c r="S54" s="364"/>
      <c r="T54" s="365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136</v>
      </c>
      <c r="AG54" s="81"/>
      <c r="AJ54" s="87" t="s">
        <v>120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4301071046</v>
      </c>
      <c r="D55" s="362">
        <v>4607111039354</v>
      </c>
      <c r="E55" s="362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87</v>
      </c>
      <c r="L55" s="37" t="s">
        <v>119</v>
      </c>
      <c r="M55" s="38" t="s">
        <v>86</v>
      </c>
      <c r="N55" s="38"/>
      <c r="O55" s="37">
        <v>180</v>
      </c>
      <c r="P55" s="38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64"/>
      <c r="R55" s="364"/>
      <c r="S55" s="364"/>
      <c r="T55" s="365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136</v>
      </c>
      <c r="AG55" s="81"/>
      <c r="AJ55" s="87" t="s">
        <v>120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139</v>
      </c>
      <c r="B56" s="63" t="s">
        <v>140</v>
      </c>
      <c r="C56" s="36">
        <v>4301071047</v>
      </c>
      <c r="D56" s="362">
        <v>4607111039330</v>
      </c>
      <c r="E56" s="362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87</v>
      </c>
      <c r="L56" s="37" t="s">
        <v>119</v>
      </c>
      <c r="M56" s="38" t="s">
        <v>86</v>
      </c>
      <c r="N56" s="38"/>
      <c r="O56" s="37">
        <v>180</v>
      </c>
      <c r="P56" s="38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64"/>
      <c r="R56" s="364"/>
      <c r="S56" s="364"/>
      <c r="T56" s="365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136</v>
      </c>
      <c r="AG56" s="81"/>
      <c r="AJ56" s="87" t="s">
        <v>120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376"/>
      <c r="B57" s="376"/>
      <c r="C57" s="376"/>
      <c r="D57" s="376"/>
      <c r="E57" s="376"/>
      <c r="F57" s="376"/>
      <c r="G57" s="376"/>
      <c r="H57" s="376"/>
      <c r="I57" s="376"/>
      <c r="J57" s="376"/>
      <c r="K57" s="376"/>
      <c r="L57" s="376"/>
      <c r="M57" s="376"/>
      <c r="N57" s="376"/>
      <c r="O57" s="377"/>
      <c r="P57" s="373" t="s">
        <v>40</v>
      </c>
      <c r="Q57" s="374"/>
      <c r="R57" s="374"/>
      <c r="S57" s="374"/>
      <c r="T57" s="374"/>
      <c r="U57" s="374"/>
      <c r="V57" s="37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376"/>
      <c r="B58" s="376"/>
      <c r="C58" s="376"/>
      <c r="D58" s="376"/>
      <c r="E58" s="376"/>
      <c r="F58" s="376"/>
      <c r="G58" s="376"/>
      <c r="H58" s="376"/>
      <c r="I58" s="376"/>
      <c r="J58" s="376"/>
      <c r="K58" s="376"/>
      <c r="L58" s="376"/>
      <c r="M58" s="376"/>
      <c r="N58" s="376"/>
      <c r="O58" s="377"/>
      <c r="P58" s="373" t="s">
        <v>40</v>
      </c>
      <c r="Q58" s="374"/>
      <c r="R58" s="374"/>
      <c r="S58" s="374"/>
      <c r="T58" s="374"/>
      <c r="U58" s="374"/>
      <c r="V58" s="37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60" t="s">
        <v>141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65"/>
      <c r="AB59" s="65"/>
      <c r="AC59" s="82"/>
    </row>
    <row r="60" spans="1:68" ht="14.25" customHeight="1" x14ac:dyDescent="0.25">
      <c r="A60" s="361" t="s">
        <v>113</v>
      </c>
      <c r="B60" s="361"/>
      <c r="C60" s="361"/>
      <c r="D60" s="361"/>
      <c r="E60" s="361"/>
      <c r="F60" s="361"/>
      <c r="G60" s="361"/>
      <c r="H60" s="361"/>
      <c r="I60" s="361"/>
      <c r="J60" s="361"/>
      <c r="K60" s="361"/>
      <c r="L60" s="361"/>
      <c r="M60" s="361"/>
      <c r="N60" s="361"/>
      <c r="O60" s="361"/>
      <c r="P60" s="361"/>
      <c r="Q60" s="361"/>
      <c r="R60" s="361"/>
      <c r="S60" s="361"/>
      <c r="T60" s="361"/>
      <c r="U60" s="361"/>
      <c r="V60" s="361"/>
      <c r="W60" s="361"/>
      <c r="X60" s="361"/>
      <c r="Y60" s="361"/>
      <c r="Z60" s="361"/>
      <c r="AA60" s="66"/>
      <c r="AB60" s="66"/>
      <c r="AC60" s="83"/>
    </row>
    <row r="61" spans="1:68" ht="27" customHeight="1" x14ac:dyDescent="0.25">
      <c r="A61" s="63" t="s">
        <v>142</v>
      </c>
      <c r="B61" s="63" t="s">
        <v>143</v>
      </c>
      <c r="C61" s="36">
        <v>4301132194</v>
      </c>
      <c r="D61" s="362">
        <v>4607111039712</v>
      </c>
      <c r="E61" s="362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118</v>
      </c>
      <c r="L61" s="37" t="s">
        <v>88</v>
      </c>
      <c r="M61" s="38" t="s">
        <v>86</v>
      </c>
      <c r="N61" s="38"/>
      <c r="O61" s="37">
        <v>365</v>
      </c>
      <c r="P61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64"/>
      <c r="R61" s="364"/>
      <c r="S61" s="364"/>
      <c r="T61" s="365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144</v>
      </c>
      <c r="AG61" s="81"/>
      <c r="AJ61" s="87" t="s">
        <v>89</v>
      </c>
      <c r="AK61" s="87">
        <v>1</v>
      </c>
      <c r="BB61" s="126" t="s">
        <v>117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376"/>
      <c r="B62" s="376"/>
      <c r="C62" s="376"/>
      <c r="D62" s="376"/>
      <c r="E62" s="376"/>
      <c r="F62" s="376"/>
      <c r="G62" s="376"/>
      <c r="H62" s="376"/>
      <c r="I62" s="376"/>
      <c r="J62" s="376"/>
      <c r="K62" s="376"/>
      <c r="L62" s="376"/>
      <c r="M62" s="376"/>
      <c r="N62" s="376"/>
      <c r="O62" s="377"/>
      <c r="P62" s="373" t="s">
        <v>40</v>
      </c>
      <c r="Q62" s="374"/>
      <c r="R62" s="374"/>
      <c r="S62" s="374"/>
      <c r="T62" s="374"/>
      <c r="U62" s="374"/>
      <c r="V62" s="37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376"/>
      <c r="B63" s="376"/>
      <c r="C63" s="376"/>
      <c r="D63" s="376"/>
      <c r="E63" s="376"/>
      <c r="F63" s="376"/>
      <c r="G63" s="376"/>
      <c r="H63" s="376"/>
      <c r="I63" s="376"/>
      <c r="J63" s="376"/>
      <c r="K63" s="376"/>
      <c r="L63" s="376"/>
      <c r="M63" s="376"/>
      <c r="N63" s="376"/>
      <c r="O63" s="377"/>
      <c r="P63" s="373" t="s">
        <v>40</v>
      </c>
      <c r="Q63" s="374"/>
      <c r="R63" s="374"/>
      <c r="S63" s="374"/>
      <c r="T63" s="374"/>
      <c r="U63" s="374"/>
      <c r="V63" s="37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61" t="s">
        <v>145</v>
      </c>
      <c r="B64" s="361"/>
      <c r="C64" s="361"/>
      <c r="D64" s="361"/>
      <c r="E64" s="361"/>
      <c r="F64" s="361"/>
      <c r="G64" s="361"/>
      <c r="H64" s="361"/>
      <c r="I64" s="361"/>
      <c r="J64" s="361"/>
      <c r="K64" s="361"/>
      <c r="L64" s="361"/>
      <c r="M64" s="361"/>
      <c r="N64" s="361"/>
      <c r="O64" s="361"/>
      <c r="P64" s="361"/>
      <c r="Q64" s="361"/>
      <c r="R64" s="361"/>
      <c r="S64" s="361"/>
      <c r="T64" s="361"/>
      <c r="U64" s="361"/>
      <c r="V64" s="361"/>
      <c r="W64" s="361"/>
      <c r="X64" s="361"/>
      <c r="Y64" s="361"/>
      <c r="Z64" s="361"/>
      <c r="AA64" s="66"/>
      <c r="AB64" s="66"/>
      <c r="AC64" s="83"/>
    </row>
    <row r="65" spans="1:68" ht="16.5" customHeight="1" x14ac:dyDescent="0.25">
      <c r="A65" s="63" t="s">
        <v>146</v>
      </c>
      <c r="B65" s="63" t="s">
        <v>147</v>
      </c>
      <c r="C65" s="36">
        <v>4301136018</v>
      </c>
      <c r="D65" s="362">
        <v>4607111037008</v>
      </c>
      <c r="E65" s="362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118</v>
      </c>
      <c r="L65" s="37" t="s">
        <v>88</v>
      </c>
      <c r="M65" s="38" t="s">
        <v>86</v>
      </c>
      <c r="N65" s="38"/>
      <c r="O65" s="37">
        <v>365</v>
      </c>
      <c r="P65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64"/>
      <c r="R65" s="364"/>
      <c r="S65" s="364"/>
      <c r="T65" s="365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148</v>
      </c>
      <c r="AG65" s="81"/>
      <c r="AJ65" s="87" t="s">
        <v>89</v>
      </c>
      <c r="AK65" s="87">
        <v>1</v>
      </c>
      <c r="BB65" s="128" t="s">
        <v>117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149</v>
      </c>
      <c r="B66" s="63" t="s">
        <v>150</v>
      </c>
      <c r="C66" s="36">
        <v>4301136015</v>
      </c>
      <c r="D66" s="362">
        <v>4607111037398</v>
      </c>
      <c r="E66" s="362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118</v>
      </c>
      <c r="L66" s="37" t="s">
        <v>88</v>
      </c>
      <c r="M66" s="38" t="s">
        <v>86</v>
      </c>
      <c r="N66" s="38"/>
      <c r="O66" s="37">
        <v>365</v>
      </c>
      <c r="P66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64"/>
      <c r="R66" s="364"/>
      <c r="S66" s="364"/>
      <c r="T66" s="365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89</v>
      </c>
      <c r="AK66" s="87">
        <v>1</v>
      </c>
      <c r="BB66" s="130" t="s">
        <v>117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6"/>
      <c r="B67" s="376"/>
      <c r="C67" s="376"/>
      <c r="D67" s="376"/>
      <c r="E67" s="376"/>
      <c r="F67" s="376"/>
      <c r="G67" s="376"/>
      <c r="H67" s="376"/>
      <c r="I67" s="376"/>
      <c r="J67" s="376"/>
      <c r="K67" s="376"/>
      <c r="L67" s="376"/>
      <c r="M67" s="376"/>
      <c r="N67" s="376"/>
      <c r="O67" s="377"/>
      <c r="P67" s="373" t="s">
        <v>40</v>
      </c>
      <c r="Q67" s="374"/>
      <c r="R67" s="374"/>
      <c r="S67" s="374"/>
      <c r="T67" s="374"/>
      <c r="U67" s="374"/>
      <c r="V67" s="37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376"/>
      <c r="B68" s="376"/>
      <c r="C68" s="376"/>
      <c r="D68" s="376"/>
      <c r="E68" s="376"/>
      <c r="F68" s="376"/>
      <c r="G68" s="376"/>
      <c r="H68" s="376"/>
      <c r="I68" s="376"/>
      <c r="J68" s="376"/>
      <c r="K68" s="376"/>
      <c r="L68" s="376"/>
      <c r="M68" s="376"/>
      <c r="N68" s="376"/>
      <c r="O68" s="377"/>
      <c r="P68" s="373" t="s">
        <v>40</v>
      </c>
      <c r="Q68" s="374"/>
      <c r="R68" s="374"/>
      <c r="S68" s="374"/>
      <c r="T68" s="374"/>
      <c r="U68" s="374"/>
      <c r="V68" s="37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61" t="s">
        <v>151</v>
      </c>
      <c r="B69" s="361"/>
      <c r="C69" s="361"/>
      <c r="D69" s="361"/>
      <c r="E69" s="361"/>
      <c r="F69" s="361"/>
      <c r="G69" s="361"/>
      <c r="H69" s="361"/>
      <c r="I69" s="361"/>
      <c r="J69" s="361"/>
      <c r="K69" s="361"/>
      <c r="L69" s="361"/>
      <c r="M69" s="361"/>
      <c r="N69" s="361"/>
      <c r="O69" s="361"/>
      <c r="P69" s="361"/>
      <c r="Q69" s="361"/>
      <c r="R69" s="361"/>
      <c r="S69" s="361"/>
      <c r="T69" s="361"/>
      <c r="U69" s="361"/>
      <c r="V69" s="361"/>
      <c r="W69" s="361"/>
      <c r="X69" s="361"/>
      <c r="Y69" s="361"/>
      <c r="Z69" s="361"/>
      <c r="AA69" s="66"/>
      <c r="AB69" s="66"/>
      <c r="AC69" s="83"/>
    </row>
    <row r="70" spans="1:68" ht="27" customHeight="1" x14ac:dyDescent="0.25">
      <c r="A70" s="63" t="s">
        <v>152</v>
      </c>
      <c r="B70" s="63" t="s">
        <v>153</v>
      </c>
      <c r="C70" s="36">
        <v>4301135664</v>
      </c>
      <c r="D70" s="362">
        <v>4607111039705</v>
      </c>
      <c r="E70" s="362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118</v>
      </c>
      <c r="L70" s="37" t="s">
        <v>88</v>
      </c>
      <c r="M70" s="38" t="s">
        <v>86</v>
      </c>
      <c r="N70" s="38"/>
      <c r="O70" s="37">
        <v>365</v>
      </c>
      <c r="P70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64"/>
      <c r="R70" s="364"/>
      <c r="S70" s="364"/>
      <c r="T70" s="365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148</v>
      </c>
      <c r="AG70" s="81"/>
      <c r="AJ70" s="87" t="s">
        <v>89</v>
      </c>
      <c r="AK70" s="87">
        <v>1</v>
      </c>
      <c r="BB70" s="132" t="s">
        <v>117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154</v>
      </c>
      <c r="B71" s="63" t="s">
        <v>155</v>
      </c>
      <c r="C71" s="36">
        <v>4301135665</v>
      </c>
      <c r="D71" s="362">
        <v>4607111039729</v>
      </c>
      <c r="E71" s="362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118</v>
      </c>
      <c r="L71" s="37" t="s">
        <v>88</v>
      </c>
      <c r="M71" s="38" t="s">
        <v>86</v>
      </c>
      <c r="N71" s="38"/>
      <c r="O71" s="37">
        <v>365</v>
      </c>
      <c r="P71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64"/>
      <c r="R71" s="364"/>
      <c r="S71" s="364"/>
      <c r="T71" s="365"/>
      <c r="U71" s="39" t="s">
        <v>46</v>
      </c>
      <c r="V71" s="39" t="s">
        <v>46</v>
      </c>
      <c r="W71" s="40" t="s">
        <v>39</v>
      </c>
      <c r="X71" s="58">
        <v>234</v>
      </c>
      <c r="Y71" s="55">
        <f>IFERROR(IF(X71="","",X71),"")</f>
        <v>234</v>
      </c>
      <c r="Z71" s="41">
        <f>IFERROR(IF(X71="","",X71*0.00941),"")</f>
        <v>2.20194</v>
      </c>
      <c r="AA71" s="68" t="s">
        <v>46</v>
      </c>
      <c r="AB71" s="69" t="s">
        <v>46</v>
      </c>
      <c r="AC71" s="133" t="s">
        <v>156</v>
      </c>
      <c r="AG71" s="81"/>
      <c r="AJ71" s="87" t="s">
        <v>89</v>
      </c>
      <c r="AK71" s="87">
        <v>1</v>
      </c>
      <c r="BB71" s="134" t="s">
        <v>117</v>
      </c>
      <c r="BM71" s="81">
        <f>IFERROR(X71*I71,"0")</f>
        <v>365.04</v>
      </c>
      <c r="BN71" s="81">
        <f>IFERROR(Y71*I71,"0")</f>
        <v>365.04</v>
      </c>
      <c r="BO71" s="81">
        <f>IFERROR(X71/J71,"0")</f>
        <v>1.6714285714285715</v>
      </c>
      <c r="BP71" s="81">
        <f>IFERROR(Y71/J71,"0")</f>
        <v>1.6714285714285715</v>
      </c>
    </row>
    <row r="72" spans="1:68" ht="27" customHeight="1" x14ac:dyDescent="0.25">
      <c r="A72" s="63" t="s">
        <v>157</v>
      </c>
      <c r="B72" s="63" t="s">
        <v>158</v>
      </c>
      <c r="C72" s="36">
        <v>4301135702</v>
      </c>
      <c r="D72" s="362">
        <v>4620207490228</v>
      </c>
      <c r="E72" s="362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118</v>
      </c>
      <c r="L72" s="37" t="s">
        <v>88</v>
      </c>
      <c r="M72" s="38" t="s">
        <v>86</v>
      </c>
      <c r="N72" s="38"/>
      <c r="O72" s="37">
        <v>365</v>
      </c>
      <c r="P72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64"/>
      <c r="R72" s="364"/>
      <c r="S72" s="364"/>
      <c r="T72" s="365"/>
      <c r="U72" s="39" t="s">
        <v>46</v>
      </c>
      <c r="V72" s="39" t="s">
        <v>46</v>
      </c>
      <c r="W72" s="40" t="s">
        <v>39</v>
      </c>
      <c r="X72" s="58">
        <v>350</v>
      </c>
      <c r="Y72" s="55">
        <f>IFERROR(IF(X72="","",X72),"")</f>
        <v>350</v>
      </c>
      <c r="Z72" s="41">
        <f>IFERROR(IF(X72="","",X72*0.00941),"")</f>
        <v>3.2934999999999999</v>
      </c>
      <c r="AA72" s="68" t="s">
        <v>46</v>
      </c>
      <c r="AB72" s="69" t="s">
        <v>46</v>
      </c>
      <c r="AC72" s="135" t="s">
        <v>156</v>
      </c>
      <c r="AG72" s="81"/>
      <c r="AJ72" s="87" t="s">
        <v>89</v>
      </c>
      <c r="AK72" s="87">
        <v>1</v>
      </c>
      <c r="BB72" s="136" t="s">
        <v>117</v>
      </c>
      <c r="BM72" s="81">
        <f>IFERROR(X72*I72,"0")</f>
        <v>546</v>
      </c>
      <c r="BN72" s="81">
        <f>IFERROR(Y72*I72,"0")</f>
        <v>546</v>
      </c>
      <c r="BO72" s="81">
        <f>IFERROR(X72/J72,"0")</f>
        <v>2.5</v>
      </c>
      <c r="BP72" s="81">
        <f>IFERROR(Y72/J72,"0")</f>
        <v>2.5</v>
      </c>
    </row>
    <row r="73" spans="1:68" x14ac:dyDescent="0.2">
      <c r="A73" s="376"/>
      <c r="B73" s="376"/>
      <c r="C73" s="376"/>
      <c r="D73" s="376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7"/>
      <c r="P73" s="373" t="s">
        <v>40</v>
      </c>
      <c r="Q73" s="374"/>
      <c r="R73" s="374"/>
      <c r="S73" s="374"/>
      <c r="T73" s="374"/>
      <c r="U73" s="374"/>
      <c r="V73" s="375"/>
      <c r="W73" s="42" t="s">
        <v>39</v>
      </c>
      <c r="X73" s="43">
        <f>IFERROR(SUM(X70:X72),"0")</f>
        <v>584</v>
      </c>
      <c r="Y73" s="43">
        <f>IFERROR(SUM(Y70:Y72),"0")</f>
        <v>584</v>
      </c>
      <c r="Z73" s="43">
        <f>IFERROR(IF(Z70="",0,Z70),"0")+IFERROR(IF(Z71="",0,Z71),"0")+IFERROR(IF(Z72="",0,Z72),"0")</f>
        <v>5.4954400000000003</v>
      </c>
      <c r="AA73" s="67"/>
      <c r="AB73" s="67"/>
      <c r="AC73" s="67"/>
    </row>
    <row r="74" spans="1:68" x14ac:dyDescent="0.2">
      <c r="A74" s="376"/>
      <c r="B74" s="376"/>
      <c r="C74" s="376"/>
      <c r="D74" s="376"/>
      <c r="E74" s="376"/>
      <c r="F74" s="376"/>
      <c r="G74" s="376"/>
      <c r="H74" s="376"/>
      <c r="I74" s="376"/>
      <c r="J74" s="376"/>
      <c r="K74" s="376"/>
      <c r="L74" s="376"/>
      <c r="M74" s="376"/>
      <c r="N74" s="376"/>
      <c r="O74" s="377"/>
      <c r="P74" s="373" t="s">
        <v>40</v>
      </c>
      <c r="Q74" s="374"/>
      <c r="R74" s="374"/>
      <c r="S74" s="374"/>
      <c r="T74" s="374"/>
      <c r="U74" s="374"/>
      <c r="V74" s="375"/>
      <c r="W74" s="42" t="s">
        <v>0</v>
      </c>
      <c r="X74" s="43">
        <f>IFERROR(SUMPRODUCT(X70:X72*H70:H72),"0")</f>
        <v>700.8</v>
      </c>
      <c r="Y74" s="43">
        <f>IFERROR(SUMPRODUCT(Y70:Y72*H70:H72),"0")</f>
        <v>700.8</v>
      </c>
      <c r="Z74" s="42"/>
      <c r="AA74" s="67"/>
      <c r="AB74" s="67"/>
      <c r="AC74" s="67"/>
    </row>
    <row r="75" spans="1:68" ht="16.5" customHeight="1" x14ac:dyDescent="0.25">
      <c r="A75" s="360" t="s">
        <v>159</v>
      </c>
      <c r="B75" s="360"/>
      <c r="C75" s="360"/>
      <c r="D75" s="360"/>
      <c r="E75" s="360"/>
      <c r="F75" s="360"/>
      <c r="G75" s="360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65"/>
      <c r="AB75" s="65"/>
      <c r="AC75" s="82"/>
    </row>
    <row r="76" spans="1:68" ht="14.25" customHeight="1" x14ac:dyDescent="0.25">
      <c r="A76" s="361" t="s">
        <v>82</v>
      </c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1"/>
      <c r="P76" s="361"/>
      <c r="Q76" s="361"/>
      <c r="R76" s="361"/>
      <c r="S76" s="361"/>
      <c r="T76" s="361"/>
      <c r="U76" s="361"/>
      <c r="V76" s="361"/>
      <c r="W76" s="361"/>
      <c r="X76" s="361"/>
      <c r="Y76" s="361"/>
      <c r="Z76" s="361"/>
      <c r="AA76" s="66"/>
      <c r="AB76" s="66"/>
      <c r="AC76" s="83"/>
    </row>
    <row r="77" spans="1:68" ht="27" customHeight="1" x14ac:dyDescent="0.25">
      <c r="A77" s="63" t="s">
        <v>160</v>
      </c>
      <c r="B77" s="63" t="s">
        <v>161</v>
      </c>
      <c r="C77" s="36">
        <v>4301070977</v>
      </c>
      <c r="D77" s="362">
        <v>4607111037411</v>
      </c>
      <c r="E77" s="362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163</v>
      </c>
      <c r="L77" s="37" t="s">
        <v>119</v>
      </c>
      <c r="M77" s="38" t="s">
        <v>86</v>
      </c>
      <c r="N77" s="38"/>
      <c r="O77" s="37">
        <v>180</v>
      </c>
      <c r="P77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64"/>
      <c r="R77" s="364"/>
      <c r="S77" s="364"/>
      <c r="T77" s="365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162</v>
      </c>
      <c r="AG77" s="81"/>
      <c r="AJ77" s="87" t="s">
        <v>120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164</v>
      </c>
      <c r="B78" s="63" t="s">
        <v>165</v>
      </c>
      <c r="C78" s="36">
        <v>4301070981</v>
      </c>
      <c r="D78" s="362">
        <v>4607111036728</v>
      </c>
      <c r="E78" s="362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87</v>
      </c>
      <c r="L78" s="37" t="s">
        <v>119</v>
      </c>
      <c r="M78" s="38" t="s">
        <v>86</v>
      </c>
      <c r="N78" s="38"/>
      <c r="O78" s="37">
        <v>180</v>
      </c>
      <c r="P78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64"/>
      <c r="R78" s="364"/>
      <c r="S78" s="364"/>
      <c r="T78" s="365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162</v>
      </c>
      <c r="AG78" s="81"/>
      <c r="AJ78" s="87" t="s">
        <v>120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376"/>
      <c r="B79" s="376"/>
      <c r="C79" s="376"/>
      <c r="D79" s="376"/>
      <c r="E79" s="376"/>
      <c r="F79" s="376"/>
      <c r="G79" s="376"/>
      <c r="H79" s="376"/>
      <c r="I79" s="376"/>
      <c r="J79" s="376"/>
      <c r="K79" s="376"/>
      <c r="L79" s="376"/>
      <c r="M79" s="376"/>
      <c r="N79" s="376"/>
      <c r="O79" s="377"/>
      <c r="P79" s="373" t="s">
        <v>40</v>
      </c>
      <c r="Q79" s="374"/>
      <c r="R79" s="374"/>
      <c r="S79" s="374"/>
      <c r="T79" s="374"/>
      <c r="U79" s="374"/>
      <c r="V79" s="37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376"/>
      <c r="B80" s="376"/>
      <c r="C80" s="376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7"/>
      <c r="P80" s="373" t="s">
        <v>40</v>
      </c>
      <c r="Q80" s="374"/>
      <c r="R80" s="374"/>
      <c r="S80" s="374"/>
      <c r="T80" s="374"/>
      <c r="U80" s="374"/>
      <c r="V80" s="37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60" t="s">
        <v>166</v>
      </c>
      <c r="B81" s="360"/>
      <c r="C81" s="360"/>
      <c r="D81" s="360"/>
      <c r="E81" s="360"/>
      <c r="F81" s="360"/>
      <c r="G81" s="360"/>
      <c r="H81" s="360"/>
      <c r="I81" s="360"/>
      <c r="J81" s="360"/>
      <c r="K81" s="360"/>
      <c r="L81" s="360"/>
      <c r="M81" s="360"/>
      <c r="N81" s="360"/>
      <c r="O81" s="360"/>
      <c r="P81" s="360"/>
      <c r="Q81" s="360"/>
      <c r="R81" s="360"/>
      <c r="S81" s="360"/>
      <c r="T81" s="360"/>
      <c r="U81" s="360"/>
      <c r="V81" s="360"/>
      <c r="W81" s="360"/>
      <c r="X81" s="360"/>
      <c r="Y81" s="360"/>
      <c r="Z81" s="360"/>
      <c r="AA81" s="65"/>
      <c r="AB81" s="65"/>
      <c r="AC81" s="82"/>
    </row>
    <row r="82" spans="1:68" ht="14.25" customHeight="1" x14ac:dyDescent="0.25">
      <c r="A82" s="361" t="s">
        <v>151</v>
      </c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1"/>
      <c r="P82" s="361"/>
      <c r="Q82" s="361"/>
      <c r="R82" s="361"/>
      <c r="S82" s="361"/>
      <c r="T82" s="361"/>
      <c r="U82" s="361"/>
      <c r="V82" s="361"/>
      <c r="W82" s="361"/>
      <c r="X82" s="361"/>
      <c r="Y82" s="361"/>
      <c r="Z82" s="361"/>
      <c r="AA82" s="66"/>
      <c r="AB82" s="66"/>
      <c r="AC82" s="83"/>
    </row>
    <row r="83" spans="1:68" ht="27" customHeight="1" x14ac:dyDescent="0.25">
      <c r="A83" s="63" t="s">
        <v>167</v>
      </c>
      <c r="B83" s="63" t="s">
        <v>168</v>
      </c>
      <c r="C83" s="36">
        <v>4301135574</v>
      </c>
      <c r="D83" s="362">
        <v>4607111033659</v>
      </c>
      <c r="E83" s="362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118</v>
      </c>
      <c r="L83" s="37" t="s">
        <v>119</v>
      </c>
      <c r="M83" s="38" t="s">
        <v>86</v>
      </c>
      <c r="N83" s="38"/>
      <c r="O83" s="37">
        <v>180</v>
      </c>
      <c r="P83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64"/>
      <c r="R83" s="364"/>
      <c r="S83" s="364"/>
      <c r="T83" s="365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169</v>
      </c>
      <c r="AG83" s="81"/>
      <c r="AJ83" s="87" t="s">
        <v>120</v>
      </c>
      <c r="AK83" s="87">
        <v>14</v>
      </c>
      <c r="BB83" s="142" t="s">
        <v>117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6"/>
      <c r="B84" s="376"/>
      <c r="C84" s="376"/>
      <c r="D84" s="376"/>
      <c r="E84" s="376"/>
      <c r="F84" s="376"/>
      <c r="G84" s="376"/>
      <c r="H84" s="376"/>
      <c r="I84" s="376"/>
      <c r="J84" s="376"/>
      <c r="K84" s="376"/>
      <c r="L84" s="376"/>
      <c r="M84" s="376"/>
      <c r="N84" s="376"/>
      <c r="O84" s="377"/>
      <c r="P84" s="373" t="s">
        <v>40</v>
      </c>
      <c r="Q84" s="374"/>
      <c r="R84" s="374"/>
      <c r="S84" s="374"/>
      <c r="T84" s="374"/>
      <c r="U84" s="374"/>
      <c r="V84" s="37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376"/>
      <c r="B85" s="376"/>
      <c r="C85" s="376"/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7"/>
      <c r="P85" s="373" t="s">
        <v>40</v>
      </c>
      <c r="Q85" s="374"/>
      <c r="R85" s="374"/>
      <c r="S85" s="374"/>
      <c r="T85" s="374"/>
      <c r="U85" s="374"/>
      <c r="V85" s="37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60" t="s">
        <v>170</v>
      </c>
      <c r="B86" s="360"/>
      <c r="C86" s="360"/>
      <c r="D86" s="360"/>
      <c r="E86" s="360"/>
      <c r="F86" s="360"/>
      <c r="G86" s="360"/>
      <c r="H86" s="360"/>
      <c r="I86" s="360"/>
      <c r="J86" s="360"/>
      <c r="K86" s="360"/>
      <c r="L86" s="360"/>
      <c r="M86" s="360"/>
      <c r="N86" s="360"/>
      <c r="O86" s="360"/>
      <c r="P86" s="360"/>
      <c r="Q86" s="360"/>
      <c r="R86" s="360"/>
      <c r="S86" s="360"/>
      <c r="T86" s="360"/>
      <c r="U86" s="360"/>
      <c r="V86" s="360"/>
      <c r="W86" s="360"/>
      <c r="X86" s="360"/>
      <c r="Y86" s="360"/>
      <c r="Z86" s="360"/>
      <c r="AA86" s="65"/>
      <c r="AB86" s="65"/>
      <c r="AC86" s="82"/>
    </row>
    <row r="87" spans="1:68" ht="14.25" customHeight="1" x14ac:dyDescent="0.25">
      <c r="A87" s="361" t="s">
        <v>171</v>
      </c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1"/>
      <c r="P87" s="361"/>
      <c r="Q87" s="361"/>
      <c r="R87" s="361"/>
      <c r="S87" s="361"/>
      <c r="T87" s="361"/>
      <c r="U87" s="361"/>
      <c r="V87" s="361"/>
      <c r="W87" s="361"/>
      <c r="X87" s="361"/>
      <c r="Y87" s="361"/>
      <c r="Z87" s="361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4301131047</v>
      </c>
      <c r="D88" s="362">
        <v>4607111034120</v>
      </c>
      <c r="E88" s="362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118</v>
      </c>
      <c r="L88" s="37" t="s">
        <v>119</v>
      </c>
      <c r="M88" s="38" t="s">
        <v>86</v>
      </c>
      <c r="N88" s="38"/>
      <c r="O88" s="37">
        <v>180</v>
      </c>
      <c r="P88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64"/>
      <c r="R88" s="364"/>
      <c r="S88" s="364"/>
      <c r="T88" s="365"/>
      <c r="U88" s="39" t="s">
        <v>46</v>
      </c>
      <c r="V88" s="39" t="s">
        <v>46</v>
      </c>
      <c r="W88" s="40" t="s">
        <v>39</v>
      </c>
      <c r="X88" s="58">
        <v>42</v>
      </c>
      <c r="Y88" s="55">
        <f>IFERROR(IF(X88="","",X88),"")</f>
        <v>42</v>
      </c>
      <c r="Z88" s="41">
        <f>IFERROR(IF(X88="","",X88*0.01788),"")</f>
        <v>0.75095999999999996</v>
      </c>
      <c r="AA88" s="68" t="s">
        <v>46</v>
      </c>
      <c r="AB88" s="69" t="s">
        <v>46</v>
      </c>
      <c r="AC88" s="143" t="s">
        <v>174</v>
      </c>
      <c r="AG88" s="81"/>
      <c r="AJ88" s="87" t="s">
        <v>120</v>
      </c>
      <c r="AK88" s="87">
        <v>14</v>
      </c>
      <c r="BB88" s="144" t="s">
        <v>117</v>
      </c>
      <c r="BM88" s="81">
        <f>IFERROR(X88*I88,"0")</f>
        <v>180.75120000000001</v>
      </c>
      <c r="BN88" s="81">
        <f>IFERROR(Y88*I88,"0")</f>
        <v>180.75120000000001</v>
      </c>
      <c r="BO88" s="81">
        <f>IFERROR(X88/J88,"0")</f>
        <v>0.6</v>
      </c>
      <c r="BP88" s="81">
        <f>IFERROR(Y88/J88,"0")</f>
        <v>0.6</v>
      </c>
    </row>
    <row r="89" spans="1:68" ht="27" customHeight="1" x14ac:dyDescent="0.25">
      <c r="A89" s="63" t="s">
        <v>175</v>
      </c>
      <c r="B89" s="63" t="s">
        <v>176</v>
      </c>
      <c r="C89" s="36">
        <v>4301131046</v>
      </c>
      <c r="D89" s="362">
        <v>4607111034137</v>
      </c>
      <c r="E89" s="362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118</v>
      </c>
      <c r="L89" s="37" t="s">
        <v>119</v>
      </c>
      <c r="M89" s="38" t="s">
        <v>86</v>
      </c>
      <c r="N89" s="38"/>
      <c r="O89" s="37">
        <v>180</v>
      </c>
      <c r="P89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64"/>
      <c r="R89" s="364"/>
      <c r="S89" s="364"/>
      <c r="T89" s="365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177</v>
      </c>
      <c r="AG89" s="81"/>
      <c r="AJ89" s="87" t="s">
        <v>120</v>
      </c>
      <c r="AK89" s="87">
        <v>14</v>
      </c>
      <c r="BB89" s="146" t="s">
        <v>117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6"/>
      <c r="B90" s="376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7"/>
      <c r="P90" s="373" t="s">
        <v>40</v>
      </c>
      <c r="Q90" s="374"/>
      <c r="R90" s="374"/>
      <c r="S90" s="374"/>
      <c r="T90" s="374"/>
      <c r="U90" s="374"/>
      <c r="V90" s="375"/>
      <c r="W90" s="42" t="s">
        <v>39</v>
      </c>
      <c r="X90" s="43">
        <f>IFERROR(SUM(X88:X89),"0")</f>
        <v>84</v>
      </c>
      <c r="Y90" s="43">
        <f>IFERROR(SUM(Y88:Y89),"0")</f>
        <v>84</v>
      </c>
      <c r="Z90" s="43">
        <f>IFERROR(IF(Z88="",0,Z88),"0")+IFERROR(IF(Z89="",0,Z89),"0")</f>
        <v>1.5019199999999999</v>
      </c>
      <c r="AA90" s="67"/>
      <c r="AB90" s="67"/>
      <c r="AC90" s="67"/>
    </row>
    <row r="91" spans="1:68" x14ac:dyDescent="0.2">
      <c r="A91" s="376"/>
      <c r="B91" s="376"/>
      <c r="C91" s="376"/>
      <c r="D91" s="376"/>
      <c r="E91" s="376"/>
      <c r="F91" s="376"/>
      <c r="G91" s="376"/>
      <c r="H91" s="376"/>
      <c r="I91" s="376"/>
      <c r="J91" s="376"/>
      <c r="K91" s="376"/>
      <c r="L91" s="376"/>
      <c r="M91" s="376"/>
      <c r="N91" s="376"/>
      <c r="O91" s="377"/>
      <c r="P91" s="373" t="s">
        <v>40</v>
      </c>
      <c r="Q91" s="374"/>
      <c r="R91" s="374"/>
      <c r="S91" s="374"/>
      <c r="T91" s="374"/>
      <c r="U91" s="374"/>
      <c r="V91" s="375"/>
      <c r="W91" s="42" t="s">
        <v>0</v>
      </c>
      <c r="X91" s="43">
        <f>IFERROR(SUMPRODUCT(X88:X89*H88:H89),"0")</f>
        <v>302.40000000000003</v>
      </c>
      <c r="Y91" s="43">
        <f>IFERROR(SUMPRODUCT(Y88:Y89*H88:H89),"0")</f>
        <v>302.40000000000003</v>
      </c>
      <c r="Z91" s="42"/>
      <c r="AA91" s="67"/>
      <c r="AB91" s="67"/>
      <c r="AC91" s="67"/>
    </row>
    <row r="92" spans="1:68" ht="16.5" customHeight="1" x14ac:dyDescent="0.25">
      <c r="A92" s="360" t="s">
        <v>178</v>
      </c>
      <c r="B92" s="360"/>
      <c r="C92" s="360"/>
      <c r="D92" s="360"/>
      <c r="E92" s="360"/>
      <c r="F92" s="360"/>
      <c r="G92" s="360"/>
      <c r="H92" s="360"/>
      <c r="I92" s="360"/>
      <c r="J92" s="360"/>
      <c r="K92" s="360"/>
      <c r="L92" s="360"/>
      <c r="M92" s="360"/>
      <c r="N92" s="360"/>
      <c r="O92" s="360"/>
      <c r="P92" s="360"/>
      <c r="Q92" s="360"/>
      <c r="R92" s="360"/>
      <c r="S92" s="360"/>
      <c r="T92" s="360"/>
      <c r="U92" s="360"/>
      <c r="V92" s="360"/>
      <c r="W92" s="360"/>
      <c r="X92" s="360"/>
      <c r="Y92" s="360"/>
      <c r="Z92" s="360"/>
      <c r="AA92" s="65"/>
      <c r="AB92" s="65"/>
      <c r="AC92" s="82"/>
    </row>
    <row r="93" spans="1:68" ht="14.25" customHeight="1" x14ac:dyDescent="0.25">
      <c r="A93" s="361" t="s">
        <v>151</v>
      </c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1"/>
      <c r="P93" s="361"/>
      <c r="Q93" s="361"/>
      <c r="R93" s="361"/>
      <c r="S93" s="361"/>
      <c r="T93" s="361"/>
      <c r="U93" s="361"/>
      <c r="V93" s="361"/>
      <c r="W93" s="361"/>
      <c r="X93" s="361"/>
      <c r="Y93" s="361"/>
      <c r="Z93" s="361"/>
      <c r="AA93" s="66"/>
      <c r="AB93" s="66"/>
      <c r="AC93" s="83"/>
    </row>
    <row r="94" spans="1:68" ht="27" customHeight="1" x14ac:dyDescent="0.25">
      <c r="A94" s="63" t="s">
        <v>179</v>
      </c>
      <c r="B94" s="63" t="s">
        <v>180</v>
      </c>
      <c r="C94" s="36">
        <v>4301135763</v>
      </c>
      <c r="D94" s="362">
        <v>4620207491027</v>
      </c>
      <c r="E94" s="362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118</v>
      </c>
      <c r="L94" s="37" t="s">
        <v>88</v>
      </c>
      <c r="M94" s="38" t="s">
        <v>86</v>
      </c>
      <c r="N94" s="38"/>
      <c r="O94" s="37">
        <v>180</v>
      </c>
      <c r="P94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64"/>
      <c r="R94" s="364"/>
      <c r="S94" s="364"/>
      <c r="T94" s="365"/>
      <c r="U94" s="39" t="s">
        <v>46</v>
      </c>
      <c r="V94" s="39" t="s">
        <v>46</v>
      </c>
      <c r="W94" s="40" t="s">
        <v>39</v>
      </c>
      <c r="X94" s="58">
        <v>117</v>
      </c>
      <c r="Y94" s="55">
        <f t="shared" ref="Y94:Y99" si="6">IFERROR(IF(X94="","",X94),"")</f>
        <v>117</v>
      </c>
      <c r="Z94" s="41">
        <f t="shared" ref="Z94:Z99" si="7">IFERROR(IF(X94="","",X94*0.01788),"")</f>
        <v>2.0919599999999998</v>
      </c>
      <c r="AA94" s="68" t="s">
        <v>46</v>
      </c>
      <c r="AB94" s="69" t="s">
        <v>46</v>
      </c>
      <c r="AC94" s="147" t="s">
        <v>169</v>
      </c>
      <c r="AG94" s="81"/>
      <c r="AJ94" s="87" t="s">
        <v>89</v>
      </c>
      <c r="AK94" s="87">
        <v>1</v>
      </c>
      <c r="BB94" s="148" t="s">
        <v>117</v>
      </c>
      <c r="BM94" s="81">
        <f t="shared" ref="BM94:BM99" si="8">IFERROR(X94*I94,"0")</f>
        <v>419.28120000000001</v>
      </c>
      <c r="BN94" s="81">
        <f t="shared" ref="BN94:BN99" si="9">IFERROR(Y94*I94,"0")</f>
        <v>419.28120000000001</v>
      </c>
      <c r="BO94" s="81">
        <f t="shared" ref="BO94:BO99" si="10">IFERROR(X94/J94,"0")</f>
        <v>1.6714285714285715</v>
      </c>
      <c r="BP94" s="81">
        <f t="shared" ref="BP94:BP99" si="11">IFERROR(Y94/J94,"0")</f>
        <v>1.6714285714285715</v>
      </c>
    </row>
    <row r="95" spans="1:68" ht="27" customHeight="1" x14ac:dyDescent="0.25">
      <c r="A95" s="63" t="s">
        <v>181</v>
      </c>
      <c r="B95" s="63" t="s">
        <v>182</v>
      </c>
      <c r="C95" s="36">
        <v>4301135793</v>
      </c>
      <c r="D95" s="362">
        <v>4620207491003</v>
      </c>
      <c r="E95" s="362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118</v>
      </c>
      <c r="L95" s="37" t="s">
        <v>119</v>
      </c>
      <c r="M95" s="38" t="s">
        <v>86</v>
      </c>
      <c r="N95" s="38"/>
      <c r="O95" s="37">
        <v>180</v>
      </c>
      <c r="P95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64"/>
      <c r="R95" s="364"/>
      <c r="S95" s="364"/>
      <c r="T95" s="365"/>
      <c r="U95" s="39" t="s">
        <v>46</v>
      </c>
      <c r="V95" s="39" t="s">
        <v>46</v>
      </c>
      <c r="W95" s="40" t="s">
        <v>39</v>
      </c>
      <c r="X95" s="58">
        <v>182</v>
      </c>
      <c r="Y95" s="55">
        <f t="shared" si="6"/>
        <v>182</v>
      </c>
      <c r="Z95" s="41">
        <f t="shared" si="7"/>
        <v>3.2541600000000002</v>
      </c>
      <c r="AA95" s="68" t="s">
        <v>46</v>
      </c>
      <c r="AB95" s="69" t="s">
        <v>46</v>
      </c>
      <c r="AC95" s="149" t="s">
        <v>169</v>
      </c>
      <c r="AG95" s="81"/>
      <c r="AJ95" s="87" t="s">
        <v>120</v>
      </c>
      <c r="AK95" s="87">
        <v>14</v>
      </c>
      <c r="BB95" s="150" t="s">
        <v>117</v>
      </c>
      <c r="BM95" s="81">
        <f t="shared" si="8"/>
        <v>652.21519999999998</v>
      </c>
      <c r="BN95" s="81">
        <f t="shared" si="9"/>
        <v>652.21519999999998</v>
      </c>
      <c r="BO95" s="81">
        <f t="shared" si="10"/>
        <v>2.6</v>
      </c>
      <c r="BP95" s="81">
        <f t="shared" si="11"/>
        <v>2.6</v>
      </c>
    </row>
    <row r="96" spans="1:68" ht="27" customHeight="1" x14ac:dyDescent="0.25">
      <c r="A96" s="63" t="s">
        <v>183</v>
      </c>
      <c r="B96" s="63" t="s">
        <v>184</v>
      </c>
      <c r="C96" s="36">
        <v>4301135990</v>
      </c>
      <c r="D96" s="362">
        <v>4620207491881</v>
      </c>
      <c r="E96" s="362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118</v>
      </c>
      <c r="L96" s="37" t="s">
        <v>88</v>
      </c>
      <c r="M96" s="38" t="s">
        <v>86</v>
      </c>
      <c r="N96" s="38"/>
      <c r="O96" s="37">
        <v>180</v>
      </c>
      <c r="P96" s="40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364"/>
      <c r="R96" s="364"/>
      <c r="S96" s="364"/>
      <c r="T96" s="365"/>
      <c r="U96" s="39" t="s">
        <v>46</v>
      </c>
      <c r="V96" s="39" t="s">
        <v>46</v>
      </c>
      <c r="W96" s="40" t="s">
        <v>39</v>
      </c>
      <c r="X96" s="58"/>
      <c r="Y96" s="55" t="str">
        <f t="shared" si="6"/>
        <v/>
      </c>
      <c r="Z96" s="41" t="str">
        <f t="shared" si="7"/>
        <v/>
      </c>
      <c r="AA96" s="68" t="s">
        <v>46</v>
      </c>
      <c r="AB96" s="69" t="s">
        <v>46</v>
      </c>
      <c r="AC96" s="151" t="s">
        <v>185</v>
      </c>
      <c r="AG96" s="81"/>
      <c r="AJ96" s="87" t="s">
        <v>89</v>
      </c>
      <c r="AK96" s="87">
        <v>1</v>
      </c>
      <c r="BB96" s="152" t="s">
        <v>117</v>
      </c>
      <c r="BM96" s="81">
        <f t="shared" si="8"/>
        <v>0</v>
      </c>
      <c r="BN96" s="81" t="str">
        <f t="shared" si="9"/>
        <v>0</v>
      </c>
      <c r="BO96" s="81">
        <f t="shared" si="10"/>
        <v>0</v>
      </c>
      <c r="BP96" s="81" t="str">
        <f t="shared" si="11"/>
        <v>0</v>
      </c>
    </row>
    <row r="97" spans="1:68" ht="27" customHeight="1" x14ac:dyDescent="0.25">
      <c r="A97" s="63" t="s">
        <v>186</v>
      </c>
      <c r="B97" s="63" t="s">
        <v>187</v>
      </c>
      <c r="C97" s="36">
        <v>4301135760</v>
      </c>
      <c r="D97" s="362">
        <v>4620207491010</v>
      </c>
      <c r="E97" s="362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118</v>
      </c>
      <c r="L97" s="37" t="s">
        <v>119</v>
      </c>
      <c r="M97" s="38" t="s">
        <v>86</v>
      </c>
      <c r="N97" s="38"/>
      <c r="O97" s="37">
        <v>180</v>
      </c>
      <c r="P97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64"/>
      <c r="R97" s="364"/>
      <c r="S97" s="364"/>
      <c r="T97" s="365"/>
      <c r="U97" s="39" t="s">
        <v>46</v>
      </c>
      <c r="V97" s="39" t="s">
        <v>46</v>
      </c>
      <c r="W97" s="40" t="s">
        <v>39</v>
      </c>
      <c r="X97" s="58"/>
      <c r="Y97" s="55" t="str">
        <f t="shared" si="6"/>
        <v/>
      </c>
      <c r="Z97" s="41" t="str">
        <f t="shared" si="7"/>
        <v/>
      </c>
      <c r="AA97" s="68" t="s">
        <v>46</v>
      </c>
      <c r="AB97" s="69" t="s">
        <v>46</v>
      </c>
      <c r="AC97" s="153" t="s">
        <v>169</v>
      </c>
      <c r="AG97" s="81"/>
      <c r="AJ97" s="87" t="s">
        <v>120</v>
      </c>
      <c r="AK97" s="87">
        <v>14</v>
      </c>
      <c r="BB97" s="154" t="s">
        <v>117</v>
      </c>
      <c r="BM97" s="81">
        <f t="shared" si="8"/>
        <v>0</v>
      </c>
      <c r="BN97" s="81" t="str">
        <f t="shared" si="9"/>
        <v>0</v>
      </c>
      <c r="BO97" s="81">
        <f t="shared" si="10"/>
        <v>0</v>
      </c>
      <c r="BP97" s="81" t="str">
        <f t="shared" si="11"/>
        <v>0</v>
      </c>
    </row>
    <row r="98" spans="1:68" ht="27" customHeight="1" x14ac:dyDescent="0.25">
      <c r="A98" s="63" t="s">
        <v>188</v>
      </c>
      <c r="B98" s="63" t="s">
        <v>189</v>
      </c>
      <c r="C98" s="36">
        <v>4301135984</v>
      </c>
      <c r="D98" s="362">
        <v>4620207491874</v>
      </c>
      <c r="E98" s="362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118</v>
      </c>
      <c r="L98" s="37" t="s">
        <v>88</v>
      </c>
      <c r="M98" s="38" t="s">
        <v>86</v>
      </c>
      <c r="N98" s="38"/>
      <c r="O98" s="37">
        <v>180</v>
      </c>
      <c r="P98" s="403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64"/>
      <c r="R98" s="364"/>
      <c r="S98" s="364"/>
      <c r="T98" s="365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185</v>
      </c>
      <c r="AG98" s="81"/>
      <c r="AJ98" s="87" t="s">
        <v>89</v>
      </c>
      <c r="AK98" s="87">
        <v>1</v>
      </c>
      <c r="BB98" s="156" t="s">
        <v>117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190</v>
      </c>
      <c r="B99" s="63" t="s">
        <v>191</v>
      </c>
      <c r="C99" s="36">
        <v>4301135285</v>
      </c>
      <c r="D99" s="362">
        <v>4607111036407</v>
      </c>
      <c r="E99" s="362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118</v>
      </c>
      <c r="L99" s="37" t="s">
        <v>119</v>
      </c>
      <c r="M99" s="38" t="s">
        <v>86</v>
      </c>
      <c r="N99" s="38"/>
      <c r="O99" s="37">
        <v>180</v>
      </c>
      <c r="P99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64"/>
      <c r="R99" s="364"/>
      <c r="S99" s="364"/>
      <c r="T99" s="365"/>
      <c r="U99" s="39" t="s">
        <v>46</v>
      </c>
      <c r="V99" s="39" t="s">
        <v>46</v>
      </c>
      <c r="W99" s="40" t="s">
        <v>39</v>
      </c>
      <c r="X99" s="58"/>
      <c r="Y99" s="55" t="str">
        <f t="shared" si="6"/>
        <v/>
      </c>
      <c r="Z99" s="41" t="str">
        <f t="shared" si="7"/>
        <v/>
      </c>
      <c r="AA99" s="68" t="s">
        <v>46</v>
      </c>
      <c r="AB99" s="69" t="s">
        <v>46</v>
      </c>
      <c r="AC99" s="157" t="s">
        <v>192</v>
      </c>
      <c r="AG99" s="81"/>
      <c r="AJ99" s="87" t="s">
        <v>120</v>
      </c>
      <c r="AK99" s="87">
        <v>14</v>
      </c>
      <c r="BB99" s="158" t="s">
        <v>117</v>
      </c>
      <c r="BM99" s="81">
        <f t="shared" si="8"/>
        <v>0</v>
      </c>
      <c r="BN99" s="81" t="str">
        <f t="shared" si="9"/>
        <v>0</v>
      </c>
      <c r="BO99" s="81">
        <f t="shared" si="10"/>
        <v>0</v>
      </c>
      <c r="BP99" s="81" t="str">
        <f t="shared" si="11"/>
        <v>0</v>
      </c>
    </row>
    <row r="100" spans="1:68" x14ac:dyDescent="0.2">
      <c r="A100" s="376"/>
      <c r="B100" s="376"/>
      <c r="C100" s="376"/>
      <c r="D100" s="376"/>
      <c r="E100" s="376"/>
      <c r="F100" s="376"/>
      <c r="G100" s="376"/>
      <c r="H100" s="376"/>
      <c r="I100" s="376"/>
      <c r="J100" s="376"/>
      <c r="K100" s="376"/>
      <c r="L100" s="376"/>
      <c r="M100" s="376"/>
      <c r="N100" s="376"/>
      <c r="O100" s="377"/>
      <c r="P100" s="373" t="s">
        <v>40</v>
      </c>
      <c r="Q100" s="374"/>
      <c r="R100" s="374"/>
      <c r="S100" s="374"/>
      <c r="T100" s="374"/>
      <c r="U100" s="374"/>
      <c r="V100" s="375"/>
      <c r="W100" s="42" t="s">
        <v>39</v>
      </c>
      <c r="X100" s="43">
        <f>IFERROR(SUM(X94:X99),"0")</f>
        <v>299</v>
      </c>
      <c r="Y100" s="43">
        <f>IFERROR(SUM(Y94:Y99),"0")</f>
        <v>299</v>
      </c>
      <c r="Z100" s="43">
        <f>IFERROR(IF(Z94="",0,Z94),"0")+IFERROR(IF(Z95="",0,Z95),"0")+IFERROR(IF(Z96="",0,Z96),"0")+IFERROR(IF(Z97="",0,Z97),"0")+IFERROR(IF(Z98="",0,Z98),"0")+IFERROR(IF(Z99="",0,Z99),"0")</f>
        <v>5.34612</v>
      </c>
      <c r="AA100" s="67"/>
      <c r="AB100" s="67"/>
      <c r="AC100" s="67"/>
    </row>
    <row r="101" spans="1:68" x14ac:dyDescent="0.2">
      <c r="A101" s="376"/>
      <c r="B101" s="376"/>
      <c r="C101" s="376"/>
      <c r="D101" s="376"/>
      <c r="E101" s="376"/>
      <c r="F101" s="376"/>
      <c r="G101" s="376"/>
      <c r="H101" s="376"/>
      <c r="I101" s="376"/>
      <c r="J101" s="376"/>
      <c r="K101" s="376"/>
      <c r="L101" s="376"/>
      <c r="M101" s="376"/>
      <c r="N101" s="376"/>
      <c r="O101" s="377"/>
      <c r="P101" s="373" t="s">
        <v>40</v>
      </c>
      <c r="Q101" s="374"/>
      <c r="R101" s="374"/>
      <c r="S101" s="374"/>
      <c r="T101" s="374"/>
      <c r="U101" s="374"/>
      <c r="V101" s="375"/>
      <c r="W101" s="42" t="s">
        <v>0</v>
      </c>
      <c r="X101" s="43">
        <f>IFERROR(SUMPRODUCT(X94:X99*H94:H99),"0")</f>
        <v>861.11999999999989</v>
      </c>
      <c r="Y101" s="43" t="str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60" t="s">
        <v>193</v>
      </c>
      <c r="B102" s="360"/>
      <c r="C102" s="360"/>
      <c r="D102" s="360"/>
      <c r="E102" s="360"/>
      <c r="F102" s="360"/>
      <c r="G102" s="360"/>
      <c r="H102" s="360"/>
      <c r="I102" s="360"/>
      <c r="J102" s="360"/>
      <c r="K102" s="360"/>
      <c r="L102" s="360"/>
      <c r="M102" s="360"/>
      <c r="N102" s="360"/>
      <c r="O102" s="360"/>
      <c r="P102" s="360"/>
      <c r="Q102" s="360"/>
      <c r="R102" s="360"/>
      <c r="S102" s="360"/>
      <c r="T102" s="360"/>
      <c r="U102" s="360"/>
      <c r="V102" s="360"/>
      <c r="W102" s="360"/>
      <c r="X102" s="360"/>
      <c r="Y102" s="360"/>
      <c r="Z102" s="360"/>
      <c r="AA102" s="65"/>
      <c r="AB102" s="65"/>
      <c r="AC102" s="82"/>
    </row>
    <row r="103" spans="1:68" ht="14.25" customHeight="1" x14ac:dyDescent="0.25">
      <c r="A103" s="361" t="s">
        <v>145</v>
      </c>
      <c r="B103" s="361"/>
      <c r="C103" s="361"/>
      <c r="D103" s="361"/>
      <c r="E103" s="361"/>
      <c r="F103" s="361"/>
      <c r="G103" s="361"/>
      <c r="H103" s="361"/>
      <c r="I103" s="361"/>
      <c r="J103" s="361"/>
      <c r="K103" s="361"/>
      <c r="L103" s="361"/>
      <c r="M103" s="361"/>
      <c r="N103" s="361"/>
      <c r="O103" s="361"/>
      <c r="P103" s="361"/>
      <c r="Q103" s="361"/>
      <c r="R103" s="361"/>
      <c r="S103" s="361"/>
      <c r="T103" s="361"/>
      <c r="U103" s="361"/>
      <c r="V103" s="361"/>
      <c r="W103" s="361"/>
      <c r="X103" s="361"/>
      <c r="Y103" s="361"/>
      <c r="Z103" s="361"/>
      <c r="AA103" s="66"/>
      <c r="AB103" s="66"/>
      <c r="AC103" s="83"/>
    </row>
    <row r="104" spans="1:68" ht="27" customHeight="1" x14ac:dyDescent="0.25">
      <c r="A104" s="63" t="s">
        <v>194</v>
      </c>
      <c r="B104" s="63" t="s">
        <v>195</v>
      </c>
      <c r="C104" s="36">
        <v>4301136070</v>
      </c>
      <c r="D104" s="362">
        <v>4607025784012</v>
      </c>
      <c r="E104" s="362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118</v>
      </c>
      <c r="L104" s="37" t="s">
        <v>119</v>
      </c>
      <c r="M104" s="38" t="s">
        <v>86</v>
      </c>
      <c r="N104" s="38"/>
      <c r="O104" s="37">
        <v>180</v>
      </c>
      <c r="P104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64"/>
      <c r="R104" s="364"/>
      <c r="S104" s="364"/>
      <c r="T104" s="365"/>
      <c r="U104" s="39" t="s">
        <v>46</v>
      </c>
      <c r="V104" s="39" t="s">
        <v>46</v>
      </c>
      <c r="W104" s="40" t="s">
        <v>39</v>
      </c>
      <c r="X104" s="58"/>
      <c r="Y104" s="55" t="str">
        <f>IFERROR(IF(X104="","",X104),"")</f>
        <v/>
      </c>
      <c r="Z104" s="41" t="str">
        <f>IFERROR(IF(X104="","",X104*0.00936),"")</f>
        <v/>
      </c>
      <c r="AA104" s="68" t="s">
        <v>46</v>
      </c>
      <c r="AB104" s="69" t="s">
        <v>46</v>
      </c>
      <c r="AC104" s="159" t="s">
        <v>196</v>
      </c>
      <c r="AG104" s="81"/>
      <c r="AJ104" s="87" t="s">
        <v>120</v>
      </c>
      <c r="AK104" s="87">
        <v>14</v>
      </c>
      <c r="BB104" s="160" t="s">
        <v>117</v>
      </c>
      <c r="BM104" s="81">
        <f>IFERROR(X104*I104,"0")</f>
        <v>0</v>
      </c>
      <c r="BN104" s="81" t="str">
        <f>IFERROR(Y104*I104,"0")</f>
        <v>0</v>
      </c>
      <c r="BO104" s="81">
        <f>IFERROR(X104/J104,"0")</f>
        <v>0</v>
      </c>
      <c r="BP104" s="81" t="str">
        <f>IFERROR(Y104/J104,"0")</f>
        <v>0</v>
      </c>
    </row>
    <row r="105" spans="1:68" ht="27" customHeight="1" x14ac:dyDescent="0.25">
      <c r="A105" s="63" t="s">
        <v>197</v>
      </c>
      <c r="B105" s="63" t="s">
        <v>198</v>
      </c>
      <c r="C105" s="36">
        <v>4301136103</v>
      </c>
      <c r="D105" s="362">
        <v>4620207491645</v>
      </c>
      <c r="E105" s="362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118</v>
      </c>
      <c r="L105" s="37" t="s">
        <v>88</v>
      </c>
      <c r="M105" s="38" t="s">
        <v>86</v>
      </c>
      <c r="N105" s="38"/>
      <c r="O105" s="37">
        <v>180</v>
      </c>
      <c r="P105" s="406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364"/>
      <c r="R105" s="364"/>
      <c r="S105" s="364"/>
      <c r="T105" s="365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199</v>
      </c>
      <c r="AG105" s="81"/>
      <c r="AJ105" s="87" t="s">
        <v>89</v>
      </c>
      <c r="AK105" s="87">
        <v>1</v>
      </c>
      <c r="BB105" s="162" t="s">
        <v>117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376"/>
      <c r="B106" s="376"/>
      <c r="C106" s="376"/>
      <c r="D106" s="376"/>
      <c r="E106" s="376"/>
      <c r="F106" s="376"/>
      <c r="G106" s="376"/>
      <c r="H106" s="376"/>
      <c r="I106" s="376"/>
      <c r="J106" s="376"/>
      <c r="K106" s="376"/>
      <c r="L106" s="376"/>
      <c r="M106" s="376"/>
      <c r="N106" s="376"/>
      <c r="O106" s="377"/>
      <c r="P106" s="373" t="s">
        <v>40</v>
      </c>
      <c r="Q106" s="374"/>
      <c r="R106" s="374"/>
      <c r="S106" s="374"/>
      <c r="T106" s="374"/>
      <c r="U106" s="374"/>
      <c r="V106" s="37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376"/>
      <c r="B107" s="376"/>
      <c r="C107" s="376"/>
      <c r="D107" s="376"/>
      <c r="E107" s="376"/>
      <c r="F107" s="376"/>
      <c r="G107" s="376"/>
      <c r="H107" s="376"/>
      <c r="I107" s="376"/>
      <c r="J107" s="376"/>
      <c r="K107" s="376"/>
      <c r="L107" s="376"/>
      <c r="M107" s="376"/>
      <c r="N107" s="376"/>
      <c r="O107" s="377"/>
      <c r="P107" s="373" t="s">
        <v>40</v>
      </c>
      <c r="Q107" s="374"/>
      <c r="R107" s="374"/>
      <c r="S107" s="374"/>
      <c r="T107" s="374"/>
      <c r="U107" s="374"/>
      <c r="V107" s="375"/>
      <c r="W107" s="42" t="s">
        <v>0</v>
      </c>
      <c r="X107" s="43">
        <f>IFERROR(SUMPRODUCT(X104:X105*H104:H105),"0")</f>
        <v>0</v>
      </c>
      <c r="Y107" s="43" t="str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60" t="s">
        <v>200</v>
      </c>
      <c r="B108" s="360"/>
      <c r="C108" s="360"/>
      <c r="D108" s="360"/>
      <c r="E108" s="360"/>
      <c r="F108" s="360"/>
      <c r="G108" s="360"/>
      <c r="H108" s="360"/>
      <c r="I108" s="360"/>
      <c r="J108" s="360"/>
      <c r="K108" s="360"/>
      <c r="L108" s="360"/>
      <c r="M108" s="360"/>
      <c r="N108" s="360"/>
      <c r="O108" s="360"/>
      <c r="P108" s="360"/>
      <c r="Q108" s="360"/>
      <c r="R108" s="360"/>
      <c r="S108" s="360"/>
      <c r="T108" s="360"/>
      <c r="U108" s="360"/>
      <c r="V108" s="360"/>
      <c r="W108" s="360"/>
      <c r="X108" s="360"/>
      <c r="Y108" s="360"/>
      <c r="Z108" s="360"/>
      <c r="AA108" s="65"/>
      <c r="AB108" s="65"/>
      <c r="AC108" s="82"/>
    </row>
    <row r="109" spans="1:68" ht="14.25" customHeight="1" x14ac:dyDescent="0.25">
      <c r="A109" s="361" t="s">
        <v>82</v>
      </c>
      <c r="B109" s="361"/>
      <c r="C109" s="361"/>
      <c r="D109" s="361"/>
      <c r="E109" s="361"/>
      <c r="F109" s="361"/>
      <c r="G109" s="361"/>
      <c r="H109" s="361"/>
      <c r="I109" s="361"/>
      <c r="J109" s="361"/>
      <c r="K109" s="361"/>
      <c r="L109" s="361"/>
      <c r="M109" s="361"/>
      <c r="N109" s="361"/>
      <c r="O109" s="361"/>
      <c r="P109" s="361"/>
      <c r="Q109" s="361"/>
      <c r="R109" s="361"/>
      <c r="S109" s="361"/>
      <c r="T109" s="361"/>
      <c r="U109" s="361"/>
      <c r="V109" s="361"/>
      <c r="W109" s="361"/>
      <c r="X109" s="361"/>
      <c r="Y109" s="361"/>
      <c r="Z109" s="361"/>
      <c r="AA109" s="66"/>
      <c r="AB109" s="66"/>
      <c r="AC109" s="83"/>
    </row>
    <row r="110" spans="1:68" ht="27" customHeight="1" x14ac:dyDescent="0.25">
      <c r="A110" s="63" t="s">
        <v>201</v>
      </c>
      <c r="B110" s="63" t="s">
        <v>202</v>
      </c>
      <c r="C110" s="36">
        <v>4301071074</v>
      </c>
      <c r="D110" s="362">
        <v>4620207491157</v>
      </c>
      <c r="E110" s="362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87</v>
      </c>
      <c r="L110" s="37" t="s">
        <v>119</v>
      </c>
      <c r="M110" s="38" t="s">
        <v>86</v>
      </c>
      <c r="N110" s="38"/>
      <c r="O110" s="37">
        <v>180</v>
      </c>
      <c r="P110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64"/>
      <c r="R110" s="364"/>
      <c r="S110" s="364"/>
      <c r="T110" s="365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8" si="12">IFERROR(IF(X110="","",X110),"")</f>
        <v>0</v>
      </c>
      <c r="Z110" s="41">
        <f t="shared" ref="Z110:Z118" si="13">IFERROR(IF(X110="","",X110*0.0155),"")</f>
        <v>0</v>
      </c>
      <c r="AA110" s="68" t="s">
        <v>46</v>
      </c>
      <c r="AB110" s="69" t="s">
        <v>46</v>
      </c>
      <c r="AC110" s="163" t="s">
        <v>203</v>
      </c>
      <c r="AG110" s="81"/>
      <c r="AJ110" s="87" t="s">
        <v>120</v>
      </c>
      <c r="AK110" s="87">
        <v>12</v>
      </c>
      <c r="BB110" s="164" t="s">
        <v>70</v>
      </c>
      <c r="BM110" s="81">
        <f t="shared" ref="BM110:BM118" si="14">IFERROR(X110*I110,"0")</f>
        <v>0</v>
      </c>
      <c r="BN110" s="81">
        <f t="shared" ref="BN110:BN118" si="15">IFERROR(Y110*I110,"0")</f>
        <v>0</v>
      </c>
      <c r="BO110" s="81">
        <f t="shared" ref="BO110:BO118" si="16">IFERROR(X110/J110,"0")</f>
        <v>0</v>
      </c>
      <c r="BP110" s="81">
        <f t="shared" ref="BP110:BP118" si="17">IFERROR(Y110/J110,"0")</f>
        <v>0</v>
      </c>
    </row>
    <row r="111" spans="1:68" ht="27" customHeight="1" x14ac:dyDescent="0.25">
      <c r="A111" s="63" t="s">
        <v>204</v>
      </c>
      <c r="B111" s="63" t="s">
        <v>205</v>
      </c>
      <c r="C111" s="36">
        <v>4301071121</v>
      </c>
      <c r="D111" s="362">
        <v>4620207491393</v>
      </c>
      <c r="E111" s="362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87</v>
      </c>
      <c r="L111" s="37" t="s">
        <v>88</v>
      </c>
      <c r="M111" s="38" t="s">
        <v>86</v>
      </c>
      <c r="N111" s="38"/>
      <c r="O111" s="37">
        <v>180</v>
      </c>
      <c r="P111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64"/>
      <c r="R111" s="364"/>
      <c r="S111" s="364"/>
      <c r="T111" s="365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206</v>
      </c>
      <c r="AG111" s="81"/>
      <c r="AJ111" s="87" t="s">
        <v>89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207</v>
      </c>
      <c r="B112" s="63" t="s">
        <v>208</v>
      </c>
      <c r="C112" s="36">
        <v>4301071136</v>
      </c>
      <c r="D112" s="362">
        <v>4620207491829</v>
      </c>
      <c r="E112" s="362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87</v>
      </c>
      <c r="L112" s="37" t="s">
        <v>88</v>
      </c>
      <c r="M112" s="38" t="s">
        <v>86</v>
      </c>
      <c r="N112" s="38"/>
      <c r="O112" s="37">
        <v>180</v>
      </c>
      <c r="P112" s="409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64"/>
      <c r="R112" s="364"/>
      <c r="S112" s="364"/>
      <c r="T112" s="365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206</v>
      </c>
      <c r="AG112" s="81"/>
      <c r="AJ112" s="87" t="s">
        <v>89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209</v>
      </c>
      <c r="B113" s="63" t="s">
        <v>210</v>
      </c>
      <c r="C113" s="36">
        <v>4301071051</v>
      </c>
      <c r="D113" s="362">
        <v>4607111039262</v>
      </c>
      <c r="E113" s="362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87</v>
      </c>
      <c r="L113" s="37" t="s">
        <v>119</v>
      </c>
      <c r="M113" s="38" t="s">
        <v>86</v>
      </c>
      <c r="N113" s="38"/>
      <c r="O113" s="37">
        <v>180</v>
      </c>
      <c r="P113" s="410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64"/>
      <c r="R113" s="364"/>
      <c r="S113" s="364"/>
      <c r="T113" s="365"/>
      <c r="U113" s="39" t="s">
        <v>46</v>
      </c>
      <c r="V113" s="39" t="s">
        <v>46</v>
      </c>
      <c r="W113" s="40" t="s">
        <v>39</v>
      </c>
      <c r="X113" s="58"/>
      <c r="Y113" s="55" t="str">
        <f t="shared" si="12"/>
        <v/>
      </c>
      <c r="Z113" s="41" t="str">
        <f t="shared" si="13"/>
        <v/>
      </c>
      <c r="AA113" s="68" t="s">
        <v>46</v>
      </c>
      <c r="AB113" s="69" t="s">
        <v>46</v>
      </c>
      <c r="AC113" s="169" t="s">
        <v>162</v>
      </c>
      <c r="AG113" s="81"/>
      <c r="AJ113" s="87" t="s">
        <v>120</v>
      </c>
      <c r="AK113" s="87">
        <v>12</v>
      </c>
      <c r="BB113" s="170" t="s">
        <v>70</v>
      </c>
      <c r="BM113" s="81">
        <f t="shared" si="14"/>
        <v>0</v>
      </c>
      <c r="BN113" s="81" t="str">
        <f t="shared" si="15"/>
        <v>0</v>
      </c>
      <c r="BO113" s="81">
        <f t="shared" si="16"/>
        <v>0</v>
      </c>
      <c r="BP113" s="81" t="str">
        <f t="shared" si="17"/>
        <v>0</v>
      </c>
    </row>
    <row r="114" spans="1:68" ht="27" customHeight="1" x14ac:dyDescent="0.25">
      <c r="A114" s="63" t="s">
        <v>211</v>
      </c>
      <c r="B114" s="63" t="s">
        <v>212</v>
      </c>
      <c r="C114" s="36">
        <v>4301071038</v>
      </c>
      <c r="D114" s="362">
        <v>4607111039248</v>
      </c>
      <c r="E114" s="362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87</v>
      </c>
      <c r="L114" s="37" t="s">
        <v>119</v>
      </c>
      <c r="M114" s="38" t="s">
        <v>86</v>
      </c>
      <c r="N114" s="38"/>
      <c r="O114" s="37">
        <v>180</v>
      </c>
      <c r="P114" s="4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64"/>
      <c r="R114" s="364"/>
      <c r="S114" s="364"/>
      <c r="T114" s="365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162</v>
      </c>
      <c r="AG114" s="81"/>
      <c r="AJ114" s="87" t="s">
        <v>120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213</v>
      </c>
      <c r="B115" s="63" t="s">
        <v>214</v>
      </c>
      <c r="C115" s="36">
        <v>4301070979</v>
      </c>
      <c r="D115" s="362">
        <v>4607111037145</v>
      </c>
      <c r="E115" s="362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87</v>
      </c>
      <c r="L115" s="37" t="s">
        <v>88</v>
      </c>
      <c r="M115" s="38" t="s">
        <v>86</v>
      </c>
      <c r="N115" s="38"/>
      <c r="O115" s="37">
        <v>180</v>
      </c>
      <c r="P115" s="41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64"/>
      <c r="R115" s="364"/>
      <c r="S115" s="364"/>
      <c r="T115" s="365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215</v>
      </c>
      <c r="AG115" s="81"/>
      <c r="AJ115" s="87" t="s">
        <v>89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216</v>
      </c>
      <c r="B116" s="63" t="s">
        <v>217</v>
      </c>
      <c r="C116" s="36">
        <v>4301071075</v>
      </c>
      <c r="D116" s="362">
        <v>4620207491102</v>
      </c>
      <c r="E116" s="362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1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64"/>
      <c r="R116" s="364"/>
      <c r="S116" s="364"/>
      <c r="T116" s="365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218</v>
      </c>
      <c r="AG116" s="81"/>
      <c r="AJ116" s="87" t="s">
        <v>89</v>
      </c>
      <c r="AK116" s="87">
        <v>1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219</v>
      </c>
      <c r="B117" s="63" t="s">
        <v>220</v>
      </c>
      <c r="C117" s="36">
        <v>4301071049</v>
      </c>
      <c r="D117" s="362">
        <v>4607111039293</v>
      </c>
      <c r="E117" s="362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119</v>
      </c>
      <c r="M117" s="38" t="s">
        <v>86</v>
      </c>
      <c r="N117" s="38"/>
      <c r="O117" s="37">
        <v>180</v>
      </c>
      <c r="P117" s="41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64"/>
      <c r="R117" s="364"/>
      <c r="S117" s="364"/>
      <c r="T117" s="365"/>
      <c r="U117" s="39" t="s">
        <v>46</v>
      </c>
      <c r="V117" s="39" t="s">
        <v>46</v>
      </c>
      <c r="W117" s="40" t="s">
        <v>39</v>
      </c>
      <c r="X117" s="58"/>
      <c r="Y117" s="55" t="str">
        <f t="shared" si="12"/>
        <v/>
      </c>
      <c r="Z117" s="41" t="str">
        <f t="shared" si="13"/>
        <v/>
      </c>
      <c r="AA117" s="68" t="s">
        <v>46</v>
      </c>
      <c r="AB117" s="69" t="s">
        <v>46</v>
      </c>
      <c r="AC117" s="177" t="s">
        <v>162</v>
      </c>
      <c r="AG117" s="81"/>
      <c r="AJ117" s="87" t="s">
        <v>120</v>
      </c>
      <c r="AK117" s="87">
        <v>12</v>
      </c>
      <c r="BB117" s="178" t="s">
        <v>70</v>
      </c>
      <c r="BM117" s="81">
        <f t="shared" si="14"/>
        <v>0</v>
      </c>
      <c r="BN117" s="81" t="str">
        <f t="shared" si="15"/>
        <v>0</v>
      </c>
      <c r="BO117" s="81">
        <f t="shared" si="16"/>
        <v>0</v>
      </c>
      <c r="BP117" s="81" t="str">
        <f t="shared" si="17"/>
        <v>0</v>
      </c>
    </row>
    <row r="118" spans="1:68" ht="27" customHeight="1" x14ac:dyDescent="0.25">
      <c r="A118" s="63" t="s">
        <v>221</v>
      </c>
      <c r="B118" s="63" t="s">
        <v>222</v>
      </c>
      <c r="C118" s="36">
        <v>4301071039</v>
      </c>
      <c r="D118" s="362">
        <v>4607111039279</v>
      </c>
      <c r="E118" s="362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119</v>
      </c>
      <c r="M118" s="38" t="s">
        <v>86</v>
      </c>
      <c r="N118" s="38"/>
      <c r="O118" s="37">
        <v>180</v>
      </c>
      <c r="P118" s="41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64"/>
      <c r="R118" s="364"/>
      <c r="S118" s="364"/>
      <c r="T118" s="365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9" t="s">
        <v>162</v>
      </c>
      <c r="AG118" s="81"/>
      <c r="AJ118" s="87" t="s">
        <v>120</v>
      </c>
      <c r="AK118" s="87">
        <v>12</v>
      </c>
      <c r="BB118" s="180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x14ac:dyDescent="0.2">
      <c r="A119" s="376"/>
      <c r="B119" s="376"/>
      <c r="C119" s="376"/>
      <c r="D119" s="376"/>
      <c r="E119" s="376"/>
      <c r="F119" s="376"/>
      <c r="G119" s="376"/>
      <c r="H119" s="376"/>
      <c r="I119" s="376"/>
      <c r="J119" s="376"/>
      <c r="K119" s="376"/>
      <c r="L119" s="376"/>
      <c r="M119" s="376"/>
      <c r="N119" s="376"/>
      <c r="O119" s="377"/>
      <c r="P119" s="373" t="s">
        <v>40</v>
      </c>
      <c r="Q119" s="374"/>
      <c r="R119" s="374"/>
      <c r="S119" s="374"/>
      <c r="T119" s="374"/>
      <c r="U119" s="374"/>
      <c r="V119" s="375"/>
      <c r="W119" s="42" t="s">
        <v>39</v>
      </c>
      <c r="X119" s="43">
        <f>IFERROR(SUM(X110:X118),"0")</f>
        <v>0</v>
      </c>
      <c r="Y119" s="43">
        <f>IFERROR(SUM(Y110:Y118),"0")</f>
        <v>0</v>
      </c>
      <c r="Z119" s="43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376"/>
      <c r="B120" s="376"/>
      <c r="C120" s="376"/>
      <c r="D120" s="376"/>
      <c r="E120" s="376"/>
      <c r="F120" s="376"/>
      <c r="G120" s="376"/>
      <c r="H120" s="376"/>
      <c r="I120" s="376"/>
      <c r="J120" s="376"/>
      <c r="K120" s="376"/>
      <c r="L120" s="376"/>
      <c r="M120" s="376"/>
      <c r="N120" s="376"/>
      <c r="O120" s="377"/>
      <c r="P120" s="373" t="s">
        <v>40</v>
      </c>
      <c r="Q120" s="374"/>
      <c r="R120" s="374"/>
      <c r="S120" s="374"/>
      <c r="T120" s="374"/>
      <c r="U120" s="374"/>
      <c r="V120" s="375"/>
      <c r="W120" s="42" t="s">
        <v>0</v>
      </c>
      <c r="X120" s="43">
        <f>IFERROR(SUMPRODUCT(X110:X118*H110:H118),"0")</f>
        <v>0</v>
      </c>
      <c r="Y120" s="43" t="str">
        <f>IFERROR(SUMPRODUCT(Y110:Y118*H110:H118),"0")</f>
        <v>0</v>
      </c>
      <c r="Z120" s="42"/>
      <c r="AA120" s="67"/>
      <c r="AB120" s="67"/>
      <c r="AC120" s="67"/>
    </row>
    <row r="121" spans="1:68" ht="14.25" customHeight="1" x14ac:dyDescent="0.25">
      <c r="A121" s="361" t="s">
        <v>151</v>
      </c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1"/>
      <c r="P121" s="361"/>
      <c r="Q121" s="361"/>
      <c r="R121" s="361"/>
      <c r="S121" s="361"/>
      <c r="T121" s="361"/>
      <c r="U121" s="361"/>
      <c r="V121" s="361"/>
      <c r="W121" s="361"/>
      <c r="X121" s="361"/>
      <c r="Y121" s="361"/>
      <c r="Z121" s="361"/>
      <c r="AA121" s="66"/>
      <c r="AB121" s="66"/>
      <c r="AC121" s="83"/>
    </row>
    <row r="122" spans="1:68" ht="27" customHeight="1" x14ac:dyDescent="0.25">
      <c r="A122" s="63" t="s">
        <v>223</v>
      </c>
      <c r="B122" s="63" t="s">
        <v>224</v>
      </c>
      <c r="C122" s="36">
        <v>4301135826</v>
      </c>
      <c r="D122" s="362">
        <v>4620207490983</v>
      </c>
      <c r="E122" s="362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118</v>
      </c>
      <c r="L122" s="37" t="s">
        <v>88</v>
      </c>
      <c r="M122" s="38" t="s">
        <v>86</v>
      </c>
      <c r="N122" s="38"/>
      <c r="O122" s="37">
        <v>180</v>
      </c>
      <c r="P122" s="41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64"/>
      <c r="R122" s="364"/>
      <c r="S122" s="364"/>
      <c r="T122" s="365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225</v>
      </c>
      <c r="AG122" s="81"/>
      <c r="AJ122" s="87" t="s">
        <v>89</v>
      </c>
      <c r="AK122" s="87">
        <v>1</v>
      </c>
      <c r="BB122" s="182" t="s">
        <v>117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x14ac:dyDescent="0.2">
      <c r="A123" s="376"/>
      <c r="B123" s="376"/>
      <c r="C123" s="376"/>
      <c r="D123" s="376"/>
      <c r="E123" s="376"/>
      <c r="F123" s="376"/>
      <c r="G123" s="376"/>
      <c r="H123" s="376"/>
      <c r="I123" s="376"/>
      <c r="J123" s="376"/>
      <c r="K123" s="376"/>
      <c r="L123" s="376"/>
      <c r="M123" s="376"/>
      <c r="N123" s="376"/>
      <c r="O123" s="377"/>
      <c r="P123" s="373" t="s">
        <v>40</v>
      </c>
      <c r="Q123" s="374"/>
      <c r="R123" s="374"/>
      <c r="S123" s="374"/>
      <c r="T123" s="374"/>
      <c r="U123" s="374"/>
      <c r="V123" s="375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376"/>
      <c r="B124" s="376"/>
      <c r="C124" s="376"/>
      <c r="D124" s="376"/>
      <c r="E124" s="376"/>
      <c r="F124" s="376"/>
      <c r="G124" s="376"/>
      <c r="H124" s="376"/>
      <c r="I124" s="376"/>
      <c r="J124" s="376"/>
      <c r="K124" s="376"/>
      <c r="L124" s="376"/>
      <c r="M124" s="376"/>
      <c r="N124" s="376"/>
      <c r="O124" s="377"/>
      <c r="P124" s="373" t="s">
        <v>40</v>
      </c>
      <c r="Q124" s="374"/>
      <c r="R124" s="374"/>
      <c r="S124" s="374"/>
      <c r="T124" s="374"/>
      <c r="U124" s="374"/>
      <c r="V124" s="375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customHeight="1" x14ac:dyDescent="0.25">
      <c r="A125" s="361" t="s">
        <v>226</v>
      </c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1"/>
      <c r="P125" s="361"/>
      <c r="Q125" s="361"/>
      <c r="R125" s="361"/>
      <c r="S125" s="361"/>
      <c r="T125" s="361"/>
      <c r="U125" s="361"/>
      <c r="V125" s="361"/>
      <c r="W125" s="361"/>
      <c r="X125" s="361"/>
      <c r="Y125" s="361"/>
      <c r="Z125" s="361"/>
      <c r="AA125" s="66"/>
      <c r="AB125" s="66"/>
      <c r="AC125" s="83"/>
    </row>
    <row r="126" spans="1:68" ht="27" customHeight="1" x14ac:dyDescent="0.25">
      <c r="A126" s="63" t="s">
        <v>227</v>
      </c>
      <c r="B126" s="63" t="s">
        <v>228</v>
      </c>
      <c r="C126" s="36">
        <v>4301071094</v>
      </c>
      <c r="D126" s="362">
        <v>4620207491140</v>
      </c>
      <c r="E126" s="362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87</v>
      </c>
      <c r="L126" s="37" t="s">
        <v>88</v>
      </c>
      <c r="M126" s="38" t="s">
        <v>86</v>
      </c>
      <c r="N126" s="38"/>
      <c r="O126" s="37">
        <v>180</v>
      </c>
      <c r="P126" s="41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64"/>
      <c r="R126" s="364"/>
      <c r="S126" s="364"/>
      <c r="T126" s="365"/>
      <c r="U126" s="39" t="s">
        <v>46</v>
      </c>
      <c r="V126" s="39" t="s">
        <v>46</v>
      </c>
      <c r="W126" s="40" t="s">
        <v>39</v>
      </c>
      <c r="X126" s="58">
        <v>0</v>
      </c>
      <c r="Y126" s="55">
        <f>IFERROR(IF(X126="","",X126),"")</f>
        <v>0</v>
      </c>
      <c r="Z126" s="41">
        <f>IFERROR(IF(X126="","",X126*0.0155),"")</f>
        <v>0</v>
      </c>
      <c r="AA126" s="68" t="s">
        <v>46</v>
      </c>
      <c r="AB126" s="69" t="s">
        <v>46</v>
      </c>
      <c r="AC126" s="183" t="s">
        <v>229</v>
      </c>
      <c r="AG126" s="81"/>
      <c r="AJ126" s="87" t="s">
        <v>89</v>
      </c>
      <c r="AK126" s="87">
        <v>1</v>
      </c>
      <c r="BB126" s="184" t="s">
        <v>117</v>
      </c>
      <c r="BM126" s="81">
        <f>IFERROR(X126*I126,"0")</f>
        <v>0</v>
      </c>
      <c r="BN126" s="81">
        <f>IFERROR(Y126*I126,"0")</f>
        <v>0</v>
      </c>
      <c r="BO126" s="81">
        <f>IFERROR(X126/J126,"0")</f>
        <v>0</v>
      </c>
      <c r="BP126" s="81">
        <f>IFERROR(Y126/J126,"0")</f>
        <v>0</v>
      </c>
    </row>
    <row r="127" spans="1:68" x14ac:dyDescent="0.2">
      <c r="A127" s="376"/>
      <c r="B127" s="376"/>
      <c r="C127" s="376"/>
      <c r="D127" s="376"/>
      <c r="E127" s="376"/>
      <c r="F127" s="376"/>
      <c r="G127" s="376"/>
      <c r="H127" s="376"/>
      <c r="I127" s="376"/>
      <c r="J127" s="376"/>
      <c r="K127" s="376"/>
      <c r="L127" s="376"/>
      <c r="M127" s="376"/>
      <c r="N127" s="376"/>
      <c r="O127" s="377"/>
      <c r="P127" s="373" t="s">
        <v>40</v>
      </c>
      <c r="Q127" s="374"/>
      <c r="R127" s="374"/>
      <c r="S127" s="374"/>
      <c r="T127" s="374"/>
      <c r="U127" s="374"/>
      <c r="V127" s="375"/>
      <c r="W127" s="42" t="s">
        <v>39</v>
      </c>
      <c r="X127" s="43">
        <f>IFERROR(SUM(X126:X126),"0")</f>
        <v>0</v>
      </c>
      <c r="Y127" s="43">
        <f>IFERROR(SUM(Y126:Y126),"0")</f>
        <v>0</v>
      </c>
      <c r="Z127" s="43">
        <f>IFERROR(IF(Z126="",0,Z126),"0")</f>
        <v>0</v>
      </c>
      <c r="AA127" s="67"/>
      <c r="AB127" s="67"/>
      <c r="AC127" s="67"/>
    </row>
    <row r="128" spans="1:68" x14ac:dyDescent="0.2">
      <c r="A128" s="376"/>
      <c r="B128" s="376"/>
      <c r="C128" s="376"/>
      <c r="D128" s="376"/>
      <c r="E128" s="376"/>
      <c r="F128" s="376"/>
      <c r="G128" s="376"/>
      <c r="H128" s="376"/>
      <c r="I128" s="376"/>
      <c r="J128" s="376"/>
      <c r="K128" s="376"/>
      <c r="L128" s="376"/>
      <c r="M128" s="376"/>
      <c r="N128" s="376"/>
      <c r="O128" s="377"/>
      <c r="P128" s="373" t="s">
        <v>40</v>
      </c>
      <c r="Q128" s="374"/>
      <c r="R128" s="374"/>
      <c r="S128" s="374"/>
      <c r="T128" s="374"/>
      <c r="U128" s="374"/>
      <c r="V128" s="375"/>
      <c r="W128" s="42" t="s">
        <v>0</v>
      </c>
      <c r="X128" s="43">
        <f>IFERROR(SUMPRODUCT(X126:X126*H126:H126),"0")</f>
        <v>0</v>
      </c>
      <c r="Y128" s="43">
        <f>IFERROR(SUMPRODUCT(Y126:Y126*H126:H126),"0")</f>
        <v>0</v>
      </c>
      <c r="Z128" s="42"/>
      <c r="AA128" s="67"/>
      <c r="AB128" s="67"/>
      <c r="AC128" s="67"/>
    </row>
    <row r="129" spans="1:68" ht="16.5" customHeight="1" x14ac:dyDescent="0.25">
      <c r="A129" s="360" t="s">
        <v>230</v>
      </c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0"/>
      <c r="P129" s="360"/>
      <c r="Q129" s="360"/>
      <c r="R129" s="360"/>
      <c r="S129" s="360"/>
      <c r="T129" s="360"/>
      <c r="U129" s="360"/>
      <c r="V129" s="360"/>
      <c r="W129" s="360"/>
      <c r="X129" s="360"/>
      <c r="Y129" s="360"/>
      <c r="Z129" s="360"/>
      <c r="AA129" s="65"/>
      <c r="AB129" s="65"/>
      <c r="AC129" s="82"/>
    </row>
    <row r="130" spans="1:68" ht="14.25" customHeight="1" x14ac:dyDescent="0.25">
      <c r="A130" s="361" t="s">
        <v>151</v>
      </c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1"/>
      <c r="P130" s="361"/>
      <c r="Q130" s="361"/>
      <c r="R130" s="361"/>
      <c r="S130" s="361"/>
      <c r="T130" s="361"/>
      <c r="U130" s="361"/>
      <c r="V130" s="361"/>
      <c r="W130" s="361"/>
      <c r="X130" s="361"/>
      <c r="Y130" s="361"/>
      <c r="Z130" s="361"/>
      <c r="AA130" s="66"/>
      <c r="AB130" s="66"/>
      <c r="AC130" s="83"/>
    </row>
    <row r="131" spans="1:68" ht="27" customHeight="1" x14ac:dyDescent="0.25">
      <c r="A131" s="63" t="s">
        <v>231</v>
      </c>
      <c r="B131" s="63" t="s">
        <v>232</v>
      </c>
      <c r="C131" s="36">
        <v>4301135848</v>
      </c>
      <c r="D131" s="362">
        <v>4620207491799</v>
      </c>
      <c r="E131" s="362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118</v>
      </c>
      <c r="L131" s="37" t="s">
        <v>88</v>
      </c>
      <c r="M131" s="38" t="s">
        <v>86</v>
      </c>
      <c r="N131" s="38"/>
      <c r="O131" s="37">
        <v>180</v>
      </c>
      <c r="P131" s="418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64"/>
      <c r="R131" s="364"/>
      <c r="S131" s="364"/>
      <c r="T131" s="365"/>
      <c r="U131" s="39" t="s">
        <v>46</v>
      </c>
      <c r="V131" s="39" t="s">
        <v>46</v>
      </c>
      <c r="W131" s="40" t="s">
        <v>39</v>
      </c>
      <c r="X131" s="58"/>
      <c r="Y131" s="55" t="str">
        <f>IFERROR(IF(X131="","",X131),"")</f>
        <v/>
      </c>
      <c r="Z131" s="41" t="str">
        <f>IFERROR(IF(X131="","",X131*0.00941),"")</f>
        <v/>
      </c>
      <c r="AA131" s="68" t="s">
        <v>46</v>
      </c>
      <c r="AB131" s="69" t="s">
        <v>46</v>
      </c>
      <c r="AC131" s="185" t="s">
        <v>233</v>
      </c>
      <c r="AG131" s="81"/>
      <c r="AJ131" s="87" t="s">
        <v>89</v>
      </c>
      <c r="AK131" s="87">
        <v>1</v>
      </c>
      <c r="BB131" s="186" t="s">
        <v>117</v>
      </c>
      <c r="BM131" s="81">
        <f>IFERROR(X131*I131,"0")</f>
        <v>0</v>
      </c>
      <c r="BN131" s="81" t="str">
        <f>IFERROR(Y131*I131,"0")</f>
        <v>0</v>
      </c>
      <c r="BO131" s="81">
        <f>IFERROR(X131/J131,"0")</f>
        <v>0</v>
      </c>
      <c r="BP131" s="81" t="str">
        <f>IFERROR(Y131/J131,"0")</f>
        <v>0</v>
      </c>
    </row>
    <row r="132" spans="1:68" ht="27" customHeight="1" x14ac:dyDescent="0.25">
      <c r="A132" s="63" t="s">
        <v>234</v>
      </c>
      <c r="B132" s="63" t="s">
        <v>235</v>
      </c>
      <c r="C132" s="36">
        <v>4301135850</v>
      </c>
      <c r="D132" s="362">
        <v>4620207491492</v>
      </c>
      <c r="E132" s="362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118</v>
      </c>
      <c r="L132" s="37" t="s">
        <v>88</v>
      </c>
      <c r="M132" s="38" t="s">
        <v>86</v>
      </c>
      <c r="N132" s="38"/>
      <c r="O132" s="37">
        <v>180</v>
      </c>
      <c r="P132" s="419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64"/>
      <c r="R132" s="364"/>
      <c r="S132" s="364"/>
      <c r="T132" s="365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233</v>
      </c>
      <c r="AG132" s="81"/>
      <c r="AJ132" s="87" t="s">
        <v>89</v>
      </c>
      <c r="AK132" s="87">
        <v>1</v>
      </c>
      <c r="BB132" s="188" t="s">
        <v>117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236</v>
      </c>
      <c r="B133" s="63" t="s">
        <v>237</v>
      </c>
      <c r="C133" s="36">
        <v>4301190118</v>
      </c>
      <c r="D133" s="362">
        <v>4620207491461</v>
      </c>
      <c r="E133" s="362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118</v>
      </c>
      <c r="L133" s="37" t="s">
        <v>88</v>
      </c>
      <c r="M133" s="38" t="s">
        <v>86</v>
      </c>
      <c r="N133" s="38"/>
      <c r="O133" s="37">
        <v>180</v>
      </c>
      <c r="P133" s="420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64"/>
      <c r="R133" s="364"/>
      <c r="S133" s="364"/>
      <c r="T133" s="365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233</v>
      </c>
      <c r="AG133" s="81"/>
      <c r="AJ133" s="87" t="s">
        <v>89</v>
      </c>
      <c r="AK133" s="87">
        <v>1</v>
      </c>
      <c r="BB133" s="190" t="s">
        <v>117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238</v>
      </c>
      <c r="B134" s="63" t="s">
        <v>239</v>
      </c>
      <c r="C134" s="36">
        <v>4301135865</v>
      </c>
      <c r="D134" s="362">
        <v>4620207491485</v>
      </c>
      <c r="E134" s="362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118</v>
      </c>
      <c r="L134" s="37" t="s">
        <v>88</v>
      </c>
      <c r="M134" s="38" t="s">
        <v>86</v>
      </c>
      <c r="N134" s="38"/>
      <c r="O134" s="37">
        <v>180</v>
      </c>
      <c r="P134" s="42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64"/>
      <c r="R134" s="364"/>
      <c r="S134" s="364"/>
      <c r="T134" s="365"/>
      <c r="U134" s="39" t="s">
        <v>46</v>
      </c>
      <c r="V134" s="39" t="s">
        <v>46</v>
      </c>
      <c r="W134" s="40" t="s">
        <v>39</v>
      </c>
      <c r="X134" s="58"/>
      <c r="Y134" s="55" t="str">
        <f>IFERROR(IF(X134="","",X134),"")</f>
        <v/>
      </c>
      <c r="Z134" s="41" t="str">
        <f>IFERROR(IF(X134="","",X134*0.00941),"")</f>
        <v/>
      </c>
      <c r="AA134" s="68" t="s">
        <v>46</v>
      </c>
      <c r="AB134" s="69" t="s">
        <v>46</v>
      </c>
      <c r="AC134" s="191" t="s">
        <v>233</v>
      </c>
      <c r="AG134" s="81"/>
      <c r="AJ134" s="87" t="s">
        <v>89</v>
      </c>
      <c r="AK134" s="87">
        <v>1</v>
      </c>
      <c r="BB134" s="192" t="s">
        <v>117</v>
      </c>
      <c r="BM134" s="81">
        <f>IFERROR(X134*I134,"0")</f>
        <v>0</v>
      </c>
      <c r="BN134" s="81" t="str">
        <f>IFERROR(Y134*I134,"0")</f>
        <v>0</v>
      </c>
      <c r="BO134" s="81">
        <f>IFERROR(X134/J134,"0")</f>
        <v>0</v>
      </c>
      <c r="BP134" s="81" t="str">
        <f>IFERROR(Y134/J134,"0")</f>
        <v>0</v>
      </c>
    </row>
    <row r="135" spans="1:68" x14ac:dyDescent="0.2">
      <c r="A135" s="376"/>
      <c r="B135" s="376"/>
      <c r="C135" s="376"/>
      <c r="D135" s="376"/>
      <c r="E135" s="376"/>
      <c r="F135" s="376"/>
      <c r="G135" s="376"/>
      <c r="H135" s="376"/>
      <c r="I135" s="376"/>
      <c r="J135" s="376"/>
      <c r="K135" s="376"/>
      <c r="L135" s="376"/>
      <c r="M135" s="376"/>
      <c r="N135" s="376"/>
      <c r="O135" s="377"/>
      <c r="P135" s="373" t="s">
        <v>40</v>
      </c>
      <c r="Q135" s="374"/>
      <c r="R135" s="374"/>
      <c r="S135" s="374"/>
      <c r="T135" s="374"/>
      <c r="U135" s="374"/>
      <c r="V135" s="375"/>
      <c r="W135" s="42" t="s">
        <v>39</v>
      </c>
      <c r="X135" s="43">
        <f>IFERROR(SUM(X131:X134),"0")</f>
        <v>0</v>
      </c>
      <c r="Y135" s="43">
        <f>IFERROR(SUM(Y131:Y134),"0")</f>
        <v>0</v>
      </c>
      <c r="Z135" s="43">
        <f>IFERROR(IF(Z131="",0,Z131),"0")+IFERROR(IF(Z132="",0,Z132),"0")+IFERROR(IF(Z133="",0,Z133),"0")+IFERROR(IF(Z134="",0,Z134),"0")</f>
        <v>0</v>
      </c>
      <c r="AA135" s="67"/>
      <c r="AB135" s="67"/>
      <c r="AC135" s="67"/>
    </row>
    <row r="136" spans="1:68" x14ac:dyDescent="0.2">
      <c r="A136" s="376"/>
      <c r="B136" s="376"/>
      <c r="C136" s="376"/>
      <c r="D136" s="376"/>
      <c r="E136" s="376"/>
      <c r="F136" s="376"/>
      <c r="G136" s="376"/>
      <c r="H136" s="376"/>
      <c r="I136" s="376"/>
      <c r="J136" s="376"/>
      <c r="K136" s="376"/>
      <c r="L136" s="376"/>
      <c r="M136" s="376"/>
      <c r="N136" s="376"/>
      <c r="O136" s="377"/>
      <c r="P136" s="373" t="s">
        <v>40</v>
      </c>
      <c r="Q136" s="374"/>
      <c r="R136" s="374"/>
      <c r="S136" s="374"/>
      <c r="T136" s="374"/>
      <c r="U136" s="374"/>
      <c r="V136" s="375"/>
      <c r="W136" s="42" t="s">
        <v>0</v>
      </c>
      <c r="X136" s="43">
        <f>IFERROR(SUMPRODUCT(X131:X134*H131:H134),"0")</f>
        <v>0</v>
      </c>
      <c r="Y136" s="43" t="str">
        <f>IFERROR(SUMPRODUCT(Y131:Y134*H131:H134),"0")</f>
        <v>0</v>
      </c>
      <c r="Z136" s="42"/>
      <c r="AA136" s="67"/>
      <c r="AB136" s="67"/>
      <c r="AC136" s="67"/>
    </row>
    <row r="137" spans="1:68" ht="14.25" customHeight="1" x14ac:dyDescent="0.25">
      <c r="A137" s="361" t="s">
        <v>240</v>
      </c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1"/>
      <c r="P137" s="361"/>
      <c r="Q137" s="361"/>
      <c r="R137" s="361"/>
      <c r="S137" s="361"/>
      <c r="T137" s="361"/>
      <c r="U137" s="361"/>
      <c r="V137" s="361"/>
      <c r="W137" s="361"/>
      <c r="X137" s="361"/>
      <c r="Y137" s="361"/>
      <c r="Z137" s="361"/>
      <c r="AA137" s="66"/>
      <c r="AB137" s="66"/>
      <c r="AC137" s="83"/>
    </row>
    <row r="138" spans="1:68" ht="27" customHeight="1" x14ac:dyDescent="0.25">
      <c r="A138" s="63" t="s">
        <v>241</v>
      </c>
      <c r="B138" s="63" t="s">
        <v>242</v>
      </c>
      <c r="C138" s="36">
        <v>4301190117</v>
      </c>
      <c r="D138" s="362">
        <v>4620207491386</v>
      </c>
      <c r="E138" s="362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118</v>
      </c>
      <c r="L138" s="37" t="s">
        <v>88</v>
      </c>
      <c r="M138" s="38" t="s">
        <v>86</v>
      </c>
      <c r="N138" s="38"/>
      <c r="O138" s="37">
        <v>180</v>
      </c>
      <c r="P138" s="42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64"/>
      <c r="R138" s="364"/>
      <c r="S138" s="364"/>
      <c r="T138" s="365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243</v>
      </c>
      <c r="AG138" s="81"/>
      <c r="AJ138" s="87" t="s">
        <v>89</v>
      </c>
      <c r="AK138" s="87">
        <v>1</v>
      </c>
      <c r="BB138" s="194" t="s">
        <v>117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244</v>
      </c>
      <c r="B139" s="63" t="s">
        <v>245</v>
      </c>
      <c r="C139" s="36">
        <v>4301190115</v>
      </c>
      <c r="D139" s="362">
        <v>4620207491362</v>
      </c>
      <c r="E139" s="362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118</v>
      </c>
      <c r="L139" s="37" t="s">
        <v>88</v>
      </c>
      <c r="M139" s="38" t="s">
        <v>86</v>
      </c>
      <c r="N139" s="38"/>
      <c r="O139" s="37">
        <v>180</v>
      </c>
      <c r="P139" s="42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64"/>
      <c r="R139" s="364"/>
      <c r="S139" s="364"/>
      <c r="T139" s="365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243</v>
      </c>
      <c r="AG139" s="81"/>
      <c r="AJ139" s="87" t="s">
        <v>89</v>
      </c>
      <c r="AK139" s="87">
        <v>1</v>
      </c>
      <c r="BB139" s="196" t="s">
        <v>117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246</v>
      </c>
      <c r="B140" s="63" t="s">
        <v>247</v>
      </c>
      <c r="C140" s="36">
        <v>4301190116</v>
      </c>
      <c r="D140" s="362">
        <v>4620207491379</v>
      </c>
      <c r="E140" s="362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118</v>
      </c>
      <c r="L140" s="37" t="s">
        <v>88</v>
      </c>
      <c r="M140" s="38" t="s">
        <v>86</v>
      </c>
      <c r="N140" s="38"/>
      <c r="O140" s="37">
        <v>180</v>
      </c>
      <c r="P140" s="42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64"/>
      <c r="R140" s="364"/>
      <c r="S140" s="364"/>
      <c r="T140" s="365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243</v>
      </c>
      <c r="AG140" s="81"/>
      <c r="AJ140" s="87" t="s">
        <v>89</v>
      </c>
      <c r="AK140" s="87">
        <v>1</v>
      </c>
      <c r="BB140" s="198" t="s">
        <v>117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76"/>
      <c r="B141" s="376"/>
      <c r="C141" s="376"/>
      <c r="D141" s="376"/>
      <c r="E141" s="376"/>
      <c r="F141" s="376"/>
      <c r="G141" s="376"/>
      <c r="H141" s="376"/>
      <c r="I141" s="376"/>
      <c r="J141" s="376"/>
      <c r="K141" s="376"/>
      <c r="L141" s="376"/>
      <c r="M141" s="376"/>
      <c r="N141" s="376"/>
      <c r="O141" s="377"/>
      <c r="P141" s="373" t="s">
        <v>40</v>
      </c>
      <c r="Q141" s="374"/>
      <c r="R141" s="374"/>
      <c r="S141" s="374"/>
      <c r="T141" s="374"/>
      <c r="U141" s="374"/>
      <c r="V141" s="375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x14ac:dyDescent="0.2">
      <c r="A142" s="376"/>
      <c r="B142" s="376"/>
      <c r="C142" s="376"/>
      <c r="D142" s="376"/>
      <c r="E142" s="376"/>
      <c r="F142" s="376"/>
      <c r="G142" s="376"/>
      <c r="H142" s="376"/>
      <c r="I142" s="376"/>
      <c r="J142" s="376"/>
      <c r="K142" s="376"/>
      <c r="L142" s="376"/>
      <c r="M142" s="376"/>
      <c r="N142" s="376"/>
      <c r="O142" s="377"/>
      <c r="P142" s="373" t="s">
        <v>40</v>
      </c>
      <c r="Q142" s="374"/>
      <c r="R142" s="374"/>
      <c r="S142" s="374"/>
      <c r="T142" s="374"/>
      <c r="U142" s="374"/>
      <c r="V142" s="375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customHeight="1" x14ac:dyDescent="0.25">
      <c r="A143" s="360" t="s">
        <v>248</v>
      </c>
      <c r="B143" s="360"/>
      <c r="C143" s="360"/>
      <c r="D143" s="360"/>
      <c r="E143" s="360"/>
      <c r="F143" s="360"/>
      <c r="G143" s="360"/>
      <c r="H143" s="360"/>
      <c r="I143" s="360"/>
      <c r="J143" s="360"/>
      <c r="K143" s="360"/>
      <c r="L143" s="360"/>
      <c r="M143" s="360"/>
      <c r="N143" s="360"/>
      <c r="O143" s="360"/>
      <c r="P143" s="360"/>
      <c r="Q143" s="360"/>
      <c r="R143" s="360"/>
      <c r="S143" s="360"/>
      <c r="T143" s="360"/>
      <c r="U143" s="360"/>
      <c r="V143" s="360"/>
      <c r="W143" s="360"/>
      <c r="X143" s="360"/>
      <c r="Y143" s="360"/>
      <c r="Z143" s="360"/>
      <c r="AA143" s="65"/>
      <c r="AB143" s="65"/>
      <c r="AC143" s="82"/>
    </row>
    <row r="144" spans="1:68" ht="14.25" customHeight="1" x14ac:dyDescent="0.25">
      <c r="A144" s="361" t="s">
        <v>151</v>
      </c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1"/>
      <c r="P144" s="361"/>
      <c r="Q144" s="361"/>
      <c r="R144" s="361"/>
      <c r="S144" s="361"/>
      <c r="T144" s="361"/>
      <c r="U144" s="361"/>
      <c r="V144" s="361"/>
      <c r="W144" s="361"/>
      <c r="X144" s="361"/>
      <c r="Y144" s="361"/>
      <c r="Z144" s="361"/>
      <c r="AA144" s="66"/>
      <c r="AB144" s="66"/>
      <c r="AC144" s="83"/>
    </row>
    <row r="145" spans="1:68" ht="27" customHeight="1" x14ac:dyDescent="0.25">
      <c r="A145" s="63" t="s">
        <v>249</v>
      </c>
      <c r="B145" s="63" t="s">
        <v>250</v>
      </c>
      <c r="C145" s="36">
        <v>4301135555</v>
      </c>
      <c r="D145" s="362">
        <v>4607111034014</v>
      </c>
      <c r="E145" s="362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118</v>
      </c>
      <c r="L145" s="37" t="s">
        <v>119</v>
      </c>
      <c r="M145" s="38" t="s">
        <v>86</v>
      </c>
      <c r="N145" s="38"/>
      <c r="O145" s="37">
        <v>180</v>
      </c>
      <c r="P145" s="42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64"/>
      <c r="R145" s="364"/>
      <c r="S145" s="364"/>
      <c r="T145" s="365"/>
      <c r="U145" s="39" t="s">
        <v>46</v>
      </c>
      <c r="V145" s="39" t="s">
        <v>46</v>
      </c>
      <c r="W145" s="40" t="s">
        <v>39</v>
      </c>
      <c r="X145" s="58"/>
      <c r="Y145" s="55" t="str">
        <f>IFERROR(IF(X145="","",X145),"")</f>
        <v/>
      </c>
      <c r="Z145" s="41" t="str">
        <f>IFERROR(IF(X145="","",X145*0.01788),"")</f>
        <v/>
      </c>
      <c r="AA145" s="68" t="s">
        <v>46</v>
      </c>
      <c r="AB145" s="69" t="s">
        <v>46</v>
      </c>
      <c r="AC145" s="199" t="s">
        <v>251</v>
      </c>
      <c r="AG145" s="81"/>
      <c r="AJ145" s="87" t="s">
        <v>120</v>
      </c>
      <c r="AK145" s="87">
        <v>14</v>
      </c>
      <c r="BB145" s="200" t="s">
        <v>117</v>
      </c>
      <c r="BM145" s="81">
        <f>IFERROR(X145*I145,"0")</f>
        <v>0</v>
      </c>
      <c r="BN145" s="81" t="str">
        <f>IFERROR(Y145*I145,"0")</f>
        <v>0</v>
      </c>
      <c r="BO145" s="81">
        <f>IFERROR(X145/J145,"0")</f>
        <v>0</v>
      </c>
      <c r="BP145" s="81" t="str">
        <f>IFERROR(Y145/J145,"0")</f>
        <v>0</v>
      </c>
    </row>
    <row r="146" spans="1:68" ht="27" customHeight="1" x14ac:dyDescent="0.25">
      <c r="A146" s="63" t="s">
        <v>252</v>
      </c>
      <c r="B146" s="63" t="s">
        <v>253</v>
      </c>
      <c r="C146" s="36">
        <v>4301135532</v>
      </c>
      <c r="D146" s="362">
        <v>4607111033994</v>
      </c>
      <c r="E146" s="362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118</v>
      </c>
      <c r="L146" s="37" t="s">
        <v>119</v>
      </c>
      <c r="M146" s="38" t="s">
        <v>86</v>
      </c>
      <c r="N146" s="38"/>
      <c r="O146" s="37">
        <v>180</v>
      </c>
      <c r="P146" s="42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64"/>
      <c r="R146" s="364"/>
      <c r="S146" s="364"/>
      <c r="T146" s="365"/>
      <c r="U146" s="39" t="s">
        <v>46</v>
      </c>
      <c r="V146" s="39" t="s">
        <v>46</v>
      </c>
      <c r="W146" s="40" t="s">
        <v>39</v>
      </c>
      <c r="X146" s="58"/>
      <c r="Y146" s="55" t="str">
        <f>IFERROR(IF(X146="","",X146),"")</f>
        <v/>
      </c>
      <c r="Z146" s="41" t="str">
        <f>IFERROR(IF(X146="","",X146*0.01788),"")</f>
        <v/>
      </c>
      <c r="AA146" s="68" t="s">
        <v>46</v>
      </c>
      <c r="AB146" s="69" t="s">
        <v>46</v>
      </c>
      <c r="AC146" s="201" t="s">
        <v>169</v>
      </c>
      <c r="AG146" s="81"/>
      <c r="AJ146" s="87" t="s">
        <v>120</v>
      </c>
      <c r="AK146" s="87">
        <v>14</v>
      </c>
      <c r="BB146" s="202" t="s">
        <v>117</v>
      </c>
      <c r="BM146" s="81">
        <f>IFERROR(X146*I146,"0")</f>
        <v>0</v>
      </c>
      <c r="BN146" s="81" t="str">
        <f>IFERROR(Y146*I146,"0")</f>
        <v>0</v>
      </c>
      <c r="BO146" s="81">
        <f>IFERROR(X146/J146,"0")</f>
        <v>0</v>
      </c>
      <c r="BP146" s="81" t="str">
        <f>IFERROR(Y146/J146,"0")</f>
        <v>0</v>
      </c>
    </row>
    <row r="147" spans="1:68" x14ac:dyDescent="0.2">
      <c r="A147" s="376"/>
      <c r="B147" s="376"/>
      <c r="C147" s="376"/>
      <c r="D147" s="376"/>
      <c r="E147" s="376"/>
      <c r="F147" s="376"/>
      <c r="G147" s="376"/>
      <c r="H147" s="376"/>
      <c r="I147" s="376"/>
      <c r="J147" s="376"/>
      <c r="K147" s="376"/>
      <c r="L147" s="376"/>
      <c r="M147" s="376"/>
      <c r="N147" s="376"/>
      <c r="O147" s="377"/>
      <c r="P147" s="373" t="s">
        <v>40</v>
      </c>
      <c r="Q147" s="374"/>
      <c r="R147" s="374"/>
      <c r="S147" s="374"/>
      <c r="T147" s="374"/>
      <c r="U147" s="374"/>
      <c r="V147" s="375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76"/>
      <c r="B148" s="376"/>
      <c r="C148" s="376"/>
      <c r="D148" s="376"/>
      <c r="E148" s="376"/>
      <c r="F148" s="376"/>
      <c r="G148" s="376"/>
      <c r="H148" s="376"/>
      <c r="I148" s="376"/>
      <c r="J148" s="376"/>
      <c r="K148" s="376"/>
      <c r="L148" s="376"/>
      <c r="M148" s="376"/>
      <c r="N148" s="376"/>
      <c r="O148" s="377"/>
      <c r="P148" s="373" t="s">
        <v>40</v>
      </c>
      <c r="Q148" s="374"/>
      <c r="R148" s="374"/>
      <c r="S148" s="374"/>
      <c r="T148" s="374"/>
      <c r="U148" s="374"/>
      <c r="V148" s="375"/>
      <c r="W148" s="42" t="s">
        <v>0</v>
      </c>
      <c r="X148" s="43">
        <f>IFERROR(SUMPRODUCT(X145:X146*H145:H146),"0")</f>
        <v>0</v>
      </c>
      <c r="Y148" s="43" t="str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60" t="s">
        <v>254</v>
      </c>
      <c r="B149" s="360"/>
      <c r="C149" s="360"/>
      <c r="D149" s="360"/>
      <c r="E149" s="360"/>
      <c r="F149" s="360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  <c r="Z149" s="360"/>
      <c r="AA149" s="65"/>
      <c r="AB149" s="65"/>
      <c r="AC149" s="82"/>
    </row>
    <row r="150" spans="1:68" ht="14.25" customHeight="1" x14ac:dyDescent="0.25">
      <c r="A150" s="361" t="s">
        <v>151</v>
      </c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1"/>
      <c r="P150" s="361"/>
      <c r="Q150" s="361"/>
      <c r="R150" s="361"/>
      <c r="S150" s="361"/>
      <c r="T150" s="361"/>
      <c r="U150" s="361"/>
      <c r="V150" s="361"/>
      <c r="W150" s="361"/>
      <c r="X150" s="361"/>
      <c r="Y150" s="361"/>
      <c r="Z150" s="361"/>
      <c r="AA150" s="66"/>
      <c r="AB150" s="66"/>
      <c r="AC150" s="83"/>
    </row>
    <row r="151" spans="1:68" ht="27" customHeight="1" x14ac:dyDescent="0.25">
      <c r="A151" s="63" t="s">
        <v>255</v>
      </c>
      <c r="B151" s="63" t="s">
        <v>256</v>
      </c>
      <c r="C151" s="36">
        <v>4301135824</v>
      </c>
      <c r="D151" s="362">
        <v>4607111039095</v>
      </c>
      <c r="E151" s="362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118</v>
      </c>
      <c r="L151" s="37" t="s">
        <v>88</v>
      </c>
      <c r="M151" s="38" t="s">
        <v>86</v>
      </c>
      <c r="N151" s="38"/>
      <c r="O151" s="37">
        <v>180</v>
      </c>
      <c r="P151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64"/>
      <c r="R151" s="364"/>
      <c r="S151" s="364"/>
      <c r="T151" s="365"/>
      <c r="U151" s="39" t="s">
        <v>46</v>
      </c>
      <c r="V151" s="39" t="s">
        <v>46</v>
      </c>
      <c r="W151" s="40" t="s">
        <v>39</v>
      </c>
      <c r="X151" s="58"/>
      <c r="Y151" s="55" t="str">
        <f>IFERROR(IF(X151="","",X151),"")</f>
        <v/>
      </c>
      <c r="Z151" s="41" t="str">
        <f>IFERROR(IF(X151="","",X151*0.01788),"")</f>
        <v/>
      </c>
      <c r="AA151" s="68" t="s">
        <v>46</v>
      </c>
      <c r="AB151" s="69" t="s">
        <v>46</v>
      </c>
      <c r="AC151" s="203" t="s">
        <v>257</v>
      </c>
      <c r="AG151" s="81"/>
      <c r="AJ151" s="87" t="s">
        <v>89</v>
      </c>
      <c r="AK151" s="87">
        <v>1</v>
      </c>
      <c r="BB151" s="204" t="s">
        <v>117</v>
      </c>
      <c r="BM151" s="81">
        <f>IFERROR(X151*I151,"0")</f>
        <v>0</v>
      </c>
      <c r="BN151" s="81" t="str">
        <f>IFERROR(Y151*I151,"0")</f>
        <v>0</v>
      </c>
      <c r="BO151" s="81">
        <f>IFERROR(X151/J151,"0")</f>
        <v>0</v>
      </c>
      <c r="BP151" s="81" t="str">
        <f>IFERROR(Y151/J151,"0")</f>
        <v>0</v>
      </c>
    </row>
    <row r="152" spans="1:68" ht="16.5" customHeight="1" x14ac:dyDescent="0.25">
      <c r="A152" s="63" t="s">
        <v>258</v>
      </c>
      <c r="B152" s="63" t="s">
        <v>259</v>
      </c>
      <c r="C152" s="36">
        <v>4301135946</v>
      </c>
      <c r="D152" s="362">
        <v>4620207491553</v>
      </c>
      <c r="E152" s="362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118</v>
      </c>
      <c r="L152" s="37" t="s">
        <v>88</v>
      </c>
      <c r="M152" s="38" t="s">
        <v>86</v>
      </c>
      <c r="N152" s="38"/>
      <c r="O152" s="37">
        <v>180</v>
      </c>
      <c r="P152" s="42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364"/>
      <c r="R152" s="364"/>
      <c r="S152" s="364"/>
      <c r="T152" s="365"/>
      <c r="U152" s="39" t="s">
        <v>46</v>
      </c>
      <c r="V152" s="39" t="s">
        <v>46</v>
      </c>
      <c r="W152" s="40" t="s">
        <v>39</v>
      </c>
      <c r="X152" s="58"/>
      <c r="Y152" s="55" t="str">
        <f>IFERROR(IF(X152="","",X152),"")</f>
        <v/>
      </c>
      <c r="Z152" s="41" t="str">
        <f>IFERROR(IF(X152="","",X152*0.01788),"")</f>
        <v/>
      </c>
      <c r="AA152" s="68" t="s">
        <v>46</v>
      </c>
      <c r="AB152" s="69" t="s">
        <v>46</v>
      </c>
      <c r="AC152" s="205" t="s">
        <v>260</v>
      </c>
      <c r="AG152" s="81"/>
      <c r="AJ152" s="87" t="s">
        <v>89</v>
      </c>
      <c r="AK152" s="87">
        <v>1</v>
      </c>
      <c r="BB152" s="206" t="s">
        <v>117</v>
      </c>
      <c r="BM152" s="81">
        <f>IFERROR(X152*I152,"0")</f>
        <v>0</v>
      </c>
      <c r="BN152" s="81" t="str">
        <f>IFERROR(Y152*I152,"0")</f>
        <v>0</v>
      </c>
      <c r="BO152" s="81">
        <f>IFERROR(X152/J152,"0")</f>
        <v>0</v>
      </c>
      <c r="BP152" s="81" t="str">
        <f>IFERROR(Y152/J152,"0")</f>
        <v>0</v>
      </c>
    </row>
    <row r="153" spans="1:68" x14ac:dyDescent="0.2">
      <c r="A153" s="376"/>
      <c r="B153" s="376"/>
      <c r="C153" s="376"/>
      <c r="D153" s="376"/>
      <c r="E153" s="376"/>
      <c r="F153" s="376"/>
      <c r="G153" s="376"/>
      <c r="H153" s="376"/>
      <c r="I153" s="376"/>
      <c r="J153" s="376"/>
      <c r="K153" s="376"/>
      <c r="L153" s="376"/>
      <c r="M153" s="376"/>
      <c r="N153" s="376"/>
      <c r="O153" s="377"/>
      <c r="P153" s="373" t="s">
        <v>40</v>
      </c>
      <c r="Q153" s="374"/>
      <c r="R153" s="374"/>
      <c r="S153" s="374"/>
      <c r="T153" s="374"/>
      <c r="U153" s="374"/>
      <c r="V153" s="375"/>
      <c r="W153" s="42" t="s">
        <v>39</v>
      </c>
      <c r="X153" s="43">
        <f>IFERROR(SUM(X151:X152),"0")</f>
        <v>0</v>
      </c>
      <c r="Y153" s="43">
        <f>IFERROR(SUM(Y151:Y152),"0")</f>
        <v>0</v>
      </c>
      <c r="Z153" s="43">
        <f>IFERROR(IF(Z151="",0,Z151),"0")+IFERROR(IF(Z152="",0,Z152),"0")</f>
        <v>0</v>
      </c>
      <c r="AA153" s="67"/>
      <c r="AB153" s="67"/>
      <c r="AC153" s="67"/>
    </row>
    <row r="154" spans="1:68" x14ac:dyDescent="0.2">
      <c r="A154" s="376"/>
      <c r="B154" s="376"/>
      <c r="C154" s="376"/>
      <c r="D154" s="376"/>
      <c r="E154" s="376"/>
      <c r="F154" s="376"/>
      <c r="G154" s="376"/>
      <c r="H154" s="376"/>
      <c r="I154" s="376"/>
      <c r="J154" s="376"/>
      <c r="K154" s="376"/>
      <c r="L154" s="376"/>
      <c r="M154" s="376"/>
      <c r="N154" s="376"/>
      <c r="O154" s="377"/>
      <c r="P154" s="373" t="s">
        <v>40</v>
      </c>
      <c r="Q154" s="374"/>
      <c r="R154" s="374"/>
      <c r="S154" s="374"/>
      <c r="T154" s="374"/>
      <c r="U154" s="374"/>
      <c r="V154" s="375"/>
      <c r="W154" s="42" t="s">
        <v>0</v>
      </c>
      <c r="X154" s="43">
        <f>IFERROR(SUMPRODUCT(X151:X152*H151:H152),"0")</f>
        <v>0</v>
      </c>
      <c r="Y154" s="43" t="str">
        <f>IFERROR(SUMPRODUCT(Y151:Y152*H151:H152),"0")</f>
        <v>0</v>
      </c>
      <c r="Z154" s="42"/>
      <c r="AA154" s="67"/>
      <c r="AB154" s="67"/>
      <c r="AC154" s="67"/>
    </row>
    <row r="155" spans="1:68" ht="16.5" customHeight="1" x14ac:dyDescent="0.25">
      <c r="A155" s="360" t="s">
        <v>261</v>
      </c>
      <c r="B155" s="360"/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65"/>
      <c r="AB155" s="65"/>
      <c r="AC155" s="82"/>
    </row>
    <row r="156" spans="1:68" ht="14.25" customHeight="1" x14ac:dyDescent="0.25">
      <c r="A156" s="361" t="s">
        <v>151</v>
      </c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1"/>
      <c r="P156" s="361"/>
      <c r="Q156" s="361"/>
      <c r="R156" s="361"/>
      <c r="S156" s="361"/>
      <c r="T156" s="361"/>
      <c r="U156" s="361"/>
      <c r="V156" s="361"/>
      <c r="W156" s="361"/>
      <c r="X156" s="361"/>
      <c r="Y156" s="361"/>
      <c r="Z156" s="361"/>
      <c r="AA156" s="66"/>
      <c r="AB156" s="66"/>
      <c r="AC156" s="83"/>
    </row>
    <row r="157" spans="1:68" ht="27" customHeight="1" x14ac:dyDescent="0.25">
      <c r="A157" s="63" t="s">
        <v>262</v>
      </c>
      <c r="B157" s="63" t="s">
        <v>263</v>
      </c>
      <c r="C157" s="36">
        <v>4301135753</v>
      </c>
      <c r="D157" s="362">
        <v>4620207490914</v>
      </c>
      <c r="E157" s="362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118</v>
      </c>
      <c r="L157" s="37" t="s">
        <v>119</v>
      </c>
      <c r="M157" s="38" t="s">
        <v>86</v>
      </c>
      <c r="N157" s="38"/>
      <c r="O157" s="37">
        <v>180</v>
      </c>
      <c r="P157" s="42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364"/>
      <c r="R157" s="364"/>
      <c r="S157" s="364"/>
      <c r="T157" s="365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251</v>
      </c>
      <c r="AG157" s="81"/>
      <c r="AJ157" s="87" t="s">
        <v>120</v>
      </c>
      <c r="AK157" s="87">
        <v>14</v>
      </c>
      <c r="BB157" s="208" t="s">
        <v>117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ht="27" customHeight="1" x14ac:dyDescent="0.25">
      <c r="A158" s="63" t="s">
        <v>264</v>
      </c>
      <c r="B158" s="63" t="s">
        <v>265</v>
      </c>
      <c r="C158" s="36">
        <v>4301135778</v>
      </c>
      <c r="D158" s="362">
        <v>4620207490853</v>
      </c>
      <c r="E158" s="362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118</v>
      </c>
      <c r="L158" s="37" t="s">
        <v>119</v>
      </c>
      <c r="M158" s="38" t="s">
        <v>86</v>
      </c>
      <c r="N158" s="38"/>
      <c r="O158" s="37">
        <v>180</v>
      </c>
      <c r="P158" s="43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364"/>
      <c r="R158" s="364"/>
      <c r="S158" s="364"/>
      <c r="T158" s="365"/>
      <c r="U158" s="39" t="s">
        <v>46</v>
      </c>
      <c r="V158" s="39" t="s">
        <v>46</v>
      </c>
      <c r="W158" s="40" t="s">
        <v>39</v>
      </c>
      <c r="X158" s="58"/>
      <c r="Y158" s="55" t="str">
        <f>IFERROR(IF(X158="","",X158),"")</f>
        <v/>
      </c>
      <c r="Z158" s="41" t="str">
        <f>IFERROR(IF(X158="","",X158*0.01788),"")</f>
        <v/>
      </c>
      <c r="AA158" s="68" t="s">
        <v>46</v>
      </c>
      <c r="AB158" s="69" t="s">
        <v>46</v>
      </c>
      <c r="AC158" s="209" t="s">
        <v>251</v>
      </c>
      <c r="AG158" s="81"/>
      <c r="AJ158" s="87" t="s">
        <v>120</v>
      </c>
      <c r="AK158" s="87">
        <v>14</v>
      </c>
      <c r="BB158" s="210" t="s">
        <v>117</v>
      </c>
      <c r="BM158" s="81">
        <f>IFERROR(X158*I158,"0")</f>
        <v>0</v>
      </c>
      <c r="BN158" s="81" t="str">
        <f>IFERROR(Y158*I158,"0")</f>
        <v>0</v>
      </c>
      <c r="BO158" s="81">
        <f>IFERROR(X158/J158,"0")</f>
        <v>0</v>
      </c>
      <c r="BP158" s="81" t="str">
        <f>IFERROR(Y158/J158,"0")</f>
        <v>0</v>
      </c>
    </row>
    <row r="159" spans="1:68" x14ac:dyDescent="0.2">
      <c r="A159" s="376"/>
      <c r="B159" s="376"/>
      <c r="C159" s="376"/>
      <c r="D159" s="376"/>
      <c r="E159" s="376"/>
      <c r="F159" s="376"/>
      <c r="G159" s="376"/>
      <c r="H159" s="376"/>
      <c r="I159" s="376"/>
      <c r="J159" s="376"/>
      <c r="K159" s="376"/>
      <c r="L159" s="376"/>
      <c r="M159" s="376"/>
      <c r="N159" s="376"/>
      <c r="O159" s="377"/>
      <c r="P159" s="373" t="s">
        <v>40</v>
      </c>
      <c r="Q159" s="374"/>
      <c r="R159" s="374"/>
      <c r="S159" s="374"/>
      <c r="T159" s="374"/>
      <c r="U159" s="374"/>
      <c r="V159" s="375"/>
      <c r="W159" s="42" t="s">
        <v>39</v>
      </c>
      <c r="X159" s="43">
        <f>IFERROR(SUM(X157:X158),"0")</f>
        <v>0</v>
      </c>
      <c r="Y159" s="43">
        <f>IFERROR(SUM(Y157:Y158),"0")</f>
        <v>0</v>
      </c>
      <c r="Z159" s="43">
        <f>IFERROR(IF(Z157="",0,Z157),"0")+IFERROR(IF(Z158="",0,Z158),"0")</f>
        <v>0</v>
      </c>
      <c r="AA159" s="67"/>
      <c r="AB159" s="67"/>
      <c r="AC159" s="67"/>
    </row>
    <row r="160" spans="1:68" x14ac:dyDescent="0.2">
      <c r="A160" s="376"/>
      <c r="B160" s="376"/>
      <c r="C160" s="376"/>
      <c r="D160" s="376"/>
      <c r="E160" s="376"/>
      <c r="F160" s="376"/>
      <c r="G160" s="376"/>
      <c r="H160" s="376"/>
      <c r="I160" s="376"/>
      <c r="J160" s="376"/>
      <c r="K160" s="376"/>
      <c r="L160" s="376"/>
      <c r="M160" s="376"/>
      <c r="N160" s="376"/>
      <c r="O160" s="377"/>
      <c r="P160" s="373" t="s">
        <v>40</v>
      </c>
      <c r="Q160" s="374"/>
      <c r="R160" s="374"/>
      <c r="S160" s="374"/>
      <c r="T160" s="374"/>
      <c r="U160" s="374"/>
      <c r="V160" s="375"/>
      <c r="W160" s="42" t="s">
        <v>0</v>
      </c>
      <c r="X160" s="43">
        <f>IFERROR(SUMPRODUCT(X157:X158*H157:H158),"0")</f>
        <v>0</v>
      </c>
      <c r="Y160" s="43" t="str">
        <f>IFERROR(SUMPRODUCT(Y157:Y158*H157:H158),"0")</f>
        <v>0</v>
      </c>
      <c r="Z160" s="42"/>
      <c r="AA160" s="67"/>
      <c r="AB160" s="67"/>
      <c r="AC160" s="67"/>
    </row>
    <row r="161" spans="1:68" ht="16.5" customHeight="1" x14ac:dyDescent="0.25">
      <c r="A161" s="360" t="s">
        <v>266</v>
      </c>
      <c r="B161" s="360"/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65"/>
      <c r="AB161" s="65"/>
      <c r="AC161" s="82"/>
    </row>
    <row r="162" spans="1:68" ht="14.25" customHeight="1" x14ac:dyDescent="0.25">
      <c r="A162" s="361" t="s">
        <v>151</v>
      </c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66"/>
      <c r="AB162" s="66"/>
      <c r="AC162" s="83"/>
    </row>
    <row r="163" spans="1:68" ht="27" customHeight="1" x14ac:dyDescent="0.25">
      <c r="A163" s="63" t="s">
        <v>267</v>
      </c>
      <c r="B163" s="63" t="s">
        <v>268</v>
      </c>
      <c r="C163" s="36">
        <v>4301135940</v>
      </c>
      <c r="D163" s="362">
        <v>4620207491614</v>
      </c>
      <c r="E163" s="362"/>
      <c r="F163" s="62">
        <v>0.25</v>
      </c>
      <c r="G163" s="37">
        <v>12</v>
      </c>
      <c r="H163" s="62">
        <v>3</v>
      </c>
      <c r="I163" s="62">
        <v>3.7035999999999998</v>
      </c>
      <c r="J163" s="37">
        <v>70</v>
      </c>
      <c r="K163" s="37" t="s">
        <v>118</v>
      </c>
      <c r="L163" s="37" t="s">
        <v>88</v>
      </c>
      <c r="M163" s="38" t="s">
        <v>86</v>
      </c>
      <c r="N163" s="38"/>
      <c r="O163" s="37">
        <v>180</v>
      </c>
      <c r="P163" s="431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364"/>
      <c r="R163" s="364"/>
      <c r="S163" s="364"/>
      <c r="T163" s="365"/>
      <c r="U163" s="39" t="s">
        <v>46</v>
      </c>
      <c r="V163" s="39" t="s">
        <v>46</v>
      </c>
      <c r="W163" s="40" t="s">
        <v>39</v>
      </c>
      <c r="X163" s="58"/>
      <c r="Y163" s="55" t="str">
        <f>IFERROR(IF(X163="","",X163),"")</f>
        <v/>
      </c>
      <c r="Z163" s="41" t="str">
        <f>IFERROR(IF(X163="","",X163*0.01788),"")</f>
        <v/>
      </c>
      <c r="AA163" s="68" t="s">
        <v>46</v>
      </c>
      <c r="AB163" s="69" t="s">
        <v>46</v>
      </c>
      <c r="AC163" s="211" t="s">
        <v>269</v>
      </c>
      <c r="AG163" s="81"/>
      <c r="AJ163" s="87" t="s">
        <v>89</v>
      </c>
      <c r="AK163" s="87">
        <v>1</v>
      </c>
      <c r="BB163" s="212" t="s">
        <v>117</v>
      </c>
      <c r="BM163" s="81">
        <f>IFERROR(X163*I163,"0")</f>
        <v>0</v>
      </c>
      <c r="BN163" s="81" t="str">
        <f>IFERROR(Y163*I163,"0")</f>
        <v>0</v>
      </c>
      <c r="BO163" s="81">
        <f>IFERROR(X163/J163,"0")</f>
        <v>0</v>
      </c>
      <c r="BP163" s="81" t="str">
        <f>IFERROR(Y163/J163,"0")</f>
        <v>0</v>
      </c>
    </row>
    <row r="164" spans="1:68" x14ac:dyDescent="0.2">
      <c r="A164" s="376"/>
      <c r="B164" s="376"/>
      <c r="C164" s="376"/>
      <c r="D164" s="376"/>
      <c r="E164" s="376"/>
      <c r="F164" s="376"/>
      <c r="G164" s="376"/>
      <c r="H164" s="376"/>
      <c r="I164" s="376"/>
      <c r="J164" s="376"/>
      <c r="K164" s="376"/>
      <c r="L164" s="376"/>
      <c r="M164" s="376"/>
      <c r="N164" s="376"/>
      <c r="O164" s="377"/>
      <c r="P164" s="373" t="s">
        <v>40</v>
      </c>
      <c r="Q164" s="374"/>
      <c r="R164" s="374"/>
      <c r="S164" s="374"/>
      <c r="T164" s="374"/>
      <c r="U164" s="374"/>
      <c r="V164" s="375"/>
      <c r="W164" s="42" t="s">
        <v>39</v>
      </c>
      <c r="X164" s="43">
        <f>IFERROR(SUM(X163:X163),"0")</f>
        <v>0</v>
      </c>
      <c r="Y164" s="43">
        <f>IFERROR(SUM(Y163:Y163),"0")</f>
        <v>0</v>
      </c>
      <c r="Z164" s="43">
        <f>IFERROR(IF(Z163="",0,Z163),"0")</f>
        <v>0</v>
      </c>
      <c r="AA164" s="67"/>
      <c r="AB164" s="67"/>
      <c r="AC164" s="67"/>
    </row>
    <row r="165" spans="1:68" x14ac:dyDescent="0.2">
      <c r="A165" s="376"/>
      <c r="B165" s="376"/>
      <c r="C165" s="376"/>
      <c r="D165" s="376"/>
      <c r="E165" s="376"/>
      <c r="F165" s="376"/>
      <c r="G165" s="376"/>
      <c r="H165" s="376"/>
      <c r="I165" s="376"/>
      <c r="J165" s="376"/>
      <c r="K165" s="376"/>
      <c r="L165" s="376"/>
      <c r="M165" s="376"/>
      <c r="N165" s="376"/>
      <c r="O165" s="377"/>
      <c r="P165" s="373" t="s">
        <v>40</v>
      </c>
      <c r="Q165" s="374"/>
      <c r="R165" s="374"/>
      <c r="S165" s="374"/>
      <c r="T165" s="374"/>
      <c r="U165" s="374"/>
      <c r="V165" s="375"/>
      <c r="W165" s="42" t="s">
        <v>0</v>
      </c>
      <c r="X165" s="43">
        <f>IFERROR(SUMPRODUCT(X163:X163*H163:H163),"0")</f>
        <v>0</v>
      </c>
      <c r="Y165" s="43" t="str">
        <f>IFERROR(SUMPRODUCT(Y163:Y163*H163:H163),"0")</f>
        <v>0</v>
      </c>
      <c r="Z165" s="42"/>
      <c r="AA165" s="67"/>
      <c r="AB165" s="67"/>
      <c r="AC165" s="67"/>
    </row>
    <row r="166" spans="1:68" ht="16.5" customHeight="1" x14ac:dyDescent="0.25">
      <c r="A166" s="360" t="s">
        <v>270</v>
      </c>
      <c r="B166" s="360"/>
      <c r="C166" s="360"/>
      <c r="D166" s="360"/>
      <c r="E166" s="360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65"/>
      <c r="AB166" s="65"/>
      <c r="AC166" s="82"/>
    </row>
    <row r="167" spans="1:68" ht="14.25" customHeight="1" x14ac:dyDescent="0.25">
      <c r="A167" s="361" t="s">
        <v>151</v>
      </c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1"/>
      <c r="P167" s="361"/>
      <c r="Q167" s="361"/>
      <c r="R167" s="361"/>
      <c r="S167" s="361"/>
      <c r="T167" s="361"/>
      <c r="U167" s="361"/>
      <c r="V167" s="361"/>
      <c r="W167" s="361"/>
      <c r="X167" s="361"/>
      <c r="Y167" s="361"/>
      <c r="Z167" s="361"/>
      <c r="AA167" s="66"/>
      <c r="AB167" s="66"/>
      <c r="AC167" s="83"/>
    </row>
    <row r="168" spans="1:68" ht="16.5" customHeight="1" x14ac:dyDescent="0.25">
      <c r="A168" s="63" t="s">
        <v>271</v>
      </c>
      <c r="B168" s="63" t="s">
        <v>272</v>
      </c>
      <c r="C168" s="36">
        <v>4301135607</v>
      </c>
      <c r="D168" s="362">
        <v>4607111039613</v>
      </c>
      <c r="E168" s="362"/>
      <c r="F168" s="62">
        <v>0.09</v>
      </c>
      <c r="G168" s="37">
        <v>30</v>
      </c>
      <c r="H168" s="62">
        <v>2.7</v>
      </c>
      <c r="I168" s="62">
        <v>3.09</v>
      </c>
      <c r="J168" s="37">
        <v>126</v>
      </c>
      <c r="K168" s="37" t="s">
        <v>118</v>
      </c>
      <c r="L168" s="37" t="s">
        <v>119</v>
      </c>
      <c r="M168" s="38" t="s">
        <v>86</v>
      </c>
      <c r="N168" s="38"/>
      <c r="O168" s="37">
        <v>180</v>
      </c>
      <c r="P168" s="4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364"/>
      <c r="R168" s="364"/>
      <c r="S168" s="364"/>
      <c r="T168" s="365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IFERROR(IF(X168="","",X168*0.00936),"")</f>
        <v>0</v>
      </c>
      <c r="AA168" s="68" t="s">
        <v>46</v>
      </c>
      <c r="AB168" s="69" t="s">
        <v>46</v>
      </c>
      <c r="AC168" s="213" t="s">
        <v>257</v>
      </c>
      <c r="AG168" s="81"/>
      <c r="AJ168" s="87" t="s">
        <v>120</v>
      </c>
      <c r="AK168" s="87">
        <v>14</v>
      </c>
      <c r="BB168" s="214" t="s">
        <v>117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x14ac:dyDescent="0.2">
      <c r="A169" s="376"/>
      <c r="B169" s="376"/>
      <c r="C169" s="376"/>
      <c r="D169" s="376"/>
      <c r="E169" s="376"/>
      <c r="F169" s="376"/>
      <c r="G169" s="376"/>
      <c r="H169" s="376"/>
      <c r="I169" s="376"/>
      <c r="J169" s="376"/>
      <c r="K169" s="376"/>
      <c r="L169" s="376"/>
      <c r="M169" s="376"/>
      <c r="N169" s="376"/>
      <c r="O169" s="377"/>
      <c r="P169" s="373" t="s">
        <v>40</v>
      </c>
      <c r="Q169" s="374"/>
      <c r="R169" s="374"/>
      <c r="S169" s="374"/>
      <c r="T169" s="374"/>
      <c r="U169" s="374"/>
      <c r="V169" s="375"/>
      <c r="W169" s="42" t="s">
        <v>39</v>
      </c>
      <c r="X169" s="43">
        <f>IFERROR(SUM(X168:X168),"0")</f>
        <v>0</v>
      </c>
      <c r="Y169" s="43">
        <f>IFERROR(SUM(Y168:Y168),"0")</f>
        <v>0</v>
      </c>
      <c r="Z169" s="43">
        <f>IFERROR(IF(Z168="",0,Z168),"0")</f>
        <v>0</v>
      </c>
      <c r="AA169" s="67"/>
      <c r="AB169" s="67"/>
      <c r="AC169" s="67"/>
    </row>
    <row r="170" spans="1:68" x14ac:dyDescent="0.2">
      <c r="A170" s="376"/>
      <c r="B170" s="376"/>
      <c r="C170" s="376"/>
      <c r="D170" s="376"/>
      <c r="E170" s="376"/>
      <c r="F170" s="376"/>
      <c r="G170" s="376"/>
      <c r="H170" s="376"/>
      <c r="I170" s="376"/>
      <c r="J170" s="376"/>
      <c r="K170" s="376"/>
      <c r="L170" s="376"/>
      <c r="M170" s="376"/>
      <c r="N170" s="376"/>
      <c r="O170" s="377"/>
      <c r="P170" s="373" t="s">
        <v>40</v>
      </c>
      <c r="Q170" s="374"/>
      <c r="R170" s="374"/>
      <c r="S170" s="374"/>
      <c r="T170" s="374"/>
      <c r="U170" s="374"/>
      <c r="V170" s="375"/>
      <c r="W170" s="42" t="s">
        <v>0</v>
      </c>
      <c r="X170" s="43">
        <f>IFERROR(SUMPRODUCT(X168:X168*H168:H168),"0")</f>
        <v>0</v>
      </c>
      <c r="Y170" s="43">
        <f>IFERROR(SUMPRODUCT(Y168:Y168*H168:H168),"0")</f>
        <v>0</v>
      </c>
      <c r="Z170" s="42"/>
      <c r="AA170" s="67"/>
      <c r="AB170" s="67"/>
      <c r="AC170" s="67"/>
    </row>
    <row r="171" spans="1:68" ht="16.5" customHeight="1" x14ac:dyDescent="0.25">
      <c r="A171" s="360" t="s">
        <v>273</v>
      </c>
      <c r="B171" s="360"/>
      <c r="C171" s="360"/>
      <c r="D171" s="360"/>
      <c r="E171" s="360"/>
      <c r="F171" s="360"/>
      <c r="G171" s="360"/>
      <c r="H171" s="360"/>
      <c r="I171" s="360"/>
      <c r="J171" s="360"/>
      <c r="K171" s="360"/>
      <c r="L171" s="360"/>
      <c r="M171" s="360"/>
      <c r="N171" s="360"/>
      <c r="O171" s="360"/>
      <c r="P171" s="360"/>
      <c r="Q171" s="360"/>
      <c r="R171" s="360"/>
      <c r="S171" s="360"/>
      <c r="T171" s="360"/>
      <c r="U171" s="360"/>
      <c r="V171" s="360"/>
      <c r="W171" s="360"/>
      <c r="X171" s="360"/>
      <c r="Y171" s="360"/>
      <c r="Z171" s="360"/>
      <c r="AA171" s="65"/>
      <c r="AB171" s="65"/>
      <c r="AC171" s="82"/>
    </row>
    <row r="172" spans="1:68" ht="14.25" customHeight="1" x14ac:dyDescent="0.25">
      <c r="A172" s="361" t="s">
        <v>151</v>
      </c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1"/>
      <c r="P172" s="361"/>
      <c r="Q172" s="361"/>
      <c r="R172" s="361"/>
      <c r="S172" s="361"/>
      <c r="T172" s="361"/>
      <c r="U172" s="361"/>
      <c r="V172" s="361"/>
      <c r="W172" s="361"/>
      <c r="X172" s="361"/>
      <c r="Y172" s="361"/>
      <c r="Z172" s="361"/>
      <c r="AA172" s="66"/>
      <c r="AB172" s="66"/>
      <c r="AC172" s="83"/>
    </row>
    <row r="173" spans="1:68" ht="27" customHeight="1" x14ac:dyDescent="0.25">
      <c r="A173" s="63" t="s">
        <v>274</v>
      </c>
      <c r="B173" s="63" t="s">
        <v>275</v>
      </c>
      <c r="C173" s="36">
        <v>4301135591</v>
      </c>
      <c r="D173" s="362">
        <v>4607111036568</v>
      </c>
      <c r="E173" s="362"/>
      <c r="F173" s="62">
        <v>0.28000000000000003</v>
      </c>
      <c r="G173" s="37">
        <v>6</v>
      </c>
      <c r="H173" s="62">
        <v>1.68</v>
      </c>
      <c r="I173" s="62">
        <v>2.1017999999999999</v>
      </c>
      <c r="J173" s="37">
        <v>140</v>
      </c>
      <c r="K173" s="37" t="s">
        <v>118</v>
      </c>
      <c r="L173" s="37" t="s">
        <v>88</v>
      </c>
      <c r="M173" s="38" t="s">
        <v>86</v>
      </c>
      <c r="N173" s="38"/>
      <c r="O173" s="37">
        <v>180</v>
      </c>
      <c r="P173" s="43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364"/>
      <c r="R173" s="364"/>
      <c r="S173" s="364"/>
      <c r="T173" s="365"/>
      <c r="U173" s="39" t="s">
        <v>46</v>
      </c>
      <c r="V173" s="39" t="s">
        <v>46</v>
      </c>
      <c r="W173" s="40" t="s">
        <v>39</v>
      </c>
      <c r="X173" s="58"/>
      <c r="Y173" s="55" t="str">
        <f>IFERROR(IF(X173="","",X173),"")</f>
        <v/>
      </c>
      <c r="Z173" s="41" t="str">
        <f>IFERROR(IF(X173="","",X173*0.00941),"")</f>
        <v/>
      </c>
      <c r="AA173" s="68" t="s">
        <v>46</v>
      </c>
      <c r="AB173" s="69" t="s">
        <v>46</v>
      </c>
      <c r="AC173" s="215" t="s">
        <v>276</v>
      </c>
      <c r="AG173" s="81"/>
      <c r="AJ173" s="87" t="s">
        <v>89</v>
      </c>
      <c r="AK173" s="87">
        <v>1</v>
      </c>
      <c r="BB173" s="216" t="s">
        <v>117</v>
      </c>
      <c r="BM173" s="81">
        <f>IFERROR(X173*I173,"0")</f>
        <v>0</v>
      </c>
      <c r="BN173" s="81" t="str">
        <f>IFERROR(Y173*I173,"0")</f>
        <v>0</v>
      </c>
      <c r="BO173" s="81">
        <f>IFERROR(X173/J173,"0")</f>
        <v>0</v>
      </c>
      <c r="BP173" s="81" t="str">
        <f>IFERROR(Y173/J173,"0")</f>
        <v>0</v>
      </c>
    </row>
    <row r="174" spans="1:68" x14ac:dyDescent="0.2">
      <c r="A174" s="376"/>
      <c r="B174" s="376"/>
      <c r="C174" s="376"/>
      <c r="D174" s="376"/>
      <c r="E174" s="376"/>
      <c r="F174" s="376"/>
      <c r="G174" s="376"/>
      <c r="H174" s="376"/>
      <c r="I174" s="376"/>
      <c r="J174" s="376"/>
      <c r="K174" s="376"/>
      <c r="L174" s="376"/>
      <c r="M174" s="376"/>
      <c r="N174" s="376"/>
      <c r="O174" s="377"/>
      <c r="P174" s="373" t="s">
        <v>40</v>
      </c>
      <c r="Q174" s="374"/>
      <c r="R174" s="374"/>
      <c r="S174" s="374"/>
      <c r="T174" s="374"/>
      <c r="U174" s="374"/>
      <c r="V174" s="375"/>
      <c r="W174" s="42" t="s">
        <v>39</v>
      </c>
      <c r="X174" s="43">
        <f>IFERROR(SUM(X173:X173),"0")</f>
        <v>0</v>
      </c>
      <c r="Y174" s="43">
        <f>IFERROR(SUM(Y173:Y173),"0")</f>
        <v>0</v>
      </c>
      <c r="Z174" s="43">
        <f>IFERROR(IF(Z173="",0,Z173),"0")</f>
        <v>0</v>
      </c>
      <c r="AA174" s="67"/>
      <c r="AB174" s="67"/>
      <c r="AC174" s="67"/>
    </row>
    <row r="175" spans="1:68" x14ac:dyDescent="0.2">
      <c r="A175" s="376"/>
      <c r="B175" s="376"/>
      <c r="C175" s="376"/>
      <c r="D175" s="376"/>
      <c r="E175" s="376"/>
      <c r="F175" s="376"/>
      <c r="G175" s="376"/>
      <c r="H175" s="376"/>
      <c r="I175" s="376"/>
      <c r="J175" s="376"/>
      <c r="K175" s="376"/>
      <c r="L175" s="376"/>
      <c r="M175" s="376"/>
      <c r="N175" s="376"/>
      <c r="O175" s="377"/>
      <c r="P175" s="373" t="s">
        <v>40</v>
      </c>
      <c r="Q175" s="374"/>
      <c r="R175" s="374"/>
      <c r="S175" s="374"/>
      <c r="T175" s="374"/>
      <c r="U175" s="374"/>
      <c r="V175" s="375"/>
      <c r="W175" s="42" t="s">
        <v>0</v>
      </c>
      <c r="X175" s="43">
        <f>IFERROR(SUMPRODUCT(X173:X173*H173:H173),"0")</f>
        <v>0</v>
      </c>
      <c r="Y175" s="43" t="str">
        <f>IFERROR(SUMPRODUCT(Y173:Y173*H173:H173),"0")</f>
        <v>0</v>
      </c>
      <c r="Z175" s="42"/>
      <c r="AA175" s="67"/>
      <c r="AB175" s="67"/>
      <c r="AC175" s="67"/>
    </row>
    <row r="176" spans="1:68" ht="27.75" customHeight="1" x14ac:dyDescent="0.2">
      <c r="A176" s="359" t="s">
        <v>277</v>
      </c>
      <c r="B176" s="359"/>
      <c r="C176" s="359"/>
      <c r="D176" s="359"/>
      <c r="E176" s="359"/>
      <c r="F176" s="359"/>
      <c r="G176" s="359"/>
      <c r="H176" s="359"/>
      <c r="I176" s="359"/>
      <c r="J176" s="359"/>
      <c r="K176" s="359"/>
      <c r="L176" s="359"/>
      <c r="M176" s="359"/>
      <c r="N176" s="359"/>
      <c r="O176" s="359"/>
      <c r="P176" s="359"/>
      <c r="Q176" s="359"/>
      <c r="R176" s="359"/>
      <c r="S176" s="359"/>
      <c r="T176" s="359"/>
      <c r="U176" s="359"/>
      <c r="V176" s="359"/>
      <c r="W176" s="359"/>
      <c r="X176" s="359"/>
      <c r="Y176" s="359"/>
      <c r="Z176" s="359"/>
      <c r="AA176" s="54"/>
      <c r="AB176" s="54"/>
      <c r="AC176" s="54"/>
    </row>
    <row r="177" spans="1:68" ht="16.5" customHeight="1" x14ac:dyDescent="0.25">
      <c r="A177" s="360" t="s">
        <v>278</v>
      </c>
      <c r="B177" s="360"/>
      <c r="C177" s="360"/>
      <c r="D177" s="360"/>
      <c r="E177" s="360"/>
      <c r="F177" s="360"/>
      <c r="G177" s="360"/>
      <c r="H177" s="360"/>
      <c r="I177" s="360"/>
      <c r="J177" s="360"/>
      <c r="K177" s="360"/>
      <c r="L177" s="360"/>
      <c r="M177" s="360"/>
      <c r="N177" s="360"/>
      <c r="O177" s="360"/>
      <c r="P177" s="360"/>
      <c r="Q177" s="360"/>
      <c r="R177" s="360"/>
      <c r="S177" s="360"/>
      <c r="T177" s="360"/>
      <c r="U177" s="360"/>
      <c r="V177" s="360"/>
      <c r="W177" s="360"/>
      <c r="X177" s="360"/>
      <c r="Y177" s="360"/>
      <c r="Z177" s="360"/>
      <c r="AA177" s="65"/>
      <c r="AB177" s="65"/>
      <c r="AC177" s="82"/>
    </row>
    <row r="178" spans="1:68" ht="14.25" customHeight="1" x14ac:dyDescent="0.25">
      <c r="A178" s="361" t="s">
        <v>82</v>
      </c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1"/>
      <c r="P178" s="361"/>
      <c r="Q178" s="361"/>
      <c r="R178" s="361"/>
      <c r="S178" s="361"/>
      <c r="T178" s="361"/>
      <c r="U178" s="361"/>
      <c r="V178" s="361"/>
      <c r="W178" s="361"/>
      <c r="X178" s="361"/>
      <c r="Y178" s="361"/>
      <c r="Z178" s="361"/>
      <c r="AA178" s="66"/>
      <c r="AB178" s="66"/>
      <c r="AC178" s="83"/>
    </row>
    <row r="179" spans="1:68" ht="16.5" customHeight="1" x14ac:dyDescent="0.25">
      <c r="A179" s="63" t="s">
        <v>279</v>
      </c>
      <c r="B179" s="63" t="s">
        <v>280</v>
      </c>
      <c r="C179" s="36">
        <v>4301071062</v>
      </c>
      <c r="D179" s="362">
        <v>4607111036384</v>
      </c>
      <c r="E179" s="362"/>
      <c r="F179" s="62">
        <v>5</v>
      </c>
      <c r="G179" s="37">
        <v>1</v>
      </c>
      <c r="H179" s="62">
        <v>5</v>
      </c>
      <c r="I179" s="62">
        <v>5.2106000000000003</v>
      </c>
      <c r="J179" s="37">
        <v>144</v>
      </c>
      <c r="K179" s="37" t="s">
        <v>87</v>
      </c>
      <c r="L179" s="37" t="s">
        <v>88</v>
      </c>
      <c r="M179" s="38" t="s">
        <v>86</v>
      </c>
      <c r="N179" s="38"/>
      <c r="O179" s="37">
        <v>180</v>
      </c>
      <c r="P179" s="43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364"/>
      <c r="R179" s="364"/>
      <c r="S179" s="364"/>
      <c r="T179" s="365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281</v>
      </c>
      <c r="AG179" s="81"/>
      <c r="AJ179" s="87" t="s">
        <v>89</v>
      </c>
      <c r="AK179" s="87">
        <v>1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282</v>
      </c>
      <c r="B180" s="63" t="s">
        <v>283</v>
      </c>
      <c r="C180" s="36">
        <v>4301071050</v>
      </c>
      <c r="D180" s="362">
        <v>4607111036216</v>
      </c>
      <c r="E180" s="362"/>
      <c r="F180" s="62">
        <v>5</v>
      </c>
      <c r="G180" s="37">
        <v>1</v>
      </c>
      <c r="H180" s="62">
        <v>5</v>
      </c>
      <c r="I180" s="62">
        <v>5.2131999999999996</v>
      </c>
      <c r="J180" s="37">
        <v>144</v>
      </c>
      <c r="K180" s="37" t="s">
        <v>87</v>
      </c>
      <c r="L180" s="37" t="s">
        <v>119</v>
      </c>
      <c r="M180" s="38" t="s">
        <v>86</v>
      </c>
      <c r="N180" s="38"/>
      <c r="O180" s="37">
        <v>180</v>
      </c>
      <c r="P180" s="4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364"/>
      <c r="R180" s="364"/>
      <c r="S180" s="364"/>
      <c r="T180" s="365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9" t="s">
        <v>284</v>
      </c>
      <c r="AG180" s="81"/>
      <c r="AJ180" s="87" t="s">
        <v>120</v>
      </c>
      <c r="AK180" s="87">
        <v>12</v>
      </c>
      <c r="BB180" s="220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76"/>
      <c r="B181" s="376"/>
      <c r="C181" s="376"/>
      <c r="D181" s="376"/>
      <c r="E181" s="376"/>
      <c r="F181" s="376"/>
      <c r="G181" s="376"/>
      <c r="H181" s="376"/>
      <c r="I181" s="376"/>
      <c r="J181" s="376"/>
      <c r="K181" s="376"/>
      <c r="L181" s="376"/>
      <c r="M181" s="376"/>
      <c r="N181" s="376"/>
      <c r="O181" s="377"/>
      <c r="P181" s="373" t="s">
        <v>40</v>
      </c>
      <c r="Q181" s="374"/>
      <c r="R181" s="374"/>
      <c r="S181" s="374"/>
      <c r="T181" s="374"/>
      <c r="U181" s="374"/>
      <c r="V181" s="375"/>
      <c r="W181" s="42" t="s">
        <v>39</v>
      </c>
      <c r="X181" s="43">
        <f>IFERROR(SUM(X179:X180),"0")</f>
        <v>0</v>
      </c>
      <c r="Y181" s="43">
        <f>IFERROR(SUM(Y179:Y180),"0")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76"/>
      <c r="B182" s="376"/>
      <c r="C182" s="376"/>
      <c r="D182" s="376"/>
      <c r="E182" s="376"/>
      <c r="F182" s="376"/>
      <c r="G182" s="376"/>
      <c r="H182" s="376"/>
      <c r="I182" s="376"/>
      <c r="J182" s="376"/>
      <c r="K182" s="376"/>
      <c r="L182" s="376"/>
      <c r="M182" s="376"/>
      <c r="N182" s="376"/>
      <c r="O182" s="377"/>
      <c r="P182" s="373" t="s">
        <v>40</v>
      </c>
      <c r="Q182" s="374"/>
      <c r="R182" s="374"/>
      <c r="S182" s="374"/>
      <c r="T182" s="374"/>
      <c r="U182" s="374"/>
      <c r="V182" s="375"/>
      <c r="W182" s="42" t="s">
        <v>0</v>
      </c>
      <c r="X182" s="43">
        <f>IFERROR(SUMPRODUCT(X179:X180*H179:H180),"0")</f>
        <v>0</v>
      </c>
      <c r="Y182" s="43">
        <f>IFERROR(SUMPRODUCT(Y179:Y180*H179:H180),"0")</f>
        <v>0</v>
      </c>
      <c r="Z182" s="42"/>
      <c r="AA182" s="67"/>
      <c r="AB182" s="67"/>
      <c r="AC182" s="67"/>
    </row>
    <row r="183" spans="1:68" ht="16.5" customHeight="1" x14ac:dyDescent="0.25">
      <c r="A183" s="360" t="s">
        <v>285</v>
      </c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0"/>
      <c r="P183" s="360"/>
      <c r="Q183" s="360"/>
      <c r="R183" s="360"/>
      <c r="S183" s="360"/>
      <c r="T183" s="360"/>
      <c r="U183" s="360"/>
      <c r="V183" s="360"/>
      <c r="W183" s="360"/>
      <c r="X183" s="360"/>
      <c r="Y183" s="360"/>
      <c r="Z183" s="360"/>
      <c r="AA183" s="65"/>
      <c r="AB183" s="65"/>
      <c r="AC183" s="82"/>
    </row>
    <row r="184" spans="1:68" ht="14.25" customHeight="1" x14ac:dyDescent="0.25">
      <c r="A184" s="361" t="s">
        <v>82</v>
      </c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1"/>
      <c r="P184" s="361"/>
      <c r="Q184" s="361"/>
      <c r="R184" s="361"/>
      <c r="S184" s="361"/>
      <c r="T184" s="361"/>
      <c r="U184" s="361"/>
      <c r="V184" s="361"/>
      <c r="W184" s="361"/>
      <c r="X184" s="361"/>
      <c r="Y184" s="361"/>
      <c r="Z184" s="361"/>
      <c r="AA184" s="66"/>
      <c r="AB184" s="66"/>
      <c r="AC184" s="83"/>
    </row>
    <row r="185" spans="1:68" ht="27" customHeight="1" x14ac:dyDescent="0.25">
      <c r="A185" s="63" t="s">
        <v>286</v>
      </c>
      <c r="B185" s="63" t="s">
        <v>287</v>
      </c>
      <c r="C185" s="36">
        <v>4301071117</v>
      </c>
      <c r="D185" s="362">
        <v>4620207491737</v>
      </c>
      <c r="E185" s="362"/>
      <c r="F185" s="62">
        <v>1</v>
      </c>
      <c r="G185" s="37">
        <v>5</v>
      </c>
      <c r="H185" s="62">
        <v>5</v>
      </c>
      <c r="I185" s="62">
        <v>5.2619999999999996</v>
      </c>
      <c r="J185" s="37">
        <v>84</v>
      </c>
      <c r="K185" s="37" t="s">
        <v>87</v>
      </c>
      <c r="L185" s="37" t="s">
        <v>88</v>
      </c>
      <c r="M185" s="38" t="s">
        <v>86</v>
      </c>
      <c r="N185" s="38"/>
      <c r="O185" s="37">
        <v>180</v>
      </c>
      <c r="P185" s="4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364"/>
      <c r="R185" s="364"/>
      <c r="S185" s="364"/>
      <c r="T185" s="365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IFERROR(IF(X185="","",X185*0.0155),"")</f>
        <v>0</v>
      </c>
      <c r="AA185" s="68" t="s">
        <v>46</v>
      </c>
      <c r="AB185" s="69" t="s">
        <v>46</v>
      </c>
      <c r="AC185" s="221" t="s">
        <v>284</v>
      </c>
      <c r="AG185" s="81"/>
      <c r="AJ185" s="87" t="s">
        <v>89</v>
      </c>
      <c r="AK185" s="87">
        <v>1</v>
      </c>
      <c r="BB185" s="222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76"/>
      <c r="B186" s="376"/>
      <c r="C186" s="376"/>
      <c r="D186" s="376"/>
      <c r="E186" s="376"/>
      <c r="F186" s="376"/>
      <c r="G186" s="376"/>
      <c r="H186" s="376"/>
      <c r="I186" s="376"/>
      <c r="J186" s="376"/>
      <c r="K186" s="376"/>
      <c r="L186" s="376"/>
      <c r="M186" s="376"/>
      <c r="N186" s="376"/>
      <c r="O186" s="377"/>
      <c r="P186" s="373" t="s">
        <v>40</v>
      </c>
      <c r="Q186" s="374"/>
      <c r="R186" s="374"/>
      <c r="S186" s="374"/>
      <c r="T186" s="374"/>
      <c r="U186" s="374"/>
      <c r="V186" s="375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76"/>
      <c r="B187" s="376"/>
      <c r="C187" s="376"/>
      <c r="D187" s="376"/>
      <c r="E187" s="376"/>
      <c r="F187" s="376"/>
      <c r="G187" s="376"/>
      <c r="H187" s="376"/>
      <c r="I187" s="376"/>
      <c r="J187" s="376"/>
      <c r="K187" s="376"/>
      <c r="L187" s="376"/>
      <c r="M187" s="376"/>
      <c r="N187" s="376"/>
      <c r="O187" s="377"/>
      <c r="P187" s="373" t="s">
        <v>40</v>
      </c>
      <c r="Q187" s="374"/>
      <c r="R187" s="374"/>
      <c r="S187" s="374"/>
      <c r="T187" s="374"/>
      <c r="U187" s="374"/>
      <c r="V187" s="375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59" t="s">
        <v>288</v>
      </c>
      <c r="B188" s="359"/>
      <c r="C188" s="359"/>
      <c r="D188" s="359"/>
      <c r="E188" s="359"/>
      <c r="F188" s="359"/>
      <c r="G188" s="359"/>
      <c r="H188" s="359"/>
      <c r="I188" s="359"/>
      <c r="J188" s="359"/>
      <c r="K188" s="359"/>
      <c r="L188" s="359"/>
      <c r="M188" s="359"/>
      <c r="N188" s="359"/>
      <c r="O188" s="359"/>
      <c r="P188" s="359"/>
      <c r="Q188" s="359"/>
      <c r="R188" s="359"/>
      <c r="S188" s="359"/>
      <c r="T188" s="359"/>
      <c r="U188" s="359"/>
      <c r="V188" s="359"/>
      <c r="W188" s="359"/>
      <c r="X188" s="359"/>
      <c r="Y188" s="359"/>
      <c r="Z188" s="359"/>
      <c r="AA188" s="54"/>
      <c r="AB188" s="54"/>
      <c r="AC188" s="54"/>
    </row>
    <row r="189" spans="1:68" ht="16.5" customHeight="1" x14ac:dyDescent="0.25">
      <c r="A189" s="360" t="s">
        <v>289</v>
      </c>
      <c r="B189" s="360"/>
      <c r="C189" s="360"/>
      <c r="D189" s="360"/>
      <c r="E189" s="360"/>
      <c r="F189" s="360"/>
      <c r="G189" s="360"/>
      <c r="H189" s="360"/>
      <c r="I189" s="360"/>
      <c r="J189" s="360"/>
      <c r="K189" s="360"/>
      <c r="L189" s="360"/>
      <c r="M189" s="360"/>
      <c r="N189" s="360"/>
      <c r="O189" s="360"/>
      <c r="P189" s="360"/>
      <c r="Q189" s="360"/>
      <c r="R189" s="360"/>
      <c r="S189" s="360"/>
      <c r="T189" s="360"/>
      <c r="U189" s="360"/>
      <c r="V189" s="360"/>
      <c r="W189" s="360"/>
      <c r="X189" s="360"/>
      <c r="Y189" s="360"/>
      <c r="Z189" s="360"/>
      <c r="AA189" s="65"/>
      <c r="AB189" s="65"/>
      <c r="AC189" s="82"/>
    </row>
    <row r="190" spans="1:68" ht="14.25" customHeight="1" x14ac:dyDescent="0.25">
      <c r="A190" s="361" t="s">
        <v>113</v>
      </c>
      <c r="B190" s="361"/>
      <c r="C190" s="361"/>
      <c r="D190" s="361"/>
      <c r="E190" s="361"/>
      <c r="F190" s="361"/>
      <c r="G190" s="361"/>
      <c r="H190" s="361"/>
      <c r="I190" s="361"/>
      <c r="J190" s="361"/>
      <c r="K190" s="361"/>
      <c r="L190" s="361"/>
      <c r="M190" s="361"/>
      <c r="N190" s="361"/>
      <c r="O190" s="361"/>
      <c r="P190" s="361"/>
      <c r="Q190" s="361"/>
      <c r="R190" s="361"/>
      <c r="S190" s="361"/>
      <c r="T190" s="361"/>
      <c r="U190" s="361"/>
      <c r="V190" s="361"/>
      <c r="W190" s="361"/>
      <c r="X190" s="361"/>
      <c r="Y190" s="361"/>
      <c r="Z190" s="361"/>
      <c r="AA190" s="66"/>
      <c r="AB190" s="66"/>
      <c r="AC190" s="83"/>
    </row>
    <row r="191" spans="1:68" ht="16.5" customHeight="1" x14ac:dyDescent="0.25">
      <c r="A191" s="63" t="s">
        <v>290</v>
      </c>
      <c r="B191" s="63" t="s">
        <v>291</v>
      </c>
      <c r="C191" s="36">
        <v>4301132179</v>
      </c>
      <c r="D191" s="362">
        <v>4607111035691</v>
      </c>
      <c r="E191" s="362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118</v>
      </c>
      <c r="L191" s="37" t="s">
        <v>119</v>
      </c>
      <c r="M191" s="38" t="s">
        <v>86</v>
      </c>
      <c r="N191" s="38"/>
      <c r="O191" s="37">
        <v>365</v>
      </c>
      <c r="P191" s="4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364"/>
      <c r="R191" s="364"/>
      <c r="S191" s="364"/>
      <c r="T191" s="365"/>
      <c r="U191" s="39" t="s">
        <v>46</v>
      </c>
      <c r="V191" s="39" t="s">
        <v>46</v>
      </c>
      <c r="W191" s="40" t="s">
        <v>39</v>
      </c>
      <c r="X191" s="58"/>
      <c r="Y191" s="55" t="str">
        <f>IFERROR(IF(X191="","",X191),"")</f>
        <v/>
      </c>
      <c r="Z191" s="41" t="str">
        <f>IFERROR(IF(X191="","",X191*0.01788),"")</f>
        <v/>
      </c>
      <c r="AA191" s="68" t="s">
        <v>46</v>
      </c>
      <c r="AB191" s="69" t="s">
        <v>46</v>
      </c>
      <c r="AC191" s="223" t="s">
        <v>292</v>
      </c>
      <c r="AG191" s="81"/>
      <c r="AJ191" s="87" t="s">
        <v>120</v>
      </c>
      <c r="AK191" s="87">
        <v>14</v>
      </c>
      <c r="BB191" s="224" t="s">
        <v>117</v>
      </c>
      <c r="BM191" s="81">
        <f>IFERROR(X191*I191,"0")</f>
        <v>0</v>
      </c>
      <c r="BN191" s="81" t="str">
        <f>IFERROR(Y191*I191,"0")</f>
        <v>0</v>
      </c>
      <c r="BO191" s="81">
        <f>IFERROR(X191/J191,"0")</f>
        <v>0</v>
      </c>
      <c r="BP191" s="81" t="str">
        <f>IFERROR(Y191/J191,"0")</f>
        <v>0</v>
      </c>
    </row>
    <row r="192" spans="1:68" ht="27" customHeight="1" x14ac:dyDescent="0.25">
      <c r="A192" s="63" t="s">
        <v>293</v>
      </c>
      <c r="B192" s="63" t="s">
        <v>294</v>
      </c>
      <c r="C192" s="36">
        <v>4301132182</v>
      </c>
      <c r="D192" s="362">
        <v>4607111035721</v>
      </c>
      <c r="E192" s="362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118</v>
      </c>
      <c r="L192" s="37" t="s">
        <v>119</v>
      </c>
      <c r="M192" s="38" t="s">
        <v>86</v>
      </c>
      <c r="N192" s="38"/>
      <c r="O192" s="37">
        <v>365</v>
      </c>
      <c r="P192" s="4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364"/>
      <c r="R192" s="364"/>
      <c r="S192" s="364"/>
      <c r="T192" s="365"/>
      <c r="U192" s="39" t="s">
        <v>46</v>
      </c>
      <c r="V192" s="39" t="s">
        <v>46</v>
      </c>
      <c r="W192" s="40" t="s">
        <v>39</v>
      </c>
      <c r="X192" s="58"/>
      <c r="Y192" s="55" t="str">
        <f>IFERROR(IF(X192="","",X192),"")</f>
        <v/>
      </c>
      <c r="Z192" s="41" t="str">
        <f>IFERROR(IF(X192="","",X192*0.01788),"")</f>
        <v/>
      </c>
      <c r="AA192" s="68" t="s">
        <v>46</v>
      </c>
      <c r="AB192" s="69" t="s">
        <v>46</v>
      </c>
      <c r="AC192" s="225" t="s">
        <v>295</v>
      </c>
      <c r="AG192" s="81"/>
      <c r="AJ192" s="87" t="s">
        <v>120</v>
      </c>
      <c r="AK192" s="87">
        <v>14</v>
      </c>
      <c r="BB192" s="226" t="s">
        <v>117</v>
      </c>
      <c r="BM192" s="81">
        <f>IFERROR(X192*I192,"0")</f>
        <v>0</v>
      </c>
      <c r="BN192" s="81" t="str">
        <f>IFERROR(Y192*I192,"0")</f>
        <v>0</v>
      </c>
      <c r="BO192" s="81">
        <f>IFERROR(X192/J192,"0")</f>
        <v>0</v>
      </c>
      <c r="BP192" s="81" t="str">
        <f>IFERROR(Y192/J192,"0")</f>
        <v>0</v>
      </c>
    </row>
    <row r="193" spans="1:68" ht="27" customHeight="1" x14ac:dyDescent="0.25">
      <c r="A193" s="63" t="s">
        <v>296</v>
      </c>
      <c r="B193" s="63" t="s">
        <v>297</v>
      </c>
      <c r="C193" s="36">
        <v>4301132170</v>
      </c>
      <c r="D193" s="362">
        <v>4607111038487</v>
      </c>
      <c r="E193" s="362"/>
      <c r="F193" s="62">
        <v>0.25</v>
      </c>
      <c r="G193" s="37">
        <v>12</v>
      </c>
      <c r="H193" s="62">
        <v>3</v>
      </c>
      <c r="I193" s="62">
        <v>3.7360000000000002</v>
      </c>
      <c r="J193" s="37">
        <v>70</v>
      </c>
      <c r="K193" s="37" t="s">
        <v>118</v>
      </c>
      <c r="L193" s="37" t="s">
        <v>119</v>
      </c>
      <c r="M193" s="38" t="s">
        <v>86</v>
      </c>
      <c r="N193" s="38"/>
      <c r="O193" s="37">
        <v>180</v>
      </c>
      <c r="P193" s="43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364"/>
      <c r="R193" s="364"/>
      <c r="S193" s="364"/>
      <c r="T193" s="365"/>
      <c r="U193" s="39" t="s">
        <v>46</v>
      </c>
      <c r="V193" s="39" t="s">
        <v>46</v>
      </c>
      <c r="W193" s="40" t="s">
        <v>39</v>
      </c>
      <c r="X193" s="58"/>
      <c r="Y193" s="55" t="str">
        <f>IFERROR(IF(X193="","",X193),"")</f>
        <v/>
      </c>
      <c r="Z193" s="41" t="str">
        <f>IFERROR(IF(X193="","",X193*0.01788),"")</f>
        <v/>
      </c>
      <c r="AA193" s="68" t="s">
        <v>46</v>
      </c>
      <c r="AB193" s="69" t="s">
        <v>46</v>
      </c>
      <c r="AC193" s="227" t="s">
        <v>298</v>
      </c>
      <c r="AG193" s="81"/>
      <c r="AJ193" s="87" t="s">
        <v>120</v>
      </c>
      <c r="AK193" s="87">
        <v>14</v>
      </c>
      <c r="BB193" s="228" t="s">
        <v>117</v>
      </c>
      <c r="BM193" s="81">
        <f>IFERROR(X193*I193,"0")</f>
        <v>0</v>
      </c>
      <c r="BN193" s="81" t="str">
        <f>IFERROR(Y193*I193,"0")</f>
        <v>0</v>
      </c>
      <c r="BO193" s="81">
        <f>IFERROR(X193/J193,"0")</f>
        <v>0</v>
      </c>
      <c r="BP193" s="81" t="str">
        <f>IFERROR(Y193/J193,"0")</f>
        <v>0</v>
      </c>
    </row>
    <row r="194" spans="1:68" ht="27" customHeight="1" x14ac:dyDescent="0.25">
      <c r="A194" s="63" t="s">
        <v>299</v>
      </c>
      <c r="B194" s="63" t="s">
        <v>300</v>
      </c>
      <c r="C194" s="36">
        <v>4301132243</v>
      </c>
      <c r="D194" s="362">
        <v>4620207491195</v>
      </c>
      <c r="E194" s="362"/>
      <c r="F194" s="62">
        <v>0.23</v>
      </c>
      <c r="G194" s="37">
        <v>12</v>
      </c>
      <c r="H194" s="62">
        <v>2.76</v>
      </c>
      <c r="I194" s="62">
        <v>3.1480000000000001</v>
      </c>
      <c r="J194" s="37">
        <v>70</v>
      </c>
      <c r="K194" s="37" t="s">
        <v>118</v>
      </c>
      <c r="L194" s="37" t="s">
        <v>88</v>
      </c>
      <c r="M194" s="38" t="s">
        <v>86</v>
      </c>
      <c r="N194" s="38"/>
      <c r="O194" s="37">
        <v>180</v>
      </c>
      <c r="P194" s="44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364"/>
      <c r="R194" s="364"/>
      <c r="S194" s="364"/>
      <c r="T194" s="365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9" t="s">
        <v>301</v>
      </c>
      <c r="AG194" s="81"/>
      <c r="AJ194" s="87" t="s">
        <v>89</v>
      </c>
      <c r="AK194" s="87">
        <v>1</v>
      </c>
      <c r="BB194" s="230" t="s">
        <v>117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x14ac:dyDescent="0.2">
      <c r="A195" s="376"/>
      <c r="B195" s="376"/>
      <c r="C195" s="376"/>
      <c r="D195" s="376"/>
      <c r="E195" s="376"/>
      <c r="F195" s="376"/>
      <c r="G195" s="376"/>
      <c r="H195" s="376"/>
      <c r="I195" s="376"/>
      <c r="J195" s="376"/>
      <c r="K195" s="376"/>
      <c r="L195" s="376"/>
      <c r="M195" s="376"/>
      <c r="N195" s="376"/>
      <c r="O195" s="377"/>
      <c r="P195" s="373" t="s">
        <v>40</v>
      </c>
      <c r="Q195" s="374"/>
      <c r="R195" s="374"/>
      <c r="S195" s="374"/>
      <c r="T195" s="374"/>
      <c r="U195" s="374"/>
      <c r="V195" s="375"/>
      <c r="W195" s="42" t="s">
        <v>39</v>
      </c>
      <c r="X195" s="43">
        <f>IFERROR(SUM(X191:X194),"0")</f>
        <v>0</v>
      </c>
      <c r="Y195" s="43">
        <f>IFERROR(SUM(Y191:Y194),"0")</f>
        <v>0</v>
      </c>
      <c r="Z195" s="43">
        <f>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376"/>
      <c r="B196" s="376"/>
      <c r="C196" s="376"/>
      <c r="D196" s="376"/>
      <c r="E196" s="376"/>
      <c r="F196" s="376"/>
      <c r="G196" s="376"/>
      <c r="H196" s="376"/>
      <c r="I196" s="376"/>
      <c r="J196" s="376"/>
      <c r="K196" s="376"/>
      <c r="L196" s="376"/>
      <c r="M196" s="376"/>
      <c r="N196" s="376"/>
      <c r="O196" s="377"/>
      <c r="P196" s="373" t="s">
        <v>40</v>
      </c>
      <c r="Q196" s="374"/>
      <c r="R196" s="374"/>
      <c r="S196" s="374"/>
      <c r="T196" s="374"/>
      <c r="U196" s="374"/>
      <c r="V196" s="375"/>
      <c r="W196" s="42" t="s">
        <v>0</v>
      </c>
      <c r="X196" s="43">
        <f>IFERROR(SUMPRODUCT(X191:X194*H191:H194),"0")</f>
        <v>0</v>
      </c>
      <c r="Y196" s="43" t="str">
        <f>IFERROR(SUMPRODUCT(Y191:Y194*H191:H194),"0")</f>
        <v>0</v>
      </c>
      <c r="Z196" s="42"/>
      <c r="AA196" s="67"/>
      <c r="AB196" s="67"/>
      <c r="AC196" s="67"/>
    </row>
    <row r="197" spans="1:68" ht="27.75" customHeight="1" x14ac:dyDescent="0.2">
      <c r="A197" s="359" t="s">
        <v>302</v>
      </c>
      <c r="B197" s="359"/>
      <c r="C197" s="359"/>
      <c r="D197" s="359"/>
      <c r="E197" s="359"/>
      <c r="F197" s="359"/>
      <c r="G197" s="359"/>
      <c r="H197" s="359"/>
      <c r="I197" s="359"/>
      <c r="J197" s="359"/>
      <c r="K197" s="359"/>
      <c r="L197" s="359"/>
      <c r="M197" s="359"/>
      <c r="N197" s="359"/>
      <c r="O197" s="359"/>
      <c r="P197" s="359"/>
      <c r="Q197" s="359"/>
      <c r="R197" s="359"/>
      <c r="S197" s="359"/>
      <c r="T197" s="359"/>
      <c r="U197" s="359"/>
      <c r="V197" s="359"/>
      <c r="W197" s="359"/>
      <c r="X197" s="359"/>
      <c r="Y197" s="359"/>
      <c r="Z197" s="359"/>
      <c r="AA197" s="54"/>
      <c r="AB197" s="54"/>
      <c r="AC197" s="54"/>
    </row>
    <row r="198" spans="1:68" ht="16.5" customHeight="1" x14ac:dyDescent="0.25">
      <c r="A198" s="360" t="s">
        <v>303</v>
      </c>
      <c r="B198" s="360"/>
      <c r="C198" s="360"/>
      <c r="D198" s="360"/>
      <c r="E198" s="360"/>
      <c r="F198" s="360"/>
      <c r="G198" s="360"/>
      <c r="H198" s="360"/>
      <c r="I198" s="360"/>
      <c r="J198" s="360"/>
      <c r="K198" s="360"/>
      <c r="L198" s="360"/>
      <c r="M198" s="360"/>
      <c r="N198" s="360"/>
      <c r="O198" s="360"/>
      <c r="P198" s="360"/>
      <c r="Q198" s="360"/>
      <c r="R198" s="360"/>
      <c r="S198" s="360"/>
      <c r="T198" s="360"/>
      <c r="U198" s="360"/>
      <c r="V198" s="360"/>
      <c r="W198" s="360"/>
      <c r="X198" s="360"/>
      <c r="Y198" s="360"/>
      <c r="Z198" s="360"/>
      <c r="AA198" s="65"/>
      <c r="AB198" s="65"/>
      <c r="AC198" s="82"/>
    </row>
    <row r="199" spans="1:68" ht="14.25" customHeight="1" x14ac:dyDescent="0.25">
      <c r="A199" s="361" t="s">
        <v>113</v>
      </c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1"/>
      <c r="P199" s="361"/>
      <c r="Q199" s="361"/>
      <c r="R199" s="361"/>
      <c r="S199" s="361"/>
      <c r="T199" s="361"/>
      <c r="U199" s="361"/>
      <c r="V199" s="361"/>
      <c r="W199" s="361"/>
      <c r="X199" s="361"/>
      <c r="Y199" s="361"/>
      <c r="Z199" s="361"/>
      <c r="AA199" s="66"/>
      <c r="AB199" s="66"/>
      <c r="AC199" s="83"/>
    </row>
    <row r="200" spans="1:68" ht="27" customHeight="1" x14ac:dyDescent="0.25">
      <c r="A200" s="63" t="s">
        <v>304</v>
      </c>
      <c r="B200" s="63" t="s">
        <v>305</v>
      </c>
      <c r="C200" s="36">
        <v>4301132227</v>
      </c>
      <c r="D200" s="362">
        <v>4620207491133</v>
      </c>
      <c r="E200" s="362"/>
      <c r="F200" s="62">
        <v>0.23</v>
      </c>
      <c r="G200" s="37">
        <v>12</v>
      </c>
      <c r="H200" s="62">
        <v>2.76</v>
      </c>
      <c r="I200" s="62">
        <v>2.98</v>
      </c>
      <c r="J200" s="37">
        <v>70</v>
      </c>
      <c r="K200" s="37" t="s">
        <v>118</v>
      </c>
      <c r="L200" s="37" t="s">
        <v>119</v>
      </c>
      <c r="M200" s="38" t="s">
        <v>86</v>
      </c>
      <c r="N200" s="38"/>
      <c r="O200" s="37">
        <v>180</v>
      </c>
      <c r="P200" s="44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364"/>
      <c r="R200" s="364"/>
      <c r="S200" s="364"/>
      <c r="T200" s="365"/>
      <c r="U200" s="39" t="s">
        <v>46</v>
      </c>
      <c r="V200" s="39" t="s">
        <v>46</v>
      </c>
      <c r="W200" s="40" t="s">
        <v>39</v>
      </c>
      <c r="X200" s="58"/>
      <c r="Y200" s="55" t="str">
        <f>IFERROR(IF(X200="","",X200),"")</f>
        <v/>
      </c>
      <c r="Z200" s="41" t="str">
        <f>IFERROR(IF(X200="","",X200*0.01788),"")</f>
        <v/>
      </c>
      <c r="AA200" s="68" t="s">
        <v>46</v>
      </c>
      <c r="AB200" s="69" t="s">
        <v>46</v>
      </c>
      <c r="AC200" s="231" t="s">
        <v>306</v>
      </c>
      <c r="AG200" s="81"/>
      <c r="AJ200" s="87" t="s">
        <v>120</v>
      </c>
      <c r="AK200" s="87">
        <v>14</v>
      </c>
      <c r="BB200" s="232" t="s">
        <v>117</v>
      </c>
      <c r="BM200" s="81">
        <f>IFERROR(X200*I200,"0")</f>
        <v>0</v>
      </c>
      <c r="BN200" s="81" t="str">
        <f>IFERROR(Y200*I200,"0")</f>
        <v>0</v>
      </c>
      <c r="BO200" s="81">
        <f>IFERROR(X200/J200,"0")</f>
        <v>0</v>
      </c>
      <c r="BP200" s="81" t="str">
        <f>IFERROR(Y200/J200,"0")</f>
        <v>0</v>
      </c>
    </row>
    <row r="201" spans="1:68" x14ac:dyDescent="0.2">
      <c r="A201" s="376"/>
      <c r="B201" s="376"/>
      <c r="C201" s="376"/>
      <c r="D201" s="376"/>
      <c r="E201" s="376"/>
      <c r="F201" s="376"/>
      <c r="G201" s="376"/>
      <c r="H201" s="376"/>
      <c r="I201" s="376"/>
      <c r="J201" s="376"/>
      <c r="K201" s="376"/>
      <c r="L201" s="376"/>
      <c r="M201" s="376"/>
      <c r="N201" s="376"/>
      <c r="O201" s="377"/>
      <c r="P201" s="373" t="s">
        <v>40</v>
      </c>
      <c r="Q201" s="374"/>
      <c r="R201" s="374"/>
      <c r="S201" s="374"/>
      <c r="T201" s="374"/>
      <c r="U201" s="374"/>
      <c r="V201" s="375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76"/>
      <c r="B202" s="376"/>
      <c r="C202" s="376"/>
      <c r="D202" s="376"/>
      <c r="E202" s="376"/>
      <c r="F202" s="376"/>
      <c r="G202" s="376"/>
      <c r="H202" s="376"/>
      <c r="I202" s="376"/>
      <c r="J202" s="376"/>
      <c r="K202" s="376"/>
      <c r="L202" s="376"/>
      <c r="M202" s="376"/>
      <c r="N202" s="376"/>
      <c r="O202" s="377"/>
      <c r="P202" s="373" t="s">
        <v>40</v>
      </c>
      <c r="Q202" s="374"/>
      <c r="R202" s="374"/>
      <c r="S202" s="374"/>
      <c r="T202" s="374"/>
      <c r="U202" s="374"/>
      <c r="V202" s="375"/>
      <c r="W202" s="42" t="s">
        <v>0</v>
      </c>
      <c r="X202" s="43">
        <f>IFERROR(SUMPRODUCT(X200:X200*H200:H200),"0")</f>
        <v>0</v>
      </c>
      <c r="Y202" s="43" t="str">
        <f>IFERROR(SUMPRODUCT(Y200:Y200*H200:H200),"0")</f>
        <v>0</v>
      </c>
      <c r="Z202" s="42"/>
      <c r="AA202" s="67"/>
      <c r="AB202" s="67"/>
      <c r="AC202" s="67"/>
    </row>
    <row r="203" spans="1:68" ht="14.25" customHeight="1" x14ac:dyDescent="0.25">
      <c r="A203" s="361" t="s">
        <v>151</v>
      </c>
      <c r="B203" s="361"/>
      <c r="C203" s="361"/>
      <c r="D203" s="361"/>
      <c r="E203" s="361"/>
      <c r="F203" s="361"/>
      <c r="G203" s="361"/>
      <c r="H203" s="361"/>
      <c r="I203" s="361"/>
      <c r="J203" s="361"/>
      <c r="K203" s="361"/>
      <c r="L203" s="361"/>
      <c r="M203" s="361"/>
      <c r="N203" s="361"/>
      <c r="O203" s="361"/>
      <c r="P203" s="361"/>
      <c r="Q203" s="361"/>
      <c r="R203" s="361"/>
      <c r="S203" s="361"/>
      <c r="T203" s="361"/>
      <c r="U203" s="361"/>
      <c r="V203" s="361"/>
      <c r="W203" s="361"/>
      <c r="X203" s="361"/>
      <c r="Y203" s="361"/>
      <c r="Z203" s="361"/>
      <c r="AA203" s="66"/>
      <c r="AB203" s="66"/>
      <c r="AC203" s="83"/>
    </row>
    <row r="204" spans="1:68" ht="27" customHeight="1" x14ac:dyDescent="0.25">
      <c r="A204" s="63" t="s">
        <v>307</v>
      </c>
      <c r="B204" s="63" t="s">
        <v>308</v>
      </c>
      <c r="C204" s="36">
        <v>4301135834</v>
      </c>
      <c r="D204" s="362">
        <v>4620207491188</v>
      </c>
      <c r="E204" s="362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118</v>
      </c>
      <c r="L204" s="37" t="s">
        <v>88</v>
      </c>
      <c r="M204" s="38" t="s">
        <v>86</v>
      </c>
      <c r="N204" s="38"/>
      <c r="O204" s="37">
        <v>180</v>
      </c>
      <c r="P204" s="44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364"/>
      <c r="R204" s="364"/>
      <c r="S204" s="364"/>
      <c r="T204" s="365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309</v>
      </c>
      <c r="AG204" s="81"/>
      <c r="AJ204" s="87" t="s">
        <v>89</v>
      </c>
      <c r="AK204" s="87">
        <v>1</v>
      </c>
      <c r="BB204" s="234" t="s">
        <v>117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310</v>
      </c>
      <c r="B205" s="63" t="s">
        <v>311</v>
      </c>
      <c r="C205" s="36">
        <v>4301135696</v>
      </c>
      <c r="D205" s="362">
        <v>4620207490235</v>
      </c>
      <c r="E205" s="362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118</v>
      </c>
      <c r="L205" s="37" t="s">
        <v>119</v>
      </c>
      <c r="M205" s="38" t="s">
        <v>86</v>
      </c>
      <c r="N205" s="38"/>
      <c r="O205" s="37">
        <v>180</v>
      </c>
      <c r="P205" s="443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364"/>
      <c r="R205" s="364"/>
      <c r="S205" s="364"/>
      <c r="T205" s="365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312</v>
      </c>
      <c r="AG205" s="81"/>
      <c r="AJ205" s="87" t="s">
        <v>120</v>
      </c>
      <c r="AK205" s="87">
        <v>14</v>
      </c>
      <c r="BB205" s="236" t="s">
        <v>117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customHeight="1" x14ac:dyDescent="0.25">
      <c r="A206" s="63" t="s">
        <v>313</v>
      </c>
      <c r="B206" s="63" t="s">
        <v>314</v>
      </c>
      <c r="C206" s="36">
        <v>4301135697</v>
      </c>
      <c r="D206" s="362">
        <v>4620207490259</v>
      </c>
      <c r="E206" s="362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118</v>
      </c>
      <c r="L206" s="37" t="s">
        <v>88</v>
      </c>
      <c r="M206" s="38" t="s">
        <v>86</v>
      </c>
      <c r="N206" s="38"/>
      <c r="O206" s="37">
        <v>180</v>
      </c>
      <c r="P206" s="44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364"/>
      <c r="R206" s="364"/>
      <c r="S206" s="364"/>
      <c r="T206" s="365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7" t="s">
        <v>315</v>
      </c>
      <c r="AG206" s="81"/>
      <c r="AJ206" s="87" t="s">
        <v>89</v>
      </c>
      <c r="AK206" s="87">
        <v>1</v>
      </c>
      <c r="BB206" s="238" t="s">
        <v>117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x14ac:dyDescent="0.2">
      <c r="A207" s="376"/>
      <c r="B207" s="376"/>
      <c r="C207" s="376"/>
      <c r="D207" s="376"/>
      <c r="E207" s="376"/>
      <c r="F207" s="376"/>
      <c r="G207" s="376"/>
      <c r="H207" s="376"/>
      <c r="I207" s="376"/>
      <c r="J207" s="376"/>
      <c r="K207" s="376"/>
      <c r="L207" s="376"/>
      <c r="M207" s="376"/>
      <c r="N207" s="376"/>
      <c r="O207" s="377"/>
      <c r="P207" s="373" t="s">
        <v>40</v>
      </c>
      <c r="Q207" s="374"/>
      <c r="R207" s="374"/>
      <c r="S207" s="374"/>
      <c r="T207" s="374"/>
      <c r="U207" s="374"/>
      <c r="V207" s="375"/>
      <c r="W207" s="42" t="s">
        <v>39</v>
      </c>
      <c r="X207" s="43">
        <f>IFERROR(SUM(X204:X206),"0")</f>
        <v>0</v>
      </c>
      <c r="Y207" s="43">
        <f>IFERROR(SUM(Y204:Y206),"0")</f>
        <v>0</v>
      </c>
      <c r="Z207" s="43">
        <f>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376"/>
      <c r="B208" s="376"/>
      <c r="C208" s="376"/>
      <c r="D208" s="376"/>
      <c r="E208" s="376"/>
      <c r="F208" s="376"/>
      <c r="G208" s="376"/>
      <c r="H208" s="376"/>
      <c r="I208" s="376"/>
      <c r="J208" s="376"/>
      <c r="K208" s="376"/>
      <c r="L208" s="376"/>
      <c r="M208" s="376"/>
      <c r="N208" s="376"/>
      <c r="O208" s="377"/>
      <c r="P208" s="373" t="s">
        <v>40</v>
      </c>
      <c r="Q208" s="374"/>
      <c r="R208" s="374"/>
      <c r="S208" s="374"/>
      <c r="T208" s="374"/>
      <c r="U208" s="374"/>
      <c r="V208" s="375"/>
      <c r="W208" s="42" t="s">
        <v>0</v>
      </c>
      <c r="X208" s="43">
        <f>IFERROR(SUMPRODUCT(X204:X206*H204:H206),"0")</f>
        <v>0</v>
      </c>
      <c r="Y208" s="43">
        <f>IFERROR(SUMPRODUCT(Y204:Y206*H204:H206),"0")</f>
        <v>0</v>
      </c>
      <c r="Z208" s="42"/>
      <c r="AA208" s="67"/>
      <c r="AB208" s="67"/>
      <c r="AC208" s="67"/>
    </row>
    <row r="209" spans="1:68" ht="16.5" customHeight="1" x14ac:dyDescent="0.25">
      <c r="A209" s="360" t="s">
        <v>316</v>
      </c>
      <c r="B209" s="360"/>
      <c r="C209" s="360"/>
      <c r="D209" s="360"/>
      <c r="E209" s="360"/>
      <c r="F209" s="360"/>
      <c r="G209" s="360"/>
      <c r="H209" s="360"/>
      <c r="I209" s="360"/>
      <c r="J209" s="360"/>
      <c r="K209" s="360"/>
      <c r="L209" s="360"/>
      <c r="M209" s="360"/>
      <c r="N209" s="360"/>
      <c r="O209" s="360"/>
      <c r="P209" s="360"/>
      <c r="Q209" s="360"/>
      <c r="R209" s="360"/>
      <c r="S209" s="360"/>
      <c r="T209" s="360"/>
      <c r="U209" s="360"/>
      <c r="V209" s="360"/>
      <c r="W209" s="360"/>
      <c r="X209" s="360"/>
      <c r="Y209" s="360"/>
      <c r="Z209" s="360"/>
      <c r="AA209" s="65"/>
      <c r="AB209" s="65"/>
      <c r="AC209" s="82"/>
    </row>
    <row r="210" spans="1:68" ht="14.25" customHeight="1" x14ac:dyDescent="0.25">
      <c r="A210" s="361" t="s">
        <v>151</v>
      </c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1"/>
      <c r="P210" s="361"/>
      <c r="Q210" s="361"/>
      <c r="R210" s="361"/>
      <c r="S210" s="361"/>
      <c r="T210" s="361"/>
      <c r="U210" s="361"/>
      <c r="V210" s="361"/>
      <c r="W210" s="361"/>
      <c r="X210" s="361"/>
      <c r="Y210" s="361"/>
      <c r="Z210" s="361"/>
      <c r="AA210" s="66"/>
      <c r="AB210" s="66"/>
      <c r="AC210" s="83"/>
    </row>
    <row r="211" spans="1:68" ht="27" customHeight="1" x14ac:dyDescent="0.25">
      <c r="A211" s="63" t="s">
        <v>317</v>
      </c>
      <c r="B211" s="63" t="s">
        <v>318</v>
      </c>
      <c r="C211" s="36">
        <v>4301135854</v>
      </c>
      <c r="D211" s="362">
        <v>4620207491706</v>
      </c>
      <c r="E211" s="362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118</v>
      </c>
      <c r="L211" s="37" t="s">
        <v>88</v>
      </c>
      <c r="M211" s="38" t="s">
        <v>86</v>
      </c>
      <c r="N211" s="38"/>
      <c r="O211" s="37">
        <v>180</v>
      </c>
      <c r="P211" s="44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364"/>
      <c r="R211" s="364"/>
      <c r="S211" s="364"/>
      <c r="T211" s="365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319</v>
      </c>
      <c r="AG211" s="81"/>
      <c r="AJ211" s="87" t="s">
        <v>89</v>
      </c>
      <c r="AK211" s="87">
        <v>1</v>
      </c>
      <c r="BB211" s="240" t="s">
        <v>117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t="27" customHeight="1" x14ac:dyDescent="0.25">
      <c r="A212" s="63" t="s">
        <v>320</v>
      </c>
      <c r="B212" s="63" t="s">
        <v>321</v>
      </c>
      <c r="C212" s="36">
        <v>4301135895</v>
      </c>
      <c r="D212" s="362">
        <v>4620207491522</v>
      </c>
      <c r="E212" s="362"/>
      <c r="F212" s="62">
        <v>0.28000000000000003</v>
      </c>
      <c r="G212" s="37">
        <v>12</v>
      </c>
      <c r="H212" s="62">
        <v>3.36</v>
      </c>
      <c r="I212" s="62">
        <v>4.0636000000000001</v>
      </c>
      <c r="J212" s="37">
        <v>70</v>
      </c>
      <c r="K212" s="37" t="s">
        <v>118</v>
      </c>
      <c r="L212" s="37" t="s">
        <v>88</v>
      </c>
      <c r="M212" s="38" t="s">
        <v>86</v>
      </c>
      <c r="N212" s="38"/>
      <c r="O212" s="37">
        <v>180</v>
      </c>
      <c r="P212" s="44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364"/>
      <c r="R212" s="364"/>
      <c r="S212" s="364"/>
      <c r="T212" s="365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322</v>
      </c>
      <c r="AG212" s="81"/>
      <c r="AJ212" s="87" t="s">
        <v>89</v>
      </c>
      <c r="AK212" s="87">
        <v>1</v>
      </c>
      <c r="BB212" s="242" t="s">
        <v>117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x14ac:dyDescent="0.2">
      <c r="A213" s="376"/>
      <c r="B213" s="376"/>
      <c r="C213" s="376"/>
      <c r="D213" s="376"/>
      <c r="E213" s="376"/>
      <c r="F213" s="376"/>
      <c r="G213" s="376"/>
      <c r="H213" s="376"/>
      <c r="I213" s="376"/>
      <c r="J213" s="376"/>
      <c r="K213" s="376"/>
      <c r="L213" s="376"/>
      <c r="M213" s="376"/>
      <c r="N213" s="376"/>
      <c r="O213" s="377"/>
      <c r="P213" s="373" t="s">
        <v>40</v>
      </c>
      <c r="Q213" s="374"/>
      <c r="R213" s="374"/>
      <c r="S213" s="374"/>
      <c r="T213" s="374"/>
      <c r="U213" s="374"/>
      <c r="V213" s="375"/>
      <c r="W213" s="42" t="s">
        <v>39</v>
      </c>
      <c r="X213" s="43">
        <f>IFERROR(SUM(X211:X212),"0")</f>
        <v>0</v>
      </c>
      <c r="Y213" s="43">
        <f>IFERROR(SUM(Y211:Y212),"0")</f>
        <v>0</v>
      </c>
      <c r="Z213" s="43">
        <f>IFERROR(IF(Z211="",0,Z211),"0")+IFERROR(IF(Z212="",0,Z212),"0")</f>
        <v>0</v>
      </c>
      <c r="AA213" s="67"/>
      <c r="AB213" s="67"/>
      <c r="AC213" s="67"/>
    </row>
    <row r="214" spans="1:68" x14ac:dyDescent="0.2">
      <c r="A214" s="376"/>
      <c r="B214" s="376"/>
      <c r="C214" s="376"/>
      <c r="D214" s="376"/>
      <c r="E214" s="376"/>
      <c r="F214" s="376"/>
      <c r="G214" s="376"/>
      <c r="H214" s="376"/>
      <c r="I214" s="376"/>
      <c r="J214" s="376"/>
      <c r="K214" s="376"/>
      <c r="L214" s="376"/>
      <c r="M214" s="376"/>
      <c r="N214" s="376"/>
      <c r="O214" s="377"/>
      <c r="P214" s="373" t="s">
        <v>40</v>
      </c>
      <c r="Q214" s="374"/>
      <c r="R214" s="374"/>
      <c r="S214" s="374"/>
      <c r="T214" s="374"/>
      <c r="U214" s="374"/>
      <c r="V214" s="375"/>
      <c r="W214" s="42" t="s">
        <v>0</v>
      </c>
      <c r="X214" s="43">
        <f>IFERROR(SUMPRODUCT(X211:X212*H211:H212),"0")</f>
        <v>0</v>
      </c>
      <c r="Y214" s="43">
        <f>IFERROR(SUMPRODUCT(Y211:Y212*H211:H212),"0")</f>
        <v>0</v>
      </c>
      <c r="Z214" s="42"/>
      <c r="AA214" s="67"/>
      <c r="AB214" s="67"/>
      <c r="AC214" s="67"/>
    </row>
    <row r="215" spans="1:68" ht="16.5" customHeight="1" x14ac:dyDescent="0.25">
      <c r="A215" s="360" t="s">
        <v>323</v>
      </c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0"/>
      <c r="P215" s="360"/>
      <c r="Q215" s="360"/>
      <c r="R215" s="360"/>
      <c r="S215" s="360"/>
      <c r="T215" s="360"/>
      <c r="U215" s="360"/>
      <c r="V215" s="360"/>
      <c r="W215" s="360"/>
      <c r="X215" s="360"/>
      <c r="Y215" s="360"/>
      <c r="Z215" s="360"/>
      <c r="AA215" s="65"/>
      <c r="AB215" s="65"/>
      <c r="AC215" s="82"/>
    </row>
    <row r="216" spans="1:68" ht="14.25" customHeight="1" x14ac:dyDescent="0.25">
      <c r="A216" s="361" t="s">
        <v>82</v>
      </c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1"/>
      <c r="P216" s="361"/>
      <c r="Q216" s="361"/>
      <c r="R216" s="361"/>
      <c r="S216" s="361"/>
      <c r="T216" s="361"/>
      <c r="U216" s="361"/>
      <c r="V216" s="361"/>
      <c r="W216" s="361"/>
      <c r="X216" s="361"/>
      <c r="Y216" s="361"/>
      <c r="Z216" s="361"/>
      <c r="AA216" s="66"/>
      <c r="AB216" s="66"/>
      <c r="AC216" s="83"/>
    </row>
    <row r="217" spans="1:68" ht="27" customHeight="1" x14ac:dyDescent="0.25">
      <c r="A217" s="63" t="s">
        <v>324</v>
      </c>
      <c r="B217" s="63" t="s">
        <v>325</v>
      </c>
      <c r="C217" s="36">
        <v>4301071097</v>
      </c>
      <c r="D217" s="362">
        <v>4620207491096</v>
      </c>
      <c r="E217" s="362"/>
      <c r="F217" s="62">
        <v>1</v>
      </c>
      <c r="G217" s="37">
        <v>5</v>
      </c>
      <c r="H217" s="62">
        <v>5</v>
      </c>
      <c r="I217" s="62">
        <v>5.23</v>
      </c>
      <c r="J217" s="37">
        <v>84</v>
      </c>
      <c r="K217" s="37" t="s">
        <v>87</v>
      </c>
      <c r="L217" s="37" t="s">
        <v>119</v>
      </c>
      <c r="M217" s="38" t="s">
        <v>86</v>
      </c>
      <c r="N217" s="38"/>
      <c r="O217" s="37">
        <v>180</v>
      </c>
      <c r="P217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364"/>
      <c r="R217" s="364"/>
      <c r="S217" s="364"/>
      <c r="T217" s="365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43" t="s">
        <v>326</v>
      </c>
      <c r="AG217" s="81"/>
      <c r="AJ217" s="87" t="s">
        <v>120</v>
      </c>
      <c r="AK217" s="87">
        <v>12</v>
      </c>
      <c r="BB217" s="244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76"/>
      <c r="B218" s="376"/>
      <c r="C218" s="376"/>
      <c r="D218" s="376"/>
      <c r="E218" s="376"/>
      <c r="F218" s="376"/>
      <c r="G218" s="376"/>
      <c r="H218" s="376"/>
      <c r="I218" s="376"/>
      <c r="J218" s="376"/>
      <c r="K218" s="376"/>
      <c r="L218" s="376"/>
      <c r="M218" s="376"/>
      <c r="N218" s="376"/>
      <c r="O218" s="377"/>
      <c r="P218" s="373" t="s">
        <v>40</v>
      </c>
      <c r="Q218" s="374"/>
      <c r="R218" s="374"/>
      <c r="S218" s="374"/>
      <c r="T218" s="374"/>
      <c r="U218" s="374"/>
      <c r="V218" s="375"/>
      <c r="W218" s="42" t="s">
        <v>39</v>
      </c>
      <c r="X218" s="43">
        <f>IFERROR(SUM(X217:X217),"0")</f>
        <v>0</v>
      </c>
      <c r="Y218" s="43">
        <f>IFERROR(SUM(Y217:Y217),"0")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376"/>
      <c r="B219" s="376"/>
      <c r="C219" s="376"/>
      <c r="D219" s="376"/>
      <c r="E219" s="376"/>
      <c r="F219" s="376"/>
      <c r="G219" s="376"/>
      <c r="H219" s="376"/>
      <c r="I219" s="376"/>
      <c r="J219" s="376"/>
      <c r="K219" s="376"/>
      <c r="L219" s="376"/>
      <c r="M219" s="376"/>
      <c r="N219" s="376"/>
      <c r="O219" s="377"/>
      <c r="P219" s="373" t="s">
        <v>40</v>
      </c>
      <c r="Q219" s="374"/>
      <c r="R219" s="374"/>
      <c r="S219" s="374"/>
      <c r="T219" s="374"/>
      <c r="U219" s="374"/>
      <c r="V219" s="375"/>
      <c r="W219" s="42" t="s">
        <v>0</v>
      </c>
      <c r="X219" s="43">
        <f>IFERROR(SUMPRODUCT(X217:X217*H217:H217),"0")</f>
        <v>0</v>
      </c>
      <c r="Y219" s="43">
        <f>IFERROR(SUMPRODUCT(Y217:Y217*H217:H217),"0")</f>
        <v>0</v>
      </c>
      <c r="Z219" s="42"/>
      <c r="AA219" s="67"/>
      <c r="AB219" s="67"/>
      <c r="AC219" s="67"/>
    </row>
    <row r="220" spans="1:68" ht="16.5" customHeight="1" x14ac:dyDescent="0.25">
      <c r="A220" s="360" t="s">
        <v>327</v>
      </c>
      <c r="B220" s="360"/>
      <c r="C220" s="360"/>
      <c r="D220" s="360"/>
      <c r="E220" s="360"/>
      <c r="F220" s="360"/>
      <c r="G220" s="360"/>
      <c r="H220" s="360"/>
      <c r="I220" s="360"/>
      <c r="J220" s="360"/>
      <c r="K220" s="360"/>
      <c r="L220" s="360"/>
      <c r="M220" s="360"/>
      <c r="N220" s="360"/>
      <c r="O220" s="360"/>
      <c r="P220" s="360"/>
      <c r="Q220" s="360"/>
      <c r="R220" s="360"/>
      <c r="S220" s="360"/>
      <c r="T220" s="360"/>
      <c r="U220" s="360"/>
      <c r="V220" s="360"/>
      <c r="W220" s="360"/>
      <c r="X220" s="360"/>
      <c r="Y220" s="360"/>
      <c r="Z220" s="360"/>
      <c r="AA220" s="65"/>
      <c r="AB220" s="65"/>
      <c r="AC220" s="82"/>
    </row>
    <row r="221" spans="1:68" ht="14.25" customHeight="1" x14ac:dyDescent="0.25">
      <c r="A221" s="361" t="s">
        <v>151</v>
      </c>
      <c r="B221" s="361"/>
      <c r="C221" s="361"/>
      <c r="D221" s="361"/>
      <c r="E221" s="361"/>
      <c r="F221" s="361"/>
      <c r="G221" s="361"/>
      <c r="H221" s="361"/>
      <c r="I221" s="361"/>
      <c r="J221" s="361"/>
      <c r="K221" s="361"/>
      <c r="L221" s="361"/>
      <c r="M221" s="361"/>
      <c r="N221" s="361"/>
      <c r="O221" s="361"/>
      <c r="P221" s="361"/>
      <c r="Q221" s="361"/>
      <c r="R221" s="361"/>
      <c r="S221" s="361"/>
      <c r="T221" s="361"/>
      <c r="U221" s="361"/>
      <c r="V221" s="361"/>
      <c r="W221" s="361"/>
      <c r="X221" s="361"/>
      <c r="Y221" s="361"/>
      <c r="Z221" s="361"/>
      <c r="AA221" s="66"/>
      <c r="AB221" s="66"/>
      <c r="AC221" s="83"/>
    </row>
    <row r="222" spans="1:68" ht="27" customHeight="1" x14ac:dyDescent="0.25">
      <c r="A222" s="63" t="s">
        <v>328</v>
      </c>
      <c r="B222" s="63" t="s">
        <v>329</v>
      </c>
      <c r="C222" s="36">
        <v>4301135694</v>
      </c>
      <c r="D222" s="362">
        <v>4620207490501</v>
      </c>
      <c r="E222" s="362"/>
      <c r="F222" s="62">
        <v>0.2</v>
      </c>
      <c r="G222" s="37">
        <v>12</v>
      </c>
      <c r="H222" s="62">
        <v>2.4</v>
      </c>
      <c r="I222" s="62">
        <v>3.1036000000000001</v>
      </c>
      <c r="J222" s="37">
        <v>70</v>
      </c>
      <c r="K222" s="37" t="s">
        <v>118</v>
      </c>
      <c r="L222" s="37" t="s">
        <v>88</v>
      </c>
      <c r="M222" s="38" t="s">
        <v>86</v>
      </c>
      <c r="N222" s="38"/>
      <c r="O222" s="37">
        <v>180</v>
      </c>
      <c r="P222" s="44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364"/>
      <c r="R222" s="364"/>
      <c r="S222" s="364"/>
      <c r="T222" s="365"/>
      <c r="U222" s="39" t="s">
        <v>46</v>
      </c>
      <c r="V222" s="39" t="s">
        <v>46</v>
      </c>
      <c r="W222" s="40" t="s">
        <v>39</v>
      </c>
      <c r="X222" s="58">
        <v>0</v>
      </c>
      <c r="Y222" s="55">
        <f>IFERROR(IF(X222="","",X222),"")</f>
        <v>0</v>
      </c>
      <c r="Z222" s="41">
        <f>IFERROR(IF(X222="","",X222*0.01788),"")</f>
        <v>0</v>
      </c>
      <c r="AA222" s="68" t="s">
        <v>46</v>
      </c>
      <c r="AB222" s="69" t="s">
        <v>46</v>
      </c>
      <c r="AC222" s="245" t="s">
        <v>330</v>
      </c>
      <c r="AG222" s="81"/>
      <c r="AJ222" s="87" t="s">
        <v>89</v>
      </c>
      <c r="AK222" s="87">
        <v>1</v>
      </c>
      <c r="BB222" s="246" t="s">
        <v>117</v>
      </c>
      <c r="BM222" s="81">
        <f>IFERROR(X222*I222,"0")</f>
        <v>0</v>
      </c>
      <c r="BN222" s="81">
        <f>IFERROR(Y222*I222,"0")</f>
        <v>0</v>
      </c>
      <c r="BO222" s="81">
        <f>IFERROR(X222/J222,"0")</f>
        <v>0</v>
      </c>
      <c r="BP222" s="81">
        <f>IFERROR(Y222/J222,"0")</f>
        <v>0</v>
      </c>
    </row>
    <row r="223" spans="1:68" x14ac:dyDescent="0.2">
      <c r="A223" s="376"/>
      <c r="B223" s="376"/>
      <c r="C223" s="376"/>
      <c r="D223" s="376"/>
      <c r="E223" s="376"/>
      <c r="F223" s="376"/>
      <c r="G223" s="376"/>
      <c r="H223" s="376"/>
      <c r="I223" s="376"/>
      <c r="J223" s="376"/>
      <c r="K223" s="376"/>
      <c r="L223" s="376"/>
      <c r="M223" s="376"/>
      <c r="N223" s="376"/>
      <c r="O223" s="377"/>
      <c r="P223" s="373" t="s">
        <v>40</v>
      </c>
      <c r="Q223" s="374"/>
      <c r="R223" s="374"/>
      <c r="S223" s="374"/>
      <c r="T223" s="374"/>
      <c r="U223" s="374"/>
      <c r="V223" s="375"/>
      <c r="W223" s="42" t="s">
        <v>39</v>
      </c>
      <c r="X223" s="43">
        <f>IFERROR(SUM(X222:X222),"0")</f>
        <v>0</v>
      </c>
      <c r="Y223" s="43">
        <f>IFERROR(SUM(Y222:Y222),"0")</f>
        <v>0</v>
      </c>
      <c r="Z223" s="43">
        <f>IFERROR(IF(Z222="",0,Z222),"0")</f>
        <v>0</v>
      </c>
      <c r="AA223" s="67"/>
      <c r="AB223" s="67"/>
      <c r="AC223" s="67"/>
    </row>
    <row r="224" spans="1:68" x14ac:dyDescent="0.2">
      <c r="A224" s="376"/>
      <c r="B224" s="376"/>
      <c r="C224" s="376"/>
      <c r="D224" s="376"/>
      <c r="E224" s="376"/>
      <c r="F224" s="376"/>
      <c r="G224" s="376"/>
      <c r="H224" s="376"/>
      <c r="I224" s="376"/>
      <c r="J224" s="376"/>
      <c r="K224" s="376"/>
      <c r="L224" s="376"/>
      <c r="M224" s="376"/>
      <c r="N224" s="376"/>
      <c r="O224" s="377"/>
      <c r="P224" s="373" t="s">
        <v>40</v>
      </c>
      <c r="Q224" s="374"/>
      <c r="R224" s="374"/>
      <c r="S224" s="374"/>
      <c r="T224" s="374"/>
      <c r="U224" s="374"/>
      <c r="V224" s="375"/>
      <c r="W224" s="42" t="s">
        <v>0</v>
      </c>
      <c r="X224" s="43">
        <f>IFERROR(SUMPRODUCT(X222:X222*H222:H222),"0")</f>
        <v>0</v>
      </c>
      <c r="Y224" s="43">
        <f>IFERROR(SUMPRODUCT(Y222:Y222*H222:H222),"0")</f>
        <v>0</v>
      </c>
      <c r="Z224" s="42"/>
      <c r="AA224" s="67"/>
      <c r="AB224" s="67"/>
      <c r="AC224" s="67"/>
    </row>
    <row r="225" spans="1:68" ht="27.75" customHeight="1" x14ac:dyDescent="0.2">
      <c r="A225" s="359" t="s">
        <v>331</v>
      </c>
      <c r="B225" s="359"/>
      <c r="C225" s="359"/>
      <c r="D225" s="359"/>
      <c r="E225" s="359"/>
      <c r="F225" s="359"/>
      <c r="G225" s="359"/>
      <c r="H225" s="359"/>
      <c r="I225" s="359"/>
      <c r="J225" s="359"/>
      <c r="K225" s="359"/>
      <c r="L225" s="359"/>
      <c r="M225" s="359"/>
      <c r="N225" s="359"/>
      <c r="O225" s="359"/>
      <c r="P225" s="359"/>
      <c r="Q225" s="359"/>
      <c r="R225" s="359"/>
      <c r="S225" s="359"/>
      <c r="T225" s="359"/>
      <c r="U225" s="359"/>
      <c r="V225" s="359"/>
      <c r="W225" s="359"/>
      <c r="X225" s="359"/>
      <c r="Y225" s="359"/>
      <c r="Z225" s="359"/>
      <c r="AA225" s="54"/>
      <c r="AB225" s="54"/>
      <c r="AC225" s="54"/>
    </row>
    <row r="226" spans="1:68" ht="16.5" customHeight="1" x14ac:dyDescent="0.25">
      <c r="A226" s="360" t="s">
        <v>332</v>
      </c>
      <c r="B226" s="360"/>
      <c r="C226" s="360"/>
      <c r="D226" s="360"/>
      <c r="E226" s="360"/>
      <c r="F226" s="360"/>
      <c r="G226" s="360"/>
      <c r="H226" s="360"/>
      <c r="I226" s="360"/>
      <c r="J226" s="360"/>
      <c r="K226" s="360"/>
      <c r="L226" s="360"/>
      <c r="M226" s="360"/>
      <c r="N226" s="360"/>
      <c r="O226" s="360"/>
      <c r="P226" s="360"/>
      <c r="Q226" s="360"/>
      <c r="R226" s="360"/>
      <c r="S226" s="360"/>
      <c r="T226" s="360"/>
      <c r="U226" s="360"/>
      <c r="V226" s="360"/>
      <c r="W226" s="360"/>
      <c r="X226" s="360"/>
      <c r="Y226" s="360"/>
      <c r="Z226" s="360"/>
      <c r="AA226" s="65"/>
      <c r="AB226" s="65"/>
      <c r="AC226" s="82"/>
    </row>
    <row r="227" spans="1:68" ht="14.25" customHeight="1" x14ac:dyDescent="0.25">
      <c r="A227" s="361" t="s">
        <v>82</v>
      </c>
      <c r="B227" s="361"/>
      <c r="C227" s="361"/>
      <c r="D227" s="361"/>
      <c r="E227" s="361"/>
      <c r="F227" s="361"/>
      <c r="G227" s="361"/>
      <c r="H227" s="361"/>
      <c r="I227" s="361"/>
      <c r="J227" s="361"/>
      <c r="K227" s="361"/>
      <c r="L227" s="361"/>
      <c r="M227" s="361"/>
      <c r="N227" s="361"/>
      <c r="O227" s="361"/>
      <c r="P227" s="361"/>
      <c r="Q227" s="361"/>
      <c r="R227" s="361"/>
      <c r="S227" s="361"/>
      <c r="T227" s="361"/>
      <c r="U227" s="361"/>
      <c r="V227" s="361"/>
      <c r="W227" s="361"/>
      <c r="X227" s="361"/>
      <c r="Y227" s="361"/>
      <c r="Z227" s="361"/>
      <c r="AA227" s="66"/>
      <c r="AB227" s="66"/>
      <c r="AC227" s="83"/>
    </row>
    <row r="228" spans="1:68" ht="27" customHeight="1" x14ac:dyDescent="0.25">
      <c r="A228" s="63" t="s">
        <v>333</v>
      </c>
      <c r="B228" s="63" t="s">
        <v>334</v>
      </c>
      <c r="C228" s="36">
        <v>4301071036</v>
      </c>
      <c r="D228" s="362">
        <v>4607111036162</v>
      </c>
      <c r="E228" s="362"/>
      <c r="F228" s="62">
        <v>0.8</v>
      </c>
      <c r="G228" s="37">
        <v>8</v>
      </c>
      <c r="H228" s="62">
        <v>6.4</v>
      </c>
      <c r="I228" s="62">
        <v>6.6811999999999996</v>
      </c>
      <c r="J228" s="37">
        <v>84</v>
      </c>
      <c r="K228" s="37" t="s">
        <v>87</v>
      </c>
      <c r="L228" s="37" t="s">
        <v>88</v>
      </c>
      <c r="M228" s="38" t="s">
        <v>86</v>
      </c>
      <c r="N228" s="38"/>
      <c r="O228" s="37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364"/>
      <c r="R228" s="364"/>
      <c r="S228" s="364"/>
      <c r="T228" s="365"/>
      <c r="U228" s="39" t="s">
        <v>46</v>
      </c>
      <c r="V228" s="39" t="s">
        <v>46</v>
      </c>
      <c r="W228" s="40" t="s">
        <v>39</v>
      </c>
      <c r="X228" s="58">
        <v>0</v>
      </c>
      <c r="Y228" s="55">
        <f>IFERROR(IF(X228="","",X228),"")</f>
        <v>0</v>
      </c>
      <c r="Z228" s="41">
        <f>IFERROR(IF(X228="","",X228*0.0155),"")</f>
        <v>0</v>
      </c>
      <c r="AA228" s="68" t="s">
        <v>46</v>
      </c>
      <c r="AB228" s="69" t="s">
        <v>46</v>
      </c>
      <c r="AC228" s="247" t="s">
        <v>335</v>
      </c>
      <c r="AG228" s="81"/>
      <c r="AJ228" s="87" t="s">
        <v>89</v>
      </c>
      <c r="AK228" s="87">
        <v>1</v>
      </c>
      <c r="BB228" s="248" t="s">
        <v>70</v>
      </c>
      <c r="BM228" s="81">
        <f>IFERROR(X228*I228,"0")</f>
        <v>0</v>
      </c>
      <c r="BN228" s="81">
        <f>IFERROR(Y228*I228,"0")</f>
        <v>0</v>
      </c>
      <c r="BO228" s="81">
        <f>IFERROR(X228/J228,"0")</f>
        <v>0</v>
      </c>
      <c r="BP228" s="81">
        <f>IFERROR(Y228/J228,"0")</f>
        <v>0</v>
      </c>
    </row>
    <row r="229" spans="1:68" x14ac:dyDescent="0.2">
      <c r="A229" s="376"/>
      <c r="B229" s="376"/>
      <c r="C229" s="376"/>
      <c r="D229" s="376"/>
      <c r="E229" s="376"/>
      <c r="F229" s="376"/>
      <c r="G229" s="376"/>
      <c r="H229" s="376"/>
      <c r="I229" s="376"/>
      <c r="J229" s="376"/>
      <c r="K229" s="376"/>
      <c r="L229" s="376"/>
      <c r="M229" s="376"/>
      <c r="N229" s="376"/>
      <c r="O229" s="377"/>
      <c r="P229" s="373" t="s">
        <v>40</v>
      </c>
      <c r="Q229" s="374"/>
      <c r="R229" s="374"/>
      <c r="S229" s="374"/>
      <c r="T229" s="374"/>
      <c r="U229" s="374"/>
      <c r="V229" s="375"/>
      <c r="W229" s="42" t="s">
        <v>39</v>
      </c>
      <c r="X229" s="43">
        <f>IFERROR(SUM(X228:X228),"0")</f>
        <v>0</v>
      </c>
      <c r="Y229" s="43">
        <f>IFERROR(SUM(Y228:Y228),"0")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376"/>
      <c r="B230" s="376"/>
      <c r="C230" s="376"/>
      <c r="D230" s="376"/>
      <c r="E230" s="376"/>
      <c r="F230" s="376"/>
      <c r="G230" s="376"/>
      <c r="H230" s="376"/>
      <c r="I230" s="376"/>
      <c r="J230" s="376"/>
      <c r="K230" s="376"/>
      <c r="L230" s="376"/>
      <c r="M230" s="376"/>
      <c r="N230" s="376"/>
      <c r="O230" s="377"/>
      <c r="P230" s="373" t="s">
        <v>40</v>
      </c>
      <c r="Q230" s="374"/>
      <c r="R230" s="374"/>
      <c r="S230" s="374"/>
      <c r="T230" s="374"/>
      <c r="U230" s="374"/>
      <c r="V230" s="375"/>
      <c r="W230" s="42" t="s">
        <v>0</v>
      </c>
      <c r="X230" s="43">
        <f>IFERROR(SUMPRODUCT(X228:X228*H228:H228),"0")</f>
        <v>0</v>
      </c>
      <c r="Y230" s="43">
        <f>IFERROR(SUMPRODUCT(Y228:Y228*H228:H228),"0")</f>
        <v>0</v>
      </c>
      <c r="Z230" s="42"/>
      <c r="AA230" s="67"/>
      <c r="AB230" s="67"/>
      <c r="AC230" s="67"/>
    </row>
    <row r="231" spans="1:68" ht="27.75" customHeight="1" x14ac:dyDescent="0.2">
      <c r="A231" s="359" t="s">
        <v>336</v>
      </c>
      <c r="B231" s="359"/>
      <c r="C231" s="359"/>
      <c r="D231" s="359"/>
      <c r="E231" s="359"/>
      <c r="F231" s="359"/>
      <c r="G231" s="359"/>
      <c r="H231" s="359"/>
      <c r="I231" s="359"/>
      <c r="J231" s="359"/>
      <c r="K231" s="359"/>
      <c r="L231" s="359"/>
      <c r="M231" s="359"/>
      <c r="N231" s="359"/>
      <c r="O231" s="359"/>
      <c r="P231" s="359"/>
      <c r="Q231" s="359"/>
      <c r="R231" s="359"/>
      <c r="S231" s="359"/>
      <c r="T231" s="359"/>
      <c r="U231" s="359"/>
      <c r="V231" s="359"/>
      <c r="W231" s="359"/>
      <c r="X231" s="359"/>
      <c r="Y231" s="359"/>
      <c r="Z231" s="359"/>
      <c r="AA231" s="54"/>
      <c r="AB231" s="54"/>
      <c r="AC231" s="54"/>
    </row>
    <row r="232" spans="1:68" ht="16.5" customHeight="1" x14ac:dyDescent="0.25">
      <c r="A232" s="360" t="s">
        <v>337</v>
      </c>
      <c r="B232" s="360"/>
      <c r="C232" s="360"/>
      <c r="D232" s="360"/>
      <c r="E232" s="360"/>
      <c r="F232" s="360"/>
      <c r="G232" s="360"/>
      <c r="H232" s="360"/>
      <c r="I232" s="360"/>
      <c r="J232" s="360"/>
      <c r="K232" s="360"/>
      <c r="L232" s="360"/>
      <c r="M232" s="360"/>
      <c r="N232" s="360"/>
      <c r="O232" s="360"/>
      <c r="P232" s="360"/>
      <c r="Q232" s="360"/>
      <c r="R232" s="360"/>
      <c r="S232" s="360"/>
      <c r="T232" s="360"/>
      <c r="U232" s="360"/>
      <c r="V232" s="360"/>
      <c r="W232" s="360"/>
      <c r="X232" s="360"/>
      <c r="Y232" s="360"/>
      <c r="Z232" s="360"/>
      <c r="AA232" s="65"/>
      <c r="AB232" s="65"/>
      <c r="AC232" s="82"/>
    </row>
    <row r="233" spans="1:68" ht="14.25" customHeight="1" x14ac:dyDescent="0.25">
      <c r="A233" s="361" t="s">
        <v>338</v>
      </c>
      <c r="B233" s="361"/>
      <c r="C233" s="361"/>
      <c r="D233" s="361"/>
      <c r="E233" s="361"/>
      <c r="F233" s="361"/>
      <c r="G233" s="361"/>
      <c r="H233" s="361"/>
      <c r="I233" s="361"/>
      <c r="J233" s="361"/>
      <c r="K233" s="361"/>
      <c r="L233" s="361"/>
      <c r="M233" s="361"/>
      <c r="N233" s="361"/>
      <c r="O233" s="361"/>
      <c r="P233" s="361"/>
      <c r="Q233" s="361"/>
      <c r="R233" s="361"/>
      <c r="S233" s="361"/>
      <c r="T233" s="361"/>
      <c r="U233" s="361"/>
      <c r="V233" s="361"/>
      <c r="W233" s="361"/>
      <c r="X233" s="361"/>
      <c r="Y233" s="361"/>
      <c r="Z233" s="361"/>
      <c r="AA233" s="66"/>
      <c r="AB233" s="66"/>
      <c r="AC233" s="83"/>
    </row>
    <row r="234" spans="1:68" ht="27" customHeight="1" x14ac:dyDescent="0.25">
      <c r="A234" s="63" t="s">
        <v>339</v>
      </c>
      <c r="B234" s="63" t="s">
        <v>340</v>
      </c>
      <c r="C234" s="36">
        <v>4301133004</v>
      </c>
      <c r="D234" s="362">
        <v>4607111039774</v>
      </c>
      <c r="E234" s="362"/>
      <c r="F234" s="62">
        <v>0.25</v>
      </c>
      <c r="G234" s="37">
        <v>12</v>
      </c>
      <c r="H234" s="62">
        <v>3</v>
      </c>
      <c r="I234" s="62">
        <v>3.22</v>
      </c>
      <c r="J234" s="37">
        <v>70</v>
      </c>
      <c r="K234" s="37" t="s">
        <v>118</v>
      </c>
      <c r="L234" s="37" t="s">
        <v>88</v>
      </c>
      <c r="M234" s="38" t="s">
        <v>86</v>
      </c>
      <c r="N234" s="38"/>
      <c r="O234" s="37">
        <v>180</v>
      </c>
      <c r="P234" s="45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364"/>
      <c r="R234" s="364"/>
      <c r="S234" s="364"/>
      <c r="T234" s="365"/>
      <c r="U234" s="39" t="s">
        <v>46</v>
      </c>
      <c r="V234" s="39" t="s">
        <v>46</v>
      </c>
      <c r="W234" s="40" t="s">
        <v>39</v>
      </c>
      <c r="X234" s="58">
        <v>0</v>
      </c>
      <c r="Y234" s="55">
        <f>IFERROR(IF(X234="","",X234),"")</f>
        <v>0</v>
      </c>
      <c r="Z234" s="41">
        <f>IFERROR(IF(X234="","",X234*0.01788),"")</f>
        <v>0</v>
      </c>
      <c r="AA234" s="68" t="s">
        <v>46</v>
      </c>
      <c r="AB234" s="69" t="s">
        <v>46</v>
      </c>
      <c r="AC234" s="249" t="s">
        <v>341</v>
      </c>
      <c r="AG234" s="81"/>
      <c r="AJ234" s="87" t="s">
        <v>89</v>
      </c>
      <c r="AK234" s="87">
        <v>1</v>
      </c>
      <c r="BB234" s="250" t="s">
        <v>117</v>
      </c>
      <c r="BM234" s="81">
        <f>IFERROR(X234*I234,"0")</f>
        <v>0</v>
      </c>
      <c r="BN234" s="81">
        <f>IFERROR(Y234*I234,"0")</f>
        <v>0</v>
      </c>
      <c r="BO234" s="81">
        <f>IFERROR(X234/J234,"0")</f>
        <v>0</v>
      </c>
      <c r="BP234" s="81">
        <f>IFERROR(Y234/J234,"0")</f>
        <v>0</v>
      </c>
    </row>
    <row r="235" spans="1:68" x14ac:dyDescent="0.2">
      <c r="A235" s="376"/>
      <c r="B235" s="376"/>
      <c r="C235" s="376"/>
      <c r="D235" s="376"/>
      <c r="E235" s="376"/>
      <c r="F235" s="376"/>
      <c r="G235" s="376"/>
      <c r="H235" s="376"/>
      <c r="I235" s="376"/>
      <c r="J235" s="376"/>
      <c r="K235" s="376"/>
      <c r="L235" s="376"/>
      <c r="M235" s="376"/>
      <c r="N235" s="376"/>
      <c r="O235" s="377"/>
      <c r="P235" s="373" t="s">
        <v>40</v>
      </c>
      <c r="Q235" s="374"/>
      <c r="R235" s="374"/>
      <c r="S235" s="374"/>
      <c r="T235" s="374"/>
      <c r="U235" s="374"/>
      <c r="V235" s="375"/>
      <c r="W235" s="42" t="s">
        <v>39</v>
      </c>
      <c r="X235" s="43">
        <f>IFERROR(SUM(X234:X234),"0")</f>
        <v>0</v>
      </c>
      <c r="Y235" s="43">
        <f>IFERROR(SUM(Y234:Y234),"0")</f>
        <v>0</v>
      </c>
      <c r="Z235" s="43">
        <f>IFERROR(IF(Z234="",0,Z234),"0")</f>
        <v>0</v>
      </c>
      <c r="AA235" s="67"/>
      <c r="AB235" s="67"/>
      <c r="AC235" s="67"/>
    </row>
    <row r="236" spans="1:68" x14ac:dyDescent="0.2">
      <c r="A236" s="376"/>
      <c r="B236" s="376"/>
      <c r="C236" s="376"/>
      <c r="D236" s="376"/>
      <c r="E236" s="376"/>
      <c r="F236" s="376"/>
      <c r="G236" s="376"/>
      <c r="H236" s="376"/>
      <c r="I236" s="376"/>
      <c r="J236" s="376"/>
      <c r="K236" s="376"/>
      <c r="L236" s="376"/>
      <c r="M236" s="376"/>
      <c r="N236" s="376"/>
      <c r="O236" s="377"/>
      <c r="P236" s="373" t="s">
        <v>40</v>
      </c>
      <c r="Q236" s="374"/>
      <c r="R236" s="374"/>
      <c r="S236" s="374"/>
      <c r="T236" s="374"/>
      <c r="U236" s="374"/>
      <c r="V236" s="375"/>
      <c r="W236" s="42" t="s">
        <v>0</v>
      </c>
      <c r="X236" s="43">
        <f>IFERROR(SUMPRODUCT(X234:X234*H234:H234),"0")</f>
        <v>0</v>
      </c>
      <c r="Y236" s="43">
        <f>IFERROR(SUMPRODUCT(Y234:Y234*H234:H234),"0")</f>
        <v>0</v>
      </c>
      <c r="Z236" s="42"/>
      <c r="AA236" s="67"/>
      <c r="AB236" s="67"/>
      <c r="AC236" s="67"/>
    </row>
    <row r="237" spans="1:68" ht="14.25" customHeight="1" x14ac:dyDescent="0.25">
      <c r="A237" s="361" t="s">
        <v>151</v>
      </c>
      <c r="B237" s="361"/>
      <c r="C237" s="361"/>
      <c r="D237" s="361"/>
      <c r="E237" s="361"/>
      <c r="F237" s="361"/>
      <c r="G237" s="361"/>
      <c r="H237" s="361"/>
      <c r="I237" s="361"/>
      <c r="J237" s="361"/>
      <c r="K237" s="361"/>
      <c r="L237" s="361"/>
      <c r="M237" s="361"/>
      <c r="N237" s="361"/>
      <c r="O237" s="361"/>
      <c r="P237" s="361"/>
      <c r="Q237" s="361"/>
      <c r="R237" s="361"/>
      <c r="S237" s="361"/>
      <c r="T237" s="361"/>
      <c r="U237" s="361"/>
      <c r="V237" s="361"/>
      <c r="W237" s="361"/>
      <c r="X237" s="361"/>
      <c r="Y237" s="361"/>
      <c r="Z237" s="361"/>
      <c r="AA237" s="66"/>
      <c r="AB237" s="66"/>
      <c r="AC237" s="83"/>
    </row>
    <row r="238" spans="1:68" ht="37.5" customHeight="1" x14ac:dyDescent="0.25">
      <c r="A238" s="63" t="s">
        <v>342</v>
      </c>
      <c r="B238" s="63" t="s">
        <v>343</v>
      </c>
      <c r="C238" s="36">
        <v>4301135400</v>
      </c>
      <c r="D238" s="362">
        <v>4607111039361</v>
      </c>
      <c r="E238" s="362"/>
      <c r="F238" s="62">
        <v>0.25</v>
      </c>
      <c r="G238" s="37">
        <v>12</v>
      </c>
      <c r="H238" s="62">
        <v>3</v>
      </c>
      <c r="I238" s="62">
        <v>3.7035999999999998</v>
      </c>
      <c r="J238" s="37">
        <v>70</v>
      </c>
      <c r="K238" s="37" t="s">
        <v>118</v>
      </c>
      <c r="L238" s="37" t="s">
        <v>88</v>
      </c>
      <c r="M238" s="38" t="s">
        <v>86</v>
      </c>
      <c r="N238" s="38"/>
      <c r="O238" s="37">
        <v>180</v>
      </c>
      <c r="P238" s="45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364"/>
      <c r="R238" s="364"/>
      <c r="S238" s="364"/>
      <c r="T238" s="365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51" t="s">
        <v>341</v>
      </c>
      <c r="AG238" s="81"/>
      <c r="AJ238" s="87" t="s">
        <v>89</v>
      </c>
      <c r="AK238" s="87">
        <v>1</v>
      </c>
      <c r="BB238" s="252" t="s">
        <v>117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376"/>
      <c r="B239" s="376"/>
      <c r="C239" s="376"/>
      <c r="D239" s="376"/>
      <c r="E239" s="376"/>
      <c r="F239" s="376"/>
      <c r="G239" s="376"/>
      <c r="H239" s="376"/>
      <c r="I239" s="376"/>
      <c r="J239" s="376"/>
      <c r="K239" s="376"/>
      <c r="L239" s="376"/>
      <c r="M239" s="376"/>
      <c r="N239" s="376"/>
      <c r="O239" s="377"/>
      <c r="P239" s="373" t="s">
        <v>40</v>
      </c>
      <c r="Q239" s="374"/>
      <c r="R239" s="374"/>
      <c r="S239" s="374"/>
      <c r="T239" s="374"/>
      <c r="U239" s="374"/>
      <c r="V239" s="375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376"/>
      <c r="B240" s="376"/>
      <c r="C240" s="376"/>
      <c r="D240" s="376"/>
      <c r="E240" s="376"/>
      <c r="F240" s="376"/>
      <c r="G240" s="376"/>
      <c r="H240" s="376"/>
      <c r="I240" s="376"/>
      <c r="J240" s="376"/>
      <c r="K240" s="376"/>
      <c r="L240" s="376"/>
      <c r="M240" s="376"/>
      <c r="N240" s="376"/>
      <c r="O240" s="377"/>
      <c r="P240" s="373" t="s">
        <v>40</v>
      </c>
      <c r="Q240" s="374"/>
      <c r="R240" s="374"/>
      <c r="S240" s="374"/>
      <c r="T240" s="374"/>
      <c r="U240" s="374"/>
      <c r="V240" s="375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27.75" customHeight="1" x14ac:dyDescent="0.2">
      <c r="A241" s="359" t="s">
        <v>344</v>
      </c>
      <c r="B241" s="359"/>
      <c r="C241" s="359"/>
      <c r="D241" s="359"/>
      <c r="E241" s="359"/>
      <c r="F241" s="359"/>
      <c r="G241" s="359"/>
      <c r="H241" s="359"/>
      <c r="I241" s="359"/>
      <c r="J241" s="359"/>
      <c r="K241" s="359"/>
      <c r="L241" s="359"/>
      <c r="M241" s="359"/>
      <c r="N241" s="359"/>
      <c r="O241" s="359"/>
      <c r="P241" s="359"/>
      <c r="Q241" s="359"/>
      <c r="R241" s="359"/>
      <c r="S241" s="359"/>
      <c r="T241" s="359"/>
      <c r="U241" s="359"/>
      <c r="V241" s="359"/>
      <c r="W241" s="359"/>
      <c r="X241" s="359"/>
      <c r="Y241" s="359"/>
      <c r="Z241" s="359"/>
      <c r="AA241" s="54"/>
      <c r="AB241" s="54"/>
      <c r="AC241" s="54"/>
    </row>
    <row r="242" spans="1:68" ht="16.5" customHeight="1" x14ac:dyDescent="0.25">
      <c r="A242" s="360" t="s">
        <v>344</v>
      </c>
      <c r="B242" s="360"/>
      <c r="C242" s="360"/>
      <c r="D242" s="360"/>
      <c r="E242" s="360"/>
      <c r="F242" s="360"/>
      <c r="G242" s="360"/>
      <c r="H242" s="360"/>
      <c r="I242" s="360"/>
      <c r="J242" s="360"/>
      <c r="K242" s="360"/>
      <c r="L242" s="360"/>
      <c r="M242" s="360"/>
      <c r="N242" s="360"/>
      <c r="O242" s="360"/>
      <c r="P242" s="360"/>
      <c r="Q242" s="360"/>
      <c r="R242" s="360"/>
      <c r="S242" s="360"/>
      <c r="T242" s="360"/>
      <c r="U242" s="360"/>
      <c r="V242" s="360"/>
      <c r="W242" s="360"/>
      <c r="X242" s="360"/>
      <c r="Y242" s="360"/>
      <c r="Z242" s="360"/>
      <c r="AA242" s="65"/>
      <c r="AB242" s="65"/>
      <c r="AC242" s="82"/>
    </row>
    <row r="243" spans="1:68" ht="14.25" customHeight="1" x14ac:dyDescent="0.25">
      <c r="A243" s="361" t="s">
        <v>113</v>
      </c>
      <c r="B243" s="361"/>
      <c r="C243" s="361"/>
      <c r="D243" s="361"/>
      <c r="E243" s="361"/>
      <c r="F243" s="361"/>
      <c r="G243" s="361"/>
      <c r="H243" s="361"/>
      <c r="I243" s="361"/>
      <c r="J243" s="361"/>
      <c r="K243" s="361"/>
      <c r="L243" s="361"/>
      <c r="M243" s="361"/>
      <c r="N243" s="361"/>
      <c r="O243" s="361"/>
      <c r="P243" s="361"/>
      <c r="Q243" s="361"/>
      <c r="R243" s="361"/>
      <c r="S243" s="361"/>
      <c r="T243" s="361"/>
      <c r="U243" s="361"/>
      <c r="V243" s="361"/>
      <c r="W243" s="361"/>
      <c r="X243" s="361"/>
      <c r="Y243" s="361"/>
      <c r="Z243" s="361"/>
      <c r="AA243" s="66"/>
      <c r="AB243" s="66"/>
      <c r="AC243" s="83"/>
    </row>
    <row r="244" spans="1:68" ht="27" customHeight="1" x14ac:dyDescent="0.25">
      <c r="A244" s="63" t="s">
        <v>345</v>
      </c>
      <c r="B244" s="63" t="s">
        <v>346</v>
      </c>
      <c r="C244" s="36">
        <v>4301132228</v>
      </c>
      <c r="D244" s="362">
        <v>4640242181950</v>
      </c>
      <c r="E244" s="362"/>
      <c r="F244" s="62">
        <v>0.23</v>
      </c>
      <c r="G244" s="37">
        <v>12</v>
      </c>
      <c r="H244" s="62">
        <v>2.76</v>
      </c>
      <c r="I244" s="62">
        <v>3.22</v>
      </c>
      <c r="J244" s="37">
        <v>70</v>
      </c>
      <c r="K244" s="37" t="s">
        <v>118</v>
      </c>
      <c r="L244" s="37" t="s">
        <v>88</v>
      </c>
      <c r="M244" s="38" t="s">
        <v>86</v>
      </c>
      <c r="N244" s="38"/>
      <c r="O244" s="37">
        <v>365</v>
      </c>
      <c r="P244" s="45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364"/>
      <c r="R244" s="364"/>
      <c r="S244" s="364"/>
      <c r="T244" s="365"/>
      <c r="U244" s="39" t="s">
        <v>46</v>
      </c>
      <c r="V244" s="39" t="s">
        <v>46</v>
      </c>
      <c r="W244" s="40" t="s">
        <v>39</v>
      </c>
      <c r="X244" s="58">
        <v>0</v>
      </c>
      <c r="Y244" s="55">
        <f>IFERROR(IF(X244="","",X244),"")</f>
        <v>0</v>
      </c>
      <c r="Z244" s="41">
        <f>IFERROR(IF(X244="","",X244*0.01788),"")</f>
        <v>0</v>
      </c>
      <c r="AA244" s="68" t="s">
        <v>46</v>
      </c>
      <c r="AB244" s="69" t="s">
        <v>46</v>
      </c>
      <c r="AC244" s="253" t="s">
        <v>347</v>
      </c>
      <c r="AG244" s="81"/>
      <c r="AJ244" s="87" t="s">
        <v>89</v>
      </c>
      <c r="AK244" s="87">
        <v>1</v>
      </c>
      <c r="BB244" s="254" t="s">
        <v>117</v>
      </c>
      <c r="BM244" s="81">
        <f>IFERROR(X244*I244,"0")</f>
        <v>0</v>
      </c>
      <c r="BN244" s="81">
        <f>IFERROR(Y244*I244,"0")</f>
        <v>0</v>
      </c>
      <c r="BO244" s="81">
        <f>IFERROR(X244/J244,"0")</f>
        <v>0</v>
      </c>
      <c r="BP244" s="81">
        <f>IFERROR(Y244/J244,"0")</f>
        <v>0</v>
      </c>
    </row>
    <row r="245" spans="1:68" x14ac:dyDescent="0.2">
      <c r="A245" s="376"/>
      <c r="B245" s="376"/>
      <c r="C245" s="376"/>
      <c r="D245" s="376"/>
      <c r="E245" s="376"/>
      <c r="F245" s="376"/>
      <c r="G245" s="376"/>
      <c r="H245" s="376"/>
      <c r="I245" s="376"/>
      <c r="J245" s="376"/>
      <c r="K245" s="376"/>
      <c r="L245" s="376"/>
      <c r="M245" s="376"/>
      <c r="N245" s="376"/>
      <c r="O245" s="377"/>
      <c r="P245" s="373" t="s">
        <v>40</v>
      </c>
      <c r="Q245" s="374"/>
      <c r="R245" s="374"/>
      <c r="S245" s="374"/>
      <c r="T245" s="374"/>
      <c r="U245" s="374"/>
      <c r="V245" s="375"/>
      <c r="W245" s="42" t="s">
        <v>39</v>
      </c>
      <c r="X245" s="43">
        <f>IFERROR(SUM(X244:X244),"0")</f>
        <v>0</v>
      </c>
      <c r="Y245" s="43">
        <f>IFERROR(SUM(Y244:Y244),"0")</f>
        <v>0</v>
      </c>
      <c r="Z245" s="43">
        <f>IFERROR(IF(Z244="",0,Z244),"0")</f>
        <v>0</v>
      </c>
      <c r="AA245" s="67"/>
      <c r="AB245" s="67"/>
      <c r="AC245" s="67"/>
    </row>
    <row r="246" spans="1:68" x14ac:dyDescent="0.2">
      <c r="A246" s="376"/>
      <c r="B246" s="376"/>
      <c r="C246" s="376"/>
      <c r="D246" s="376"/>
      <c r="E246" s="376"/>
      <c r="F246" s="376"/>
      <c r="G246" s="376"/>
      <c r="H246" s="376"/>
      <c r="I246" s="376"/>
      <c r="J246" s="376"/>
      <c r="K246" s="376"/>
      <c r="L246" s="376"/>
      <c r="M246" s="376"/>
      <c r="N246" s="376"/>
      <c r="O246" s="377"/>
      <c r="P246" s="373" t="s">
        <v>40</v>
      </c>
      <c r="Q246" s="374"/>
      <c r="R246" s="374"/>
      <c r="S246" s="374"/>
      <c r="T246" s="374"/>
      <c r="U246" s="374"/>
      <c r="V246" s="375"/>
      <c r="W246" s="42" t="s">
        <v>0</v>
      </c>
      <c r="X246" s="43">
        <f>IFERROR(SUMPRODUCT(X244:X244*H244:H244),"0")</f>
        <v>0</v>
      </c>
      <c r="Y246" s="43">
        <f>IFERROR(SUMPRODUCT(Y244:Y244*H244:H244),"0")</f>
        <v>0</v>
      </c>
      <c r="Z246" s="42"/>
      <c r="AA246" s="67"/>
      <c r="AB246" s="67"/>
      <c r="AC246" s="67"/>
    </row>
    <row r="247" spans="1:68" ht="14.25" customHeight="1" x14ac:dyDescent="0.25">
      <c r="A247" s="361" t="s">
        <v>145</v>
      </c>
      <c r="B247" s="361"/>
      <c r="C247" s="361"/>
      <c r="D247" s="361"/>
      <c r="E247" s="361"/>
      <c r="F247" s="361"/>
      <c r="G247" s="361"/>
      <c r="H247" s="361"/>
      <c r="I247" s="361"/>
      <c r="J247" s="361"/>
      <c r="K247" s="361"/>
      <c r="L247" s="361"/>
      <c r="M247" s="361"/>
      <c r="N247" s="361"/>
      <c r="O247" s="361"/>
      <c r="P247" s="361"/>
      <c r="Q247" s="361"/>
      <c r="R247" s="361"/>
      <c r="S247" s="361"/>
      <c r="T247" s="361"/>
      <c r="U247" s="361"/>
      <c r="V247" s="361"/>
      <c r="W247" s="361"/>
      <c r="X247" s="361"/>
      <c r="Y247" s="361"/>
      <c r="Z247" s="361"/>
      <c r="AA247" s="66"/>
      <c r="AB247" s="66"/>
      <c r="AC247" s="83"/>
    </row>
    <row r="248" spans="1:68" ht="27" customHeight="1" x14ac:dyDescent="0.25">
      <c r="A248" s="63" t="s">
        <v>348</v>
      </c>
      <c r="B248" s="63" t="s">
        <v>349</v>
      </c>
      <c r="C248" s="36">
        <v>4301136098</v>
      </c>
      <c r="D248" s="362">
        <v>4640242181943</v>
      </c>
      <c r="E248" s="362"/>
      <c r="F248" s="62">
        <v>0.09</v>
      </c>
      <c r="G248" s="37">
        <v>24</v>
      </c>
      <c r="H248" s="62">
        <v>2.16</v>
      </c>
      <c r="I248" s="62">
        <v>2.34</v>
      </c>
      <c r="J248" s="37">
        <v>126</v>
      </c>
      <c r="K248" s="37" t="s">
        <v>118</v>
      </c>
      <c r="L248" s="37" t="s">
        <v>88</v>
      </c>
      <c r="M248" s="38" t="s">
        <v>86</v>
      </c>
      <c r="N248" s="38"/>
      <c r="O248" s="37">
        <v>180</v>
      </c>
      <c r="P248" s="45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364"/>
      <c r="R248" s="364"/>
      <c r="S248" s="364"/>
      <c r="T248" s="365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IFERROR(IF(X248="","",X248*0.00936),"")</f>
        <v>0</v>
      </c>
      <c r="AA248" s="68" t="s">
        <v>46</v>
      </c>
      <c r="AB248" s="69" t="s">
        <v>46</v>
      </c>
      <c r="AC248" s="255" t="s">
        <v>350</v>
      </c>
      <c r="AG248" s="81"/>
      <c r="AJ248" s="87" t="s">
        <v>89</v>
      </c>
      <c r="AK248" s="87">
        <v>1</v>
      </c>
      <c r="BB248" s="256" t="s">
        <v>117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76"/>
      <c r="B249" s="376"/>
      <c r="C249" s="376"/>
      <c r="D249" s="376"/>
      <c r="E249" s="376"/>
      <c r="F249" s="376"/>
      <c r="G249" s="376"/>
      <c r="H249" s="376"/>
      <c r="I249" s="376"/>
      <c r="J249" s="376"/>
      <c r="K249" s="376"/>
      <c r="L249" s="376"/>
      <c r="M249" s="376"/>
      <c r="N249" s="376"/>
      <c r="O249" s="377"/>
      <c r="P249" s="373" t="s">
        <v>40</v>
      </c>
      <c r="Q249" s="374"/>
      <c r="R249" s="374"/>
      <c r="S249" s="374"/>
      <c r="T249" s="374"/>
      <c r="U249" s="374"/>
      <c r="V249" s="375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x14ac:dyDescent="0.2">
      <c r="A250" s="376"/>
      <c r="B250" s="376"/>
      <c r="C250" s="376"/>
      <c r="D250" s="376"/>
      <c r="E250" s="376"/>
      <c r="F250" s="376"/>
      <c r="G250" s="376"/>
      <c r="H250" s="376"/>
      <c r="I250" s="376"/>
      <c r="J250" s="376"/>
      <c r="K250" s="376"/>
      <c r="L250" s="376"/>
      <c r="M250" s="376"/>
      <c r="N250" s="376"/>
      <c r="O250" s="377"/>
      <c r="P250" s="373" t="s">
        <v>40</v>
      </c>
      <c r="Q250" s="374"/>
      <c r="R250" s="374"/>
      <c r="S250" s="374"/>
      <c r="T250" s="374"/>
      <c r="U250" s="374"/>
      <c r="V250" s="375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27.75" customHeight="1" x14ac:dyDescent="0.2">
      <c r="A251" s="359" t="s">
        <v>351</v>
      </c>
      <c r="B251" s="359"/>
      <c r="C251" s="359"/>
      <c r="D251" s="359"/>
      <c r="E251" s="359"/>
      <c r="F251" s="359"/>
      <c r="G251" s="359"/>
      <c r="H251" s="359"/>
      <c r="I251" s="359"/>
      <c r="J251" s="359"/>
      <c r="K251" s="359"/>
      <c r="L251" s="359"/>
      <c r="M251" s="359"/>
      <c r="N251" s="359"/>
      <c r="O251" s="359"/>
      <c r="P251" s="359"/>
      <c r="Q251" s="359"/>
      <c r="R251" s="359"/>
      <c r="S251" s="359"/>
      <c r="T251" s="359"/>
      <c r="U251" s="359"/>
      <c r="V251" s="359"/>
      <c r="W251" s="359"/>
      <c r="X251" s="359"/>
      <c r="Y251" s="359"/>
      <c r="Z251" s="359"/>
      <c r="AA251" s="54"/>
      <c r="AB251" s="54"/>
      <c r="AC251" s="54"/>
    </row>
    <row r="252" spans="1:68" ht="16.5" customHeight="1" x14ac:dyDescent="0.25">
      <c r="A252" s="360" t="s">
        <v>351</v>
      </c>
      <c r="B252" s="360"/>
      <c r="C252" s="360"/>
      <c r="D252" s="360"/>
      <c r="E252" s="360"/>
      <c r="F252" s="360"/>
      <c r="G252" s="360"/>
      <c r="H252" s="360"/>
      <c r="I252" s="360"/>
      <c r="J252" s="360"/>
      <c r="K252" s="360"/>
      <c r="L252" s="360"/>
      <c r="M252" s="360"/>
      <c r="N252" s="360"/>
      <c r="O252" s="360"/>
      <c r="P252" s="360"/>
      <c r="Q252" s="360"/>
      <c r="R252" s="360"/>
      <c r="S252" s="360"/>
      <c r="T252" s="360"/>
      <c r="U252" s="360"/>
      <c r="V252" s="360"/>
      <c r="W252" s="360"/>
      <c r="X252" s="360"/>
      <c r="Y252" s="360"/>
      <c r="Z252" s="360"/>
      <c r="AA252" s="65"/>
      <c r="AB252" s="65"/>
      <c r="AC252" s="82"/>
    </row>
    <row r="253" spans="1:68" ht="14.25" customHeight="1" x14ac:dyDescent="0.25">
      <c r="A253" s="361" t="s">
        <v>82</v>
      </c>
      <c r="B253" s="361"/>
      <c r="C253" s="361"/>
      <c r="D253" s="361"/>
      <c r="E253" s="361"/>
      <c r="F253" s="361"/>
      <c r="G253" s="361"/>
      <c r="H253" s="361"/>
      <c r="I253" s="361"/>
      <c r="J253" s="361"/>
      <c r="K253" s="361"/>
      <c r="L253" s="361"/>
      <c r="M253" s="361"/>
      <c r="N253" s="361"/>
      <c r="O253" s="361"/>
      <c r="P253" s="361"/>
      <c r="Q253" s="361"/>
      <c r="R253" s="361"/>
      <c r="S253" s="361"/>
      <c r="T253" s="361"/>
      <c r="U253" s="361"/>
      <c r="V253" s="361"/>
      <c r="W253" s="361"/>
      <c r="X253" s="361"/>
      <c r="Y253" s="361"/>
      <c r="Z253" s="361"/>
      <c r="AA253" s="66"/>
      <c r="AB253" s="66"/>
      <c r="AC253" s="83"/>
    </row>
    <row r="254" spans="1:68" ht="27" customHeight="1" x14ac:dyDescent="0.25">
      <c r="A254" s="63" t="s">
        <v>352</v>
      </c>
      <c r="B254" s="63" t="s">
        <v>353</v>
      </c>
      <c r="C254" s="36">
        <v>4301071014</v>
      </c>
      <c r="D254" s="362">
        <v>4640242181264</v>
      </c>
      <c r="E254" s="362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87</v>
      </c>
      <c r="L254" s="37" t="s">
        <v>88</v>
      </c>
      <c r="M254" s="38" t="s">
        <v>86</v>
      </c>
      <c r="N254" s="38"/>
      <c r="O254" s="37">
        <v>180</v>
      </c>
      <c r="P254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364"/>
      <c r="R254" s="364"/>
      <c r="S254" s="364"/>
      <c r="T254" s="365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354</v>
      </c>
      <c r="AG254" s="81"/>
      <c r="AJ254" s="87" t="s">
        <v>89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ht="27" customHeight="1" x14ac:dyDescent="0.25">
      <c r="A255" s="63" t="s">
        <v>355</v>
      </c>
      <c r="B255" s="63" t="s">
        <v>356</v>
      </c>
      <c r="C255" s="36">
        <v>4301071021</v>
      </c>
      <c r="D255" s="362">
        <v>4640242181325</v>
      </c>
      <c r="E255" s="362"/>
      <c r="F255" s="62">
        <v>0.7</v>
      </c>
      <c r="G255" s="37">
        <v>10</v>
      </c>
      <c r="H255" s="62">
        <v>7</v>
      </c>
      <c r="I255" s="62">
        <v>7.28</v>
      </c>
      <c r="J255" s="37">
        <v>84</v>
      </c>
      <c r="K255" s="37" t="s">
        <v>87</v>
      </c>
      <c r="L255" s="37" t="s">
        <v>88</v>
      </c>
      <c r="M255" s="38" t="s">
        <v>86</v>
      </c>
      <c r="N255" s="38"/>
      <c r="O255" s="37">
        <v>180</v>
      </c>
      <c r="P255" s="45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364"/>
      <c r="R255" s="364"/>
      <c r="S255" s="364"/>
      <c r="T255" s="365"/>
      <c r="U255" s="39" t="s">
        <v>46</v>
      </c>
      <c r="V255" s="39" t="s">
        <v>46</v>
      </c>
      <c r="W255" s="40" t="s">
        <v>39</v>
      </c>
      <c r="X255" s="58">
        <v>0</v>
      </c>
      <c r="Y255" s="55">
        <f>IFERROR(IF(X255="","",X255),"")</f>
        <v>0</v>
      </c>
      <c r="Z255" s="41">
        <f>IFERROR(IF(X255="","",X255*0.0155),"")</f>
        <v>0</v>
      </c>
      <c r="AA255" s="68" t="s">
        <v>46</v>
      </c>
      <c r="AB255" s="69" t="s">
        <v>46</v>
      </c>
      <c r="AC255" s="259" t="s">
        <v>354</v>
      </c>
      <c r="AG255" s="81"/>
      <c r="AJ255" s="87" t="s">
        <v>89</v>
      </c>
      <c r="AK255" s="87">
        <v>1</v>
      </c>
      <c r="BB255" s="260" t="s">
        <v>70</v>
      </c>
      <c r="BM255" s="81">
        <f>IFERROR(X255*I255,"0")</f>
        <v>0</v>
      </c>
      <c r="BN255" s="81">
        <f>IFERROR(Y255*I255,"0")</f>
        <v>0</v>
      </c>
      <c r="BO255" s="81">
        <f>IFERROR(X255/J255,"0")</f>
        <v>0</v>
      </c>
      <c r="BP255" s="81">
        <f>IFERROR(Y255/J255,"0")</f>
        <v>0</v>
      </c>
    </row>
    <row r="256" spans="1:68" ht="27" customHeight="1" x14ac:dyDescent="0.25">
      <c r="A256" s="63" t="s">
        <v>355</v>
      </c>
      <c r="B256" s="63" t="s">
        <v>357</v>
      </c>
      <c r="C256" s="36">
        <v>4301071141</v>
      </c>
      <c r="D256" s="362">
        <v>4620207491980</v>
      </c>
      <c r="E256" s="362"/>
      <c r="F256" s="62">
        <v>0.7</v>
      </c>
      <c r="G256" s="37">
        <v>10</v>
      </c>
      <c r="H256" s="62">
        <v>7</v>
      </c>
      <c r="I256" s="62">
        <v>7.28</v>
      </c>
      <c r="J256" s="37">
        <v>84</v>
      </c>
      <c r="K256" s="37" t="s">
        <v>87</v>
      </c>
      <c r="L256" s="37" t="s">
        <v>88</v>
      </c>
      <c r="M256" s="38" t="s">
        <v>86</v>
      </c>
      <c r="N256" s="38"/>
      <c r="O256" s="37">
        <v>180</v>
      </c>
      <c r="P256" s="456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364"/>
      <c r="R256" s="364"/>
      <c r="S256" s="364"/>
      <c r="T256" s="365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IFERROR(IF(X256="","",X256*0.0155),"")</f>
        <v>0</v>
      </c>
      <c r="AA256" s="68" t="s">
        <v>46</v>
      </c>
      <c r="AB256" s="69" t="s">
        <v>46</v>
      </c>
      <c r="AC256" s="261" t="s">
        <v>358</v>
      </c>
      <c r="AG256" s="81"/>
      <c r="AJ256" s="87" t="s">
        <v>89</v>
      </c>
      <c r="AK256" s="87">
        <v>1</v>
      </c>
      <c r="BB256" s="262" t="s">
        <v>70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x14ac:dyDescent="0.2">
      <c r="A257" s="376"/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377"/>
      <c r="P257" s="373" t="s">
        <v>40</v>
      </c>
      <c r="Q257" s="374"/>
      <c r="R257" s="374"/>
      <c r="S257" s="374"/>
      <c r="T257" s="374"/>
      <c r="U257" s="374"/>
      <c r="V257" s="375"/>
      <c r="W257" s="42" t="s">
        <v>39</v>
      </c>
      <c r="X257" s="43">
        <f>IFERROR(SUM(X254:X256),"0")</f>
        <v>0</v>
      </c>
      <c r="Y257" s="43">
        <f>IFERROR(SUM(Y254:Y256),"0")</f>
        <v>0</v>
      </c>
      <c r="Z257" s="43">
        <f>IFERROR(IF(Z254="",0,Z254),"0")+IFERROR(IF(Z255="",0,Z255),"0")+IFERROR(IF(Z256="",0,Z256),"0")</f>
        <v>0</v>
      </c>
      <c r="AA257" s="67"/>
      <c r="AB257" s="67"/>
      <c r="AC257" s="67"/>
    </row>
    <row r="258" spans="1:68" x14ac:dyDescent="0.2">
      <c r="A258" s="376"/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7"/>
      <c r="P258" s="373" t="s">
        <v>40</v>
      </c>
      <c r="Q258" s="374"/>
      <c r="R258" s="374"/>
      <c r="S258" s="374"/>
      <c r="T258" s="374"/>
      <c r="U258" s="374"/>
      <c r="V258" s="375"/>
      <c r="W258" s="42" t="s">
        <v>0</v>
      </c>
      <c r="X258" s="43">
        <f>IFERROR(SUMPRODUCT(X254:X256*H254:H256),"0")</f>
        <v>0</v>
      </c>
      <c r="Y258" s="43">
        <f>IFERROR(SUMPRODUCT(Y254:Y256*H254:H256),"0")</f>
        <v>0</v>
      </c>
      <c r="Z258" s="42"/>
      <c r="AA258" s="67"/>
      <c r="AB258" s="67"/>
      <c r="AC258" s="67"/>
    </row>
    <row r="259" spans="1:68" ht="14.25" customHeight="1" x14ac:dyDescent="0.25">
      <c r="A259" s="361" t="s">
        <v>113</v>
      </c>
      <c r="B259" s="361"/>
      <c r="C259" s="361"/>
      <c r="D259" s="361"/>
      <c r="E259" s="361"/>
      <c r="F259" s="361"/>
      <c r="G259" s="361"/>
      <c r="H259" s="361"/>
      <c r="I259" s="361"/>
      <c r="J259" s="361"/>
      <c r="K259" s="361"/>
      <c r="L259" s="361"/>
      <c r="M259" s="361"/>
      <c r="N259" s="361"/>
      <c r="O259" s="361"/>
      <c r="P259" s="361"/>
      <c r="Q259" s="361"/>
      <c r="R259" s="361"/>
      <c r="S259" s="361"/>
      <c r="T259" s="361"/>
      <c r="U259" s="361"/>
      <c r="V259" s="361"/>
      <c r="W259" s="361"/>
      <c r="X259" s="361"/>
      <c r="Y259" s="361"/>
      <c r="Z259" s="361"/>
      <c r="AA259" s="66"/>
      <c r="AB259" s="66"/>
      <c r="AC259" s="83"/>
    </row>
    <row r="260" spans="1:68" ht="27" customHeight="1" x14ac:dyDescent="0.25">
      <c r="A260" s="63" t="s">
        <v>359</v>
      </c>
      <c r="B260" s="63" t="s">
        <v>360</v>
      </c>
      <c r="C260" s="36">
        <v>4301132080</v>
      </c>
      <c r="D260" s="362">
        <v>4640242180397</v>
      </c>
      <c r="E260" s="362"/>
      <c r="F260" s="62">
        <v>1</v>
      </c>
      <c r="G260" s="37">
        <v>6</v>
      </c>
      <c r="H260" s="62">
        <v>6</v>
      </c>
      <c r="I260" s="62">
        <v>6.26</v>
      </c>
      <c r="J260" s="37">
        <v>84</v>
      </c>
      <c r="K260" s="37" t="s">
        <v>87</v>
      </c>
      <c r="L260" s="37" t="s">
        <v>119</v>
      </c>
      <c r="M260" s="38" t="s">
        <v>86</v>
      </c>
      <c r="N260" s="38"/>
      <c r="O260" s="37">
        <v>180</v>
      </c>
      <c r="P260" s="45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364"/>
      <c r="R260" s="364"/>
      <c r="S260" s="364"/>
      <c r="T260" s="365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3" t="s">
        <v>361</v>
      </c>
      <c r="AG260" s="81"/>
      <c r="AJ260" s="87" t="s">
        <v>120</v>
      </c>
      <c r="AK260" s="87">
        <v>12</v>
      </c>
      <c r="BB260" s="264" t="s">
        <v>117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376"/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7"/>
      <c r="P261" s="373" t="s">
        <v>40</v>
      </c>
      <c r="Q261" s="374"/>
      <c r="R261" s="374"/>
      <c r="S261" s="374"/>
      <c r="T261" s="374"/>
      <c r="U261" s="374"/>
      <c r="V261" s="375"/>
      <c r="W261" s="42" t="s">
        <v>39</v>
      </c>
      <c r="X261" s="43">
        <f>IFERROR(SUM(X260:X260),"0")</f>
        <v>0</v>
      </c>
      <c r="Y261" s="43">
        <f>IFERROR(SUM(Y260:Y260),"0")</f>
        <v>0</v>
      </c>
      <c r="Z261" s="43">
        <f>IFERROR(IF(Z260="",0,Z260),"0")</f>
        <v>0</v>
      </c>
      <c r="AA261" s="67"/>
      <c r="AB261" s="67"/>
      <c r="AC261" s="67"/>
    </row>
    <row r="262" spans="1:68" x14ac:dyDescent="0.2">
      <c r="A262" s="376"/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7"/>
      <c r="P262" s="373" t="s">
        <v>40</v>
      </c>
      <c r="Q262" s="374"/>
      <c r="R262" s="374"/>
      <c r="S262" s="374"/>
      <c r="T262" s="374"/>
      <c r="U262" s="374"/>
      <c r="V262" s="375"/>
      <c r="W262" s="42" t="s">
        <v>0</v>
      </c>
      <c r="X262" s="43">
        <f>IFERROR(SUMPRODUCT(X260:X260*H260:H260),"0")</f>
        <v>0</v>
      </c>
      <c r="Y262" s="43">
        <f>IFERROR(SUMPRODUCT(Y260:Y260*H260:H260),"0")</f>
        <v>0</v>
      </c>
      <c r="Z262" s="42"/>
      <c r="AA262" s="67"/>
      <c r="AB262" s="67"/>
      <c r="AC262" s="67"/>
    </row>
    <row r="263" spans="1:68" ht="14.25" customHeight="1" x14ac:dyDescent="0.25">
      <c r="A263" s="361" t="s">
        <v>145</v>
      </c>
      <c r="B263" s="361"/>
      <c r="C263" s="361"/>
      <c r="D263" s="361"/>
      <c r="E263" s="361"/>
      <c r="F263" s="361"/>
      <c r="G263" s="361"/>
      <c r="H263" s="361"/>
      <c r="I263" s="361"/>
      <c r="J263" s="361"/>
      <c r="K263" s="361"/>
      <c r="L263" s="361"/>
      <c r="M263" s="361"/>
      <c r="N263" s="361"/>
      <c r="O263" s="361"/>
      <c r="P263" s="361"/>
      <c r="Q263" s="361"/>
      <c r="R263" s="361"/>
      <c r="S263" s="361"/>
      <c r="T263" s="361"/>
      <c r="U263" s="361"/>
      <c r="V263" s="361"/>
      <c r="W263" s="361"/>
      <c r="X263" s="361"/>
      <c r="Y263" s="361"/>
      <c r="Z263" s="361"/>
      <c r="AA263" s="66"/>
      <c r="AB263" s="66"/>
      <c r="AC263" s="83"/>
    </row>
    <row r="264" spans="1:68" ht="27" customHeight="1" x14ac:dyDescent="0.25">
      <c r="A264" s="63" t="s">
        <v>362</v>
      </c>
      <c r="B264" s="63" t="s">
        <v>363</v>
      </c>
      <c r="C264" s="36">
        <v>4301136051</v>
      </c>
      <c r="D264" s="362">
        <v>4640242180304</v>
      </c>
      <c r="E264" s="362"/>
      <c r="F264" s="62">
        <v>2.7</v>
      </c>
      <c r="G264" s="37">
        <v>1</v>
      </c>
      <c r="H264" s="62">
        <v>2.7</v>
      </c>
      <c r="I264" s="62">
        <v>2.8906000000000001</v>
      </c>
      <c r="J264" s="37">
        <v>126</v>
      </c>
      <c r="K264" s="37" t="s">
        <v>118</v>
      </c>
      <c r="L264" s="37" t="s">
        <v>119</v>
      </c>
      <c r="M264" s="38" t="s">
        <v>86</v>
      </c>
      <c r="N264" s="38"/>
      <c r="O264" s="37">
        <v>180</v>
      </c>
      <c r="P264" s="45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364"/>
      <c r="R264" s="364"/>
      <c r="S264" s="364"/>
      <c r="T264" s="365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364</v>
      </c>
      <c r="AG264" s="81"/>
      <c r="AJ264" s="87" t="s">
        <v>120</v>
      </c>
      <c r="AK264" s="87">
        <v>14</v>
      </c>
      <c r="BB264" s="266" t="s">
        <v>117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4301136053</v>
      </c>
      <c r="D265" s="362">
        <v>4640242180236</v>
      </c>
      <c r="E265" s="362"/>
      <c r="F265" s="62">
        <v>5</v>
      </c>
      <c r="G265" s="37">
        <v>1</v>
      </c>
      <c r="H265" s="62">
        <v>5</v>
      </c>
      <c r="I265" s="62">
        <v>5.2350000000000003</v>
      </c>
      <c r="J265" s="37">
        <v>84</v>
      </c>
      <c r="K265" s="37" t="s">
        <v>87</v>
      </c>
      <c r="L265" s="37" t="s">
        <v>119</v>
      </c>
      <c r="M265" s="38" t="s">
        <v>86</v>
      </c>
      <c r="N265" s="38"/>
      <c r="O265" s="37">
        <v>180</v>
      </c>
      <c r="P265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364"/>
      <c r="R265" s="364"/>
      <c r="S265" s="364"/>
      <c r="T265" s="365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364</v>
      </c>
      <c r="AG265" s="81"/>
      <c r="AJ265" s="87" t="s">
        <v>120</v>
      </c>
      <c r="AK265" s="87">
        <v>12</v>
      </c>
      <c r="BB265" s="268" t="s">
        <v>117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t="27" customHeight="1" x14ac:dyDescent="0.25">
      <c r="A266" s="63" t="s">
        <v>367</v>
      </c>
      <c r="B266" s="63" t="s">
        <v>368</v>
      </c>
      <c r="C266" s="36">
        <v>4301136052</v>
      </c>
      <c r="D266" s="362">
        <v>4640242180410</v>
      </c>
      <c r="E266" s="362"/>
      <c r="F266" s="62">
        <v>2.2400000000000002</v>
      </c>
      <c r="G266" s="37">
        <v>1</v>
      </c>
      <c r="H266" s="62">
        <v>2.2400000000000002</v>
      </c>
      <c r="I266" s="62">
        <v>2.4319999999999999</v>
      </c>
      <c r="J266" s="37">
        <v>126</v>
      </c>
      <c r="K266" s="37" t="s">
        <v>118</v>
      </c>
      <c r="L266" s="37" t="s">
        <v>119</v>
      </c>
      <c r="M266" s="38" t="s">
        <v>86</v>
      </c>
      <c r="N266" s="38"/>
      <c r="O266" s="37">
        <v>180</v>
      </c>
      <c r="P266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364"/>
      <c r="R266" s="364"/>
      <c r="S266" s="364"/>
      <c r="T266" s="365"/>
      <c r="U266" s="39" t="s">
        <v>46</v>
      </c>
      <c r="V266" s="39" t="s">
        <v>46</v>
      </c>
      <c r="W266" s="40" t="s">
        <v>39</v>
      </c>
      <c r="X266" s="58">
        <v>0</v>
      </c>
      <c r="Y266" s="55">
        <f>IFERROR(IF(X266="","",X266),"")</f>
        <v>0</v>
      </c>
      <c r="Z266" s="41">
        <f>IFERROR(IF(X266="","",X266*0.00936),"")</f>
        <v>0</v>
      </c>
      <c r="AA266" s="68" t="s">
        <v>46</v>
      </c>
      <c r="AB266" s="69" t="s">
        <v>46</v>
      </c>
      <c r="AC266" s="269" t="s">
        <v>364</v>
      </c>
      <c r="AG266" s="81"/>
      <c r="AJ266" s="87" t="s">
        <v>120</v>
      </c>
      <c r="AK266" s="87">
        <v>14</v>
      </c>
      <c r="BB266" s="270" t="s">
        <v>117</v>
      </c>
      <c r="BM266" s="81">
        <f>IFERROR(X266*I266,"0")</f>
        <v>0</v>
      </c>
      <c r="BN266" s="81">
        <f>IFERROR(Y266*I266,"0")</f>
        <v>0</v>
      </c>
      <c r="BO266" s="81">
        <f>IFERROR(X266/J266,"0")</f>
        <v>0</v>
      </c>
      <c r="BP266" s="81">
        <f>IFERROR(Y266/J266,"0")</f>
        <v>0</v>
      </c>
    </row>
    <row r="267" spans="1:68" x14ac:dyDescent="0.2">
      <c r="A267" s="376"/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7"/>
      <c r="P267" s="373" t="s">
        <v>40</v>
      </c>
      <c r="Q267" s="374"/>
      <c r="R267" s="374"/>
      <c r="S267" s="374"/>
      <c r="T267" s="374"/>
      <c r="U267" s="374"/>
      <c r="V267" s="375"/>
      <c r="W267" s="42" t="s">
        <v>39</v>
      </c>
      <c r="X267" s="43">
        <f>IFERROR(SUM(X264:X266),"0")</f>
        <v>0</v>
      </c>
      <c r="Y267" s="43">
        <f>IFERROR(SUM(Y264:Y266),"0")</f>
        <v>0</v>
      </c>
      <c r="Z267" s="43">
        <f>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376"/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7"/>
      <c r="P268" s="373" t="s">
        <v>40</v>
      </c>
      <c r="Q268" s="374"/>
      <c r="R268" s="374"/>
      <c r="S268" s="374"/>
      <c r="T268" s="374"/>
      <c r="U268" s="374"/>
      <c r="V268" s="375"/>
      <c r="W268" s="42" t="s">
        <v>0</v>
      </c>
      <c r="X268" s="43">
        <f>IFERROR(SUMPRODUCT(X264:X266*H264:H266),"0")</f>
        <v>0</v>
      </c>
      <c r="Y268" s="43">
        <f>IFERROR(SUMPRODUCT(Y264:Y266*H264:H266),"0")</f>
        <v>0</v>
      </c>
      <c r="Z268" s="42"/>
      <c r="AA268" s="67"/>
      <c r="AB268" s="67"/>
      <c r="AC268" s="67"/>
    </row>
    <row r="269" spans="1:68" ht="14.25" customHeight="1" x14ac:dyDescent="0.25">
      <c r="A269" s="361" t="s">
        <v>151</v>
      </c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1"/>
      <c r="P269" s="361"/>
      <c r="Q269" s="361"/>
      <c r="R269" s="361"/>
      <c r="S269" s="361"/>
      <c r="T269" s="361"/>
      <c r="U269" s="361"/>
      <c r="V269" s="361"/>
      <c r="W269" s="361"/>
      <c r="X269" s="361"/>
      <c r="Y269" s="361"/>
      <c r="Z269" s="361"/>
      <c r="AA269" s="66"/>
      <c r="AB269" s="66"/>
      <c r="AC269" s="83"/>
    </row>
    <row r="270" spans="1:68" ht="37.5" customHeight="1" x14ac:dyDescent="0.25">
      <c r="A270" s="63" t="s">
        <v>369</v>
      </c>
      <c r="B270" s="63" t="s">
        <v>370</v>
      </c>
      <c r="C270" s="36">
        <v>4301135504</v>
      </c>
      <c r="D270" s="362">
        <v>4640242181554</v>
      </c>
      <c r="E270" s="362"/>
      <c r="F270" s="62">
        <v>3</v>
      </c>
      <c r="G270" s="37">
        <v>1</v>
      </c>
      <c r="H270" s="62">
        <v>3</v>
      </c>
      <c r="I270" s="62">
        <v>3.1920000000000002</v>
      </c>
      <c r="J270" s="37">
        <v>126</v>
      </c>
      <c r="K270" s="37" t="s">
        <v>118</v>
      </c>
      <c r="L270" s="37" t="s">
        <v>88</v>
      </c>
      <c r="M270" s="38" t="s">
        <v>86</v>
      </c>
      <c r="N270" s="38"/>
      <c r="O270" s="37">
        <v>180</v>
      </c>
      <c r="P270" s="46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364"/>
      <c r="R270" s="364"/>
      <c r="S270" s="364"/>
      <c r="T270" s="365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ref="Y270:Y279" si="18">IFERROR(IF(X270="","",X270),"")</f>
        <v>0</v>
      </c>
      <c r="Z270" s="41">
        <f>IFERROR(IF(X270="","",X270*0.00936),"")</f>
        <v>0</v>
      </c>
      <c r="AA270" s="68" t="s">
        <v>46</v>
      </c>
      <c r="AB270" s="69" t="s">
        <v>46</v>
      </c>
      <c r="AC270" s="271" t="s">
        <v>371</v>
      </c>
      <c r="AG270" s="81"/>
      <c r="AJ270" s="87" t="s">
        <v>89</v>
      </c>
      <c r="AK270" s="87">
        <v>1</v>
      </c>
      <c r="BB270" s="272" t="s">
        <v>117</v>
      </c>
      <c r="BM270" s="81">
        <f t="shared" ref="BM270:BM279" si="19">IFERROR(X270*I270,"0")</f>
        <v>0</v>
      </c>
      <c r="BN270" s="81">
        <f t="shared" ref="BN270:BN279" si="20">IFERROR(Y270*I270,"0")</f>
        <v>0</v>
      </c>
      <c r="BO270" s="81">
        <f t="shared" ref="BO270:BO279" si="21">IFERROR(X270/J270,"0")</f>
        <v>0</v>
      </c>
      <c r="BP270" s="81">
        <f t="shared" ref="BP270:BP279" si="22">IFERROR(Y270/J270,"0")</f>
        <v>0</v>
      </c>
    </row>
    <row r="271" spans="1:68" ht="27" customHeight="1" x14ac:dyDescent="0.25">
      <c r="A271" s="63" t="s">
        <v>372</v>
      </c>
      <c r="B271" s="63" t="s">
        <v>373</v>
      </c>
      <c r="C271" s="36">
        <v>4301135518</v>
      </c>
      <c r="D271" s="362">
        <v>4640242181561</v>
      </c>
      <c r="E271" s="362"/>
      <c r="F271" s="62">
        <v>3.7</v>
      </c>
      <c r="G271" s="37">
        <v>1</v>
      </c>
      <c r="H271" s="62">
        <v>3.7</v>
      </c>
      <c r="I271" s="62">
        <v>3.8919999999999999</v>
      </c>
      <c r="J271" s="37">
        <v>126</v>
      </c>
      <c r="K271" s="37" t="s">
        <v>118</v>
      </c>
      <c r="L271" s="37" t="s">
        <v>119</v>
      </c>
      <c r="M271" s="38" t="s">
        <v>86</v>
      </c>
      <c r="N271" s="38"/>
      <c r="O271" s="37">
        <v>180</v>
      </c>
      <c r="P271" s="46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364"/>
      <c r="R271" s="364"/>
      <c r="S271" s="364"/>
      <c r="T271" s="365"/>
      <c r="U271" s="39" t="s">
        <v>46</v>
      </c>
      <c r="V271" s="39" t="s">
        <v>46</v>
      </c>
      <c r="W271" s="40" t="s">
        <v>39</v>
      </c>
      <c r="X271" s="58"/>
      <c r="Y271" s="55" t="str">
        <f t="shared" si="18"/>
        <v/>
      </c>
      <c r="Z271" s="41" t="str">
        <f>IFERROR(IF(X271="","",X271*0.00936),"")</f>
        <v/>
      </c>
      <c r="AA271" s="68" t="s">
        <v>46</v>
      </c>
      <c r="AB271" s="69" t="s">
        <v>46</v>
      </c>
      <c r="AC271" s="273" t="s">
        <v>374</v>
      </c>
      <c r="AG271" s="81"/>
      <c r="AJ271" s="87" t="s">
        <v>120</v>
      </c>
      <c r="AK271" s="87">
        <v>14</v>
      </c>
      <c r="BB271" s="274" t="s">
        <v>117</v>
      </c>
      <c r="BM271" s="81">
        <f t="shared" si="19"/>
        <v>0</v>
      </c>
      <c r="BN271" s="81" t="str">
        <f t="shared" si="20"/>
        <v>0</v>
      </c>
      <c r="BO271" s="81">
        <f t="shared" si="21"/>
        <v>0</v>
      </c>
      <c r="BP271" s="81" t="str">
        <f t="shared" si="22"/>
        <v>0</v>
      </c>
    </row>
    <row r="272" spans="1:68" ht="27" customHeight="1" x14ac:dyDescent="0.25">
      <c r="A272" s="63" t="s">
        <v>375</v>
      </c>
      <c r="B272" s="63" t="s">
        <v>376</v>
      </c>
      <c r="C272" s="36">
        <v>4301135374</v>
      </c>
      <c r="D272" s="362">
        <v>4640242181424</v>
      </c>
      <c r="E272" s="362"/>
      <c r="F272" s="62">
        <v>5.5</v>
      </c>
      <c r="G272" s="37">
        <v>1</v>
      </c>
      <c r="H272" s="62">
        <v>5.5</v>
      </c>
      <c r="I272" s="62">
        <v>5.7350000000000003</v>
      </c>
      <c r="J272" s="37">
        <v>84</v>
      </c>
      <c r="K272" s="37" t="s">
        <v>87</v>
      </c>
      <c r="L272" s="37" t="s">
        <v>119</v>
      </c>
      <c r="M272" s="38" t="s">
        <v>86</v>
      </c>
      <c r="N272" s="38"/>
      <c r="O272" s="37">
        <v>180</v>
      </c>
      <c r="P272" s="46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364"/>
      <c r="R272" s="364"/>
      <c r="S272" s="364"/>
      <c r="T272" s="365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>IFERROR(IF(X272="","",X272*0.0155),"")</f>
        <v>0</v>
      </c>
      <c r="AA272" s="68" t="s">
        <v>46</v>
      </c>
      <c r="AB272" s="69" t="s">
        <v>46</v>
      </c>
      <c r="AC272" s="275" t="s">
        <v>371</v>
      </c>
      <c r="AG272" s="81"/>
      <c r="AJ272" s="87" t="s">
        <v>120</v>
      </c>
      <c r="AK272" s="87">
        <v>12</v>
      </c>
      <c r="BB272" s="276" t="s">
        <v>117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377</v>
      </c>
      <c r="B273" s="63" t="s">
        <v>378</v>
      </c>
      <c r="C273" s="36">
        <v>4301135405</v>
      </c>
      <c r="D273" s="362">
        <v>4640242181523</v>
      </c>
      <c r="E273" s="362"/>
      <c r="F273" s="62">
        <v>3</v>
      </c>
      <c r="G273" s="37">
        <v>1</v>
      </c>
      <c r="H273" s="62">
        <v>3</v>
      </c>
      <c r="I273" s="62">
        <v>3.1920000000000002</v>
      </c>
      <c r="J273" s="37">
        <v>126</v>
      </c>
      <c r="K273" s="37" t="s">
        <v>118</v>
      </c>
      <c r="L273" s="37" t="s">
        <v>119</v>
      </c>
      <c r="M273" s="38" t="s">
        <v>86</v>
      </c>
      <c r="N273" s="38"/>
      <c r="O273" s="37">
        <v>180</v>
      </c>
      <c r="P273" s="46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364"/>
      <c r="R273" s="364"/>
      <c r="S273" s="364"/>
      <c r="T273" s="365"/>
      <c r="U273" s="39" t="s">
        <v>46</v>
      </c>
      <c r="V273" s="39" t="s">
        <v>46</v>
      </c>
      <c r="W273" s="40" t="s">
        <v>39</v>
      </c>
      <c r="X273" s="58"/>
      <c r="Y273" s="55" t="str">
        <f t="shared" si="18"/>
        <v/>
      </c>
      <c r="Z273" s="41" t="str">
        <f t="shared" ref="Z273:Z278" si="23">IFERROR(IF(X273="","",X273*0.00936),"")</f>
        <v/>
      </c>
      <c r="AA273" s="68" t="s">
        <v>46</v>
      </c>
      <c r="AB273" s="69" t="s">
        <v>46</v>
      </c>
      <c r="AC273" s="277" t="s">
        <v>374</v>
      </c>
      <c r="AG273" s="81"/>
      <c r="AJ273" s="87" t="s">
        <v>120</v>
      </c>
      <c r="AK273" s="87">
        <v>14</v>
      </c>
      <c r="BB273" s="278" t="s">
        <v>117</v>
      </c>
      <c r="BM273" s="81">
        <f t="shared" si="19"/>
        <v>0</v>
      </c>
      <c r="BN273" s="81" t="str">
        <f t="shared" si="20"/>
        <v>0</v>
      </c>
      <c r="BO273" s="81">
        <f t="shared" si="21"/>
        <v>0</v>
      </c>
      <c r="BP273" s="81" t="str">
        <f t="shared" si="22"/>
        <v>0</v>
      </c>
    </row>
    <row r="274" spans="1:68" ht="27" customHeight="1" x14ac:dyDescent="0.25">
      <c r="A274" s="63" t="s">
        <v>379</v>
      </c>
      <c r="B274" s="63" t="s">
        <v>380</v>
      </c>
      <c r="C274" s="36">
        <v>4301135375</v>
      </c>
      <c r="D274" s="362">
        <v>4640242181486</v>
      </c>
      <c r="E274" s="362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118</v>
      </c>
      <c r="L274" s="37" t="s">
        <v>119</v>
      </c>
      <c r="M274" s="38" t="s">
        <v>86</v>
      </c>
      <c r="N274" s="38"/>
      <c r="O274" s="37">
        <v>180</v>
      </c>
      <c r="P274" s="46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364"/>
      <c r="R274" s="364"/>
      <c r="S274" s="364"/>
      <c r="T274" s="365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371</v>
      </c>
      <c r="AG274" s="81"/>
      <c r="AJ274" s="87" t="s">
        <v>120</v>
      </c>
      <c r="AK274" s="87">
        <v>14</v>
      </c>
      <c r="BB274" s="280" t="s">
        <v>117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37.5" customHeight="1" x14ac:dyDescent="0.25">
      <c r="A275" s="63" t="s">
        <v>381</v>
      </c>
      <c r="B275" s="63" t="s">
        <v>382</v>
      </c>
      <c r="C275" s="36">
        <v>4301135402</v>
      </c>
      <c r="D275" s="362">
        <v>4640242181493</v>
      </c>
      <c r="E275" s="362"/>
      <c r="F275" s="62">
        <v>3.7</v>
      </c>
      <c r="G275" s="37">
        <v>1</v>
      </c>
      <c r="H275" s="62">
        <v>3.7</v>
      </c>
      <c r="I275" s="62">
        <v>3.8919999999999999</v>
      </c>
      <c r="J275" s="37">
        <v>126</v>
      </c>
      <c r="K275" s="37" t="s">
        <v>118</v>
      </c>
      <c r="L275" s="37" t="s">
        <v>119</v>
      </c>
      <c r="M275" s="38" t="s">
        <v>86</v>
      </c>
      <c r="N275" s="38"/>
      <c r="O275" s="37">
        <v>180</v>
      </c>
      <c r="P275" s="46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364"/>
      <c r="R275" s="364"/>
      <c r="S275" s="364"/>
      <c r="T275" s="365"/>
      <c r="U275" s="39" t="s">
        <v>46</v>
      </c>
      <c r="V275" s="39" t="s">
        <v>46</v>
      </c>
      <c r="W275" s="40" t="s">
        <v>39</v>
      </c>
      <c r="X275" s="58"/>
      <c r="Y275" s="55" t="str">
        <f t="shared" si="18"/>
        <v/>
      </c>
      <c r="Z275" s="41" t="str">
        <f t="shared" si="23"/>
        <v/>
      </c>
      <c r="AA275" s="68" t="s">
        <v>46</v>
      </c>
      <c r="AB275" s="69" t="s">
        <v>46</v>
      </c>
      <c r="AC275" s="281" t="s">
        <v>371</v>
      </c>
      <c r="AG275" s="81"/>
      <c r="AJ275" s="87" t="s">
        <v>120</v>
      </c>
      <c r="AK275" s="87">
        <v>14</v>
      </c>
      <c r="BB275" s="282" t="s">
        <v>117</v>
      </c>
      <c r="BM275" s="81">
        <f t="shared" si="19"/>
        <v>0</v>
      </c>
      <c r="BN275" s="81" t="str">
        <f t="shared" si="20"/>
        <v>0</v>
      </c>
      <c r="BO275" s="81">
        <f t="shared" si="21"/>
        <v>0</v>
      </c>
      <c r="BP275" s="81" t="str">
        <f t="shared" si="22"/>
        <v>0</v>
      </c>
    </row>
    <row r="276" spans="1:68" ht="37.5" customHeight="1" x14ac:dyDescent="0.25">
      <c r="A276" s="63" t="s">
        <v>383</v>
      </c>
      <c r="B276" s="63" t="s">
        <v>384</v>
      </c>
      <c r="C276" s="36">
        <v>4301135403</v>
      </c>
      <c r="D276" s="362">
        <v>4640242181509</v>
      </c>
      <c r="E276" s="362"/>
      <c r="F276" s="62">
        <v>3.7</v>
      </c>
      <c r="G276" s="37">
        <v>1</v>
      </c>
      <c r="H276" s="62">
        <v>3.7</v>
      </c>
      <c r="I276" s="62">
        <v>3.8919999999999999</v>
      </c>
      <c r="J276" s="37">
        <v>126</v>
      </c>
      <c r="K276" s="37" t="s">
        <v>118</v>
      </c>
      <c r="L276" s="37" t="s">
        <v>119</v>
      </c>
      <c r="M276" s="38" t="s">
        <v>86</v>
      </c>
      <c r="N276" s="38"/>
      <c r="O276" s="37">
        <v>180</v>
      </c>
      <c r="P276" s="46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364"/>
      <c r="R276" s="364"/>
      <c r="S276" s="364"/>
      <c r="T276" s="365"/>
      <c r="U276" s="39" t="s">
        <v>46</v>
      </c>
      <c r="V276" s="39" t="s">
        <v>46</v>
      </c>
      <c r="W276" s="40" t="s">
        <v>39</v>
      </c>
      <c r="X276" s="58"/>
      <c r="Y276" s="55" t="str">
        <f t="shared" si="18"/>
        <v/>
      </c>
      <c r="Z276" s="41" t="str">
        <f t="shared" si="23"/>
        <v/>
      </c>
      <c r="AA276" s="68" t="s">
        <v>46</v>
      </c>
      <c r="AB276" s="69" t="s">
        <v>46</v>
      </c>
      <c r="AC276" s="283" t="s">
        <v>371</v>
      </c>
      <c r="AG276" s="81"/>
      <c r="AJ276" s="87" t="s">
        <v>120</v>
      </c>
      <c r="AK276" s="87">
        <v>14</v>
      </c>
      <c r="BB276" s="284" t="s">
        <v>117</v>
      </c>
      <c r="BM276" s="81">
        <f t="shared" si="19"/>
        <v>0</v>
      </c>
      <c r="BN276" s="81" t="str">
        <f t="shared" si="20"/>
        <v>0</v>
      </c>
      <c r="BO276" s="81">
        <f t="shared" si="21"/>
        <v>0</v>
      </c>
      <c r="BP276" s="81" t="str">
        <f t="shared" si="22"/>
        <v>0</v>
      </c>
    </row>
    <row r="277" spans="1:68" ht="27" customHeight="1" x14ac:dyDescent="0.25">
      <c r="A277" s="63" t="s">
        <v>385</v>
      </c>
      <c r="B277" s="63" t="s">
        <v>386</v>
      </c>
      <c r="C277" s="36">
        <v>4301135304</v>
      </c>
      <c r="D277" s="362">
        <v>4640242181240</v>
      </c>
      <c r="E277" s="362"/>
      <c r="F277" s="62">
        <v>0.3</v>
      </c>
      <c r="G277" s="37">
        <v>9</v>
      </c>
      <c r="H277" s="62">
        <v>2.7</v>
      </c>
      <c r="I277" s="62">
        <v>2.88</v>
      </c>
      <c r="J277" s="37">
        <v>126</v>
      </c>
      <c r="K277" s="37" t="s">
        <v>118</v>
      </c>
      <c r="L277" s="37" t="s">
        <v>88</v>
      </c>
      <c r="M277" s="38" t="s">
        <v>86</v>
      </c>
      <c r="N277" s="38"/>
      <c r="O277" s="37">
        <v>180</v>
      </c>
      <c r="P277" s="468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364"/>
      <c r="R277" s="364"/>
      <c r="S277" s="364"/>
      <c r="T277" s="365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 t="shared" si="23"/>
        <v>0</v>
      </c>
      <c r="AA277" s="68" t="s">
        <v>46</v>
      </c>
      <c r="AB277" s="69" t="s">
        <v>46</v>
      </c>
      <c r="AC277" s="285" t="s">
        <v>371</v>
      </c>
      <c r="AG277" s="81"/>
      <c r="AJ277" s="87" t="s">
        <v>89</v>
      </c>
      <c r="AK277" s="87">
        <v>1</v>
      </c>
      <c r="BB277" s="286" t="s">
        <v>117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ht="27" customHeight="1" x14ac:dyDescent="0.25">
      <c r="A278" s="63" t="s">
        <v>387</v>
      </c>
      <c r="B278" s="63" t="s">
        <v>388</v>
      </c>
      <c r="C278" s="36">
        <v>4301135610</v>
      </c>
      <c r="D278" s="362">
        <v>4640242181318</v>
      </c>
      <c r="E278" s="362"/>
      <c r="F278" s="62">
        <v>0.3</v>
      </c>
      <c r="G278" s="37">
        <v>9</v>
      </c>
      <c r="H278" s="62">
        <v>2.7</v>
      </c>
      <c r="I278" s="62">
        <v>2.988</v>
      </c>
      <c r="J278" s="37">
        <v>126</v>
      </c>
      <c r="K278" s="37" t="s">
        <v>118</v>
      </c>
      <c r="L278" s="37" t="s">
        <v>88</v>
      </c>
      <c r="M278" s="38" t="s">
        <v>86</v>
      </c>
      <c r="N278" s="38"/>
      <c r="O278" s="37">
        <v>180</v>
      </c>
      <c r="P278" s="469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364"/>
      <c r="R278" s="364"/>
      <c r="S278" s="364"/>
      <c r="T278" s="365"/>
      <c r="U278" s="39" t="s">
        <v>46</v>
      </c>
      <c r="V278" s="39" t="s">
        <v>46</v>
      </c>
      <c r="W278" s="40" t="s">
        <v>39</v>
      </c>
      <c r="X278" s="58">
        <v>0</v>
      </c>
      <c r="Y278" s="55">
        <f t="shared" si="18"/>
        <v>0</v>
      </c>
      <c r="Z278" s="41">
        <f t="shared" si="23"/>
        <v>0</v>
      </c>
      <c r="AA278" s="68" t="s">
        <v>46</v>
      </c>
      <c r="AB278" s="69" t="s">
        <v>46</v>
      </c>
      <c r="AC278" s="287" t="s">
        <v>374</v>
      </c>
      <c r="AG278" s="81"/>
      <c r="AJ278" s="87" t="s">
        <v>89</v>
      </c>
      <c r="AK278" s="87">
        <v>1</v>
      </c>
      <c r="BB278" s="288" t="s">
        <v>117</v>
      </c>
      <c r="BM278" s="81">
        <f t="shared" si="19"/>
        <v>0</v>
      </c>
      <c r="BN278" s="81">
        <f t="shared" si="20"/>
        <v>0</v>
      </c>
      <c r="BO278" s="81">
        <f t="shared" si="21"/>
        <v>0</v>
      </c>
      <c r="BP278" s="81">
        <f t="shared" si="22"/>
        <v>0</v>
      </c>
    </row>
    <row r="279" spans="1:68" ht="27" customHeight="1" x14ac:dyDescent="0.25">
      <c r="A279" s="63" t="s">
        <v>389</v>
      </c>
      <c r="B279" s="63" t="s">
        <v>390</v>
      </c>
      <c r="C279" s="36">
        <v>4301135306</v>
      </c>
      <c r="D279" s="362">
        <v>4640242181387</v>
      </c>
      <c r="E279" s="362"/>
      <c r="F279" s="62">
        <v>0.3</v>
      </c>
      <c r="G279" s="37">
        <v>9</v>
      </c>
      <c r="H279" s="62">
        <v>2.7</v>
      </c>
      <c r="I279" s="62">
        <v>2.8450000000000002</v>
      </c>
      <c r="J279" s="37">
        <v>234</v>
      </c>
      <c r="K279" s="37" t="s">
        <v>163</v>
      </c>
      <c r="L279" s="37" t="s">
        <v>88</v>
      </c>
      <c r="M279" s="38" t="s">
        <v>86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364"/>
      <c r="R279" s="364"/>
      <c r="S279" s="364"/>
      <c r="T279" s="365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si="18"/>
        <v>0</v>
      </c>
      <c r="Z279" s="41">
        <f>IFERROR(IF(X279="","",X279*0.00502),"")</f>
        <v>0</v>
      </c>
      <c r="AA279" s="68" t="s">
        <v>46</v>
      </c>
      <c r="AB279" s="69" t="s">
        <v>46</v>
      </c>
      <c r="AC279" s="289" t="s">
        <v>371</v>
      </c>
      <c r="AG279" s="81"/>
      <c r="AJ279" s="87" t="s">
        <v>89</v>
      </c>
      <c r="AK279" s="87">
        <v>1</v>
      </c>
      <c r="BB279" s="290" t="s">
        <v>117</v>
      </c>
      <c r="BM279" s="81">
        <f t="shared" si="19"/>
        <v>0</v>
      </c>
      <c r="BN279" s="81">
        <f t="shared" si="20"/>
        <v>0</v>
      </c>
      <c r="BO279" s="81">
        <f t="shared" si="21"/>
        <v>0</v>
      </c>
      <c r="BP279" s="81">
        <f t="shared" si="22"/>
        <v>0</v>
      </c>
    </row>
    <row r="280" spans="1:68" x14ac:dyDescent="0.2">
      <c r="A280" s="376"/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7"/>
      <c r="P280" s="373" t="s">
        <v>40</v>
      </c>
      <c r="Q280" s="374"/>
      <c r="R280" s="374"/>
      <c r="S280" s="374"/>
      <c r="T280" s="374"/>
      <c r="U280" s="374"/>
      <c r="V280" s="375"/>
      <c r="W280" s="42" t="s">
        <v>39</v>
      </c>
      <c r="X280" s="43">
        <f>IFERROR(SUM(X270:X279),"0")</f>
        <v>0</v>
      </c>
      <c r="Y280" s="43">
        <f>IFERROR(SUM(Y270:Y279),"0")</f>
        <v>0</v>
      </c>
      <c r="Z280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x14ac:dyDescent="0.2">
      <c r="A281" s="376"/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7"/>
      <c r="P281" s="373" t="s">
        <v>40</v>
      </c>
      <c r="Q281" s="374"/>
      <c r="R281" s="374"/>
      <c r="S281" s="374"/>
      <c r="T281" s="374"/>
      <c r="U281" s="374"/>
      <c r="V281" s="375"/>
      <c r="W281" s="42" t="s">
        <v>0</v>
      </c>
      <c r="X281" s="43">
        <f>IFERROR(SUMPRODUCT(X270:X279*H270:H279),"0")</f>
        <v>0</v>
      </c>
      <c r="Y281" s="43" t="str">
        <f>IFERROR(SUMPRODUCT(Y270:Y279*H270:H279),"0")</f>
        <v>0</v>
      </c>
      <c r="Z281" s="42"/>
      <c r="AA281" s="67"/>
      <c r="AB281" s="67"/>
      <c r="AC281" s="67"/>
    </row>
    <row r="282" spans="1:68" ht="15" customHeight="1" x14ac:dyDescent="0.2">
      <c r="A282" s="376"/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474"/>
      <c r="P282" s="471" t="s">
        <v>33</v>
      </c>
      <c r="Q282" s="472"/>
      <c r="R282" s="472"/>
      <c r="S282" s="472"/>
      <c r="T282" s="472"/>
      <c r="U282" s="472"/>
      <c r="V282" s="473"/>
      <c r="W282" s="42" t="s">
        <v>0</v>
      </c>
      <c r="X282" s="43">
        <f>IFERROR(X31+X37+X44+X50+X58+X63+X68+X74+X80+X85+X91+X101+X107+X120+X124+X128+X136+X142+X148+X154+X160+X165+X170+X175+X182+X187+X196+X202+X208+X214+X219+X224+X230+X236+X240+X246+X250+X258+X262+X268+X281,"0")</f>
        <v>2914.3199999999997</v>
      </c>
      <c r="Y282" s="43">
        <f>IFERROR(Y31+Y37+Y44+Y50+Y58+Y63+Y68+Y74+Y80+Y85+Y91+Y101+Y107+Y120+Y124+Y128+Y136+Y142+Y148+Y154+Y160+Y165+Y170+Y175+Y182+Y187+Y196+Y202+Y208+Y214+Y219+Y224+Y230+Y236+Y240+Y246+Y250+Y258+Y262+Y268+Y281,"0")</f>
        <v>2053.1999999999998</v>
      </c>
      <c r="Z282" s="42"/>
      <c r="AA282" s="67"/>
      <c r="AB282" s="67"/>
      <c r="AC282" s="67"/>
    </row>
    <row r="283" spans="1:68" x14ac:dyDescent="0.2">
      <c r="A283" s="376"/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474"/>
      <c r="P283" s="471" t="s">
        <v>34</v>
      </c>
      <c r="Q283" s="472"/>
      <c r="R283" s="472"/>
      <c r="S283" s="472"/>
      <c r="T283" s="472"/>
      <c r="U283" s="472"/>
      <c r="V283" s="473"/>
      <c r="W283" s="42" t="s">
        <v>0</v>
      </c>
      <c r="X283" s="43">
        <f>IFERROR(SUM(BM22:BM279),"0")</f>
        <v>3689.2988000000005</v>
      </c>
      <c r="Y283" s="43">
        <f>IFERROR(SUM(BN22:BN279),"0")</f>
        <v>3689.2988000000005</v>
      </c>
      <c r="Z283" s="42"/>
      <c r="AA283" s="67"/>
      <c r="AB283" s="67"/>
      <c r="AC283" s="67"/>
    </row>
    <row r="284" spans="1:68" x14ac:dyDescent="0.2">
      <c r="A284" s="376"/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474"/>
      <c r="P284" s="471" t="s">
        <v>35</v>
      </c>
      <c r="Q284" s="472"/>
      <c r="R284" s="472"/>
      <c r="S284" s="472"/>
      <c r="T284" s="472"/>
      <c r="U284" s="472"/>
      <c r="V284" s="473"/>
      <c r="W284" s="42" t="s">
        <v>20</v>
      </c>
      <c r="X284" s="44">
        <f>ROUNDUP(SUM(BO22:BO279),0)</f>
        <v>15</v>
      </c>
      <c r="Y284" s="44">
        <f>ROUNDUP(SUM(BP22:BP279),0)</f>
        <v>15</v>
      </c>
      <c r="Z284" s="42"/>
      <c r="AA284" s="67"/>
      <c r="AB284" s="67"/>
      <c r="AC284" s="67"/>
    </row>
    <row r="285" spans="1:68" x14ac:dyDescent="0.2">
      <c r="A285" s="376"/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474"/>
      <c r="P285" s="471" t="s">
        <v>36</v>
      </c>
      <c r="Q285" s="472"/>
      <c r="R285" s="472"/>
      <c r="S285" s="472"/>
      <c r="T285" s="472"/>
      <c r="U285" s="472"/>
      <c r="V285" s="473"/>
      <c r="W285" s="42" t="s">
        <v>0</v>
      </c>
      <c r="X285" s="43">
        <f>GrossWeightTotal+PalletQtyTotal*25</f>
        <v>4064.2988000000005</v>
      </c>
      <c r="Y285" s="43">
        <f>GrossWeightTotalR+PalletQtyTotalR*25</f>
        <v>4064.2988000000005</v>
      </c>
      <c r="Z285" s="42"/>
      <c r="AA285" s="67"/>
      <c r="AB285" s="67"/>
      <c r="AC285" s="67"/>
    </row>
    <row r="286" spans="1:68" x14ac:dyDescent="0.2">
      <c r="A286" s="376"/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474"/>
      <c r="P286" s="471" t="s">
        <v>37</v>
      </c>
      <c r="Q286" s="472"/>
      <c r="R286" s="472"/>
      <c r="S286" s="472"/>
      <c r="T286" s="472"/>
      <c r="U286" s="472"/>
      <c r="V286" s="473"/>
      <c r="W286" s="42" t="s">
        <v>20</v>
      </c>
      <c r="X286" s="43">
        <f>IFERROR(X30+X36+X43+X49+X57+X62+X67+X73+X79+X84+X90+X100+X106+X119+X123+X127+X135+X141+X147+X153+X159+X164+X169+X174+X181+X186+X195+X201+X207+X213+X218+X223+X229+X235+X239+X245+X249+X257+X261+X267+X280,"0")</f>
        <v>1667</v>
      </c>
      <c r="Y286" s="43">
        <f>IFERROR(Y30+Y36+Y43+Y49+Y57+Y62+Y67+Y73+Y79+Y84+Y90+Y100+Y106+Y119+Y123+Y127+Y135+Y141+Y147+Y153+Y159+Y164+Y169+Y174+Y181+Y186+Y195+Y201+Y207+Y213+Y218+Y223+Y229+Y235+Y239+Y245+Y249+Y257+Y261+Y267+Y280,"0")</f>
        <v>1667</v>
      </c>
      <c r="Z286" s="42"/>
      <c r="AA286" s="67"/>
      <c r="AB286" s="67"/>
      <c r="AC286" s="67"/>
    </row>
    <row r="287" spans="1:68" ht="14.25" x14ac:dyDescent="0.2">
      <c r="A287" s="376"/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474"/>
      <c r="P287" s="471" t="s">
        <v>38</v>
      </c>
      <c r="Q287" s="472"/>
      <c r="R287" s="472"/>
      <c r="S287" s="472"/>
      <c r="T287" s="472"/>
      <c r="U287" s="472"/>
      <c r="V287" s="473"/>
      <c r="W287" s="45" t="s">
        <v>52</v>
      </c>
      <c r="X287" s="42"/>
      <c r="Y287" s="42"/>
      <c r="Z287" s="42">
        <f>IFERROR(Z30+Z36+Z43+Z49+Z57+Z62+Z67+Z73+Z79+Z84+Z90+Z100+Z106+Z119+Z123+Z127+Z135+Z141+Z147+Z153+Z159+Z164+Z169+Z174+Z181+Z186+Z195+Z201+Z207+Z213+Z218+Z223+Z229+Z235+Z239+Z245+Z249+Z257+Z261+Z267+Z280,"0")</f>
        <v>18.930479999999999</v>
      </c>
      <c r="AA287" s="67"/>
      <c r="AB287" s="67"/>
      <c r="AC287" s="67"/>
    </row>
    <row r="288" spans="1:68" ht="13.5" thickBot="1" x14ac:dyDescent="0.25"/>
    <row r="289" spans="1:32" ht="27" thickTop="1" thickBot="1" x14ac:dyDescent="0.25">
      <c r="A289" s="46" t="s">
        <v>9</v>
      </c>
      <c r="B289" s="475" t="s">
        <v>81</v>
      </c>
      <c r="C289" s="475" t="s">
        <v>81</v>
      </c>
      <c r="D289" s="475" t="s">
        <v>45</v>
      </c>
      <c r="E289" s="475" t="s">
        <v>45</v>
      </c>
      <c r="F289" s="475" t="s">
        <v>45</v>
      </c>
      <c r="G289" s="475" t="s">
        <v>45</v>
      </c>
      <c r="H289" s="475" t="s">
        <v>45</v>
      </c>
      <c r="I289" s="475" t="s">
        <v>45</v>
      </c>
      <c r="J289" s="475" t="s">
        <v>45</v>
      </c>
      <c r="K289" s="475" t="s">
        <v>45</v>
      </c>
      <c r="L289" s="475" t="s">
        <v>45</v>
      </c>
      <c r="M289" s="475" t="s">
        <v>45</v>
      </c>
      <c r="N289" s="476"/>
      <c r="O289" s="475" t="s">
        <v>45</v>
      </c>
      <c r="P289" s="475" t="s">
        <v>45</v>
      </c>
      <c r="Q289" s="475" t="s">
        <v>45</v>
      </c>
      <c r="R289" s="475" t="s">
        <v>45</v>
      </c>
      <c r="S289" s="475" t="s">
        <v>45</v>
      </c>
      <c r="T289" s="475" t="s">
        <v>45</v>
      </c>
      <c r="U289" s="475" t="s">
        <v>45</v>
      </c>
      <c r="V289" s="475" t="s">
        <v>277</v>
      </c>
      <c r="W289" s="475" t="s">
        <v>277</v>
      </c>
      <c r="X289" s="88" t="s">
        <v>288</v>
      </c>
      <c r="Y289" s="475" t="s">
        <v>302</v>
      </c>
      <c r="Z289" s="475" t="s">
        <v>302</v>
      </c>
      <c r="AA289" s="475" t="s">
        <v>302</v>
      </c>
      <c r="AB289" s="475" t="s">
        <v>302</v>
      </c>
      <c r="AC289" s="88" t="s">
        <v>331</v>
      </c>
      <c r="AD289" s="88" t="s">
        <v>336</v>
      </c>
      <c r="AE289" s="88" t="s">
        <v>344</v>
      </c>
      <c r="AF289" s="88" t="s">
        <v>351</v>
      </c>
    </row>
    <row r="290" spans="1:32" ht="14.25" customHeight="1" thickTop="1" x14ac:dyDescent="0.2">
      <c r="A290" s="477" t="s">
        <v>10</v>
      </c>
      <c r="B290" s="475" t="s">
        <v>81</v>
      </c>
      <c r="C290" s="475" t="s">
        <v>106</v>
      </c>
      <c r="D290" s="475" t="s">
        <v>112</v>
      </c>
      <c r="E290" s="475" t="s">
        <v>123</v>
      </c>
      <c r="F290" s="475" t="s">
        <v>130</v>
      </c>
      <c r="G290" s="475" t="s">
        <v>141</v>
      </c>
      <c r="H290" s="475" t="s">
        <v>159</v>
      </c>
      <c r="I290" s="475" t="s">
        <v>166</v>
      </c>
      <c r="J290" s="475" t="s">
        <v>170</v>
      </c>
      <c r="K290" s="475" t="s">
        <v>178</v>
      </c>
      <c r="L290" s="475" t="s">
        <v>193</v>
      </c>
      <c r="M290" s="475" t="s">
        <v>200</v>
      </c>
      <c r="N290" s="1"/>
      <c r="O290" s="475" t="s">
        <v>230</v>
      </c>
      <c r="P290" s="475" t="s">
        <v>248</v>
      </c>
      <c r="Q290" s="475" t="s">
        <v>254</v>
      </c>
      <c r="R290" s="475" t="s">
        <v>261</v>
      </c>
      <c r="S290" s="475" t="s">
        <v>266</v>
      </c>
      <c r="T290" s="475" t="s">
        <v>270</v>
      </c>
      <c r="U290" s="475" t="s">
        <v>273</v>
      </c>
      <c r="V290" s="475" t="s">
        <v>278</v>
      </c>
      <c r="W290" s="475" t="s">
        <v>285</v>
      </c>
      <c r="X290" s="475" t="s">
        <v>289</v>
      </c>
      <c r="Y290" s="475" t="s">
        <v>303</v>
      </c>
      <c r="Z290" s="475" t="s">
        <v>316</v>
      </c>
      <c r="AA290" s="475" t="s">
        <v>323</v>
      </c>
      <c r="AB290" s="475" t="s">
        <v>327</v>
      </c>
      <c r="AC290" s="475" t="s">
        <v>332</v>
      </c>
      <c r="AD290" s="475" t="s">
        <v>337</v>
      </c>
      <c r="AE290" s="475" t="s">
        <v>344</v>
      </c>
      <c r="AF290" s="475" t="s">
        <v>351</v>
      </c>
    </row>
    <row r="291" spans="1:32" ht="13.5" thickBot="1" x14ac:dyDescent="0.25">
      <c r="A291" s="478"/>
      <c r="B291" s="475"/>
      <c r="C291" s="475"/>
      <c r="D291" s="475"/>
      <c r="E291" s="475"/>
      <c r="F291" s="475"/>
      <c r="G291" s="475"/>
      <c r="H291" s="475"/>
      <c r="I291" s="475"/>
      <c r="J291" s="475"/>
      <c r="K291" s="475"/>
      <c r="L291" s="475"/>
      <c r="M291" s="475"/>
      <c r="N291" s="1"/>
      <c r="O291" s="475"/>
      <c r="P291" s="475"/>
      <c r="Q291" s="475"/>
      <c r="R291" s="475"/>
      <c r="S291" s="475"/>
      <c r="T291" s="475"/>
      <c r="U291" s="475"/>
      <c r="V291" s="475"/>
      <c r="W291" s="475"/>
      <c r="X291" s="475"/>
      <c r="Y291" s="475"/>
      <c r="Z291" s="475"/>
      <c r="AA291" s="475"/>
      <c r="AB291" s="475"/>
      <c r="AC291" s="475"/>
      <c r="AD291" s="475"/>
      <c r="AE291" s="475"/>
      <c r="AF291" s="475"/>
    </row>
    <row r="292" spans="1:32" ht="18" thickTop="1" thickBot="1" x14ac:dyDescent="0.25">
      <c r="A292" s="46" t="s">
        <v>13</v>
      </c>
      <c r="B292" s="52">
        <f>IFERROR(X22*H22,"0")+IFERROR(X23*H23,"0")+IFERROR(X24*H24,"0")+IFERROR(X25*H25,"0")+IFERROR(X26*H26,"0")+IFERROR(X27*H27,"0")+IFERROR(X28*H28,"0")+IFERROR(X29*H29,"0")</f>
        <v>0</v>
      </c>
      <c r="C292" s="52">
        <f>IFERROR(X34*H34,"0")+IFERROR(X35*H35,"0")</f>
        <v>0</v>
      </c>
      <c r="D292" s="52">
        <f>IFERROR(X41*H41,"0")+IFERROR(X42*H42,"0")</f>
        <v>1050</v>
      </c>
      <c r="E292" s="52">
        <f>IFERROR(X47*H47,"0")+IFERROR(X48*H48,"0")</f>
        <v>0</v>
      </c>
      <c r="F292" s="52">
        <f>IFERROR(X53*H53,"0")+IFERROR(X54*H54,"0")+IFERROR(X55*H55,"0")+IFERROR(X56*H56,"0")</f>
        <v>0</v>
      </c>
      <c r="G292" s="52">
        <f>IFERROR(X61*H61,"0")+IFERROR(X65*H65,"0")+IFERROR(X66*H66,"0")+IFERROR(X70*H70,"0")+IFERROR(X71*H71,"0")+IFERROR(X72*H72,"0")</f>
        <v>700.8</v>
      </c>
      <c r="H292" s="52">
        <f>IFERROR(X77*H77,"0")+IFERROR(X78*H78,"0")</f>
        <v>0</v>
      </c>
      <c r="I292" s="52">
        <f>IFERROR(X83*H83,"0")</f>
        <v>0</v>
      </c>
      <c r="J292" s="52">
        <f>IFERROR(X88*H88,"0")+IFERROR(X89*H89,"0")</f>
        <v>302.40000000000003</v>
      </c>
      <c r="K292" s="52">
        <f>IFERROR(X94*H94,"0")+IFERROR(X95*H95,"0")+IFERROR(X96*H96,"0")+IFERROR(X97*H97,"0")+IFERROR(X98*H98,"0")+IFERROR(X99*H99,"0")</f>
        <v>861.11999999999989</v>
      </c>
      <c r="L292" s="52">
        <f>IFERROR(X104*H104,"0")+IFERROR(X105*H105,"0")</f>
        <v>0</v>
      </c>
      <c r="M292" s="52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0</v>
      </c>
      <c r="N292" s="1"/>
      <c r="O292" s="52">
        <f>IFERROR(X131*H131,"0")+IFERROR(X132*H132,"0")+IFERROR(X133*H133,"0")+IFERROR(X134*H134,"0")+IFERROR(X138*H138,"0")+IFERROR(X139*H139,"0")+IFERROR(X140*H140,"0")</f>
        <v>0</v>
      </c>
      <c r="P292" s="52">
        <f>IFERROR(X145*H145,"0")+IFERROR(X146*H146,"0")</f>
        <v>0</v>
      </c>
      <c r="Q292" s="52">
        <f>IFERROR(X151*H151,"0")+IFERROR(X152*H152,"0")</f>
        <v>0</v>
      </c>
      <c r="R292" s="52">
        <f>IFERROR(X157*H157,"0")+IFERROR(X158*H158,"0")</f>
        <v>0</v>
      </c>
      <c r="S292" s="52">
        <f>IFERROR(X163*H163,"0")</f>
        <v>0</v>
      </c>
      <c r="T292" s="52">
        <f>IFERROR(X168*H168,"0")</f>
        <v>0</v>
      </c>
      <c r="U292" s="52">
        <f>IFERROR(X173*H173,"0")</f>
        <v>0</v>
      </c>
      <c r="V292" s="52">
        <f>IFERROR(X179*H179,"0")+IFERROR(X180*H180,"0")</f>
        <v>0</v>
      </c>
      <c r="W292" s="52">
        <f>IFERROR(X185*H185,"0")</f>
        <v>0</v>
      </c>
      <c r="X292" s="52">
        <f>IFERROR(X191*H191,"0")+IFERROR(X192*H192,"0")+IFERROR(X193*H193,"0")+IFERROR(X194*H194,"0")</f>
        <v>0</v>
      </c>
      <c r="Y292" s="52">
        <f>IFERROR(X200*H200,"0")+IFERROR(X204*H204,"0")+IFERROR(X205*H205,"0")+IFERROR(X206*H206,"0")</f>
        <v>0</v>
      </c>
      <c r="Z292" s="52">
        <f>IFERROR(X211*H211,"0")+IFERROR(X212*H212,"0")</f>
        <v>0</v>
      </c>
      <c r="AA292" s="52">
        <f>IFERROR(X217*H217,"0")</f>
        <v>0</v>
      </c>
      <c r="AB292" s="52">
        <f>IFERROR(X222*H222,"0")</f>
        <v>0</v>
      </c>
      <c r="AC292" s="52">
        <f>IFERROR(X228*H228,"0")</f>
        <v>0</v>
      </c>
      <c r="AD292" s="52">
        <f>IFERROR(X234*H234,"0")+IFERROR(X238*H238,"0")</f>
        <v>0</v>
      </c>
      <c r="AE292" s="52">
        <f>IFERROR(X244*H244,"0")+IFERROR(X248*H248,"0")</f>
        <v>0</v>
      </c>
      <c r="AF292" s="52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70" t="s">
        <v>62</v>
      </c>
      <c r="B294" s="70" t="s">
        <v>63</v>
      </c>
      <c r="C294" s="70" t="s">
        <v>65</v>
      </c>
    </row>
    <row r="295" spans="1:32" x14ac:dyDescent="0.2">
      <c r="A295" s="71">
        <f>SUMPRODUCT(--(BB:BB="ЗПФ"),--(W:W="кор"),H:H,Y:Y)+SUMPRODUCT(--(BB:BB="ЗПФ"),--(W:W="кг"),Y:Y)</f>
        <v>0</v>
      </c>
      <c r="B295" s="72">
        <f>SUMPRODUCT(--(BB:BB="ПГП"),--(W:W="кор"),H:H,Y:Y)+SUMPRODUCT(--(BB:BB="ПГП"),--(W:W="кг"),Y:Y)</f>
        <v>2914.3199999999997</v>
      </c>
      <c r="C295" s="72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13"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3" t="s">
        <v>392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394</v>
      </c>
      <c r="D6" s="53" t="s">
        <v>395</v>
      </c>
      <c r="E6" s="53" t="s">
        <v>46</v>
      </c>
    </row>
    <row r="8" spans="2:8" x14ac:dyDescent="0.2">
      <c r="B8" s="53" t="s">
        <v>80</v>
      </c>
      <c r="C8" s="53" t="s">
        <v>394</v>
      </c>
      <c r="D8" s="53" t="s">
        <v>46</v>
      </c>
      <c r="E8" s="53" t="s">
        <v>46</v>
      </c>
    </row>
    <row r="10" spans="2:8" x14ac:dyDescent="0.2">
      <c r="B10" s="53" t="s">
        <v>396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404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405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406</v>
      </c>
      <c r="C20" s="53" t="s">
        <v>46</v>
      </c>
      <c r="D20" s="53" t="s">
        <v>46</v>
      </c>
      <c r="E20" s="53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2021-11-12T12:13:19Z</dcterms:created>
  <dcterms:modified xsi:type="dcterms:W3CDTF">2026-10-22T10:50:54Z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