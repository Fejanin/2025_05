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"/>
    </mc:Choice>
  </mc:AlternateContent>
  <xr:revisionPtr revIDLastSave="0" documentId="13_ncr:1_{19E5A3FB-9D06-4765-972A-91E79AD275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6" i="1" l="1"/>
  <c r="AH88" i="1"/>
  <c r="AH86" i="1"/>
  <c r="AH42" i="1"/>
  <c r="AH28" i="1"/>
  <c r="R7" i="1"/>
  <c r="R8" i="1"/>
  <c r="R9" i="1"/>
  <c r="W9" i="1" s="1"/>
  <c r="R10" i="1"/>
  <c r="S10" i="1" s="1"/>
  <c r="AH10" i="1" s="1"/>
  <c r="R11" i="1"/>
  <c r="S11" i="1" s="1"/>
  <c r="AH11" i="1" s="1"/>
  <c r="R12" i="1"/>
  <c r="W12" i="1" s="1"/>
  <c r="R13" i="1"/>
  <c r="R14" i="1"/>
  <c r="S14" i="1" s="1"/>
  <c r="R15" i="1"/>
  <c r="R16" i="1"/>
  <c r="R17" i="1"/>
  <c r="R18" i="1"/>
  <c r="R19" i="1"/>
  <c r="W19" i="1" s="1"/>
  <c r="R20" i="1"/>
  <c r="S20" i="1" s="1"/>
  <c r="R21" i="1"/>
  <c r="AH21" i="1" s="1"/>
  <c r="R22" i="1"/>
  <c r="R23" i="1"/>
  <c r="AH23" i="1" s="1"/>
  <c r="R24" i="1"/>
  <c r="R25" i="1"/>
  <c r="AH25" i="1" s="1"/>
  <c r="R26" i="1"/>
  <c r="R27" i="1"/>
  <c r="S27" i="1" s="1"/>
  <c r="AH27" i="1" s="1"/>
  <c r="R28" i="1"/>
  <c r="R29" i="1"/>
  <c r="W29" i="1" s="1"/>
  <c r="R30" i="1"/>
  <c r="R31" i="1"/>
  <c r="R32" i="1"/>
  <c r="R33" i="1"/>
  <c r="R34" i="1"/>
  <c r="R35" i="1"/>
  <c r="R36" i="1"/>
  <c r="R37" i="1"/>
  <c r="R38" i="1"/>
  <c r="W38" i="1" s="1"/>
  <c r="R39" i="1"/>
  <c r="AH39" i="1" s="1"/>
  <c r="R40" i="1"/>
  <c r="S40" i="1" s="1"/>
  <c r="AH40" i="1" s="1"/>
  <c r="R41" i="1"/>
  <c r="S41" i="1" s="1"/>
  <c r="AH41" i="1" s="1"/>
  <c r="R42" i="1"/>
  <c r="R43" i="1"/>
  <c r="AH43" i="1" s="1"/>
  <c r="R44" i="1"/>
  <c r="R45" i="1"/>
  <c r="S45" i="1" s="1"/>
  <c r="AH45" i="1" s="1"/>
  <c r="R46" i="1"/>
  <c r="S46" i="1" s="1"/>
  <c r="AH46" i="1" s="1"/>
  <c r="R47" i="1"/>
  <c r="AH47" i="1" s="1"/>
  <c r="R48" i="1"/>
  <c r="S48" i="1" s="1"/>
  <c r="AH48" i="1" s="1"/>
  <c r="R49" i="1"/>
  <c r="S49" i="1" s="1"/>
  <c r="AH49" i="1" s="1"/>
  <c r="R50" i="1"/>
  <c r="W50" i="1" s="1"/>
  <c r="R51" i="1"/>
  <c r="R52" i="1"/>
  <c r="W52" i="1" s="1"/>
  <c r="R53" i="1"/>
  <c r="R54" i="1"/>
  <c r="S54" i="1" s="1"/>
  <c r="AH54" i="1" s="1"/>
  <c r="R55" i="1"/>
  <c r="W55" i="1" s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W69" i="1" s="1"/>
  <c r="R70" i="1"/>
  <c r="S70" i="1" s="1"/>
  <c r="AH70" i="1" s="1"/>
  <c r="R71" i="1"/>
  <c r="AH71" i="1" s="1"/>
  <c r="R72" i="1"/>
  <c r="W72" i="1" s="1"/>
  <c r="R73" i="1"/>
  <c r="W73" i="1" s="1"/>
  <c r="R74" i="1"/>
  <c r="W74" i="1" s="1"/>
  <c r="R75" i="1"/>
  <c r="R76" i="1"/>
  <c r="R77" i="1"/>
  <c r="R78" i="1"/>
  <c r="R79" i="1"/>
  <c r="R80" i="1"/>
  <c r="R81" i="1"/>
  <c r="R82" i="1"/>
  <c r="W82" i="1" s="1"/>
  <c r="R83" i="1"/>
  <c r="AH83" i="1" s="1"/>
  <c r="R84" i="1"/>
  <c r="S84" i="1" s="1"/>
  <c r="AH84" i="1" s="1"/>
  <c r="R85" i="1"/>
  <c r="AH85" i="1" s="1"/>
  <c r="R86" i="1"/>
  <c r="R87" i="1"/>
  <c r="AH87" i="1" s="1"/>
  <c r="R88" i="1"/>
  <c r="R89" i="1"/>
  <c r="S89" i="1" s="1"/>
  <c r="AH89" i="1" s="1"/>
  <c r="R90" i="1"/>
  <c r="W90" i="1" s="1"/>
  <c r="R91" i="1"/>
  <c r="X91" i="1" s="1"/>
  <c r="R92" i="1"/>
  <c r="X92" i="1" s="1"/>
  <c r="R93" i="1"/>
  <c r="R94" i="1"/>
  <c r="X94" i="1" s="1"/>
  <c r="R95" i="1"/>
  <c r="S95" i="1" s="1"/>
  <c r="R96" i="1"/>
  <c r="X96" i="1" s="1"/>
  <c r="R97" i="1"/>
  <c r="R6" i="1"/>
  <c r="V5" i="1"/>
  <c r="L97" i="1"/>
  <c r="L96" i="1"/>
  <c r="L95" i="1"/>
  <c r="L94" i="1"/>
  <c r="L93" i="1"/>
  <c r="AH92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AH44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AH26" i="1"/>
  <c r="L26" i="1"/>
  <c r="L25" i="1"/>
  <c r="L24" i="1"/>
  <c r="L23" i="1"/>
  <c r="AH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24" i="1" l="1"/>
  <c r="AH24" i="1" s="1"/>
  <c r="S53" i="1"/>
  <c r="AH53" i="1" s="1"/>
  <c r="AH20" i="1"/>
  <c r="S94" i="1"/>
  <c r="AH94" i="1" s="1"/>
  <c r="X97" i="1"/>
  <c r="AH97" i="1"/>
  <c r="X95" i="1"/>
  <c r="AH95" i="1"/>
  <c r="X93" i="1"/>
  <c r="S93" i="1"/>
  <c r="AH93" i="1" s="1"/>
  <c r="W81" i="1"/>
  <c r="W35" i="1"/>
  <c r="S15" i="1"/>
  <c r="AH15" i="1" s="1"/>
  <c r="AH33" i="1"/>
  <c r="AH37" i="1"/>
  <c r="AH51" i="1"/>
  <c r="AH57" i="1"/>
  <c r="AH61" i="1"/>
  <c r="S65" i="1"/>
  <c r="AH65" i="1" s="1"/>
  <c r="S77" i="1"/>
  <c r="AH77" i="1" s="1"/>
  <c r="AH81" i="1"/>
  <c r="S91" i="1"/>
  <c r="AH91" i="1" s="1"/>
  <c r="S7" i="1"/>
  <c r="AH7" i="1" s="1"/>
  <c r="S13" i="1"/>
  <c r="AH13" i="1" s="1"/>
  <c r="AH17" i="1"/>
  <c r="AH31" i="1"/>
  <c r="AH35" i="1"/>
  <c r="S59" i="1"/>
  <c r="AH59" i="1" s="1"/>
  <c r="S63" i="1"/>
  <c r="AH63" i="1" s="1"/>
  <c r="S67" i="1"/>
  <c r="AH67" i="1" s="1"/>
  <c r="S75" i="1"/>
  <c r="AH75" i="1" s="1"/>
  <c r="S79" i="1"/>
  <c r="AH79" i="1" s="1"/>
  <c r="W88" i="1"/>
  <c r="W86" i="1"/>
  <c r="W84" i="1"/>
  <c r="W78" i="1"/>
  <c r="W70" i="1"/>
  <c r="W54" i="1"/>
  <c r="W48" i="1"/>
  <c r="W46" i="1"/>
  <c r="W44" i="1"/>
  <c r="W42" i="1"/>
  <c r="W40" i="1"/>
  <c r="W28" i="1"/>
  <c r="W26" i="1"/>
  <c r="W24" i="1"/>
  <c r="W22" i="1"/>
  <c r="W20" i="1"/>
  <c r="W16" i="1"/>
  <c r="W10" i="1"/>
  <c r="S8" i="1"/>
  <c r="AH8" i="1" s="1"/>
  <c r="AH14" i="1"/>
  <c r="AH16" i="1"/>
  <c r="S18" i="1"/>
  <c r="AH18" i="1" s="1"/>
  <c r="S30" i="1"/>
  <c r="AH30" i="1" s="1"/>
  <c r="S32" i="1"/>
  <c r="AH32" i="1" s="1"/>
  <c r="S34" i="1"/>
  <c r="AH34" i="1" s="1"/>
  <c r="S36" i="1"/>
  <c r="AH36" i="1" s="1"/>
  <c r="AH56" i="1"/>
  <c r="S58" i="1"/>
  <c r="AH58" i="1" s="1"/>
  <c r="S60" i="1"/>
  <c r="AH60" i="1" s="1"/>
  <c r="S62" i="1"/>
  <c r="AH62" i="1" s="1"/>
  <c r="S64" i="1"/>
  <c r="AH64" i="1" s="1"/>
  <c r="S66" i="1"/>
  <c r="AH66" i="1" s="1"/>
  <c r="S68" i="1"/>
  <c r="AH68" i="1" s="1"/>
  <c r="S76" i="1"/>
  <c r="AH76" i="1" s="1"/>
  <c r="AH78" i="1"/>
  <c r="S80" i="1"/>
  <c r="AH80" i="1" s="1"/>
  <c r="W89" i="1"/>
  <c r="W87" i="1"/>
  <c r="W85" i="1"/>
  <c r="W83" i="1"/>
  <c r="W71" i="1"/>
  <c r="W53" i="1"/>
  <c r="W49" i="1"/>
  <c r="W47" i="1"/>
  <c r="W45" i="1"/>
  <c r="W43" i="1"/>
  <c r="W41" i="1"/>
  <c r="W39" i="1"/>
  <c r="W27" i="1"/>
  <c r="W25" i="1"/>
  <c r="W23" i="1"/>
  <c r="W21" i="1"/>
  <c r="W11" i="1"/>
  <c r="W97" i="1"/>
  <c r="X89" i="1"/>
  <c r="X85" i="1"/>
  <c r="X81" i="1"/>
  <c r="X77" i="1"/>
  <c r="X73" i="1"/>
  <c r="X69" i="1"/>
  <c r="X65" i="1"/>
  <c r="X61" i="1"/>
  <c r="X57" i="1"/>
  <c r="X53" i="1"/>
  <c r="X49" i="1"/>
  <c r="X45" i="1"/>
  <c r="X41" i="1"/>
  <c r="X37" i="1"/>
  <c r="X34" i="1"/>
  <c r="X30" i="1"/>
  <c r="X26" i="1"/>
  <c r="X22" i="1"/>
  <c r="X18" i="1"/>
  <c r="X14" i="1"/>
  <c r="X10" i="1"/>
  <c r="W95" i="1"/>
  <c r="X87" i="1"/>
  <c r="X83" i="1"/>
  <c r="X79" i="1"/>
  <c r="X75" i="1"/>
  <c r="X71" i="1"/>
  <c r="X67" i="1"/>
  <c r="X63" i="1"/>
  <c r="X59" i="1"/>
  <c r="X55" i="1"/>
  <c r="X51" i="1"/>
  <c r="X47" i="1"/>
  <c r="X43" i="1"/>
  <c r="X39" i="1"/>
  <c r="X36" i="1"/>
  <c r="X32" i="1"/>
  <c r="X28" i="1"/>
  <c r="X24" i="1"/>
  <c r="X20" i="1"/>
  <c r="X16" i="1"/>
  <c r="X12" i="1"/>
  <c r="X8" i="1"/>
  <c r="X6" i="1"/>
  <c r="W96" i="1"/>
  <c r="W92" i="1"/>
  <c r="L5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R5" i="1"/>
  <c r="W94" i="1" l="1"/>
  <c r="W93" i="1"/>
  <c r="W7" i="1"/>
  <c r="W15" i="1"/>
  <c r="W63" i="1"/>
  <c r="S5" i="1"/>
  <c r="AH6" i="1"/>
  <c r="AH5" i="1" s="1"/>
  <c r="W32" i="1"/>
  <c r="W36" i="1"/>
  <c r="W58" i="1"/>
  <c r="W62" i="1"/>
  <c r="W66" i="1"/>
  <c r="W31" i="1"/>
  <c r="W51" i="1"/>
  <c r="W59" i="1"/>
  <c r="W67" i="1"/>
  <c r="W77" i="1"/>
  <c r="W91" i="1"/>
  <c r="W8" i="1"/>
  <c r="W14" i="1"/>
  <c r="W18" i="1"/>
  <c r="W30" i="1"/>
  <c r="W34" i="1"/>
  <c r="W56" i="1"/>
  <c r="W60" i="1"/>
  <c r="W64" i="1"/>
  <c r="W68" i="1"/>
  <c r="W76" i="1"/>
  <c r="W80" i="1"/>
  <c r="W6" i="1"/>
  <c r="W13" i="1"/>
  <c r="W17" i="1"/>
  <c r="W33" i="1"/>
  <c r="W37" i="1"/>
  <c r="W57" i="1"/>
  <c r="W61" i="1"/>
  <c r="W65" i="1"/>
  <c r="W75" i="1"/>
  <c r="W79" i="1"/>
</calcChain>
</file>

<file path=xl/sharedStrings.xml><?xml version="1.0" encoding="utf-8"?>
<sst xmlns="http://schemas.openxmlformats.org/spreadsheetml/2006/main" count="359" uniqueCount="146">
  <si>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</si>
  <si>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</si>
  <si>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</si>
  <si>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</si>
  <si>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</si>
  <si>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</si>
  <si>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</si>
  <si>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</si>
  <si>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</si>
  <si>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</si>
  <si>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</si>
  <si>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</si>
  <si>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</si>
  <si>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</si>
  <si>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</si>
  <si>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</si>
  <si>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</si>
  <si>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</si>
  <si>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</si>
  <si>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</si>
  <si>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</si>
  <si>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</si>
  <si>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</si>
  <si>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</si>
  <si>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</si>
  <si>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26,01,(1)</t>
  </si>
  <si>
    <t>26,01,(2)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</si>
  <si>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</si>
  <si>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</si>
  <si>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</si>
  <si>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</si>
  <si>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</si>
  <si>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</si>
  <si>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</si>
  <si>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</si>
  <si>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</si>
  <si>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</si>
  <si>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</si>
  <si>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</si>
  <si>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</si>
  <si>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</si>
  <si>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</si>
  <si>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</si>
  <si>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</si>
  <si>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</si>
  <si>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</si>
  <si>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</si>
  <si>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</si>
  <si>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</si>
  <si>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</si>
  <si>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</si>
  <si>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</si>
  <si>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</si>
  <si>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</si>
  <si>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</si>
  <si>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</si>
  <si>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</si>
  <si>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</si>
  <si>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</si>
  <si>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</si>
  <si>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</si>
  <si>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</si>
  <si>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</si>
  <si>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</si>
  <si>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</si>
  <si>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</si>
  <si>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</si>
  <si>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</si>
  <si>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</si>
  <si>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</si>
  <si>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</si>
  <si>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</si>
  <si>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</si>
  <si>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</si>
  <si>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</si>
  <si>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</si>
  <si>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</si>
  <si>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</si>
  <si>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</si>
  <si>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</si>
  <si>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</si>
  <si>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</si>
  <si>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</si>
  <si>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</si>
  <si>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</si>
  <si>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</si>
  <si>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</si>
  <si>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</si>
  <si>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</si>
  <si>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</si>
  <si>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</si>
  <si>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</si>
  <si>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</si>
  <si>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</si>
  <si>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</si>
  <si>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</si>
  <si>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</si>
  <si>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</si>
  <si>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</si>
  <si>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</si>
  <si>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</si>
  <si>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</si>
  <si>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</si>
  <si>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</si>
  <si>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</si>
  <si>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</si>
  <si>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</si>
  <si>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</si>
  <si>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</si>
  <si>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</si>
  <si>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</si>
  <si>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</si>
  <si>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</si>
  <si>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</si>
  <si>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</si>
  <si>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</si>
  <si>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</si>
  <si>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</si>
  <si>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</si>
  <si>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</si>
  <si>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</si>
  <si>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</si>
  <si>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</si>
  <si>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</si>
  <si>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</si>
  <si>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</si>
  <si>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</si>
  <si>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</si>
  <si>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</si>
  <si>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</si>
  <si>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</si>
  <si>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</si>
  <si>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</si>
  <si>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</si>
  <si>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</si>
  <si>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</si>
  <si>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</si>
  <si>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</si>
  <si>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</si>
  <si>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</si>
  <si>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</si>
  <si>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</si>
  <si>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</si>
  <si>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</si>
  <si>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помощь заводу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</si>
  <si>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Новороссийск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</si>
</sst>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14.28515625" customWidth="1"/>
    <col min="22" max="22" width="7" customWidth="1"/>
    <col min="23" max="24" width="5" customWidth="1"/>
    <col min="25" max="32" width="6" customWidth="1"/>
    <col min="33" max="33" width="43.8554687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143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10540.763000000001</v>
      </c>
      <c r="F5" s="4">
        <f>SUM(F6:F499)</f>
        <v>8641.6870000000017</v>
      </c>
      <c r="G5" s="8"/>
      <c r="H5" s="1"/>
      <c r="I5" s="1"/>
      <c r="J5" s="1"/>
      <c r="K5" s="4">
        <f t="shared" ref="K5:T5" si="0">SUM(K6:K499)</f>
        <v>11140.04</v>
      </c>
      <c r="L5" s="4">
        <f t="shared" si="0"/>
        <v>-599.27699999999982</v>
      </c>
      <c r="M5" s="4">
        <f t="shared" si="0"/>
        <v>0</v>
      </c>
      <c r="N5" s="4">
        <f t="shared" si="0"/>
        <v>0</v>
      </c>
      <c r="O5" s="4">
        <f t="shared" si="0"/>
        <v>14203.343260000003</v>
      </c>
      <c r="P5" s="4">
        <f t="shared" si="0"/>
        <v>3858.8914</v>
      </c>
      <c r="Q5" s="4">
        <f t="shared" si="0"/>
        <v>2320</v>
      </c>
      <c r="R5" s="4">
        <f t="shared" si="0"/>
        <v>2108.1526000000003</v>
      </c>
      <c r="S5" s="4">
        <f t="shared" si="0"/>
        <v>3626.8576066666665</v>
      </c>
      <c r="T5" s="4">
        <f t="shared" si="0"/>
        <v>0</v>
      </c>
      <c r="U5" s="1"/>
      <c r="V5" s="4">
        <f>SUM(V6:V499)</f>
        <v>0</v>
      </c>
      <c r="W5" s="1"/>
      <c r="X5" s="1"/>
      <c r="Y5" s="4">
        <f t="shared" ref="Y5:AF5" si="1">SUM(Y6:Y499)</f>
        <v>1952.605</v>
      </c>
      <c r="Z5" s="4">
        <f t="shared" si="1"/>
        <v>2431.7225999999996</v>
      </c>
      <c r="AA5" s="4">
        <f t="shared" si="1"/>
        <v>1953.8973999999998</v>
      </c>
      <c r="AB5" s="4">
        <f t="shared" si="1"/>
        <v>2134.4774000000002</v>
      </c>
      <c r="AC5" s="4">
        <f t="shared" si="1"/>
        <v>2011.0035000000005</v>
      </c>
      <c r="AD5" s="4">
        <f t="shared" si="1"/>
        <v>2063.2885000000001</v>
      </c>
      <c r="AE5" s="4">
        <f t="shared" si="1"/>
        <v>2477.1244000000002</v>
      </c>
      <c r="AF5" s="4">
        <f t="shared" si="1"/>
        <v>2375.0041999999999</v>
      </c>
      <c r="AG5" s="1"/>
      <c r="AH5" s="4">
        <f>SUM(AH6:AH499)</f>
        <v>2197.4729400000001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28.507999999999999</v>
      </c>
      <c r="D6" s="1">
        <v>183.36699999999999</v>
      </c>
      <c r="E6" s="1">
        <v>54.744999999999997</v>
      </c>
      <c r="F6" s="1">
        <v>155.79599999999999</v>
      </c>
      <c r="G6" s="8">
        <v>1</v>
      </c>
      <c r="H6" s="1">
        <v>50</v>
      </c>
      <c r="I6" s="1" t="s">
        <v>38</v>
      </c>
      <c r="J6" s="1"/>
      <c r="K6" s="1">
        <v>68.55</v>
      </c>
      <c r="L6" s="1">
        <f t="shared" ref="L6:L36" si="2">E6-K6</f>
        <v>-13.805</v>
      </c>
      <c r="M6" s="1"/>
      <c r="N6" s="1"/>
      <c r="O6" s="1">
        <v>39.599799999999952</v>
      </c>
      <c r="P6" s="1">
        <v>0</v>
      </c>
      <c r="Q6" s="1"/>
      <c r="R6" s="1">
        <f>E6/5</f>
        <v>10.949</v>
      </c>
      <c r="S6" s="5"/>
      <c r="T6" s="5"/>
      <c r="U6" s="1"/>
      <c r="V6" s="1"/>
      <c r="W6" s="1">
        <f>(F6+O6+P6+Q6+S6)/R6</f>
        <v>17.84599506804274</v>
      </c>
      <c r="X6" s="1">
        <f>(F6+O6+P6+Q6)/R6</f>
        <v>17.84599506804274</v>
      </c>
      <c r="Y6" s="1">
        <v>14.271800000000001</v>
      </c>
      <c r="Z6" s="1">
        <v>22.263999999999999</v>
      </c>
      <c r="AA6" s="1">
        <v>21.381599999999999</v>
      </c>
      <c r="AB6" s="1">
        <v>16.891400000000001</v>
      </c>
      <c r="AC6" s="1">
        <v>15.00633333333333</v>
      </c>
      <c r="AD6" s="1">
        <v>14.765499999999999</v>
      </c>
      <c r="AE6" s="1">
        <v>17.429400000000001</v>
      </c>
      <c r="AF6" s="1">
        <v>15.400600000000001</v>
      </c>
      <c r="AG6" s="1"/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12.981999999999999</v>
      </c>
      <c r="D7" s="1">
        <v>478.61399999999998</v>
      </c>
      <c r="E7" s="1">
        <v>155.87200000000001</v>
      </c>
      <c r="F7" s="1">
        <v>291.42599999999999</v>
      </c>
      <c r="G7" s="8">
        <v>1</v>
      </c>
      <c r="H7" s="1">
        <v>45</v>
      </c>
      <c r="I7" s="1" t="s">
        <v>38</v>
      </c>
      <c r="J7" s="1"/>
      <c r="K7" s="1">
        <v>177.5</v>
      </c>
      <c r="L7" s="1">
        <f t="shared" si="2"/>
        <v>-21.627999999999986</v>
      </c>
      <c r="M7" s="1"/>
      <c r="N7" s="1"/>
      <c r="O7" s="1">
        <v>0</v>
      </c>
      <c r="P7" s="1">
        <v>0</v>
      </c>
      <c r="Q7" s="1"/>
      <c r="R7" s="1">
        <f t="shared" ref="R7:R69" si="3">E7/5</f>
        <v>31.174400000000002</v>
      </c>
      <c r="S7" s="5">
        <f t="shared" ref="S7:S8" si="4">11*R7-Q7-P7-O7-F7</f>
        <v>51.492400000000032</v>
      </c>
      <c r="T7" s="5"/>
      <c r="U7" s="1"/>
      <c r="V7" s="1"/>
      <c r="W7" s="1">
        <f t="shared" ref="W7:W69" si="5">(F7+O7+P7+Q7+S7)/R7</f>
        <v>11</v>
      </c>
      <c r="X7" s="1">
        <f t="shared" ref="X7:X69" si="6">(F7+O7+P7+Q7)/R7</f>
        <v>9.3482472798193381</v>
      </c>
      <c r="Y7" s="1">
        <v>14.522</v>
      </c>
      <c r="Z7" s="1">
        <v>29.619800000000001</v>
      </c>
      <c r="AA7" s="1">
        <v>42.581800000000001</v>
      </c>
      <c r="AB7" s="1">
        <v>41.947400000000002</v>
      </c>
      <c r="AC7" s="1">
        <v>22.562666666666669</v>
      </c>
      <c r="AD7" s="1">
        <v>17.19016666666667</v>
      </c>
      <c r="AE7" s="1">
        <v>26.805199999999999</v>
      </c>
      <c r="AF7" s="1">
        <v>32.135000000000012</v>
      </c>
      <c r="AG7" s="1" t="s">
        <v>40</v>
      </c>
      <c r="AH7" s="1">
        <f>G7*S7</f>
        <v>51.492400000000032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50.673000000000002</v>
      </c>
      <c r="D8" s="1">
        <v>200.32</v>
      </c>
      <c r="E8" s="1">
        <v>156.71100000000001</v>
      </c>
      <c r="F8" s="1">
        <v>93.024000000000001</v>
      </c>
      <c r="G8" s="8">
        <v>1</v>
      </c>
      <c r="H8" s="1">
        <v>45</v>
      </c>
      <c r="I8" s="1" t="s">
        <v>38</v>
      </c>
      <c r="J8" s="1"/>
      <c r="K8" s="1">
        <v>164.6</v>
      </c>
      <c r="L8" s="1">
        <f t="shared" si="2"/>
        <v>-7.8889999999999816</v>
      </c>
      <c r="M8" s="1"/>
      <c r="N8" s="1"/>
      <c r="O8" s="1">
        <v>110.12139999999999</v>
      </c>
      <c r="P8" s="1">
        <v>39.211599999999997</v>
      </c>
      <c r="Q8" s="1"/>
      <c r="R8" s="1">
        <f t="shared" si="3"/>
        <v>31.342200000000002</v>
      </c>
      <c r="S8" s="5">
        <f t="shared" si="4"/>
        <v>102.40720000000005</v>
      </c>
      <c r="T8" s="5"/>
      <c r="U8" s="1"/>
      <c r="V8" s="1"/>
      <c r="W8" s="1">
        <f t="shared" si="5"/>
        <v>11.000000000000002</v>
      </c>
      <c r="X8" s="1">
        <f t="shared" si="6"/>
        <v>7.7326097083165823</v>
      </c>
      <c r="Y8" s="1">
        <v>27.199200000000001</v>
      </c>
      <c r="Z8" s="1">
        <v>31.720800000000001</v>
      </c>
      <c r="AA8" s="1">
        <v>26.450199999999999</v>
      </c>
      <c r="AB8" s="1">
        <v>24.9558</v>
      </c>
      <c r="AC8" s="1">
        <v>23.362666666666669</v>
      </c>
      <c r="AD8" s="1">
        <v>21.104166666666671</v>
      </c>
      <c r="AE8" s="1">
        <v>25.3932</v>
      </c>
      <c r="AF8" s="1">
        <v>19.1204</v>
      </c>
      <c r="AG8" s="1"/>
      <c r="AH8" s="1">
        <f>G8*S8</f>
        <v>102.40720000000005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42</v>
      </c>
      <c r="B9" s="12" t="s">
        <v>43</v>
      </c>
      <c r="C9" s="12">
        <v>39</v>
      </c>
      <c r="D9" s="12"/>
      <c r="E9" s="12">
        <v>4</v>
      </c>
      <c r="F9" s="12">
        <v>35</v>
      </c>
      <c r="G9" s="13">
        <v>0</v>
      </c>
      <c r="H9" s="12" t="e">
        <v>#N/A</v>
      </c>
      <c r="I9" s="12" t="s">
        <v>44</v>
      </c>
      <c r="J9" s="12"/>
      <c r="K9" s="12">
        <v>26</v>
      </c>
      <c r="L9" s="12">
        <f t="shared" si="2"/>
        <v>-22</v>
      </c>
      <c r="M9" s="12"/>
      <c r="N9" s="12"/>
      <c r="O9" s="12">
        <v>0</v>
      </c>
      <c r="P9" s="12">
        <v>0</v>
      </c>
      <c r="Q9" s="12"/>
      <c r="R9" s="12">
        <f t="shared" si="3"/>
        <v>0.8</v>
      </c>
      <c r="S9" s="14"/>
      <c r="T9" s="14"/>
      <c r="U9" s="12"/>
      <c r="V9" s="12"/>
      <c r="W9" s="12">
        <f t="shared" si="5"/>
        <v>43.75</v>
      </c>
      <c r="X9" s="12">
        <f t="shared" si="6"/>
        <v>43.75</v>
      </c>
      <c r="Y9" s="12">
        <v>0</v>
      </c>
      <c r="Z9" s="12">
        <v>0.8</v>
      </c>
      <c r="AA9" s="12">
        <v>1.4</v>
      </c>
      <c r="AB9" s="12">
        <v>1.4</v>
      </c>
      <c r="AC9" s="12">
        <v>0.66666666666666663</v>
      </c>
      <c r="AD9" s="12">
        <v>0</v>
      </c>
      <c r="AE9" s="12">
        <v>0</v>
      </c>
      <c r="AF9" s="12">
        <v>0</v>
      </c>
      <c r="AG9" s="16" t="s">
        <v>145</v>
      </c>
      <c r="AH9" s="1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263</v>
      </c>
      <c r="D10" s="1">
        <v>12</v>
      </c>
      <c r="E10" s="1">
        <v>148</v>
      </c>
      <c r="F10" s="1">
        <v>127</v>
      </c>
      <c r="G10" s="8">
        <v>0.45</v>
      </c>
      <c r="H10" s="1">
        <v>45</v>
      </c>
      <c r="I10" s="1" t="s">
        <v>38</v>
      </c>
      <c r="J10" s="1"/>
      <c r="K10" s="1">
        <v>203</v>
      </c>
      <c r="L10" s="1">
        <f t="shared" si="2"/>
        <v>-55</v>
      </c>
      <c r="M10" s="1"/>
      <c r="N10" s="1"/>
      <c r="O10" s="1">
        <v>189.8000000000001</v>
      </c>
      <c r="P10" s="1">
        <v>0</v>
      </c>
      <c r="Q10" s="1"/>
      <c r="R10" s="1">
        <f t="shared" si="3"/>
        <v>29.6</v>
      </c>
      <c r="S10" s="5">
        <f t="shared" ref="S10:S11" si="7">11*R10-Q10-P10-O10-F10</f>
        <v>8.7999999999999261</v>
      </c>
      <c r="T10" s="5"/>
      <c r="U10" s="1"/>
      <c r="V10" s="1"/>
      <c r="W10" s="1">
        <f t="shared" si="5"/>
        <v>11</v>
      </c>
      <c r="X10" s="1">
        <f t="shared" si="6"/>
        <v>10.702702702702705</v>
      </c>
      <c r="Y10" s="1">
        <v>31.4</v>
      </c>
      <c r="Z10" s="1">
        <v>42.2</v>
      </c>
      <c r="AA10" s="1">
        <v>27.4</v>
      </c>
      <c r="AB10" s="1">
        <v>43.4</v>
      </c>
      <c r="AC10" s="1">
        <v>46</v>
      </c>
      <c r="AD10" s="1">
        <v>50.166666666666657</v>
      </c>
      <c r="AE10" s="1">
        <v>41.6</v>
      </c>
      <c r="AF10" s="1">
        <v>50</v>
      </c>
      <c r="AG10" s="1" t="s">
        <v>40</v>
      </c>
      <c r="AH10" s="1">
        <f>G10*S10</f>
        <v>3.9599999999999667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135</v>
      </c>
      <c r="D11" s="1">
        <v>138</v>
      </c>
      <c r="E11" s="1">
        <v>195</v>
      </c>
      <c r="F11" s="1">
        <v>77</v>
      </c>
      <c r="G11" s="8">
        <v>0.45</v>
      </c>
      <c r="H11" s="1">
        <v>45</v>
      </c>
      <c r="I11" s="1" t="s">
        <v>38</v>
      </c>
      <c r="J11" s="1"/>
      <c r="K11" s="1">
        <v>213</v>
      </c>
      <c r="L11" s="1">
        <f t="shared" si="2"/>
        <v>-18</v>
      </c>
      <c r="M11" s="1"/>
      <c r="N11" s="1"/>
      <c r="O11" s="1">
        <v>279.39999999999998</v>
      </c>
      <c r="P11" s="1">
        <v>0</v>
      </c>
      <c r="Q11" s="1"/>
      <c r="R11" s="1">
        <f t="shared" si="3"/>
        <v>39</v>
      </c>
      <c r="S11" s="5">
        <f t="shared" si="7"/>
        <v>72.600000000000023</v>
      </c>
      <c r="T11" s="5"/>
      <c r="U11" s="1"/>
      <c r="V11" s="1"/>
      <c r="W11" s="1">
        <f t="shared" si="5"/>
        <v>11</v>
      </c>
      <c r="X11" s="1">
        <f t="shared" si="6"/>
        <v>9.138461538461538</v>
      </c>
      <c r="Y11" s="1">
        <v>37.799999999999997</v>
      </c>
      <c r="Z11" s="1">
        <v>50.2</v>
      </c>
      <c r="AA11" s="1">
        <v>30.2</v>
      </c>
      <c r="AB11" s="1">
        <v>47.8</v>
      </c>
      <c r="AC11" s="1">
        <v>40.333333333333343</v>
      </c>
      <c r="AD11" s="1">
        <v>41.5</v>
      </c>
      <c r="AE11" s="1">
        <v>38</v>
      </c>
      <c r="AF11" s="1">
        <v>50.8</v>
      </c>
      <c r="AG11" s="1"/>
      <c r="AH11" s="1">
        <f>G11*S11</f>
        <v>32.670000000000009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7" t="s">
        <v>47</v>
      </c>
      <c r="B12" s="17" t="s">
        <v>43</v>
      </c>
      <c r="C12" s="17"/>
      <c r="D12" s="17"/>
      <c r="E12" s="17"/>
      <c r="F12" s="17"/>
      <c r="G12" s="18">
        <v>0</v>
      </c>
      <c r="H12" s="17">
        <v>180</v>
      </c>
      <c r="I12" s="17" t="s">
        <v>38</v>
      </c>
      <c r="J12" s="17"/>
      <c r="K12" s="17"/>
      <c r="L12" s="17">
        <f t="shared" si="2"/>
        <v>0</v>
      </c>
      <c r="M12" s="17"/>
      <c r="N12" s="17"/>
      <c r="O12" s="17">
        <v>0</v>
      </c>
      <c r="P12" s="17">
        <v>0</v>
      </c>
      <c r="Q12" s="17"/>
      <c r="R12" s="17">
        <f t="shared" si="3"/>
        <v>0</v>
      </c>
      <c r="S12" s="19"/>
      <c r="T12" s="19"/>
      <c r="U12" s="17"/>
      <c r="V12" s="17"/>
      <c r="W12" s="17" t="e">
        <f t="shared" si="5"/>
        <v>#DIV/0!</v>
      </c>
      <c r="X12" s="17" t="e">
        <f t="shared" si="6"/>
        <v>#DIV/0!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 t="s">
        <v>48</v>
      </c>
      <c r="AH12" s="1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78</v>
      </c>
      <c r="D13" s="1"/>
      <c r="E13" s="1">
        <v>30</v>
      </c>
      <c r="F13" s="1">
        <v>47</v>
      </c>
      <c r="G13" s="8">
        <v>0.3</v>
      </c>
      <c r="H13" s="1">
        <v>40</v>
      </c>
      <c r="I13" s="1" t="s">
        <v>38</v>
      </c>
      <c r="J13" s="1"/>
      <c r="K13" s="1">
        <v>29</v>
      </c>
      <c r="L13" s="1">
        <f t="shared" si="2"/>
        <v>1</v>
      </c>
      <c r="M13" s="1"/>
      <c r="N13" s="1"/>
      <c r="O13" s="1">
        <v>0</v>
      </c>
      <c r="P13" s="1">
        <v>0</v>
      </c>
      <c r="Q13" s="1"/>
      <c r="R13" s="1">
        <f t="shared" si="3"/>
        <v>6</v>
      </c>
      <c r="S13" s="5">
        <f t="shared" ref="S13:S18" si="8">11*R13-Q13-P13-O13-F13</f>
        <v>19</v>
      </c>
      <c r="T13" s="5"/>
      <c r="U13" s="1"/>
      <c r="V13" s="1"/>
      <c r="W13" s="1">
        <f t="shared" si="5"/>
        <v>11</v>
      </c>
      <c r="X13" s="1">
        <f t="shared" si="6"/>
        <v>7.833333333333333</v>
      </c>
      <c r="Y13" s="1">
        <v>2.2000000000000002</v>
      </c>
      <c r="Z13" s="1">
        <v>3.2</v>
      </c>
      <c r="AA13" s="1">
        <v>1</v>
      </c>
      <c r="AB13" s="1">
        <v>5</v>
      </c>
      <c r="AC13" s="1">
        <v>4.5</v>
      </c>
      <c r="AD13" s="1">
        <v>6.333333333333333</v>
      </c>
      <c r="AE13" s="1">
        <v>10.8</v>
      </c>
      <c r="AF13" s="1">
        <v>4.4000000000000004</v>
      </c>
      <c r="AG13" s="1"/>
      <c r="AH13" s="1">
        <f t="shared" ref="AH13:AH18" si="9">G13*S13</f>
        <v>5.7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44</v>
      </c>
      <c r="D14" s="1">
        <v>46</v>
      </c>
      <c r="E14" s="1">
        <v>65</v>
      </c>
      <c r="F14" s="1">
        <v>24</v>
      </c>
      <c r="G14" s="8">
        <v>0.17</v>
      </c>
      <c r="H14" s="1">
        <v>180</v>
      </c>
      <c r="I14" s="1" t="s">
        <v>38</v>
      </c>
      <c r="J14" s="1"/>
      <c r="K14" s="1">
        <v>61</v>
      </c>
      <c r="L14" s="1">
        <f t="shared" si="2"/>
        <v>4</v>
      </c>
      <c r="M14" s="1"/>
      <c r="N14" s="1"/>
      <c r="O14" s="1">
        <v>0</v>
      </c>
      <c r="P14" s="1">
        <v>0</v>
      </c>
      <c r="Q14" s="1"/>
      <c r="R14" s="1">
        <f t="shared" si="3"/>
        <v>13</v>
      </c>
      <c r="S14" s="5">
        <f>8*R14-Q14-P14-O14-F14</f>
        <v>80</v>
      </c>
      <c r="T14" s="5"/>
      <c r="U14" s="1"/>
      <c r="V14" s="1"/>
      <c r="W14" s="1">
        <f t="shared" si="5"/>
        <v>8</v>
      </c>
      <c r="X14" s="1">
        <f t="shared" si="6"/>
        <v>1.8461538461538463</v>
      </c>
      <c r="Y14" s="1">
        <v>5</v>
      </c>
      <c r="Z14" s="1">
        <v>3</v>
      </c>
      <c r="AA14" s="1">
        <v>6.2</v>
      </c>
      <c r="AB14" s="1">
        <v>6</v>
      </c>
      <c r="AC14" s="1">
        <v>5.666666666666667</v>
      </c>
      <c r="AD14" s="1">
        <v>6.5</v>
      </c>
      <c r="AE14" s="1">
        <v>9.4</v>
      </c>
      <c r="AF14" s="1">
        <v>8.4</v>
      </c>
      <c r="AG14" s="1"/>
      <c r="AH14" s="1">
        <f t="shared" si="9"/>
        <v>13.600000000000001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53</v>
      </c>
      <c r="B15" s="1" t="s">
        <v>37</v>
      </c>
      <c r="C15" s="1">
        <v>231.316</v>
      </c>
      <c r="D15" s="1">
        <v>26.463999999999999</v>
      </c>
      <c r="E15" s="1">
        <v>149.82599999999999</v>
      </c>
      <c r="F15" s="1">
        <v>107.95399999999999</v>
      </c>
      <c r="G15" s="8">
        <v>1</v>
      </c>
      <c r="H15" s="1">
        <v>55</v>
      </c>
      <c r="I15" s="1" t="s">
        <v>38</v>
      </c>
      <c r="J15" s="1"/>
      <c r="K15" s="1">
        <v>145.5</v>
      </c>
      <c r="L15" s="1">
        <f t="shared" si="2"/>
        <v>4.3259999999999934</v>
      </c>
      <c r="M15" s="1"/>
      <c r="N15" s="1"/>
      <c r="O15" s="1">
        <v>202.65907999999999</v>
      </c>
      <c r="P15" s="1">
        <v>0</v>
      </c>
      <c r="Q15" s="1"/>
      <c r="R15" s="1">
        <f t="shared" si="3"/>
        <v>29.965199999999999</v>
      </c>
      <c r="S15" s="5">
        <f t="shared" si="8"/>
        <v>19.004119999999986</v>
      </c>
      <c r="T15" s="5"/>
      <c r="U15" s="1"/>
      <c r="V15" s="1"/>
      <c r="W15" s="1">
        <f t="shared" si="5"/>
        <v>11</v>
      </c>
      <c r="X15" s="1">
        <f t="shared" si="6"/>
        <v>10.36579365397194</v>
      </c>
      <c r="Y15" s="1">
        <v>29.224</v>
      </c>
      <c r="Z15" s="1">
        <v>36.149799999999999</v>
      </c>
      <c r="AA15" s="1">
        <v>31.144200000000001</v>
      </c>
      <c r="AB15" s="1">
        <v>33.941000000000003</v>
      </c>
      <c r="AC15" s="1">
        <v>28.186</v>
      </c>
      <c r="AD15" s="1">
        <v>30.52933333333333</v>
      </c>
      <c r="AE15" s="1">
        <v>44.335599999999999</v>
      </c>
      <c r="AF15" s="1">
        <v>37.791200000000003</v>
      </c>
      <c r="AG15" s="1" t="s">
        <v>54</v>
      </c>
      <c r="AH15" s="1">
        <f t="shared" si="9"/>
        <v>19.004119999999986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55</v>
      </c>
      <c r="B16" s="1" t="s">
        <v>37</v>
      </c>
      <c r="C16" s="1">
        <v>1229.2</v>
      </c>
      <c r="D16" s="1">
        <v>2.5009999999999999</v>
      </c>
      <c r="E16" s="1">
        <v>746.03099999999995</v>
      </c>
      <c r="F16" s="1">
        <v>469.6</v>
      </c>
      <c r="G16" s="8">
        <v>1</v>
      </c>
      <c r="H16" s="1">
        <v>50</v>
      </c>
      <c r="I16" s="1" t="s">
        <v>38</v>
      </c>
      <c r="J16" s="1"/>
      <c r="K16" s="1">
        <v>748.86</v>
      </c>
      <c r="L16" s="1">
        <f t="shared" si="2"/>
        <v>-2.8290000000000646</v>
      </c>
      <c r="M16" s="1"/>
      <c r="N16" s="1"/>
      <c r="O16" s="1">
        <v>2856.7271999999998</v>
      </c>
      <c r="P16" s="1">
        <v>1300</v>
      </c>
      <c r="Q16" s="1">
        <v>1200</v>
      </c>
      <c r="R16" s="1">
        <f t="shared" si="3"/>
        <v>149.2062</v>
      </c>
      <c r="S16" s="5"/>
      <c r="T16" s="5"/>
      <c r="U16" s="1"/>
      <c r="V16" s="1"/>
      <c r="W16" s="1">
        <f t="shared" si="5"/>
        <v>39.048827729678791</v>
      </c>
      <c r="X16" s="1">
        <f t="shared" si="6"/>
        <v>39.048827729678791</v>
      </c>
      <c r="Y16" s="1">
        <v>115.3302</v>
      </c>
      <c r="Z16" s="1">
        <v>144.17519999999999</v>
      </c>
      <c r="AA16" s="1">
        <v>136.4682</v>
      </c>
      <c r="AB16" s="1">
        <v>118.21339999999999</v>
      </c>
      <c r="AC16" s="1">
        <v>87.065166666666656</v>
      </c>
      <c r="AD16" s="1">
        <v>83.144999999999996</v>
      </c>
      <c r="AE16" s="1">
        <v>190.5986</v>
      </c>
      <c r="AF16" s="1">
        <v>151.20959999999999</v>
      </c>
      <c r="AG16" s="1" t="s">
        <v>56</v>
      </c>
      <c r="AH16" s="1">
        <f t="shared" si="9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57</v>
      </c>
      <c r="B17" s="1" t="s">
        <v>37</v>
      </c>
      <c r="C17" s="1">
        <v>401.43299999999999</v>
      </c>
      <c r="D17" s="1"/>
      <c r="E17" s="1">
        <v>84.858999999999995</v>
      </c>
      <c r="F17" s="1">
        <v>316.57400000000001</v>
      </c>
      <c r="G17" s="8">
        <v>1</v>
      </c>
      <c r="H17" s="1">
        <v>60</v>
      </c>
      <c r="I17" s="1" t="s">
        <v>38</v>
      </c>
      <c r="J17" s="1"/>
      <c r="K17" s="1">
        <v>81.52</v>
      </c>
      <c r="L17" s="1">
        <f t="shared" si="2"/>
        <v>3.3389999999999986</v>
      </c>
      <c r="M17" s="1"/>
      <c r="N17" s="1"/>
      <c r="O17" s="1">
        <v>0</v>
      </c>
      <c r="P17" s="1">
        <v>0</v>
      </c>
      <c r="Q17" s="1"/>
      <c r="R17" s="1">
        <f t="shared" si="3"/>
        <v>16.971799999999998</v>
      </c>
      <c r="S17" s="5"/>
      <c r="T17" s="5"/>
      <c r="U17" s="1"/>
      <c r="V17" s="1"/>
      <c r="W17" s="1">
        <f t="shared" si="5"/>
        <v>18.652941938981137</v>
      </c>
      <c r="X17" s="1">
        <f t="shared" si="6"/>
        <v>18.652941938981137</v>
      </c>
      <c r="Y17" s="1">
        <v>15.343999999999999</v>
      </c>
      <c r="Z17" s="1">
        <v>25.678799999999999</v>
      </c>
      <c r="AA17" s="1">
        <v>24.450600000000001</v>
      </c>
      <c r="AB17" s="1">
        <v>25.885400000000001</v>
      </c>
      <c r="AC17" s="1">
        <v>45.470166666666671</v>
      </c>
      <c r="AD17" s="1">
        <v>48.130499999999998</v>
      </c>
      <c r="AE17" s="1">
        <v>31.964400000000001</v>
      </c>
      <c r="AF17" s="1">
        <v>28.0944</v>
      </c>
      <c r="AG17" s="21" t="s">
        <v>50</v>
      </c>
      <c r="AH17" s="1">
        <f t="shared" si="9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58</v>
      </c>
      <c r="B18" s="1" t="s">
        <v>37</v>
      </c>
      <c r="C18" s="1">
        <v>1089.8119999999999</v>
      </c>
      <c r="D18" s="1">
        <v>2.512</v>
      </c>
      <c r="E18" s="1">
        <v>358.6</v>
      </c>
      <c r="F18" s="1">
        <v>733.26199999999994</v>
      </c>
      <c r="G18" s="8">
        <v>1</v>
      </c>
      <c r="H18" s="1">
        <v>60</v>
      </c>
      <c r="I18" s="1" t="s">
        <v>38</v>
      </c>
      <c r="J18" s="1"/>
      <c r="K18" s="1">
        <v>358.8</v>
      </c>
      <c r="L18" s="1">
        <f t="shared" si="2"/>
        <v>-0.19999999999998863</v>
      </c>
      <c r="M18" s="1"/>
      <c r="N18" s="1"/>
      <c r="O18" s="1">
        <v>0</v>
      </c>
      <c r="P18" s="1">
        <v>0</v>
      </c>
      <c r="Q18" s="1"/>
      <c r="R18" s="1">
        <f t="shared" si="3"/>
        <v>71.72</v>
      </c>
      <c r="S18" s="5">
        <f t="shared" si="8"/>
        <v>55.658000000000015</v>
      </c>
      <c r="T18" s="5"/>
      <c r="U18" s="1"/>
      <c r="V18" s="1"/>
      <c r="W18" s="1">
        <f t="shared" si="5"/>
        <v>11</v>
      </c>
      <c r="X18" s="1">
        <f t="shared" si="6"/>
        <v>10.223954266592303</v>
      </c>
      <c r="Y18" s="1">
        <v>73.262599999999992</v>
      </c>
      <c r="Z18" s="1">
        <v>100.3716</v>
      </c>
      <c r="AA18" s="1">
        <v>90.343600000000009</v>
      </c>
      <c r="AB18" s="1">
        <v>89.194000000000003</v>
      </c>
      <c r="AC18" s="1">
        <v>114.96016666666669</v>
      </c>
      <c r="AD18" s="1">
        <v>130.4443333333333</v>
      </c>
      <c r="AE18" s="1">
        <v>165.8682</v>
      </c>
      <c r="AF18" s="1">
        <v>135.5498</v>
      </c>
      <c r="AG18" s="1"/>
      <c r="AH18" s="1">
        <f t="shared" si="9"/>
        <v>55.658000000000015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7" t="s">
        <v>59</v>
      </c>
      <c r="B19" s="17" t="s">
        <v>37</v>
      </c>
      <c r="C19" s="17"/>
      <c r="D19" s="17"/>
      <c r="E19" s="17"/>
      <c r="F19" s="17"/>
      <c r="G19" s="18">
        <v>0</v>
      </c>
      <c r="H19" s="17">
        <v>60</v>
      </c>
      <c r="I19" s="17" t="s">
        <v>38</v>
      </c>
      <c r="J19" s="17"/>
      <c r="K19" s="17"/>
      <c r="L19" s="17">
        <f t="shared" si="2"/>
        <v>0</v>
      </c>
      <c r="M19" s="17"/>
      <c r="N19" s="17"/>
      <c r="O19" s="17">
        <v>0</v>
      </c>
      <c r="P19" s="17">
        <v>0</v>
      </c>
      <c r="Q19" s="17"/>
      <c r="R19" s="17">
        <f t="shared" si="3"/>
        <v>0</v>
      </c>
      <c r="S19" s="19"/>
      <c r="T19" s="19"/>
      <c r="U19" s="17"/>
      <c r="V19" s="17"/>
      <c r="W19" s="17" t="e">
        <f t="shared" si="5"/>
        <v>#DIV/0!</v>
      </c>
      <c r="X19" s="17" t="e">
        <f t="shared" si="6"/>
        <v>#DIV/0!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 t="s">
        <v>48</v>
      </c>
      <c r="AH19" s="17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60</v>
      </c>
      <c r="B20" s="1" t="s">
        <v>37</v>
      </c>
      <c r="C20" s="1">
        <v>8.6010000000000009</v>
      </c>
      <c r="D20" s="1">
        <v>6.0570000000000004</v>
      </c>
      <c r="E20" s="1">
        <v>9.5060000000000002</v>
      </c>
      <c r="F20" s="1">
        <v>4.782</v>
      </c>
      <c r="G20" s="8">
        <v>1</v>
      </c>
      <c r="H20" s="1">
        <v>180</v>
      </c>
      <c r="I20" s="1" t="s">
        <v>38</v>
      </c>
      <c r="J20" s="1"/>
      <c r="K20" s="1">
        <v>6.7</v>
      </c>
      <c r="L20" s="1">
        <f t="shared" si="2"/>
        <v>2.806</v>
      </c>
      <c r="M20" s="1"/>
      <c r="N20" s="1"/>
      <c r="O20" s="1">
        <v>0</v>
      </c>
      <c r="P20" s="1">
        <v>0</v>
      </c>
      <c r="Q20" s="1"/>
      <c r="R20" s="1">
        <f t="shared" si="3"/>
        <v>1.9012</v>
      </c>
      <c r="S20" s="5">
        <f>9*R20-Q20-P20-O20-F20</f>
        <v>12.328800000000001</v>
      </c>
      <c r="T20" s="5"/>
      <c r="U20" s="1"/>
      <c r="V20" s="1"/>
      <c r="W20" s="1">
        <f t="shared" si="5"/>
        <v>9</v>
      </c>
      <c r="X20" s="1">
        <f t="shared" si="6"/>
        <v>2.5152535240900482</v>
      </c>
      <c r="Y20" s="1">
        <v>7.2800000000000004E-2</v>
      </c>
      <c r="Z20" s="1">
        <v>7.2800000000000004E-2</v>
      </c>
      <c r="AA20" s="1">
        <v>0</v>
      </c>
      <c r="AB20" s="1">
        <v>0</v>
      </c>
      <c r="AC20" s="1">
        <v>0.54766666666666663</v>
      </c>
      <c r="AD20" s="1">
        <v>1.2909999999999999</v>
      </c>
      <c r="AE20" s="1">
        <v>2.1907999999999999</v>
      </c>
      <c r="AF20" s="1">
        <v>0.51079999999999992</v>
      </c>
      <c r="AG20" s="1"/>
      <c r="AH20" s="1">
        <f t="shared" ref="AH20:AH28" si="10">G20*S20</f>
        <v>12.328800000000001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61</v>
      </c>
      <c r="B21" s="1" t="s">
        <v>37</v>
      </c>
      <c r="C21" s="1">
        <v>423.48700000000002</v>
      </c>
      <c r="D21" s="1">
        <v>95.12</v>
      </c>
      <c r="E21" s="1">
        <v>242.62899999999999</v>
      </c>
      <c r="F21" s="1">
        <v>275.97800000000001</v>
      </c>
      <c r="G21" s="8">
        <v>1</v>
      </c>
      <c r="H21" s="1">
        <v>60</v>
      </c>
      <c r="I21" s="1" t="s">
        <v>38</v>
      </c>
      <c r="J21" s="1"/>
      <c r="K21" s="1">
        <v>239.83</v>
      </c>
      <c r="L21" s="1">
        <f t="shared" si="2"/>
        <v>2.7989999999999782</v>
      </c>
      <c r="M21" s="1"/>
      <c r="N21" s="1"/>
      <c r="O21" s="1">
        <v>303.58676000000003</v>
      </c>
      <c r="P21" s="1">
        <v>0</v>
      </c>
      <c r="Q21" s="1"/>
      <c r="R21" s="1">
        <f t="shared" si="3"/>
        <v>48.525799999999997</v>
      </c>
      <c r="S21" s="5"/>
      <c r="T21" s="5"/>
      <c r="U21" s="1"/>
      <c r="V21" s="1"/>
      <c r="W21" s="1">
        <f t="shared" si="5"/>
        <v>11.943435450832341</v>
      </c>
      <c r="X21" s="1">
        <f t="shared" si="6"/>
        <v>11.943435450832341</v>
      </c>
      <c r="Y21" s="1">
        <v>50.768000000000001</v>
      </c>
      <c r="Z21" s="1">
        <v>64.817599999999999</v>
      </c>
      <c r="AA21" s="1">
        <v>57.837000000000003</v>
      </c>
      <c r="AB21" s="1">
        <v>61.571599999999997</v>
      </c>
      <c r="AC21" s="1">
        <v>69.805833333333325</v>
      </c>
      <c r="AD21" s="1">
        <v>78.643000000000001</v>
      </c>
      <c r="AE21" s="1">
        <v>82.499800000000008</v>
      </c>
      <c r="AF21" s="1">
        <v>60.498600000000003</v>
      </c>
      <c r="AG21" s="1" t="s">
        <v>56</v>
      </c>
      <c r="AH21" s="1">
        <f t="shared" si="10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62</v>
      </c>
      <c r="B22" s="1" t="s">
        <v>37</v>
      </c>
      <c r="C22" s="1">
        <v>145.524</v>
      </c>
      <c r="D22" s="1"/>
      <c r="E22" s="1">
        <v>56.533000000000001</v>
      </c>
      <c r="F22" s="1">
        <v>83.710999999999999</v>
      </c>
      <c r="G22" s="8">
        <v>1</v>
      </c>
      <c r="H22" s="1">
        <v>60</v>
      </c>
      <c r="I22" s="1" t="s">
        <v>38</v>
      </c>
      <c r="J22" s="1"/>
      <c r="K22" s="1">
        <v>60.8</v>
      </c>
      <c r="L22" s="1">
        <f t="shared" si="2"/>
        <v>-4.2669999999999959</v>
      </c>
      <c r="M22" s="1"/>
      <c r="N22" s="1"/>
      <c r="O22" s="1">
        <v>29.5718</v>
      </c>
      <c r="P22" s="1">
        <v>12.677199999999999</v>
      </c>
      <c r="Q22" s="1"/>
      <c r="R22" s="1">
        <f t="shared" si="3"/>
        <v>11.3066</v>
      </c>
      <c r="S22" s="5"/>
      <c r="T22" s="5"/>
      <c r="U22" s="1"/>
      <c r="V22" s="1"/>
      <c r="W22" s="1">
        <f t="shared" si="5"/>
        <v>11.140395874975678</v>
      </c>
      <c r="X22" s="1">
        <f t="shared" si="6"/>
        <v>11.140395874975678</v>
      </c>
      <c r="Y22" s="1">
        <v>12.677199999999999</v>
      </c>
      <c r="Z22" s="1">
        <v>15.9178</v>
      </c>
      <c r="AA22" s="1">
        <v>12.666</v>
      </c>
      <c r="AB22" s="1">
        <v>18.053999999999998</v>
      </c>
      <c r="AC22" s="1">
        <v>20.484333333333339</v>
      </c>
      <c r="AD22" s="1">
        <v>19.677666666666671</v>
      </c>
      <c r="AE22" s="1">
        <v>21.834800000000001</v>
      </c>
      <c r="AF22" s="1">
        <v>22.864799999999999</v>
      </c>
      <c r="AG22" s="1"/>
      <c r="AH22" s="1">
        <f t="shared" si="10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37</v>
      </c>
      <c r="C23" s="1">
        <v>97.775000000000006</v>
      </c>
      <c r="D23" s="1"/>
      <c r="E23" s="1">
        <v>43.972000000000001</v>
      </c>
      <c r="F23" s="1">
        <v>52.927999999999997</v>
      </c>
      <c r="G23" s="8">
        <v>1</v>
      </c>
      <c r="H23" s="1">
        <v>60</v>
      </c>
      <c r="I23" s="1" t="s">
        <v>38</v>
      </c>
      <c r="J23" s="1"/>
      <c r="K23" s="1">
        <v>44.65</v>
      </c>
      <c r="L23" s="1">
        <f t="shared" si="2"/>
        <v>-0.67799999999999727</v>
      </c>
      <c r="M23" s="1"/>
      <c r="N23" s="1"/>
      <c r="O23" s="1">
        <v>101.53619999999999</v>
      </c>
      <c r="P23" s="1">
        <v>14.6014</v>
      </c>
      <c r="Q23" s="1"/>
      <c r="R23" s="1">
        <f t="shared" si="3"/>
        <v>8.7943999999999996</v>
      </c>
      <c r="S23" s="5"/>
      <c r="T23" s="5"/>
      <c r="U23" s="1"/>
      <c r="V23" s="1"/>
      <c r="W23" s="1">
        <f t="shared" si="5"/>
        <v>19.224233603202041</v>
      </c>
      <c r="X23" s="1">
        <f t="shared" si="6"/>
        <v>19.224233603202041</v>
      </c>
      <c r="Y23" s="1">
        <v>14.6014</v>
      </c>
      <c r="Z23" s="1">
        <v>18.119199999999999</v>
      </c>
      <c r="AA23" s="1">
        <v>11.2608</v>
      </c>
      <c r="AB23" s="1">
        <v>11.59</v>
      </c>
      <c r="AC23" s="1">
        <v>7.325333333333333</v>
      </c>
      <c r="AD23" s="1">
        <v>7.4840000000000009</v>
      </c>
      <c r="AE23" s="1">
        <v>19.0444</v>
      </c>
      <c r="AF23" s="1">
        <v>15.317399999999999</v>
      </c>
      <c r="AG23" s="1"/>
      <c r="AH23" s="1">
        <f t="shared" si="10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37</v>
      </c>
      <c r="C24" s="1">
        <v>21.12</v>
      </c>
      <c r="D24" s="1"/>
      <c r="E24" s="1">
        <v>16.408999999999999</v>
      </c>
      <c r="F24" s="1">
        <v>4.351</v>
      </c>
      <c r="G24" s="8">
        <v>1</v>
      </c>
      <c r="H24" s="1">
        <v>180</v>
      </c>
      <c r="I24" s="1" t="s">
        <v>38</v>
      </c>
      <c r="J24" s="1"/>
      <c r="K24" s="1">
        <v>14.7</v>
      </c>
      <c r="L24" s="1">
        <f t="shared" si="2"/>
        <v>1.7089999999999996</v>
      </c>
      <c r="M24" s="1"/>
      <c r="N24" s="1"/>
      <c r="O24" s="1">
        <v>0</v>
      </c>
      <c r="P24" s="1">
        <v>4</v>
      </c>
      <c r="Q24" s="1"/>
      <c r="R24" s="1">
        <f t="shared" si="3"/>
        <v>3.2817999999999996</v>
      </c>
      <c r="S24" s="5">
        <f>9*R24-Q24-P24-O24-F24</f>
        <v>21.185199999999998</v>
      </c>
      <c r="T24" s="5"/>
      <c r="U24" s="1"/>
      <c r="V24" s="1"/>
      <c r="W24" s="1">
        <f t="shared" si="5"/>
        <v>9</v>
      </c>
      <c r="X24" s="1">
        <f t="shared" si="6"/>
        <v>2.5446401365104516</v>
      </c>
      <c r="Y24" s="1">
        <v>1.2496</v>
      </c>
      <c r="Z24" s="1">
        <v>0.29339999999999999</v>
      </c>
      <c r="AA24" s="1">
        <v>0.44319999999999998</v>
      </c>
      <c r="AB24" s="1">
        <v>1.0998000000000001</v>
      </c>
      <c r="AC24" s="1">
        <v>2.0441666666666669</v>
      </c>
      <c r="AD24" s="1">
        <v>2.0674999999999999</v>
      </c>
      <c r="AE24" s="1">
        <v>1.6062000000000001</v>
      </c>
      <c r="AF24" s="1">
        <v>0.90579999999999994</v>
      </c>
      <c r="AG24" s="1"/>
      <c r="AH24" s="1">
        <f t="shared" si="10"/>
        <v>21.185199999999998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65</v>
      </c>
      <c r="B25" s="1" t="s">
        <v>37</v>
      </c>
      <c r="C25" s="1">
        <v>162.92400000000001</v>
      </c>
      <c r="D25" s="1"/>
      <c r="E25" s="1">
        <v>87.63</v>
      </c>
      <c r="F25" s="1">
        <v>69.914000000000001</v>
      </c>
      <c r="G25" s="8">
        <v>1</v>
      </c>
      <c r="H25" s="1">
        <v>60</v>
      </c>
      <c r="I25" s="1" t="s">
        <v>38</v>
      </c>
      <c r="J25" s="1"/>
      <c r="K25" s="1">
        <v>88.63</v>
      </c>
      <c r="L25" s="1">
        <f t="shared" si="2"/>
        <v>-1</v>
      </c>
      <c r="M25" s="1"/>
      <c r="N25" s="1"/>
      <c r="O25" s="1">
        <v>126.4552</v>
      </c>
      <c r="P25" s="1">
        <v>21.927</v>
      </c>
      <c r="Q25" s="1"/>
      <c r="R25" s="1">
        <f t="shared" si="3"/>
        <v>17.526</v>
      </c>
      <c r="S25" s="5"/>
      <c r="T25" s="5"/>
      <c r="U25" s="1"/>
      <c r="V25" s="1"/>
      <c r="W25" s="1">
        <f t="shared" si="5"/>
        <v>12.455563163300241</v>
      </c>
      <c r="X25" s="1">
        <f t="shared" si="6"/>
        <v>12.455563163300241</v>
      </c>
      <c r="Y25" s="1">
        <v>21.927</v>
      </c>
      <c r="Z25" s="1">
        <v>26.307200000000002</v>
      </c>
      <c r="AA25" s="1">
        <v>19.453399999999998</v>
      </c>
      <c r="AB25" s="1">
        <v>18.2332</v>
      </c>
      <c r="AC25" s="1">
        <v>19.212833333333329</v>
      </c>
      <c r="AD25" s="1">
        <v>22.660166666666669</v>
      </c>
      <c r="AE25" s="1">
        <v>33.264000000000003</v>
      </c>
      <c r="AF25" s="1">
        <v>23.146599999999999</v>
      </c>
      <c r="AG25" s="1" t="s">
        <v>56</v>
      </c>
      <c r="AH25" s="1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66</v>
      </c>
      <c r="B26" s="1" t="s">
        <v>37</v>
      </c>
      <c r="C26" s="1">
        <v>0.154</v>
      </c>
      <c r="D26" s="1">
        <v>136.57</v>
      </c>
      <c r="E26" s="1">
        <v>27.513000000000002</v>
      </c>
      <c r="F26" s="1">
        <v>105.89</v>
      </c>
      <c r="G26" s="8">
        <v>1</v>
      </c>
      <c r="H26" s="1">
        <v>30</v>
      </c>
      <c r="I26" s="1" t="s">
        <v>38</v>
      </c>
      <c r="J26" s="1"/>
      <c r="K26" s="1">
        <v>36.6</v>
      </c>
      <c r="L26" s="1">
        <f t="shared" si="2"/>
        <v>-9.0869999999999997</v>
      </c>
      <c r="M26" s="1"/>
      <c r="N26" s="1"/>
      <c r="O26" s="1">
        <v>0</v>
      </c>
      <c r="P26" s="1">
        <v>0</v>
      </c>
      <c r="Q26" s="1"/>
      <c r="R26" s="1">
        <f t="shared" si="3"/>
        <v>5.5026000000000002</v>
      </c>
      <c r="S26" s="5"/>
      <c r="T26" s="5"/>
      <c r="U26" s="1"/>
      <c r="V26" s="1"/>
      <c r="W26" s="1">
        <f t="shared" si="5"/>
        <v>19.243630283865809</v>
      </c>
      <c r="X26" s="1">
        <f t="shared" si="6"/>
        <v>19.243630283865809</v>
      </c>
      <c r="Y26" s="1">
        <v>3.4449999999999998</v>
      </c>
      <c r="Z26" s="1">
        <v>9.6722000000000001</v>
      </c>
      <c r="AA26" s="1">
        <v>11.096</v>
      </c>
      <c r="AB26" s="1">
        <v>9.3003999999999998</v>
      </c>
      <c r="AC26" s="1">
        <v>7.3301666666666669</v>
      </c>
      <c r="AD26" s="1">
        <v>5.9853333333333332</v>
      </c>
      <c r="AE26" s="1">
        <v>6.7058000000000009</v>
      </c>
      <c r="AF26" s="1">
        <v>6.5873999999999997</v>
      </c>
      <c r="AG26" s="1"/>
      <c r="AH26" s="1">
        <f t="shared" si="10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67</v>
      </c>
      <c r="B27" s="1" t="s">
        <v>37</v>
      </c>
      <c r="C27" s="1">
        <v>42.350999999999999</v>
      </c>
      <c r="D27" s="1">
        <v>166.304</v>
      </c>
      <c r="E27" s="1">
        <v>150.98400000000001</v>
      </c>
      <c r="F27" s="1">
        <v>52.835999999999999</v>
      </c>
      <c r="G27" s="8">
        <v>1</v>
      </c>
      <c r="H27" s="1">
        <v>30</v>
      </c>
      <c r="I27" s="1" t="s">
        <v>38</v>
      </c>
      <c r="J27" s="1"/>
      <c r="K27" s="1">
        <v>147.30000000000001</v>
      </c>
      <c r="L27" s="1">
        <f t="shared" si="2"/>
        <v>3.6839999999999975</v>
      </c>
      <c r="M27" s="1"/>
      <c r="N27" s="1"/>
      <c r="O27" s="1">
        <v>95.643393333333336</v>
      </c>
      <c r="P27" s="1">
        <v>16.093800000000041</v>
      </c>
      <c r="Q27" s="1"/>
      <c r="R27" s="1">
        <f t="shared" si="3"/>
        <v>30.196800000000003</v>
      </c>
      <c r="S27" s="5">
        <f t="shared" ref="S27" si="11">11*R27-Q27-P27-O27-F27</f>
        <v>167.59160666666662</v>
      </c>
      <c r="T27" s="5"/>
      <c r="U27" s="1"/>
      <c r="V27" s="1"/>
      <c r="W27" s="1">
        <f t="shared" si="5"/>
        <v>11</v>
      </c>
      <c r="X27" s="1">
        <f t="shared" si="6"/>
        <v>5.45002097352479</v>
      </c>
      <c r="Y27" s="1">
        <v>23.6342</v>
      </c>
      <c r="Z27" s="1">
        <v>27.0762</v>
      </c>
      <c r="AA27" s="1">
        <v>24.4468</v>
      </c>
      <c r="AB27" s="1">
        <v>27.483599999999999</v>
      </c>
      <c r="AC27" s="1">
        <v>22.382000000000001</v>
      </c>
      <c r="AD27" s="1">
        <v>16.56516666666667</v>
      </c>
      <c r="AE27" s="1">
        <v>16.7834</v>
      </c>
      <c r="AF27" s="1">
        <v>16.783200000000001</v>
      </c>
      <c r="AG27" s="1"/>
      <c r="AH27" s="1">
        <f t="shared" si="10"/>
        <v>167.59160666666662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37</v>
      </c>
      <c r="C28" s="1">
        <v>38.043999999999997</v>
      </c>
      <c r="D28" s="1">
        <v>167.63900000000001</v>
      </c>
      <c r="E28" s="1">
        <v>80.628</v>
      </c>
      <c r="F28" s="1">
        <v>122.17</v>
      </c>
      <c r="G28" s="8">
        <v>1</v>
      </c>
      <c r="H28" s="1">
        <v>30</v>
      </c>
      <c r="I28" s="1" t="s">
        <v>38</v>
      </c>
      <c r="J28" s="1"/>
      <c r="K28" s="1">
        <v>126.2</v>
      </c>
      <c r="L28" s="1">
        <f t="shared" si="2"/>
        <v>-45.572000000000003</v>
      </c>
      <c r="M28" s="1"/>
      <c r="N28" s="1"/>
      <c r="O28" s="1">
        <v>80.632366666666613</v>
      </c>
      <c r="P28" s="1">
        <v>0</v>
      </c>
      <c r="Q28" s="1"/>
      <c r="R28" s="1">
        <f t="shared" si="3"/>
        <v>16.125599999999999</v>
      </c>
      <c r="S28" s="5"/>
      <c r="T28" s="5"/>
      <c r="U28" s="1"/>
      <c r="V28" s="1"/>
      <c r="W28" s="1">
        <f t="shared" si="5"/>
        <v>12.576422996146912</v>
      </c>
      <c r="X28" s="1">
        <f t="shared" si="6"/>
        <v>12.576422996146912</v>
      </c>
      <c r="Y28" s="1">
        <v>19.5444</v>
      </c>
      <c r="Z28" s="1">
        <v>24.6494</v>
      </c>
      <c r="AA28" s="1">
        <v>19.831600000000002</v>
      </c>
      <c r="AB28" s="1">
        <v>16.118400000000001</v>
      </c>
      <c r="AC28" s="1">
        <v>18.931000000000001</v>
      </c>
      <c r="AD28" s="1">
        <v>18.378833333333329</v>
      </c>
      <c r="AE28" s="1">
        <v>15.5036</v>
      </c>
      <c r="AF28" s="1">
        <v>16.7544</v>
      </c>
      <c r="AG28" s="1" t="s">
        <v>56</v>
      </c>
      <c r="AH28" s="1">
        <f t="shared" si="10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7" t="s">
        <v>69</v>
      </c>
      <c r="B29" s="17" t="s">
        <v>37</v>
      </c>
      <c r="C29" s="17"/>
      <c r="D29" s="17"/>
      <c r="E29" s="17"/>
      <c r="F29" s="17"/>
      <c r="G29" s="18">
        <v>0</v>
      </c>
      <c r="H29" s="17">
        <v>45</v>
      </c>
      <c r="I29" s="17" t="s">
        <v>38</v>
      </c>
      <c r="J29" s="17"/>
      <c r="K29" s="17"/>
      <c r="L29" s="17">
        <f t="shared" si="2"/>
        <v>0</v>
      </c>
      <c r="M29" s="17"/>
      <c r="N29" s="17"/>
      <c r="O29" s="17">
        <v>0</v>
      </c>
      <c r="P29" s="17">
        <v>0</v>
      </c>
      <c r="Q29" s="17"/>
      <c r="R29" s="17">
        <f t="shared" si="3"/>
        <v>0</v>
      </c>
      <c r="S29" s="19"/>
      <c r="T29" s="19"/>
      <c r="U29" s="17"/>
      <c r="V29" s="17"/>
      <c r="W29" s="17" t="e">
        <f t="shared" si="5"/>
        <v>#DIV/0!</v>
      </c>
      <c r="X29" s="17" t="e">
        <f t="shared" si="6"/>
        <v>#DIV/0!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 t="s">
        <v>48</v>
      </c>
      <c r="AH29" s="17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37</v>
      </c>
      <c r="C30" s="1">
        <v>61.994999999999997</v>
      </c>
      <c r="D30" s="1">
        <v>79.974000000000004</v>
      </c>
      <c r="E30" s="1">
        <v>75.811000000000007</v>
      </c>
      <c r="F30" s="1">
        <v>65.754000000000005</v>
      </c>
      <c r="G30" s="8">
        <v>1</v>
      </c>
      <c r="H30" s="1">
        <v>40</v>
      </c>
      <c r="I30" s="1" t="s">
        <v>38</v>
      </c>
      <c r="J30" s="1"/>
      <c r="K30" s="1">
        <v>69.5</v>
      </c>
      <c r="L30" s="1">
        <f t="shared" si="2"/>
        <v>6.311000000000007</v>
      </c>
      <c r="M30" s="1"/>
      <c r="N30" s="1"/>
      <c r="O30" s="1">
        <v>40.788200000000018</v>
      </c>
      <c r="P30" s="1">
        <v>0</v>
      </c>
      <c r="Q30" s="1"/>
      <c r="R30" s="1">
        <f t="shared" si="3"/>
        <v>15.162200000000002</v>
      </c>
      <c r="S30" s="5">
        <f t="shared" ref="S30:S36" si="12">11*R30-Q30-P30-O30-F30</f>
        <v>60.242000000000004</v>
      </c>
      <c r="T30" s="5"/>
      <c r="U30" s="1"/>
      <c r="V30" s="1"/>
      <c r="W30" s="1">
        <f t="shared" si="5"/>
        <v>11</v>
      </c>
      <c r="X30" s="1">
        <f t="shared" si="6"/>
        <v>7.0268298795689281</v>
      </c>
      <c r="Y30" s="1">
        <v>12.7752</v>
      </c>
      <c r="Z30" s="1">
        <v>16.751200000000001</v>
      </c>
      <c r="AA30" s="1">
        <v>14.725</v>
      </c>
      <c r="AB30" s="1">
        <v>8.0410000000000004</v>
      </c>
      <c r="AC30" s="1">
        <v>5.0105000000000004</v>
      </c>
      <c r="AD30" s="1">
        <v>6.8230000000000004</v>
      </c>
      <c r="AE30" s="1">
        <v>23.580400000000001</v>
      </c>
      <c r="AF30" s="1">
        <v>9.5122</v>
      </c>
      <c r="AG30" s="1"/>
      <c r="AH30" s="1">
        <f t="shared" ref="AH30:AH37" si="13">G30*S30</f>
        <v>60.242000000000004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37</v>
      </c>
      <c r="C31" s="1">
        <v>1.21</v>
      </c>
      <c r="D31" s="1">
        <v>54.61</v>
      </c>
      <c r="E31" s="1">
        <v>6.923</v>
      </c>
      <c r="F31" s="1">
        <v>47.058</v>
      </c>
      <c r="G31" s="8">
        <v>1</v>
      </c>
      <c r="H31" s="1">
        <v>30</v>
      </c>
      <c r="I31" s="1" t="s">
        <v>38</v>
      </c>
      <c r="J31" s="1"/>
      <c r="K31" s="1">
        <v>15.7</v>
      </c>
      <c r="L31" s="1">
        <f t="shared" si="2"/>
        <v>-8.7769999999999992</v>
      </c>
      <c r="M31" s="1"/>
      <c r="N31" s="1"/>
      <c r="O31" s="1">
        <v>33.880800000000001</v>
      </c>
      <c r="P31" s="1">
        <v>0</v>
      </c>
      <c r="Q31" s="1"/>
      <c r="R31" s="1">
        <f t="shared" si="3"/>
        <v>1.3846000000000001</v>
      </c>
      <c r="S31" s="5"/>
      <c r="T31" s="5"/>
      <c r="U31" s="1"/>
      <c r="V31" s="1"/>
      <c r="W31" s="1">
        <f t="shared" si="5"/>
        <v>58.456449516105735</v>
      </c>
      <c r="X31" s="1">
        <f t="shared" si="6"/>
        <v>58.456449516105735</v>
      </c>
      <c r="Y31" s="1">
        <v>3.8828</v>
      </c>
      <c r="Z31" s="1">
        <v>6.8308000000000009</v>
      </c>
      <c r="AA31" s="1">
        <v>5.056</v>
      </c>
      <c r="AB31" s="1">
        <v>3.5028000000000001</v>
      </c>
      <c r="AC31" s="1">
        <v>2.714666666666667</v>
      </c>
      <c r="AD31" s="1">
        <v>1.5523333333333329</v>
      </c>
      <c r="AE31" s="1">
        <v>0</v>
      </c>
      <c r="AF31" s="1">
        <v>4.1215999999999999</v>
      </c>
      <c r="AG31" s="1"/>
      <c r="AH31" s="1">
        <f t="shared" si="1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37</v>
      </c>
      <c r="C32" s="1">
        <v>83.16</v>
      </c>
      <c r="D32" s="1">
        <v>43.796999999999997</v>
      </c>
      <c r="E32" s="1">
        <v>70.046999999999997</v>
      </c>
      <c r="F32" s="1">
        <v>48.222000000000001</v>
      </c>
      <c r="G32" s="8">
        <v>1</v>
      </c>
      <c r="H32" s="1">
        <v>50</v>
      </c>
      <c r="I32" s="1" t="s">
        <v>38</v>
      </c>
      <c r="J32" s="1"/>
      <c r="K32" s="1">
        <v>67.7</v>
      </c>
      <c r="L32" s="1">
        <f t="shared" si="2"/>
        <v>2.3469999999999942</v>
      </c>
      <c r="M32" s="1"/>
      <c r="N32" s="1"/>
      <c r="O32" s="1">
        <v>80.817999999999984</v>
      </c>
      <c r="P32" s="1">
        <v>13.8504</v>
      </c>
      <c r="Q32" s="1"/>
      <c r="R32" s="1">
        <f t="shared" si="3"/>
        <v>14.009399999999999</v>
      </c>
      <c r="S32" s="5">
        <f t="shared" si="12"/>
        <v>11.213000000000001</v>
      </c>
      <c r="T32" s="5"/>
      <c r="U32" s="1"/>
      <c r="V32" s="1"/>
      <c r="W32" s="1">
        <f t="shared" si="5"/>
        <v>11</v>
      </c>
      <c r="X32" s="1">
        <f t="shared" si="6"/>
        <v>10.199608834068554</v>
      </c>
      <c r="Y32" s="1">
        <v>13.8504</v>
      </c>
      <c r="Z32" s="1">
        <v>18.419</v>
      </c>
      <c r="AA32" s="1">
        <v>15.161</v>
      </c>
      <c r="AB32" s="1">
        <v>12.484400000000001</v>
      </c>
      <c r="AC32" s="1">
        <v>13.486333333333331</v>
      </c>
      <c r="AD32" s="1">
        <v>10.241</v>
      </c>
      <c r="AE32" s="1">
        <v>4.9218000000000002</v>
      </c>
      <c r="AF32" s="1">
        <v>23.067599999999999</v>
      </c>
      <c r="AG32" s="1"/>
      <c r="AH32" s="1">
        <f t="shared" si="13"/>
        <v>11.213000000000001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37</v>
      </c>
      <c r="C33" s="1">
        <v>37.598999999999997</v>
      </c>
      <c r="D33" s="1">
        <v>42.6</v>
      </c>
      <c r="E33" s="1">
        <v>44.548999999999999</v>
      </c>
      <c r="F33" s="1">
        <v>32.064999999999998</v>
      </c>
      <c r="G33" s="8">
        <v>1</v>
      </c>
      <c r="H33" s="1">
        <v>50</v>
      </c>
      <c r="I33" s="1" t="s">
        <v>38</v>
      </c>
      <c r="J33" s="1"/>
      <c r="K33" s="1">
        <v>45.3</v>
      </c>
      <c r="L33" s="1">
        <f t="shared" si="2"/>
        <v>-0.75099999999999767</v>
      </c>
      <c r="M33" s="1"/>
      <c r="N33" s="1"/>
      <c r="O33" s="1">
        <v>71.889200000000017</v>
      </c>
      <c r="P33" s="1">
        <v>10.127800000000001</v>
      </c>
      <c r="Q33" s="1"/>
      <c r="R33" s="1">
        <f t="shared" si="3"/>
        <v>8.9098000000000006</v>
      </c>
      <c r="S33" s="5"/>
      <c r="T33" s="5"/>
      <c r="U33" s="1"/>
      <c r="V33" s="1"/>
      <c r="W33" s="1">
        <f t="shared" si="5"/>
        <v>12.804103346876476</v>
      </c>
      <c r="X33" s="1">
        <f t="shared" si="6"/>
        <v>12.804103346876476</v>
      </c>
      <c r="Y33" s="1">
        <v>10.127800000000001</v>
      </c>
      <c r="Z33" s="1">
        <v>13.480399999999999</v>
      </c>
      <c r="AA33" s="1">
        <v>9.4016000000000002</v>
      </c>
      <c r="AB33" s="1">
        <v>9.0903999999999989</v>
      </c>
      <c r="AC33" s="1">
        <v>10.60083333333333</v>
      </c>
      <c r="AD33" s="1">
        <v>9.8345000000000002</v>
      </c>
      <c r="AE33" s="1">
        <v>9.8483999999999998</v>
      </c>
      <c r="AF33" s="1">
        <v>13.716799999999999</v>
      </c>
      <c r="AG33" s="1"/>
      <c r="AH33" s="1">
        <f t="shared" si="13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43</v>
      </c>
      <c r="C34" s="1">
        <v>197</v>
      </c>
      <c r="D34" s="1">
        <v>271</v>
      </c>
      <c r="E34" s="1">
        <v>372</v>
      </c>
      <c r="F34" s="1">
        <v>88</v>
      </c>
      <c r="G34" s="8">
        <v>0.4</v>
      </c>
      <c r="H34" s="1">
        <v>45</v>
      </c>
      <c r="I34" s="1" t="s">
        <v>38</v>
      </c>
      <c r="J34" s="1"/>
      <c r="K34" s="1">
        <v>403</v>
      </c>
      <c r="L34" s="1">
        <f t="shared" si="2"/>
        <v>-31</v>
      </c>
      <c r="M34" s="1"/>
      <c r="N34" s="1"/>
      <c r="O34" s="1">
        <v>479.40000000000009</v>
      </c>
      <c r="P34" s="1">
        <v>70.2</v>
      </c>
      <c r="Q34" s="1"/>
      <c r="R34" s="1">
        <f t="shared" si="3"/>
        <v>74.400000000000006</v>
      </c>
      <c r="S34" s="5">
        <f t="shared" si="12"/>
        <v>180.79999999999995</v>
      </c>
      <c r="T34" s="5"/>
      <c r="U34" s="1"/>
      <c r="V34" s="1"/>
      <c r="W34" s="1">
        <f t="shared" si="5"/>
        <v>11</v>
      </c>
      <c r="X34" s="1">
        <f t="shared" si="6"/>
        <v>8.56989247311828</v>
      </c>
      <c r="Y34" s="1">
        <v>70.2</v>
      </c>
      <c r="Z34" s="1">
        <v>85.2</v>
      </c>
      <c r="AA34" s="1">
        <v>61.4</v>
      </c>
      <c r="AB34" s="1">
        <v>68</v>
      </c>
      <c r="AC34" s="1">
        <v>65.166666666666671</v>
      </c>
      <c r="AD34" s="1">
        <v>73.833333333333329</v>
      </c>
      <c r="AE34" s="1">
        <v>75.400000000000006</v>
      </c>
      <c r="AF34" s="1">
        <v>81.2</v>
      </c>
      <c r="AG34" s="1" t="s">
        <v>54</v>
      </c>
      <c r="AH34" s="1">
        <f t="shared" si="13"/>
        <v>72.319999999999979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43</v>
      </c>
      <c r="C35" s="1">
        <v>148</v>
      </c>
      <c r="D35" s="1">
        <v>161</v>
      </c>
      <c r="E35" s="1">
        <v>232</v>
      </c>
      <c r="F35" s="1">
        <v>76</v>
      </c>
      <c r="G35" s="8">
        <v>0.45</v>
      </c>
      <c r="H35" s="1">
        <v>50</v>
      </c>
      <c r="I35" s="11" t="s">
        <v>76</v>
      </c>
      <c r="J35" s="1"/>
      <c r="K35" s="1">
        <v>243</v>
      </c>
      <c r="L35" s="1">
        <f t="shared" si="2"/>
        <v>-11</v>
      </c>
      <c r="M35" s="1"/>
      <c r="N35" s="1"/>
      <c r="O35" s="1">
        <v>409.80000000000013</v>
      </c>
      <c r="P35" s="1">
        <v>67.599999999999781</v>
      </c>
      <c r="Q35" s="1"/>
      <c r="R35" s="1">
        <f t="shared" si="3"/>
        <v>46.4</v>
      </c>
      <c r="S35" s="5"/>
      <c r="T35" s="5"/>
      <c r="U35" s="1"/>
      <c r="V35" s="1"/>
      <c r="W35" s="1">
        <f t="shared" si="5"/>
        <v>11.926724137931032</v>
      </c>
      <c r="X35" s="1">
        <f t="shared" si="6"/>
        <v>11.926724137931032</v>
      </c>
      <c r="Y35" s="1">
        <v>58.8</v>
      </c>
      <c r="Z35" s="1">
        <v>64.400000000000006</v>
      </c>
      <c r="AA35" s="1">
        <v>30.8</v>
      </c>
      <c r="AB35" s="1">
        <v>55.6</v>
      </c>
      <c r="AC35" s="1">
        <v>47.666666666666657</v>
      </c>
      <c r="AD35" s="1">
        <v>39</v>
      </c>
      <c r="AE35" s="1">
        <v>42.2</v>
      </c>
      <c r="AF35" s="1">
        <v>65.400000000000006</v>
      </c>
      <c r="AG35" s="1" t="s">
        <v>40</v>
      </c>
      <c r="AH35" s="1">
        <f t="shared" si="13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43</v>
      </c>
      <c r="C36" s="1">
        <v>186</v>
      </c>
      <c r="D36" s="1">
        <v>204</v>
      </c>
      <c r="E36" s="1">
        <v>337</v>
      </c>
      <c r="F36" s="1">
        <v>49</v>
      </c>
      <c r="G36" s="8">
        <v>0.4</v>
      </c>
      <c r="H36" s="1">
        <v>45</v>
      </c>
      <c r="I36" s="1" t="s">
        <v>38</v>
      </c>
      <c r="J36" s="1"/>
      <c r="K36" s="1">
        <v>352</v>
      </c>
      <c r="L36" s="1">
        <f t="shared" si="2"/>
        <v>-15</v>
      </c>
      <c r="M36" s="1"/>
      <c r="N36" s="1"/>
      <c r="O36" s="1">
        <v>324</v>
      </c>
      <c r="P36" s="1">
        <v>0</v>
      </c>
      <c r="Q36" s="1"/>
      <c r="R36" s="1">
        <f t="shared" si="3"/>
        <v>67.400000000000006</v>
      </c>
      <c r="S36" s="5">
        <f t="shared" si="12"/>
        <v>368.40000000000009</v>
      </c>
      <c r="T36" s="5"/>
      <c r="U36" s="1"/>
      <c r="V36" s="1"/>
      <c r="W36" s="1">
        <f t="shared" si="5"/>
        <v>11</v>
      </c>
      <c r="X36" s="1">
        <f t="shared" si="6"/>
        <v>5.534124629080118</v>
      </c>
      <c r="Y36" s="1">
        <v>51.6</v>
      </c>
      <c r="Z36" s="1">
        <v>64.599999999999994</v>
      </c>
      <c r="AA36" s="1">
        <v>48.8</v>
      </c>
      <c r="AB36" s="1">
        <v>53.6</v>
      </c>
      <c r="AC36" s="1">
        <v>46</v>
      </c>
      <c r="AD36" s="1">
        <v>53.833333333333343</v>
      </c>
      <c r="AE36" s="1">
        <v>59.2</v>
      </c>
      <c r="AF36" s="1">
        <v>70.400000000000006</v>
      </c>
      <c r="AG36" s="1"/>
      <c r="AH36" s="1">
        <f t="shared" si="13"/>
        <v>147.36000000000004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43</v>
      </c>
      <c r="C37" s="1">
        <v>3</v>
      </c>
      <c r="D37" s="1">
        <v>12</v>
      </c>
      <c r="E37" s="1">
        <v>5</v>
      </c>
      <c r="F37" s="1">
        <v>10</v>
      </c>
      <c r="G37" s="8">
        <v>0.4</v>
      </c>
      <c r="H37" s="1">
        <v>40</v>
      </c>
      <c r="I37" s="1" t="s">
        <v>38</v>
      </c>
      <c r="J37" s="1"/>
      <c r="K37" s="1">
        <v>5</v>
      </c>
      <c r="L37" s="1">
        <f t="shared" ref="L37:L68" si="14">E37-K37</f>
        <v>0</v>
      </c>
      <c r="M37" s="1"/>
      <c r="N37" s="1"/>
      <c r="O37" s="1">
        <v>0</v>
      </c>
      <c r="P37" s="1">
        <v>14.400000000000009</v>
      </c>
      <c r="Q37" s="1"/>
      <c r="R37" s="1">
        <f t="shared" si="3"/>
        <v>1</v>
      </c>
      <c r="S37" s="5"/>
      <c r="T37" s="5"/>
      <c r="U37" s="1"/>
      <c r="V37" s="1"/>
      <c r="W37" s="1">
        <f t="shared" si="5"/>
        <v>24.400000000000009</v>
      </c>
      <c r="X37" s="1">
        <f t="shared" si="6"/>
        <v>24.400000000000009</v>
      </c>
      <c r="Y37" s="1">
        <v>2.2000000000000002</v>
      </c>
      <c r="Z37" s="1">
        <v>2.8</v>
      </c>
      <c r="AA37" s="1">
        <v>4.8</v>
      </c>
      <c r="AB37" s="1">
        <v>6.4</v>
      </c>
      <c r="AC37" s="1">
        <v>2.666666666666667</v>
      </c>
      <c r="AD37" s="1">
        <v>0.33333333333333331</v>
      </c>
      <c r="AE37" s="1">
        <v>-1</v>
      </c>
      <c r="AF37" s="1">
        <v>11</v>
      </c>
      <c r="AG37" s="1"/>
      <c r="AH37" s="1">
        <f t="shared" si="13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7" t="s">
        <v>80</v>
      </c>
      <c r="B38" s="17" t="s">
        <v>37</v>
      </c>
      <c r="C38" s="17"/>
      <c r="D38" s="17"/>
      <c r="E38" s="17"/>
      <c r="F38" s="17"/>
      <c r="G38" s="18">
        <v>0</v>
      </c>
      <c r="H38" s="17">
        <v>45</v>
      </c>
      <c r="I38" s="17" t="s">
        <v>38</v>
      </c>
      <c r="J38" s="17"/>
      <c r="K38" s="17"/>
      <c r="L38" s="17">
        <f t="shared" si="14"/>
        <v>0</v>
      </c>
      <c r="M38" s="17"/>
      <c r="N38" s="17"/>
      <c r="O38" s="17">
        <v>0</v>
      </c>
      <c r="P38" s="17">
        <v>0</v>
      </c>
      <c r="Q38" s="17"/>
      <c r="R38" s="17">
        <f t="shared" si="3"/>
        <v>0</v>
      </c>
      <c r="S38" s="19"/>
      <c r="T38" s="19"/>
      <c r="U38" s="17"/>
      <c r="V38" s="17"/>
      <c r="W38" s="17" t="e">
        <f t="shared" si="5"/>
        <v>#DIV/0!</v>
      </c>
      <c r="X38" s="17" t="e">
        <f t="shared" si="6"/>
        <v>#DIV/0!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 t="s">
        <v>48</v>
      </c>
      <c r="AH38" s="17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43</v>
      </c>
      <c r="C39" s="1">
        <v>29</v>
      </c>
      <c r="D39" s="1">
        <v>40</v>
      </c>
      <c r="E39" s="1">
        <v>32</v>
      </c>
      <c r="F39" s="1">
        <v>37</v>
      </c>
      <c r="G39" s="8">
        <v>0.1</v>
      </c>
      <c r="H39" s="1">
        <v>730</v>
      </c>
      <c r="I39" s="1" t="s">
        <v>38</v>
      </c>
      <c r="J39" s="1"/>
      <c r="K39" s="1">
        <v>52</v>
      </c>
      <c r="L39" s="1">
        <f t="shared" si="14"/>
        <v>-20</v>
      </c>
      <c r="M39" s="1"/>
      <c r="N39" s="1"/>
      <c r="O39" s="1">
        <v>52.399999999999977</v>
      </c>
      <c r="P39" s="1">
        <v>0</v>
      </c>
      <c r="Q39" s="1"/>
      <c r="R39" s="1">
        <f t="shared" si="3"/>
        <v>6.4</v>
      </c>
      <c r="S39" s="5"/>
      <c r="T39" s="5"/>
      <c r="U39" s="1"/>
      <c r="V39" s="1"/>
      <c r="W39" s="1">
        <f t="shared" si="5"/>
        <v>13.968749999999996</v>
      </c>
      <c r="X39" s="1">
        <f t="shared" si="6"/>
        <v>13.968749999999996</v>
      </c>
      <c r="Y39" s="1">
        <v>7.2</v>
      </c>
      <c r="Z39" s="1">
        <v>11.2</v>
      </c>
      <c r="AA39" s="1">
        <v>7.4</v>
      </c>
      <c r="AB39" s="1">
        <v>3.6</v>
      </c>
      <c r="AC39" s="1">
        <v>1.666666666666667</v>
      </c>
      <c r="AD39" s="1">
        <v>1.5</v>
      </c>
      <c r="AE39" s="1">
        <v>5.8</v>
      </c>
      <c r="AF39" s="1">
        <v>5</v>
      </c>
      <c r="AG39" s="1"/>
      <c r="AH39" s="1">
        <f t="shared" ref="AH39:AH49" si="15"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43</v>
      </c>
      <c r="C40" s="1">
        <v>79</v>
      </c>
      <c r="D40" s="1">
        <v>2</v>
      </c>
      <c r="E40" s="1">
        <v>57</v>
      </c>
      <c r="F40" s="1">
        <v>15</v>
      </c>
      <c r="G40" s="8">
        <v>0.35</v>
      </c>
      <c r="H40" s="1">
        <v>40</v>
      </c>
      <c r="I40" s="1" t="s">
        <v>38</v>
      </c>
      <c r="J40" s="1"/>
      <c r="K40" s="1">
        <v>66</v>
      </c>
      <c r="L40" s="1">
        <f t="shared" si="14"/>
        <v>-9</v>
      </c>
      <c r="M40" s="1"/>
      <c r="N40" s="1"/>
      <c r="O40" s="1">
        <v>59.599999999999987</v>
      </c>
      <c r="P40" s="1">
        <v>21.200000000000021</v>
      </c>
      <c r="Q40" s="1"/>
      <c r="R40" s="1">
        <f t="shared" si="3"/>
        <v>11.4</v>
      </c>
      <c r="S40" s="5">
        <f t="shared" ref="S40:S49" si="16">11*R40-Q40-P40-O40-F40</f>
        <v>29.6</v>
      </c>
      <c r="T40" s="5"/>
      <c r="U40" s="1"/>
      <c r="V40" s="1"/>
      <c r="W40" s="1">
        <f t="shared" si="5"/>
        <v>11</v>
      </c>
      <c r="X40" s="1">
        <f t="shared" si="6"/>
        <v>8.4035087719298254</v>
      </c>
      <c r="Y40" s="1">
        <v>11.4</v>
      </c>
      <c r="Z40" s="1">
        <v>12.6</v>
      </c>
      <c r="AA40" s="1">
        <v>9.1999999999999993</v>
      </c>
      <c r="AB40" s="1">
        <v>10</v>
      </c>
      <c r="AC40" s="1">
        <v>17.333333333333329</v>
      </c>
      <c r="AD40" s="1">
        <v>21.666666666666671</v>
      </c>
      <c r="AE40" s="1">
        <v>20.2</v>
      </c>
      <c r="AF40" s="1">
        <v>17.399999999999999</v>
      </c>
      <c r="AG40" s="1" t="s">
        <v>40</v>
      </c>
      <c r="AH40" s="1">
        <f t="shared" si="15"/>
        <v>10.36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37</v>
      </c>
      <c r="C41" s="1">
        <v>60.521000000000001</v>
      </c>
      <c r="D41" s="1">
        <v>147.357</v>
      </c>
      <c r="E41" s="1">
        <v>81.510999999999996</v>
      </c>
      <c r="F41" s="1">
        <v>119.828</v>
      </c>
      <c r="G41" s="8">
        <v>1</v>
      </c>
      <c r="H41" s="1">
        <v>40</v>
      </c>
      <c r="I41" s="1" t="s">
        <v>38</v>
      </c>
      <c r="J41" s="1"/>
      <c r="K41" s="1">
        <v>88.8</v>
      </c>
      <c r="L41" s="1">
        <f t="shared" si="14"/>
        <v>-7.2890000000000015</v>
      </c>
      <c r="M41" s="1"/>
      <c r="N41" s="1"/>
      <c r="O41" s="1">
        <v>0</v>
      </c>
      <c r="P41" s="1">
        <v>0</v>
      </c>
      <c r="Q41" s="1"/>
      <c r="R41" s="1">
        <f t="shared" si="3"/>
        <v>16.302199999999999</v>
      </c>
      <c r="S41" s="5">
        <f t="shared" si="16"/>
        <v>59.496199999999988</v>
      </c>
      <c r="T41" s="5"/>
      <c r="U41" s="1"/>
      <c r="V41" s="1"/>
      <c r="W41" s="1">
        <f t="shared" si="5"/>
        <v>11</v>
      </c>
      <c r="X41" s="1">
        <f t="shared" si="6"/>
        <v>7.3504189618579092</v>
      </c>
      <c r="Y41" s="1">
        <v>12.037599999999999</v>
      </c>
      <c r="Z41" s="1">
        <v>15.8156</v>
      </c>
      <c r="AA41" s="1">
        <v>19.380800000000001</v>
      </c>
      <c r="AB41" s="1">
        <v>19.979399999999998</v>
      </c>
      <c r="AC41" s="1">
        <v>15.932499999999999</v>
      </c>
      <c r="AD41" s="1">
        <v>13.7525</v>
      </c>
      <c r="AE41" s="1">
        <v>14.0908</v>
      </c>
      <c r="AF41" s="1">
        <v>19.176200000000001</v>
      </c>
      <c r="AG41" s="1"/>
      <c r="AH41" s="1">
        <f t="shared" si="15"/>
        <v>59.496199999999988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43</v>
      </c>
      <c r="C42" s="1">
        <v>138</v>
      </c>
      <c r="D42" s="1"/>
      <c r="E42" s="1">
        <v>98</v>
      </c>
      <c r="F42" s="1">
        <v>40</v>
      </c>
      <c r="G42" s="8">
        <v>0.4</v>
      </c>
      <c r="H42" s="1">
        <v>40</v>
      </c>
      <c r="I42" s="1" t="s">
        <v>38</v>
      </c>
      <c r="J42" s="1"/>
      <c r="K42" s="1">
        <v>158</v>
      </c>
      <c r="L42" s="1">
        <f t="shared" si="14"/>
        <v>-60</v>
      </c>
      <c r="M42" s="1"/>
      <c r="N42" s="1"/>
      <c r="O42" s="1">
        <v>132.6</v>
      </c>
      <c r="P42" s="1">
        <v>40.19999999999996</v>
      </c>
      <c r="Q42" s="1"/>
      <c r="R42" s="1">
        <f t="shared" si="3"/>
        <v>19.600000000000001</v>
      </c>
      <c r="S42" s="5">
        <v>10</v>
      </c>
      <c r="T42" s="5"/>
      <c r="U42" s="1"/>
      <c r="V42" s="1"/>
      <c r="W42" s="1">
        <f t="shared" si="5"/>
        <v>11.367346938775507</v>
      </c>
      <c r="X42" s="1">
        <f t="shared" si="6"/>
        <v>10.857142857142854</v>
      </c>
      <c r="Y42" s="1">
        <v>24.4</v>
      </c>
      <c r="Z42" s="1">
        <v>24.6</v>
      </c>
      <c r="AA42" s="1">
        <v>7.2</v>
      </c>
      <c r="AB42" s="1">
        <v>22.6</v>
      </c>
      <c r="AC42" s="1">
        <v>20</v>
      </c>
      <c r="AD42" s="1">
        <v>4.166666666666667</v>
      </c>
      <c r="AE42" s="1">
        <v>6.8</v>
      </c>
      <c r="AF42" s="1">
        <v>35.200000000000003</v>
      </c>
      <c r="AG42" s="1"/>
      <c r="AH42" s="1">
        <f t="shared" si="15"/>
        <v>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43</v>
      </c>
      <c r="C43" s="1">
        <v>224</v>
      </c>
      <c r="D43" s="1">
        <v>1</v>
      </c>
      <c r="E43" s="1">
        <v>197</v>
      </c>
      <c r="F43" s="1">
        <v>21</v>
      </c>
      <c r="G43" s="8">
        <v>0.4</v>
      </c>
      <c r="H43" s="1">
        <v>45</v>
      </c>
      <c r="I43" s="1" t="s">
        <v>38</v>
      </c>
      <c r="J43" s="1"/>
      <c r="K43" s="1">
        <v>240</v>
      </c>
      <c r="L43" s="1">
        <f t="shared" si="14"/>
        <v>-43</v>
      </c>
      <c r="M43" s="1"/>
      <c r="N43" s="1"/>
      <c r="O43" s="1">
        <v>284</v>
      </c>
      <c r="P43" s="1">
        <v>154.80000000000001</v>
      </c>
      <c r="Q43" s="1"/>
      <c r="R43" s="1">
        <f t="shared" si="3"/>
        <v>39.4</v>
      </c>
      <c r="S43" s="5"/>
      <c r="T43" s="5"/>
      <c r="U43" s="1"/>
      <c r="V43" s="1"/>
      <c r="W43" s="1">
        <f t="shared" si="5"/>
        <v>11.67005076142132</v>
      </c>
      <c r="X43" s="1">
        <f t="shared" si="6"/>
        <v>11.67005076142132</v>
      </c>
      <c r="Y43" s="1">
        <v>49.6</v>
      </c>
      <c r="Z43" s="1">
        <v>50.8</v>
      </c>
      <c r="AA43" s="1">
        <v>18.2</v>
      </c>
      <c r="AB43" s="1">
        <v>42.8</v>
      </c>
      <c r="AC43" s="1">
        <v>45.166666666666657</v>
      </c>
      <c r="AD43" s="1">
        <v>40</v>
      </c>
      <c r="AE43" s="1">
        <v>34</v>
      </c>
      <c r="AF43" s="1">
        <v>54</v>
      </c>
      <c r="AG43" s="1"/>
      <c r="AH43" s="1">
        <f t="shared" si="15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37</v>
      </c>
      <c r="C44" s="1">
        <v>20.992999999999999</v>
      </c>
      <c r="D44" s="1">
        <v>161.52000000000001</v>
      </c>
      <c r="E44" s="1">
        <v>55.164000000000001</v>
      </c>
      <c r="F44" s="1">
        <v>126.619</v>
      </c>
      <c r="G44" s="8">
        <v>1</v>
      </c>
      <c r="H44" s="1">
        <v>40</v>
      </c>
      <c r="I44" s="1" t="s">
        <v>38</v>
      </c>
      <c r="J44" s="1"/>
      <c r="K44" s="1">
        <v>64.3</v>
      </c>
      <c r="L44" s="1">
        <f t="shared" si="14"/>
        <v>-9.1359999999999957</v>
      </c>
      <c r="M44" s="1"/>
      <c r="N44" s="1"/>
      <c r="O44" s="1">
        <v>15.41039999999999</v>
      </c>
      <c r="P44" s="1">
        <v>0</v>
      </c>
      <c r="Q44" s="1"/>
      <c r="R44" s="1">
        <f t="shared" si="3"/>
        <v>11.0328</v>
      </c>
      <c r="S44" s="5"/>
      <c r="T44" s="5"/>
      <c r="U44" s="1"/>
      <c r="V44" s="1"/>
      <c r="W44" s="1">
        <f t="shared" si="5"/>
        <v>12.873377565078673</v>
      </c>
      <c r="X44" s="1">
        <f t="shared" si="6"/>
        <v>12.873377565078673</v>
      </c>
      <c r="Y44" s="1">
        <v>12.9032</v>
      </c>
      <c r="Z44" s="1">
        <v>16.8994</v>
      </c>
      <c r="AA44" s="1">
        <v>17.527999999999999</v>
      </c>
      <c r="AB44" s="1">
        <v>18.144400000000001</v>
      </c>
      <c r="AC44" s="1">
        <v>13.016999999999999</v>
      </c>
      <c r="AD44" s="1">
        <v>10.044499999999999</v>
      </c>
      <c r="AE44" s="1">
        <v>16.438800000000001</v>
      </c>
      <c r="AF44" s="1">
        <v>18.190200000000001</v>
      </c>
      <c r="AG44" s="1"/>
      <c r="AH44" s="1">
        <f t="shared" si="15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43</v>
      </c>
      <c r="C45" s="1">
        <v>58</v>
      </c>
      <c r="D45" s="1">
        <v>170</v>
      </c>
      <c r="E45" s="1">
        <v>158</v>
      </c>
      <c r="F45" s="1">
        <v>69</v>
      </c>
      <c r="G45" s="8">
        <v>0.35</v>
      </c>
      <c r="H45" s="1">
        <v>40</v>
      </c>
      <c r="I45" s="1" t="s">
        <v>38</v>
      </c>
      <c r="J45" s="1"/>
      <c r="K45" s="1">
        <v>165</v>
      </c>
      <c r="L45" s="1">
        <f t="shared" si="14"/>
        <v>-7</v>
      </c>
      <c r="M45" s="1"/>
      <c r="N45" s="1"/>
      <c r="O45" s="1">
        <v>95.400000000000063</v>
      </c>
      <c r="P45" s="1">
        <v>38.800000000000011</v>
      </c>
      <c r="Q45" s="1"/>
      <c r="R45" s="1">
        <f t="shared" si="3"/>
        <v>31.6</v>
      </c>
      <c r="S45" s="5">
        <f t="shared" si="16"/>
        <v>144.39999999999995</v>
      </c>
      <c r="T45" s="5"/>
      <c r="U45" s="1"/>
      <c r="V45" s="1"/>
      <c r="W45" s="1">
        <f t="shared" si="5"/>
        <v>11</v>
      </c>
      <c r="X45" s="1">
        <f t="shared" si="6"/>
        <v>6.4303797468354453</v>
      </c>
      <c r="Y45" s="1">
        <v>26.6</v>
      </c>
      <c r="Z45" s="1">
        <v>28.8</v>
      </c>
      <c r="AA45" s="1">
        <v>26.2</v>
      </c>
      <c r="AB45" s="1">
        <v>43.4</v>
      </c>
      <c r="AC45" s="1">
        <v>34.166666666666657</v>
      </c>
      <c r="AD45" s="1">
        <v>42.5</v>
      </c>
      <c r="AE45" s="1">
        <v>54.2</v>
      </c>
      <c r="AF45" s="1">
        <v>43.4</v>
      </c>
      <c r="AG45" s="1" t="s">
        <v>56</v>
      </c>
      <c r="AH45" s="1">
        <f t="shared" si="15"/>
        <v>50.539999999999978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43</v>
      </c>
      <c r="C46" s="1">
        <v>183</v>
      </c>
      <c r="D46" s="1">
        <v>289</v>
      </c>
      <c r="E46" s="1">
        <v>373</v>
      </c>
      <c r="F46" s="1">
        <v>92</v>
      </c>
      <c r="G46" s="8">
        <v>0.4</v>
      </c>
      <c r="H46" s="1">
        <v>40</v>
      </c>
      <c r="I46" s="1" t="s">
        <v>38</v>
      </c>
      <c r="J46" s="1"/>
      <c r="K46" s="1">
        <v>396</v>
      </c>
      <c r="L46" s="1">
        <f t="shared" si="14"/>
        <v>-23</v>
      </c>
      <c r="M46" s="1"/>
      <c r="N46" s="1"/>
      <c r="O46" s="1">
        <v>379.20000000000027</v>
      </c>
      <c r="P46" s="1">
        <v>0</v>
      </c>
      <c r="Q46" s="1"/>
      <c r="R46" s="1">
        <f t="shared" si="3"/>
        <v>74.599999999999994</v>
      </c>
      <c r="S46" s="5">
        <f t="shared" si="16"/>
        <v>349.39999999999964</v>
      </c>
      <c r="T46" s="5"/>
      <c r="U46" s="1"/>
      <c r="V46" s="1"/>
      <c r="W46" s="1">
        <f t="shared" si="5"/>
        <v>11</v>
      </c>
      <c r="X46" s="1">
        <f t="shared" si="6"/>
        <v>6.316353887399468</v>
      </c>
      <c r="Y46" s="1">
        <v>62.2</v>
      </c>
      <c r="Z46" s="1">
        <v>76.8</v>
      </c>
      <c r="AA46" s="1">
        <v>60.4</v>
      </c>
      <c r="AB46" s="1">
        <v>71.599999999999994</v>
      </c>
      <c r="AC46" s="1">
        <v>64</v>
      </c>
      <c r="AD46" s="1">
        <v>55</v>
      </c>
      <c r="AE46" s="1">
        <v>52.8</v>
      </c>
      <c r="AF46" s="1">
        <v>86</v>
      </c>
      <c r="AG46" s="1" t="s">
        <v>40</v>
      </c>
      <c r="AH46" s="1">
        <f t="shared" si="15"/>
        <v>139.75999999999985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37</v>
      </c>
      <c r="C47" s="1">
        <v>13.614000000000001</v>
      </c>
      <c r="D47" s="1">
        <v>66.245999999999995</v>
      </c>
      <c r="E47" s="1">
        <v>17.561</v>
      </c>
      <c r="F47" s="1">
        <v>60.939</v>
      </c>
      <c r="G47" s="8">
        <v>1</v>
      </c>
      <c r="H47" s="1">
        <v>50</v>
      </c>
      <c r="I47" s="1" t="s">
        <v>38</v>
      </c>
      <c r="J47" s="1"/>
      <c r="K47" s="1">
        <v>31.55</v>
      </c>
      <c r="L47" s="1">
        <f t="shared" si="14"/>
        <v>-13.989000000000001</v>
      </c>
      <c r="M47" s="1"/>
      <c r="N47" s="1"/>
      <c r="O47" s="1">
        <v>17.276599999999998</v>
      </c>
      <c r="P47" s="1">
        <v>0</v>
      </c>
      <c r="Q47" s="1"/>
      <c r="R47" s="1">
        <f t="shared" si="3"/>
        <v>3.5122</v>
      </c>
      <c r="S47" s="5"/>
      <c r="T47" s="5"/>
      <c r="U47" s="1"/>
      <c r="V47" s="1"/>
      <c r="W47" s="1">
        <f t="shared" si="5"/>
        <v>22.269688514321505</v>
      </c>
      <c r="X47" s="1">
        <f t="shared" si="6"/>
        <v>22.269688514321505</v>
      </c>
      <c r="Y47" s="1">
        <v>4.8630000000000004</v>
      </c>
      <c r="Z47" s="1">
        <v>7.5688000000000004</v>
      </c>
      <c r="AA47" s="1">
        <v>7.3006000000000002</v>
      </c>
      <c r="AB47" s="1">
        <v>6.2210000000000001</v>
      </c>
      <c r="AC47" s="1">
        <v>2.4801666666666669</v>
      </c>
      <c r="AD47" s="1">
        <v>2.6353333333333331</v>
      </c>
      <c r="AE47" s="1">
        <v>7.4829999999999997</v>
      </c>
      <c r="AF47" s="1">
        <v>5.6665999999999999</v>
      </c>
      <c r="AG47" s="1"/>
      <c r="AH47" s="1">
        <f t="shared" si="15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37</v>
      </c>
      <c r="C48" s="1">
        <v>50.069000000000003</v>
      </c>
      <c r="D48" s="1">
        <v>184.91399999999999</v>
      </c>
      <c r="E48" s="1">
        <v>99.703999999999994</v>
      </c>
      <c r="F48" s="1">
        <v>134.93899999999999</v>
      </c>
      <c r="G48" s="8">
        <v>1</v>
      </c>
      <c r="H48" s="1">
        <v>50</v>
      </c>
      <c r="I48" s="1" t="s">
        <v>38</v>
      </c>
      <c r="J48" s="1"/>
      <c r="K48" s="1">
        <v>96.75</v>
      </c>
      <c r="L48" s="1">
        <f t="shared" si="14"/>
        <v>2.9539999999999935</v>
      </c>
      <c r="M48" s="1"/>
      <c r="N48" s="1"/>
      <c r="O48" s="1">
        <v>49.784000000000013</v>
      </c>
      <c r="P48" s="1">
        <v>0</v>
      </c>
      <c r="Q48" s="1"/>
      <c r="R48" s="1">
        <f t="shared" si="3"/>
        <v>19.940799999999999</v>
      </c>
      <c r="S48" s="5">
        <f t="shared" si="16"/>
        <v>34.62579999999997</v>
      </c>
      <c r="T48" s="5"/>
      <c r="U48" s="1"/>
      <c r="V48" s="1"/>
      <c r="W48" s="1">
        <f t="shared" si="5"/>
        <v>11</v>
      </c>
      <c r="X48" s="1">
        <f t="shared" si="6"/>
        <v>9.2635701676963826</v>
      </c>
      <c r="Y48" s="1">
        <v>17.225200000000001</v>
      </c>
      <c r="Z48" s="1">
        <v>25.126000000000001</v>
      </c>
      <c r="AA48" s="1">
        <v>24.050999999999998</v>
      </c>
      <c r="AB48" s="1">
        <v>20.925999999999998</v>
      </c>
      <c r="AC48" s="1">
        <v>18.566166666666671</v>
      </c>
      <c r="AD48" s="1">
        <v>16.356333333333339</v>
      </c>
      <c r="AE48" s="1">
        <v>22.979800000000001</v>
      </c>
      <c r="AF48" s="1">
        <v>15.784000000000001</v>
      </c>
      <c r="AG48" s="1"/>
      <c r="AH48" s="1">
        <f t="shared" si="15"/>
        <v>34.62579999999997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37</v>
      </c>
      <c r="C49" s="1">
        <v>135.40600000000001</v>
      </c>
      <c r="D49" s="1">
        <v>218.72800000000001</v>
      </c>
      <c r="E49" s="1">
        <v>116.511</v>
      </c>
      <c r="F49" s="1">
        <v>236.06899999999999</v>
      </c>
      <c r="G49" s="8">
        <v>1</v>
      </c>
      <c r="H49" s="1">
        <v>40</v>
      </c>
      <c r="I49" s="1" t="s">
        <v>38</v>
      </c>
      <c r="J49" s="1"/>
      <c r="K49" s="1">
        <v>104</v>
      </c>
      <c r="L49" s="1">
        <f t="shared" si="14"/>
        <v>12.510999999999996</v>
      </c>
      <c r="M49" s="1"/>
      <c r="N49" s="1"/>
      <c r="O49" s="1">
        <v>0</v>
      </c>
      <c r="P49" s="1">
        <v>0</v>
      </c>
      <c r="Q49" s="1"/>
      <c r="R49" s="1">
        <f t="shared" si="3"/>
        <v>23.302199999999999</v>
      </c>
      <c r="S49" s="5">
        <f t="shared" si="16"/>
        <v>20.255200000000031</v>
      </c>
      <c r="T49" s="5"/>
      <c r="U49" s="1"/>
      <c r="V49" s="1"/>
      <c r="W49" s="1">
        <f t="shared" si="5"/>
        <v>11.000000000000002</v>
      </c>
      <c r="X49" s="1">
        <f t="shared" si="6"/>
        <v>10.130760185733536</v>
      </c>
      <c r="Y49" s="1">
        <v>16.026399999999999</v>
      </c>
      <c r="Z49" s="1">
        <v>29.304200000000002</v>
      </c>
      <c r="AA49" s="1">
        <v>34.048200000000001</v>
      </c>
      <c r="AB49" s="1">
        <v>28.140999999999998</v>
      </c>
      <c r="AC49" s="1">
        <v>30.733166666666669</v>
      </c>
      <c r="AD49" s="1">
        <v>28.462499999999999</v>
      </c>
      <c r="AE49" s="1">
        <v>24.233599999999999</v>
      </c>
      <c r="AF49" s="1">
        <v>24.036999999999999</v>
      </c>
      <c r="AG49" s="1"/>
      <c r="AH49" s="1">
        <f t="shared" si="15"/>
        <v>20.255200000000031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2" t="s">
        <v>92</v>
      </c>
      <c r="B50" s="12" t="s">
        <v>43</v>
      </c>
      <c r="C50" s="12">
        <v>16</v>
      </c>
      <c r="D50" s="12"/>
      <c r="E50" s="12">
        <v>4</v>
      </c>
      <c r="F50" s="12">
        <v>12</v>
      </c>
      <c r="G50" s="13">
        <v>0</v>
      </c>
      <c r="H50" s="12" t="e">
        <v>#N/A</v>
      </c>
      <c r="I50" s="12" t="s">
        <v>44</v>
      </c>
      <c r="J50" s="12"/>
      <c r="K50" s="12">
        <v>27</v>
      </c>
      <c r="L50" s="12">
        <f t="shared" si="14"/>
        <v>-23</v>
      </c>
      <c r="M50" s="12"/>
      <c r="N50" s="12"/>
      <c r="O50" s="12">
        <v>0</v>
      </c>
      <c r="P50" s="12">
        <v>0</v>
      </c>
      <c r="Q50" s="12"/>
      <c r="R50" s="12">
        <f t="shared" si="3"/>
        <v>0.8</v>
      </c>
      <c r="S50" s="14"/>
      <c r="T50" s="14"/>
      <c r="U50" s="12"/>
      <c r="V50" s="12"/>
      <c r="W50" s="12">
        <f t="shared" si="5"/>
        <v>15</v>
      </c>
      <c r="X50" s="12">
        <f t="shared" si="6"/>
        <v>15</v>
      </c>
      <c r="Y50" s="12">
        <v>1.4</v>
      </c>
      <c r="Z50" s="12">
        <v>3.2</v>
      </c>
      <c r="AA50" s="12">
        <v>4.2</v>
      </c>
      <c r="AB50" s="12">
        <v>3.6</v>
      </c>
      <c r="AC50" s="12">
        <v>1</v>
      </c>
      <c r="AD50" s="12">
        <v>0</v>
      </c>
      <c r="AE50" s="12">
        <v>0</v>
      </c>
      <c r="AF50" s="12">
        <v>0</v>
      </c>
      <c r="AG50" s="12" t="s">
        <v>78</v>
      </c>
      <c r="AH50" s="12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93</v>
      </c>
      <c r="B51" s="1" t="s">
        <v>43</v>
      </c>
      <c r="C51" s="1">
        <v>381</v>
      </c>
      <c r="D51" s="1">
        <v>1</v>
      </c>
      <c r="E51" s="1">
        <v>160</v>
      </c>
      <c r="F51" s="1">
        <v>221</v>
      </c>
      <c r="G51" s="8">
        <v>0.45</v>
      </c>
      <c r="H51" s="1">
        <v>50</v>
      </c>
      <c r="I51" s="1" t="s">
        <v>38</v>
      </c>
      <c r="J51" s="1"/>
      <c r="K51" s="1">
        <v>181</v>
      </c>
      <c r="L51" s="1">
        <f t="shared" si="14"/>
        <v>-21</v>
      </c>
      <c r="M51" s="1"/>
      <c r="N51" s="1"/>
      <c r="O51" s="1">
        <v>123</v>
      </c>
      <c r="P51" s="1">
        <v>39.200000000000003</v>
      </c>
      <c r="Q51" s="1"/>
      <c r="R51" s="1">
        <f t="shared" si="3"/>
        <v>32</v>
      </c>
      <c r="S51" s="5"/>
      <c r="T51" s="5"/>
      <c r="U51" s="1"/>
      <c r="V51" s="1"/>
      <c r="W51" s="1">
        <f t="shared" si="5"/>
        <v>11.975</v>
      </c>
      <c r="X51" s="1">
        <f t="shared" si="6"/>
        <v>11.975</v>
      </c>
      <c r="Y51" s="1">
        <v>39.200000000000003</v>
      </c>
      <c r="Z51" s="1">
        <v>40</v>
      </c>
      <c r="AA51" s="1">
        <v>20.2</v>
      </c>
      <c r="AB51" s="1">
        <v>37.6</v>
      </c>
      <c r="AC51" s="1">
        <v>35.333333333333343</v>
      </c>
      <c r="AD51" s="1">
        <v>49.166666666666657</v>
      </c>
      <c r="AE51" s="1">
        <v>49.8</v>
      </c>
      <c r="AF51" s="1">
        <v>49.8</v>
      </c>
      <c r="AG51" s="1"/>
      <c r="AH51" s="1">
        <f>G51*S51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2" t="s">
        <v>94</v>
      </c>
      <c r="B52" s="12" t="s">
        <v>43</v>
      </c>
      <c r="C52" s="12">
        <v>18</v>
      </c>
      <c r="D52" s="12"/>
      <c r="E52" s="12">
        <v>15</v>
      </c>
      <c r="F52" s="12">
        <v>3</v>
      </c>
      <c r="G52" s="13">
        <v>0</v>
      </c>
      <c r="H52" s="12" t="e">
        <v>#N/A</v>
      </c>
      <c r="I52" s="12" t="s">
        <v>44</v>
      </c>
      <c r="J52" s="12"/>
      <c r="K52" s="12">
        <v>18</v>
      </c>
      <c r="L52" s="12">
        <f t="shared" si="14"/>
        <v>-3</v>
      </c>
      <c r="M52" s="12"/>
      <c r="N52" s="12"/>
      <c r="O52" s="12">
        <v>0</v>
      </c>
      <c r="P52" s="12">
        <v>0</v>
      </c>
      <c r="Q52" s="12"/>
      <c r="R52" s="12">
        <f t="shared" si="3"/>
        <v>3</v>
      </c>
      <c r="S52" s="14"/>
      <c r="T52" s="14"/>
      <c r="U52" s="12"/>
      <c r="V52" s="12"/>
      <c r="W52" s="12">
        <f t="shared" si="5"/>
        <v>1</v>
      </c>
      <c r="X52" s="12">
        <f t="shared" si="6"/>
        <v>1</v>
      </c>
      <c r="Y52" s="12">
        <v>4.2</v>
      </c>
      <c r="Z52" s="12">
        <v>3.6</v>
      </c>
      <c r="AA52" s="12">
        <v>3.6</v>
      </c>
      <c r="AB52" s="12">
        <v>3.2</v>
      </c>
      <c r="AC52" s="12">
        <v>0.66666666666666663</v>
      </c>
      <c r="AD52" s="12">
        <v>0</v>
      </c>
      <c r="AE52" s="12">
        <v>0</v>
      </c>
      <c r="AF52" s="12">
        <v>0</v>
      </c>
      <c r="AG52" s="12" t="s">
        <v>78</v>
      </c>
      <c r="AH52" s="1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43</v>
      </c>
      <c r="C53" s="1">
        <v>66</v>
      </c>
      <c r="D53" s="1">
        <v>85</v>
      </c>
      <c r="E53" s="1">
        <v>115</v>
      </c>
      <c r="F53" s="1">
        <v>35</v>
      </c>
      <c r="G53" s="8">
        <v>0.4</v>
      </c>
      <c r="H53" s="1">
        <v>40</v>
      </c>
      <c r="I53" s="1" t="s">
        <v>38</v>
      </c>
      <c r="J53" s="1"/>
      <c r="K53" s="1">
        <v>132</v>
      </c>
      <c r="L53" s="1">
        <f t="shared" si="14"/>
        <v>-17</v>
      </c>
      <c r="M53" s="1"/>
      <c r="N53" s="1"/>
      <c r="O53" s="1">
        <v>29.599999999999969</v>
      </c>
      <c r="P53" s="1">
        <v>0</v>
      </c>
      <c r="Q53" s="1"/>
      <c r="R53" s="1">
        <f t="shared" si="3"/>
        <v>23</v>
      </c>
      <c r="S53" s="5">
        <f>9*R53-Q53-P53-O53-F53</f>
        <v>142.40000000000003</v>
      </c>
      <c r="T53" s="5"/>
      <c r="U53" s="1"/>
      <c r="V53" s="1"/>
      <c r="W53" s="1">
        <f t="shared" si="5"/>
        <v>9</v>
      </c>
      <c r="X53" s="1">
        <f t="shared" si="6"/>
        <v>2.8086956521739115</v>
      </c>
      <c r="Y53" s="1">
        <v>12.2</v>
      </c>
      <c r="Z53" s="1">
        <v>16.2</v>
      </c>
      <c r="AA53" s="1">
        <v>10.199999999999999</v>
      </c>
      <c r="AB53" s="1">
        <v>22.6</v>
      </c>
      <c r="AC53" s="1">
        <v>17.5</v>
      </c>
      <c r="AD53" s="1">
        <v>12.33333333333333</v>
      </c>
      <c r="AE53" s="1">
        <v>15.4</v>
      </c>
      <c r="AF53" s="1">
        <v>24.4</v>
      </c>
      <c r="AG53" s="1"/>
      <c r="AH53" s="1">
        <f>G53*S53</f>
        <v>56.960000000000015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96</v>
      </c>
      <c r="B54" s="1" t="s">
        <v>43</v>
      </c>
      <c r="C54" s="1">
        <v>14</v>
      </c>
      <c r="D54" s="1">
        <v>133</v>
      </c>
      <c r="E54" s="1">
        <v>112</v>
      </c>
      <c r="F54" s="1">
        <v>33</v>
      </c>
      <c r="G54" s="8">
        <v>0.4</v>
      </c>
      <c r="H54" s="1">
        <v>40</v>
      </c>
      <c r="I54" s="1" t="s">
        <v>38</v>
      </c>
      <c r="J54" s="1"/>
      <c r="K54" s="1">
        <v>140</v>
      </c>
      <c r="L54" s="1">
        <f t="shared" si="14"/>
        <v>-28</v>
      </c>
      <c r="M54" s="1"/>
      <c r="N54" s="1"/>
      <c r="O54" s="1">
        <v>129</v>
      </c>
      <c r="P54" s="1">
        <v>0</v>
      </c>
      <c r="Q54" s="1"/>
      <c r="R54" s="1">
        <f t="shared" si="3"/>
        <v>22.4</v>
      </c>
      <c r="S54" s="5">
        <f t="shared" ref="S54" si="17">11*R54-Q54-P54-O54-F54</f>
        <v>84.399999999999977</v>
      </c>
      <c r="T54" s="5"/>
      <c r="U54" s="1"/>
      <c r="V54" s="1"/>
      <c r="W54" s="1">
        <f t="shared" si="5"/>
        <v>11</v>
      </c>
      <c r="X54" s="1">
        <f t="shared" si="6"/>
        <v>7.2321428571428577</v>
      </c>
      <c r="Y54" s="1">
        <v>19.399999999999999</v>
      </c>
      <c r="Z54" s="1">
        <v>24.8</v>
      </c>
      <c r="AA54" s="1">
        <v>15.6</v>
      </c>
      <c r="AB54" s="1">
        <v>25.8</v>
      </c>
      <c r="AC54" s="1">
        <v>17.666666666666671</v>
      </c>
      <c r="AD54" s="1">
        <v>16.5</v>
      </c>
      <c r="AE54" s="1">
        <v>20.6</v>
      </c>
      <c r="AF54" s="1">
        <v>29.4</v>
      </c>
      <c r="AG54" s="1" t="s">
        <v>56</v>
      </c>
      <c r="AH54" s="1">
        <f>G54*S54</f>
        <v>33.759999999999991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7" t="s">
        <v>97</v>
      </c>
      <c r="B55" s="17" t="s">
        <v>37</v>
      </c>
      <c r="C55" s="17"/>
      <c r="D55" s="17"/>
      <c r="E55" s="17"/>
      <c r="F55" s="17"/>
      <c r="G55" s="18">
        <v>0</v>
      </c>
      <c r="H55" s="17">
        <v>50</v>
      </c>
      <c r="I55" s="17" t="s">
        <v>38</v>
      </c>
      <c r="J55" s="17"/>
      <c r="K55" s="17"/>
      <c r="L55" s="17">
        <f t="shared" si="14"/>
        <v>0</v>
      </c>
      <c r="M55" s="17"/>
      <c r="N55" s="17"/>
      <c r="O55" s="17">
        <v>0</v>
      </c>
      <c r="P55" s="17">
        <v>0</v>
      </c>
      <c r="Q55" s="17"/>
      <c r="R55" s="17">
        <f t="shared" si="3"/>
        <v>0</v>
      </c>
      <c r="S55" s="19"/>
      <c r="T55" s="19"/>
      <c r="U55" s="17"/>
      <c r="V55" s="17"/>
      <c r="W55" s="17" t="e">
        <f t="shared" si="5"/>
        <v>#DIV/0!</v>
      </c>
      <c r="X55" s="17" t="e">
        <f t="shared" si="6"/>
        <v>#DIV/0!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 t="s">
        <v>48</v>
      </c>
      <c r="AH55" s="17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43</v>
      </c>
      <c r="C56" s="1">
        <v>36</v>
      </c>
      <c r="D56" s="1">
        <v>40</v>
      </c>
      <c r="E56" s="1">
        <v>39</v>
      </c>
      <c r="F56" s="1">
        <v>37</v>
      </c>
      <c r="G56" s="8">
        <v>0.1</v>
      </c>
      <c r="H56" s="1">
        <v>730</v>
      </c>
      <c r="I56" s="1" t="s">
        <v>38</v>
      </c>
      <c r="J56" s="1"/>
      <c r="K56" s="1">
        <v>40</v>
      </c>
      <c r="L56" s="1">
        <f t="shared" si="14"/>
        <v>-1</v>
      </c>
      <c r="M56" s="1"/>
      <c r="N56" s="1"/>
      <c r="O56" s="1">
        <v>47.800000000000011</v>
      </c>
      <c r="P56" s="1">
        <v>0</v>
      </c>
      <c r="Q56" s="1"/>
      <c r="R56" s="1">
        <f t="shared" si="3"/>
        <v>7.8</v>
      </c>
      <c r="S56" s="5">
        <v>10</v>
      </c>
      <c r="T56" s="5"/>
      <c r="U56" s="1"/>
      <c r="V56" s="1"/>
      <c r="W56" s="1">
        <f t="shared" si="5"/>
        <v>12.153846153846155</v>
      </c>
      <c r="X56" s="1">
        <f t="shared" si="6"/>
        <v>10.871794871794874</v>
      </c>
      <c r="Y56" s="1">
        <v>6.4</v>
      </c>
      <c r="Z56" s="1">
        <v>10.8</v>
      </c>
      <c r="AA56" s="1">
        <v>7</v>
      </c>
      <c r="AB56" s="1">
        <v>3</v>
      </c>
      <c r="AC56" s="1">
        <v>1.166666666666667</v>
      </c>
      <c r="AD56" s="1">
        <v>1</v>
      </c>
      <c r="AE56" s="1">
        <v>6.2</v>
      </c>
      <c r="AF56" s="1">
        <v>6.6</v>
      </c>
      <c r="AG56" s="1"/>
      <c r="AH56" s="1">
        <f t="shared" ref="AH56:AH68" si="18">G56*S56</f>
        <v>1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37</v>
      </c>
      <c r="C57" s="1">
        <v>67.825000000000003</v>
      </c>
      <c r="D57" s="1">
        <v>86.935000000000002</v>
      </c>
      <c r="E57" s="1">
        <v>71.58</v>
      </c>
      <c r="F57" s="1">
        <v>81.831999999999994</v>
      </c>
      <c r="G57" s="8">
        <v>1</v>
      </c>
      <c r="H57" s="1">
        <v>50</v>
      </c>
      <c r="I57" s="1" t="s">
        <v>38</v>
      </c>
      <c r="J57" s="1"/>
      <c r="K57" s="1">
        <v>71.75</v>
      </c>
      <c r="L57" s="1">
        <f t="shared" si="14"/>
        <v>-0.17000000000000171</v>
      </c>
      <c r="M57" s="1"/>
      <c r="N57" s="1"/>
      <c r="O57" s="1">
        <v>83.544099999999887</v>
      </c>
      <c r="P57" s="1">
        <v>16.448799999999999</v>
      </c>
      <c r="Q57" s="1"/>
      <c r="R57" s="1">
        <f t="shared" si="3"/>
        <v>14.315999999999999</v>
      </c>
      <c r="S57" s="5"/>
      <c r="T57" s="5"/>
      <c r="U57" s="1"/>
      <c r="V57" s="1"/>
      <c r="W57" s="1">
        <f t="shared" si="5"/>
        <v>12.70081726739312</v>
      </c>
      <c r="X57" s="1">
        <f t="shared" si="6"/>
        <v>12.70081726739312</v>
      </c>
      <c r="Y57" s="1">
        <v>16.448799999999999</v>
      </c>
      <c r="Z57" s="1">
        <v>21.588999999999999</v>
      </c>
      <c r="AA57" s="1">
        <v>16.772200000000002</v>
      </c>
      <c r="AB57" s="1">
        <v>13.1088</v>
      </c>
      <c r="AC57" s="1">
        <v>15.593500000000001</v>
      </c>
      <c r="AD57" s="1">
        <v>19.488499999999998</v>
      </c>
      <c r="AE57" s="1">
        <v>21.813600000000001</v>
      </c>
      <c r="AF57" s="1">
        <v>13.634399999999999</v>
      </c>
      <c r="AG57" s="1"/>
      <c r="AH57" s="1">
        <f t="shared" si="1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37</v>
      </c>
      <c r="C58" s="1">
        <v>47.540999999999997</v>
      </c>
      <c r="D58" s="1">
        <v>32.795999999999999</v>
      </c>
      <c r="E58" s="1">
        <v>41.866999999999997</v>
      </c>
      <c r="F58" s="1">
        <v>38.47</v>
      </c>
      <c r="G58" s="8">
        <v>1</v>
      </c>
      <c r="H58" s="1">
        <v>50</v>
      </c>
      <c r="I58" s="1" t="s">
        <v>38</v>
      </c>
      <c r="J58" s="1"/>
      <c r="K58" s="1">
        <v>41.9</v>
      </c>
      <c r="L58" s="1">
        <f t="shared" si="14"/>
        <v>-3.3000000000001251E-2</v>
      </c>
      <c r="M58" s="1"/>
      <c r="N58" s="1"/>
      <c r="O58" s="1">
        <v>0</v>
      </c>
      <c r="P58" s="1">
        <v>0</v>
      </c>
      <c r="Q58" s="1"/>
      <c r="R58" s="1">
        <f t="shared" si="3"/>
        <v>8.3734000000000002</v>
      </c>
      <c r="S58" s="5">
        <f t="shared" ref="S58:S68" si="19">11*R58-Q58-P58-O58-F58</f>
        <v>53.6374</v>
      </c>
      <c r="T58" s="5"/>
      <c r="U58" s="1"/>
      <c r="V58" s="1"/>
      <c r="W58" s="1">
        <f t="shared" si="5"/>
        <v>11</v>
      </c>
      <c r="X58" s="1">
        <f t="shared" si="6"/>
        <v>4.59431055485227</v>
      </c>
      <c r="Y58" s="1">
        <v>3.5013999999999998</v>
      </c>
      <c r="Z58" s="1">
        <v>4.3162000000000003</v>
      </c>
      <c r="AA58" s="1">
        <v>5.4074</v>
      </c>
      <c r="AB58" s="1">
        <v>7.5715999999999992</v>
      </c>
      <c r="AC58" s="1">
        <v>6.5365000000000002</v>
      </c>
      <c r="AD58" s="1">
        <v>5.1783333333333337</v>
      </c>
      <c r="AE58" s="1">
        <v>4.3322000000000003</v>
      </c>
      <c r="AF58" s="1">
        <v>5.694</v>
      </c>
      <c r="AG58" s="1"/>
      <c r="AH58" s="1">
        <f t="shared" si="18"/>
        <v>53.6374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101</v>
      </c>
      <c r="B59" s="1" t="s">
        <v>43</v>
      </c>
      <c r="C59" s="1">
        <v>37</v>
      </c>
      <c r="D59" s="1">
        <v>20</v>
      </c>
      <c r="E59" s="1">
        <v>40</v>
      </c>
      <c r="F59" s="1">
        <v>17</v>
      </c>
      <c r="G59" s="8">
        <v>0.1</v>
      </c>
      <c r="H59" s="1">
        <v>730</v>
      </c>
      <c r="I59" s="1" t="s">
        <v>38</v>
      </c>
      <c r="J59" s="1"/>
      <c r="K59" s="1">
        <v>40</v>
      </c>
      <c r="L59" s="1">
        <f t="shared" si="14"/>
        <v>0</v>
      </c>
      <c r="M59" s="1"/>
      <c r="N59" s="1"/>
      <c r="O59" s="1">
        <v>49.200000000000017</v>
      </c>
      <c r="P59" s="1">
        <v>0</v>
      </c>
      <c r="Q59" s="1"/>
      <c r="R59" s="1">
        <f t="shared" si="3"/>
        <v>8</v>
      </c>
      <c r="S59" s="5">
        <f t="shared" si="19"/>
        <v>21.799999999999983</v>
      </c>
      <c r="T59" s="5"/>
      <c r="U59" s="1"/>
      <c r="V59" s="1"/>
      <c r="W59" s="1">
        <f t="shared" si="5"/>
        <v>11</v>
      </c>
      <c r="X59" s="1">
        <f t="shared" si="6"/>
        <v>8.2750000000000021</v>
      </c>
      <c r="Y59" s="1">
        <v>6.4</v>
      </c>
      <c r="Z59" s="1">
        <v>9.4</v>
      </c>
      <c r="AA59" s="1">
        <v>5.6</v>
      </c>
      <c r="AB59" s="1">
        <v>2</v>
      </c>
      <c r="AC59" s="1">
        <v>1.166666666666667</v>
      </c>
      <c r="AD59" s="1">
        <v>1.333333333333333</v>
      </c>
      <c r="AE59" s="1">
        <v>6.6</v>
      </c>
      <c r="AF59" s="1">
        <v>6.6</v>
      </c>
      <c r="AG59" s="1"/>
      <c r="AH59" s="1">
        <f t="shared" si="18"/>
        <v>2.1799999999999984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102</v>
      </c>
      <c r="B60" s="1" t="s">
        <v>43</v>
      </c>
      <c r="C60" s="1">
        <v>240</v>
      </c>
      <c r="D60" s="1">
        <v>11</v>
      </c>
      <c r="E60" s="1">
        <v>112</v>
      </c>
      <c r="F60" s="1">
        <v>138</v>
      </c>
      <c r="G60" s="8">
        <v>0.4</v>
      </c>
      <c r="H60" s="1">
        <v>50</v>
      </c>
      <c r="I60" s="1" t="s">
        <v>38</v>
      </c>
      <c r="J60" s="1"/>
      <c r="K60" s="1">
        <v>120</v>
      </c>
      <c r="L60" s="1">
        <f t="shared" si="14"/>
        <v>-8</v>
      </c>
      <c r="M60" s="1"/>
      <c r="N60" s="1"/>
      <c r="O60" s="1">
        <v>0</v>
      </c>
      <c r="P60" s="1">
        <v>18.600000000000001</v>
      </c>
      <c r="Q60" s="1"/>
      <c r="R60" s="1">
        <f t="shared" si="3"/>
        <v>22.4</v>
      </c>
      <c r="S60" s="5">
        <f t="shared" si="19"/>
        <v>89.799999999999983</v>
      </c>
      <c r="T60" s="5"/>
      <c r="U60" s="1"/>
      <c r="V60" s="1"/>
      <c r="W60" s="1">
        <f t="shared" si="5"/>
        <v>11</v>
      </c>
      <c r="X60" s="1">
        <f t="shared" si="6"/>
        <v>6.9910714285714288</v>
      </c>
      <c r="Y60" s="1">
        <v>18.600000000000001</v>
      </c>
      <c r="Z60" s="1">
        <v>18.2</v>
      </c>
      <c r="AA60" s="1">
        <v>7</v>
      </c>
      <c r="AB60" s="1">
        <v>31.6</v>
      </c>
      <c r="AC60" s="1">
        <v>28.5</v>
      </c>
      <c r="AD60" s="1">
        <v>5</v>
      </c>
      <c r="AE60" s="1">
        <v>2.6</v>
      </c>
      <c r="AF60" s="1">
        <v>30</v>
      </c>
      <c r="AG60" s="1"/>
      <c r="AH60" s="1">
        <f t="shared" si="18"/>
        <v>35.919999999999995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103</v>
      </c>
      <c r="B61" s="1" t="s">
        <v>37</v>
      </c>
      <c r="C61" s="1">
        <v>7.9130000000000003</v>
      </c>
      <c r="D61" s="1">
        <v>31.55</v>
      </c>
      <c r="E61" s="1">
        <v>8.016</v>
      </c>
      <c r="F61" s="1">
        <v>31.446999999999999</v>
      </c>
      <c r="G61" s="8">
        <v>1</v>
      </c>
      <c r="H61" s="1">
        <v>40</v>
      </c>
      <c r="I61" s="1" t="s">
        <v>38</v>
      </c>
      <c r="J61" s="1"/>
      <c r="K61" s="1">
        <v>12.6</v>
      </c>
      <c r="L61" s="1">
        <f t="shared" si="14"/>
        <v>-4.5839999999999996</v>
      </c>
      <c r="M61" s="1"/>
      <c r="N61" s="1"/>
      <c r="O61" s="1">
        <v>14.69700000000002</v>
      </c>
      <c r="P61" s="1">
        <v>0</v>
      </c>
      <c r="Q61" s="1"/>
      <c r="R61" s="1">
        <f t="shared" si="3"/>
        <v>1.6032</v>
      </c>
      <c r="S61" s="5"/>
      <c r="T61" s="5"/>
      <c r="U61" s="1"/>
      <c r="V61" s="1"/>
      <c r="W61" s="1">
        <f t="shared" si="5"/>
        <v>28.782435129740531</v>
      </c>
      <c r="X61" s="1">
        <f t="shared" si="6"/>
        <v>28.782435129740531</v>
      </c>
      <c r="Y61" s="1">
        <v>3.0922000000000001</v>
      </c>
      <c r="Z61" s="1">
        <v>4.3907999999999996</v>
      </c>
      <c r="AA61" s="1">
        <v>3.6964000000000001</v>
      </c>
      <c r="AB61" s="1">
        <v>2.6718000000000002</v>
      </c>
      <c r="AC61" s="1">
        <v>2.019166666666667</v>
      </c>
      <c r="AD61" s="1">
        <v>2.0093333333333332</v>
      </c>
      <c r="AE61" s="1">
        <v>1.0698000000000001</v>
      </c>
      <c r="AF61" s="1">
        <v>1.6020000000000001</v>
      </c>
      <c r="AG61" s="1"/>
      <c r="AH61" s="1">
        <f t="shared" si="18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104</v>
      </c>
      <c r="B62" s="1" t="s">
        <v>37</v>
      </c>
      <c r="C62" s="1">
        <v>14.606</v>
      </c>
      <c r="D62" s="1">
        <v>16.356000000000002</v>
      </c>
      <c r="E62" s="1">
        <v>11.736000000000001</v>
      </c>
      <c r="F62" s="1">
        <v>19.225999999999999</v>
      </c>
      <c r="G62" s="8">
        <v>1</v>
      </c>
      <c r="H62" s="1">
        <v>40</v>
      </c>
      <c r="I62" s="1" t="s">
        <v>38</v>
      </c>
      <c r="J62" s="1"/>
      <c r="K62" s="1">
        <v>11.8</v>
      </c>
      <c r="L62" s="1">
        <f t="shared" si="14"/>
        <v>-6.4000000000000057E-2</v>
      </c>
      <c r="M62" s="1"/>
      <c r="N62" s="1"/>
      <c r="O62" s="1">
        <v>0</v>
      </c>
      <c r="P62" s="1">
        <v>0</v>
      </c>
      <c r="Q62" s="1"/>
      <c r="R62" s="1">
        <f t="shared" si="3"/>
        <v>2.3472</v>
      </c>
      <c r="S62" s="5">
        <f t="shared" si="19"/>
        <v>6.5931999999999995</v>
      </c>
      <c r="T62" s="5"/>
      <c r="U62" s="1"/>
      <c r="V62" s="1"/>
      <c r="W62" s="1">
        <f t="shared" si="5"/>
        <v>11</v>
      </c>
      <c r="X62" s="1">
        <f t="shared" si="6"/>
        <v>8.1910361281526924</v>
      </c>
      <c r="Y62" s="1">
        <v>0.52580000000000005</v>
      </c>
      <c r="Z62" s="1">
        <v>1.3211999999999999</v>
      </c>
      <c r="AA62" s="1">
        <v>2.6217999999999999</v>
      </c>
      <c r="AB62" s="1">
        <v>1.7645999999999999</v>
      </c>
      <c r="AC62" s="1">
        <v>0.82016666666666671</v>
      </c>
      <c r="AD62" s="1">
        <v>1.0906666666666669</v>
      </c>
      <c r="AE62" s="1">
        <v>1.3555999999999999</v>
      </c>
      <c r="AF62" s="1">
        <v>2.5045999999999999</v>
      </c>
      <c r="AG62" s="1"/>
      <c r="AH62" s="1">
        <f t="shared" si="18"/>
        <v>6.5931999999999995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105</v>
      </c>
      <c r="B63" s="1" t="s">
        <v>43</v>
      </c>
      <c r="C63" s="1">
        <v>177</v>
      </c>
      <c r="D63" s="1">
        <v>451</v>
      </c>
      <c r="E63" s="1">
        <v>423</v>
      </c>
      <c r="F63" s="1">
        <v>203</v>
      </c>
      <c r="G63" s="8">
        <v>0.4</v>
      </c>
      <c r="H63" s="1">
        <v>40</v>
      </c>
      <c r="I63" s="1" t="s">
        <v>38</v>
      </c>
      <c r="J63" s="1"/>
      <c r="K63" s="1">
        <v>454</v>
      </c>
      <c r="L63" s="1">
        <f t="shared" si="14"/>
        <v>-31</v>
      </c>
      <c r="M63" s="1"/>
      <c r="N63" s="1"/>
      <c r="O63" s="1">
        <v>450.20000000000022</v>
      </c>
      <c r="P63" s="1">
        <v>0</v>
      </c>
      <c r="Q63" s="1"/>
      <c r="R63" s="1">
        <f t="shared" si="3"/>
        <v>84.6</v>
      </c>
      <c r="S63" s="5">
        <f t="shared" si="19"/>
        <v>277.39999999999969</v>
      </c>
      <c r="T63" s="5"/>
      <c r="U63" s="1"/>
      <c r="V63" s="1"/>
      <c r="W63" s="1">
        <f t="shared" si="5"/>
        <v>11</v>
      </c>
      <c r="X63" s="1">
        <f t="shared" si="6"/>
        <v>7.7210401891252989</v>
      </c>
      <c r="Y63" s="1">
        <v>77.599999999999994</v>
      </c>
      <c r="Z63" s="1">
        <v>97.4</v>
      </c>
      <c r="AA63" s="1">
        <v>76.599999999999994</v>
      </c>
      <c r="AB63" s="1">
        <v>78.400000000000006</v>
      </c>
      <c r="AC63" s="1">
        <v>54.5</v>
      </c>
      <c r="AD63" s="1">
        <v>63.833333333333343</v>
      </c>
      <c r="AE63" s="1">
        <v>85.8</v>
      </c>
      <c r="AF63" s="1">
        <v>93.6</v>
      </c>
      <c r="AG63" s="1"/>
      <c r="AH63" s="1">
        <f t="shared" si="18"/>
        <v>110.95999999999988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106</v>
      </c>
      <c r="B64" s="1" t="s">
        <v>43</v>
      </c>
      <c r="C64" s="1">
        <v>118</v>
      </c>
      <c r="D64" s="1">
        <v>307</v>
      </c>
      <c r="E64" s="1">
        <v>360</v>
      </c>
      <c r="F64" s="1">
        <v>59</v>
      </c>
      <c r="G64" s="8">
        <v>0.4</v>
      </c>
      <c r="H64" s="1">
        <v>40</v>
      </c>
      <c r="I64" s="1" t="s">
        <v>38</v>
      </c>
      <c r="J64" s="1"/>
      <c r="K64" s="1">
        <v>395</v>
      </c>
      <c r="L64" s="1">
        <f t="shared" si="14"/>
        <v>-35</v>
      </c>
      <c r="M64" s="1"/>
      <c r="N64" s="1"/>
      <c r="O64" s="1">
        <v>606.19999999999982</v>
      </c>
      <c r="P64" s="1">
        <v>0</v>
      </c>
      <c r="Q64" s="1"/>
      <c r="R64" s="1">
        <f t="shared" si="3"/>
        <v>72</v>
      </c>
      <c r="S64" s="5">
        <f t="shared" si="19"/>
        <v>126.80000000000018</v>
      </c>
      <c r="T64" s="5"/>
      <c r="U64" s="1"/>
      <c r="V64" s="1"/>
      <c r="W64" s="1">
        <f t="shared" si="5"/>
        <v>11</v>
      </c>
      <c r="X64" s="1">
        <f t="shared" si="6"/>
        <v>9.2388888888888872</v>
      </c>
      <c r="Y64" s="1">
        <v>80.2</v>
      </c>
      <c r="Z64" s="1">
        <v>93.6</v>
      </c>
      <c r="AA64" s="1">
        <v>61.2</v>
      </c>
      <c r="AB64" s="1">
        <v>80.400000000000006</v>
      </c>
      <c r="AC64" s="1">
        <v>65</v>
      </c>
      <c r="AD64" s="1">
        <v>49.5</v>
      </c>
      <c r="AE64" s="1">
        <v>55.2</v>
      </c>
      <c r="AF64" s="1">
        <v>95.8</v>
      </c>
      <c r="AG64" s="1" t="s">
        <v>40</v>
      </c>
      <c r="AH64" s="1">
        <f t="shared" si="18"/>
        <v>50.720000000000077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107</v>
      </c>
      <c r="B65" s="1" t="s">
        <v>37</v>
      </c>
      <c r="C65" s="1">
        <v>362.42399999999998</v>
      </c>
      <c r="D65" s="1">
        <v>0.90100000000000002</v>
      </c>
      <c r="E65" s="1">
        <v>248.69499999999999</v>
      </c>
      <c r="F65" s="1">
        <v>113.729</v>
      </c>
      <c r="G65" s="8">
        <v>1</v>
      </c>
      <c r="H65" s="1">
        <v>40</v>
      </c>
      <c r="I65" s="1" t="s">
        <v>38</v>
      </c>
      <c r="J65" s="1"/>
      <c r="K65" s="1">
        <v>227.9</v>
      </c>
      <c r="L65" s="1">
        <f t="shared" si="14"/>
        <v>20.794999999999987</v>
      </c>
      <c r="M65" s="1"/>
      <c r="N65" s="1"/>
      <c r="O65" s="1">
        <v>110.57380000000001</v>
      </c>
      <c r="P65" s="1">
        <v>198.51899999999989</v>
      </c>
      <c r="Q65" s="1"/>
      <c r="R65" s="1">
        <f t="shared" si="3"/>
        <v>49.738999999999997</v>
      </c>
      <c r="S65" s="5">
        <f t="shared" si="19"/>
        <v>124.30720000000012</v>
      </c>
      <c r="T65" s="5"/>
      <c r="U65" s="1"/>
      <c r="V65" s="1"/>
      <c r="W65" s="1">
        <f t="shared" si="5"/>
        <v>11.000000000000002</v>
      </c>
      <c r="X65" s="1">
        <f t="shared" si="6"/>
        <v>8.5008102293974535</v>
      </c>
      <c r="Y65" s="1">
        <v>48.492400000000004</v>
      </c>
      <c r="Z65" s="1">
        <v>42.9998</v>
      </c>
      <c r="AA65" s="1">
        <v>34.415799999999997</v>
      </c>
      <c r="AB65" s="1">
        <v>31.364599999999999</v>
      </c>
      <c r="AC65" s="1">
        <v>16.673333333333339</v>
      </c>
      <c r="AD65" s="1">
        <v>40.398000000000003</v>
      </c>
      <c r="AE65" s="1">
        <v>60.168999999999997</v>
      </c>
      <c r="AF65" s="1">
        <v>46.936999999999998</v>
      </c>
      <c r="AG65" s="1"/>
      <c r="AH65" s="1">
        <f t="shared" si="18"/>
        <v>124.30720000000012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108</v>
      </c>
      <c r="B66" s="1" t="s">
        <v>37</v>
      </c>
      <c r="C66" s="1">
        <v>223.21299999999999</v>
      </c>
      <c r="D66" s="1">
        <v>17.175999999999998</v>
      </c>
      <c r="E66" s="1">
        <v>210.49600000000001</v>
      </c>
      <c r="F66" s="1">
        <v>18.021999999999998</v>
      </c>
      <c r="G66" s="8">
        <v>1</v>
      </c>
      <c r="H66" s="1">
        <v>40</v>
      </c>
      <c r="I66" s="1" t="s">
        <v>38</v>
      </c>
      <c r="J66" s="1"/>
      <c r="K66" s="1">
        <v>205.3</v>
      </c>
      <c r="L66" s="1">
        <f t="shared" si="14"/>
        <v>5.195999999999998</v>
      </c>
      <c r="M66" s="1"/>
      <c r="N66" s="1"/>
      <c r="O66" s="1">
        <v>237.56139999999999</v>
      </c>
      <c r="P66" s="1">
        <v>158.84379999999999</v>
      </c>
      <c r="Q66" s="1"/>
      <c r="R66" s="1">
        <f t="shared" si="3"/>
        <v>42.099200000000003</v>
      </c>
      <c r="S66" s="5">
        <f t="shared" si="19"/>
        <v>48.664000000000037</v>
      </c>
      <c r="T66" s="5"/>
      <c r="U66" s="1"/>
      <c r="V66" s="1"/>
      <c r="W66" s="1">
        <f t="shared" si="5"/>
        <v>11</v>
      </c>
      <c r="X66" s="1">
        <f t="shared" si="6"/>
        <v>9.844063545150501</v>
      </c>
      <c r="Y66" s="1">
        <v>46.2044</v>
      </c>
      <c r="Z66" s="1">
        <v>43.107999999999997</v>
      </c>
      <c r="AA66" s="1">
        <v>31.898800000000001</v>
      </c>
      <c r="AB66" s="1">
        <v>31.0032</v>
      </c>
      <c r="AC66" s="1">
        <v>15.765499999999999</v>
      </c>
      <c r="AD66" s="1">
        <v>38.824666666666673</v>
      </c>
      <c r="AE66" s="1">
        <v>70.222799999999992</v>
      </c>
      <c r="AF66" s="1">
        <v>28.621600000000001</v>
      </c>
      <c r="AG66" s="1"/>
      <c r="AH66" s="1">
        <f t="shared" si="18"/>
        <v>48.664000000000037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109</v>
      </c>
      <c r="B67" s="1" t="s">
        <v>37</v>
      </c>
      <c r="C67" s="1">
        <v>137.965</v>
      </c>
      <c r="D67" s="1">
        <v>152.36199999999999</v>
      </c>
      <c r="E67" s="1">
        <v>166.75399999999999</v>
      </c>
      <c r="F67" s="1">
        <v>120.855</v>
      </c>
      <c r="G67" s="8">
        <v>1</v>
      </c>
      <c r="H67" s="1">
        <v>40</v>
      </c>
      <c r="I67" s="1" t="s">
        <v>38</v>
      </c>
      <c r="J67" s="1"/>
      <c r="K67" s="1">
        <v>157.1</v>
      </c>
      <c r="L67" s="1">
        <f t="shared" si="14"/>
        <v>9.6539999999999964</v>
      </c>
      <c r="M67" s="1"/>
      <c r="N67" s="1"/>
      <c r="O67" s="1">
        <v>46.972399999999944</v>
      </c>
      <c r="P67" s="1">
        <v>62.688399999999973</v>
      </c>
      <c r="Q67" s="1"/>
      <c r="R67" s="1">
        <f t="shared" si="3"/>
        <v>33.3508</v>
      </c>
      <c r="S67" s="5">
        <f t="shared" si="19"/>
        <v>136.34300000000002</v>
      </c>
      <c r="T67" s="5"/>
      <c r="U67" s="1"/>
      <c r="V67" s="1"/>
      <c r="W67" s="1">
        <f t="shared" si="5"/>
        <v>11</v>
      </c>
      <c r="X67" s="1">
        <f t="shared" si="6"/>
        <v>6.9118521894527243</v>
      </c>
      <c r="Y67" s="1">
        <v>28.821200000000001</v>
      </c>
      <c r="Z67" s="1">
        <v>29.971</v>
      </c>
      <c r="AA67" s="1">
        <v>30.3108</v>
      </c>
      <c r="AB67" s="1">
        <v>34.094000000000001</v>
      </c>
      <c r="AC67" s="1">
        <v>32.265999999999998</v>
      </c>
      <c r="AD67" s="1">
        <v>24.18483333333333</v>
      </c>
      <c r="AE67" s="1">
        <v>32.285800000000002</v>
      </c>
      <c r="AF67" s="1">
        <v>42.161799999999999</v>
      </c>
      <c r="AG67" s="1"/>
      <c r="AH67" s="1">
        <f t="shared" si="18"/>
        <v>136.34300000000002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110</v>
      </c>
      <c r="B68" s="1" t="s">
        <v>37</v>
      </c>
      <c r="C68" s="1">
        <v>-0.47399999999999998</v>
      </c>
      <c r="D68" s="1">
        <v>127.10599999999999</v>
      </c>
      <c r="E68" s="1">
        <v>46.052</v>
      </c>
      <c r="F68" s="1">
        <v>79.262</v>
      </c>
      <c r="G68" s="8">
        <v>1</v>
      </c>
      <c r="H68" s="1">
        <v>30</v>
      </c>
      <c r="I68" s="1" t="s">
        <v>38</v>
      </c>
      <c r="J68" s="1"/>
      <c r="K68" s="1">
        <v>45.8</v>
      </c>
      <c r="L68" s="1">
        <f t="shared" si="14"/>
        <v>0.25200000000000244</v>
      </c>
      <c r="M68" s="1"/>
      <c r="N68" s="1"/>
      <c r="O68" s="1">
        <v>0</v>
      </c>
      <c r="P68" s="1">
        <v>0</v>
      </c>
      <c r="Q68" s="1"/>
      <c r="R68" s="1">
        <f t="shared" si="3"/>
        <v>9.2103999999999999</v>
      </c>
      <c r="S68" s="5">
        <f t="shared" si="19"/>
        <v>22.052400000000006</v>
      </c>
      <c r="T68" s="5"/>
      <c r="U68" s="1"/>
      <c r="V68" s="1"/>
      <c r="W68" s="1">
        <f t="shared" si="5"/>
        <v>11</v>
      </c>
      <c r="X68" s="1">
        <f t="shared" si="6"/>
        <v>8.6057065925475555</v>
      </c>
      <c r="Y68" s="1">
        <v>2.0110000000000001</v>
      </c>
      <c r="Z68" s="1">
        <v>8.6913999999999998</v>
      </c>
      <c r="AA68" s="1">
        <v>12.778600000000001</v>
      </c>
      <c r="AB68" s="1">
        <v>6.3802000000000003</v>
      </c>
      <c r="AC68" s="1">
        <v>3.464666666666667</v>
      </c>
      <c r="AD68" s="1">
        <v>4.7973333333333326</v>
      </c>
      <c r="AE68" s="1">
        <v>8.5617999999999999</v>
      </c>
      <c r="AF68" s="1">
        <v>5.1890000000000001</v>
      </c>
      <c r="AG68" s="1"/>
      <c r="AH68" s="1">
        <f t="shared" si="18"/>
        <v>22.052400000000006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7" t="s">
        <v>111</v>
      </c>
      <c r="B69" s="17" t="s">
        <v>43</v>
      </c>
      <c r="C69" s="17"/>
      <c r="D69" s="17"/>
      <c r="E69" s="17"/>
      <c r="F69" s="17"/>
      <c r="G69" s="18">
        <v>0</v>
      </c>
      <c r="H69" s="17">
        <v>60</v>
      </c>
      <c r="I69" s="17" t="s">
        <v>38</v>
      </c>
      <c r="J69" s="17"/>
      <c r="K69" s="17"/>
      <c r="L69" s="17">
        <f t="shared" ref="L69:L97" si="20">E69-K69</f>
        <v>0</v>
      </c>
      <c r="M69" s="17"/>
      <c r="N69" s="17"/>
      <c r="O69" s="17">
        <v>0</v>
      </c>
      <c r="P69" s="17">
        <v>0</v>
      </c>
      <c r="Q69" s="17"/>
      <c r="R69" s="17">
        <f t="shared" si="3"/>
        <v>0</v>
      </c>
      <c r="S69" s="19"/>
      <c r="T69" s="19"/>
      <c r="U69" s="17"/>
      <c r="V69" s="17"/>
      <c r="W69" s="17" t="e">
        <f t="shared" si="5"/>
        <v>#DIV/0!</v>
      </c>
      <c r="X69" s="17" t="e">
        <f t="shared" si="6"/>
        <v>#DIV/0!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 t="s">
        <v>48</v>
      </c>
      <c r="AH69" s="17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112</v>
      </c>
      <c r="B70" s="1" t="s">
        <v>43</v>
      </c>
      <c r="C70" s="1">
        <v>37</v>
      </c>
      <c r="D70" s="1">
        <v>16</v>
      </c>
      <c r="E70" s="1">
        <v>23</v>
      </c>
      <c r="F70" s="1">
        <v>30</v>
      </c>
      <c r="G70" s="8">
        <v>0.6</v>
      </c>
      <c r="H70" s="1">
        <v>60</v>
      </c>
      <c r="I70" s="1" t="s">
        <v>38</v>
      </c>
      <c r="J70" s="1"/>
      <c r="K70" s="1">
        <v>25</v>
      </c>
      <c r="L70" s="1">
        <f t="shared" si="20"/>
        <v>-2</v>
      </c>
      <c r="M70" s="1"/>
      <c r="N70" s="1"/>
      <c r="O70" s="1">
        <v>0</v>
      </c>
      <c r="P70" s="1">
        <v>0</v>
      </c>
      <c r="Q70" s="1"/>
      <c r="R70" s="1">
        <f t="shared" ref="R70:R97" si="21">E70/5</f>
        <v>4.5999999999999996</v>
      </c>
      <c r="S70" s="5">
        <f t="shared" ref="S70" si="22">11*R70-Q70-P70-O70-F70</f>
        <v>20.599999999999994</v>
      </c>
      <c r="T70" s="5"/>
      <c r="U70" s="1"/>
      <c r="V70" s="1"/>
      <c r="W70" s="1">
        <f t="shared" ref="W70:W97" si="23">(F70+O70+P70+Q70+S70)/R70</f>
        <v>11</v>
      </c>
      <c r="X70" s="1">
        <f t="shared" ref="X70:X97" si="24">(F70+O70+P70+Q70)/R70</f>
        <v>6.5217391304347831</v>
      </c>
      <c r="Y70" s="1">
        <v>1.6</v>
      </c>
      <c r="Z70" s="1">
        <v>2.8</v>
      </c>
      <c r="AA70" s="1">
        <v>3.6</v>
      </c>
      <c r="AB70" s="1">
        <v>2.6</v>
      </c>
      <c r="AC70" s="1">
        <v>1</v>
      </c>
      <c r="AD70" s="1">
        <v>3.5</v>
      </c>
      <c r="AE70" s="1">
        <v>4.4000000000000004</v>
      </c>
      <c r="AF70" s="1">
        <v>0</v>
      </c>
      <c r="AG70" s="1"/>
      <c r="AH70" s="1">
        <f>G70*S70</f>
        <v>12.359999999999996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43</v>
      </c>
      <c r="C71" s="1">
        <v>312</v>
      </c>
      <c r="D71" s="1">
        <v>1</v>
      </c>
      <c r="E71" s="1">
        <v>141</v>
      </c>
      <c r="F71" s="1">
        <v>171</v>
      </c>
      <c r="G71" s="8">
        <v>0.37</v>
      </c>
      <c r="H71" s="1">
        <v>50</v>
      </c>
      <c r="I71" s="11" t="s">
        <v>76</v>
      </c>
      <c r="J71" s="1"/>
      <c r="K71" s="1">
        <v>162</v>
      </c>
      <c r="L71" s="1">
        <f t="shared" si="20"/>
        <v>-21</v>
      </c>
      <c r="M71" s="1"/>
      <c r="N71" s="1"/>
      <c r="O71" s="1">
        <v>189.6</v>
      </c>
      <c r="P71" s="1">
        <v>110.2</v>
      </c>
      <c r="Q71" s="1"/>
      <c r="R71" s="1">
        <f t="shared" si="21"/>
        <v>28.2</v>
      </c>
      <c r="S71" s="5"/>
      <c r="T71" s="5"/>
      <c r="U71" s="1"/>
      <c r="V71" s="1"/>
      <c r="W71" s="1">
        <f t="shared" si="23"/>
        <v>16.695035460992909</v>
      </c>
      <c r="X71" s="1">
        <f t="shared" si="24"/>
        <v>16.695035460992909</v>
      </c>
      <c r="Y71" s="1">
        <v>45.6</v>
      </c>
      <c r="Z71" s="1">
        <v>45.6</v>
      </c>
      <c r="AA71" s="1">
        <v>21.2</v>
      </c>
      <c r="AB71" s="1">
        <v>45.6</v>
      </c>
      <c r="AC71" s="1">
        <v>51.5</v>
      </c>
      <c r="AD71" s="1">
        <v>64.333333333333329</v>
      </c>
      <c r="AE71" s="1">
        <v>54</v>
      </c>
      <c r="AF71" s="1">
        <v>32.799999999999997</v>
      </c>
      <c r="AG71" s="1" t="s">
        <v>40</v>
      </c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7" t="s">
        <v>114</v>
      </c>
      <c r="B72" s="17" t="s">
        <v>43</v>
      </c>
      <c r="C72" s="17"/>
      <c r="D72" s="17"/>
      <c r="E72" s="17"/>
      <c r="F72" s="17"/>
      <c r="G72" s="18">
        <v>0</v>
      </c>
      <c r="H72" s="17">
        <v>30</v>
      </c>
      <c r="I72" s="17" t="s">
        <v>38</v>
      </c>
      <c r="J72" s="17"/>
      <c r="K72" s="17"/>
      <c r="L72" s="17">
        <f t="shared" si="20"/>
        <v>0</v>
      </c>
      <c r="M72" s="17"/>
      <c r="N72" s="17"/>
      <c r="O72" s="17">
        <v>0</v>
      </c>
      <c r="P72" s="17">
        <v>0</v>
      </c>
      <c r="Q72" s="17"/>
      <c r="R72" s="17">
        <f t="shared" si="21"/>
        <v>0</v>
      </c>
      <c r="S72" s="19"/>
      <c r="T72" s="19"/>
      <c r="U72" s="17"/>
      <c r="V72" s="17"/>
      <c r="W72" s="17" t="e">
        <f t="shared" si="23"/>
        <v>#DIV/0!</v>
      </c>
      <c r="X72" s="17" t="e">
        <f t="shared" si="24"/>
        <v>#DIV/0!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 t="s">
        <v>48</v>
      </c>
      <c r="AH72" s="17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7" t="s">
        <v>115</v>
      </c>
      <c r="B73" s="17" t="s">
        <v>43</v>
      </c>
      <c r="C73" s="17"/>
      <c r="D73" s="17"/>
      <c r="E73" s="17"/>
      <c r="F73" s="17"/>
      <c r="G73" s="18">
        <v>0</v>
      </c>
      <c r="H73" s="17">
        <v>55</v>
      </c>
      <c r="I73" s="17" t="s">
        <v>38</v>
      </c>
      <c r="J73" s="17"/>
      <c r="K73" s="17"/>
      <c r="L73" s="17">
        <f t="shared" si="20"/>
        <v>0</v>
      </c>
      <c r="M73" s="17"/>
      <c r="N73" s="17"/>
      <c r="O73" s="17">
        <v>0</v>
      </c>
      <c r="P73" s="17">
        <v>0</v>
      </c>
      <c r="Q73" s="17"/>
      <c r="R73" s="17">
        <f t="shared" si="21"/>
        <v>0</v>
      </c>
      <c r="S73" s="19"/>
      <c r="T73" s="19"/>
      <c r="U73" s="17"/>
      <c r="V73" s="17"/>
      <c r="W73" s="17" t="e">
        <f t="shared" si="23"/>
        <v>#DIV/0!</v>
      </c>
      <c r="X73" s="17" t="e">
        <f t="shared" si="24"/>
        <v>#DIV/0!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 t="s">
        <v>48</v>
      </c>
      <c r="AH73" s="17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7" t="s">
        <v>116</v>
      </c>
      <c r="B74" s="17" t="s">
        <v>43</v>
      </c>
      <c r="C74" s="17"/>
      <c r="D74" s="17"/>
      <c r="E74" s="17"/>
      <c r="F74" s="17"/>
      <c r="G74" s="18">
        <v>0</v>
      </c>
      <c r="H74" s="17">
        <v>40</v>
      </c>
      <c r="I74" s="17" t="s">
        <v>38</v>
      </c>
      <c r="J74" s="17"/>
      <c r="K74" s="17"/>
      <c r="L74" s="17">
        <f t="shared" si="20"/>
        <v>0</v>
      </c>
      <c r="M74" s="17"/>
      <c r="N74" s="17"/>
      <c r="O74" s="17">
        <v>0</v>
      </c>
      <c r="P74" s="17">
        <v>0</v>
      </c>
      <c r="Q74" s="17"/>
      <c r="R74" s="17">
        <f t="shared" si="21"/>
        <v>0</v>
      </c>
      <c r="S74" s="19"/>
      <c r="T74" s="19"/>
      <c r="U74" s="17"/>
      <c r="V74" s="17"/>
      <c r="W74" s="17" t="e">
        <f t="shared" si="23"/>
        <v>#DIV/0!</v>
      </c>
      <c r="X74" s="17" t="e">
        <f t="shared" si="24"/>
        <v>#DIV/0!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 t="s">
        <v>117</v>
      </c>
      <c r="AH74" s="17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43</v>
      </c>
      <c r="C75" s="1">
        <v>81</v>
      </c>
      <c r="D75" s="1">
        <v>174</v>
      </c>
      <c r="E75" s="1">
        <v>111</v>
      </c>
      <c r="F75" s="1">
        <v>144</v>
      </c>
      <c r="G75" s="8">
        <v>0.4</v>
      </c>
      <c r="H75" s="1">
        <v>50</v>
      </c>
      <c r="I75" s="1" t="s">
        <v>38</v>
      </c>
      <c r="J75" s="1"/>
      <c r="K75" s="1">
        <v>109</v>
      </c>
      <c r="L75" s="1">
        <f t="shared" si="20"/>
        <v>2</v>
      </c>
      <c r="M75" s="1"/>
      <c r="N75" s="1"/>
      <c r="O75" s="1">
        <v>0</v>
      </c>
      <c r="P75" s="1">
        <v>0</v>
      </c>
      <c r="Q75" s="1"/>
      <c r="R75" s="1">
        <f t="shared" si="21"/>
        <v>22.2</v>
      </c>
      <c r="S75" s="5">
        <f t="shared" ref="S75:S80" si="25">11*R75-Q75-P75-O75-F75</f>
        <v>100.19999999999999</v>
      </c>
      <c r="T75" s="5"/>
      <c r="U75" s="1"/>
      <c r="V75" s="1"/>
      <c r="W75" s="1">
        <f t="shared" si="23"/>
        <v>11</v>
      </c>
      <c r="X75" s="1">
        <f t="shared" si="24"/>
        <v>6.4864864864864868</v>
      </c>
      <c r="Y75" s="1">
        <v>16.2</v>
      </c>
      <c r="Z75" s="1">
        <v>17.8</v>
      </c>
      <c r="AA75" s="1">
        <v>16.8</v>
      </c>
      <c r="AB75" s="1">
        <v>30</v>
      </c>
      <c r="AC75" s="1">
        <v>19.666666666666671</v>
      </c>
      <c r="AD75" s="1">
        <v>7.333333333333333</v>
      </c>
      <c r="AE75" s="1">
        <v>0</v>
      </c>
      <c r="AF75" s="1">
        <v>24.8</v>
      </c>
      <c r="AG75" s="1"/>
      <c r="AH75" s="1">
        <f t="shared" ref="AH75:AH81" si="26">G75*S75</f>
        <v>40.08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43</v>
      </c>
      <c r="C76" s="1">
        <v>83</v>
      </c>
      <c r="D76" s="1"/>
      <c r="E76" s="1">
        <v>28</v>
      </c>
      <c r="F76" s="1">
        <v>53</v>
      </c>
      <c r="G76" s="8">
        <v>0.4</v>
      </c>
      <c r="H76" s="1">
        <v>55</v>
      </c>
      <c r="I76" s="1" t="s">
        <v>38</v>
      </c>
      <c r="J76" s="1"/>
      <c r="K76" s="1">
        <v>30</v>
      </c>
      <c r="L76" s="1">
        <f t="shared" si="20"/>
        <v>-2</v>
      </c>
      <c r="M76" s="1"/>
      <c r="N76" s="1"/>
      <c r="O76" s="1">
        <v>0</v>
      </c>
      <c r="P76" s="1">
        <v>0</v>
      </c>
      <c r="Q76" s="1"/>
      <c r="R76" s="1">
        <f t="shared" si="21"/>
        <v>5.6</v>
      </c>
      <c r="S76" s="5">
        <f t="shared" si="25"/>
        <v>8.5999999999999943</v>
      </c>
      <c r="T76" s="5"/>
      <c r="U76" s="1"/>
      <c r="V76" s="1"/>
      <c r="W76" s="1">
        <f t="shared" si="23"/>
        <v>11</v>
      </c>
      <c r="X76" s="1">
        <f t="shared" si="24"/>
        <v>9.4642857142857153</v>
      </c>
      <c r="Y76" s="1">
        <v>3.6</v>
      </c>
      <c r="Z76" s="1">
        <v>3.2</v>
      </c>
      <c r="AA76" s="1">
        <v>2.2000000000000002</v>
      </c>
      <c r="AB76" s="1">
        <v>0.8</v>
      </c>
      <c r="AC76" s="1">
        <v>1.5</v>
      </c>
      <c r="AD76" s="1">
        <v>2</v>
      </c>
      <c r="AE76" s="1">
        <v>2.2000000000000002</v>
      </c>
      <c r="AF76" s="1">
        <v>2.2000000000000002</v>
      </c>
      <c r="AG76" s="1"/>
      <c r="AH76" s="1">
        <f t="shared" si="26"/>
        <v>3.4399999999999977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37</v>
      </c>
      <c r="C77" s="1">
        <v>40.408999999999999</v>
      </c>
      <c r="D77" s="1">
        <v>13.01</v>
      </c>
      <c r="E77" s="1">
        <v>21.652000000000001</v>
      </c>
      <c r="F77" s="1">
        <v>30.309000000000001</v>
      </c>
      <c r="G77" s="8">
        <v>1</v>
      </c>
      <c r="H77" s="1">
        <v>55</v>
      </c>
      <c r="I77" s="1" t="s">
        <v>38</v>
      </c>
      <c r="J77" s="1"/>
      <c r="K77" s="1">
        <v>22.6</v>
      </c>
      <c r="L77" s="1">
        <f t="shared" si="20"/>
        <v>-0.9480000000000004</v>
      </c>
      <c r="M77" s="1"/>
      <c r="N77" s="1"/>
      <c r="O77" s="1">
        <v>0</v>
      </c>
      <c r="P77" s="1">
        <v>0</v>
      </c>
      <c r="Q77" s="1"/>
      <c r="R77" s="1">
        <f t="shared" si="21"/>
        <v>4.3304</v>
      </c>
      <c r="S77" s="5">
        <f t="shared" si="25"/>
        <v>17.325399999999998</v>
      </c>
      <c r="T77" s="5"/>
      <c r="U77" s="1"/>
      <c r="V77" s="1"/>
      <c r="W77" s="1">
        <f t="shared" si="23"/>
        <v>11</v>
      </c>
      <c r="X77" s="1">
        <f t="shared" si="24"/>
        <v>6.9991224829115097</v>
      </c>
      <c r="Y77" s="1">
        <v>2.3073999999999999</v>
      </c>
      <c r="Z77" s="1">
        <v>3.1667999999999998</v>
      </c>
      <c r="AA77" s="1">
        <v>3.7637999999999998</v>
      </c>
      <c r="AB77" s="1">
        <v>3.4872000000000001</v>
      </c>
      <c r="AC77" s="1">
        <v>4.3301666666666669</v>
      </c>
      <c r="AD77" s="1">
        <v>4.8131666666666666</v>
      </c>
      <c r="AE77" s="1">
        <v>2.8963999999999999</v>
      </c>
      <c r="AF77" s="1">
        <v>2.028</v>
      </c>
      <c r="AG77" s="1"/>
      <c r="AH77" s="1">
        <f t="shared" si="26"/>
        <v>17.325399999999998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37</v>
      </c>
      <c r="C78" s="1">
        <v>92.421000000000006</v>
      </c>
      <c r="D78" s="1">
        <v>143.05000000000001</v>
      </c>
      <c r="E78" s="1">
        <v>92.950999999999993</v>
      </c>
      <c r="F78" s="1">
        <v>141.68</v>
      </c>
      <c r="G78" s="8">
        <v>1</v>
      </c>
      <c r="H78" s="1">
        <v>60</v>
      </c>
      <c r="I78" s="1" t="s">
        <v>38</v>
      </c>
      <c r="J78" s="1"/>
      <c r="K78" s="1">
        <v>92.9</v>
      </c>
      <c r="L78" s="1">
        <f t="shared" si="20"/>
        <v>5.0999999999987722E-2</v>
      </c>
      <c r="M78" s="1"/>
      <c r="N78" s="1"/>
      <c r="O78" s="1">
        <v>169.40043999999989</v>
      </c>
      <c r="P78" s="1">
        <v>0</v>
      </c>
      <c r="Q78" s="1"/>
      <c r="R78" s="1">
        <f t="shared" si="21"/>
        <v>18.590199999999999</v>
      </c>
      <c r="S78" s="5"/>
      <c r="T78" s="5"/>
      <c r="U78" s="1"/>
      <c r="V78" s="1"/>
      <c r="W78" s="1">
        <f t="shared" si="23"/>
        <v>16.733571451625046</v>
      </c>
      <c r="X78" s="1">
        <f t="shared" si="24"/>
        <v>16.733571451625046</v>
      </c>
      <c r="Y78" s="1">
        <v>25.5382</v>
      </c>
      <c r="Z78" s="1">
        <v>31.5274</v>
      </c>
      <c r="AA78" s="1">
        <v>26.349399999999999</v>
      </c>
      <c r="AB78" s="1">
        <v>24.598199999999999</v>
      </c>
      <c r="AC78" s="1">
        <v>24.18333333333333</v>
      </c>
      <c r="AD78" s="1">
        <v>27.132000000000001</v>
      </c>
      <c r="AE78" s="1">
        <v>29.917200000000001</v>
      </c>
      <c r="AF78" s="1">
        <v>21.681999999999999</v>
      </c>
      <c r="AG78" s="1" t="s">
        <v>56</v>
      </c>
      <c r="AH78" s="1">
        <f t="shared" si="26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37</v>
      </c>
      <c r="C79" s="1">
        <v>623.84100000000001</v>
      </c>
      <c r="D79" s="1">
        <v>2.5099999999999998</v>
      </c>
      <c r="E79" s="1">
        <v>366.65499999999997</v>
      </c>
      <c r="F79" s="1">
        <v>259.69600000000003</v>
      </c>
      <c r="G79" s="8">
        <v>1</v>
      </c>
      <c r="H79" s="1">
        <v>60</v>
      </c>
      <c r="I79" s="1" t="s">
        <v>38</v>
      </c>
      <c r="J79" s="1"/>
      <c r="K79" s="1">
        <v>365</v>
      </c>
      <c r="L79" s="1">
        <f t="shared" si="20"/>
        <v>1.6549999999999727</v>
      </c>
      <c r="M79" s="1"/>
      <c r="N79" s="1"/>
      <c r="O79" s="1">
        <v>509.57688000000002</v>
      </c>
      <c r="P79" s="1">
        <v>0</v>
      </c>
      <c r="Q79" s="1"/>
      <c r="R79" s="1">
        <f t="shared" si="21"/>
        <v>73.330999999999989</v>
      </c>
      <c r="S79" s="5">
        <f t="shared" si="25"/>
        <v>37.368119999999806</v>
      </c>
      <c r="T79" s="5"/>
      <c r="U79" s="1"/>
      <c r="V79" s="1"/>
      <c r="W79" s="1">
        <f t="shared" si="23"/>
        <v>11</v>
      </c>
      <c r="X79" s="1">
        <f t="shared" si="24"/>
        <v>10.490418513316333</v>
      </c>
      <c r="Y79" s="1">
        <v>67.008600000000001</v>
      </c>
      <c r="Z79" s="1">
        <v>89.953800000000001</v>
      </c>
      <c r="AA79" s="1">
        <v>57.154400000000003</v>
      </c>
      <c r="AB79" s="1">
        <v>47.539000000000001</v>
      </c>
      <c r="AC79" s="1">
        <v>80.834500000000006</v>
      </c>
      <c r="AD79" s="1">
        <v>98.829333333333338</v>
      </c>
      <c r="AE79" s="1">
        <v>102.3514</v>
      </c>
      <c r="AF79" s="1">
        <v>80.802800000000005</v>
      </c>
      <c r="AG79" s="1"/>
      <c r="AH79" s="1">
        <f t="shared" si="26"/>
        <v>37.368119999999806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37</v>
      </c>
      <c r="C80" s="1">
        <v>473.76799999999997</v>
      </c>
      <c r="D80" s="1">
        <v>448.7</v>
      </c>
      <c r="E80" s="1">
        <v>537.43100000000004</v>
      </c>
      <c r="F80" s="1">
        <v>370.03699999999998</v>
      </c>
      <c r="G80" s="8">
        <v>1</v>
      </c>
      <c r="H80" s="1">
        <v>60</v>
      </c>
      <c r="I80" s="1" t="s">
        <v>38</v>
      </c>
      <c r="J80" s="1"/>
      <c r="K80" s="1">
        <v>532.5</v>
      </c>
      <c r="L80" s="1">
        <f t="shared" si="20"/>
        <v>4.93100000000004</v>
      </c>
      <c r="M80" s="1"/>
      <c r="N80" s="1"/>
      <c r="O80" s="1">
        <v>681.61810666666679</v>
      </c>
      <c r="P80" s="1">
        <v>0</v>
      </c>
      <c r="Q80" s="1"/>
      <c r="R80" s="1">
        <f t="shared" si="21"/>
        <v>107.48620000000001</v>
      </c>
      <c r="S80" s="5">
        <f t="shared" si="25"/>
        <v>130.69309333333337</v>
      </c>
      <c r="T80" s="5"/>
      <c r="U80" s="1"/>
      <c r="V80" s="1"/>
      <c r="W80" s="1">
        <f t="shared" si="23"/>
        <v>11</v>
      </c>
      <c r="X80" s="1">
        <f t="shared" si="24"/>
        <v>9.7840942062019742</v>
      </c>
      <c r="Y80" s="1">
        <v>101.2838</v>
      </c>
      <c r="Z80" s="1">
        <v>127.2444</v>
      </c>
      <c r="AA80" s="1">
        <v>107.367</v>
      </c>
      <c r="AB80" s="1">
        <v>92.657399999999996</v>
      </c>
      <c r="AC80" s="1">
        <v>105.47199999999999</v>
      </c>
      <c r="AD80" s="1">
        <v>78.396666666666661</v>
      </c>
      <c r="AE80" s="1">
        <v>101.4876</v>
      </c>
      <c r="AF80" s="1">
        <v>87.493600000000001</v>
      </c>
      <c r="AG80" s="1" t="s">
        <v>56</v>
      </c>
      <c r="AH80" s="1">
        <f t="shared" si="26"/>
        <v>130.69309333333337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37</v>
      </c>
      <c r="C81" s="1">
        <v>1243.5550000000001</v>
      </c>
      <c r="D81" s="1">
        <v>138.39099999999999</v>
      </c>
      <c r="E81" s="1">
        <v>953.83500000000004</v>
      </c>
      <c r="F81" s="1">
        <v>412.32299999999998</v>
      </c>
      <c r="G81" s="8">
        <v>1</v>
      </c>
      <c r="H81" s="1">
        <v>60</v>
      </c>
      <c r="I81" s="1" t="s">
        <v>38</v>
      </c>
      <c r="J81" s="1"/>
      <c r="K81" s="1">
        <v>956.4</v>
      </c>
      <c r="L81" s="1">
        <f t="shared" si="20"/>
        <v>-2.5649999999999409</v>
      </c>
      <c r="M81" s="1"/>
      <c r="N81" s="1"/>
      <c r="O81" s="1">
        <v>3245.6064000000001</v>
      </c>
      <c r="P81" s="1">
        <v>1380</v>
      </c>
      <c r="Q81" s="1">
        <v>1120</v>
      </c>
      <c r="R81" s="1">
        <f t="shared" si="21"/>
        <v>190.767</v>
      </c>
      <c r="S81" s="5"/>
      <c r="T81" s="5"/>
      <c r="U81" s="1"/>
      <c r="V81" s="1"/>
      <c r="W81" s="1">
        <f t="shared" si="23"/>
        <v>32.279846094974495</v>
      </c>
      <c r="X81" s="1">
        <f t="shared" si="24"/>
        <v>32.279846094974495</v>
      </c>
      <c r="Y81" s="1">
        <v>151.94839999999999</v>
      </c>
      <c r="Z81" s="1">
        <v>192.86799999999999</v>
      </c>
      <c r="AA81" s="1">
        <v>163.7928</v>
      </c>
      <c r="AB81" s="1">
        <v>153.61359999999999</v>
      </c>
      <c r="AC81" s="1">
        <v>174.66249999999999</v>
      </c>
      <c r="AD81" s="1">
        <v>216.143</v>
      </c>
      <c r="AE81" s="1">
        <v>248.3784</v>
      </c>
      <c r="AF81" s="1">
        <v>171.5676</v>
      </c>
      <c r="AG81" s="1" t="s">
        <v>56</v>
      </c>
      <c r="AH81" s="1">
        <f t="shared" si="26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7" t="s">
        <v>125</v>
      </c>
      <c r="B82" s="17" t="s">
        <v>37</v>
      </c>
      <c r="C82" s="17"/>
      <c r="D82" s="17"/>
      <c r="E82" s="17"/>
      <c r="F82" s="17"/>
      <c r="G82" s="18">
        <v>0</v>
      </c>
      <c r="H82" s="17">
        <v>60</v>
      </c>
      <c r="I82" s="17" t="s">
        <v>38</v>
      </c>
      <c r="J82" s="17"/>
      <c r="K82" s="17"/>
      <c r="L82" s="17">
        <f t="shared" si="20"/>
        <v>0</v>
      </c>
      <c r="M82" s="17"/>
      <c r="N82" s="17"/>
      <c r="O82" s="17">
        <v>0</v>
      </c>
      <c r="P82" s="17">
        <v>0</v>
      </c>
      <c r="Q82" s="17"/>
      <c r="R82" s="17">
        <f t="shared" si="21"/>
        <v>0</v>
      </c>
      <c r="S82" s="19"/>
      <c r="T82" s="19"/>
      <c r="U82" s="17"/>
      <c r="V82" s="17"/>
      <c r="W82" s="17" t="e">
        <f t="shared" si="23"/>
        <v>#DIV/0!</v>
      </c>
      <c r="X82" s="17" t="e">
        <f t="shared" si="24"/>
        <v>#DIV/0!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 t="s">
        <v>48</v>
      </c>
      <c r="AH82" s="17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43</v>
      </c>
      <c r="C83" s="1">
        <v>-2</v>
      </c>
      <c r="D83" s="1">
        <v>181</v>
      </c>
      <c r="E83" s="1">
        <v>27</v>
      </c>
      <c r="F83" s="1">
        <v>146</v>
      </c>
      <c r="G83" s="8">
        <v>0.3</v>
      </c>
      <c r="H83" s="1">
        <v>40</v>
      </c>
      <c r="I83" s="1" t="s">
        <v>38</v>
      </c>
      <c r="J83" s="1"/>
      <c r="K83" s="1">
        <v>33</v>
      </c>
      <c r="L83" s="1">
        <f t="shared" si="20"/>
        <v>-6</v>
      </c>
      <c r="M83" s="1"/>
      <c r="N83" s="1"/>
      <c r="O83" s="1">
        <v>6.8000000000000256</v>
      </c>
      <c r="P83" s="1">
        <v>0</v>
      </c>
      <c r="Q83" s="1"/>
      <c r="R83" s="1">
        <f t="shared" si="21"/>
        <v>5.4</v>
      </c>
      <c r="S83" s="5"/>
      <c r="T83" s="5"/>
      <c r="U83" s="1"/>
      <c r="V83" s="1"/>
      <c r="W83" s="1">
        <f t="shared" si="23"/>
        <v>28.296296296296298</v>
      </c>
      <c r="X83" s="1">
        <f t="shared" si="24"/>
        <v>28.296296296296298</v>
      </c>
      <c r="Y83" s="1">
        <v>11.4</v>
      </c>
      <c r="Z83" s="1">
        <v>16.600000000000001</v>
      </c>
      <c r="AA83" s="1">
        <v>19.399999999999999</v>
      </c>
      <c r="AB83" s="1">
        <v>22.2</v>
      </c>
      <c r="AC83" s="1">
        <v>11.5</v>
      </c>
      <c r="AD83" s="1">
        <v>15.83333333333333</v>
      </c>
      <c r="AE83" s="1">
        <v>20.2</v>
      </c>
      <c r="AF83" s="1">
        <v>13.4</v>
      </c>
      <c r="AG83" s="1"/>
      <c r="AH83" s="1">
        <f t="shared" ref="AH83:AH89" si="27">G83*S83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43</v>
      </c>
      <c r="C84" s="1">
        <v>69</v>
      </c>
      <c r="D84" s="1">
        <v>19</v>
      </c>
      <c r="E84" s="1">
        <v>34</v>
      </c>
      <c r="F84" s="1">
        <v>53</v>
      </c>
      <c r="G84" s="8">
        <v>7.0000000000000007E-2</v>
      </c>
      <c r="H84" s="1">
        <v>90</v>
      </c>
      <c r="I84" s="1" t="s">
        <v>38</v>
      </c>
      <c r="J84" s="1"/>
      <c r="K84" s="1">
        <v>35</v>
      </c>
      <c r="L84" s="1">
        <f t="shared" si="20"/>
        <v>-1</v>
      </c>
      <c r="M84" s="1"/>
      <c r="N84" s="1"/>
      <c r="O84" s="1">
        <v>0</v>
      </c>
      <c r="P84" s="1">
        <v>0</v>
      </c>
      <c r="Q84" s="1"/>
      <c r="R84" s="1">
        <f t="shared" si="21"/>
        <v>6.8</v>
      </c>
      <c r="S84" s="5">
        <f t="shared" ref="S84:S89" si="28">11*R84-Q84-P84-O84-F84</f>
        <v>21.799999999999997</v>
      </c>
      <c r="T84" s="5"/>
      <c r="U84" s="1"/>
      <c r="V84" s="1"/>
      <c r="W84" s="1">
        <f t="shared" si="23"/>
        <v>11</v>
      </c>
      <c r="X84" s="1">
        <f t="shared" si="24"/>
        <v>7.7941176470588234</v>
      </c>
      <c r="Y84" s="1">
        <v>3</v>
      </c>
      <c r="Z84" s="1">
        <v>7</v>
      </c>
      <c r="AA84" s="1">
        <v>7.4</v>
      </c>
      <c r="AB84" s="1">
        <v>4</v>
      </c>
      <c r="AC84" s="1">
        <v>2.666666666666667</v>
      </c>
      <c r="AD84" s="1">
        <v>4.666666666666667</v>
      </c>
      <c r="AE84" s="1">
        <v>9.1999999999999993</v>
      </c>
      <c r="AF84" s="1">
        <v>3</v>
      </c>
      <c r="AG84" s="1"/>
      <c r="AH84" s="1">
        <f t="shared" si="27"/>
        <v>1.526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43</v>
      </c>
      <c r="C85" s="1">
        <v>97</v>
      </c>
      <c r="D85" s="1">
        <v>1</v>
      </c>
      <c r="E85" s="1">
        <v>31</v>
      </c>
      <c r="F85" s="1">
        <v>66</v>
      </c>
      <c r="G85" s="8">
        <v>7.0000000000000007E-2</v>
      </c>
      <c r="H85" s="1">
        <v>90</v>
      </c>
      <c r="I85" s="1" t="s">
        <v>38</v>
      </c>
      <c r="J85" s="1"/>
      <c r="K85" s="1">
        <v>32</v>
      </c>
      <c r="L85" s="1">
        <f t="shared" si="20"/>
        <v>-1</v>
      </c>
      <c r="M85" s="1"/>
      <c r="N85" s="1"/>
      <c r="O85" s="1">
        <v>0</v>
      </c>
      <c r="P85" s="1">
        <v>0</v>
      </c>
      <c r="Q85" s="1"/>
      <c r="R85" s="1">
        <f t="shared" si="21"/>
        <v>6.2</v>
      </c>
      <c r="S85" s="5"/>
      <c r="T85" s="5"/>
      <c r="U85" s="1"/>
      <c r="V85" s="1"/>
      <c r="W85" s="1">
        <f t="shared" si="23"/>
        <v>10.64516129032258</v>
      </c>
      <c r="X85" s="1">
        <f t="shared" si="24"/>
        <v>10.64516129032258</v>
      </c>
      <c r="Y85" s="1">
        <v>2.8</v>
      </c>
      <c r="Z85" s="1">
        <v>6.4</v>
      </c>
      <c r="AA85" s="1">
        <v>4.2</v>
      </c>
      <c r="AB85" s="1">
        <v>1.8</v>
      </c>
      <c r="AC85" s="1">
        <v>2</v>
      </c>
      <c r="AD85" s="1">
        <v>2.166666666666667</v>
      </c>
      <c r="AE85" s="1">
        <v>7</v>
      </c>
      <c r="AF85" s="1">
        <v>5.8</v>
      </c>
      <c r="AG85" s="16" t="s">
        <v>52</v>
      </c>
      <c r="AH85" s="1">
        <f t="shared" si="27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129</v>
      </c>
      <c r="B86" s="1" t="s">
        <v>43</v>
      </c>
      <c r="C86" s="1">
        <v>20</v>
      </c>
      <c r="D86" s="1">
        <v>54</v>
      </c>
      <c r="E86" s="1">
        <v>22</v>
      </c>
      <c r="F86" s="1">
        <v>52</v>
      </c>
      <c r="G86" s="8">
        <v>7.0000000000000007E-2</v>
      </c>
      <c r="H86" s="1">
        <v>90</v>
      </c>
      <c r="I86" s="1" t="s">
        <v>38</v>
      </c>
      <c r="J86" s="1"/>
      <c r="K86" s="1">
        <v>29</v>
      </c>
      <c r="L86" s="1">
        <f t="shared" si="20"/>
        <v>-7</v>
      </c>
      <c r="M86" s="1"/>
      <c r="N86" s="1"/>
      <c r="O86" s="1">
        <v>10.399999999999981</v>
      </c>
      <c r="P86" s="1">
        <v>0</v>
      </c>
      <c r="Q86" s="1"/>
      <c r="R86" s="1">
        <f t="shared" si="21"/>
        <v>4.4000000000000004</v>
      </c>
      <c r="S86" s="5"/>
      <c r="T86" s="5"/>
      <c r="U86" s="1"/>
      <c r="V86" s="1"/>
      <c r="W86" s="1">
        <f t="shared" si="23"/>
        <v>14.181818181818176</v>
      </c>
      <c r="X86" s="1">
        <f t="shared" si="24"/>
        <v>14.181818181818176</v>
      </c>
      <c r="Y86" s="1">
        <v>2.6</v>
      </c>
      <c r="Z86" s="1">
        <v>6.8</v>
      </c>
      <c r="AA86" s="1">
        <v>6.2</v>
      </c>
      <c r="AB86" s="1">
        <v>4.4000000000000004</v>
      </c>
      <c r="AC86" s="1">
        <v>4</v>
      </c>
      <c r="AD86" s="1">
        <v>2.333333333333333</v>
      </c>
      <c r="AE86" s="1">
        <v>5</v>
      </c>
      <c r="AF86" s="1">
        <v>4.4000000000000004</v>
      </c>
      <c r="AG86" s="1"/>
      <c r="AH86" s="1">
        <f t="shared" si="27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43</v>
      </c>
      <c r="C87" s="1">
        <v>46</v>
      </c>
      <c r="D87" s="1">
        <v>91</v>
      </c>
      <c r="E87" s="1">
        <v>41</v>
      </c>
      <c r="F87" s="1">
        <v>95</v>
      </c>
      <c r="G87" s="8">
        <v>0.05</v>
      </c>
      <c r="H87" s="1">
        <v>90</v>
      </c>
      <c r="I87" s="1" t="s">
        <v>38</v>
      </c>
      <c r="J87" s="1"/>
      <c r="K87" s="1">
        <v>42</v>
      </c>
      <c r="L87" s="1">
        <f t="shared" si="20"/>
        <v>-1</v>
      </c>
      <c r="M87" s="1"/>
      <c r="N87" s="1"/>
      <c r="O87" s="1">
        <v>0</v>
      </c>
      <c r="P87" s="1">
        <v>0</v>
      </c>
      <c r="Q87" s="1"/>
      <c r="R87" s="1">
        <f t="shared" si="21"/>
        <v>8.1999999999999993</v>
      </c>
      <c r="S87" s="5"/>
      <c r="T87" s="5"/>
      <c r="U87" s="1"/>
      <c r="V87" s="1"/>
      <c r="W87" s="1">
        <f t="shared" si="23"/>
        <v>11.585365853658537</v>
      </c>
      <c r="X87" s="1">
        <f t="shared" si="24"/>
        <v>11.585365853658537</v>
      </c>
      <c r="Y87" s="1">
        <v>1.6</v>
      </c>
      <c r="Z87" s="1">
        <v>7.2</v>
      </c>
      <c r="AA87" s="1">
        <v>10.199999999999999</v>
      </c>
      <c r="AB87" s="1">
        <v>6.2</v>
      </c>
      <c r="AC87" s="1">
        <v>8.5</v>
      </c>
      <c r="AD87" s="1">
        <v>7.333333333333333</v>
      </c>
      <c r="AE87" s="1">
        <v>5</v>
      </c>
      <c r="AF87" s="1">
        <v>4.5999999999999996</v>
      </c>
      <c r="AG87" s="1"/>
      <c r="AH87" s="1">
        <f t="shared" si="27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43</v>
      </c>
      <c r="C88" s="1">
        <v>41</v>
      </c>
      <c r="D88" s="1">
        <v>90</v>
      </c>
      <c r="E88" s="1">
        <v>40</v>
      </c>
      <c r="F88" s="1">
        <v>91</v>
      </c>
      <c r="G88" s="8">
        <v>0.05</v>
      </c>
      <c r="H88" s="1">
        <v>90</v>
      </c>
      <c r="I88" s="1" t="s">
        <v>38</v>
      </c>
      <c r="J88" s="1"/>
      <c r="K88" s="1">
        <v>40</v>
      </c>
      <c r="L88" s="1">
        <f t="shared" si="20"/>
        <v>0</v>
      </c>
      <c r="M88" s="1"/>
      <c r="N88" s="1"/>
      <c r="O88" s="1">
        <v>0</v>
      </c>
      <c r="P88" s="1">
        <v>0</v>
      </c>
      <c r="Q88" s="1"/>
      <c r="R88" s="1">
        <f t="shared" si="21"/>
        <v>8</v>
      </c>
      <c r="S88" s="5"/>
      <c r="T88" s="5"/>
      <c r="U88" s="1"/>
      <c r="V88" s="1"/>
      <c r="W88" s="1">
        <f t="shared" si="23"/>
        <v>11.375</v>
      </c>
      <c r="X88" s="1">
        <f t="shared" si="24"/>
        <v>11.375</v>
      </c>
      <c r="Y88" s="1">
        <v>3.6</v>
      </c>
      <c r="Z88" s="1">
        <v>6.8</v>
      </c>
      <c r="AA88" s="1">
        <v>9.6</v>
      </c>
      <c r="AB88" s="1">
        <v>8.8000000000000007</v>
      </c>
      <c r="AC88" s="1">
        <v>6</v>
      </c>
      <c r="AD88" s="1">
        <v>4.166666666666667</v>
      </c>
      <c r="AE88" s="1">
        <v>6</v>
      </c>
      <c r="AF88" s="1">
        <v>8</v>
      </c>
      <c r="AG88" s="1"/>
      <c r="AH88" s="1">
        <f t="shared" si="27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43</v>
      </c>
      <c r="C89" s="1">
        <v>116</v>
      </c>
      <c r="D89" s="1">
        <v>1</v>
      </c>
      <c r="E89" s="1">
        <v>46</v>
      </c>
      <c r="F89" s="1">
        <v>70</v>
      </c>
      <c r="G89" s="8">
        <v>5.5E-2</v>
      </c>
      <c r="H89" s="1">
        <v>90</v>
      </c>
      <c r="I89" s="1" t="s">
        <v>38</v>
      </c>
      <c r="J89" s="1"/>
      <c r="K89" s="1">
        <v>50</v>
      </c>
      <c r="L89" s="1">
        <f t="shared" si="20"/>
        <v>-4</v>
      </c>
      <c r="M89" s="1"/>
      <c r="N89" s="1"/>
      <c r="O89" s="1">
        <v>0</v>
      </c>
      <c r="P89" s="1">
        <v>0</v>
      </c>
      <c r="Q89" s="1"/>
      <c r="R89" s="1">
        <f t="shared" si="21"/>
        <v>9.1999999999999993</v>
      </c>
      <c r="S89" s="5">
        <f t="shared" si="28"/>
        <v>31.199999999999989</v>
      </c>
      <c r="T89" s="5"/>
      <c r="U89" s="1"/>
      <c r="V89" s="1"/>
      <c r="W89" s="1">
        <f t="shared" si="23"/>
        <v>11</v>
      </c>
      <c r="X89" s="1">
        <f t="shared" si="24"/>
        <v>7.608695652173914</v>
      </c>
      <c r="Y89" s="1">
        <v>4.4000000000000004</v>
      </c>
      <c r="Z89" s="1">
        <v>6.6</v>
      </c>
      <c r="AA89" s="1">
        <v>8.4</v>
      </c>
      <c r="AB89" s="1">
        <v>7.4</v>
      </c>
      <c r="AC89" s="1">
        <v>6.166666666666667</v>
      </c>
      <c r="AD89" s="1">
        <v>8.8333333333333339</v>
      </c>
      <c r="AE89" s="1">
        <v>12.2</v>
      </c>
      <c r="AF89" s="1">
        <v>6.2</v>
      </c>
      <c r="AG89" s="1"/>
      <c r="AH89" s="1">
        <f t="shared" si="27"/>
        <v>1.7159999999999993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2" t="s">
        <v>133</v>
      </c>
      <c r="B90" s="12" t="s">
        <v>43</v>
      </c>
      <c r="C90" s="12"/>
      <c r="D90" s="12">
        <v>79</v>
      </c>
      <c r="E90" s="12">
        <v>3</v>
      </c>
      <c r="F90" s="12">
        <v>75</v>
      </c>
      <c r="G90" s="13">
        <v>0</v>
      </c>
      <c r="H90" s="12" t="e">
        <v>#N/A</v>
      </c>
      <c r="I90" s="12" t="s">
        <v>44</v>
      </c>
      <c r="J90" s="12"/>
      <c r="K90" s="12">
        <v>4</v>
      </c>
      <c r="L90" s="12">
        <f t="shared" si="20"/>
        <v>-1</v>
      </c>
      <c r="M90" s="12"/>
      <c r="N90" s="12"/>
      <c r="O90" s="12"/>
      <c r="P90" s="12"/>
      <c r="Q90" s="12"/>
      <c r="R90" s="12">
        <f t="shared" si="21"/>
        <v>0.6</v>
      </c>
      <c r="S90" s="14"/>
      <c r="T90" s="14"/>
      <c r="U90" s="12"/>
      <c r="V90" s="12"/>
      <c r="W90" s="12">
        <f t="shared" si="23"/>
        <v>125</v>
      </c>
      <c r="X90" s="12">
        <f t="shared" si="24"/>
        <v>125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5" t="s">
        <v>144</v>
      </c>
      <c r="AH90" s="12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37</v>
      </c>
      <c r="C91" s="1">
        <v>210.49600000000001</v>
      </c>
      <c r="D91" s="1">
        <v>432.66</v>
      </c>
      <c r="E91" s="1">
        <v>364.49400000000003</v>
      </c>
      <c r="F91" s="1">
        <v>271.745</v>
      </c>
      <c r="G91" s="8">
        <v>1</v>
      </c>
      <c r="H91" s="1">
        <v>40</v>
      </c>
      <c r="I91" s="1" t="s">
        <v>38</v>
      </c>
      <c r="J91" s="1"/>
      <c r="K91" s="1">
        <v>338.3</v>
      </c>
      <c r="L91" s="1">
        <f t="shared" si="20"/>
        <v>26.194000000000017</v>
      </c>
      <c r="M91" s="1"/>
      <c r="N91" s="1"/>
      <c r="O91" s="1">
        <v>394.37900000000008</v>
      </c>
      <c r="P91" s="1">
        <v>21.30219999999991</v>
      </c>
      <c r="Q91" s="1"/>
      <c r="R91" s="1">
        <f t="shared" si="21"/>
        <v>72.898800000000008</v>
      </c>
      <c r="S91" s="5">
        <f t="shared" ref="S91:S94" si="29">11*R91-Q91-P91-O91-F91</f>
        <v>114.46060000000017</v>
      </c>
      <c r="T91" s="5"/>
      <c r="U91" s="1"/>
      <c r="V91" s="1"/>
      <c r="W91" s="1">
        <f t="shared" si="23"/>
        <v>10.999999999999998</v>
      </c>
      <c r="X91" s="1">
        <f t="shared" si="24"/>
        <v>9.4298699018365166</v>
      </c>
      <c r="Y91" s="1">
        <v>80.378</v>
      </c>
      <c r="Z91" s="1">
        <v>93.078800000000001</v>
      </c>
      <c r="AA91" s="1">
        <v>78.245399999999989</v>
      </c>
      <c r="AB91" s="1">
        <v>84.59</v>
      </c>
      <c r="AC91" s="1">
        <v>77.0535</v>
      </c>
      <c r="AD91" s="1">
        <v>72.843333333333334</v>
      </c>
      <c r="AE91" s="1">
        <v>89.893200000000007</v>
      </c>
      <c r="AF91" s="1">
        <v>73.190799999999996</v>
      </c>
      <c r="AG91" s="1" t="s">
        <v>56</v>
      </c>
      <c r="AH91" s="1">
        <f t="shared" ref="AH91:AH97" si="30">G91*S91</f>
        <v>114.46060000000017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135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20"/>
        <v>0</v>
      </c>
      <c r="M92" s="1"/>
      <c r="N92" s="1"/>
      <c r="O92" s="1"/>
      <c r="P92" s="11"/>
      <c r="Q92" s="1"/>
      <c r="R92" s="1">
        <f t="shared" si="21"/>
        <v>0</v>
      </c>
      <c r="S92" s="20">
        <v>4</v>
      </c>
      <c r="T92" s="5"/>
      <c r="U92" s="1"/>
      <c r="V92" s="1"/>
      <c r="W92" s="1" t="e">
        <f t="shared" si="23"/>
        <v>#DIV/0!</v>
      </c>
      <c r="X92" s="1" t="e">
        <f t="shared" si="24"/>
        <v>#DIV/0!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-1.274</v>
      </c>
      <c r="AF92" s="1">
        <v>0</v>
      </c>
      <c r="AG92" s="11" t="s">
        <v>136</v>
      </c>
      <c r="AH92" s="1">
        <f t="shared" si="30"/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43</v>
      </c>
      <c r="C93" s="1"/>
      <c r="D93" s="1">
        <v>174</v>
      </c>
      <c r="E93" s="1">
        <v>75</v>
      </c>
      <c r="F93" s="1">
        <v>99</v>
      </c>
      <c r="G93" s="8">
        <v>0.3</v>
      </c>
      <c r="H93" s="1">
        <v>40</v>
      </c>
      <c r="I93" s="1" t="s">
        <v>38</v>
      </c>
      <c r="J93" s="1"/>
      <c r="K93" s="1">
        <v>87</v>
      </c>
      <c r="L93" s="1">
        <f t="shared" si="20"/>
        <v>-12</v>
      </c>
      <c r="M93" s="1"/>
      <c r="N93" s="1"/>
      <c r="O93" s="1">
        <v>35.033333333333388</v>
      </c>
      <c r="P93" s="1">
        <v>0</v>
      </c>
      <c r="Q93" s="1"/>
      <c r="R93" s="1">
        <f t="shared" si="21"/>
        <v>15</v>
      </c>
      <c r="S93" s="5">
        <f t="shared" si="29"/>
        <v>30.966666666666612</v>
      </c>
      <c r="T93" s="5"/>
      <c r="U93" s="1"/>
      <c r="V93" s="1"/>
      <c r="W93" s="1">
        <f t="shared" si="23"/>
        <v>11</v>
      </c>
      <c r="X93" s="1">
        <f t="shared" si="24"/>
        <v>8.9355555555555597</v>
      </c>
      <c r="Y93" s="1">
        <v>12.4</v>
      </c>
      <c r="Z93" s="1">
        <v>18</v>
      </c>
      <c r="AA93" s="1">
        <v>18.600000000000001</v>
      </c>
      <c r="AB93" s="1">
        <v>32.4</v>
      </c>
      <c r="AC93" s="1">
        <v>28.166666666666671</v>
      </c>
      <c r="AD93" s="1">
        <v>24.166666666666671</v>
      </c>
      <c r="AE93" s="1">
        <v>23.8</v>
      </c>
      <c r="AF93" s="1">
        <v>29</v>
      </c>
      <c r="AG93" s="1"/>
      <c r="AH93" s="1">
        <f t="shared" si="30"/>
        <v>9.2899999999999832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43</v>
      </c>
      <c r="C94" s="1">
        <v>103</v>
      </c>
      <c r="D94" s="1">
        <v>2</v>
      </c>
      <c r="E94" s="1">
        <v>60</v>
      </c>
      <c r="F94" s="1">
        <v>36</v>
      </c>
      <c r="G94" s="8">
        <v>0.3</v>
      </c>
      <c r="H94" s="1">
        <v>40</v>
      </c>
      <c r="I94" s="1" t="s">
        <v>38</v>
      </c>
      <c r="J94" s="1"/>
      <c r="K94" s="1">
        <v>68</v>
      </c>
      <c r="L94" s="1">
        <f t="shared" si="20"/>
        <v>-8</v>
      </c>
      <c r="M94" s="1"/>
      <c r="N94" s="1"/>
      <c r="O94" s="1">
        <v>24.599999999999991</v>
      </c>
      <c r="P94" s="1">
        <v>13.400000000000009</v>
      </c>
      <c r="Q94" s="1"/>
      <c r="R94" s="1">
        <f t="shared" si="21"/>
        <v>12</v>
      </c>
      <c r="S94" s="5">
        <f t="shared" si="29"/>
        <v>58</v>
      </c>
      <c r="T94" s="5"/>
      <c r="U94" s="1"/>
      <c r="V94" s="1"/>
      <c r="W94" s="1">
        <f t="shared" si="23"/>
        <v>11</v>
      </c>
      <c r="X94" s="1">
        <f t="shared" si="24"/>
        <v>6.166666666666667</v>
      </c>
      <c r="Y94" s="1">
        <v>10</v>
      </c>
      <c r="Z94" s="1">
        <v>11.6</v>
      </c>
      <c r="AA94" s="1">
        <v>9.6</v>
      </c>
      <c r="AB94" s="1">
        <v>10</v>
      </c>
      <c r="AC94" s="1">
        <v>14.5</v>
      </c>
      <c r="AD94" s="1">
        <v>19.666666666666671</v>
      </c>
      <c r="AE94" s="1">
        <v>17.399999999999999</v>
      </c>
      <c r="AF94" s="1">
        <v>8.1999999999999993</v>
      </c>
      <c r="AG94" s="1" t="s">
        <v>139</v>
      </c>
      <c r="AH94" s="1">
        <f t="shared" si="30"/>
        <v>17.399999999999999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140</v>
      </c>
      <c r="B95" s="1" t="s">
        <v>37</v>
      </c>
      <c r="C95" s="1">
        <v>31.684999999999999</v>
      </c>
      <c r="D95" s="1">
        <v>1.4039999999999999</v>
      </c>
      <c r="E95" s="1">
        <v>23.32</v>
      </c>
      <c r="F95" s="1">
        <v>8.3650000000000002</v>
      </c>
      <c r="G95" s="8">
        <v>1</v>
      </c>
      <c r="H95" s="1">
        <v>50</v>
      </c>
      <c r="I95" s="1" t="s">
        <v>38</v>
      </c>
      <c r="J95" s="1"/>
      <c r="K95" s="1">
        <v>22.85</v>
      </c>
      <c r="L95" s="1">
        <f t="shared" si="20"/>
        <v>0.46999999999999886</v>
      </c>
      <c r="M95" s="1"/>
      <c r="N95" s="1"/>
      <c r="O95" s="1">
        <v>0</v>
      </c>
      <c r="P95" s="1">
        <v>0</v>
      </c>
      <c r="Q95" s="1"/>
      <c r="R95" s="1">
        <f t="shared" si="21"/>
        <v>4.6639999999999997</v>
      </c>
      <c r="S95" s="5">
        <f>8*R95-Q95-P95-O95-F95</f>
        <v>28.946999999999996</v>
      </c>
      <c r="T95" s="5"/>
      <c r="U95" s="1"/>
      <c r="V95" s="1"/>
      <c r="W95" s="1">
        <f t="shared" si="23"/>
        <v>8</v>
      </c>
      <c r="X95" s="1">
        <f t="shared" si="24"/>
        <v>1.7935248713550602</v>
      </c>
      <c r="Y95" s="1">
        <v>1.0784</v>
      </c>
      <c r="Z95" s="1">
        <v>1.5948</v>
      </c>
      <c r="AA95" s="1">
        <v>2.4156</v>
      </c>
      <c r="AB95" s="1">
        <v>2.4234</v>
      </c>
      <c r="AC95" s="1">
        <v>1.1108333333333329</v>
      </c>
      <c r="AD95" s="1">
        <v>0.89566666666666661</v>
      </c>
      <c r="AE95" s="1">
        <v>4.6595999999999993</v>
      </c>
      <c r="AF95" s="1">
        <v>1.3528</v>
      </c>
      <c r="AG95" s="1"/>
      <c r="AH95" s="1">
        <f t="shared" si="30"/>
        <v>28.946999999999996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141</v>
      </c>
      <c r="B96" s="1" t="s">
        <v>43</v>
      </c>
      <c r="C96" s="1">
        <v>11</v>
      </c>
      <c r="D96" s="1">
        <v>37</v>
      </c>
      <c r="E96" s="1">
        <v>13</v>
      </c>
      <c r="F96" s="1">
        <v>35</v>
      </c>
      <c r="G96" s="8">
        <v>0.3</v>
      </c>
      <c r="H96" s="1">
        <v>40</v>
      </c>
      <c r="I96" s="1" t="s">
        <v>38</v>
      </c>
      <c r="J96" s="1"/>
      <c r="K96" s="1">
        <v>27</v>
      </c>
      <c r="L96" s="1">
        <f t="shared" si="20"/>
        <v>-14</v>
      </c>
      <c r="M96" s="1"/>
      <c r="N96" s="1"/>
      <c r="O96" s="1">
        <v>58</v>
      </c>
      <c r="P96" s="1">
        <v>0</v>
      </c>
      <c r="Q96" s="1"/>
      <c r="R96" s="1">
        <f t="shared" si="21"/>
        <v>2.6</v>
      </c>
      <c r="S96" s="5"/>
      <c r="T96" s="5"/>
      <c r="U96" s="1"/>
      <c r="V96" s="1"/>
      <c r="W96" s="1">
        <f t="shared" si="23"/>
        <v>35.769230769230766</v>
      </c>
      <c r="X96" s="1">
        <f t="shared" si="24"/>
        <v>35.769230769230766</v>
      </c>
      <c r="Y96" s="1">
        <v>6</v>
      </c>
      <c r="Z96" s="1">
        <v>9.1999999999999993</v>
      </c>
      <c r="AA96" s="1">
        <v>5.6</v>
      </c>
      <c r="AB96" s="1">
        <v>5.8</v>
      </c>
      <c r="AC96" s="1">
        <v>8.6666666666666661</v>
      </c>
      <c r="AD96" s="1">
        <v>7.333333333333333</v>
      </c>
      <c r="AE96" s="1">
        <v>8.8000000000000007</v>
      </c>
      <c r="AF96" s="1">
        <v>9.6</v>
      </c>
      <c r="AG96" s="1"/>
      <c r="AH96" s="1">
        <f t="shared" si="30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142</v>
      </c>
      <c r="B97" s="1" t="s">
        <v>43</v>
      </c>
      <c r="C97" s="1"/>
      <c r="D97" s="1">
        <v>61</v>
      </c>
      <c r="E97" s="1">
        <v>7</v>
      </c>
      <c r="F97" s="1">
        <v>52</v>
      </c>
      <c r="G97" s="8">
        <v>0.12</v>
      </c>
      <c r="H97" s="1">
        <v>45</v>
      </c>
      <c r="I97" s="1" t="s">
        <v>38</v>
      </c>
      <c r="J97" s="1"/>
      <c r="K97" s="1">
        <v>9</v>
      </c>
      <c r="L97" s="1">
        <f t="shared" si="20"/>
        <v>-2</v>
      </c>
      <c r="M97" s="1"/>
      <c r="N97" s="1"/>
      <c r="O97" s="1">
        <v>8</v>
      </c>
      <c r="P97" s="1">
        <v>0</v>
      </c>
      <c r="Q97" s="1"/>
      <c r="R97" s="1">
        <f t="shared" si="21"/>
        <v>1.4</v>
      </c>
      <c r="S97" s="5"/>
      <c r="T97" s="5"/>
      <c r="U97" s="1"/>
      <c r="V97" s="1"/>
      <c r="W97" s="1">
        <f t="shared" si="23"/>
        <v>42.857142857142861</v>
      </c>
      <c r="X97" s="1">
        <f t="shared" si="24"/>
        <v>42.857142857142861</v>
      </c>
      <c r="Y97" s="1">
        <v>2.2000000000000002</v>
      </c>
      <c r="Z97" s="1">
        <v>4.8</v>
      </c>
      <c r="AA97" s="1">
        <v>5.6</v>
      </c>
      <c r="AB97" s="1">
        <v>5.2</v>
      </c>
      <c r="AC97" s="1">
        <v>3.666666666666667</v>
      </c>
      <c r="AD97" s="1">
        <v>1.833333333333333</v>
      </c>
      <c r="AE97" s="1">
        <v>6.8</v>
      </c>
      <c r="AF97" s="1">
        <v>3.8</v>
      </c>
      <c r="AG97" s="1"/>
      <c r="AH97" s="1">
        <f t="shared" si="30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H97" xr:uid="{2004E89E-0DC3-4885-BCAF-AE22BB2D461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2026-01-27T09:00:40Z</dcterms:created>
  <dcterms:modified xsi:type="dcterms:W3CDTF">2026-01-27T09:13:49Z</dcterms:modified>
</cp:coreProperties>
</file>