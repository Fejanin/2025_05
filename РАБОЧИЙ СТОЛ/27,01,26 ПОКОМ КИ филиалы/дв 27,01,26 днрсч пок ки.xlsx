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"/>
    </mc:Choice>
  </mc:AlternateContent>
  <xr:revisionPtr revIDLastSave="0" documentId="13_ncr:1_{A6D69B33-6B92-4BEB-B21D-A0D4061664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92" i="1" l="1"/>
  <c r="R97" i="1"/>
  <c r="M97" i="1"/>
  <c r="V97" i="1" s="1"/>
  <c r="AL97" i="1" s="1"/>
  <c r="L97" i="1"/>
  <c r="R96" i="1"/>
  <c r="M96" i="1"/>
  <c r="V96" i="1" s="1"/>
  <c r="AL96" i="1" s="1"/>
  <c r="L96" i="1"/>
  <c r="R95" i="1"/>
  <c r="M95" i="1"/>
  <c r="V95" i="1" s="1"/>
  <c r="AL95" i="1" s="1"/>
  <c r="L95" i="1"/>
  <c r="R94" i="1"/>
  <c r="M94" i="1"/>
  <c r="V94" i="1" s="1"/>
  <c r="W94" i="1" s="1"/>
  <c r="AL94" i="1" s="1"/>
  <c r="L94" i="1"/>
  <c r="R93" i="1"/>
  <c r="M93" i="1"/>
  <c r="V93" i="1" s="1"/>
  <c r="W93" i="1" s="1"/>
  <c r="AL93" i="1" s="1"/>
  <c r="L93" i="1"/>
  <c r="R92" i="1"/>
  <c r="M92" i="1"/>
  <c r="V92" i="1" s="1"/>
  <c r="L92" i="1"/>
  <c r="R91" i="1"/>
  <c r="M91" i="1"/>
  <c r="V91" i="1" s="1"/>
  <c r="W91" i="1" s="1"/>
  <c r="AL91" i="1" s="1"/>
  <c r="L91" i="1"/>
  <c r="R90" i="1"/>
  <c r="M90" i="1"/>
  <c r="V90" i="1" s="1"/>
  <c r="L90" i="1"/>
  <c r="R89" i="1"/>
  <c r="M89" i="1"/>
  <c r="V89" i="1" s="1"/>
  <c r="W89" i="1" s="1"/>
  <c r="AL89" i="1" s="1"/>
  <c r="L89" i="1"/>
  <c r="R88" i="1"/>
  <c r="M88" i="1"/>
  <c r="V88" i="1" s="1"/>
  <c r="W88" i="1" s="1"/>
  <c r="AL88" i="1" s="1"/>
  <c r="L88" i="1"/>
  <c r="R87" i="1"/>
  <c r="M87" i="1"/>
  <c r="V87" i="1" s="1"/>
  <c r="W87" i="1" s="1"/>
  <c r="AL87" i="1" s="1"/>
  <c r="L87" i="1"/>
  <c r="R86" i="1"/>
  <c r="M86" i="1"/>
  <c r="V86" i="1" s="1"/>
  <c r="W86" i="1" s="1"/>
  <c r="AL86" i="1" s="1"/>
  <c r="L86" i="1"/>
  <c r="R85" i="1"/>
  <c r="M85" i="1"/>
  <c r="V85" i="1" s="1"/>
  <c r="W85" i="1" s="1"/>
  <c r="AL85" i="1" s="1"/>
  <c r="L85" i="1"/>
  <c r="R84" i="1"/>
  <c r="M84" i="1"/>
  <c r="V84" i="1" s="1"/>
  <c r="W84" i="1" s="1"/>
  <c r="AL84" i="1" s="1"/>
  <c r="L84" i="1"/>
  <c r="R83" i="1"/>
  <c r="M83" i="1"/>
  <c r="V83" i="1" s="1"/>
  <c r="AL83" i="1" s="1"/>
  <c r="L83" i="1"/>
  <c r="R82" i="1"/>
  <c r="M82" i="1"/>
  <c r="V82" i="1" s="1"/>
  <c r="AL82" i="1" s="1"/>
  <c r="L82" i="1"/>
  <c r="R81" i="1"/>
  <c r="F81" i="1"/>
  <c r="E81" i="1"/>
  <c r="L81" i="1" s="1"/>
  <c r="R80" i="1"/>
  <c r="M80" i="1"/>
  <c r="V80" i="1" s="1"/>
  <c r="AL80" i="1" s="1"/>
  <c r="L80" i="1"/>
  <c r="R79" i="1"/>
  <c r="M79" i="1"/>
  <c r="V79" i="1" s="1"/>
  <c r="AL79" i="1" s="1"/>
  <c r="L79" i="1"/>
  <c r="R78" i="1"/>
  <c r="M78" i="1"/>
  <c r="V78" i="1" s="1"/>
  <c r="AL78" i="1" s="1"/>
  <c r="L78" i="1"/>
  <c r="R77" i="1"/>
  <c r="M77" i="1"/>
  <c r="V77" i="1" s="1"/>
  <c r="AL77" i="1" s="1"/>
  <c r="L77" i="1"/>
  <c r="R76" i="1"/>
  <c r="M76" i="1"/>
  <c r="V76" i="1" s="1"/>
  <c r="L76" i="1"/>
  <c r="R75" i="1"/>
  <c r="M75" i="1"/>
  <c r="V75" i="1" s="1"/>
  <c r="W75" i="1" s="1"/>
  <c r="AL75" i="1" s="1"/>
  <c r="L75" i="1"/>
  <c r="R74" i="1"/>
  <c r="M74" i="1"/>
  <c r="V74" i="1" s="1"/>
  <c r="L74" i="1"/>
  <c r="R73" i="1"/>
  <c r="M73" i="1"/>
  <c r="V73" i="1" s="1"/>
  <c r="W73" i="1" s="1"/>
  <c r="AL73" i="1" s="1"/>
  <c r="L73" i="1"/>
  <c r="R72" i="1"/>
  <c r="M72" i="1"/>
  <c r="V72" i="1" s="1"/>
  <c r="L72" i="1"/>
  <c r="R71" i="1"/>
  <c r="M71" i="1"/>
  <c r="V71" i="1" s="1"/>
  <c r="L71" i="1"/>
  <c r="R70" i="1"/>
  <c r="M70" i="1"/>
  <c r="V70" i="1" s="1"/>
  <c r="AL70" i="1" s="1"/>
  <c r="L70" i="1"/>
  <c r="R69" i="1"/>
  <c r="M69" i="1"/>
  <c r="V69" i="1" s="1"/>
  <c r="AL69" i="1" s="1"/>
  <c r="L69" i="1"/>
  <c r="R68" i="1"/>
  <c r="M68" i="1"/>
  <c r="V68" i="1" s="1"/>
  <c r="AL68" i="1" s="1"/>
  <c r="L68" i="1"/>
  <c r="R67" i="1"/>
  <c r="M67" i="1"/>
  <c r="V67" i="1" s="1"/>
  <c r="AL67" i="1" s="1"/>
  <c r="L67" i="1"/>
  <c r="R66" i="1"/>
  <c r="M66" i="1"/>
  <c r="V66" i="1" s="1"/>
  <c r="W66" i="1" s="1"/>
  <c r="AL66" i="1" s="1"/>
  <c r="L66" i="1"/>
  <c r="R65" i="1"/>
  <c r="M65" i="1"/>
  <c r="V65" i="1" s="1"/>
  <c r="AL65" i="1" s="1"/>
  <c r="L65" i="1"/>
  <c r="R64" i="1"/>
  <c r="M64" i="1"/>
  <c r="V64" i="1" s="1"/>
  <c r="AB64" i="1" s="1"/>
  <c r="L64" i="1"/>
  <c r="R63" i="1"/>
  <c r="M63" i="1"/>
  <c r="V63" i="1" s="1"/>
  <c r="W63" i="1" s="1"/>
  <c r="AL63" i="1" s="1"/>
  <c r="L63" i="1"/>
  <c r="R62" i="1"/>
  <c r="M62" i="1"/>
  <c r="V62" i="1" s="1"/>
  <c r="AB62" i="1" s="1"/>
  <c r="L62" i="1"/>
  <c r="R61" i="1"/>
  <c r="M61" i="1"/>
  <c r="V61" i="1" s="1"/>
  <c r="AL61" i="1" s="1"/>
  <c r="L61" i="1"/>
  <c r="R60" i="1"/>
  <c r="M60" i="1"/>
  <c r="V60" i="1" s="1"/>
  <c r="AB60" i="1" s="1"/>
  <c r="L60" i="1"/>
  <c r="R59" i="1"/>
  <c r="M59" i="1"/>
  <c r="V59" i="1" s="1"/>
  <c r="W59" i="1" s="1"/>
  <c r="AL59" i="1" s="1"/>
  <c r="L59" i="1"/>
  <c r="R58" i="1"/>
  <c r="M58" i="1"/>
  <c r="V58" i="1" s="1"/>
  <c r="AB58" i="1" s="1"/>
  <c r="L58" i="1"/>
  <c r="R57" i="1"/>
  <c r="M57" i="1"/>
  <c r="V57" i="1" s="1"/>
  <c r="AL57" i="1" s="1"/>
  <c r="L57" i="1"/>
  <c r="R56" i="1"/>
  <c r="M56" i="1"/>
  <c r="V56" i="1" s="1"/>
  <c r="AB56" i="1" s="1"/>
  <c r="L56" i="1"/>
  <c r="R55" i="1"/>
  <c r="M55" i="1"/>
  <c r="V55" i="1" s="1"/>
  <c r="AL55" i="1" s="1"/>
  <c r="L55" i="1"/>
  <c r="R54" i="1"/>
  <c r="M54" i="1"/>
  <c r="V54" i="1" s="1"/>
  <c r="AB54" i="1" s="1"/>
  <c r="L54" i="1"/>
  <c r="R53" i="1"/>
  <c r="M53" i="1"/>
  <c r="V53" i="1" s="1"/>
  <c r="AL53" i="1" s="1"/>
  <c r="L53" i="1"/>
  <c r="R52" i="1"/>
  <c r="M52" i="1"/>
  <c r="V52" i="1" s="1"/>
  <c r="L52" i="1"/>
  <c r="R51" i="1"/>
  <c r="M51" i="1"/>
  <c r="V51" i="1" s="1"/>
  <c r="L51" i="1"/>
  <c r="R50" i="1"/>
  <c r="M50" i="1"/>
  <c r="V50" i="1" s="1"/>
  <c r="AB50" i="1" s="1"/>
  <c r="L50" i="1"/>
  <c r="R49" i="1"/>
  <c r="M49" i="1"/>
  <c r="V49" i="1" s="1"/>
  <c r="AL49" i="1" s="1"/>
  <c r="L49" i="1"/>
  <c r="R48" i="1"/>
  <c r="M48" i="1"/>
  <c r="V48" i="1" s="1"/>
  <c r="AB48" i="1" s="1"/>
  <c r="L48" i="1"/>
  <c r="R47" i="1"/>
  <c r="M47" i="1"/>
  <c r="V47" i="1" s="1"/>
  <c r="W47" i="1" s="1"/>
  <c r="AL47" i="1" s="1"/>
  <c r="L47" i="1"/>
  <c r="R46" i="1"/>
  <c r="M46" i="1"/>
  <c r="V46" i="1" s="1"/>
  <c r="AB46" i="1" s="1"/>
  <c r="L46" i="1"/>
  <c r="R45" i="1"/>
  <c r="M45" i="1"/>
  <c r="V45" i="1" s="1"/>
  <c r="L45" i="1"/>
  <c r="R44" i="1"/>
  <c r="M44" i="1"/>
  <c r="V44" i="1" s="1"/>
  <c r="AB44" i="1" s="1"/>
  <c r="L44" i="1"/>
  <c r="R43" i="1"/>
  <c r="M43" i="1"/>
  <c r="V43" i="1" s="1"/>
  <c r="W43" i="1" s="1"/>
  <c r="AL43" i="1" s="1"/>
  <c r="L43" i="1"/>
  <c r="R42" i="1"/>
  <c r="M42" i="1"/>
  <c r="V42" i="1" s="1"/>
  <c r="AB42" i="1" s="1"/>
  <c r="L42" i="1"/>
  <c r="R41" i="1"/>
  <c r="M41" i="1"/>
  <c r="V41" i="1" s="1"/>
  <c r="W41" i="1" s="1"/>
  <c r="AL41" i="1" s="1"/>
  <c r="L41" i="1"/>
  <c r="R40" i="1"/>
  <c r="M40" i="1"/>
  <c r="V40" i="1" s="1"/>
  <c r="W40" i="1" s="1"/>
  <c r="AL40" i="1" s="1"/>
  <c r="L40" i="1"/>
  <c r="R39" i="1"/>
  <c r="M39" i="1"/>
  <c r="V39" i="1" s="1"/>
  <c r="AL39" i="1" s="1"/>
  <c r="L39" i="1"/>
  <c r="R38" i="1"/>
  <c r="M38" i="1"/>
  <c r="V38" i="1" s="1"/>
  <c r="AL38" i="1" s="1"/>
  <c r="L38" i="1"/>
  <c r="R37" i="1"/>
  <c r="M37" i="1"/>
  <c r="V37" i="1" s="1"/>
  <c r="AL37" i="1" s="1"/>
  <c r="L37" i="1"/>
  <c r="R36" i="1"/>
  <c r="M36" i="1"/>
  <c r="V36" i="1" s="1"/>
  <c r="W36" i="1" s="1"/>
  <c r="AL36" i="1" s="1"/>
  <c r="L36" i="1"/>
  <c r="R35" i="1"/>
  <c r="M35" i="1"/>
  <c r="V35" i="1" s="1"/>
  <c r="AL35" i="1" s="1"/>
  <c r="L35" i="1"/>
  <c r="R34" i="1"/>
  <c r="M34" i="1"/>
  <c r="V34" i="1" s="1"/>
  <c r="W34" i="1" s="1"/>
  <c r="AL34" i="1" s="1"/>
  <c r="L34" i="1"/>
  <c r="R33" i="1"/>
  <c r="M33" i="1"/>
  <c r="V33" i="1" s="1"/>
  <c r="AL33" i="1" s="1"/>
  <c r="L33" i="1"/>
  <c r="R32" i="1"/>
  <c r="M32" i="1"/>
  <c r="V32" i="1" s="1"/>
  <c r="L32" i="1"/>
  <c r="R31" i="1"/>
  <c r="M31" i="1"/>
  <c r="V31" i="1" s="1"/>
  <c r="AL31" i="1" s="1"/>
  <c r="L31" i="1"/>
  <c r="R30" i="1"/>
  <c r="M30" i="1"/>
  <c r="V30" i="1" s="1"/>
  <c r="L30" i="1"/>
  <c r="R29" i="1"/>
  <c r="M29" i="1"/>
  <c r="V29" i="1" s="1"/>
  <c r="L29" i="1"/>
  <c r="R28" i="1"/>
  <c r="M28" i="1"/>
  <c r="V28" i="1" s="1"/>
  <c r="L28" i="1"/>
  <c r="R27" i="1"/>
  <c r="M27" i="1"/>
  <c r="V27" i="1" s="1"/>
  <c r="L27" i="1"/>
  <c r="R26" i="1"/>
  <c r="M26" i="1"/>
  <c r="V26" i="1" s="1"/>
  <c r="L26" i="1"/>
  <c r="R25" i="1"/>
  <c r="M25" i="1"/>
  <c r="V25" i="1" s="1"/>
  <c r="AL25" i="1" s="1"/>
  <c r="L25" i="1"/>
  <c r="R24" i="1"/>
  <c r="M24" i="1"/>
  <c r="V24" i="1" s="1"/>
  <c r="AL24" i="1" s="1"/>
  <c r="L24" i="1"/>
  <c r="R23" i="1"/>
  <c r="M23" i="1"/>
  <c r="V23" i="1" s="1"/>
  <c r="AL23" i="1" s="1"/>
  <c r="L23" i="1"/>
  <c r="R22" i="1"/>
  <c r="M22" i="1"/>
  <c r="V22" i="1" s="1"/>
  <c r="W22" i="1" s="1"/>
  <c r="AL22" i="1" s="1"/>
  <c r="L22" i="1"/>
  <c r="R21" i="1"/>
  <c r="M21" i="1"/>
  <c r="V21" i="1" s="1"/>
  <c r="L21" i="1"/>
  <c r="R20" i="1"/>
  <c r="M20" i="1"/>
  <c r="V20" i="1" s="1"/>
  <c r="W20" i="1" s="1"/>
  <c r="AL20" i="1" s="1"/>
  <c r="L20" i="1"/>
  <c r="R19" i="1"/>
  <c r="M19" i="1"/>
  <c r="V19" i="1" s="1"/>
  <c r="AL19" i="1" s="1"/>
  <c r="L19" i="1"/>
  <c r="R18" i="1"/>
  <c r="M18" i="1"/>
  <c r="V18" i="1" s="1"/>
  <c r="L18" i="1"/>
  <c r="R17" i="1"/>
  <c r="M17" i="1"/>
  <c r="V17" i="1" s="1"/>
  <c r="W17" i="1" s="1"/>
  <c r="L17" i="1"/>
  <c r="R16" i="1"/>
  <c r="M16" i="1"/>
  <c r="V16" i="1" s="1"/>
  <c r="AL16" i="1" s="1"/>
  <c r="L16" i="1"/>
  <c r="R15" i="1"/>
  <c r="M15" i="1"/>
  <c r="V15" i="1" s="1"/>
  <c r="W15" i="1" s="1"/>
  <c r="AL15" i="1" s="1"/>
  <c r="L15" i="1"/>
  <c r="R14" i="1"/>
  <c r="M14" i="1"/>
  <c r="V14" i="1" s="1"/>
  <c r="AL14" i="1" s="1"/>
  <c r="L14" i="1"/>
  <c r="R13" i="1"/>
  <c r="M13" i="1"/>
  <c r="V13" i="1" s="1"/>
  <c r="AL13" i="1" s="1"/>
  <c r="L13" i="1"/>
  <c r="R12" i="1"/>
  <c r="M12" i="1"/>
  <c r="V12" i="1" s="1"/>
  <c r="W12" i="1" s="1"/>
  <c r="AL12" i="1" s="1"/>
  <c r="L12" i="1"/>
  <c r="R11" i="1"/>
  <c r="M11" i="1"/>
  <c r="V11" i="1" s="1"/>
  <c r="AL11" i="1" s="1"/>
  <c r="L11" i="1"/>
  <c r="R10" i="1"/>
  <c r="M10" i="1"/>
  <c r="V10" i="1" s="1"/>
  <c r="W10" i="1" s="1"/>
  <c r="AL10" i="1" s="1"/>
  <c r="L10" i="1"/>
  <c r="R9" i="1"/>
  <c r="M9" i="1"/>
  <c r="V9" i="1" s="1"/>
  <c r="W9" i="1" s="1"/>
  <c r="AL9" i="1" s="1"/>
  <c r="L9" i="1"/>
  <c r="R8" i="1"/>
  <c r="M8" i="1"/>
  <c r="V8" i="1" s="1"/>
  <c r="W8" i="1" s="1"/>
  <c r="AL8" i="1" s="1"/>
  <c r="L8" i="1"/>
  <c r="R7" i="1"/>
  <c r="M7" i="1"/>
  <c r="V7" i="1" s="1"/>
  <c r="W7" i="1" s="1"/>
  <c r="L7" i="1"/>
  <c r="R6" i="1"/>
  <c r="M6" i="1"/>
  <c r="V6" i="1" s="1"/>
  <c r="AL6" i="1" s="1"/>
  <c r="L6" i="1"/>
  <c r="AJ5" i="1"/>
  <c r="AI5" i="1"/>
  <c r="AH5" i="1"/>
  <c r="AG5" i="1"/>
  <c r="AF5" i="1"/>
  <c r="AE5" i="1"/>
  <c r="AD5" i="1"/>
  <c r="AC5" i="1"/>
  <c r="Z5" i="1"/>
  <c r="X5" i="1"/>
  <c r="U5" i="1"/>
  <c r="T5" i="1"/>
  <c r="S5" i="1"/>
  <c r="Q5" i="1"/>
  <c r="P5" i="1"/>
  <c r="O5" i="1"/>
  <c r="N5" i="1"/>
  <c r="K5" i="1"/>
  <c r="F5" i="1"/>
  <c r="E5" i="1"/>
  <c r="W45" i="1" l="1"/>
  <c r="AL45" i="1" s="1"/>
  <c r="AL17" i="1"/>
  <c r="W28" i="1"/>
  <c r="AL28" i="1" s="1"/>
  <c r="AL7" i="1"/>
  <c r="AB51" i="1"/>
  <c r="W51" i="1"/>
  <c r="AL51" i="1" s="1"/>
  <c r="W42" i="1"/>
  <c r="AL42" i="1" s="1"/>
  <c r="AL44" i="1"/>
  <c r="W46" i="1"/>
  <c r="AL46" i="1" s="1"/>
  <c r="AL48" i="1"/>
  <c r="AL54" i="1"/>
  <c r="W56" i="1"/>
  <c r="AL56" i="1" s="1"/>
  <c r="AL58" i="1"/>
  <c r="AL60" i="1"/>
  <c r="AL62" i="1"/>
  <c r="W64" i="1"/>
  <c r="AL64" i="1" s="1"/>
  <c r="L5" i="1"/>
  <c r="R5" i="1"/>
  <c r="M81" i="1"/>
  <c r="V81" i="1" s="1"/>
  <c r="AB19" i="1"/>
  <c r="AA19" i="1"/>
  <c r="AA20" i="1"/>
  <c r="AB20" i="1"/>
  <c r="AB21" i="1"/>
  <c r="AA21" i="1"/>
  <c r="AB27" i="1"/>
  <c r="AA27" i="1"/>
  <c r="AA30" i="1"/>
  <c r="AB30" i="1"/>
  <c r="AB33" i="1"/>
  <c r="AA33" i="1"/>
  <c r="AA34" i="1"/>
  <c r="AB34" i="1"/>
  <c r="AB35" i="1"/>
  <c r="AA35" i="1"/>
  <c r="AA36" i="1"/>
  <c r="AB36" i="1"/>
  <c r="AB37" i="1"/>
  <c r="AA37" i="1"/>
  <c r="AA38" i="1"/>
  <c r="AB38" i="1"/>
  <c r="AB39" i="1"/>
  <c r="AA39" i="1"/>
  <c r="AA40" i="1"/>
  <c r="AB40" i="1"/>
  <c r="AB41" i="1"/>
  <c r="AA41" i="1"/>
  <c r="AA43" i="1"/>
  <c r="AB43" i="1"/>
  <c r="AB45" i="1"/>
  <c r="AA47" i="1"/>
  <c r="AB47" i="1"/>
  <c r="AA49" i="1"/>
  <c r="AB49" i="1"/>
  <c r="AA53" i="1"/>
  <c r="AB53" i="1"/>
  <c r="AA55" i="1"/>
  <c r="AB55" i="1"/>
  <c r="AA57" i="1"/>
  <c r="AB57" i="1"/>
  <c r="AA59" i="1"/>
  <c r="AB59" i="1"/>
  <c r="AA61" i="1"/>
  <c r="AB61" i="1"/>
  <c r="AA63" i="1"/>
  <c r="AB63" i="1"/>
  <c r="AA65" i="1"/>
  <c r="AB65" i="1"/>
  <c r="AB6" i="1"/>
  <c r="AA6" i="1"/>
  <c r="AA7" i="1"/>
  <c r="AB7" i="1"/>
  <c r="AB8" i="1"/>
  <c r="AA8" i="1"/>
  <c r="AA9" i="1"/>
  <c r="AB9" i="1"/>
  <c r="AB10" i="1"/>
  <c r="AA10" i="1"/>
  <c r="AA11" i="1"/>
  <c r="AB11" i="1"/>
  <c r="AB12" i="1"/>
  <c r="AA12" i="1"/>
  <c r="AA13" i="1"/>
  <c r="AB13" i="1"/>
  <c r="AB14" i="1"/>
  <c r="AA14" i="1"/>
  <c r="AA15" i="1"/>
  <c r="AB15" i="1"/>
  <c r="AB16" i="1"/>
  <c r="AA16" i="1"/>
  <c r="AA17" i="1"/>
  <c r="AB17" i="1"/>
  <c r="AB18" i="1"/>
  <c r="AA18" i="1"/>
  <c r="AB22" i="1"/>
  <c r="AA22" i="1"/>
  <c r="AA23" i="1"/>
  <c r="AB23" i="1"/>
  <c r="AB24" i="1"/>
  <c r="AA24" i="1"/>
  <c r="AA25" i="1"/>
  <c r="AB25" i="1"/>
  <c r="AB26" i="1"/>
  <c r="AA26" i="1"/>
  <c r="AB28" i="1"/>
  <c r="AA28" i="1"/>
  <c r="AA29" i="1"/>
  <c r="AB29" i="1"/>
  <c r="AA31" i="1"/>
  <c r="AB31" i="1"/>
  <c r="AB32" i="1"/>
  <c r="AA32" i="1"/>
  <c r="AA52" i="1"/>
  <c r="AB52" i="1"/>
  <c r="AA50" i="1"/>
  <c r="AA54" i="1"/>
  <c r="AA58" i="1"/>
  <c r="AA62" i="1"/>
  <c r="AA66" i="1"/>
  <c r="AB66" i="1"/>
  <c r="AB67" i="1"/>
  <c r="AA67" i="1"/>
  <c r="AA68" i="1"/>
  <c r="AB68" i="1"/>
  <c r="AB69" i="1"/>
  <c r="AA69" i="1"/>
  <c r="AA70" i="1"/>
  <c r="AB70" i="1"/>
  <c r="AB71" i="1"/>
  <c r="AA71" i="1"/>
  <c r="AB73" i="1"/>
  <c r="AA73" i="1"/>
  <c r="AA74" i="1"/>
  <c r="AB74" i="1"/>
  <c r="AB77" i="1"/>
  <c r="AA77" i="1"/>
  <c r="AA78" i="1"/>
  <c r="AB78" i="1"/>
  <c r="AB79" i="1"/>
  <c r="AA79" i="1"/>
  <c r="AA80" i="1"/>
  <c r="AB80" i="1"/>
  <c r="AA91" i="1"/>
  <c r="AB91" i="1"/>
  <c r="AB92" i="1"/>
  <c r="AA92" i="1"/>
  <c r="AA93" i="1"/>
  <c r="AB93" i="1"/>
  <c r="AB94" i="1"/>
  <c r="AA94" i="1"/>
  <c r="AA95" i="1"/>
  <c r="AB95" i="1"/>
  <c r="AB96" i="1"/>
  <c r="AA96" i="1"/>
  <c r="AA97" i="1"/>
  <c r="AB97" i="1"/>
  <c r="AA44" i="1"/>
  <c r="AA48" i="1"/>
  <c r="AA60" i="1"/>
  <c r="AB72" i="1"/>
  <c r="AA72" i="1"/>
  <c r="AA75" i="1"/>
  <c r="AB75" i="1"/>
  <c r="AB76" i="1"/>
  <c r="AA76" i="1"/>
  <c r="AA82" i="1"/>
  <c r="AB82" i="1"/>
  <c r="AB83" i="1"/>
  <c r="AA83" i="1"/>
  <c r="AA84" i="1"/>
  <c r="AB84" i="1"/>
  <c r="AB85" i="1"/>
  <c r="AA85" i="1"/>
  <c r="AA86" i="1"/>
  <c r="AB86" i="1"/>
  <c r="AB87" i="1"/>
  <c r="AA87" i="1"/>
  <c r="AA88" i="1"/>
  <c r="AB88" i="1"/>
  <c r="AB89" i="1"/>
  <c r="AA89" i="1"/>
  <c r="AA90" i="1"/>
  <c r="AB90" i="1"/>
  <c r="AA45" i="1" l="1"/>
  <c r="AA46" i="1"/>
  <c r="AA42" i="1"/>
  <c r="AA64" i="1"/>
  <c r="AA56" i="1"/>
  <c r="AA51" i="1"/>
  <c r="AB81" i="1"/>
  <c r="M5" i="1"/>
  <c r="AA81" i="1"/>
  <c r="V5" i="1"/>
  <c r="AL81" i="1" l="1"/>
  <c r="AL5" i="1" s="1"/>
  <c r="W5" i="1"/>
</calcChain>
</file>

<file path=xl/sharedStrings.xml><?xml version="1.0" encoding="utf-8"?>
<sst xmlns="http://schemas.openxmlformats.org/spreadsheetml/2006/main" count="376" uniqueCount="155">
  <si>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</si>
  <si>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</si>
  <si>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</si>
  <si>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</si>
  <si>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</si>
  <si>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</si>
  <si>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</si>
  <si>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</si>
  <si>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</si>
  <si>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</si>
  <si>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</si>
  <si>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</si>
  <si>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</si>
  <si>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</si>
  <si>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</si>
  <si>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</si>
  <si>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</si>
  <si>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</si>
  <si>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</si>
  <si>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</si>
  <si>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</si>
  <si>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</si>
  <si>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</si>
  <si>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</si>
  <si>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</si>
  <si>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19,01,</t>
  </si>
  <si>
    <t>24,01,(1)</t>
  </si>
  <si>
    <t>24,01,(2)</t>
  </si>
  <si>
    <t>Бутырин(24,01)</t>
  </si>
  <si>
    <t>26,01,(1)</t>
  </si>
  <si>
    <t>26,01,(2)</t>
  </si>
  <si>
    <t>28,01,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</si>
  <si>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</si>
  <si>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</si>
  <si>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</si>
  <si>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</si>
  <si>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</si>
  <si>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</si>
  <si>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</si>
  <si>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</si>
  <si>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</si>
  <si>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</si>
  <si>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</si>
  <si>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</si>
  <si>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</si>
  <si>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</si>
  <si>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</si>
  <si>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</si>
  <si>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</si>
  <si>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</si>
  <si>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</si>
  <si>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</si>
  <si>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</si>
  <si>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</si>
  <si>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</si>
  <si>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</si>
  <si>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</si>
  <si>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</si>
  <si>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</si>
  <si>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</si>
  <si>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</si>
  <si>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</si>
  <si>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</si>
  <si>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</si>
  <si>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</si>
  <si>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</si>
  <si>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</si>
  <si>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</si>
  <si>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</si>
  <si>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</si>
  <si>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</si>
  <si>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</si>
  <si>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</si>
  <si>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</si>
  <si>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</si>
  <si>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с 21,01,26 заказываем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</si>
  <si>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</si>
  <si>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</si>
  <si>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</si>
  <si>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</si>
  <si>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</si>
  <si>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</si>
  <si>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</si>
  <si>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</si>
  <si>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</si>
  <si>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</si>
  <si>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</si>
  <si>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</si>
  <si>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</si>
  <si>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</si>
  <si>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</si>
  <si>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</si>
  <si>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</si>
  <si>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</si>
  <si>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</si>
  <si>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</si>
  <si>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</si>
  <si>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</si>
  <si>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перемещение (Новороссийск)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</si>
  <si>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</si>
  <si>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</si>
  <si>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</si>
  <si>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</si>
  <si>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</si>
  <si>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</si>
  <si>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</si>
  <si>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</si>
  <si>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</si>
  <si>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</si>
  <si>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</si>
  <si>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</si>
  <si>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</si>
  <si>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</si>
  <si>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</si>
  <si>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</si>
  <si>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</si>
  <si>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</si>
  <si>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</si>
  <si>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</si>
  <si>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</si>
  <si>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</si>
  <si>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</si>
  <si>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</si>
  <si>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</si>
  <si>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</si>
  <si>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</si>
  <si>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</si>
  <si>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</si>
  <si>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</si>
  <si>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</si>
  <si>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</si>
  <si>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</si>
  <si>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</si>
  <si>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</si>
  <si>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</si>
  <si>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</si>
  <si>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</si>
  <si>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</si>
  <si>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</si>
  <si>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</si>
  <si>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</si>
  <si>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</si>
  <si>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</si>
  <si>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</si>
  <si>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</si>
  <si>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</si>
  <si>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</si>
  <si>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</si>
  <si>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</si>
  <si>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</si>
  <si>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</si>
  <si>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</si>
  <si>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</si>
  <si>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</si>
  <si>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t>нужно увеличить продажи / 23,06,25 в уценку 6кг / 22,04,25 в уценку 34 кг / 25,01,25 в уценку 108кг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</si>
</sst>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6/&#1047;&#1040;&#1042;&#1054;&#1044;&#1067;/&#1055;&#1054;&#1050;&#1054;&#1052;/&#1054;&#1055;&#1058;&#1099;/01,26/21,01,26%20&#1041;&#1091;&#1090;&#1099;&#1088;&#1080;&#1085;%20&#1085;&#1072;%20&#1087;&#1086;&#1075;&#1088;&#1091;&#1079;&#1082;&#1091;%20&#1089;%20&#1092;&#1080;&#1083;&#1080;&#1072;&#1083;&#1072;&#1084;&#1080;%2024,01,26/&#1041;&#1091;&#1090;&#1099;&#1088;&#1080;&#1085;%20&#1044;.&#1042;%2027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2672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149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150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150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198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188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377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74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73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103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97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312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288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143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168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202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6" sqref="Y6"/>
    </sheetView>
  </sheetViews>
  <sheetFormatPr defaultRowHeight="15" x14ac:dyDescent="0.25"/>
  <cols>
    <col min="1" max="1" width="54.140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3" width="7" customWidth="1"/>
    <col min="14" max="15" width="5.85546875" customWidth="1"/>
    <col min="16" max="16" width="7" customWidth="1"/>
    <col min="17" max="19" width="5.85546875" customWidth="1"/>
    <col min="20" max="20" width="7" customWidth="1"/>
    <col min="21" max="21" width="5.85546875" customWidth="1"/>
    <col min="22" max="24" width="7" customWidth="1"/>
    <col min="25" max="25" width="14.28515625" customWidth="1"/>
    <col min="26" max="26" width="5.42578125" customWidth="1"/>
    <col min="27" max="28" width="5" customWidth="1"/>
    <col min="29" max="36" width="5.42578125" customWidth="1"/>
    <col min="37" max="37" width="35.5703125" customWidth="1"/>
    <col min="38" max="38" width="7" customWidth="1"/>
    <col min="39" max="52" width="3" customWidth="1"/>
  </cols>
  <sheetData>
    <row r="1" spans="1:52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15</v>
      </c>
      <c r="W3" s="2" t="s">
        <v>16</v>
      </c>
      <c r="X3" s="6" t="s">
        <v>17</v>
      </c>
      <c r="Y3" s="6" t="s">
        <v>18</v>
      </c>
      <c r="Z3" s="9" t="s">
        <v>19</v>
      </c>
      <c r="AA3" s="1" t="s">
        <v>20</v>
      </c>
      <c r="AB3" s="1" t="s">
        <v>21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23</v>
      </c>
      <c r="AL3" s="1" t="s">
        <v>24</v>
      </c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25</v>
      </c>
      <c r="P4" s="18" t="s">
        <v>26</v>
      </c>
      <c r="Q4" s="18" t="s">
        <v>27</v>
      </c>
      <c r="R4" s="18" t="s">
        <v>28</v>
      </c>
      <c r="S4" s="18" t="s">
        <v>29</v>
      </c>
      <c r="T4" s="18" t="s">
        <v>30</v>
      </c>
      <c r="U4" s="18" t="s">
        <v>31</v>
      </c>
      <c r="V4" s="18" t="s">
        <v>32</v>
      </c>
      <c r="W4" s="18"/>
      <c r="X4" s="18"/>
      <c r="Y4" s="18"/>
      <c r="Z4" s="18"/>
      <c r="AA4" s="18"/>
      <c r="AB4" s="18"/>
      <c r="AC4" s="18" t="s">
        <v>33</v>
      </c>
      <c r="AD4" s="18" t="s">
        <v>34</v>
      </c>
      <c r="AE4" s="18" t="s">
        <v>35</v>
      </c>
      <c r="AF4" s="18" t="s">
        <v>36</v>
      </c>
      <c r="AG4" s="18" t="s">
        <v>37</v>
      </c>
      <c r="AH4" s="18" t="s">
        <v>38</v>
      </c>
      <c r="AI4" s="18" t="s">
        <v>39</v>
      </c>
      <c r="AJ4" s="18" t="s">
        <v>40</v>
      </c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x14ac:dyDescent="0.25">
      <c r="A5" s="18"/>
      <c r="B5" s="18"/>
      <c r="C5" s="18"/>
      <c r="D5" s="18"/>
      <c r="E5" s="3">
        <f>SUM(E6:E499)</f>
        <v>39973.095000000001</v>
      </c>
      <c r="F5" s="3">
        <f>SUM(F6:F499)</f>
        <v>25525.038999999997</v>
      </c>
      <c r="G5" s="7"/>
      <c r="H5" s="18"/>
      <c r="I5" s="18"/>
      <c r="J5" s="18"/>
      <c r="K5" s="3">
        <f t="shared" ref="K5:X5" si="0">SUM(K6:K499)</f>
        <v>47500.447999999982</v>
      </c>
      <c r="L5" s="3">
        <f t="shared" si="0"/>
        <v>-7527.3529999999973</v>
      </c>
      <c r="M5" s="3">
        <f t="shared" si="0"/>
        <v>35965.866000000002</v>
      </c>
      <c r="N5" s="3">
        <f t="shared" si="0"/>
        <v>4007.2290000000003</v>
      </c>
      <c r="O5" s="3">
        <f t="shared" si="0"/>
        <v>7080</v>
      </c>
      <c r="P5" s="3">
        <f t="shared" si="0"/>
        <v>11395.265237666667</v>
      </c>
      <c r="Q5" s="3">
        <f t="shared" si="0"/>
        <v>6390</v>
      </c>
      <c r="R5" s="3">
        <f t="shared" si="0"/>
        <v>2672</v>
      </c>
      <c r="S5" s="3">
        <f t="shared" si="0"/>
        <v>3990</v>
      </c>
      <c r="T5" s="3">
        <f t="shared" si="0"/>
        <v>10189.875667573331</v>
      </c>
      <c r="U5" s="3">
        <f t="shared" si="0"/>
        <v>5908.6313999999993</v>
      </c>
      <c r="V5" s="3">
        <f t="shared" si="0"/>
        <v>7193.1732000000029</v>
      </c>
      <c r="W5" s="3">
        <f t="shared" si="0"/>
        <v>12658.047413665006</v>
      </c>
      <c r="X5" s="3">
        <f t="shared" si="0"/>
        <v>0</v>
      </c>
      <c r="Y5" s="18"/>
      <c r="Z5" s="3">
        <f>SUM(Z6:Z499)</f>
        <v>0</v>
      </c>
      <c r="AA5" s="18"/>
      <c r="AB5" s="18"/>
      <c r="AC5" s="3">
        <f t="shared" ref="AC5:AJ5" si="1">SUM(AC6:AC499)</f>
        <v>6550.0181999999995</v>
      </c>
      <c r="AD5" s="3">
        <f t="shared" si="1"/>
        <v>7017.1465999999982</v>
      </c>
      <c r="AE5" s="3">
        <f t="shared" si="1"/>
        <v>7009.6939999999995</v>
      </c>
      <c r="AF5" s="3">
        <f t="shared" si="1"/>
        <v>6815.8778000000002</v>
      </c>
      <c r="AG5" s="3">
        <f t="shared" si="1"/>
        <v>7258.576833333329</v>
      </c>
      <c r="AH5" s="3">
        <f t="shared" si="1"/>
        <v>8221.9236666666675</v>
      </c>
      <c r="AI5" s="3">
        <f t="shared" si="1"/>
        <v>7432.0654000000004</v>
      </c>
      <c r="AJ5" s="3">
        <f t="shared" si="1"/>
        <v>7216.2931999999973</v>
      </c>
      <c r="AK5" s="18"/>
      <c r="AL5" s="3">
        <f>SUM(AL6:AL499)</f>
        <v>8810.1882809983381</v>
      </c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x14ac:dyDescent="0.25">
      <c r="A6" s="18" t="s">
        <v>41</v>
      </c>
      <c r="B6" s="18" t="s">
        <v>42</v>
      </c>
      <c r="C6" s="18">
        <v>687.57</v>
      </c>
      <c r="D6" s="18">
        <v>164.94300000000001</v>
      </c>
      <c r="E6" s="18">
        <v>515.11300000000006</v>
      </c>
      <c r="F6" s="18">
        <v>179.18700000000001</v>
      </c>
      <c r="G6" s="7">
        <v>1</v>
      </c>
      <c r="H6" s="18">
        <v>50</v>
      </c>
      <c r="I6" s="18" t="s">
        <v>43</v>
      </c>
      <c r="J6" s="18"/>
      <c r="K6" s="18">
        <v>631.15499999999997</v>
      </c>
      <c r="L6" s="18">
        <f t="shared" ref="L6:L37" si="2">E6-K6</f>
        <v>-116.04199999999992</v>
      </c>
      <c r="M6" s="18">
        <f t="shared" ref="M6:M37" si="3">E6-N6</f>
        <v>397.15800000000007</v>
      </c>
      <c r="N6" s="18">
        <v>117.955</v>
      </c>
      <c r="O6" s="18"/>
      <c r="P6" s="18">
        <v>393.04169999999988</v>
      </c>
      <c r="Q6" s="18"/>
      <c r="R6" s="18">
        <f>IFERROR(VLOOKUP(A6,[1]Sheet!$A:$D,4,0),0)</f>
        <v>0</v>
      </c>
      <c r="S6" s="18"/>
      <c r="T6" s="18">
        <v>481.22269999999997</v>
      </c>
      <c r="U6" s="18">
        <v>184.328676</v>
      </c>
      <c r="V6" s="18">
        <f t="shared" ref="V6:V37" si="4">M6/5</f>
        <v>79.431600000000017</v>
      </c>
      <c r="W6" s="4"/>
      <c r="X6" s="4"/>
      <c r="Y6" s="18"/>
      <c r="Z6" s="18"/>
      <c r="AA6" s="18">
        <f t="shared" ref="AA6:AA37" si="5">(F6+O6+P6+Q6+S6+T6+U6+W6)/V6</f>
        <v>15.582967937193759</v>
      </c>
      <c r="AB6" s="18">
        <f t="shared" ref="AB6:AB37" si="6">(F6+O6+P6+Q6+S6+T6+U6)/V6</f>
        <v>15.582967937193759</v>
      </c>
      <c r="AC6" s="18">
        <v>97.528400000000005</v>
      </c>
      <c r="AD6" s="18">
        <v>81.555599999999998</v>
      </c>
      <c r="AE6" s="18">
        <v>28.123000000000001</v>
      </c>
      <c r="AF6" s="18">
        <v>24.486000000000001</v>
      </c>
      <c r="AG6" s="18">
        <v>91.292833333333348</v>
      </c>
      <c r="AH6" s="18">
        <v>93.21833333333332</v>
      </c>
      <c r="AI6" s="18">
        <v>6.0432000000000006</v>
      </c>
      <c r="AJ6" s="18">
        <v>71.900600000000011</v>
      </c>
      <c r="AK6" s="18"/>
      <c r="AL6" s="18">
        <f t="shared" ref="AL6:AL17" si="7">G6*W6</f>
        <v>0</v>
      </c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x14ac:dyDescent="0.25">
      <c r="A7" s="18" t="s">
        <v>44</v>
      </c>
      <c r="B7" s="18" t="s">
        <v>42</v>
      </c>
      <c r="C7" s="18">
        <v>2.657</v>
      </c>
      <c r="D7" s="18">
        <v>668.95100000000002</v>
      </c>
      <c r="E7" s="18">
        <v>435.90100000000001</v>
      </c>
      <c r="F7" s="18">
        <v>107.83799999999999</v>
      </c>
      <c r="G7" s="7">
        <v>1</v>
      </c>
      <c r="H7" s="18">
        <v>45</v>
      </c>
      <c r="I7" s="18" t="s">
        <v>43</v>
      </c>
      <c r="J7" s="18"/>
      <c r="K7" s="18">
        <v>617.51400000000001</v>
      </c>
      <c r="L7" s="18">
        <f t="shared" si="2"/>
        <v>-181.613</v>
      </c>
      <c r="M7" s="18">
        <f t="shared" si="3"/>
        <v>306.66700000000003</v>
      </c>
      <c r="N7" s="18">
        <v>129.23400000000001</v>
      </c>
      <c r="O7" s="18"/>
      <c r="P7" s="18">
        <v>8.1482999999999883</v>
      </c>
      <c r="Q7" s="18"/>
      <c r="R7" s="18">
        <f>IFERROR(VLOOKUP(A7,[1]Sheet!$A:$D,4,0),0)</f>
        <v>149</v>
      </c>
      <c r="S7" s="18"/>
      <c r="T7" s="18">
        <v>40.535544220000133</v>
      </c>
      <c r="U7" s="18"/>
      <c r="V7" s="18">
        <f t="shared" si="4"/>
        <v>61.333400000000005</v>
      </c>
      <c r="W7" s="4">
        <f>9*V7-U7-T7-S7-Q7-P7-O7-F7</f>
        <v>395.47875577999991</v>
      </c>
      <c r="X7" s="4"/>
      <c r="Y7" s="18"/>
      <c r="Z7" s="18"/>
      <c r="AA7" s="18">
        <f t="shared" si="5"/>
        <v>9</v>
      </c>
      <c r="AB7" s="18">
        <f t="shared" si="6"/>
        <v>2.5519838166480269</v>
      </c>
      <c r="AC7" s="18">
        <v>36.921599999999998</v>
      </c>
      <c r="AD7" s="18">
        <v>37.392399999999988</v>
      </c>
      <c r="AE7" s="18">
        <v>48.169800000000002</v>
      </c>
      <c r="AF7" s="18">
        <v>63.855200000000004</v>
      </c>
      <c r="AG7" s="18">
        <v>33.899500000000003</v>
      </c>
      <c r="AH7" s="18">
        <v>41.783499999999997</v>
      </c>
      <c r="AI7" s="18">
        <v>45.427399999999992</v>
      </c>
      <c r="AJ7" s="18">
        <v>32.1462</v>
      </c>
      <c r="AK7" s="18"/>
      <c r="AL7" s="18">
        <f t="shared" si="7"/>
        <v>395.47875577999991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x14ac:dyDescent="0.25">
      <c r="A8" s="18" t="s">
        <v>45</v>
      </c>
      <c r="B8" s="18" t="s">
        <v>42</v>
      </c>
      <c r="C8" s="18">
        <v>112.223</v>
      </c>
      <c r="D8" s="18">
        <v>1113.79</v>
      </c>
      <c r="E8" s="18">
        <v>863.13599999999997</v>
      </c>
      <c r="F8" s="18">
        <v>92.784000000000006</v>
      </c>
      <c r="G8" s="7">
        <v>1</v>
      </c>
      <c r="H8" s="18">
        <v>45</v>
      </c>
      <c r="I8" s="18" t="s">
        <v>43</v>
      </c>
      <c r="J8" s="18"/>
      <c r="K8" s="18">
        <v>1264.7860000000001</v>
      </c>
      <c r="L8" s="18">
        <f t="shared" si="2"/>
        <v>-401.65000000000009</v>
      </c>
      <c r="M8" s="18">
        <f t="shared" si="3"/>
        <v>576.28399999999999</v>
      </c>
      <c r="N8" s="18">
        <v>286.85199999999998</v>
      </c>
      <c r="O8" s="18">
        <v>300</v>
      </c>
      <c r="P8" s="18">
        <v>7.8934666666667246</v>
      </c>
      <c r="Q8" s="18"/>
      <c r="R8" s="18">
        <f>IFERROR(VLOOKUP(A8,[1]Sheet!$A:$D,4,0),0)</f>
        <v>150</v>
      </c>
      <c r="S8" s="18"/>
      <c r="T8" s="18">
        <v>146.09837292500021</v>
      </c>
      <c r="U8" s="18"/>
      <c r="V8" s="18">
        <f t="shared" si="4"/>
        <v>115.2568</v>
      </c>
      <c r="W8" s="4">
        <f t="shared" ref="W7:W17" si="8">11*V8-U8-T8-S8-Q8-P8-O8-F8</f>
        <v>721.04896040833307</v>
      </c>
      <c r="X8" s="4"/>
      <c r="Y8" s="18"/>
      <c r="Z8" s="18"/>
      <c r="AA8" s="18">
        <f t="shared" si="5"/>
        <v>10.999999999999998</v>
      </c>
      <c r="AB8" s="18">
        <f t="shared" si="6"/>
        <v>4.7439790068062528</v>
      </c>
      <c r="AC8" s="18">
        <v>93.432400000000001</v>
      </c>
      <c r="AD8" s="18">
        <v>104.94459999999999</v>
      </c>
      <c r="AE8" s="18">
        <v>137.81540000000001</v>
      </c>
      <c r="AF8" s="18">
        <v>122.11499999999999</v>
      </c>
      <c r="AG8" s="18">
        <v>109.2651666666667</v>
      </c>
      <c r="AH8" s="18">
        <v>126.5826666666667</v>
      </c>
      <c r="AI8" s="18">
        <v>105.9686</v>
      </c>
      <c r="AJ8" s="18">
        <v>133.38380000000001</v>
      </c>
      <c r="AK8" s="18"/>
      <c r="AL8" s="18">
        <f t="shared" si="7"/>
        <v>721.04896040833307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x14ac:dyDescent="0.25">
      <c r="A9" s="18" t="s">
        <v>46</v>
      </c>
      <c r="B9" s="18" t="s">
        <v>47</v>
      </c>
      <c r="C9" s="18">
        <v>811.91</v>
      </c>
      <c r="D9" s="18">
        <v>1158</v>
      </c>
      <c r="E9" s="18">
        <v>1045</v>
      </c>
      <c r="F9" s="18">
        <v>826.91</v>
      </c>
      <c r="G9" s="7">
        <v>0.45</v>
      </c>
      <c r="H9" s="18">
        <v>45</v>
      </c>
      <c r="I9" s="18" t="s">
        <v>43</v>
      </c>
      <c r="J9" s="18"/>
      <c r="K9" s="18">
        <v>1254</v>
      </c>
      <c r="L9" s="18">
        <f t="shared" si="2"/>
        <v>-209</v>
      </c>
      <c r="M9" s="18">
        <f t="shared" si="3"/>
        <v>979</v>
      </c>
      <c r="N9" s="18">
        <v>66</v>
      </c>
      <c r="O9" s="18">
        <v>500</v>
      </c>
      <c r="P9" s="18">
        <v>289.30333333333289</v>
      </c>
      <c r="Q9" s="18"/>
      <c r="R9" s="18">
        <f>IFERROR(VLOOKUP(A9,[1]Sheet!$A:$D,4,0),0)</f>
        <v>0</v>
      </c>
      <c r="S9" s="18"/>
      <c r="T9" s="18">
        <v>0</v>
      </c>
      <c r="U9" s="18"/>
      <c r="V9" s="18">
        <f t="shared" si="4"/>
        <v>195.8</v>
      </c>
      <c r="W9" s="4">
        <f t="shared" si="8"/>
        <v>537.58666666666738</v>
      </c>
      <c r="X9" s="4"/>
      <c r="Y9" s="18"/>
      <c r="Z9" s="18"/>
      <c r="AA9" s="18">
        <f t="shared" si="5"/>
        <v>11</v>
      </c>
      <c r="AB9" s="18">
        <f t="shared" si="6"/>
        <v>8.2544092611508297</v>
      </c>
      <c r="AC9" s="18">
        <v>180.4</v>
      </c>
      <c r="AD9" s="18">
        <v>236.8</v>
      </c>
      <c r="AE9" s="18">
        <v>237.8</v>
      </c>
      <c r="AF9" s="18">
        <v>223.61799999999999</v>
      </c>
      <c r="AG9" s="18">
        <v>216.68166666666659</v>
      </c>
      <c r="AH9" s="18">
        <v>217.83333333333329</v>
      </c>
      <c r="AI9" s="18">
        <v>173.8</v>
      </c>
      <c r="AJ9" s="18">
        <v>199.2</v>
      </c>
      <c r="AK9" s="18" t="s">
        <v>48</v>
      </c>
      <c r="AL9" s="18">
        <f t="shared" si="7"/>
        <v>241.91400000000033</v>
      </c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x14ac:dyDescent="0.25">
      <c r="A10" s="18" t="s">
        <v>49</v>
      </c>
      <c r="B10" s="18" t="s">
        <v>47</v>
      </c>
      <c r="C10" s="18">
        <v>784.3</v>
      </c>
      <c r="D10" s="18">
        <v>1807</v>
      </c>
      <c r="E10" s="18">
        <v>1764</v>
      </c>
      <c r="F10" s="18">
        <v>474.3</v>
      </c>
      <c r="G10" s="7">
        <v>0.45</v>
      </c>
      <c r="H10" s="18">
        <v>45</v>
      </c>
      <c r="I10" s="18" t="s">
        <v>43</v>
      </c>
      <c r="J10" s="18"/>
      <c r="K10" s="18">
        <v>2233</v>
      </c>
      <c r="L10" s="18">
        <f t="shared" si="2"/>
        <v>-469</v>
      </c>
      <c r="M10" s="18">
        <f t="shared" si="3"/>
        <v>1551</v>
      </c>
      <c r="N10" s="18">
        <v>213</v>
      </c>
      <c r="O10" s="18">
        <v>500</v>
      </c>
      <c r="P10" s="18">
        <v>894.86666666666633</v>
      </c>
      <c r="Q10" s="18"/>
      <c r="R10" s="18">
        <f>IFERROR(VLOOKUP(A10,[1]Sheet!$A:$D,4,0),0)</f>
        <v>0</v>
      </c>
      <c r="S10" s="18">
        <v>400</v>
      </c>
      <c r="T10" s="18">
        <v>464.3568200000002</v>
      </c>
      <c r="U10" s="18"/>
      <c r="V10" s="18">
        <f t="shared" si="4"/>
        <v>310.2</v>
      </c>
      <c r="W10" s="4">
        <f t="shared" si="8"/>
        <v>678.67651333333356</v>
      </c>
      <c r="X10" s="4"/>
      <c r="Y10" s="18"/>
      <c r="Z10" s="18"/>
      <c r="AA10" s="18">
        <f t="shared" si="5"/>
        <v>11</v>
      </c>
      <c r="AB10" s="18">
        <f t="shared" si="6"/>
        <v>8.8121324521813857</v>
      </c>
      <c r="AC10" s="18">
        <v>300.2</v>
      </c>
      <c r="AD10" s="18">
        <v>323.2</v>
      </c>
      <c r="AE10" s="18">
        <v>294.8</v>
      </c>
      <c r="AF10" s="18">
        <v>291.60000000000002</v>
      </c>
      <c r="AG10" s="18">
        <v>281.5</v>
      </c>
      <c r="AH10" s="18">
        <v>266.16666666666669</v>
      </c>
      <c r="AI10" s="18">
        <v>233.2</v>
      </c>
      <c r="AJ10" s="18">
        <v>300</v>
      </c>
      <c r="AK10" s="18" t="s">
        <v>48</v>
      </c>
      <c r="AL10" s="18">
        <f t="shared" si="7"/>
        <v>305.4044310000001</v>
      </c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x14ac:dyDescent="0.25">
      <c r="A11" s="18" t="s">
        <v>50</v>
      </c>
      <c r="B11" s="18" t="s">
        <v>47</v>
      </c>
      <c r="C11" s="18">
        <v>-5</v>
      </c>
      <c r="D11" s="18">
        <v>167</v>
      </c>
      <c r="E11" s="18">
        <v>64</v>
      </c>
      <c r="F11" s="18">
        <v>68</v>
      </c>
      <c r="G11" s="7">
        <v>0.17</v>
      </c>
      <c r="H11" s="18">
        <v>180</v>
      </c>
      <c r="I11" s="18" t="s">
        <v>43</v>
      </c>
      <c r="J11" s="18"/>
      <c r="K11" s="18">
        <v>88</v>
      </c>
      <c r="L11" s="18">
        <f t="shared" si="2"/>
        <v>-24</v>
      </c>
      <c r="M11" s="18">
        <f t="shared" si="3"/>
        <v>34</v>
      </c>
      <c r="N11" s="18">
        <v>30</v>
      </c>
      <c r="O11" s="18"/>
      <c r="P11" s="18">
        <v>4.7333333333333201</v>
      </c>
      <c r="Q11" s="18"/>
      <c r="R11" s="18">
        <f>IFERROR(VLOOKUP(A11,[1]Sheet!$A:$D,4,0),0)</f>
        <v>0</v>
      </c>
      <c r="S11" s="18"/>
      <c r="T11" s="18">
        <v>0</v>
      </c>
      <c r="U11" s="18"/>
      <c r="V11" s="18">
        <f t="shared" si="4"/>
        <v>6.8</v>
      </c>
      <c r="W11" s="4">
        <v>10</v>
      </c>
      <c r="X11" s="4"/>
      <c r="Y11" s="18"/>
      <c r="Z11" s="18"/>
      <c r="AA11" s="18">
        <f t="shared" si="5"/>
        <v>12.166666666666664</v>
      </c>
      <c r="AB11" s="18">
        <f t="shared" si="6"/>
        <v>10.696078431372547</v>
      </c>
      <c r="AC11" s="18">
        <v>5.2</v>
      </c>
      <c r="AD11" s="18">
        <v>11.8</v>
      </c>
      <c r="AE11" s="18">
        <v>12.4</v>
      </c>
      <c r="AF11" s="18">
        <v>10.6</v>
      </c>
      <c r="AG11" s="18">
        <v>17.833333333333329</v>
      </c>
      <c r="AH11" s="18">
        <v>22.166666666666671</v>
      </c>
      <c r="AI11" s="18">
        <v>12.6</v>
      </c>
      <c r="AJ11" s="18">
        <v>15.8</v>
      </c>
      <c r="AK11" s="18" t="s">
        <v>48</v>
      </c>
      <c r="AL11" s="18">
        <f t="shared" si="7"/>
        <v>1.7000000000000002</v>
      </c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x14ac:dyDescent="0.25">
      <c r="A12" s="18" t="s">
        <v>51</v>
      </c>
      <c r="B12" s="18" t="s">
        <v>47</v>
      </c>
      <c r="C12" s="18">
        <v>23</v>
      </c>
      <c r="D12" s="18">
        <v>12</v>
      </c>
      <c r="E12" s="18">
        <v>25</v>
      </c>
      <c r="F12" s="18">
        <v>7</v>
      </c>
      <c r="G12" s="7">
        <v>0.3</v>
      </c>
      <c r="H12" s="18">
        <v>40</v>
      </c>
      <c r="I12" s="18" t="s">
        <v>43</v>
      </c>
      <c r="J12" s="18"/>
      <c r="K12" s="18">
        <v>31</v>
      </c>
      <c r="L12" s="18">
        <f t="shared" si="2"/>
        <v>-6</v>
      </c>
      <c r="M12" s="18">
        <f t="shared" si="3"/>
        <v>25</v>
      </c>
      <c r="N12" s="18"/>
      <c r="O12" s="18"/>
      <c r="P12" s="18">
        <v>0</v>
      </c>
      <c r="Q12" s="18"/>
      <c r="R12" s="18">
        <f>IFERROR(VLOOKUP(A12,[1]Sheet!$A:$D,4,0),0)</f>
        <v>0</v>
      </c>
      <c r="S12" s="18"/>
      <c r="T12" s="18">
        <v>30.399999999999991</v>
      </c>
      <c r="U12" s="18"/>
      <c r="V12" s="18">
        <f t="shared" si="4"/>
        <v>5</v>
      </c>
      <c r="W12" s="4">
        <f t="shared" si="8"/>
        <v>17.600000000000009</v>
      </c>
      <c r="X12" s="4"/>
      <c r="Y12" s="18"/>
      <c r="Z12" s="18"/>
      <c r="AA12" s="18">
        <f t="shared" si="5"/>
        <v>11</v>
      </c>
      <c r="AB12" s="18">
        <f t="shared" si="6"/>
        <v>7.4799999999999986</v>
      </c>
      <c r="AC12" s="18">
        <v>4.5999999999999996</v>
      </c>
      <c r="AD12" s="18">
        <v>2.6</v>
      </c>
      <c r="AE12" s="18">
        <v>3.2</v>
      </c>
      <c r="AF12" s="18">
        <v>1.8</v>
      </c>
      <c r="AG12" s="18">
        <v>3.833333333333333</v>
      </c>
      <c r="AH12" s="18">
        <v>4.666666666666667</v>
      </c>
      <c r="AI12" s="18">
        <v>3.8</v>
      </c>
      <c r="AJ12" s="18">
        <v>4.4000000000000004</v>
      </c>
      <c r="AK12" s="18"/>
      <c r="AL12" s="18">
        <f t="shared" si="7"/>
        <v>5.280000000000002</v>
      </c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x14ac:dyDescent="0.25">
      <c r="A13" s="18" t="s">
        <v>52</v>
      </c>
      <c r="B13" s="18" t="s">
        <v>47</v>
      </c>
      <c r="C13" s="18">
        <v>97</v>
      </c>
      <c r="D13" s="18">
        <v>180</v>
      </c>
      <c r="E13" s="18">
        <v>132</v>
      </c>
      <c r="F13" s="18">
        <v>84</v>
      </c>
      <c r="G13" s="7">
        <v>0.17</v>
      </c>
      <c r="H13" s="18">
        <v>180</v>
      </c>
      <c r="I13" s="18" t="s">
        <v>43</v>
      </c>
      <c r="J13" s="18"/>
      <c r="K13" s="18">
        <v>320</v>
      </c>
      <c r="L13" s="18">
        <f t="shared" si="2"/>
        <v>-188</v>
      </c>
      <c r="M13" s="18">
        <f t="shared" si="3"/>
        <v>72</v>
      </c>
      <c r="N13" s="18">
        <v>60</v>
      </c>
      <c r="O13" s="18"/>
      <c r="P13" s="18">
        <v>0</v>
      </c>
      <c r="Q13" s="18"/>
      <c r="R13" s="18">
        <f>IFERROR(VLOOKUP(A13,[1]Sheet!$A:$D,4,0),0)</f>
        <v>0</v>
      </c>
      <c r="S13" s="18"/>
      <c r="T13" s="18">
        <v>98.248000000000047</v>
      </c>
      <c r="U13" s="18"/>
      <c r="V13" s="18">
        <f t="shared" si="4"/>
        <v>14.4</v>
      </c>
      <c r="W13" s="4"/>
      <c r="X13" s="4"/>
      <c r="Y13" s="18"/>
      <c r="Z13" s="18"/>
      <c r="AA13" s="18">
        <f t="shared" si="5"/>
        <v>12.656111111111114</v>
      </c>
      <c r="AB13" s="18">
        <f t="shared" si="6"/>
        <v>12.656111111111114</v>
      </c>
      <c r="AC13" s="18">
        <v>17.8</v>
      </c>
      <c r="AD13" s="18">
        <v>18.399999999999999</v>
      </c>
      <c r="AE13" s="18">
        <v>22</v>
      </c>
      <c r="AF13" s="18">
        <v>28.8</v>
      </c>
      <c r="AG13" s="18">
        <v>27.166666666666671</v>
      </c>
      <c r="AH13" s="18">
        <v>38.5</v>
      </c>
      <c r="AI13" s="18">
        <v>46.4</v>
      </c>
      <c r="AJ13" s="18">
        <v>29.2</v>
      </c>
      <c r="AK13" s="18"/>
      <c r="AL13" s="18">
        <f t="shared" si="7"/>
        <v>0</v>
      </c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x14ac:dyDescent="0.25">
      <c r="A14" s="18" t="s">
        <v>53</v>
      </c>
      <c r="B14" s="18" t="s">
        <v>42</v>
      </c>
      <c r="C14" s="18">
        <v>2741.498</v>
      </c>
      <c r="D14" s="18">
        <v>1022.418</v>
      </c>
      <c r="E14" s="18">
        <v>2028.229</v>
      </c>
      <c r="F14" s="18">
        <v>1588.2629999999999</v>
      </c>
      <c r="G14" s="7">
        <v>1</v>
      </c>
      <c r="H14" s="18">
        <v>55</v>
      </c>
      <c r="I14" s="18" t="s">
        <v>43</v>
      </c>
      <c r="J14" s="18"/>
      <c r="K14" s="18">
        <v>2126.2759999999998</v>
      </c>
      <c r="L14" s="18">
        <f t="shared" si="2"/>
        <v>-98.046999999999798</v>
      </c>
      <c r="M14" s="18">
        <f t="shared" si="3"/>
        <v>1730.777</v>
      </c>
      <c r="N14" s="18">
        <v>297.452</v>
      </c>
      <c r="O14" s="18"/>
      <c r="P14" s="18">
        <v>250.71796000000069</v>
      </c>
      <c r="Q14" s="18">
        <v>500</v>
      </c>
      <c r="R14" s="18">
        <f>IFERROR(VLOOKUP(A14,[1]Sheet!$A:$D,4,0),0)</f>
        <v>150</v>
      </c>
      <c r="S14" s="18">
        <v>400</v>
      </c>
      <c r="T14" s="18">
        <v>569.06993999999963</v>
      </c>
      <c r="U14" s="18">
        <v>617.16702599999996</v>
      </c>
      <c r="V14" s="18">
        <f t="shared" si="4"/>
        <v>346.15539999999999</v>
      </c>
      <c r="W14" s="4"/>
      <c r="X14" s="4"/>
      <c r="Y14" s="18"/>
      <c r="Z14" s="18"/>
      <c r="AA14" s="18">
        <f t="shared" si="5"/>
        <v>11.339467551278993</v>
      </c>
      <c r="AB14" s="18">
        <f t="shared" si="6"/>
        <v>11.339467551278993</v>
      </c>
      <c r="AC14" s="18">
        <v>326.54340000000002</v>
      </c>
      <c r="AD14" s="18">
        <v>311.55820000000011</v>
      </c>
      <c r="AE14" s="18">
        <v>276.5412</v>
      </c>
      <c r="AF14" s="18">
        <v>287.16539999999998</v>
      </c>
      <c r="AG14" s="18">
        <v>392.54950000000002</v>
      </c>
      <c r="AH14" s="18">
        <v>441.82666666666671</v>
      </c>
      <c r="AI14" s="18">
        <v>402.2398</v>
      </c>
      <c r="AJ14" s="18">
        <v>358.09359999999998</v>
      </c>
      <c r="AK14" s="18" t="s">
        <v>54</v>
      </c>
      <c r="AL14" s="18">
        <f t="shared" si="7"/>
        <v>0</v>
      </c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x14ac:dyDescent="0.25">
      <c r="A15" s="18" t="s">
        <v>55</v>
      </c>
      <c r="B15" s="18" t="s">
        <v>42</v>
      </c>
      <c r="C15" s="18">
        <v>2551.2069999999999</v>
      </c>
      <c r="D15" s="18">
        <v>1155.434</v>
      </c>
      <c r="E15" s="18">
        <v>2165.1280000000002</v>
      </c>
      <c r="F15" s="18">
        <v>1272.0129999999999</v>
      </c>
      <c r="G15" s="7">
        <v>1</v>
      </c>
      <c r="H15" s="18">
        <v>50</v>
      </c>
      <c r="I15" s="18" t="s">
        <v>43</v>
      </c>
      <c r="J15" s="18"/>
      <c r="K15" s="18">
        <v>2380.6239999999998</v>
      </c>
      <c r="L15" s="18">
        <f t="shared" si="2"/>
        <v>-215.49599999999964</v>
      </c>
      <c r="M15" s="18">
        <f t="shared" si="3"/>
        <v>1950.5040000000001</v>
      </c>
      <c r="N15" s="18">
        <v>214.624</v>
      </c>
      <c r="O15" s="18"/>
      <c r="P15" s="18">
        <v>302.1957199999996</v>
      </c>
      <c r="Q15" s="18">
        <v>500</v>
      </c>
      <c r="R15" s="18">
        <f>IFERROR(VLOOKUP(A15,[1]Sheet!$A:$D,4,0),0)</f>
        <v>198</v>
      </c>
      <c r="S15" s="18">
        <v>400</v>
      </c>
      <c r="T15" s="18">
        <v>455.00118000000032</v>
      </c>
      <c r="U15" s="18">
        <v>607.44486600000005</v>
      </c>
      <c r="V15" s="18">
        <f t="shared" si="4"/>
        <v>390.10080000000005</v>
      </c>
      <c r="W15" s="4">
        <f t="shared" si="8"/>
        <v>754.45403400000123</v>
      </c>
      <c r="X15" s="4"/>
      <c r="Y15" s="18"/>
      <c r="Z15" s="18"/>
      <c r="AA15" s="18">
        <f t="shared" si="5"/>
        <v>11</v>
      </c>
      <c r="AB15" s="18">
        <f t="shared" si="6"/>
        <v>9.0660023409334176</v>
      </c>
      <c r="AC15" s="18">
        <v>321.39940000000001</v>
      </c>
      <c r="AD15" s="18">
        <v>305.01459999999997</v>
      </c>
      <c r="AE15" s="18">
        <v>282.12360000000001</v>
      </c>
      <c r="AF15" s="18">
        <v>302.11219999999997</v>
      </c>
      <c r="AG15" s="18">
        <v>424.7165</v>
      </c>
      <c r="AH15" s="18">
        <v>496.30500000000001</v>
      </c>
      <c r="AI15" s="18">
        <v>453.74119999999999</v>
      </c>
      <c r="AJ15" s="18">
        <v>386.56920000000002</v>
      </c>
      <c r="AK15" s="18" t="s">
        <v>54</v>
      </c>
      <c r="AL15" s="18">
        <f t="shared" si="7"/>
        <v>754.45403400000123</v>
      </c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x14ac:dyDescent="0.25">
      <c r="A16" s="18" t="s">
        <v>56</v>
      </c>
      <c r="B16" s="18" t="s">
        <v>42</v>
      </c>
      <c r="C16" s="18">
        <v>134.947</v>
      </c>
      <c r="D16" s="18">
        <v>327.38099999999997</v>
      </c>
      <c r="E16" s="18">
        <v>224.46600000000001</v>
      </c>
      <c r="F16" s="18">
        <v>178.31299999999999</v>
      </c>
      <c r="G16" s="7">
        <v>1</v>
      </c>
      <c r="H16" s="18">
        <v>60</v>
      </c>
      <c r="I16" s="18" t="s">
        <v>43</v>
      </c>
      <c r="J16" s="18"/>
      <c r="K16" s="18">
        <v>258.60399999999998</v>
      </c>
      <c r="L16" s="18">
        <f t="shared" si="2"/>
        <v>-34.137999999999977</v>
      </c>
      <c r="M16" s="18">
        <f t="shared" si="3"/>
        <v>192.56200000000001</v>
      </c>
      <c r="N16" s="18">
        <v>31.904</v>
      </c>
      <c r="O16" s="18">
        <v>30</v>
      </c>
      <c r="P16" s="18">
        <v>132.24440000000001</v>
      </c>
      <c r="Q16" s="18"/>
      <c r="R16" s="18">
        <f>IFERROR(VLOOKUP(A16,[1]Sheet!$A:$D,4,0),0)</f>
        <v>0</v>
      </c>
      <c r="S16" s="18"/>
      <c r="T16" s="18">
        <v>118.2007333333335</v>
      </c>
      <c r="U16" s="18"/>
      <c r="V16" s="18">
        <f t="shared" si="4"/>
        <v>38.5124</v>
      </c>
      <c r="W16" s="4"/>
      <c r="X16" s="4"/>
      <c r="Y16" s="18"/>
      <c r="Z16" s="18"/>
      <c r="AA16" s="18">
        <f t="shared" si="5"/>
        <v>11.91195909196346</v>
      </c>
      <c r="AB16" s="18">
        <f t="shared" si="6"/>
        <v>11.91195909196346</v>
      </c>
      <c r="AC16" s="18">
        <v>41.683800000000012</v>
      </c>
      <c r="AD16" s="18">
        <v>47.338999999999999</v>
      </c>
      <c r="AE16" s="18">
        <v>43.282800000000002</v>
      </c>
      <c r="AF16" s="18">
        <v>36.054200000000002</v>
      </c>
      <c r="AG16" s="18">
        <v>36.965166666666661</v>
      </c>
      <c r="AH16" s="18">
        <v>52.663833333333322</v>
      </c>
      <c r="AI16" s="18">
        <v>48.583599999999997</v>
      </c>
      <c r="AJ16" s="18">
        <v>39.573</v>
      </c>
      <c r="AK16" s="18"/>
      <c r="AL16" s="18">
        <f t="shared" si="7"/>
        <v>0</v>
      </c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x14ac:dyDescent="0.25">
      <c r="A17" s="18" t="s">
        <v>57</v>
      </c>
      <c r="B17" s="18" t="s">
        <v>42</v>
      </c>
      <c r="C17" s="18">
        <v>1214.8979999999999</v>
      </c>
      <c r="D17" s="18">
        <v>1014.852</v>
      </c>
      <c r="E17" s="18">
        <v>808.33600000000001</v>
      </c>
      <c r="F17" s="18">
        <v>312.11799999999999</v>
      </c>
      <c r="G17" s="7">
        <v>1</v>
      </c>
      <c r="H17" s="18">
        <v>60</v>
      </c>
      <c r="I17" s="18" t="s">
        <v>43</v>
      </c>
      <c r="J17" s="18"/>
      <c r="K17" s="18">
        <v>938.49400000000003</v>
      </c>
      <c r="L17" s="18">
        <f t="shared" si="2"/>
        <v>-130.15800000000002</v>
      </c>
      <c r="M17" s="18">
        <f t="shared" si="3"/>
        <v>673.83899999999994</v>
      </c>
      <c r="N17" s="18">
        <v>134.49700000000001</v>
      </c>
      <c r="O17" s="18"/>
      <c r="P17" s="18">
        <v>0</v>
      </c>
      <c r="Q17" s="18"/>
      <c r="R17" s="18">
        <f>IFERROR(VLOOKUP(A17,[1]Sheet!$A:$D,4,0),0)</f>
        <v>188</v>
      </c>
      <c r="S17" s="18"/>
      <c r="T17" s="18">
        <v>0</v>
      </c>
      <c r="U17" s="18">
        <v>120.843954</v>
      </c>
      <c r="V17" s="18">
        <f t="shared" si="4"/>
        <v>134.76779999999999</v>
      </c>
      <c r="W17" s="4">
        <f>9*V17-U17-T17-S17-Q17-P17-O17-F17</f>
        <v>779.94824600000015</v>
      </c>
      <c r="X17" s="4"/>
      <c r="Y17" s="18"/>
      <c r="Z17" s="18"/>
      <c r="AA17" s="18">
        <f t="shared" si="5"/>
        <v>9.0000000000000018</v>
      </c>
      <c r="AB17" s="18">
        <f t="shared" si="6"/>
        <v>3.2126513454994443</v>
      </c>
      <c r="AC17" s="18">
        <v>63.938599999999987</v>
      </c>
      <c r="AD17" s="18">
        <v>121.6746</v>
      </c>
      <c r="AE17" s="18">
        <v>88.111599999999996</v>
      </c>
      <c r="AF17" s="18">
        <v>81.115399999999994</v>
      </c>
      <c r="AG17" s="18">
        <v>208.27016666666671</v>
      </c>
      <c r="AH17" s="18">
        <v>281.90366666666671</v>
      </c>
      <c r="AI17" s="18">
        <v>221.13499999999999</v>
      </c>
      <c r="AJ17" s="18">
        <v>136.88759999999999</v>
      </c>
      <c r="AK17" s="18"/>
      <c r="AL17" s="18">
        <f t="shared" si="7"/>
        <v>779.94824600000015</v>
      </c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x14ac:dyDescent="0.25">
      <c r="A18" s="14" t="s">
        <v>58</v>
      </c>
      <c r="B18" s="14" t="s">
        <v>42</v>
      </c>
      <c r="C18" s="14"/>
      <c r="D18" s="14"/>
      <c r="E18" s="14"/>
      <c r="F18" s="14"/>
      <c r="G18" s="15">
        <v>0</v>
      </c>
      <c r="H18" s="14">
        <v>60</v>
      </c>
      <c r="I18" s="14" t="s">
        <v>43</v>
      </c>
      <c r="J18" s="14"/>
      <c r="K18" s="14"/>
      <c r="L18" s="14">
        <f t="shared" si="2"/>
        <v>0</v>
      </c>
      <c r="M18" s="14">
        <f t="shared" si="3"/>
        <v>0</v>
      </c>
      <c r="N18" s="14"/>
      <c r="O18" s="14"/>
      <c r="P18" s="14">
        <v>0</v>
      </c>
      <c r="Q18" s="14"/>
      <c r="R18" s="14">
        <f>IFERROR(VLOOKUP(A18,[1]Sheet!$A:$D,4,0),0)</f>
        <v>0</v>
      </c>
      <c r="S18" s="14"/>
      <c r="T18" s="14">
        <v>0</v>
      </c>
      <c r="U18" s="14"/>
      <c r="V18" s="14">
        <f t="shared" si="4"/>
        <v>0</v>
      </c>
      <c r="W18" s="16"/>
      <c r="X18" s="16"/>
      <c r="Y18" s="14"/>
      <c r="Z18" s="14"/>
      <c r="AA18" s="14" t="e">
        <f t="shared" si="5"/>
        <v>#DIV/0!</v>
      </c>
      <c r="AB18" s="14" t="e">
        <f t="shared" si="6"/>
        <v>#DIV/0!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 t="s">
        <v>59</v>
      </c>
      <c r="AL18" s="14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x14ac:dyDescent="0.25">
      <c r="A19" s="18" t="s">
        <v>60</v>
      </c>
      <c r="B19" s="18" t="s">
        <v>42</v>
      </c>
      <c r="C19" s="18">
        <v>12.936999999999999</v>
      </c>
      <c r="D19" s="18">
        <v>9.7370000000000001</v>
      </c>
      <c r="E19" s="18">
        <v>1.806</v>
      </c>
      <c r="F19" s="18">
        <v>17.010999999999999</v>
      </c>
      <c r="G19" s="7">
        <v>1</v>
      </c>
      <c r="H19" s="18">
        <v>180</v>
      </c>
      <c r="I19" s="18" t="s">
        <v>43</v>
      </c>
      <c r="J19" s="18"/>
      <c r="K19" s="18">
        <v>1.8</v>
      </c>
      <c r="L19" s="18">
        <f t="shared" si="2"/>
        <v>6.0000000000000053E-3</v>
      </c>
      <c r="M19" s="18">
        <f t="shared" si="3"/>
        <v>1.806</v>
      </c>
      <c r="N19" s="18"/>
      <c r="O19" s="18"/>
      <c r="P19" s="18">
        <v>0</v>
      </c>
      <c r="Q19" s="18"/>
      <c r="R19" s="18">
        <f>IFERROR(VLOOKUP(A19,[1]Sheet!$A:$D,4,0),0)</f>
        <v>0</v>
      </c>
      <c r="S19" s="18"/>
      <c r="T19" s="18">
        <v>0</v>
      </c>
      <c r="U19" s="18"/>
      <c r="V19" s="18">
        <f t="shared" si="4"/>
        <v>0.36120000000000002</v>
      </c>
      <c r="W19" s="4"/>
      <c r="X19" s="4"/>
      <c r="Y19" s="18"/>
      <c r="Z19" s="18"/>
      <c r="AA19" s="18">
        <f t="shared" si="5"/>
        <v>47.095791805094123</v>
      </c>
      <c r="AB19" s="18">
        <f t="shared" si="6"/>
        <v>47.095791805094123</v>
      </c>
      <c r="AC19" s="18">
        <v>0.56719999999999993</v>
      </c>
      <c r="AD19" s="18">
        <v>0.35239999999999999</v>
      </c>
      <c r="AE19" s="18">
        <v>0</v>
      </c>
      <c r="AF19" s="18">
        <v>0.15939999999999999</v>
      </c>
      <c r="AG19" s="18">
        <v>0.79133333333333333</v>
      </c>
      <c r="AH19" s="18">
        <v>1.112166666666667</v>
      </c>
      <c r="AI19" s="18">
        <v>1.2574000000000001</v>
      </c>
      <c r="AJ19" s="18">
        <v>0.877</v>
      </c>
      <c r="AK19" s="20" t="s">
        <v>83</v>
      </c>
      <c r="AL19" s="18">
        <f>G19*W19</f>
        <v>0</v>
      </c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x14ac:dyDescent="0.25">
      <c r="A20" s="18" t="s">
        <v>61</v>
      </c>
      <c r="B20" s="18" t="s">
        <v>42</v>
      </c>
      <c r="C20" s="18">
        <v>3645.855</v>
      </c>
      <c r="D20" s="18">
        <v>1962.4069999999999</v>
      </c>
      <c r="E20" s="18">
        <v>2854.6379999999999</v>
      </c>
      <c r="F20" s="18">
        <v>2409.547</v>
      </c>
      <c r="G20" s="7">
        <v>1</v>
      </c>
      <c r="H20" s="18">
        <v>60</v>
      </c>
      <c r="I20" s="18" t="s">
        <v>43</v>
      </c>
      <c r="J20" s="18"/>
      <c r="K20" s="18">
        <v>3098.4749999999999</v>
      </c>
      <c r="L20" s="18">
        <f t="shared" si="2"/>
        <v>-243.83699999999999</v>
      </c>
      <c r="M20" s="18">
        <f t="shared" si="3"/>
        <v>2854.6379999999999</v>
      </c>
      <c r="N20" s="18"/>
      <c r="O20" s="18">
        <v>350</v>
      </c>
      <c r="P20" s="18">
        <v>404.04267499999793</v>
      </c>
      <c r="Q20" s="18">
        <v>1500</v>
      </c>
      <c r="R20" s="18">
        <f>IFERROR(VLOOKUP(A20,[1]Sheet!$A:$D,4,0),0)</f>
        <v>377</v>
      </c>
      <c r="S20" s="18"/>
      <c r="T20" s="18">
        <v>0</v>
      </c>
      <c r="U20" s="18">
        <v>924.12230399999999</v>
      </c>
      <c r="V20" s="18">
        <f t="shared" si="4"/>
        <v>570.92759999999998</v>
      </c>
      <c r="W20" s="4">
        <f t="shared" ref="W19:W20" si="9">11*V20-U20-T20-S20-Q20-P20-O20-F20</f>
        <v>692.4916210000024</v>
      </c>
      <c r="X20" s="4"/>
      <c r="Y20" s="18"/>
      <c r="Z20" s="18"/>
      <c r="AA20" s="18">
        <f t="shared" si="5"/>
        <v>11.000000000000002</v>
      </c>
      <c r="AB20" s="18">
        <f t="shared" si="6"/>
        <v>9.787076293036101</v>
      </c>
      <c r="AC20" s="18">
        <v>488.95359999999999</v>
      </c>
      <c r="AD20" s="18">
        <v>536.48019999999997</v>
      </c>
      <c r="AE20" s="18">
        <v>559.10059999999999</v>
      </c>
      <c r="AF20" s="18">
        <v>642.4251999999999</v>
      </c>
      <c r="AG20" s="18">
        <v>595.46950000000004</v>
      </c>
      <c r="AH20" s="18">
        <v>671.97050000000002</v>
      </c>
      <c r="AI20" s="18">
        <v>619.25720000000001</v>
      </c>
      <c r="AJ20" s="18">
        <v>510.13720000000001</v>
      </c>
      <c r="AK20" s="18" t="s">
        <v>54</v>
      </c>
      <c r="AL20" s="18">
        <f>G20*W20</f>
        <v>692.4916210000024</v>
      </c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x14ac:dyDescent="0.25">
      <c r="A21" s="11" t="s">
        <v>62</v>
      </c>
      <c r="B21" s="11" t="s">
        <v>42</v>
      </c>
      <c r="C21" s="11">
        <v>-5.008</v>
      </c>
      <c r="D21" s="11"/>
      <c r="E21" s="19">
        <v>2.516</v>
      </c>
      <c r="F21" s="19">
        <v>-7.524</v>
      </c>
      <c r="G21" s="12">
        <v>0</v>
      </c>
      <c r="H21" s="11" t="e">
        <v>#N/A</v>
      </c>
      <c r="I21" s="11" t="s">
        <v>63</v>
      </c>
      <c r="J21" s="11" t="s">
        <v>64</v>
      </c>
      <c r="K21" s="11">
        <v>2.5</v>
      </c>
      <c r="L21" s="11">
        <f t="shared" si="2"/>
        <v>1.6000000000000014E-2</v>
      </c>
      <c r="M21" s="11">
        <f t="shared" si="3"/>
        <v>2.516</v>
      </c>
      <c r="N21" s="11"/>
      <c r="O21" s="11"/>
      <c r="P21" s="11">
        <v>0</v>
      </c>
      <c r="Q21" s="11"/>
      <c r="R21" s="11">
        <f>IFERROR(VLOOKUP(A21,[1]Sheet!$A:$D,4,0),0)</f>
        <v>0</v>
      </c>
      <c r="S21" s="11"/>
      <c r="T21" s="11">
        <v>0</v>
      </c>
      <c r="U21" s="11"/>
      <c r="V21" s="11">
        <f t="shared" si="4"/>
        <v>0.50319999999999998</v>
      </c>
      <c r="W21" s="13"/>
      <c r="X21" s="13"/>
      <c r="Y21" s="11"/>
      <c r="Z21" s="11"/>
      <c r="AA21" s="11">
        <f t="shared" si="5"/>
        <v>-14.952305246422894</v>
      </c>
      <c r="AB21" s="11">
        <f t="shared" si="6"/>
        <v>-14.952305246422894</v>
      </c>
      <c r="AC21" s="11">
        <v>0.50239999999999996</v>
      </c>
      <c r="AD21" s="11">
        <v>1.0016</v>
      </c>
      <c r="AE21" s="11">
        <v>0.49919999999999998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/>
      <c r="AL21" s="11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x14ac:dyDescent="0.25">
      <c r="A22" s="18" t="s">
        <v>65</v>
      </c>
      <c r="B22" s="18" t="s">
        <v>42</v>
      </c>
      <c r="C22" s="18">
        <v>321.07100000000003</v>
      </c>
      <c r="D22" s="18">
        <v>435.19</v>
      </c>
      <c r="E22" s="18">
        <v>496.79</v>
      </c>
      <c r="F22" s="18">
        <v>160.19300000000001</v>
      </c>
      <c r="G22" s="7">
        <v>1</v>
      </c>
      <c r="H22" s="18">
        <v>60</v>
      </c>
      <c r="I22" s="18" t="s">
        <v>43</v>
      </c>
      <c r="J22" s="18"/>
      <c r="K22" s="18">
        <v>581.79</v>
      </c>
      <c r="L22" s="18">
        <f t="shared" si="2"/>
        <v>-84.999999999999943</v>
      </c>
      <c r="M22" s="18">
        <f t="shared" si="3"/>
        <v>496.79</v>
      </c>
      <c r="N22" s="18"/>
      <c r="O22" s="18">
        <v>200</v>
      </c>
      <c r="P22" s="18">
        <v>465.47070000000019</v>
      </c>
      <c r="Q22" s="18"/>
      <c r="R22" s="18">
        <f>IFERROR(VLOOKUP(A22,[1]Sheet!$A:$D,4,0),0)</f>
        <v>74</v>
      </c>
      <c r="S22" s="18"/>
      <c r="T22" s="18">
        <v>0</v>
      </c>
      <c r="U22" s="18">
        <v>142.996644</v>
      </c>
      <c r="V22" s="18">
        <f t="shared" si="4"/>
        <v>99.358000000000004</v>
      </c>
      <c r="W22" s="4">
        <f t="shared" ref="W22:W25" si="10">11*V22-U22-T22-S22-Q22-P22-O22-F22</f>
        <v>124.27765599999984</v>
      </c>
      <c r="X22" s="4"/>
      <c r="Y22" s="18"/>
      <c r="Z22" s="18"/>
      <c r="AA22" s="18">
        <f t="shared" si="5"/>
        <v>10.999999999999998</v>
      </c>
      <c r="AB22" s="18">
        <f t="shared" si="6"/>
        <v>9.7491932607339127</v>
      </c>
      <c r="AC22" s="18">
        <v>75.659599999999998</v>
      </c>
      <c r="AD22" s="18">
        <v>93.314000000000007</v>
      </c>
      <c r="AE22" s="18">
        <v>83.183599999999998</v>
      </c>
      <c r="AF22" s="18">
        <v>76.678399999999996</v>
      </c>
      <c r="AG22" s="18">
        <v>72.070666666666668</v>
      </c>
      <c r="AH22" s="18">
        <v>90.065333333333328</v>
      </c>
      <c r="AI22" s="18">
        <v>81.176199999999994</v>
      </c>
      <c r="AJ22" s="18">
        <v>74.248999999999995</v>
      </c>
      <c r="AK22" s="18"/>
      <c r="AL22" s="18">
        <f>G22*W22</f>
        <v>124.27765599999984</v>
      </c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x14ac:dyDescent="0.25">
      <c r="A23" s="18" t="s">
        <v>66</v>
      </c>
      <c r="B23" s="18" t="s">
        <v>42</v>
      </c>
      <c r="C23" s="18">
        <v>766.40099999999995</v>
      </c>
      <c r="D23" s="18">
        <v>375.19299999999998</v>
      </c>
      <c r="E23" s="18">
        <v>531.803</v>
      </c>
      <c r="F23" s="18">
        <v>488.57100000000003</v>
      </c>
      <c r="G23" s="7">
        <v>1</v>
      </c>
      <c r="H23" s="18">
        <v>60</v>
      </c>
      <c r="I23" s="18" t="s">
        <v>43</v>
      </c>
      <c r="J23" s="18"/>
      <c r="K23" s="18">
        <v>615.197</v>
      </c>
      <c r="L23" s="18">
        <f t="shared" si="2"/>
        <v>-83.394000000000005</v>
      </c>
      <c r="M23" s="18">
        <f t="shared" si="3"/>
        <v>431.65999999999997</v>
      </c>
      <c r="N23" s="18">
        <v>100.143</v>
      </c>
      <c r="O23" s="18"/>
      <c r="P23" s="18">
        <v>192.73275000000001</v>
      </c>
      <c r="Q23" s="18"/>
      <c r="R23" s="18">
        <f>IFERROR(VLOOKUP(A23,[1]Sheet!$A:$D,4,0),0)</f>
        <v>73</v>
      </c>
      <c r="S23" s="18"/>
      <c r="T23" s="18">
        <v>271.84334999999999</v>
      </c>
      <c r="U23" s="18">
        <v>166.16615400000001</v>
      </c>
      <c r="V23" s="18">
        <f t="shared" si="4"/>
        <v>86.331999999999994</v>
      </c>
      <c r="W23" s="4"/>
      <c r="X23" s="4"/>
      <c r="Y23" s="18"/>
      <c r="Z23" s="18"/>
      <c r="AA23" s="18">
        <f t="shared" si="5"/>
        <v>12.965218621137009</v>
      </c>
      <c r="AB23" s="18">
        <f t="shared" si="6"/>
        <v>12.965218621137009</v>
      </c>
      <c r="AC23" s="18">
        <v>87.918599999999998</v>
      </c>
      <c r="AD23" s="18">
        <v>85.658999999999992</v>
      </c>
      <c r="AE23" s="18">
        <v>84.333600000000004</v>
      </c>
      <c r="AF23" s="18">
        <v>94.044799999999981</v>
      </c>
      <c r="AG23" s="18">
        <v>114.9023333333333</v>
      </c>
      <c r="AH23" s="18">
        <v>125.092</v>
      </c>
      <c r="AI23" s="18">
        <v>124.4898</v>
      </c>
      <c r="AJ23" s="18">
        <v>104.41800000000001</v>
      </c>
      <c r="AK23" s="18"/>
      <c r="AL23" s="18">
        <f>G23*W23</f>
        <v>0</v>
      </c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x14ac:dyDescent="0.25">
      <c r="A24" s="18" t="s">
        <v>67</v>
      </c>
      <c r="B24" s="18" t="s">
        <v>42</v>
      </c>
      <c r="C24" s="18">
        <v>16.498999999999999</v>
      </c>
      <c r="D24" s="18">
        <v>6.98</v>
      </c>
      <c r="E24" s="18">
        <v>4.3789999999999996</v>
      </c>
      <c r="F24" s="18">
        <v>11.727</v>
      </c>
      <c r="G24" s="7">
        <v>1</v>
      </c>
      <c r="H24" s="18">
        <v>180</v>
      </c>
      <c r="I24" s="18" t="s">
        <v>43</v>
      </c>
      <c r="J24" s="18"/>
      <c r="K24" s="18">
        <v>4.25</v>
      </c>
      <c r="L24" s="18">
        <f t="shared" si="2"/>
        <v>0.12899999999999956</v>
      </c>
      <c r="M24" s="18">
        <f t="shared" si="3"/>
        <v>4.3789999999999996</v>
      </c>
      <c r="N24" s="18"/>
      <c r="O24" s="18"/>
      <c r="P24" s="18">
        <v>0</v>
      </c>
      <c r="Q24" s="18"/>
      <c r="R24" s="18">
        <f>IFERROR(VLOOKUP(A24,[1]Sheet!$A:$D,4,0),0)</f>
        <v>0</v>
      </c>
      <c r="S24" s="18"/>
      <c r="T24" s="18">
        <v>0</v>
      </c>
      <c r="U24" s="18"/>
      <c r="V24" s="18">
        <f t="shared" si="4"/>
        <v>0.87579999999999991</v>
      </c>
      <c r="W24" s="4"/>
      <c r="X24" s="4"/>
      <c r="Y24" s="18"/>
      <c r="Z24" s="18"/>
      <c r="AA24" s="18">
        <f t="shared" si="5"/>
        <v>13.390043388901578</v>
      </c>
      <c r="AB24" s="18">
        <f t="shared" si="6"/>
        <v>13.390043388901578</v>
      </c>
      <c r="AC24" s="18">
        <v>0.79659999999999997</v>
      </c>
      <c r="AD24" s="18">
        <v>0.6482</v>
      </c>
      <c r="AE24" s="18">
        <v>0.49540000000000001</v>
      </c>
      <c r="AF24" s="18">
        <v>0.27639999999999998</v>
      </c>
      <c r="AG24" s="18">
        <v>0.86949999999999994</v>
      </c>
      <c r="AH24" s="18">
        <v>1.3806666666666669</v>
      </c>
      <c r="AI24" s="18">
        <v>1.7272000000000001</v>
      </c>
      <c r="AJ24" s="18">
        <v>1.8042</v>
      </c>
      <c r="AK24" s="18"/>
      <c r="AL24" s="18">
        <f>G24*W24</f>
        <v>0</v>
      </c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1:52" x14ac:dyDescent="0.25">
      <c r="A25" s="18" t="s">
        <v>68</v>
      </c>
      <c r="B25" s="18" t="s">
        <v>42</v>
      </c>
      <c r="C25" s="18">
        <v>1664.5550000000001</v>
      </c>
      <c r="D25" s="18">
        <v>1535.7940000000001</v>
      </c>
      <c r="E25" s="18">
        <v>1392.2239999999999</v>
      </c>
      <c r="F25" s="18">
        <v>806.43299999999999</v>
      </c>
      <c r="G25" s="7">
        <v>1</v>
      </c>
      <c r="H25" s="18">
        <v>60</v>
      </c>
      <c r="I25" s="18" t="s">
        <v>43</v>
      </c>
      <c r="J25" s="18"/>
      <c r="K25" s="18">
        <v>1445.77</v>
      </c>
      <c r="L25" s="18">
        <f t="shared" si="2"/>
        <v>-53.546000000000049</v>
      </c>
      <c r="M25" s="18">
        <f t="shared" si="3"/>
        <v>1286.952</v>
      </c>
      <c r="N25" s="18">
        <v>105.27200000000001</v>
      </c>
      <c r="O25" s="18"/>
      <c r="P25" s="18">
        <v>467.01658999999933</v>
      </c>
      <c r="Q25" s="18">
        <v>500</v>
      </c>
      <c r="R25" s="18">
        <f>IFERROR(VLOOKUP(A25,[1]Sheet!$A:$D,4,0),0)</f>
        <v>103</v>
      </c>
      <c r="S25" s="18"/>
      <c r="T25" s="18">
        <v>652.81011000000092</v>
      </c>
      <c r="U25" s="18">
        <v>448.92451799999998</v>
      </c>
      <c r="V25" s="18">
        <f t="shared" si="4"/>
        <v>257.3904</v>
      </c>
      <c r="W25" s="4"/>
      <c r="X25" s="4"/>
      <c r="Y25" s="18"/>
      <c r="Z25" s="18"/>
      <c r="AA25" s="18">
        <f t="shared" si="5"/>
        <v>11.170518473105446</v>
      </c>
      <c r="AB25" s="18">
        <f t="shared" si="6"/>
        <v>11.170518473105446</v>
      </c>
      <c r="AC25" s="18">
        <v>237.52619999999999</v>
      </c>
      <c r="AD25" s="18">
        <v>231.18</v>
      </c>
      <c r="AE25" s="18">
        <v>200.8886</v>
      </c>
      <c r="AF25" s="18">
        <v>204.5264</v>
      </c>
      <c r="AG25" s="18">
        <v>266.39716666666669</v>
      </c>
      <c r="AH25" s="18">
        <v>294.76016666666658</v>
      </c>
      <c r="AI25" s="18">
        <v>297.45620000000002</v>
      </c>
      <c r="AJ25" s="18">
        <v>250.17160000000001</v>
      </c>
      <c r="AK25" s="18" t="s">
        <v>54</v>
      </c>
      <c r="AL25" s="18">
        <f>G25*W25</f>
        <v>0</v>
      </c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1:52" x14ac:dyDescent="0.25">
      <c r="A26" s="14" t="s">
        <v>69</v>
      </c>
      <c r="B26" s="14" t="s">
        <v>42</v>
      </c>
      <c r="C26" s="14"/>
      <c r="D26" s="14"/>
      <c r="E26" s="14"/>
      <c r="F26" s="14"/>
      <c r="G26" s="15">
        <v>0</v>
      </c>
      <c r="H26" s="14">
        <v>30</v>
      </c>
      <c r="I26" s="14" t="s">
        <v>43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/>
      <c r="P26" s="14">
        <v>0</v>
      </c>
      <c r="Q26" s="14"/>
      <c r="R26" s="14">
        <f>IFERROR(VLOOKUP(A26,[1]Sheet!$A:$D,4,0),0)</f>
        <v>0</v>
      </c>
      <c r="S26" s="14"/>
      <c r="T26" s="14">
        <v>0</v>
      </c>
      <c r="U26" s="14"/>
      <c r="V26" s="14">
        <f t="shared" si="4"/>
        <v>0</v>
      </c>
      <c r="W26" s="16"/>
      <c r="X26" s="16"/>
      <c r="Y26" s="14"/>
      <c r="Z26" s="14"/>
      <c r="AA26" s="14" t="e">
        <f t="shared" si="5"/>
        <v>#DIV/0!</v>
      </c>
      <c r="AB26" s="14" t="e">
        <f t="shared" si="6"/>
        <v>#DIV/0!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 t="s">
        <v>59</v>
      </c>
      <c r="AL26" s="14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1:52" x14ac:dyDescent="0.25">
      <c r="A27" s="14" t="s">
        <v>70</v>
      </c>
      <c r="B27" s="14" t="s">
        <v>42</v>
      </c>
      <c r="C27" s="14"/>
      <c r="D27" s="14"/>
      <c r="E27" s="14"/>
      <c r="F27" s="14"/>
      <c r="G27" s="15">
        <v>0</v>
      </c>
      <c r="H27" s="14">
        <v>30</v>
      </c>
      <c r="I27" s="14" t="s">
        <v>43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/>
      <c r="P27" s="14">
        <v>0</v>
      </c>
      <c r="Q27" s="14"/>
      <c r="R27" s="14">
        <f>IFERROR(VLOOKUP(A27,[1]Sheet!$A:$D,4,0),0)</f>
        <v>0</v>
      </c>
      <c r="S27" s="14"/>
      <c r="T27" s="14">
        <v>0</v>
      </c>
      <c r="U27" s="14"/>
      <c r="V27" s="14">
        <f t="shared" si="4"/>
        <v>0</v>
      </c>
      <c r="W27" s="16"/>
      <c r="X27" s="16"/>
      <c r="Y27" s="14"/>
      <c r="Z27" s="14"/>
      <c r="AA27" s="14" t="e">
        <f t="shared" si="5"/>
        <v>#DIV/0!</v>
      </c>
      <c r="AB27" s="14" t="e">
        <f t="shared" si="6"/>
        <v>#DIV/0!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 t="s">
        <v>59</v>
      </c>
      <c r="AL27" s="14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1:52" x14ac:dyDescent="0.25">
      <c r="A28" s="18" t="s">
        <v>71</v>
      </c>
      <c r="B28" s="18" t="s">
        <v>42</v>
      </c>
      <c r="C28" s="18">
        <v>24.725000000000001</v>
      </c>
      <c r="D28" s="18">
        <v>2689.8820000000001</v>
      </c>
      <c r="E28" s="18">
        <v>1326.3710000000001</v>
      </c>
      <c r="F28" s="18">
        <v>187.11500000000001</v>
      </c>
      <c r="G28" s="7">
        <v>1</v>
      </c>
      <c r="H28" s="18">
        <v>30</v>
      </c>
      <c r="I28" s="18" t="s">
        <v>43</v>
      </c>
      <c r="J28" s="18"/>
      <c r="K28" s="18">
        <v>1878.0809999999999</v>
      </c>
      <c r="L28" s="18">
        <f t="shared" si="2"/>
        <v>-551.70999999999981</v>
      </c>
      <c r="M28" s="18">
        <f t="shared" si="3"/>
        <v>922.07000000000016</v>
      </c>
      <c r="N28" s="18">
        <v>404.30099999999999</v>
      </c>
      <c r="O28" s="18">
        <v>400</v>
      </c>
      <c r="P28" s="18">
        <v>0</v>
      </c>
      <c r="Q28" s="18"/>
      <c r="R28" s="18">
        <f>IFERROR(VLOOKUP(A28,[1]Sheet!$A:$D,4,0),0)</f>
        <v>97</v>
      </c>
      <c r="S28" s="18"/>
      <c r="T28" s="18">
        <v>0</v>
      </c>
      <c r="U28" s="18"/>
      <c r="V28" s="18">
        <f t="shared" si="4"/>
        <v>184.41400000000004</v>
      </c>
      <c r="W28" s="4">
        <f>9*V28-U28-T28-S28-Q28-P28-O28-F28</f>
        <v>1072.6110000000003</v>
      </c>
      <c r="X28" s="4"/>
      <c r="Y28" s="18"/>
      <c r="Z28" s="18"/>
      <c r="AA28" s="18">
        <f t="shared" si="5"/>
        <v>9</v>
      </c>
      <c r="AB28" s="18">
        <f t="shared" si="6"/>
        <v>3.1836791132994233</v>
      </c>
      <c r="AC28" s="18">
        <v>93.193400000000011</v>
      </c>
      <c r="AD28" s="18">
        <v>120.9936</v>
      </c>
      <c r="AE28" s="18">
        <v>191.4426</v>
      </c>
      <c r="AF28" s="18">
        <v>180.36940000000001</v>
      </c>
      <c r="AG28" s="18">
        <v>157.65600000000001</v>
      </c>
      <c r="AH28" s="18">
        <v>169.0156666666667</v>
      </c>
      <c r="AI28" s="18">
        <v>183.89060000000001</v>
      </c>
      <c r="AJ28" s="18">
        <v>229.03219999999999</v>
      </c>
      <c r="AK28" s="18" t="s">
        <v>54</v>
      </c>
      <c r="AL28" s="18">
        <f>G28*W28</f>
        <v>1072.6110000000003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1:52" x14ac:dyDescent="0.25">
      <c r="A29" s="14" t="s">
        <v>72</v>
      </c>
      <c r="B29" s="14" t="s">
        <v>42</v>
      </c>
      <c r="C29" s="14"/>
      <c r="D29" s="14"/>
      <c r="E29" s="14"/>
      <c r="F29" s="14"/>
      <c r="G29" s="15">
        <v>0</v>
      </c>
      <c r="H29" s="14">
        <v>45</v>
      </c>
      <c r="I29" s="14" t="s">
        <v>43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/>
      <c r="P29" s="14">
        <v>0</v>
      </c>
      <c r="Q29" s="14"/>
      <c r="R29" s="14">
        <f>IFERROR(VLOOKUP(A29,[1]Sheet!$A:$D,4,0),0)</f>
        <v>0</v>
      </c>
      <c r="S29" s="14"/>
      <c r="T29" s="14">
        <v>0</v>
      </c>
      <c r="U29" s="14"/>
      <c r="V29" s="14">
        <f t="shared" si="4"/>
        <v>0</v>
      </c>
      <c r="W29" s="16"/>
      <c r="X29" s="16"/>
      <c r="Y29" s="14"/>
      <c r="Z29" s="14"/>
      <c r="AA29" s="14" t="e">
        <f t="shared" si="5"/>
        <v>#DIV/0!</v>
      </c>
      <c r="AB29" s="14" t="e">
        <f t="shared" si="6"/>
        <v>#DIV/0!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 t="s">
        <v>59</v>
      </c>
      <c r="AL29" s="14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1:52" x14ac:dyDescent="0.25">
      <c r="A30" s="14" t="s">
        <v>73</v>
      </c>
      <c r="B30" s="14" t="s">
        <v>42</v>
      </c>
      <c r="C30" s="14"/>
      <c r="D30" s="14"/>
      <c r="E30" s="14"/>
      <c r="F30" s="14"/>
      <c r="G30" s="15">
        <v>0</v>
      </c>
      <c r="H30" s="14">
        <v>40</v>
      </c>
      <c r="I30" s="14" t="s">
        <v>43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/>
      <c r="P30" s="14">
        <v>0</v>
      </c>
      <c r="Q30" s="14"/>
      <c r="R30" s="14">
        <f>IFERROR(VLOOKUP(A30,[1]Sheet!$A:$D,4,0),0)</f>
        <v>0</v>
      </c>
      <c r="S30" s="14"/>
      <c r="T30" s="14">
        <v>0</v>
      </c>
      <c r="U30" s="14"/>
      <c r="V30" s="14">
        <f t="shared" si="4"/>
        <v>0</v>
      </c>
      <c r="W30" s="16"/>
      <c r="X30" s="16"/>
      <c r="Y30" s="14"/>
      <c r="Z30" s="14"/>
      <c r="AA30" s="14" t="e">
        <f t="shared" si="5"/>
        <v>#DIV/0!</v>
      </c>
      <c r="AB30" s="14" t="e">
        <f t="shared" si="6"/>
        <v>#DIV/0!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 t="s">
        <v>59</v>
      </c>
      <c r="AL30" s="14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1:52" x14ac:dyDescent="0.25">
      <c r="A31" s="18" t="s">
        <v>74</v>
      </c>
      <c r="B31" s="18" t="s">
        <v>42</v>
      </c>
      <c r="C31" s="18"/>
      <c r="D31" s="18"/>
      <c r="E31" s="18"/>
      <c r="F31" s="18"/>
      <c r="G31" s="7">
        <v>1</v>
      </c>
      <c r="H31" s="18">
        <v>30</v>
      </c>
      <c r="I31" s="18" t="s">
        <v>43</v>
      </c>
      <c r="J31" s="18"/>
      <c r="K31" s="18"/>
      <c r="L31" s="18">
        <f t="shared" si="2"/>
        <v>0</v>
      </c>
      <c r="M31" s="18">
        <f t="shared" si="3"/>
        <v>0</v>
      </c>
      <c r="N31" s="18"/>
      <c r="O31" s="18"/>
      <c r="P31" s="18">
        <v>100</v>
      </c>
      <c r="Q31" s="18"/>
      <c r="R31" s="18">
        <f>IFERROR(VLOOKUP(A31,[1]Sheet!$A:$D,4,0),0)</f>
        <v>0</v>
      </c>
      <c r="S31" s="18"/>
      <c r="T31" s="18">
        <v>0</v>
      </c>
      <c r="U31" s="18"/>
      <c r="V31" s="18">
        <f t="shared" si="4"/>
        <v>0</v>
      </c>
      <c r="W31" s="4"/>
      <c r="X31" s="4"/>
      <c r="Y31" s="18"/>
      <c r="Z31" s="18"/>
      <c r="AA31" s="18" t="e">
        <f t="shared" si="5"/>
        <v>#DIV/0!</v>
      </c>
      <c r="AB31" s="18" t="e">
        <f t="shared" si="6"/>
        <v>#DIV/0!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 t="s">
        <v>75</v>
      </c>
      <c r="AL31" s="18">
        <f>G31*W31</f>
        <v>0</v>
      </c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x14ac:dyDescent="0.25">
      <c r="A32" s="14" t="s">
        <v>76</v>
      </c>
      <c r="B32" s="14" t="s">
        <v>42</v>
      </c>
      <c r="C32" s="14"/>
      <c r="D32" s="14"/>
      <c r="E32" s="14"/>
      <c r="F32" s="14"/>
      <c r="G32" s="15">
        <v>0</v>
      </c>
      <c r="H32" s="14">
        <v>50</v>
      </c>
      <c r="I32" s="14" t="s">
        <v>43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/>
      <c r="P32" s="14">
        <v>0</v>
      </c>
      <c r="Q32" s="14"/>
      <c r="R32" s="14">
        <f>IFERROR(VLOOKUP(A32,[1]Sheet!$A:$D,4,0),0)</f>
        <v>0</v>
      </c>
      <c r="S32" s="14"/>
      <c r="T32" s="14">
        <v>0</v>
      </c>
      <c r="U32" s="14"/>
      <c r="V32" s="14">
        <f t="shared" si="4"/>
        <v>0</v>
      </c>
      <c r="W32" s="16"/>
      <c r="X32" s="16"/>
      <c r="Y32" s="14"/>
      <c r="Z32" s="14"/>
      <c r="AA32" s="14" t="e">
        <f t="shared" si="5"/>
        <v>#DIV/0!</v>
      </c>
      <c r="AB32" s="14" t="e">
        <f t="shared" si="6"/>
        <v>#DIV/0!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 t="s">
        <v>59</v>
      </c>
      <c r="AL32" s="14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x14ac:dyDescent="0.25">
      <c r="A33" s="18" t="s">
        <v>77</v>
      </c>
      <c r="B33" s="18" t="s">
        <v>42</v>
      </c>
      <c r="C33" s="18">
        <v>23.454000000000001</v>
      </c>
      <c r="D33" s="18">
        <v>1.76</v>
      </c>
      <c r="E33" s="18">
        <v>4.5449999999999999</v>
      </c>
      <c r="F33" s="18">
        <v>20.669</v>
      </c>
      <c r="G33" s="7">
        <v>1</v>
      </c>
      <c r="H33" s="18">
        <v>50</v>
      </c>
      <c r="I33" s="18" t="s">
        <v>43</v>
      </c>
      <c r="J33" s="18"/>
      <c r="K33" s="18">
        <v>5.0999999999999996</v>
      </c>
      <c r="L33" s="18">
        <f t="shared" si="2"/>
        <v>-0.55499999999999972</v>
      </c>
      <c r="M33" s="18">
        <f t="shared" si="3"/>
        <v>4.5449999999999999</v>
      </c>
      <c r="N33" s="18"/>
      <c r="O33" s="18"/>
      <c r="P33" s="18">
        <v>0</v>
      </c>
      <c r="Q33" s="18"/>
      <c r="R33" s="18">
        <f>IFERROR(VLOOKUP(A33,[1]Sheet!$A:$D,4,0),0)</f>
        <v>0</v>
      </c>
      <c r="S33" s="18"/>
      <c r="T33" s="18">
        <v>0</v>
      </c>
      <c r="U33" s="18"/>
      <c r="V33" s="18">
        <f t="shared" si="4"/>
        <v>0.90900000000000003</v>
      </c>
      <c r="W33" s="4"/>
      <c r="X33" s="4"/>
      <c r="Y33" s="18"/>
      <c r="Z33" s="18"/>
      <c r="AA33" s="18">
        <f t="shared" si="5"/>
        <v>22.738173817381739</v>
      </c>
      <c r="AB33" s="18">
        <f t="shared" si="6"/>
        <v>22.738173817381739</v>
      </c>
      <c r="AC33" s="18">
        <v>1.633</v>
      </c>
      <c r="AD33" s="18">
        <v>0.72360000000000002</v>
      </c>
      <c r="AE33" s="18">
        <v>-4.0000000000000002E-4</v>
      </c>
      <c r="AF33" s="18">
        <v>0.53700000000000003</v>
      </c>
      <c r="AG33" s="18">
        <v>1.4944999999999999</v>
      </c>
      <c r="AH33" s="18">
        <v>2.2494999999999998</v>
      </c>
      <c r="AI33" s="18">
        <v>2.3441999999999998</v>
      </c>
      <c r="AJ33" s="18">
        <v>0.35959999999999998</v>
      </c>
      <c r="AK33" s="21" t="s">
        <v>154</v>
      </c>
      <c r="AL33" s="18">
        <f t="shared" ref="AL33:AL49" si="11">G33*W33</f>
        <v>0</v>
      </c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x14ac:dyDescent="0.25">
      <c r="A34" s="18" t="s">
        <v>78</v>
      </c>
      <c r="B34" s="18" t="s">
        <v>47</v>
      </c>
      <c r="C34" s="18">
        <v>63</v>
      </c>
      <c r="D34" s="18">
        <v>2350</v>
      </c>
      <c r="E34" s="18">
        <v>1592</v>
      </c>
      <c r="F34" s="18">
        <v>461</v>
      </c>
      <c r="G34" s="7">
        <v>0.4</v>
      </c>
      <c r="H34" s="18">
        <v>45</v>
      </c>
      <c r="I34" s="18" t="s">
        <v>43</v>
      </c>
      <c r="J34" s="18"/>
      <c r="K34" s="18">
        <v>2171</v>
      </c>
      <c r="L34" s="18">
        <f t="shared" si="2"/>
        <v>-579</v>
      </c>
      <c r="M34" s="18">
        <f t="shared" si="3"/>
        <v>1262</v>
      </c>
      <c r="N34" s="18">
        <v>330</v>
      </c>
      <c r="O34" s="18">
        <v>1000</v>
      </c>
      <c r="P34" s="18">
        <v>328.85978000000051</v>
      </c>
      <c r="Q34" s="18"/>
      <c r="R34" s="18">
        <f>IFERROR(VLOOKUP(A34,[1]Sheet!$A:$D,4,0),0)</f>
        <v>312</v>
      </c>
      <c r="S34" s="18"/>
      <c r="T34" s="18">
        <v>0</v>
      </c>
      <c r="U34" s="18"/>
      <c r="V34" s="18">
        <f t="shared" si="4"/>
        <v>252.4</v>
      </c>
      <c r="W34" s="4">
        <f t="shared" ref="W33:W49" si="12">11*V34-U34-T34-S34-Q34-P34-O34-F34</f>
        <v>986.54021999999941</v>
      </c>
      <c r="X34" s="4"/>
      <c r="Y34" s="18"/>
      <c r="Z34" s="18"/>
      <c r="AA34" s="18">
        <f t="shared" si="5"/>
        <v>10.999999999999998</v>
      </c>
      <c r="AB34" s="18">
        <f t="shared" si="6"/>
        <v>7.0913620443740113</v>
      </c>
      <c r="AC34" s="18">
        <v>205.6</v>
      </c>
      <c r="AD34" s="18">
        <v>284.2</v>
      </c>
      <c r="AE34" s="18">
        <v>302.2</v>
      </c>
      <c r="AF34" s="18">
        <v>280.8</v>
      </c>
      <c r="AG34" s="18">
        <v>228.83333333333329</v>
      </c>
      <c r="AH34" s="18">
        <v>252.66666666666671</v>
      </c>
      <c r="AI34" s="18">
        <v>275</v>
      </c>
      <c r="AJ34" s="18">
        <v>268.60000000000002</v>
      </c>
      <c r="AK34" s="18" t="s">
        <v>79</v>
      </c>
      <c r="AL34" s="18">
        <f t="shared" si="11"/>
        <v>394.61608799999976</v>
      </c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x14ac:dyDescent="0.25">
      <c r="A35" s="18" t="s">
        <v>80</v>
      </c>
      <c r="B35" s="18" t="s">
        <v>47</v>
      </c>
      <c r="C35" s="18">
        <v>339.827</v>
      </c>
      <c r="D35" s="18">
        <v>124</v>
      </c>
      <c r="E35" s="18">
        <v>357</v>
      </c>
      <c r="F35" s="18">
        <v>124.827</v>
      </c>
      <c r="G35" s="7">
        <v>0.45</v>
      </c>
      <c r="H35" s="18">
        <v>50</v>
      </c>
      <c r="I35" s="18" t="s">
        <v>43</v>
      </c>
      <c r="J35" s="18"/>
      <c r="K35" s="18">
        <v>367</v>
      </c>
      <c r="L35" s="18">
        <f t="shared" si="2"/>
        <v>-10</v>
      </c>
      <c r="M35" s="18">
        <f t="shared" si="3"/>
        <v>347</v>
      </c>
      <c r="N35" s="18">
        <v>10</v>
      </c>
      <c r="O35" s="18"/>
      <c r="P35" s="18">
        <v>506.66629</v>
      </c>
      <c r="Q35" s="18"/>
      <c r="R35" s="18">
        <f>IFERROR(VLOOKUP(A35,[1]Sheet!$A:$D,4,0),0)</f>
        <v>0</v>
      </c>
      <c r="S35" s="18"/>
      <c r="T35" s="18">
        <v>114.00671</v>
      </c>
      <c r="U35" s="18">
        <v>130.41</v>
      </c>
      <c r="V35" s="18">
        <f t="shared" si="4"/>
        <v>69.400000000000006</v>
      </c>
      <c r="W35" s="4"/>
      <c r="X35" s="4"/>
      <c r="Y35" s="18"/>
      <c r="Z35" s="18"/>
      <c r="AA35" s="18">
        <f t="shared" si="5"/>
        <v>12.621181556195964</v>
      </c>
      <c r="AB35" s="18">
        <f t="shared" si="6"/>
        <v>12.621181556195964</v>
      </c>
      <c r="AC35" s="18">
        <v>69</v>
      </c>
      <c r="AD35" s="18">
        <v>72</v>
      </c>
      <c r="AE35" s="18">
        <v>54.4</v>
      </c>
      <c r="AF35" s="18">
        <v>54</v>
      </c>
      <c r="AG35" s="18">
        <v>66.362166666666667</v>
      </c>
      <c r="AH35" s="18">
        <v>75.195499999999996</v>
      </c>
      <c r="AI35" s="18">
        <v>45.08</v>
      </c>
      <c r="AJ35" s="18">
        <v>53.1158</v>
      </c>
      <c r="AK35" s="18" t="s">
        <v>48</v>
      </c>
      <c r="AL35" s="18">
        <f t="shared" si="11"/>
        <v>0</v>
      </c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1:52" x14ac:dyDescent="0.25">
      <c r="A36" s="18" t="s">
        <v>81</v>
      </c>
      <c r="B36" s="18" t="s">
        <v>47</v>
      </c>
      <c r="C36" s="18">
        <v>1011</v>
      </c>
      <c r="D36" s="18">
        <v>2002</v>
      </c>
      <c r="E36" s="18">
        <v>1749</v>
      </c>
      <c r="F36" s="18">
        <v>648</v>
      </c>
      <c r="G36" s="7">
        <v>0.4</v>
      </c>
      <c r="H36" s="18">
        <v>45</v>
      </c>
      <c r="I36" s="18" t="s">
        <v>43</v>
      </c>
      <c r="J36" s="18"/>
      <c r="K36" s="18">
        <v>2293</v>
      </c>
      <c r="L36" s="18">
        <f t="shared" si="2"/>
        <v>-544</v>
      </c>
      <c r="M36" s="18">
        <f t="shared" si="3"/>
        <v>1719</v>
      </c>
      <c r="N36" s="18">
        <v>30</v>
      </c>
      <c r="O36" s="18"/>
      <c r="P36" s="18">
        <v>388.59999999999951</v>
      </c>
      <c r="Q36" s="18">
        <v>500</v>
      </c>
      <c r="R36" s="18">
        <f>IFERROR(VLOOKUP(A36,[1]Sheet!$A:$D,4,0),0)</f>
        <v>288</v>
      </c>
      <c r="S36" s="18">
        <v>800</v>
      </c>
      <c r="T36" s="18">
        <v>610.3119999999999</v>
      </c>
      <c r="U36" s="18"/>
      <c r="V36" s="18">
        <f t="shared" si="4"/>
        <v>343.8</v>
      </c>
      <c r="W36" s="4">
        <f t="shared" si="12"/>
        <v>834.88800000000083</v>
      </c>
      <c r="X36" s="4"/>
      <c r="Y36" s="18"/>
      <c r="Z36" s="18"/>
      <c r="AA36" s="18">
        <f t="shared" si="5"/>
        <v>11</v>
      </c>
      <c r="AB36" s="18">
        <f t="shared" si="6"/>
        <v>8.5715881326352505</v>
      </c>
      <c r="AC36" s="18">
        <v>300.2</v>
      </c>
      <c r="AD36" s="18">
        <v>273.39999999999998</v>
      </c>
      <c r="AE36" s="18">
        <v>231.4</v>
      </c>
      <c r="AF36" s="18">
        <v>272.2</v>
      </c>
      <c r="AG36" s="18">
        <v>188.66666666666671</v>
      </c>
      <c r="AH36" s="18">
        <v>212.66666666666671</v>
      </c>
      <c r="AI36" s="18">
        <v>291.2</v>
      </c>
      <c r="AJ36" s="18">
        <v>238.6</v>
      </c>
      <c r="AK36" s="18"/>
      <c r="AL36" s="18">
        <f t="shared" si="11"/>
        <v>333.95520000000033</v>
      </c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1:52" x14ac:dyDescent="0.25">
      <c r="A37" s="18" t="s">
        <v>82</v>
      </c>
      <c r="B37" s="18" t="s">
        <v>47</v>
      </c>
      <c r="C37" s="18">
        <v>184</v>
      </c>
      <c r="D37" s="18">
        <v>331</v>
      </c>
      <c r="E37" s="18">
        <v>165</v>
      </c>
      <c r="F37" s="18">
        <v>315</v>
      </c>
      <c r="G37" s="7">
        <v>0.4</v>
      </c>
      <c r="H37" s="18">
        <v>40</v>
      </c>
      <c r="I37" s="18" t="s">
        <v>43</v>
      </c>
      <c r="J37" s="18"/>
      <c r="K37" s="18">
        <v>386</v>
      </c>
      <c r="L37" s="18">
        <f t="shared" si="2"/>
        <v>-221</v>
      </c>
      <c r="M37" s="18">
        <f t="shared" si="3"/>
        <v>111</v>
      </c>
      <c r="N37" s="18">
        <v>54</v>
      </c>
      <c r="O37" s="18"/>
      <c r="P37" s="18">
        <v>0</v>
      </c>
      <c r="Q37" s="18"/>
      <c r="R37" s="18">
        <f>IFERROR(VLOOKUP(A37,[1]Sheet!$A:$D,4,0),0)</f>
        <v>0</v>
      </c>
      <c r="S37" s="18"/>
      <c r="T37" s="18">
        <v>0</v>
      </c>
      <c r="U37" s="18"/>
      <c r="V37" s="18">
        <f t="shared" si="4"/>
        <v>22.2</v>
      </c>
      <c r="W37" s="4"/>
      <c r="X37" s="4"/>
      <c r="Y37" s="18"/>
      <c r="Z37" s="18"/>
      <c r="AA37" s="18">
        <f t="shared" si="5"/>
        <v>14.189189189189189</v>
      </c>
      <c r="AB37" s="18">
        <f t="shared" si="6"/>
        <v>14.189189189189189</v>
      </c>
      <c r="AC37" s="18">
        <v>12.6</v>
      </c>
      <c r="AD37" s="18">
        <v>36.6</v>
      </c>
      <c r="AE37" s="18">
        <v>42.2</v>
      </c>
      <c r="AF37" s="18">
        <v>21.4</v>
      </c>
      <c r="AG37" s="18">
        <v>20.5</v>
      </c>
      <c r="AH37" s="18">
        <v>26.833333333333329</v>
      </c>
      <c r="AI37" s="18">
        <v>25.4</v>
      </c>
      <c r="AJ37" s="18">
        <v>20.8</v>
      </c>
      <c r="AK37" s="18"/>
      <c r="AL37" s="18">
        <f t="shared" si="11"/>
        <v>0</v>
      </c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1:52" x14ac:dyDescent="0.25">
      <c r="A38" s="18" t="s">
        <v>84</v>
      </c>
      <c r="B38" s="18" t="s">
        <v>42</v>
      </c>
      <c r="C38" s="18">
        <v>201.55600000000001</v>
      </c>
      <c r="D38" s="18">
        <v>796.97699999999998</v>
      </c>
      <c r="E38" s="18">
        <v>356.49200000000002</v>
      </c>
      <c r="F38" s="18">
        <v>466.86</v>
      </c>
      <c r="G38" s="7">
        <v>1</v>
      </c>
      <c r="H38" s="18">
        <v>45</v>
      </c>
      <c r="I38" s="18" t="s">
        <v>43</v>
      </c>
      <c r="J38" s="18"/>
      <c r="K38" s="18">
        <v>492.14299999999997</v>
      </c>
      <c r="L38" s="18">
        <f t="shared" ref="L38:L69" si="13">E38-K38</f>
        <v>-135.65099999999995</v>
      </c>
      <c r="M38" s="18">
        <f t="shared" ref="M38:M69" si="14">E38-N38</f>
        <v>356.49200000000002</v>
      </c>
      <c r="N38" s="18"/>
      <c r="O38" s="18"/>
      <c r="P38" s="18">
        <v>0</v>
      </c>
      <c r="Q38" s="18"/>
      <c r="R38" s="18">
        <f>IFERROR(VLOOKUP(A38,[1]Sheet!$A:$D,4,0),0)</f>
        <v>0</v>
      </c>
      <c r="S38" s="18"/>
      <c r="T38" s="18">
        <v>358.16697558666692</v>
      </c>
      <c r="U38" s="18"/>
      <c r="V38" s="18">
        <f t="shared" ref="V38:V69" si="15">M38/5</f>
        <v>71.298400000000001</v>
      </c>
      <c r="W38" s="4"/>
      <c r="X38" s="4"/>
      <c r="Y38" s="18"/>
      <c r="Z38" s="18"/>
      <c r="AA38" s="18">
        <f t="shared" ref="AA38:AA69" si="16">(F38+O38+P38+Q38+S38+T38+U38+W38)/V38</f>
        <v>11.571465496934952</v>
      </c>
      <c r="AB38" s="18">
        <f t="shared" ref="AB38:AB69" si="17">(F38+O38+P38+Q38+S38+T38+U38)/V38</f>
        <v>11.571465496934952</v>
      </c>
      <c r="AC38" s="18">
        <v>84.503</v>
      </c>
      <c r="AD38" s="18">
        <v>69.460400000000007</v>
      </c>
      <c r="AE38" s="18">
        <v>89.989599999999996</v>
      </c>
      <c r="AF38" s="18">
        <v>85.057000000000002</v>
      </c>
      <c r="AG38" s="18">
        <v>75.769833333333338</v>
      </c>
      <c r="AH38" s="18">
        <v>87.567166666666665</v>
      </c>
      <c r="AI38" s="18">
        <v>81.440799999999996</v>
      </c>
      <c r="AJ38" s="18">
        <v>76.940799999999996</v>
      </c>
      <c r="AK38" s="18"/>
      <c r="AL38" s="18">
        <f t="shared" si="11"/>
        <v>0</v>
      </c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 x14ac:dyDescent="0.25">
      <c r="A39" s="18" t="s">
        <v>85</v>
      </c>
      <c r="B39" s="18" t="s">
        <v>47</v>
      </c>
      <c r="C39" s="18">
        <v>46</v>
      </c>
      <c r="D39" s="18">
        <v>263</v>
      </c>
      <c r="E39" s="18">
        <v>95</v>
      </c>
      <c r="F39" s="18">
        <v>214</v>
      </c>
      <c r="G39" s="7">
        <v>0.1</v>
      </c>
      <c r="H39" s="18">
        <v>730</v>
      </c>
      <c r="I39" s="18" t="s">
        <v>43</v>
      </c>
      <c r="J39" s="18"/>
      <c r="K39" s="18">
        <v>150</v>
      </c>
      <c r="L39" s="18">
        <f t="shared" si="13"/>
        <v>-55</v>
      </c>
      <c r="M39" s="18">
        <f t="shared" si="14"/>
        <v>95</v>
      </c>
      <c r="N39" s="18"/>
      <c r="O39" s="18"/>
      <c r="P39" s="18">
        <v>10</v>
      </c>
      <c r="Q39" s="18"/>
      <c r="R39" s="18">
        <f>IFERROR(VLOOKUP(A39,[1]Sheet!$A:$D,4,0),0)</f>
        <v>0</v>
      </c>
      <c r="S39" s="18"/>
      <c r="T39" s="18">
        <v>0</v>
      </c>
      <c r="U39" s="18"/>
      <c r="V39" s="18">
        <f t="shared" si="15"/>
        <v>19</v>
      </c>
      <c r="W39" s="4"/>
      <c r="X39" s="4"/>
      <c r="Y39" s="18"/>
      <c r="Z39" s="18"/>
      <c r="AA39" s="18">
        <f t="shared" si="16"/>
        <v>11.789473684210526</v>
      </c>
      <c r="AB39" s="18">
        <f t="shared" si="17"/>
        <v>11.789473684210526</v>
      </c>
      <c r="AC39" s="18">
        <v>13.6</v>
      </c>
      <c r="AD39" s="18">
        <v>27.4</v>
      </c>
      <c r="AE39" s="18">
        <v>30</v>
      </c>
      <c r="AF39" s="18">
        <v>29</v>
      </c>
      <c r="AG39" s="18">
        <v>19.333333333333329</v>
      </c>
      <c r="AH39" s="18">
        <v>16.5</v>
      </c>
      <c r="AI39" s="18">
        <v>27.4</v>
      </c>
      <c r="AJ39" s="18">
        <v>27.4</v>
      </c>
      <c r="AK39" s="18"/>
      <c r="AL39" s="18">
        <f t="shared" si="11"/>
        <v>0</v>
      </c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x14ac:dyDescent="0.25">
      <c r="A40" s="18" t="s">
        <v>86</v>
      </c>
      <c r="B40" s="18" t="s">
        <v>47</v>
      </c>
      <c r="C40" s="18">
        <v>199</v>
      </c>
      <c r="D40" s="18">
        <v>182</v>
      </c>
      <c r="E40" s="18">
        <v>229</v>
      </c>
      <c r="F40" s="18">
        <v>121</v>
      </c>
      <c r="G40" s="7">
        <v>0.35</v>
      </c>
      <c r="H40" s="18">
        <v>40</v>
      </c>
      <c r="I40" s="18" t="s">
        <v>43</v>
      </c>
      <c r="J40" s="18"/>
      <c r="K40" s="18">
        <v>262</v>
      </c>
      <c r="L40" s="18">
        <f t="shared" si="13"/>
        <v>-33</v>
      </c>
      <c r="M40" s="18">
        <f t="shared" si="14"/>
        <v>229</v>
      </c>
      <c r="N40" s="18"/>
      <c r="O40" s="18"/>
      <c r="P40" s="18">
        <v>271.18549999999999</v>
      </c>
      <c r="Q40" s="18"/>
      <c r="R40" s="18">
        <f>IFERROR(VLOOKUP(A40,[1]Sheet!$A:$D,4,0),0)</f>
        <v>0</v>
      </c>
      <c r="S40" s="18"/>
      <c r="T40" s="18">
        <v>0</v>
      </c>
      <c r="U40" s="18"/>
      <c r="V40" s="18">
        <f t="shared" si="15"/>
        <v>45.8</v>
      </c>
      <c r="W40" s="4">
        <f t="shared" si="12"/>
        <v>111.61449999999996</v>
      </c>
      <c r="X40" s="4"/>
      <c r="Y40" s="18"/>
      <c r="Z40" s="18"/>
      <c r="AA40" s="18">
        <f t="shared" si="16"/>
        <v>11</v>
      </c>
      <c r="AB40" s="18">
        <f t="shared" si="17"/>
        <v>8.5630021834061143</v>
      </c>
      <c r="AC40" s="18">
        <v>39.4</v>
      </c>
      <c r="AD40" s="18">
        <v>56.4</v>
      </c>
      <c r="AE40" s="18">
        <v>39.799999999999997</v>
      </c>
      <c r="AF40" s="18">
        <v>38.799999999999997</v>
      </c>
      <c r="AG40" s="18">
        <v>47.833333333333343</v>
      </c>
      <c r="AH40" s="18">
        <v>48.5</v>
      </c>
      <c r="AI40" s="18">
        <v>56.4</v>
      </c>
      <c r="AJ40" s="18">
        <v>50</v>
      </c>
      <c r="AK40" s="18"/>
      <c r="AL40" s="18">
        <f t="shared" si="11"/>
        <v>39.065074999999986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x14ac:dyDescent="0.25">
      <c r="A41" s="18" t="s">
        <v>87</v>
      </c>
      <c r="B41" s="18" t="s">
        <v>42</v>
      </c>
      <c r="C41" s="18">
        <v>79.572000000000003</v>
      </c>
      <c r="D41" s="18"/>
      <c r="E41" s="18">
        <v>36.140999999999998</v>
      </c>
      <c r="F41" s="18">
        <v>42.704999999999998</v>
      </c>
      <c r="G41" s="7">
        <v>1</v>
      </c>
      <c r="H41" s="18">
        <v>40</v>
      </c>
      <c r="I41" s="18" t="s">
        <v>43</v>
      </c>
      <c r="J41" s="18"/>
      <c r="K41" s="18">
        <v>37.6</v>
      </c>
      <c r="L41" s="18">
        <f t="shared" si="13"/>
        <v>-1.4590000000000032</v>
      </c>
      <c r="M41" s="18">
        <f t="shared" si="14"/>
        <v>36.140999999999998</v>
      </c>
      <c r="N41" s="18"/>
      <c r="O41" s="18"/>
      <c r="P41" s="18">
        <v>0</v>
      </c>
      <c r="Q41" s="18"/>
      <c r="R41" s="18">
        <f>IFERROR(VLOOKUP(A41,[1]Sheet!$A:$D,4,0),0)</f>
        <v>0</v>
      </c>
      <c r="S41" s="18"/>
      <c r="T41" s="18">
        <v>17.646400000000011</v>
      </c>
      <c r="U41" s="18"/>
      <c r="V41" s="18">
        <f t="shared" si="15"/>
        <v>7.2281999999999993</v>
      </c>
      <c r="W41" s="4">
        <f t="shared" si="12"/>
        <v>19.158799999999985</v>
      </c>
      <c r="X41" s="4"/>
      <c r="Y41" s="18"/>
      <c r="Z41" s="18"/>
      <c r="AA41" s="18">
        <f t="shared" si="16"/>
        <v>11</v>
      </c>
      <c r="AB41" s="18">
        <f t="shared" si="17"/>
        <v>8.3494369275891671</v>
      </c>
      <c r="AC41" s="18">
        <v>6.5312000000000001</v>
      </c>
      <c r="AD41" s="18">
        <v>5.940199999999999</v>
      </c>
      <c r="AE41" s="18">
        <v>4.9160000000000004</v>
      </c>
      <c r="AF41" s="18">
        <v>4.7683999999999997</v>
      </c>
      <c r="AG41" s="18">
        <v>6.6183333333333332</v>
      </c>
      <c r="AH41" s="18">
        <v>11.930833333333331</v>
      </c>
      <c r="AI41" s="18">
        <v>11.86</v>
      </c>
      <c r="AJ41" s="18">
        <v>6.3483999999999998</v>
      </c>
      <c r="AK41" s="18"/>
      <c r="AL41" s="18">
        <f t="shared" si="11"/>
        <v>19.158799999999985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x14ac:dyDescent="0.25">
      <c r="A42" s="18" t="s">
        <v>88</v>
      </c>
      <c r="B42" s="18" t="s">
        <v>47</v>
      </c>
      <c r="C42" s="18">
        <v>80</v>
      </c>
      <c r="D42" s="18">
        <v>481</v>
      </c>
      <c r="E42" s="18">
        <v>287</v>
      </c>
      <c r="F42" s="18">
        <v>195</v>
      </c>
      <c r="G42" s="7">
        <v>0.4</v>
      </c>
      <c r="H42" s="18">
        <v>40</v>
      </c>
      <c r="I42" s="18" t="s">
        <v>43</v>
      </c>
      <c r="J42" s="18"/>
      <c r="K42" s="18">
        <v>427</v>
      </c>
      <c r="L42" s="18">
        <f t="shared" si="13"/>
        <v>-140</v>
      </c>
      <c r="M42" s="18">
        <f t="shared" si="14"/>
        <v>209</v>
      </c>
      <c r="N42" s="18">
        <v>78</v>
      </c>
      <c r="O42" s="18"/>
      <c r="P42" s="18">
        <v>186.6</v>
      </c>
      <c r="Q42" s="18"/>
      <c r="R42" s="18">
        <f>IFERROR(VLOOKUP(A42,[1]Sheet!$A:$D,4,0),0)</f>
        <v>143</v>
      </c>
      <c r="S42" s="18"/>
      <c r="T42" s="18">
        <v>19.60000000000008</v>
      </c>
      <c r="U42" s="18"/>
      <c r="V42" s="18">
        <f t="shared" si="15"/>
        <v>41.8</v>
      </c>
      <c r="W42" s="4">
        <f t="shared" si="12"/>
        <v>58.599999999999881</v>
      </c>
      <c r="X42" s="4"/>
      <c r="Y42" s="18"/>
      <c r="Z42" s="18"/>
      <c r="AA42" s="18">
        <f t="shared" si="16"/>
        <v>11</v>
      </c>
      <c r="AB42" s="18">
        <f t="shared" si="17"/>
        <v>9.5980861244019167</v>
      </c>
      <c r="AC42" s="18">
        <v>44.2</v>
      </c>
      <c r="AD42" s="18">
        <v>52.8</v>
      </c>
      <c r="AE42" s="18">
        <v>44.6</v>
      </c>
      <c r="AF42" s="18">
        <v>27.8</v>
      </c>
      <c r="AG42" s="18">
        <v>34.833333333333343</v>
      </c>
      <c r="AH42" s="18">
        <v>43.166666666666657</v>
      </c>
      <c r="AI42" s="18">
        <v>35.4</v>
      </c>
      <c r="AJ42" s="18">
        <v>42</v>
      </c>
      <c r="AK42" s="18"/>
      <c r="AL42" s="18">
        <f t="shared" si="11"/>
        <v>23.439999999999955</v>
      </c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x14ac:dyDescent="0.25">
      <c r="A43" s="18" t="s">
        <v>89</v>
      </c>
      <c r="B43" s="18" t="s">
        <v>47</v>
      </c>
      <c r="C43" s="18">
        <v>160</v>
      </c>
      <c r="D43" s="18">
        <v>737</v>
      </c>
      <c r="E43" s="18">
        <v>467</v>
      </c>
      <c r="F43" s="18">
        <v>304</v>
      </c>
      <c r="G43" s="7">
        <v>0.4</v>
      </c>
      <c r="H43" s="18">
        <v>45</v>
      </c>
      <c r="I43" s="18" t="s">
        <v>43</v>
      </c>
      <c r="J43" s="18"/>
      <c r="K43" s="18">
        <v>597</v>
      </c>
      <c r="L43" s="18">
        <f t="shared" si="13"/>
        <v>-130</v>
      </c>
      <c r="M43" s="18">
        <f t="shared" si="14"/>
        <v>467</v>
      </c>
      <c r="N43" s="18"/>
      <c r="O43" s="18"/>
      <c r="P43" s="18">
        <v>478.90000000000009</v>
      </c>
      <c r="Q43" s="18"/>
      <c r="R43" s="18">
        <f>IFERROR(VLOOKUP(A43,[1]Sheet!$A:$D,4,0),0)</f>
        <v>168</v>
      </c>
      <c r="S43" s="18"/>
      <c r="T43" s="18">
        <v>121.9865199999999</v>
      </c>
      <c r="U43" s="18"/>
      <c r="V43" s="18">
        <f t="shared" si="15"/>
        <v>93.4</v>
      </c>
      <c r="W43" s="4">
        <f t="shared" si="12"/>
        <v>122.51348000000007</v>
      </c>
      <c r="X43" s="4"/>
      <c r="Y43" s="18"/>
      <c r="Z43" s="18"/>
      <c r="AA43" s="18">
        <f t="shared" si="16"/>
        <v>11</v>
      </c>
      <c r="AB43" s="18">
        <f t="shared" si="17"/>
        <v>9.6882925053533189</v>
      </c>
      <c r="AC43" s="18">
        <v>88.8</v>
      </c>
      <c r="AD43" s="18">
        <v>105</v>
      </c>
      <c r="AE43" s="18">
        <v>73.8</v>
      </c>
      <c r="AF43" s="18">
        <v>76</v>
      </c>
      <c r="AG43" s="18">
        <v>61.666666666666657</v>
      </c>
      <c r="AH43" s="18">
        <v>62.5</v>
      </c>
      <c r="AI43" s="18">
        <v>64.400000000000006</v>
      </c>
      <c r="AJ43" s="18">
        <v>71.400000000000006</v>
      </c>
      <c r="AK43" s="18" t="s">
        <v>48</v>
      </c>
      <c r="AL43" s="18">
        <f t="shared" si="11"/>
        <v>49.005392000000029</v>
      </c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x14ac:dyDescent="0.25">
      <c r="A44" s="18" t="s">
        <v>90</v>
      </c>
      <c r="B44" s="18" t="s">
        <v>42</v>
      </c>
      <c r="C44" s="18">
        <v>7.7190000000000003</v>
      </c>
      <c r="D44" s="18">
        <v>148.839</v>
      </c>
      <c r="E44" s="18">
        <v>54.631</v>
      </c>
      <c r="F44" s="18">
        <v>82.947000000000003</v>
      </c>
      <c r="G44" s="7">
        <v>1</v>
      </c>
      <c r="H44" s="18">
        <v>40</v>
      </c>
      <c r="I44" s="18" t="s">
        <v>43</v>
      </c>
      <c r="J44" s="18"/>
      <c r="K44" s="18">
        <v>138.72999999999999</v>
      </c>
      <c r="L44" s="18">
        <f t="shared" si="13"/>
        <v>-84.09899999999999</v>
      </c>
      <c r="M44" s="18">
        <f t="shared" si="14"/>
        <v>37.100999999999999</v>
      </c>
      <c r="N44" s="18">
        <v>17.53</v>
      </c>
      <c r="O44" s="18"/>
      <c r="P44" s="18">
        <v>50.027400000000007</v>
      </c>
      <c r="Q44" s="18"/>
      <c r="R44" s="18">
        <f>IFERROR(VLOOKUP(A44,[1]Sheet!$A:$D,4,0),0)</f>
        <v>0</v>
      </c>
      <c r="S44" s="18"/>
      <c r="T44" s="18">
        <v>0</v>
      </c>
      <c r="U44" s="18"/>
      <c r="V44" s="18">
        <f t="shared" si="15"/>
        <v>7.4201999999999995</v>
      </c>
      <c r="W44" s="4"/>
      <c r="X44" s="4"/>
      <c r="Y44" s="18"/>
      <c r="Z44" s="18"/>
      <c r="AA44" s="18">
        <f t="shared" si="16"/>
        <v>17.920595132206682</v>
      </c>
      <c r="AB44" s="18">
        <f t="shared" si="17"/>
        <v>17.920595132206682</v>
      </c>
      <c r="AC44" s="18">
        <v>8.9526000000000003</v>
      </c>
      <c r="AD44" s="18">
        <v>16.769400000000001</v>
      </c>
      <c r="AE44" s="18">
        <v>15.831</v>
      </c>
      <c r="AF44" s="18">
        <v>10.4956</v>
      </c>
      <c r="AG44" s="18">
        <v>9.793666666666665</v>
      </c>
      <c r="AH44" s="18">
        <v>15.25633333333333</v>
      </c>
      <c r="AI44" s="18">
        <v>14.3988</v>
      </c>
      <c r="AJ44" s="18">
        <v>18.870199999999819</v>
      </c>
      <c r="AK44" s="18"/>
      <c r="AL44" s="18">
        <f t="shared" si="11"/>
        <v>0</v>
      </c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 x14ac:dyDescent="0.25">
      <c r="A45" s="18" t="s">
        <v>91</v>
      </c>
      <c r="B45" s="18" t="s">
        <v>47</v>
      </c>
      <c r="C45" s="18">
        <v>1184</v>
      </c>
      <c r="D45" s="18">
        <v>365</v>
      </c>
      <c r="E45" s="18">
        <v>1447</v>
      </c>
      <c r="F45" s="18">
        <v>54</v>
      </c>
      <c r="G45" s="7">
        <v>0.35</v>
      </c>
      <c r="H45" s="18">
        <v>40</v>
      </c>
      <c r="I45" s="10" t="s">
        <v>92</v>
      </c>
      <c r="J45" s="18"/>
      <c r="K45" s="18">
        <v>1488</v>
      </c>
      <c r="L45" s="18">
        <f t="shared" si="13"/>
        <v>-41</v>
      </c>
      <c r="M45" s="18">
        <f t="shared" si="14"/>
        <v>1447</v>
      </c>
      <c r="N45" s="18"/>
      <c r="O45" s="18"/>
      <c r="P45" s="18">
        <v>492.8</v>
      </c>
      <c r="Q45" s="18"/>
      <c r="R45" s="18">
        <f>IFERROR(VLOOKUP(A45,[1]Sheet!$A:$D,4,0),0)</f>
        <v>0</v>
      </c>
      <c r="S45" s="18">
        <v>600</v>
      </c>
      <c r="T45" s="18">
        <v>575.20000000000005</v>
      </c>
      <c r="U45" s="18"/>
      <c r="V45" s="18">
        <f t="shared" si="15"/>
        <v>289.39999999999998</v>
      </c>
      <c r="W45" s="4">
        <f>10*V45-U45-T45-S45-Q45-P45-O45-F45</f>
        <v>1172.0000000000002</v>
      </c>
      <c r="X45" s="4"/>
      <c r="Y45" s="18"/>
      <c r="Z45" s="18"/>
      <c r="AA45" s="18">
        <f t="shared" si="16"/>
        <v>10</v>
      </c>
      <c r="AB45" s="18">
        <f t="shared" si="17"/>
        <v>5.9502418797512098</v>
      </c>
      <c r="AC45" s="18">
        <v>248.8</v>
      </c>
      <c r="AD45" s="18">
        <v>221.2</v>
      </c>
      <c r="AE45" s="18">
        <v>208.8</v>
      </c>
      <c r="AF45" s="18">
        <v>127.2</v>
      </c>
      <c r="AG45" s="18">
        <v>116.1666666666667</v>
      </c>
      <c r="AH45" s="18">
        <v>140.33333333333329</v>
      </c>
      <c r="AI45" s="18">
        <v>130.19999999999999</v>
      </c>
      <c r="AJ45" s="18">
        <v>104.8</v>
      </c>
      <c r="AK45" s="18" t="s">
        <v>54</v>
      </c>
      <c r="AL45" s="18">
        <f t="shared" si="11"/>
        <v>410.20000000000005</v>
      </c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 x14ac:dyDescent="0.25">
      <c r="A46" s="18" t="s">
        <v>93</v>
      </c>
      <c r="B46" s="18" t="s">
        <v>47</v>
      </c>
      <c r="C46" s="18">
        <v>284</v>
      </c>
      <c r="D46" s="18">
        <v>387</v>
      </c>
      <c r="E46" s="18">
        <v>444</v>
      </c>
      <c r="F46" s="18">
        <v>165</v>
      </c>
      <c r="G46" s="7">
        <v>0.4</v>
      </c>
      <c r="H46" s="18">
        <v>40</v>
      </c>
      <c r="I46" s="18" t="s">
        <v>43</v>
      </c>
      <c r="J46" s="18"/>
      <c r="K46" s="18">
        <v>498</v>
      </c>
      <c r="L46" s="18">
        <f t="shared" si="13"/>
        <v>-54</v>
      </c>
      <c r="M46" s="18">
        <f t="shared" si="14"/>
        <v>444</v>
      </c>
      <c r="N46" s="18"/>
      <c r="O46" s="18"/>
      <c r="P46" s="18">
        <v>99.43333333333328</v>
      </c>
      <c r="Q46" s="18"/>
      <c r="R46" s="18">
        <f>IFERROR(VLOOKUP(A46,[1]Sheet!$A:$D,4,0),0)</f>
        <v>0</v>
      </c>
      <c r="S46" s="18"/>
      <c r="T46" s="18">
        <v>636.5758000000003</v>
      </c>
      <c r="U46" s="18"/>
      <c r="V46" s="18">
        <f t="shared" si="15"/>
        <v>88.8</v>
      </c>
      <c r="W46" s="4">
        <f t="shared" si="12"/>
        <v>75.790866666666375</v>
      </c>
      <c r="X46" s="4"/>
      <c r="Y46" s="18"/>
      <c r="Z46" s="18"/>
      <c r="AA46" s="18">
        <f t="shared" si="16"/>
        <v>11</v>
      </c>
      <c r="AB46" s="18">
        <f t="shared" si="17"/>
        <v>10.146499249249253</v>
      </c>
      <c r="AC46" s="18">
        <v>88.4</v>
      </c>
      <c r="AD46" s="18">
        <v>62.8</v>
      </c>
      <c r="AE46" s="18">
        <v>64.599999999999994</v>
      </c>
      <c r="AF46" s="18">
        <v>81.2</v>
      </c>
      <c r="AG46" s="18">
        <v>66.333333333333329</v>
      </c>
      <c r="AH46" s="18">
        <v>53.833333333333343</v>
      </c>
      <c r="AI46" s="18">
        <v>54.2</v>
      </c>
      <c r="AJ46" s="18">
        <v>73.8</v>
      </c>
      <c r="AK46" s="18" t="s">
        <v>48</v>
      </c>
      <c r="AL46" s="18">
        <f t="shared" si="11"/>
        <v>30.316346666666551</v>
      </c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 x14ac:dyDescent="0.25">
      <c r="A47" s="18" t="s">
        <v>94</v>
      </c>
      <c r="B47" s="18" t="s">
        <v>42</v>
      </c>
      <c r="C47" s="18">
        <v>59.125999999999998</v>
      </c>
      <c r="D47" s="18">
        <v>107.45099999999999</v>
      </c>
      <c r="E47" s="18">
        <v>135.80799999999999</v>
      </c>
      <c r="F47" s="18">
        <v>2.3769999999999998</v>
      </c>
      <c r="G47" s="7">
        <v>1</v>
      </c>
      <c r="H47" s="18">
        <v>50</v>
      </c>
      <c r="I47" s="18" t="s">
        <v>43</v>
      </c>
      <c r="J47" s="18"/>
      <c r="K47" s="18">
        <v>150.839</v>
      </c>
      <c r="L47" s="18">
        <f t="shared" si="13"/>
        <v>-15.031000000000006</v>
      </c>
      <c r="M47" s="18">
        <f t="shared" si="14"/>
        <v>114.169</v>
      </c>
      <c r="N47" s="18">
        <v>21.638999999999999</v>
      </c>
      <c r="O47" s="18"/>
      <c r="P47" s="18">
        <v>85.137375999999961</v>
      </c>
      <c r="Q47" s="18"/>
      <c r="R47" s="18">
        <f>IFERROR(VLOOKUP(A47,[1]Sheet!$A:$D,4,0),0)</f>
        <v>0</v>
      </c>
      <c r="S47" s="18"/>
      <c r="T47" s="18">
        <v>129.90922399999999</v>
      </c>
      <c r="U47" s="18"/>
      <c r="V47" s="18">
        <f t="shared" si="15"/>
        <v>22.8338</v>
      </c>
      <c r="W47" s="4">
        <f t="shared" si="12"/>
        <v>33.748200000000033</v>
      </c>
      <c r="X47" s="4"/>
      <c r="Y47" s="18"/>
      <c r="Z47" s="18"/>
      <c r="AA47" s="18">
        <f t="shared" si="16"/>
        <v>11</v>
      </c>
      <c r="AB47" s="18">
        <f t="shared" si="17"/>
        <v>9.5220068494950461</v>
      </c>
      <c r="AC47" s="18">
        <v>23.579799999999999</v>
      </c>
      <c r="AD47" s="18">
        <v>19.018599999999999</v>
      </c>
      <c r="AE47" s="18">
        <v>19.779399999999999</v>
      </c>
      <c r="AF47" s="18">
        <v>20.9544</v>
      </c>
      <c r="AG47" s="18">
        <v>22.292999999999999</v>
      </c>
      <c r="AH47" s="18">
        <v>25.291166666666669</v>
      </c>
      <c r="AI47" s="18">
        <v>11.3508</v>
      </c>
      <c r="AJ47" s="18">
        <v>29.2</v>
      </c>
      <c r="AK47" s="18"/>
      <c r="AL47" s="18">
        <f t="shared" si="11"/>
        <v>33.748200000000033</v>
      </c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 x14ac:dyDescent="0.25">
      <c r="A48" s="18" t="s">
        <v>95</v>
      </c>
      <c r="B48" s="18" t="s">
        <v>42</v>
      </c>
      <c r="C48" s="18">
        <v>244.81</v>
      </c>
      <c r="D48" s="18">
        <v>590.101</v>
      </c>
      <c r="E48" s="18">
        <v>604.15200000000004</v>
      </c>
      <c r="F48" s="18">
        <v>106.559</v>
      </c>
      <c r="G48" s="7">
        <v>1</v>
      </c>
      <c r="H48" s="18">
        <v>50</v>
      </c>
      <c r="I48" s="18" t="s">
        <v>43</v>
      </c>
      <c r="J48" s="18"/>
      <c r="K48" s="18">
        <v>668.03399999999999</v>
      </c>
      <c r="L48" s="18">
        <f t="shared" si="13"/>
        <v>-63.881999999999948</v>
      </c>
      <c r="M48" s="18">
        <f t="shared" si="14"/>
        <v>518.11800000000005</v>
      </c>
      <c r="N48" s="18">
        <v>86.034000000000006</v>
      </c>
      <c r="O48" s="18">
        <v>150</v>
      </c>
      <c r="P48" s="18">
        <v>427.36757499999999</v>
      </c>
      <c r="Q48" s="18"/>
      <c r="R48" s="18">
        <f>IFERROR(VLOOKUP(A48,[1]Sheet!$A:$D,4,0),0)</f>
        <v>0</v>
      </c>
      <c r="S48" s="18"/>
      <c r="T48" s="18">
        <v>383.61045175833311</v>
      </c>
      <c r="U48" s="18">
        <v>197.0514</v>
      </c>
      <c r="V48" s="18">
        <f t="shared" si="15"/>
        <v>103.62360000000001</v>
      </c>
      <c r="W48" s="4"/>
      <c r="X48" s="4"/>
      <c r="Y48" s="18"/>
      <c r="Z48" s="18"/>
      <c r="AA48" s="18">
        <f t="shared" si="16"/>
        <v>12.203672008676913</v>
      </c>
      <c r="AB48" s="18">
        <f t="shared" si="17"/>
        <v>12.203672008676913</v>
      </c>
      <c r="AC48" s="18">
        <v>104.26</v>
      </c>
      <c r="AD48" s="18">
        <v>94.624799999999993</v>
      </c>
      <c r="AE48" s="18">
        <v>82.347399999999993</v>
      </c>
      <c r="AF48" s="18">
        <v>89.943399999999983</v>
      </c>
      <c r="AG48" s="18">
        <v>92.93983333333334</v>
      </c>
      <c r="AH48" s="18">
        <v>118.5981666666667</v>
      </c>
      <c r="AI48" s="18">
        <v>107.2774</v>
      </c>
      <c r="AJ48" s="18">
        <v>87.752600000000001</v>
      </c>
      <c r="AK48" s="18"/>
      <c r="AL48" s="18">
        <f t="shared" si="11"/>
        <v>0</v>
      </c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 x14ac:dyDescent="0.25">
      <c r="A49" s="18" t="s">
        <v>96</v>
      </c>
      <c r="B49" s="18" t="s">
        <v>42</v>
      </c>
      <c r="C49" s="18"/>
      <c r="D49" s="18"/>
      <c r="E49" s="18"/>
      <c r="F49" s="18"/>
      <c r="G49" s="7">
        <v>1</v>
      </c>
      <c r="H49" s="18">
        <v>40</v>
      </c>
      <c r="I49" s="18" t="s">
        <v>43</v>
      </c>
      <c r="J49" s="18"/>
      <c r="K49" s="18"/>
      <c r="L49" s="18">
        <f t="shared" si="13"/>
        <v>0</v>
      </c>
      <c r="M49" s="18">
        <f t="shared" si="14"/>
        <v>0</v>
      </c>
      <c r="N49" s="18"/>
      <c r="O49" s="18"/>
      <c r="P49" s="18">
        <v>200</v>
      </c>
      <c r="Q49" s="18"/>
      <c r="R49" s="18">
        <f>IFERROR(VLOOKUP(A49,[1]Sheet!$A:$D,4,0),0)</f>
        <v>0</v>
      </c>
      <c r="S49" s="18"/>
      <c r="T49" s="18">
        <v>0</v>
      </c>
      <c r="U49" s="18"/>
      <c r="V49" s="18">
        <f t="shared" si="15"/>
        <v>0</v>
      </c>
      <c r="W49" s="4"/>
      <c r="X49" s="4"/>
      <c r="Y49" s="18"/>
      <c r="Z49" s="18"/>
      <c r="AA49" s="18" t="e">
        <f t="shared" si="16"/>
        <v>#DIV/0!</v>
      </c>
      <c r="AB49" s="18" t="e">
        <f t="shared" si="17"/>
        <v>#DIV/0!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 t="s">
        <v>75</v>
      </c>
      <c r="AL49" s="18">
        <f t="shared" si="11"/>
        <v>0</v>
      </c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 x14ac:dyDescent="0.25">
      <c r="A50" s="11" t="s">
        <v>97</v>
      </c>
      <c r="B50" s="11" t="s">
        <v>47</v>
      </c>
      <c r="C50" s="11">
        <v>35</v>
      </c>
      <c r="D50" s="11"/>
      <c r="E50" s="11">
        <v>23</v>
      </c>
      <c r="F50" s="11">
        <v>12</v>
      </c>
      <c r="G50" s="12">
        <v>0</v>
      </c>
      <c r="H50" s="11" t="e">
        <v>#N/A</v>
      </c>
      <c r="I50" s="11" t="s">
        <v>63</v>
      </c>
      <c r="J50" s="11"/>
      <c r="K50" s="11">
        <v>39</v>
      </c>
      <c r="L50" s="11">
        <f t="shared" si="13"/>
        <v>-16</v>
      </c>
      <c r="M50" s="11">
        <f t="shared" si="14"/>
        <v>23</v>
      </c>
      <c r="N50" s="11"/>
      <c r="O50" s="11"/>
      <c r="P50" s="11">
        <v>0</v>
      </c>
      <c r="Q50" s="11"/>
      <c r="R50" s="11">
        <f>IFERROR(VLOOKUP(A50,[1]Sheet!$A:$D,4,0),0)</f>
        <v>0</v>
      </c>
      <c r="S50" s="11"/>
      <c r="T50" s="11">
        <v>0</v>
      </c>
      <c r="U50" s="11"/>
      <c r="V50" s="11">
        <f t="shared" si="15"/>
        <v>4.5999999999999996</v>
      </c>
      <c r="W50" s="13"/>
      <c r="X50" s="13"/>
      <c r="Y50" s="11"/>
      <c r="Z50" s="11"/>
      <c r="AA50" s="11">
        <f t="shared" si="16"/>
        <v>2.6086956521739131</v>
      </c>
      <c r="AB50" s="11">
        <f t="shared" si="17"/>
        <v>2.6086956521739131</v>
      </c>
      <c r="AC50" s="11">
        <v>5.4</v>
      </c>
      <c r="AD50" s="11">
        <v>6.4</v>
      </c>
      <c r="AE50" s="11">
        <v>7.6</v>
      </c>
      <c r="AF50" s="11">
        <v>8.8000000000000007</v>
      </c>
      <c r="AG50" s="11">
        <v>5.333333333333333</v>
      </c>
      <c r="AH50" s="11">
        <v>1.833333333333333</v>
      </c>
      <c r="AI50" s="11">
        <v>0</v>
      </c>
      <c r="AJ50" s="11">
        <v>0</v>
      </c>
      <c r="AK50" s="11" t="s">
        <v>98</v>
      </c>
      <c r="AL50" s="11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x14ac:dyDescent="0.25">
      <c r="A51" s="18" t="s">
        <v>99</v>
      </c>
      <c r="B51" s="18" t="s">
        <v>47</v>
      </c>
      <c r="C51" s="18">
        <v>179</v>
      </c>
      <c r="D51" s="18">
        <v>214</v>
      </c>
      <c r="E51" s="18">
        <v>398</v>
      </c>
      <c r="F51" s="18">
        <v>6</v>
      </c>
      <c r="G51" s="7">
        <v>0.45</v>
      </c>
      <c r="H51" s="18">
        <v>50</v>
      </c>
      <c r="I51" s="18" t="s">
        <v>43</v>
      </c>
      <c r="J51" s="18"/>
      <c r="K51" s="18">
        <v>468</v>
      </c>
      <c r="L51" s="18">
        <f t="shared" si="13"/>
        <v>-70</v>
      </c>
      <c r="M51" s="18">
        <f t="shared" si="14"/>
        <v>388</v>
      </c>
      <c r="N51" s="18">
        <v>10</v>
      </c>
      <c r="O51" s="18">
        <v>200</v>
      </c>
      <c r="P51" s="18">
        <v>297.35000000000008</v>
      </c>
      <c r="Q51" s="18"/>
      <c r="R51" s="18">
        <f>IFERROR(VLOOKUP(A51,[1]Sheet!$A:$D,4,0),0)</f>
        <v>0</v>
      </c>
      <c r="S51" s="18"/>
      <c r="T51" s="18">
        <v>0</v>
      </c>
      <c r="U51" s="18">
        <v>99.791999999999987</v>
      </c>
      <c r="V51" s="18">
        <f t="shared" si="15"/>
        <v>77.599999999999994</v>
      </c>
      <c r="W51" s="4">
        <f>11*V51-U51-T51-S51-Q51-P51-O51-F51</f>
        <v>250.4579999999998</v>
      </c>
      <c r="X51" s="4"/>
      <c r="Y51" s="18"/>
      <c r="Z51" s="18"/>
      <c r="AA51" s="18">
        <f t="shared" si="16"/>
        <v>11</v>
      </c>
      <c r="AB51" s="18">
        <f t="shared" si="17"/>
        <v>7.7724484536082485</v>
      </c>
      <c r="AC51" s="18">
        <v>52.8</v>
      </c>
      <c r="AD51" s="18">
        <v>65.400000000000006</v>
      </c>
      <c r="AE51" s="18">
        <v>59.6</v>
      </c>
      <c r="AF51" s="18">
        <v>40.200000000000003</v>
      </c>
      <c r="AG51" s="18">
        <v>41.5</v>
      </c>
      <c r="AH51" s="18">
        <v>56.666666666666657</v>
      </c>
      <c r="AI51" s="18">
        <v>60.4</v>
      </c>
      <c r="AJ51" s="18">
        <v>44.512199999999993</v>
      </c>
      <c r="AK51" s="18" t="s">
        <v>48</v>
      </c>
      <c r="AL51" s="18">
        <f>G51*W51</f>
        <v>112.70609999999991</v>
      </c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1:52" x14ac:dyDescent="0.25">
      <c r="A52" s="11" t="s">
        <v>100</v>
      </c>
      <c r="B52" s="11" t="s">
        <v>47</v>
      </c>
      <c r="C52" s="11">
        <v>4</v>
      </c>
      <c r="D52" s="11"/>
      <c r="E52" s="11">
        <v>1</v>
      </c>
      <c r="F52" s="11">
        <v>3</v>
      </c>
      <c r="G52" s="12">
        <v>0</v>
      </c>
      <c r="H52" s="11" t="e">
        <v>#N/A</v>
      </c>
      <c r="I52" s="11" t="s">
        <v>63</v>
      </c>
      <c r="J52" s="11"/>
      <c r="K52" s="11">
        <v>4</v>
      </c>
      <c r="L52" s="11">
        <f t="shared" si="13"/>
        <v>-3</v>
      </c>
      <c r="M52" s="11">
        <f t="shared" si="14"/>
        <v>1</v>
      </c>
      <c r="N52" s="11"/>
      <c r="O52" s="11"/>
      <c r="P52" s="11">
        <v>0</v>
      </c>
      <c r="Q52" s="11"/>
      <c r="R52" s="11">
        <f>IFERROR(VLOOKUP(A52,[1]Sheet!$A:$D,4,0),0)</f>
        <v>0</v>
      </c>
      <c r="S52" s="11"/>
      <c r="T52" s="11">
        <v>0</v>
      </c>
      <c r="U52" s="11"/>
      <c r="V52" s="11">
        <f t="shared" si="15"/>
        <v>0.2</v>
      </c>
      <c r="W52" s="13"/>
      <c r="X52" s="13"/>
      <c r="Y52" s="11"/>
      <c r="Z52" s="11"/>
      <c r="AA52" s="11">
        <f t="shared" si="16"/>
        <v>15</v>
      </c>
      <c r="AB52" s="11">
        <f t="shared" si="17"/>
        <v>15</v>
      </c>
      <c r="AC52" s="11">
        <v>0.2</v>
      </c>
      <c r="AD52" s="11">
        <v>1.4</v>
      </c>
      <c r="AE52" s="11">
        <v>3.2</v>
      </c>
      <c r="AF52" s="11">
        <v>4</v>
      </c>
      <c r="AG52" s="11">
        <v>3.5</v>
      </c>
      <c r="AH52" s="11">
        <v>3.5</v>
      </c>
      <c r="AI52" s="11">
        <v>0</v>
      </c>
      <c r="AJ52" s="11">
        <v>0</v>
      </c>
      <c r="AK52" s="11" t="s">
        <v>98</v>
      </c>
      <c r="AL52" s="11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1:52" x14ac:dyDescent="0.25">
      <c r="A53" s="18" t="s">
        <v>101</v>
      </c>
      <c r="B53" s="18" t="s">
        <v>47</v>
      </c>
      <c r="C53" s="18">
        <v>-1</v>
      </c>
      <c r="D53" s="18">
        <v>171</v>
      </c>
      <c r="E53" s="18">
        <v>36</v>
      </c>
      <c r="F53" s="18">
        <v>111</v>
      </c>
      <c r="G53" s="7">
        <v>0.4</v>
      </c>
      <c r="H53" s="18">
        <v>40</v>
      </c>
      <c r="I53" s="18" t="s">
        <v>43</v>
      </c>
      <c r="J53" s="18"/>
      <c r="K53" s="18">
        <v>66</v>
      </c>
      <c r="L53" s="18">
        <f t="shared" si="13"/>
        <v>-30</v>
      </c>
      <c r="M53" s="18">
        <f t="shared" si="14"/>
        <v>36</v>
      </c>
      <c r="N53" s="18"/>
      <c r="O53" s="18"/>
      <c r="P53" s="18">
        <v>0</v>
      </c>
      <c r="Q53" s="18"/>
      <c r="R53" s="18">
        <f>IFERROR(VLOOKUP(A53,[1]Sheet!$A:$D,4,0),0)</f>
        <v>0</v>
      </c>
      <c r="S53" s="18"/>
      <c r="T53" s="18">
        <v>0</v>
      </c>
      <c r="U53" s="18"/>
      <c r="V53" s="18">
        <f t="shared" si="15"/>
        <v>7.2</v>
      </c>
      <c r="W53" s="4"/>
      <c r="X53" s="4"/>
      <c r="Y53" s="18"/>
      <c r="Z53" s="18"/>
      <c r="AA53" s="18">
        <f t="shared" si="16"/>
        <v>15.416666666666666</v>
      </c>
      <c r="AB53" s="18">
        <f t="shared" si="17"/>
        <v>15.416666666666666</v>
      </c>
      <c r="AC53" s="18">
        <v>4.5999999999999996</v>
      </c>
      <c r="AD53" s="18">
        <v>13</v>
      </c>
      <c r="AE53" s="18">
        <v>15</v>
      </c>
      <c r="AF53" s="18">
        <v>14.2</v>
      </c>
      <c r="AG53" s="18">
        <v>8.8333333333333339</v>
      </c>
      <c r="AH53" s="18">
        <v>7.833333333333333</v>
      </c>
      <c r="AI53" s="18">
        <v>10.6</v>
      </c>
      <c r="AJ53" s="18">
        <v>12.6</v>
      </c>
      <c r="AK53" s="18"/>
      <c r="AL53" s="18">
        <f t="shared" ref="AL53:AL70" si="18">G53*W53</f>
        <v>0</v>
      </c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1:52" x14ac:dyDescent="0.25">
      <c r="A54" s="18" t="s">
        <v>102</v>
      </c>
      <c r="B54" s="18" t="s">
        <v>47</v>
      </c>
      <c r="C54" s="18">
        <v>58</v>
      </c>
      <c r="D54" s="18">
        <v>35</v>
      </c>
      <c r="E54" s="18">
        <v>89</v>
      </c>
      <c r="F54" s="18">
        <v>3</v>
      </c>
      <c r="G54" s="7">
        <v>0.4</v>
      </c>
      <c r="H54" s="18">
        <v>40</v>
      </c>
      <c r="I54" s="18" t="s">
        <v>43</v>
      </c>
      <c r="J54" s="18"/>
      <c r="K54" s="18">
        <v>103</v>
      </c>
      <c r="L54" s="18">
        <f t="shared" si="13"/>
        <v>-14</v>
      </c>
      <c r="M54" s="18">
        <f t="shared" si="14"/>
        <v>89</v>
      </c>
      <c r="N54" s="18"/>
      <c r="O54" s="18"/>
      <c r="P54" s="18">
        <v>68.800000000000011</v>
      </c>
      <c r="Q54" s="18"/>
      <c r="R54" s="18">
        <f>IFERROR(VLOOKUP(A54,[1]Sheet!$A:$D,4,0),0)</f>
        <v>0</v>
      </c>
      <c r="S54" s="18"/>
      <c r="T54" s="18">
        <v>150.6</v>
      </c>
      <c r="U54" s="18"/>
      <c r="V54" s="18">
        <f t="shared" si="15"/>
        <v>17.8</v>
      </c>
      <c r="W54" s="4"/>
      <c r="X54" s="4"/>
      <c r="Y54" s="18"/>
      <c r="Z54" s="18"/>
      <c r="AA54" s="18">
        <f t="shared" si="16"/>
        <v>12.49438202247191</v>
      </c>
      <c r="AB54" s="18">
        <f t="shared" si="17"/>
        <v>12.49438202247191</v>
      </c>
      <c r="AC54" s="18">
        <v>22.4</v>
      </c>
      <c r="AD54" s="18">
        <v>13.8</v>
      </c>
      <c r="AE54" s="18">
        <v>10.199999999999999</v>
      </c>
      <c r="AF54" s="18">
        <v>16</v>
      </c>
      <c r="AG54" s="18">
        <v>16</v>
      </c>
      <c r="AH54" s="18">
        <v>12.33333333333333</v>
      </c>
      <c r="AI54" s="18">
        <v>9.8000000000000007</v>
      </c>
      <c r="AJ54" s="18">
        <v>15.4</v>
      </c>
      <c r="AK54" s="18" t="s">
        <v>103</v>
      </c>
      <c r="AL54" s="18">
        <f t="shared" si="18"/>
        <v>0</v>
      </c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1:52" x14ac:dyDescent="0.25">
      <c r="A55" s="18" t="s">
        <v>104</v>
      </c>
      <c r="B55" s="18" t="s">
        <v>42</v>
      </c>
      <c r="C55" s="18">
        <v>140.304</v>
      </c>
      <c r="D55" s="18">
        <v>119.121</v>
      </c>
      <c r="E55" s="18">
        <v>143.27000000000001</v>
      </c>
      <c r="F55" s="18">
        <v>3.173</v>
      </c>
      <c r="G55" s="7">
        <v>1</v>
      </c>
      <c r="H55" s="18">
        <v>50</v>
      </c>
      <c r="I55" s="18" t="s">
        <v>43</v>
      </c>
      <c r="J55" s="18"/>
      <c r="K55" s="18">
        <v>225.03200000000001</v>
      </c>
      <c r="L55" s="18">
        <f t="shared" si="13"/>
        <v>-81.762</v>
      </c>
      <c r="M55" s="18">
        <f t="shared" si="14"/>
        <v>100.73800000000001</v>
      </c>
      <c r="N55" s="18">
        <v>42.531999999999996</v>
      </c>
      <c r="O55" s="18"/>
      <c r="P55" s="18">
        <v>222.8766</v>
      </c>
      <c r="Q55" s="18"/>
      <c r="R55" s="18">
        <f>IFERROR(VLOOKUP(A55,[1]Sheet!$A:$D,4,0),0)</f>
        <v>0</v>
      </c>
      <c r="S55" s="18"/>
      <c r="T55" s="18">
        <v>286.52830000000012</v>
      </c>
      <c r="U55" s="18"/>
      <c r="V55" s="18">
        <f t="shared" si="15"/>
        <v>20.147600000000004</v>
      </c>
      <c r="W55" s="4"/>
      <c r="X55" s="4"/>
      <c r="Y55" s="18"/>
      <c r="Z55" s="18"/>
      <c r="AA55" s="18">
        <f t="shared" si="16"/>
        <v>25.441139391292264</v>
      </c>
      <c r="AB55" s="18">
        <f t="shared" si="17"/>
        <v>25.441139391292264</v>
      </c>
      <c r="AC55" s="18">
        <v>41.025399999999998</v>
      </c>
      <c r="AD55" s="18">
        <v>40.353400000000001</v>
      </c>
      <c r="AE55" s="18">
        <v>10.4498</v>
      </c>
      <c r="AF55" s="18">
        <v>19.356200000000001</v>
      </c>
      <c r="AG55" s="18">
        <v>39.077166666666663</v>
      </c>
      <c r="AH55" s="18">
        <v>52.681666666666672</v>
      </c>
      <c r="AI55" s="18">
        <v>34.299999999999997</v>
      </c>
      <c r="AJ55" s="18">
        <v>24.556799999999999</v>
      </c>
      <c r="AK55" s="18"/>
      <c r="AL55" s="18">
        <f t="shared" si="18"/>
        <v>0</v>
      </c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1:52" x14ac:dyDescent="0.25">
      <c r="A56" s="18" t="s">
        <v>105</v>
      </c>
      <c r="B56" s="18" t="s">
        <v>47</v>
      </c>
      <c r="C56" s="18">
        <v>131</v>
      </c>
      <c r="D56" s="18">
        <v>43</v>
      </c>
      <c r="E56" s="18">
        <v>108</v>
      </c>
      <c r="F56" s="18">
        <v>66</v>
      </c>
      <c r="G56" s="7">
        <v>0.1</v>
      </c>
      <c r="H56" s="18">
        <v>730</v>
      </c>
      <c r="I56" s="18" t="s">
        <v>43</v>
      </c>
      <c r="J56" s="18"/>
      <c r="K56" s="18">
        <v>108</v>
      </c>
      <c r="L56" s="18">
        <f t="shared" si="13"/>
        <v>0</v>
      </c>
      <c r="M56" s="18">
        <f t="shared" si="14"/>
        <v>108</v>
      </c>
      <c r="N56" s="18"/>
      <c r="O56" s="18"/>
      <c r="P56" s="18">
        <v>44.599999999999973</v>
      </c>
      <c r="Q56" s="18"/>
      <c r="R56" s="18">
        <f>IFERROR(VLOOKUP(A56,[1]Sheet!$A:$D,4,0),0)</f>
        <v>0</v>
      </c>
      <c r="S56" s="18"/>
      <c r="T56" s="18">
        <v>46.400000000000027</v>
      </c>
      <c r="U56" s="18"/>
      <c r="V56" s="18">
        <f t="shared" si="15"/>
        <v>21.6</v>
      </c>
      <c r="W56" s="4">
        <f t="shared" ref="W53:W70" si="19">11*V56-U56-T56-S56-Q56-P56-O56-F56</f>
        <v>80.600000000000023</v>
      </c>
      <c r="X56" s="4"/>
      <c r="Y56" s="18"/>
      <c r="Z56" s="18"/>
      <c r="AA56" s="18">
        <f t="shared" si="16"/>
        <v>11</v>
      </c>
      <c r="AB56" s="18">
        <f t="shared" si="17"/>
        <v>7.2685185185185182</v>
      </c>
      <c r="AC56" s="18">
        <v>17.8</v>
      </c>
      <c r="AD56" s="18">
        <v>19.2</v>
      </c>
      <c r="AE56" s="18">
        <v>17.8</v>
      </c>
      <c r="AF56" s="18">
        <v>17</v>
      </c>
      <c r="AG56" s="18">
        <v>12.33333333333333</v>
      </c>
      <c r="AH56" s="18">
        <v>10</v>
      </c>
      <c r="AI56" s="18">
        <v>15.2</v>
      </c>
      <c r="AJ56" s="18">
        <v>27</v>
      </c>
      <c r="AK56" s="18"/>
      <c r="AL56" s="18">
        <f t="shared" si="18"/>
        <v>8.0600000000000023</v>
      </c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1:52" x14ac:dyDescent="0.25">
      <c r="A57" s="18" t="s">
        <v>106</v>
      </c>
      <c r="B57" s="18" t="s">
        <v>42</v>
      </c>
      <c r="C57" s="18">
        <v>2087.5259999999998</v>
      </c>
      <c r="D57" s="18">
        <v>675.01499999999999</v>
      </c>
      <c r="E57" s="18">
        <v>711.39599999999996</v>
      </c>
      <c r="F57" s="18">
        <v>1787.1379999999999</v>
      </c>
      <c r="G57" s="7">
        <v>1</v>
      </c>
      <c r="H57" s="18">
        <v>50</v>
      </c>
      <c r="I57" s="18" t="s">
        <v>43</v>
      </c>
      <c r="J57" s="18"/>
      <c r="K57" s="18">
        <v>889.28</v>
      </c>
      <c r="L57" s="18">
        <f t="shared" si="13"/>
        <v>-177.88400000000001</v>
      </c>
      <c r="M57" s="18">
        <f t="shared" si="14"/>
        <v>506.91599999999994</v>
      </c>
      <c r="N57" s="18">
        <v>204.48</v>
      </c>
      <c r="O57" s="18"/>
      <c r="P57" s="18">
        <v>0</v>
      </c>
      <c r="Q57" s="18"/>
      <c r="R57" s="18">
        <f>IFERROR(VLOOKUP(A57,[1]Sheet!$A:$D,4,0),0)</f>
        <v>0</v>
      </c>
      <c r="S57" s="18"/>
      <c r="T57" s="18">
        <v>0</v>
      </c>
      <c r="U57" s="18">
        <v>212.52823199999989</v>
      </c>
      <c r="V57" s="18">
        <f t="shared" si="15"/>
        <v>101.38319999999999</v>
      </c>
      <c r="W57" s="4"/>
      <c r="X57" s="4"/>
      <c r="Y57" s="18"/>
      <c r="Z57" s="18"/>
      <c r="AA57" s="18">
        <f t="shared" si="16"/>
        <v>19.72384213558065</v>
      </c>
      <c r="AB57" s="18">
        <f t="shared" si="17"/>
        <v>19.72384213558065</v>
      </c>
      <c r="AC57" s="18">
        <v>112.44880000000001</v>
      </c>
      <c r="AD57" s="18">
        <v>109.3276</v>
      </c>
      <c r="AE57" s="18">
        <v>108.7816</v>
      </c>
      <c r="AF57" s="18">
        <v>126.9586</v>
      </c>
      <c r="AG57" s="18">
        <v>239.49199999999999</v>
      </c>
      <c r="AH57" s="18">
        <v>312.97966666666667</v>
      </c>
      <c r="AI57" s="18">
        <v>156.31059999999999</v>
      </c>
      <c r="AJ57" s="18">
        <v>140.68879999999999</v>
      </c>
      <c r="AK57" s="20" t="s">
        <v>83</v>
      </c>
      <c r="AL57" s="18">
        <f t="shared" si="18"/>
        <v>0</v>
      </c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1:52" x14ac:dyDescent="0.25">
      <c r="A58" s="18" t="s">
        <v>107</v>
      </c>
      <c r="B58" s="18" t="s">
        <v>42</v>
      </c>
      <c r="C58" s="18">
        <v>8.0779999999999994</v>
      </c>
      <c r="D58" s="18">
        <v>120.086</v>
      </c>
      <c r="E58" s="18">
        <v>45.011000000000003</v>
      </c>
      <c r="F58" s="18">
        <v>61.276000000000003</v>
      </c>
      <c r="G58" s="7">
        <v>1</v>
      </c>
      <c r="H58" s="18">
        <v>50</v>
      </c>
      <c r="I58" s="18" t="s">
        <v>43</v>
      </c>
      <c r="J58" s="18"/>
      <c r="K58" s="18">
        <v>64.177000000000007</v>
      </c>
      <c r="L58" s="18">
        <f t="shared" si="13"/>
        <v>-19.166000000000004</v>
      </c>
      <c r="M58" s="18">
        <f t="shared" si="14"/>
        <v>23.134000000000004</v>
      </c>
      <c r="N58" s="18">
        <v>21.876999999999999</v>
      </c>
      <c r="O58" s="18"/>
      <c r="P58" s="18">
        <v>0</v>
      </c>
      <c r="Q58" s="18"/>
      <c r="R58" s="18">
        <f>IFERROR(VLOOKUP(A58,[1]Sheet!$A:$D,4,0),0)</f>
        <v>0</v>
      </c>
      <c r="S58" s="18"/>
      <c r="T58" s="18">
        <v>0</v>
      </c>
      <c r="U58" s="18"/>
      <c r="V58" s="18">
        <f t="shared" si="15"/>
        <v>4.6268000000000011</v>
      </c>
      <c r="W58" s="4"/>
      <c r="X58" s="4"/>
      <c r="Y58" s="18"/>
      <c r="Z58" s="18"/>
      <c r="AA58" s="18">
        <f t="shared" si="16"/>
        <v>13.243710555891759</v>
      </c>
      <c r="AB58" s="18">
        <f t="shared" si="17"/>
        <v>13.243710555891759</v>
      </c>
      <c r="AC58" s="18">
        <v>4.5885999999999996</v>
      </c>
      <c r="AD58" s="18">
        <v>4.5982000000000003</v>
      </c>
      <c r="AE58" s="18">
        <v>9.7219999999999995</v>
      </c>
      <c r="AF58" s="18">
        <v>10.9636</v>
      </c>
      <c r="AG58" s="18">
        <v>5.243666666666666</v>
      </c>
      <c r="AH58" s="18">
        <v>8.0398333333333341</v>
      </c>
      <c r="AI58" s="18">
        <v>9.7560000000000002</v>
      </c>
      <c r="AJ58" s="18">
        <v>9.4539999999999988</v>
      </c>
      <c r="AK58" s="18" t="s">
        <v>108</v>
      </c>
      <c r="AL58" s="18">
        <f t="shared" si="18"/>
        <v>0</v>
      </c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x14ac:dyDescent="0.25">
      <c r="A59" s="18" t="s">
        <v>109</v>
      </c>
      <c r="B59" s="18" t="s">
        <v>47</v>
      </c>
      <c r="C59" s="18">
        <v>159</v>
      </c>
      <c r="D59" s="18">
        <v>40</v>
      </c>
      <c r="E59" s="18">
        <v>112</v>
      </c>
      <c r="F59" s="18">
        <v>87</v>
      </c>
      <c r="G59" s="7">
        <v>0.1</v>
      </c>
      <c r="H59" s="18">
        <v>730</v>
      </c>
      <c r="I59" s="18" t="s">
        <v>43</v>
      </c>
      <c r="J59" s="18"/>
      <c r="K59" s="18">
        <v>112</v>
      </c>
      <c r="L59" s="18">
        <f t="shared" si="13"/>
        <v>0</v>
      </c>
      <c r="M59" s="18">
        <f t="shared" si="14"/>
        <v>112</v>
      </c>
      <c r="N59" s="18"/>
      <c r="O59" s="18"/>
      <c r="P59" s="18">
        <v>0</v>
      </c>
      <c r="Q59" s="18"/>
      <c r="R59" s="18">
        <f>IFERROR(VLOOKUP(A59,[1]Sheet!$A:$D,4,0),0)</f>
        <v>0</v>
      </c>
      <c r="S59" s="18"/>
      <c r="T59" s="18">
        <v>63.599999999999987</v>
      </c>
      <c r="U59" s="18"/>
      <c r="V59" s="18">
        <f t="shared" si="15"/>
        <v>22.4</v>
      </c>
      <c r="W59" s="4">
        <f t="shared" si="19"/>
        <v>95.799999999999983</v>
      </c>
      <c r="X59" s="4"/>
      <c r="Y59" s="18"/>
      <c r="Z59" s="18"/>
      <c r="AA59" s="18">
        <f t="shared" si="16"/>
        <v>11</v>
      </c>
      <c r="AB59" s="18">
        <f t="shared" si="17"/>
        <v>6.7232142857142856</v>
      </c>
      <c r="AC59" s="18">
        <v>17.600000000000001</v>
      </c>
      <c r="AD59" s="18">
        <v>17.399999999999999</v>
      </c>
      <c r="AE59" s="18">
        <v>19.8</v>
      </c>
      <c r="AF59" s="18">
        <v>19.8</v>
      </c>
      <c r="AG59" s="18">
        <v>12.33333333333333</v>
      </c>
      <c r="AH59" s="18">
        <v>10.83333333333333</v>
      </c>
      <c r="AI59" s="18">
        <v>16.600000000000001</v>
      </c>
      <c r="AJ59" s="18">
        <v>26</v>
      </c>
      <c r="AK59" s="18"/>
      <c r="AL59" s="18">
        <f t="shared" si="18"/>
        <v>9.5799999999999983</v>
      </c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1:52" x14ac:dyDescent="0.25">
      <c r="A60" s="18" t="s">
        <v>110</v>
      </c>
      <c r="B60" s="18" t="s">
        <v>47</v>
      </c>
      <c r="C60" s="18">
        <v>69</v>
      </c>
      <c r="D60" s="18">
        <v>100</v>
      </c>
      <c r="E60" s="18">
        <v>87</v>
      </c>
      <c r="F60" s="18">
        <v>57</v>
      </c>
      <c r="G60" s="7">
        <v>0.4</v>
      </c>
      <c r="H60" s="18">
        <v>50</v>
      </c>
      <c r="I60" s="18" t="s">
        <v>43</v>
      </c>
      <c r="J60" s="18"/>
      <c r="K60" s="18">
        <v>88</v>
      </c>
      <c r="L60" s="18">
        <f t="shared" si="13"/>
        <v>-1</v>
      </c>
      <c r="M60" s="18">
        <f t="shared" si="14"/>
        <v>87</v>
      </c>
      <c r="N60" s="18"/>
      <c r="O60" s="18"/>
      <c r="P60" s="18">
        <v>154.19999999999999</v>
      </c>
      <c r="Q60" s="18"/>
      <c r="R60" s="18">
        <f>IFERROR(VLOOKUP(A60,[1]Sheet!$A:$D,4,0),0)</f>
        <v>0</v>
      </c>
      <c r="S60" s="18"/>
      <c r="T60" s="18">
        <v>0</v>
      </c>
      <c r="U60" s="18"/>
      <c r="V60" s="18">
        <f t="shared" si="15"/>
        <v>17.399999999999999</v>
      </c>
      <c r="W60" s="4"/>
      <c r="X60" s="4"/>
      <c r="Y60" s="18"/>
      <c r="Z60" s="18"/>
      <c r="AA60" s="18">
        <f t="shared" si="16"/>
        <v>12.13793103448276</v>
      </c>
      <c r="AB60" s="18">
        <f t="shared" si="17"/>
        <v>12.13793103448276</v>
      </c>
      <c r="AC60" s="18">
        <v>19.600000000000001</v>
      </c>
      <c r="AD60" s="18">
        <v>25</v>
      </c>
      <c r="AE60" s="18">
        <v>21.4</v>
      </c>
      <c r="AF60" s="18">
        <v>16.2</v>
      </c>
      <c r="AG60" s="18">
        <v>17.166666666666671</v>
      </c>
      <c r="AH60" s="18">
        <v>35.833333333333343</v>
      </c>
      <c r="AI60" s="18">
        <v>41.8</v>
      </c>
      <c r="AJ60" s="18">
        <v>21.761199999999999</v>
      </c>
      <c r="AK60" s="18"/>
      <c r="AL60" s="18">
        <f t="shared" si="18"/>
        <v>0</v>
      </c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1:52" x14ac:dyDescent="0.25">
      <c r="A61" s="18" t="s">
        <v>111</v>
      </c>
      <c r="B61" s="18" t="s">
        <v>42</v>
      </c>
      <c r="C61" s="18">
        <v>-5.4219999999999997</v>
      </c>
      <c r="D61" s="18">
        <v>146.83799999999999</v>
      </c>
      <c r="E61" s="18">
        <v>8.1739999999999995</v>
      </c>
      <c r="F61" s="18">
        <v>117.051</v>
      </c>
      <c r="G61" s="7">
        <v>1</v>
      </c>
      <c r="H61" s="18">
        <v>40</v>
      </c>
      <c r="I61" s="18" t="s">
        <v>43</v>
      </c>
      <c r="J61" s="18"/>
      <c r="K61" s="18">
        <v>94.9</v>
      </c>
      <c r="L61" s="18">
        <f t="shared" si="13"/>
        <v>-86.725999999999999</v>
      </c>
      <c r="M61" s="18">
        <f t="shared" si="14"/>
        <v>8.1739999999999995</v>
      </c>
      <c r="N61" s="18"/>
      <c r="O61" s="18"/>
      <c r="P61" s="18">
        <v>63.323999999999991</v>
      </c>
      <c r="Q61" s="18"/>
      <c r="R61" s="18">
        <f>IFERROR(VLOOKUP(A61,[1]Sheet!$A:$D,4,0),0)</f>
        <v>0</v>
      </c>
      <c r="S61" s="18"/>
      <c r="T61" s="18">
        <v>0</v>
      </c>
      <c r="U61" s="18"/>
      <c r="V61" s="18">
        <f t="shared" si="15"/>
        <v>1.6347999999999998</v>
      </c>
      <c r="W61" s="4"/>
      <c r="X61" s="4"/>
      <c r="Y61" s="18"/>
      <c r="Z61" s="18"/>
      <c r="AA61" s="18">
        <f t="shared" si="16"/>
        <v>110.33459750428189</v>
      </c>
      <c r="AB61" s="18">
        <f t="shared" si="17"/>
        <v>110.33459750428189</v>
      </c>
      <c r="AC61" s="18">
        <v>3.501399999999999</v>
      </c>
      <c r="AD61" s="18">
        <v>17.515599999999999</v>
      </c>
      <c r="AE61" s="18">
        <v>17.064800000000002</v>
      </c>
      <c r="AF61" s="18">
        <v>12.2264</v>
      </c>
      <c r="AG61" s="18">
        <v>6.7670000000000003</v>
      </c>
      <c r="AH61" s="18">
        <v>16.099666666666671</v>
      </c>
      <c r="AI61" s="18">
        <v>10.4344</v>
      </c>
      <c r="AJ61" s="18">
        <v>10.0336</v>
      </c>
      <c r="AK61" s="18"/>
      <c r="AL61" s="18">
        <f t="shared" si="18"/>
        <v>0</v>
      </c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1:52" x14ac:dyDescent="0.25">
      <c r="A62" s="18" t="s">
        <v>112</v>
      </c>
      <c r="B62" s="18" t="s">
        <v>42</v>
      </c>
      <c r="C62" s="18">
        <v>-2.7909999999999999</v>
      </c>
      <c r="D62" s="18">
        <v>24.826000000000001</v>
      </c>
      <c r="E62" s="18">
        <v>1.367</v>
      </c>
      <c r="F62" s="18">
        <v>4.0609999999999999</v>
      </c>
      <c r="G62" s="7">
        <v>1</v>
      </c>
      <c r="H62" s="18">
        <v>40</v>
      </c>
      <c r="I62" s="18" t="s">
        <v>43</v>
      </c>
      <c r="J62" s="18"/>
      <c r="K62" s="18">
        <v>65.2</v>
      </c>
      <c r="L62" s="18">
        <f t="shared" si="13"/>
        <v>-63.833000000000006</v>
      </c>
      <c r="M62" s="18">
        <f t="shared" si="14"/>
        <v>1.367</v>
      </c>
      <c r="N62" s="18"/>
      <c r="O62" s="18"/>
      <c r="P62" s="18">
        <v>56.043200000000013</v>
      </c>
      <c r="Q62" s="18"/>
      <c r="R62" s="18">
        <f>IFERROR(VLOOKUP(A62,[1]Sheet!$A:$D,4,0),0)</f>
        <v>0</v>
      </c>
      <c r="S62" s="18"/>
      <c r="T62" s="18">
        <v>0</v>
      </c>
      <c r="U62" s="18"/>
      <c r="V62" s="18">
        <f t="shared" si="15"/>
        <v>0.27339999999999998</v>
      </c>
      <c r="W62" s="4"/>
      <c r="X62" s="4"/>
      <c r="Y62" s="18"/>
      <c r="Z62" s="18"/>
      <c r="AA62" s="18">
        <f t="shared" si="16"/>
        <v>219.83979517190934</v>
      </c>
      <c r="AB62" s="18">
        <f t="shared" si="17"/>
        <v>219.83979517190934</v>
      </c>
      <c r="AC62" s="18">
        <v>1.0933999999999999</v>
      </c>
      <c r="AD62" s="18">
        <v>9.3277999999999999</v>
      </c>
      <c r="AE62" s="18">
        <v>6.0221999999999998</v>
      </c>
      <c r="AF62" s="18">
        <v>1.7558</v>
      </c>
      <c r="AG62" s="18">
        <v>1.2138333333333331</v>
      </c>
      <c r="AH62" s="18">
        <v>7.4118333333333331</v>
      </c>
      <c r="AI62" s="18">
        <v>7.2992000000000008</v>
      </c>
      <c r="AJ62" s="18">
        <v>2.4436</v>
      </c>
      <c r="AK62" s="18"/>
      <c r="AL62" s="18">
        <f t="shared" si="18"/>
        <v>0</v>
      </c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1:52" x14ac:dyDescent="0.25">
      <c r="A63" s="18" t="s">
        <v>113</v>
      </c>
      <c r="B63" s="18" t="s">
        <v>47</v>
      </c>
      <c r="C63" s="18">
        <v>15</v>
      </c>
      <c r="D63" s="18">
        <v>932</v>
      </c>
      <c r="E63" s="18">
        <v>563</v>
      </c>
      <c r="F63" s="18">
        <v>275</v>
      </c>
      <c r="G63" s="7">
        <v>0.4</v>
      </c>
      <c r="H63" s="18">
        <v>40</v>
      </c>
      <c r="I63" s="18" t="s">
        <v>43</v>
      </c>
      <c r="J63" s="18"/>
      <c r="K63" s="18">
        <v>832.4</v>
      </c>
      <c r="L63" s="18">
        <f t="shared" si="13"/>
        <v>-269.39999999999998</v>
      </c>
      <c r="M63" s="18">
        <f t="shared" si="14"/>
        <v>461</v>
      </c>
      <c r="N63" s="18">
        <v>102</v>
      </c>
      <c r="O63" s="18">
        <v>200</v>
      </c>
      <c r="P63" s="18">
        <v>439.6262200000001</v>
      </c>
      <c r="Q63" s="18"/>
      <c r="R63" s="18">
        <f>IFERROR(VLOOKUP(A63,[1]Sheet!$A:$D,4,0),0)</f>
        <v>0</v>
      </c>
      <c r="S63" s="18"/>
      <c r="T63" s="18">
        <v>0</v>
      </c>
      <c r="U63" s="18"/>
      <c r="V63" s="18">
        <f t="shared" si="15"/>
        <v>92.2</v>
      </c>
      <c r="W63" s="4">
        <f t="shared" si="19"/>
        <v>99.573779999999942</v>
      </c>
      <c r="X63" s="4"/>
      <c r="Y63" s="18"/>
      <c r="Z63" s="18"/>
      <c r="AA63" s="18">
        <f t="shared" si="16"/>
        <v>11</v>
      </c>
      <c r="AB63" s="18">
        <f t="shared" si="17"/>
        <v>9.9200240780911066</v>
      </c>
      <c r="AC63" s="18">
        <v>77.400000000000006</v>
      </c>
      <c r="AD63" s="18">
        <v>131</v>
      </c>
      <c r="AE63" s="18">
        <v>120.8</v>
      </c>
      <c r="AF63" s="18">
        <v>126.4</v>
      </c>
      <c r="AG63" s="18">
        <v>117.8333333333333</v>
      </c>
      <c r="AH63" s="18">
        <v>129.16666666666671</v>
      </c>
      <c r="AI63" s="18">
        <v>150.6</v>
      </c>
      <c r="AJ63" s="18">
        <v>182.4</v>
      </c>
      <c r="AK63" s="18"/>
      <c r="AL63" s="18">
        <f t="shared" si="18"/>
        <v>39.82951199999998</v>
      </c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1:52" x14ac:dyDescent="0.25">
      <c r="A64" s="18" t="s">
        <v>114</v>
      </c>
      <c r="B64" s="18" t="s">
        <v>47</v>
      </c>
      <c r="C64" s="18">
        <v>197</v>
      </c>
      <c r="D64" s="18">
        <v>654</v>
      </c>
      <c r="E64" s="18">
        <v>605</v>
      </c>
      <c r="F64" s="18">
        <v>103</v>
      </c>
      <c r="G64" s="7">
        <v>0.4</v>
      </c>
      <c r="H64" s="18">
        <v>40</v>
      </c>
      <c r="I64" s="18" t="s">
        <v>43</v>
      </c>
      <c r="J64" s="18"/>
      <c r="K64" s="18">
        <v>769</v>
      </c>
      <c r="L64" s="18">
        <f t="shared" si="13"/>
        <v>-164</v>
      </c>
      <c r="M64" s="18">
        <f t="shared" si="14"/>
        <v>497</v>
      </c>
      <c r="N64" s="18">
        <v>108</v>
      </c>
      <c r="O64" s="18">
        <v>300</v>
      </c>
      <c r="P64" s="18">
        <v>305.50000000000023</v>
      </c>
      <c r="Q64" s="18"/>
      <c r="R64" s="18">
        <f>IFERROR(VLOOKUP(A64,[1]Sheet!$A:$D,4,0),0)</f>
        <v>0</v>
      </c>
      <c r="S64" s="18"/>
      <c r="T64" s="18">
        <v>76.000780000000077</v>
      </c>
      <c r="U64" s="18"/>
      <c r="V64" s="18">
        <f t="shared" si="15"/>
        <v>99.4</v>
      </c>
      <c r="W64" s="4">
        <f t="shared" si="19"/>
        <v>308.89921999999979</v>
      </c>
      <c r="X64" s="4"/>
      <c r="Y64" s="18"/>
      <c r="Z64" s="18"/>
      <c r="AA64" s="18">
        <f t="shared" si="16"/>
        <v>11</v>
      </c>
      <c r="AB64" s="18">
        <f t="shared" si="17"/>
        <v>7.8923619718309883</v>
      </c>
      <c r="AC64" s="18">
        <v>97.2</v>
      </c>
      <c r="AD64" s="18">
        <v>116.2</v>
      </c>
      <c r="AE64" s="18">
        <v>113.6</v>
      </c>
      <c r="AF64" s="18">
        <v>98.6</v>
      </c>
      <c r="AG64" s="18">
        <v>104.5</v>
      </c>
      <c r="AH64" s="18">
        <v>102.5</v>
      </c>
      <c r="AI64" s="18">
        <v>102.8</v>
      </c>
      <c r="AJ64" s="18">
        <v>114.4</v>
      </c>
      <c r="AK64" s="18"/>
      <c r="AL64" s="18">
        <f t="shared" si="18"/>
        <v>123.55968799999992</v>
      </c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1:52" x14ac:dyDescent="0.25">
      <c r="A65" s="18" t="s">
        <v>115</v>
      </c>
      <c r="B65" s="18" t="s">
        <v>42</v>
      </c>
      <c r="C65" s="18">
        <v>1329.607</v>
      </c>
      <c r="D65" s="18">
        <v>364.71199999999999</v>
      </c>
      <c r="E65" s="18">
        <v>595.15300000000002</v>
      </c>
      <c r="F65" s="18">
        <v>774.09</v>
      </c>
      <c r="G65" s="7">
        <v>1</v>
      </c>
      <c r="H65" s="18">
        <v>40</v>
      </c>
      <c r="I65" s="18" t="s">
        <v>43</v>
      </c>
      <c r="J65" s="18"/>
      <c r="K65" s="18">
        <v>879.96400000000006</v>
      </c>
      <c r="L65" s="18">
        <f t="shared" si="13"/>
        <v>-284.81100000000004</v>
      </c>
      <c r="M65" s="18">
        <f t="shared" si="14"/>
        <v>290.88900000000001</v>
      </c>
      <c r="N65" s="18">
        <v>304.26400000000001</v>
      </c>
      <c r="O65" s="18"/>
      <c r="P65" s="18">
        <v>0</v>
      </c>
      <c r="Q65" s="18"/>
      <c r="R65" s="18">
        <f>IFERROR(VLOOKUP(A65,[1]Sheet!$A:$D,4,0),0)</f>
        <v>0</v>
      </c>
      <c r="S65" s="18"/>
      <c r="T65" s="18">
        <v>0</v>
      </c>
      <c r="U65" s="18"/>
      <c r="V65" s="18">
        <f t="shared" si="15"/>
        <v>58.177800000000005</v>
      </c>
      <c r="W65" s="4"/>
      <c r="X65" s="4"/>
      <c r="Y65" s="18"/>
      <c r="Z65" s="18"/>
      <c r="AA65" s="18">
        <f t="shared" si="16"/>
        <v>13.305590792364097</v>
      </c>
      <c r="AB65" s="18">
        <f t="shared" si="17"/>
        <v>13.305590792364097</v>
      </c>
      <c r="AC65" s="18">
        <v>30.534800000000011</v>
      </c>
      <c r="AD65" s="18">
        <v>39.278399999999998</v>
      </c>
      <c r="AE65" s="18">
        <v>69.317599999999999</v>
      </c>
      <c r="AF65" s="18">
        <v>54.402799999999992</v>
      </c>
      <c r="AG65" s="18">
        <v>109.66549999999999</v>
      </c>
      <c r="AH65" s="18">
        <v>227.04983333333331</v>
      </c>
      <c r="AI65" s="18">
        <v>231.61019999999999</v>
      </c>
      <c r="AJ65" s="18">
        <v>130.88919999999999</v>
      </c>
      <c r="AK65" s="20" t="s">
        <v>83</v>
      </c>
      <c r="AL65" s="18">
        <f t="shared" si="18"/>
        <v>0</v>
      </c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1:52" x14ac:dyDescent="0.25">
      <c r="A66" s="18" t="s">
        <v>116</v>
      </c>
      <c r="B66" s="18" t="s">
        <v>42</v>
      </c>
      <c r="C66" s="18">
        <v>109.63200000000001</v>
      </c>
      <c r="D66" s="18">
        <v>22.474</v>
      </c>
      <c r="E66" s="18">
        <v>96.995000000000005</v>
      </c>
      <c r="F66" s="18">
        <v>12.64</v>
      </c>
      <c r="G66" s="7">
        <v>1</v>
      </c>
      <c r="H66" s="18">
        <v>40</v>
      </c>
      <c r="I66" s="18" t="s">
        <v>43</v>
      </c>
      <c r="J66" s="18"/>
      <c r="K66" s="18">
        <v>96.347999999999999</v>
      </c>
      <c r="L66" s="18">
        <f t="shared" si="13"/>
        <v>0.64700000000000557</v>
      </c>
      <c r="M66" s="18">
        <f t="shared" si="14"/>
        <v>91.647000000000006</v>
      </c>
      <c r="N66" s="18">
        <v>5.3479999999999999</v>
      </c>
      <c r="O66" s="18"/>
      <c r="P66" s="18">
        <v>44.999400000000009</v>
      </c>
      <c r="Q66" s="18"/>
      <c r="R66" s="18">
        <f>IFERROR(VLOOKUP(A66,[1]Sheet!$A:$D,4,0),0)</f>
        <v>0</v>
      </c>
      <c r="S66" s="18"/>
      <c r="T66" s="18">
        <v>81.532200000000003</v>
      </c>
      <c r="U66" s="18"/>
      <c r="V66" s="18">
        <f t="shared" si="15"/>
        <v>18.3294</v>
      </c>
      <c r="W66" s="4">
        <f t="shared" si="19"/>
        <v>62.451799999999992</v>
      </c>
      <c r="X66" s="4"/>
      <c r="Y66" s="18"/>
      <c r="Z66" s="18"/>
      <c r="AA66" s="18">
        <f t="shared" si="16"/>
        <v>11</v>
      </c>
      <c r="AB66" s="18">
        <f t="shared" si="17"/>
        <v>7.5928071840867686</v>
      </c>
      <c r="AC66" s="18">
        <v>16.819800000000001</v>
      </c>
      <c r="AD66" s="18">
        <v>14.057399999999999</v>
      </c>
      <c r="AE66" s="18">
        <v>0.18079999999999999</v>
      </c>
      <c r="AF66" s="18">
        <v>0.38140000000000002</v>
      </c>
      <c r="AG66" s="18">
        <v>17.063499999999991</v>
      </c>
      <c r="AH66" s="18">
        <v>22.588333333333331</v>
      </c>
      <c r="AI66" s="18">
        <v>19.980599999999999</v>
      </c>
      <c r="AJ66" s="18">
        <v>38.773400000000002</v>
      </c>
      <c r="AK66" s="18"/>
      <c r="AL66" s="18">
        <f t="shared" si="18"/>
        <v>62.451799999999992</v>
      </c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x14ac:dyDescent="0.25">
      <c r="A67" s="18" t="s">
        <v>117</v>
      </c>
      <c r="B67" s="18" t="s">
        <v>42</v>
      </c>
      <c r="C67" s="18">
        <v>52.027999999999999</v>
      </c>
      <c r="D67" s="18">
        <v>27.672999999999998</v>
      </c>
      <c r="E67" s="18">
        <v>60.667999999999999</v>
      </c>
      <c r="F67" s="18">
        <v>6.7229999999999999</v>
      </c>
      <c r="G67" s="7">
        <v>1</v>
      </c>
      <c r="H67" s="18">
        <v>40</v>
      </c>
      <c r="I67" s="18" t="s">
        <v>43</v>
      </c>
      <c r="J67" s="18"/>
      <c r="K67" s="18">
        <v>140.19999999999999</v>
      </c>
      <c r="L67" s="18">
        <f t="shared" si="13"/>
        <v>-79.531999999999982</v>
      </c>
      <c r="M67" s="18">
        <f t="shared" si="14"/>
        <v>60.667999999999999</v>
      </c>
      <c r="N67" s="18"/>
      <c r="O67" s="18"/>
      <c r="P67" s="18">
        <v>45.619599999999963</v>
      </c>
      <c r="Q67" s="18"/>
      <c r="R67" s="18">
        <f>IFERROR(VLOOKUP(A67,[1]Sheet!$A:$D,4,0),0)</f>
        <v>0</v>
      </c>
      <c r="S67" s="18"/>
      <c r="T67" s="18">
        <v>79.261399999999995</v>
      </c>
      <c r="U67" s="18"/>
      <c r="V67" s="18">
        <f t="shared" si="15"/>
        <v>12.133599999999999</v>
      </c>
      <c r="W67" s="4"/>
      <c r="X67" s="4"/>
      <c r="Y67" s="18"/>
      <c r="Z67" s="18"/>
      <c r="AA67" s="18">
        <f t="shared" si="16"/>
        <v>10.846245137469504</v>
      </c>
      <c r="AB67" s="18">
        <f t="shared" si="17"/>
        <v>10.846245137469504</v>
      </c>
      <c r="AC67" s="18">
        <v>12.494400000000001</v>
      </c>
      <c r="AD67" s="18">
        <v>10.131399999999999</v>
      </c>
      <c r="AE67" s="18">
        <v>17.514399999999998</v>
      </c>
      <c r="AF67" s="18">
        <v>14.438599999999999</v>
      </c>
      <c r="AG67" s="18">
        <v>23.942</v>
      </c>
      <c r="AH67" s="18">
        <v>21.972999999999999</v>
      </c>
      <c r="AI67" s="18">
        <v>19.435600000000001</v>
      </c>
      <c r="AJ67" s="18">
        <v>27.9544</v>
      </c>
      <c r="AK67" s="18"/>
      <c r="AL67" s="18">
        <f t="shared" si="18"/>
        <v>0</v>
      </c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1:52" x14ac:dyDescent="0.25">
      <c r="A68" s="18" t="s">
        <v>118</v>
      </c>
      <c r="B68" s="18" t="s">
        <v>42</v>
      </c>
      <c r="C68" s="18">
        <v>3.9289999999999998</v>
      </c>
      <c r="D68" s="18">
        <v>55.404000000000003</v>
      </c>
      <c r="E68" s="18">
        <v>51.96</v>
      </c>
      <c r="F68" s="18">
        <v>7.8490000000000002</v>
      </c>
      <c r="G68" s="7">
        <v>1</v>
      </c>
      <c r="H68" s="18">
        <v>30</v>
      </c>
      <c r="I68" s="18" t="s">
        <v>43</v>
      </c>
      <c r="J68" s="18"/>
      <c r="K68" s="18">
        <v>68.7</v>
      </c>
      <c r="L68" s="18">
        <f t="shared" si="13"/>
        <v>-16.740000000000002</v>
      </c>
      <c r="M68" s="18">
        <f t="shared" si="14"/>
        <v>51.96</v>
      </c>
      <c r="N68" s="18"/>
      <c r="O68" s="18"/>
      <c r="P68" s="18">
        <v>124.5085</v>
      </c>
      <c r="Q68" s="18"/>
      <c r="R68" s="18">
        <f>IFERROR(VLOOKUP(A68,[1]Sheet!$A:$D,4,0),0)</f>
        <v>0</v>
      </c>
      <c r="S68" s="18"/>
      <c r="T68" s="18">
        <v>58.904199999999989</v>
      </c>
      <c r="U68" s="18"/>
      <c r="V68" s="18">
        <f t="shared" si="15"/>
        <v>10.391999999999999</v>
      </c>
      <c r="W68" s="4"/>
      <c r="X68" s="4"/>
      <c r="Y68" s="18"/>
      <c r="Z68" s="18"/>
      <c r="AA68" s="18">
        <f t="shared" si="16"/>
        <v>18.404705542725171</v>
      </c>
      <c r="AB68" s="18">
        <f t="shared" si="17"/>
        <v>18.404705542725171</v>
      </c>
      <c r="AC68" s="18">
        <v>19.0608</v>
      </c>
      <c r="AD68" s="18">
        <v>22.131</v>
      </c>
      <c r="AE68" s="18">
        <v>12.282</v>
      </c>
      <c r="AF68" s="18">
        <v>12.848599999999999</v>
      </c>
      <c r="AG68" s="18">
        <v>14.042999999999999</v>
      </c>
      <c r="AH68" s="18">
        <v>16.8095</v>
      </c>
      <c r="AI68" s="18">
        <v>9.7992000000000008</v>
      </c>
      <c r="AJ68" s="18">
        <v>16.130199999999999</v>
      </c>
      <c r="AK68" s="18"/>
      <c r="AL68" s="18">
        <f t="shared" si="18"/>
        <v>0</v>
      </c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1:52" x14ac:dyDescent="0.25">
      <c r="A69" s="18" t="s">
        <v>119</v>
      </c>
      <c r="B69" s="18" t="s">
        <v>47</v>
      </c>
      <c r="C69" s="18">
        <v>156</v>
      </c>
      <c r="D69" s="18">
        <v>266</v>
      </c>
      <c r="E69" s="18">
        <v>257</v>
      </c>
      <c r="F69" s="18">
        <v>118</v>
      </c>
      <c r="G69" s="7">
        <v>0.6</v>
      </c>
      <c r="H69" s="18">
        <v>60</v>
      </c>
      <c r="I69" s="10" t="s">
        <v>92</v>
      </c>
      <c r="J69" s="18"/>
      <c r="K69" s="18">
        <v>341.8</v>
      </c>
      <c r="L69" s="18">
        <f t="shared" si="13"/>
        <v>-84.800000000000011</v>
      </c>
      <c r="M69" s="18">
        <f t="shared" si="14"/>
        <v>257</v>
      </c>
      <c r="N69" s="18"/>
      <c r="O69" s="18">
        <v>300</v>
      </c>
      <c r="P69" s="18">
        <v>75.200000000000102</v>
      </c>
      <c r="Q69" s="18"/>
      <c r="R69" s="18">
        <f>IFERROR(VLOOKUP(A69,[1]Sheet!$A:$D,4,0),0)</f>
        <v>0</v>
      </c>
      <c r="S69" s="18"/>
      <c r="T69" s="18">
        <v>143.80000000000001</v>
      </c>
      <c r="U69" s="18"/>
      <c r="V69" s="18">
        <f t="shared" si="15"/>
        <v>51.4</v>
      </c>
      <c r="W69" s="4"/>
      <c r="X69" s="4"/>
      <c r="Y69" s="18"/>
      <c r="Z69" s="18"/>
      <c r="AA69" s="18">
        <f t="shared" si="16"/>
        <v>12.392996108949418</v>
      </c>
      <c r="AB69" s="18">
        <f t="shared" si="17"/>
        <v>12.392996108949418</v>
      </c>
      <c r="AC69" s="18">
        <v>60.2</v>
      </c>
      <c r="AD69" s="18">
        <v>66.400000000000006</v>
      </c>
      <c r="AE69" s="18">
        <v>65.2</v>
      </c>
      <c r="AF69" s="18">
        <v>25</v>
      </c>
      <c r="AG69" s="18">
        <v>35.166666666666657</v>
      </c>
      <c r="AH69" s="18">
        <v>54.666666666666657</v>
      </c>
      <c r="AI69" s="18">
        <v>42.4</v>
      </c>
      <c r="AJ69" s="18">
        <v>57</v>
      </c>
      <c r="AK69" s="18" t="s">
        <v>48</v>
      </c>
      <c r="AL69" s="18">
        <f t="shared" si="18"/>
        <v>0</v>
      </c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1:52" x14ac:dyDescent="0.25">
      <c r="A70" s="18" t="s">
        <v>120</v>
      </c>
      <c r="B70" s="18" t="s">
        <v>47</v>
      </c>
      <c r="C70" s="18">
        <v>250</v>
      </c>
      <c r="D70" s="18">
        <v>211</v>
      </c>
      <c r="E70" s="18">
        <v>58</v>
      </c>
      <c r="F70" s="18">
        <v>383</v>
      </c>
      <c r="G70" s="7">
        <v>0.6</v>
      </c>
      <c r="H70" s="18">
        <v>60</v>
      </c>
      <c r="I70" s="18" t="s">
        <v>43</v>
      </c>
      <c r="J70" s="18"/>
      <c r="K70" s="18">
        <v>184</v>
      </c>
      <c r="L70" s="18">
        <f t="shared" ref="L70:L101" si="20">E70-K70</f>
        <v>-126</v>
      </c>
      <c r="M70" s="18">
        <f t="shared" ref="M70:M101" si="21">E70-N70</f>
        <v>58</v>
      </c>
      <c r="N70" s="18"/>
      <c r="O70" s="18"/>
      <c r="P70" s="18">
        <v>16.599999999999969</v>
      </c>
      <c r="Q70" s="18"/>
      <c r="R70" s="18">
        <f>IFERROR(VLOOKUP(A70,[1]Sheet!$A:$D,4,0),0)</f>
        <v>0</v>
      </c>
      <c r="S70" s="18"/>
      <c r="T70" s="18">
        <v>0</v>
      </c>
      <c r="U70" s="18"/>
      <c r="V70" s="18">
        <f t="shared" ref="V70:V97" si="22">M70/5</f>
        <v>11.6</v>
      </c>
      <c r="W70" s="4"/>
      <c r="X70" s="4"/>
      <c r="Y70" s="18"/>
      <c r="Z70" s="18"/>
      <c r="AA70" s="18">
        <f t="shared" ref="AA70:AA97" si="23">(F70+O70+P70+Q70+S70+T70+U70+W70)/V70</f>
        <v>34.448275862068961</v>
      </c>
      <c r="AB70" s="18">
        <f t="shared" ref="AB70:AB97" si="24">(F70+O70+P70+Q70+S70+T70+U70)/V70</f>
        <v>34.448275862068961</v>
      </c>
      <c r="AC70" s="18">
        <v>10.6</v>
      </c>
      <c r="AD70" s="18">
        <v>39.799999999999997</v>
      </c>
      <c r="AE70" s="18">
        <v>39.200000000000003</v>
      </c>
      <c r="AF70" s="18">
        <v>4.2</v>
      </c>
      <c r="AG70" s="18">
        <v>6.5</v>
      </c>
      <c r="AH70" s="18">
        <v>31.166666666666671</v>
      </c>
      <c r="AI70" s="18">
        <v>33.4</v>
      </c>
      <c r="AJ70" s="18">
        <v>0</v>
      </c>
      <c r="AK70" s="20" t="s">
        <v>83</v>
      </c>
      <c r="AL70" s="18">
        <f t="shared" si="18"/>
        <v>0</v>
      </c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1:52" x14ac:dyDescent="0.25">
      <c r="A71" s="14" t="s">
        <v>121</v>
      </c>
      <c r="B71" s="14" t="s">
        <v>47</v>
      </c>
      <c r="C71" s="14"/>
      <c r="D71" s="14"/>
      <c r="E71" s="14"/>
      <c r="F71" s="14"/>
      <c r="G71" s="15">
        <v>0</v>
      </c>
      <c r="H71" s="14">
        <v>50</v>
      </c>
      <c r="I71" s="14" t="s">
        <v>43</v>
      </c>
      <c r="J71" s="14"/>
      <c r="K71" s="14"/>
      <c r="L71" s="14">
        <f t="shared" si="20"/>
        <v>0</v>
      </c>
      <c r="M71" s="14">
        <f t="shared" si="21"/>
        <v>0</v>
      </c>
      <c r="N71" s="14"/>
      <c r="O71" s="14"/>
      <c r="P71" s="14">
        <v>0</v>
      </c>
      <c r="Q71" s="14"/>
      <c r="R71" s="14">
        <f>IFERROR(VLOOKUP(A71,[1]Sheet!$A:$D,4,0),0)</f>
        <v>0</v>
      </c>
      <c r="S71" s="14"/>
      <c r="T71" s="14">
        <v>0</v>
      </c>
      <c r="U71" s="14"/>
      <c r="V71" s="14">
        <f t="shared" si="22"/>
        <v>0</v>
      </c>
      <c r="W71" s="16"/>
      <c r="X71" s="16"/>
      <c r="Y71" s="14"/>
      <c r="Z71" s="14"/>
      <c r="AA71" s="14" t="e">
        <f t="shared" si="23"/>
        <v>#DIV/0!</v>
      </c>
      <c r="AB71" s="14" t="e">
        <f t="shared" si="24"/>
        <v>#DIV/0!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 t="s">
        <v>59</v>
      </c>
      <c r="AL71" s="14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1:52" x14ac:dyDescent="0.25">
      <c r="A72" s="14" t="s">
        <v>122</v>
      </c>
      <c r="B72" s="14" t="s">
        <v>47</v>
      </c>
      <c r="C72" s="14"/>
      <c r="D72" s="14"/>
      <c r="E72" s="14"/>
      <c r="F72" s="14"/>
      <c r="G72" s="15">
        <v>0</v>
      </c>
      <c r="H72" s="14">
        <v>30</v>
      </c>
      <c r="I72" s="14" t="s">
        <v>43</v>
      </c>
      <c r="J72" s="14"/>
      <c r="K72" s="14"/>
      <c r="L72" s="14">
        <f t="shared" si="20"/>
        <v>0</v>
      </c>
      <c r="M72" s="14">
        <f t="shared" si="21"/>
        <v>0</v>
      </c>
      <c r="N72" s="14"/>
      <c r="O72" s="14"/>
      <c r="P72" s="14">
        <v>0</v>
      </c>
      <c r="Q72" s="14"/>
      <c r="R72" s="14">
        <f>IFERROR(VLOOKUP(A72,[1]Sheet!$A:$D,4,0),0)</f>
        <v>0</v>
      </c>
      <c r="S72" s="14"/>
      <c r="T72" s="14">
        <v>0</v>
      </c>
      <c r="U72" s="14"/>
      <c r="V72" s="14">
        <f t="shared" si="22"/>
        <v>0</v>
      </c>
      <c r="W72" s="16"/>
      <c r="X72" s="16"/>
      <c r="Y72" s="14"/>
      <c r="Z72" s="14"/>
      <c r="AA72" s="14" t="e">
        <f t="shared" si="23"/>
        <v>#DIV/0!</v>
      </c>
      <c r="AB72" s="14" t="e">
        <f t="shared" si="24"/>
        <v>#DIV/0!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 t="s">
        <v>59</v>
      </c>
      <c r="AL72" s="14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1:52" x14ac:dyDescent="0.25">
      <c r="A73" s="18" t="s">
        <v>123</v>
      </c>
      <c r="B73" s="18" t="s">
        <v>47</v>
      </c>
      <c r="C73" s="18">
        <v>151</v>
      </c>
      <c r="D73" s="18">
        <v>37</v>
      </c>
      <c r="E73" s="18">
        <v>187</v>
      </c>
      <c r="F73" s="18">
        <v>-15</v>
      </c>
      <c r="G73" s="7">
        <v>0.6</v>
      </c>
      <c r="H73" s="18">
        <v>55</v>
      </c>
      <c r="I73" s="10" t="s">
        <v>92</v>
      </c>
      <c r="J73" s="18"/>
      <c r="K73" s="18">
        <v>195</v>
      </c>
      <c r="L73" s="18">
        <f t="shared" si="20"/>
        <v>-8</v>
      </c>
      <c r="M73" s="18">
        <f t="shared" si="21"/>
        <v>187</v>
      </c>
      <c r="N73" s="18"/>
      <c r="O73" s="18"/>
      <c r="P73" s="18">
        <v>137.19999999999999</v>
      </c>
      <c r="Q73" s="18"/>
      <c r="R73" s="18">
        <f>IFERROR(VLOOKUP(A73,[1]Sheet!$A:$D,4,0),0)</f>
        <v>0</v>
      </c>
      <c r="S73" s="18"/>
      <c r="T73" s="18">
        <v>190.6</v>
      </c>
      <c r="U73" s="18"/>
      <c r="V73" s="18">
        <f t="shared" si="22"/>
        <v>37.4</v>
      </c>
      <c r="W73" s="4">
        <f>11*V73-U73-T73-S73-Q73-P73-O73-F73</f>
        <v>98.6</v>
      </c>
      <c r="X73" s="4"/>
      <c r="Y73" s="18"/>
      <c r="Z73" s="18"/>
      <c r="AA73" s="18">
        <f t="shared" si="23"/>
        <v>11</v>
      </c>
      <c r="AB73" s="18">
        <f t="shared" si="24"/>
        <v>8.3636363636363633</v>
      </c>
      <c r="AC73" s="18">
        <v>31.4</v>
      </c>
      <c r="AD73" s="18">
        <v>26.2</v>
      </c>
      <c r="AE73" s="18">
        <v>20.2</v>
      </c>
      <c r="AF73" s="18">
        <v>13.4</v>
      </c>
      <c r="AG73" s="18">
        <v>19.5</v>
      </c>
      <c r="AH73" s="18">
        <v>28.5</v>
      </c>
      <c r="AI73" s="18">
        <v>27.6</v>
      </c>
      <c r="AJ73" s="18">
        <v>30.6</v>
      </c>
      <c r="AK73" s="18"/>
      <c r="AL73" s="18">
        <f>G73*W73</f>
        <v>59.16</v>
      </c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1:52" x14ac:dyDescent="0.25">
      <c r="A74" s="14" t="s">
        <v>124</v>
      </c>
      <c r="B74" s="14" t="s">
        <v>47</v>
      </c>
      <c r="C74" s="14"/>
      <c r="D74" s="14"/>
      <c r="E74" s="14"/>
      <c r="F74" s="14"/>
      <c r="G74" s="15">
        <v>0</v>
      </c>
      <c r="H74" s="14">
        <v>40</v>
      </c>
      <c r="I74" s="14" t="s">
        <v>43</v>
      </c>
      <c r="J74" s="14"/>
      <c r="K74" s="14"/>
      <c r="L74" s="14">
        <f t="shared" si="20"/>
        <v>0</v>
      </c>
      <c r="M74" s="14">
        <f t="shared" si="21"/>
        <v>0</v>
      </c>
      <c r="N74" s="14"/>
      <c r="O74" s="14"/>
      <c r="P74" s="14">
        <v>0</v>
      </c>
      <c r="Q74" s="14"/>
      <c r="R74" s="14">
        <f>IFERROR(VLOOKUP(A74,[1]Sheet!$A:$D,4,0),0)</f>
        <v>0</v>
      </c>
      <c r="S74" s="14"/>
      <c r="T74" s="14">
        <v>0</v>
      </c>
      <c r="U74" s="14"/>
      <c r="V74" s="14">
        <f t="shared" si="22"/>
        <v>0</v>
      </c>
      <c r="W74" s="16"/>
      <c r="X74" s="16"/>
      <c r="Y74" s="14"/>
      <c r="Z74" s="14"/>
      <c r="AA74" s="14" t="e">
        <f t="shared" si="23"/>
        <v>#DIV/0!</v>
      </c>
      <c r="AB74" s="14" t="e">
        <f t="shared" si="24"/>
        <v>#DIV/0!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 t="s">
        <v>125</v>
      </c>
      <c r="AL74" s="14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1:52" x14ac:dyDescent="0.25">
      <c r="A75" s="18" t="s">
        <v>126</v>
      </c>
      <c r="B75" s="18" t="s">
        <v>47</v>
      </c>
      <c r="C75" s="18">
        <v>57</v>
      </c>
      <c r="D75" s="18">
        <v>88</v>
      </c>
      <c r="E75" s="18">
        <v>68</v>
      </c>
      <c r="F75" s="18">
        <v>88</v>
      </c>
      <c r="G75" s="7">
        <v>0.4</v>
      </c>
      <c r="H75" s="18">
        <v>50</v>
      </c>
      <c r="I75" s="18" t="s">
        <v>43</v>
      </c>
      <c r="J75" s="18"/>
      <c r="K75" s="18">
        <v>69</v>
      </c>
      <c r="L75" s="18">
        <f t="shared" si="20"/>
        <v>-1</v>
      </c>
      <c r="M75" s="18">
        <f t="shared" si="21"/>
        <v>68</v>
      </c>
      <c r="N75" s="18"/>
      <c r="O75" s="18"/>
      <c r="P75" s="18">
        <v>21.599999999999991</v>
      </c>
      <c r="Q75" s="18"/>
      <c r="R75" s="18">
        <f>IFERROR(VLOOKUP(A75,[1]Sheet!$A:$D,4,0),0)</f>
        <v>0</v>
      </c>
      <c r="S75" s="18"/>
      <c r="T75" s="18">
        <v>0</v>
      </c>
      <c r="U75" s="18"/>
      <c r="V75" s="18">
        <f t="shared" si="22"/>
        <v>13.6</v>
      </c>
      <c r="W75" s="4">
        <f>11*V75-U75-T75-S75-Q75-P75-O75-F75</f>
        <v>40</v>
      </c>
      <c r="X75" s="4"/>
      <c r="Y75" s="18"/>
      <c r="Z75" s="18"/>
      <c r="AA75" s="18">
        <f t="shared" si="23"/>
        <v>11</v>
      </c>
      <c r="AB75" s="18">
        <f t="shared" si="24"/>
        <v>8.0588235294117645</v>
      </c>
      <c r="AC75" s="18">
        <v>11</v>
      </c>
      <c r="AD75" s="18">
        <v>14.4</v>
      </c>
      <c r="AE75" s="18">
        <v>14.4</v>
      </c>
      <c r="AF75" s="18">
        <v>8.8000000000000007</v>
      </c>
      <c r="AG75" s="18">
        <v>8.8333333333333339</v>
      </c>
      <c r="AH75" s="18">
        <v>15.83333333333333</v>
      </c>
      <c r="AI75" s="18">
        <v>11.2</v>
      </c>
      <c r="AJ75" s="18">
        <v>9.1999999999999993</v>
      </c>
      <c r="AK75" s="18" t="s">
        <v>48</v>
      </c>
      <c r="AL75" s="18">
        <f>G75*W75</f>
        <v>16</v>
      </c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1:52" x14ac:dyDescent="0.25">
      <c r="A76" s="14" t="s">
        <v>127</v>
      </c>
      <c r="B76" s="14" t="s">
        <v>47</v>
      </c>
      <c r="C76" s="14"/>
      <c r="D76" s="14"/>
      <c r="E76" s="14"/>
      <c r="F76" s="14"/>
      <c r="G76" s="15">
        <v>0</v>
      </c>
      <c r="H76" s="14">
        <v>55</v>
      </c>
      <c r="I76" s="14" t="s">
        <v>43</v>
      </c>
      <c r="J76" s="14"/>
      <c r="K76" s="14"/>
      <c r="L76" s="14">
        <f t="shared" si="20"/>
        <v>0</v>
      </c>
      <c r="M76" s="14">
        <f t="shared" si="21"/>
        <v>0</v>
      </c>
      <c r="N76" s="14"/>
      <c r="O76" s="14"/>
      <c r="P76" s="14">
        <v>0</v>
      </c>
      <c r="Q76" s="14"/>
      <c r="R76" s="14">
        <f>IFERROR(VLOOKUP(A76,[1]Sheet!$A:$D,4,0),0)</f>
        <v>0</v>
      </c>
      <c r="S76" s="14"/>
      <c r="T76" s="14">
        <v>0</v>
      </c>
      <c r="U76" s="14"/>
      <c r="V76" s="14">
        <f t="shared" si="22"/>
        <v>0</v>
      </c>
      <c r="W76" s="16"/>
      <c r="X76" s="16"/>
      <c r="Y76" s="14"/>
      <c r="Z76" s="14"/>
      <c r="AA76" s="14" t="e">
        <f t="shared" si="23"/>
        <v>#DIV/0!</v>
      </c>
      <c r="AB76" s="14" t="e">
        <f t="shared" si="24"/>
        <v>#DIV/0!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 t="s">
        <v>128</v>
      </c>
      <c r="AL76" s="14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1:52" x14ac:dyDescent="0.25">
      <c r="A77" s="18" t="s">
        <v>129</v>
      </c>
      <c r="B77" s="18" t="s">
        <v>42</v>
      </c>
      <c r="C77" s="18">
        <v>1.4039999999999999</v>
      </c>
      <c r="D77" s="18">
        <v>11.535</v>
      </c>
      <c r="E77" s="18">
        <v>3.3889999999999998</v>
      </c>
      <c r="F77" s="18">
        <v>8.6</v>
      </c>
      <c r="G77" s="7">
        <v>1</v>
      </c>
      <c r="H77" s="18">
        <v>55</v>
      </c>
      <c r="I77" s="18" t="s">
        <v>43</v>
      </c>
      <c r="J77" s="18"/>
      <c r="K77" s="18">
        <v>4</v>
      </c>
      <c r="L77" s="18">
        <f t="shared" si="20"/>
        <v>-0.61100000000000021</v>
      </c>
      <c r="M77" s="18">
        <f t="shared" si="21"/>
        <v>3.3889999999999998</v>
      </c>
      <c r="N77" s="18"/>
      <c r="O77" s="18"/>
      <c r="P77" s="18">
        <v>12.9488</v>
      </c>
      <c r="Q77" s="18"/>
      <c r="R77" s="18">
        <f>IFERROR(VLOOKUP(A77,[1]Sheet!$A:$D,4,0),0)</f>
        <v>0</v>
      </c>
      <c r="S77" s="18"/>
      <c r="T77" s="18">
        <v>4</v>
      </c>
      <c r="U77" s="18"/>
      <c r="V77" s="18">
        <f t="shared" si="22"/>
        <v>0.67779999999999996</v>
      </c>
      <c r="W77" s="4"/>
      <c r="X77" s="4"/>
      <c r="Y77" s="18"/>
      <c r="Z77" s="18"/>
      <c r="AA77" s="18">
        <f t="shared" si="23"/>
        <v>37.693714960165245</v>
      </c>
      <c r="AB77" s="18">
        <f t="shared" si="24"/>
        <v>37.693714960165245</v>
      </c>
      <c r="AC77" s="18">
        <v>1.5618000000000001</v>
      </c>
      <c r="AD77" s="18">
        <v>2.0392000000000001</v>
      </c>
      <c r="AE77" s="18">
        <v>1.1514</v>
      </c>
      <c r="AF77" s="18">
        <v>1.147</v>
      </c>
      <c r="AG77" s="18">
        <v>1.1916666666666671</v>
      </c>
      <c r="AH77" s="18">
        <v>1.1919999999999999</v>
      </c>
      <c r="AI77" s="18">
        <v>0.57440000000000002</v>
      </c>
      <c r="AJ77" s="18">
        <v>1.1484000000000001</v>
      </c>
      <c r="AK77" s="18"/>
      <c r="AL77" s="18">
        <f t="shared" ref="AL77:AL89" si="25">G77*W77</f>
        <v>0</v>
      </c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1:52" x14ac:dyDescent="0.25">
      <c r="A78" s="18" t="s">
        <v>130</v>
      </c>
      <c r="B78" s="18" t="s">
        <v>42</v>
      </c>
      <c r="C78" s="18">
        <v>2926.098</v>
      </c>
      <c r="D78" s="18">
        <v>986.03800000000001</v>
      </c>
      <c r="E78" s="18">
        <v>1856.221</v>
      </c>
      <c r="F78" s="18">
        <v>1896.3040000000001</v>
      </c>
      <c r="G78" s="7">
        <v>1</v>
      </c>
      <c r="H78" s="18">
        <v>60</v>
      </c>
      <c r="I78" s="18" t="s">
        <v>43</v>
      </c>
      <c r="J78" s="18"/>
      <c r="K78" s="18">
        <v>1916.2</v>
      </c>
      <c r="L78" s="18">
        <f t="shared" si="20"/>
        <v>-59.979000000000042</v>
      </c>
      <c r="M78" s="18">
        <f t="shared" si="21"/>
        <v>1856.221</v>
      </c>
      <c r="N78" s="18"/>
      <c r="O78" s="18"/>
      <c r="P78" s="18">
        <v>482.75181999999933</v>
      </c>
      <c r="Q78" s="18">
        <v>900</v>
      </c>
      <c r="R78" s="18">
        <f>IFERROR(VLOOKUP(A78,[1]Sheet!$A:$D,4,0),0)</f>
        <v>0</v>
      </c>
      <c r="S78" s="18">
        <v>300</v>
      </c>
      <c r="T78" s="18">
        <v>275.33527999999978</v>
      </c>
      <c r="U78" s="18">
        <v>696.881934</v>
      </c>
      <c r="V78" s="18">
        <f t="shared" si="22"/>
        <v>371.24419999999998</v>
      </c>
      <c r="W78" s="4"/>
      <c r="X78" s="4"/>
      <c r="Y78" s="18"/>
      <c r="Z78" s="18"/>
      <c r="AA78" s="18">
        <f t="shared" si="23"/>
        <v>12.259512832793078</v>
      </c>
      <c r="AB78" s="18">
        <f t="shared" si="24"/>
        <v>12.259512832793078</v>
      </c>
      <c r="AC78" s="18">
        <v>368.72059999999999</v>
      </c>
      <c r="AD78" s="18">
        <v>383.53820000000002</v>
      </c>
      <c r="AE78" s="18">
        <v>415.07600000000002</v>
      </c>
      <c r="AF78" s="18">
        <v>388.7432</v>
      </c>
      <c r="AG78" s="18">
        <v>477.17983333333342</v>
      </c>
      <c r="AH78" s="18">
        <v>512.40033333333338</v>
      </c>
      <c r="AI78" s="18">
        <v>422.93639999999988</v>
      </c>
      <c r="AJ78" s="18">
        <v>386.452</v>
      </c>
      <c r="AK78" s="18" t="s">
        <v>54</v>
      </c>
      <c r="AL78" s="18">
        <f t="shared" si="25"/>
        <v>0</v>
      </c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1:52" x14ac:dyDescent="0.25">
      <c r="A79" s="18" t="s">
        <v>131</v>
      </c>
      <c r="B79" s="18" t="s">
        <v>42</v>
      </c>
      <c r="C79" s="18">
        <v>395.74200000000002</v>
      </c>
      <c r="D79" s="18">
        <v>550.78899999999999</v>
      </c>
      <c r="E79" s="18">
        <v>587.14499999999998</v>
      </c>
      <c r="F79" s="18">
        <v>284.79300000000001</v>
      </c>
      <c r="G79" s="7">
        <v>1</v>
      </c>
      <c r="H79" s="18">
        <v>60</v>
      </c>
      <c r="I79" s="18" t="s">
        <v>43</v>
      </c>
      <c r="J79" s="18"/>
      <c r="K79" s="18">
        <v>655.18299999999999</v>
      </c>
      <c r="L79" s="18">
        <f t="shared" si="20"/>
        <v>-68.038000000000011</v>
      </c>
      <c r="M79" s="18">
        <f t="shared" si="21"/>
        <v>587.14499999999998</v>
      </c>
      <c r="N79" s="18"/>
      <c r="O79" s="18">
        <v>150</v>
      </c>
      <c r="P79" s="18">
        <v>489.6413083333332</v>
      </c>
      <c r="Q79" s="18"/>
      <c r="R79" s="18">
        <f>IFERROR(VLOOKUP(A79,[1]Sheet!$A:$D,4,0),0)</f>
        <v>0</v>
      </c>
      <c r="S79" s="18"/>
      <c r="T79" s="18">
        <v>438.09950956000017</v>
      </c>
      <c r="U79" s="18">
        <v>234.50893199999999</v>
      </c>
      <c r="V79" s="18">
        <f t="shared" si="22"/>
        <v>117.429</v>
      </c>
      <c r="W79" s="4"/>
      <c r="X79" s="4"/>
      <c r="Y79" s="18"/>
      <c r="Z79" s="18"/>
      <c r="AA79" s="18">
        <f t="shared" si="23"/>
        <v>13.600071105888096</v>
      </c>
      <c r="AB79" s="18">
        <f t="shared" si="24"/>
        <v>13.600071105888096</v>
      </c>
      <c r="AC79" s="18">
        <v>124.0788</v>
      </c>
      <c r="AD79" s="18">
        <v>111.386</v>
      </c>
      <c r="AE79" s="18">
        <v>117.4562</v>
      </c>
      <c r="AF79" s="18">
        <v>117.462</v>
      </c>
      <c r="AG79" s="18">
        <v>106.5605</v>
      </c>
      <c r="AH79" s="18">
        <v>112.21566666666671</v>
      </c>
      <c r="AI79" s="18">
        <v>93.206400000000002</v>
      </c>
      <c r="AJ79" s="18">
        <v>104.95820000000001</v>
      </c>
      <c r="AK79" s="18"/>
      <c r="AL79" s="18">
        <f t="shared" si="25"/>
        <v>0</v>
      </c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1:52" x14ac:dyDescent="0.25">
      <c r="A80" s="18" t="s">
        <v>132</v>
      </c>
      <c r="B80" s="18" t="s">
        <v>42</v>
      </c>
      <c r="C80" s="18">
        <v>2748.14</v>
      </c>
      <c r="D80" s="18">
        <v>896.47199999999998</v>
      </c>
      <c r="E80" s="18">
        <v>1226.9760000000001</v>
      </c>
      <c r="F80" s="18">
        <v>2148.2440000000001</v>
      </c>
      <c r="G80" s="7">
        <v>1</v>
      </c>
      <c r="H80" s="18">
        <v>60</v>
      </c>
      <c r="I80" s="18" t="s">
        <v>43</v>
      </c>
      <c r="J80" s="18"/>
      <c r="K80" s="18">
        <v>1385.3140000000001</v>
      </c>
      <c r="L80" s="18">
        <f t="shared" si="20"/>
        <v>-158.33799999999997</v>
      </c>
      <c r="M80" s="18">
        <f t="shared" si="21"/>
        <v>1062.162</v>
      </c>
      <c r="N80" s="18">
        <v>164.81399999999999</v>
      </c>
      <c r="O80" s="18"/>
      <c r="P80" s="18">
        <v>0</v>
      </c>
      <c r="Q80" s="18"/>
      <c r="R80" s="18">
        <f>IFERROR(VLOOKUP(A80,[1]Sheet!$A:$D,4,0),0)</f>
        <v>0</v>
      </c>
      <c r="S80" s="18"/>
      <c r="T80" s="18">
        <v>349.95450000000011</v>
      </c>
      <c r="U80" s="18">
        <v>440.94267000000002</v>
      </c>
      <c r="V80" s="18">
        <f t="shared" si="22"/>
        <v>212.4324</v>
      </c>
      <c r="W80" s="4"/>
      <c r="X80" s="4"/>
      <c r="Y80" s="18"/>
      <c r="Z80" s="18"/>
      <c r="AA80" s="18">
        <f t="shared" si="23"/>
        <v>13.835653930379737</v>
      </c>
      <c r="AB80" s="18">
        <f t="shared" si="24"/>
        <v>13.835653930379737</v>
      </c>
      <c r="AC80" s="18">
        <v>233.303</v>
      </c>
      <c r="AD80" s="18">
        <v>232.3142</v>
      </c>
      <c r="AE80" s="18">
        <v>276.44799999999998</v>
      </c>
      <c r="AF80" s="18">
        <v>331.80840000000001</v>
      </c>
      <c r="AG80" s="18">
        <v>365.2761666666666</v>
      </c>
      <c r="AH80" s="18">
        <v>363.50683333333342</v>
      </c>
      <c r="AI80" s="18">
        <v>260.88420000000002</v>
      </c>
      <c r="AJ80" s="18">
        <v>328.93779999999998</v>
      </c>
      <c r="AK80" s="18" t="s">
        <v>133</v>
      </c>
      <c r="AL80" s="18">
        <f t="shared" si="25"/>
        <v>0</v>
      </c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x14ac:dyDescent="0.25">
      <c r="A81" s="18" t="s">
        <v>64</v>
      </c>
      <c r="B81" s="18" t="s">
        <v>42</v>
      </c>
      <c r="C81" s="18">
        <v>1772.847</v>
      </c>
      <c r="D81" s="18">
        <v>3430.9720000000002</v>
      </c>
      <c r="E81" s="19">
        <f>2231.202+E21</f>
        <v>2233.7180000000003</v>
      </c>
      <c r="F81" s="19">
        <f>2260.251+F21</f>
        <v>2252.7270000000003</v>
      </c>
      <c r="G81" s="7">
        <v>1</v>
      </c>
      <c r="H81" s="18">
        <v>60</v>
      </c>
      <c r="I81" s="18" t="s">
        <v>43</v>
      </c>
      <c r="J81" s="18"/>
      <c r="K81" s="18">
        <v>2807.5039999999999</v>
      </c>
      <c r="L81" s="18">
        <f t="shared" si="20"/>
        <v>-573.7859999999996</v>
      </c>
      <c r="M81" s="18">
        <f t="shared" si="21"/>
        <v>2008.2410000000002</v>
      </c>
      <c r="N81" s="18">
        <v>225.477</v>
      </c>
      <c r="O81" s="18">
        <v>1000</v>
      </c>
      <c r="P81" s="18">
        <v>0</v>
      </c>
      <c r="Q81" s="18"/>
      <c r="R81" s="18">
        <f>IFERROR(VLOOKUP(A81,[1]Sheet!$A:$D,4,0),0)</f>
        <v>202</v>
      </c>
      <c r="S81" s="18"/>
      <c r="T81" s="18">
        <v>543.27150000000006</v>
      </c>
      <c r="U81" s="18">
        <v>684.52209000000005</v>
      </c>
      <c r="V81" s="18">
        <f t="shared" si="22"/>
        <v>401.64820000000003</v>
      </c>
      <c r="W81" s="4"/>
      <c r="X81" s="4"/>
      <c r="Y81" s="18"/>
      <c r="Z81" s="18"/>
      <c r="AA81" s="18">
        <f t="shared" si="23"/>
        <v>11.155335913368965</v>
      </c>
      <c r="AB81" s="18">
        <f t="shared" si="24"/>
        <v>11.155335913368965</v>
      </c>
      <c r="AC81" s="18">
        <v>362.18099999999998</v>
      </c>
      <c r="AD81" s="18">
        <v>376.33399999999989</v>
      </c>
      <c r="AE81" s="18">
        <v>533.49</v>
      </c>
      <c r="AF81" s="18">
        <v>467.63459999999998</v>
      </c>
      <c r="AG81" s="18">
        <v>435.58100000000002</v>
      </c>
      <c r="AH81" s="18">
        <v>470.60383333333328</v>
      </c>
      <c r="AI81" s="18">
        <v>379.06599999999997</v>
      </c>
      <c r="AJ81" s="18">
        <v>346.77960000000002</v>
      </c>
      <c r="AK81" s="18" t="s">
        <v>54</v>
      </c>
      <c r="AL81" s="18">
        <f t="shared" si="25"/>
        <v>0</v>
      </c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x14ac:dyDescent="0.25">
      <c r="A82" s="18" t="s">
        <v>134</v>
      </c>
      <c r="B82" s="18" t="s">
        <v>42</v>
      </c>
      <c r="C82" s="18">
        <v>7.2759999999999998</v>
      </c>
      <c r="D82" s="18"/>
      <c r="E82" s="18">
        <v>2.4049999999999998</v>
      </c>
      <c r="F82" s="18">
        <v>4.8710000000000004</v>
      </c>
      <c r="G82" s="7">
        <v>1</v>
      </c>
      <c r="H82" s="18">
        <v>60</v>
      </c>
      <c r="I82" s="18" t="s">
        <v>43</v>
      </c>
      <c r="J82" s="18"/>
      <c r="K82" s="18">
        <v>2.6</v>
      </c>
      <c r="L82" s="18">
        <f t="shared" si="20"/>
        <v>-0.19500000000000028</v>
      </c>
      <c r="M82" s="18">
        <f t="shared" si="21"/>
        <v>2.4049999999999998</v>
      </c>
      <c r="N82" s="18"/>
      <c r="O82" s="18"/>
      <c r="P82" s="18">
        <v>4</v>
      </c>
      <c r="Q82" s="18"/>
      <c r="R82" s="18">
        <f>IFERROR(VLOOKUP(A82,[1]Sheet!$A:$D,4,0),0)</f>
        <v>0</v>
      </c>
      <c r="S82" s="18"/>
      <c r="T82" s="18">
        <v>0</v>
      </c>
      <c r="U82" s="18"/>
      <c r="V82" s="18">
        <f t="shared" si="22"/>
        <v>0.48099999999999998</v>
      </c>
      <c r="W82" s="4"/>
      <c r="X82" s="4"/>
      <c r="Y82" s="18"/>
      <c r="Z82" s="18"/>
      <c r="AA82" s="18">
        <f t="shared" si="23"/>
        <v>18.442827442827443</v>
      </c>
      <c r="AB82" s="18">
        <f t="shared" si="24"/>
        <v>18.442827442827443</v>
      </c>
      <c r="AC82" s="18">
        <v>0.48100000000000021</v>
      </c>
      <c r="AD82" s="18">
        <v>0.9680000000000003</v>
      </c>
      <c r="AE82" s="18">
        <v>0.96799999999999997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 t="s">
        <v>135</v>
      </c>
      <c r="AL82" s="18">
        <f t="shared" si="25"/>
        <v>0</v>
      </c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x14ac:dyDescent="0.25">
      <c r="A83" s="18" t="s">
        <v>136</v>
      </c>
      <c r="B83" s="18" t="s">
        <v>47</v>
      </c>
      <c r="C83" s="18">
        <v>145</v>
      </c>
      <c r="D83" s="18">
        <v>92</v>
      </c>
      <c r="E83" s="18">
        <v>145</v>
      </c>
      <c r="F83" s="18">
        <v>93</v>
      </c>
      <c r="G83" s="7">
        <v>0.3</v>
      </c>
      <c r="H83" s="18">
        <v>40</v>
      </c>
      <c r="I83" s="18" t="s">
        <v>43</v>
      </c>
      <c r="J83" s="18"/>
      <c r="K83" s="18">
        <v>150</v>
      </c>
      <c r="L83" s="18">
        <f t="shared" si="20"/>
        <v>-5</v>
      </c>
      <c r="M83" s="18">
        <f t="shared" si="21"/>
        <v>145</v>
      </c>
      <c r="N83" s="18"/>
      <c r="O83" s="18"/>
      <c r="P83" s="18">
        <v>57.420039999999972</v>
      </c>
      <c r="Q83" s="18"/>
      <c r="R83" s="18">
        <f>IFERROR(VLOOKUP(A83,[1]Sheet!$A:$D,4,0),0)</f>
        <v>0</v>
      </c>
      <c r="S83" s="18"/>
      <c r="T83" s="18">
        <v>220.57996</v>
      </c>
      <c r="U83" s="18"/>
      <c r="V83" s="18">
        <f t="shared" si="22"/>
        <v>29</v>
      </c>
      <c r="W83" s="4"/>
      <c r="X83" s="4"/>
      <c r="Y83" s="18"/>
      <c r="Z83" s="18"/>
      <c r="AA83" s="18">
        <f t="shared" si="23"/>
        <v>12.793103448275861</v>
      </c>
      <c r="AB83" s="18">
        <f t="shared" si="24"/>
        <v>12.793103448275861</v>
      </c>
      <c r="AC83" s="18">
        <v>37</v>
      </c>
      <c r="AD83" s="18">
        <v>26.2</v>
      </c>
      <c r="AE83" s="18">
        <v>22</v>
      </c>
      <c r="AF83" s="18">
        <v>33.200000000000003</v>
      </c>
      <c r="AG83" s="18">
        <v>31.333333333333329</v>
      </c>
      <c r="AH83" s="18">
        <v>30.333333333333329</v>
      </c>
      <c r="AI83" s="18">
        <v>20.8</v>
      </c>
      <c r="AJ83" s="18">
        <v>26.2</v>
      </c>
      <c r="AK83" s="18"/>
      <c r="AL83" s="18">
        <f t="shared" si="25"/>
        <v>0</v>
      </c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1:52" x14ac:dyDescent="0.25">
      <c r="A84" s="18" t="s">
        <v>137</v>
      </c>
      <c r="B84" s="18" t="s">
        <v>47</v>
      </c>
      <c r="C84" s="18">
        <v>126</v>
      </c>
      <c r="D84" s="18">
        <v>77</v>
      </c>
      <c r="E84" s="18">
        <v>105</v>
      </c>
      <c r="F84" s="18">
        <v>98</v>
      </c>
      <c r="G84" s="7">
        <v>7.0000000000000007E-2</v>
      </c>
      <c r="H84" s="18">
        <v>90</v>
      </c>
      <c r="I84" s="18" t="s">
        <v>43</v>
      </c>
      <c r="J84" s="18"/>
      <c r="K84" s="18">
        <v>107</v>
      </c>
      <c r="L84" s="18">
        <f t="shared" si="20"/>
        <v>-2</v>
      </c>
      <c r="M84" s="18">
        <f t="shared" si="21"/>
        <v>105</v>
      </c>
      <c r="N84" s="18"/>
      <c r="O84" s="18"/>
      <c r="P84" s="18">
        <v>27.5</v>
      </c>
      <c r="Q84" s="18"/>
      <c r="R84" s="18">
        <f>IFERROR(VLOOKUP(A84,[1]Sheet!$A:$D,4,0),0)</f>
        <v>0</v>
      </c>
      <c r="S84" s="18"/>
      <c r="T84" s="18">
        <v>20.80000000000004</v>
      </c>
      <c r="U84" s="18"/>
      <c r="V84" s="18">
        <f t="shared" si="22"/>
        <v>21</v>
      </c>
      <c r="W84" s="4">
        <f t="shared" ref="W77:W89" si="26">11*V84-U84-T84-S84-Q84-P84-O84-F84</f>
        <v>84.69999999999996</v>
      </c>
      <c r="X84" s="4"/>
      <c r="Y84" s="18"/>
      <c r="Z84" s="18"/>
      <c r="AA84" s="18">
        <f t="shared" si="23"/>
        <v>11</v>
      </c>
      <c r="AB84" s="18">
        <f t="shared" si="24"/>
        <v>6.9666666666666686</v>
      </c>
      <c r="AC84" s="18">
        <v>16.600000000000001</v>
      </c>
      <c r="AD84" s="18">
        <v>19.399999999999999</v>
      </c>
      <c r="AE84" s="18">
        <v>18.2</v>
      </c>
      <c r="AF84" s="18">
        <v>17.600000000000001</v>
      </c>
      <c r="AG84" s="18">
        <v>19.333333333333329</v>
      </c>
      <c r="AH84" s="18">
        <v>20.5</v>
      </c>
      <c r="AI84" s="18">
        <v>15</v>
      </c>
      <c r="AJ84" s="18">
        <v>10.4</v>
      </c>
      <c r="AK84" s="18"/>
      <c r="AL84" s="18">
        <f t="shared" si="25"/>
        <v>5.9289999999999976</v>
      </c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1:52" x14ac:dyDescent="0.25">
      <c r="A85" s="18" t="s">
        <v>138</v>
      </c>
      <c r="B85" s="18" t="s">
        <v>47</v>
      </c>
      <c r="C85" s="18">
        <v>33</v>
      </c>
      <c r="D85" s="18">
        <v>235</v>
      </c>
      <c r="E85" s="18">
        <v>151</v>
      </c>
      <c r="F85" s="18">
        <v>123</v>
      </c>
      <c r="G85" s="7">
        <v>7.0000000000000007E-2</v>
      </c>
      <c r="H85" s="18">
        <v>90</v>
      </c>
      <c r="I85" s="18" t="s">
        <v>43</v>
      </c>
      <c r="J85" s="18"/>
      <c r="K85" s="18">
        <v>152</v>
      </c>
      <c r="L85" s="18">
        <f t="shared" si="20"/>
        <v>-1</v>
      </c>
      <c r="M85" s="18">
        <f t="shared" si="21"/>
        <v>151</v>
      </c>
      <c r="N85" s="18"/>
      <c r="O85" s="18"/>
      <c r="P85" s="18">
        <v>93.233333333333405</v>
      </c>
      <c r="Q85" s="18"/>
      <c r="R85" s="18">
        <f>IFERROR(VLOOKUP(A85,[1]Sheet!$A:$D,4,0),0)</f>
        <v>0</v>
      </c>
      <c r="S85" s="18"/>
      <c r="T85" s="18">
        <v>0</v>
      </c>
      <c r="U85" s="18"/>
      <c r="V85" s="18">
        <f t="shared" si="22"/>
        <v>30.2</v>
      </c>
      <c r="W85" s="4">
        <f t="shared" si="26"/>
        <v>115.96666666666658</v>
      </c>
      <c r="X85" s="4"/>
      <c r="Y85" s="18"/>
      <c r="Z85" s="18"/>
      <c r="AA85" s="18">
        <f t="shared" si="23"/>
        <v>11</v>
      </c>
      <c r="AB85" s="18">
        <f t="shared" si="24"/>
        <v>7.1600441501103775</v>
      </c>
      <c r="AC85" s="18">
        <v>21.8</v>
      </c>
      <c r="AD85" s="18">
        <v>31.2</v>
      </c>
      <c r="AE85" s="18">
        <v>27.4</v>
      </c>
      <c r="AF85" s="18">
        <v>21.4</v>
      </c>
      <c r="AG85" s="18">
        <v>20.666666666666671</v>
      </c>
      <c r="AH85" s="18">
        <v>18.833333333333329</v>
      </c>
      <c r="AI85" s="18">
        <v>16.8</v>
      </c>
      <c r="AJ85" s="18">
        <v>11.6</v>
      </c>
      <c r="AK85" s="18"/>
      <c r="AL85" s="18">
        <f t="shared" si="25"/>
        <v>8.1176666666666613</v>
      </c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1:52" x14ac:dyDescent="0.25">
      <c r="A86" s="18" t="s">
        <v>139</v>
      </c>
      <c r="B86" s="18" t="s">
        <v>47</v>
      </c>
      <c r="C86" s="18">
        <v>133</v>
      </c>
      <c r="D86" s="18">
        <v>23</v>
      </c>
      <c r="E86" s="18">
        <v>98</v>
      </c>
      <c r="F86" s="18">
        <v>59</v>
      </c>
      <c r="G86" s="7">
        <v>7.0000000000000007E-2</v>
      </c>
      <c r="H86" s="18">
        <v>90</v>
      </c>
      <c r="I86" s="18" t="s">
        <v>43</v>
      </c>
      <c r="J86" s="18"/>
      <c r="K86" s="18">
        <v>137</v>
      </c>
      <c r="L86" s="18">
        <f t="shared" si="20"/>
        <v>-39</v>
      </c>
      <c r="M86" s="18">
        <f t="shared" si="21"/>
        <v>98</v>
      </c>
      <c r="N86" s="18"/>
      <c r="O86" s="18"/>
      <c r="P86" s="18">
        <v>0</v>
      </c>
      <c r="Q86" s="18"/>
      <c r="R86" s="18">
        <f>IFERROR(VLOOKUP(A86,[1]Sheet!$A:$D,4,0),0)</f>
        <v>0</v>
      </c>
      <c r="S86" s="18"/>
      <c r="T86" s="18">
        <v>88.799999999999983</v>
      </c>
      <c r="U86" s="18"/>
      <c r="V86" s="18">
        <f t="shared" si="22"/>
        <v>19.600000000000001</v>
      </c>
      <c r="W86" s="4">
        <f t="shared" si="26"/>
        <v>67.80000000000004</v>
      </c>
      <c r="X86" s="4"/>
      <c r="Y86" s="18"/>
      <c r="Z86" s="18"/>
      <c r="AA86" s="18">
        <f t="shared" si="23"/>
        <v>11</v>
      </c>
      <c r="AB86" s="18">
        <f t="shared" si="24"/>
        <v>7.540816326530611</v>
      </c>
      <c r="AC86" s="18">
        <v>16.399999999999999</v>
      </c>
      <c r="AD86" s="18">
        <v>10</v>
      </c>
      <c r="AE86" s="18">
        <v>10.6</v>
      </c>
      <c r="AF86" s="18">
        <v>18.399999999999999</v>
      </c>
      <c r="AG86" s="18">
        <v>18.833333333333329</v>
      </c>
      <c r="AH86" s="18">
        <v>14</v>
      </c>
      <c r="AI86" s="18">
        <v>11.2</v>
      </c>
      <c r="AJ86" s="18">
        <v>13</v>
      </c>
      <c r="AK86" s="18"/>
      <c r="AL86" s="18">
        <f t="shared" si="25"/>
        <v>4.7460000000000031</v>
      </c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1:52" x14ac:dyDescent="0.25">
      <c r="A87" s="18" t="s">
        <v>140</v>
      </c>
      <c r="B87" s="18" t="s">
        <v>47</v>
      </c>
      <c r="C87" s="18">
        <v>111</v>
      </c>
      <c r="D87" s="18">
        <v>108</v>
      </c>
      <c r="E87" s="18">
        <v>113</v>
      </c>
      <c r="F87" s="18">
        <v>110</v>
      </c>
      <c r="G87" s="7">
        <v>0.05</v>
      </c>
      <c r="H87" s="18">
        <v>90</v>
      </c>
      <c r="I87" s="18" t="s">
        <v>43</v>
      </c>
      <c r="J87" s="18"/>
      <c r="K87" s="18">
        <v>114</v>
      </c>
      <c r="L87" s="18">
        <f t="shared" si="20"/>
        <v>-1</v>
      </c>
      <c r="M87" s="18">
        <f t="shared" si="21"/>
        <v>113</v>
      </c>
      <c r="N87" s="18"/>
      <c r="O87" s="18"/>
      <c r="P87" s="18">
        <v>0</v>
      </c>
      <c r="Q87" s="18"/>
      <c r="R87" s="18">
        <f>IFERROR(VLOOKUP(A87,[1]Sheet!$A:$D,4,0),0)</f>
        <v>0</v>
      </c>
      <c r="S87" s="18"/>
      <c r="T87" s="18">
        <v>31.800000000000011</v>
      </c>
      <c r="U87" s="18"/>
      <c r="V87" s="18">
        <f t="shared" si="22"/>
        <v>22.6</v>
      </c>
      <c r="W87" s="4">
        <f t="shared" si="26"/>
        <v>106.80000000000001</v>
      </c>
      <c r="X87" s="4"/>
      <c r="Y87" s="18"/>
      <c r="Z87" s="18"/>
      <c r="AA87" s="18">
        <f t="shared" si="23"/>
        <v>11</v>
      </c>
      <c r="AB87" s="18">
        <f t="shared" si="24"/>
        <v>6.2743362831858409</v>
      </c>
      <c r="AC87" s="18">
        <v>16</v>
      </c>
      <c r="AD87" s="18">
        <v>16.2</v>
      </c>
      <c r="AE87" s="18">
        <v>17.2</v>
      </c>
      <c r="AF87" s="18">
        <v>19.2</v>
      </c>
      <c r="AG87" s="18">
        <v>17.333333333333329</v>
      </c>
      <c r="AH87" s="18">
        <v>12.5</v>
      </c>
      <c r="AI87" s="18">
        <v>15.4</v>
      </c>
      <c r="AJ87" s="18">
        <v>9.1999999999999993</v>
      </c>
      <c r="AK87" s="18"/>
      <c r="AL87" s="18">
        <f t="shared" si="25"/>
        <v>5.3400000000000007</v>
      </c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1:52" x14ac:dyDescent="0.25">
      <c r="A88" s="18" t="s">
        <v>141</v>
      </c>
      <c r="B88" s="18" t="s">
        <v>47</v>
      </c>
      <c r="C88" s="18">
        <v>164</v>
      </c>
      <c r="D88" s="18">
        <v>5</v>
      </c>
      <c r="E88" s="18">
        <v>68</v>
      </c>
      <c r="F88" s="18">
        <v>101</v>
      </c>
      <c r="G88" s="7">
        <v>0.05</v>
      </c>
      <c r="H88" s="18">
        <v>90</v>
      </c>
      <c r="I88" s="18" t="s">
        <v>43</v>
      </c>
      <c r="J88" s="18"/>
      <c r="K88" s="18">
        <v>70</v>
      </c>
      <c r="L88" s="18">
        <f t="shared" si="20"/>
        <v>-2</v>
      </c>
      <c r="M88" s="18">
        <f t="shared" si="21"/>
        <v>68</v>
      </c>
      <c r="N88" s="18"/>
      <c r="O88" s="18"/>
      <c r="P88" s="18">
        <v>0</v>
      </c>
      <c r="Q88" s="18"/>
      <c r="R88" s="18">
        <f>IFERROR(VLOOKUP(A88,[1]Sheet!$A:$D,4,0),0)</f>
        <v>0</v>
      </c>
      <c r="S88" s="18"/>
      <c r="T88" s="18">
        <v>11.399999999999981</v>
      </c>
      <c r="U88" s="18"/>
      <c r="V88" s="18">
        <f t="shared" si="22"/>
        <v>13.6</v>
      </c>
      <c r="W88" s="4">
        <f t="shared" si="26"/>
        <v>37.200000000000017</v>
      </c>
      <c r="X88" s="4"/>
      <c r="Y88" s="18"/>
      <c r="Z88" s="18"/>
      <c r="AA88" s="18">
        <f t="shared" si="23"/>
        <v>11</v>
      </c>
      <c r="AB88" s="18">
        <f t="shared" si="24"/>
        <v>8.2647058823529402</v>
      </c>
      <c r="AC88" s="18">
        <v>12.2</v>
      </c>
      <c r="AD88" s="18">
        <v>12.2</v>
      </c>
      <c r="AE88" s="18">
        <v>12.6</v>
      </c>
      <c r="AF88" s="18">
        <v>14.4</v>
      </c>
      <c r="AG88" s="18">
        <v>18</v>
      </c>
      <c r="AH88" s="18">
        <v>19</v>
      </c>
      <c r="AI88" s="18">
        <v>16.399999999999999</v>
      </c>
      <c r="AJ88" s="18">
        <v>8.8000000000000007</v>
      </c>
      <c r="AK88" s="18"/>
      <c r="AL88" s="18">
        <f t="shared" si="25"/>
        <v>1.860000000000001</v>
      </c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1:52" x14ac:dyDescent="0.25">
      <c r="A89" s="18" t="s">
        <v>142</v>
      </c>
      <c r="B89" s="18" t="s">
        <v>47</v>
      </c>
      <c r="C89" s="18">
        <v>100</v>
      </c>
      <c r="D89" s="18">
        <v>5</v>
      </c>
      <c r="E89" s="18">
        <v>50</v>
      </c>
      <c r="F89" s="18">
        <v>56</v>
      </c>
      <c r="G89" s="7">
        <v>5.5E-2</v>
      </c>
      <c r="H89" s="18">
        <v>90</v>
      </c>
      <c r="I89" s="18" t="s">
        <v>43</v>
      </c>
      <c r="J89" s="18"/>
      <c r="K89" s="18">
        <v>53</v>
      </c>
      <c r="L89" s="18">
        <f t="shared" si="20"/>
        <v>-3</v>
      </c>
      <c r="M89" s="18">
        <f t="shared" si="21"/>
        <v>50</v>
      </c>
      <c r="N89" s="18"/>
      <c r="O89" s="18"/>
      <c r="P89" s="18">
        <v>0</v>
      </c>
      <c r="Q89" s="18"/>
      <c r="R89" s="18">
        <f>IFERROR(VLOOKUP(A89,[1]Sheet!$A:$D,4,0),0)</f>
        <v>0</v>
      </c>
      <c r="S89" s="18"/>
      <c r="T89" s="18">
        <v>34.399999999999991</v>
      </c>
      <c r="U89" s="18"/>
      <c r="V89" s="18">
        <f t="shared" si="22"/>
        <v>10</v>
      </c>
      <c r="W89" s="4">
        <f t="shared" si="26"/>
        <v>19.600000000000009</v>
      </c>
      <c r="X89" s="4"/>
      <c r="Y89" s="18"/>
      <c r="Z89" s="18"/>
      <c r="AA89" s="18">
        <f t="shared" si="23"/>
        <v>11</v>
      </c>
      <c r="AB89" s="18">
        <f t="shared" si="24"/>
        <v>9.0399999999999991</v>
      </c>
      <c r="AC89" s="18">
        <v>9.1999999999999993</v>
      </c>
      <c r="AD89" s="18">
        <v>7.6</v>
      </c>
      <c r="AE89" s="18">
        <v>6.8</v>
      </c>
      <c r="AF89" s="18">
        <v>10.6</v>
      </c>
      <c r="AG89" s="18">
        <v>12.16666666666667</v>
      </c>
      <c r="AH89" s="18">
        <v>6.833333333333333</v>
      </c>
      <c r="AI89" s="18">
        <v>5.4</v>
      </c>
      <c r="AJ89" s="18">
        <v>6.2</v>
      </c>
      <c r="AK89" s="18"/>
      <c r="AL89" s="18">
        <f t="shared" si="25"/>
        <v>1.0780000000000005</v>
      </c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1:52" x14ac:dyDescent="0.25">
      <c r="A90" s="11" t="s">
        <v>143</v>
      </c>
      <c r="B90" s="11" t="s">
        <v>47</v>
      </c>
      <c r="C90" s="11">
        <v>-1</v>
      </c>
      <c r="D90" s="11"/>
      <c r="E90" s="11"/>
      <c r="F90" s="11">
        <v>-1</v>
      </c>
      <c r="G90" s="12">
        <v>0</v>
      </c>
      <c r="H90" s="11" t="e">
        <v>#N/A</v>
      </c>
      <c r="I90" s="11" t="s">
        <v>63</v>
      </c>
      <c r="J90" s="11"/>
      <c r="K90" s="11"/>
      <c r="L90" s="11">
        <f t="shared" si="20"/>
        <v>0</v>
      </c>
      <c r="M90" s="11">
        <f t="shared" si="21"/>
        <v>0</v>
      </c>
      <c r="N90" s="11"/>
      <c r="O90" s="11"/>
      <c r="P90" s="11">
        <v>0</v>
      </c>
      <c r="Q90" s="11"/>
      <c r="R90" s="11">
        <f>IFERROR(VLOOKUP(A90,[1]Sheet!$A:$D,4,0),0)</f>
        <v>0</v>
      </c>
      <c r="S90" s="11"/>
      <c r="T90" s="11">
        <v>0</v>
      </c>
      <c r="U90" s="11"/>
      <c r="V90" s="11">
        <f t="shared" si="22"/>
        <v>0</v>
      </c>
      <c r="W90" s="13"/>
      <c r="X90" s="13"/>
      <c r="Y90" s="11"/>
      <c r="Z90" s="11"/>
      <c r="AA90" s="11" t="e">
        <f t="shared" si="23"/>
        <v>#DIV/0!</v>
      </c>
      <c r="AB90" s="11" t="e">
        <f t="shared" si="24"/>
        <v>#DIV/0!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/>
      <c r="AL90" s="11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1:52" x14ac:dyDescent="0.25">
      <c r="A91" s="18" t="s">
        <v>144</v>
      </c>
      <c r="B91" s="18" t="s">
        <v>42</v>
      </c>
      <c r="C91" s="18">
        <v>1098.0820000000001</v>
      </c>
      <c r="D91" s="18">
        <v>4518.9970000000003</v>
      </c>
      <c r="E91" s="18">
        <v>3921.16</v>
      </c>
      <c r="F91" s="18">
        <v>1142.6780000000001</v>
      </c>
      <c r="G91" s="7">
        <v>1</v>
      </c>
      <c r="H91" s="18">
        <v>40</v>
      </c>
      <c r="I91" s="18" t="s">
        <v>43</v>
      </c>
      <c r="J91" s="18"/>
      <c r="K91" s="18">
        <v>3723.7840000000001</v>
      </c>
      <c r="L91" s="18">
        <f t="shared" si="20"/>
        <v>197.37599999999975</v>
      </c>
      <c r="M91" s="18">
        <f t="shared" si="21"/>
        <v>3921.16</v>
      </c>
      <c r="N91" s="18"/>
      <c r="O91" s="18">
        <v>1500</v>
      </c>
      <c r="P91" s="18">
        <v>510.20423333333468</v>
      </c>
      <c r="Q91" s="18">
        <v>1990</v>
      </c>
      <c r="R91" s="18">
        <f>IFERROR(VLOOKUP(A91,[1]Sheet!$A:$D,4,0),0)</f>
        <v>0</v>
      </c>
      <c r="S91" s="18">
        <v>1090</v>
      </c>
      <c r="T91" s="18">
        <v>502.6903661899978</v>
      </c>
      <c r="U91" s="18"/>
      <c r="V91" s="18">
        <f t="shared" si="22"/>
        <v>784.23199999999997</v>
      </c>
      <c r="W91" s="4">
        <f t="shared" ref="W91:W97" si="27">11*V91-U91-T91-S91-Q91-P91-O91-F91</f>
        <v>1890.979400476667</v>
      </c>
      <c r="X91" s="4"/>
      <c r="Y91" s="18"/>
      <c r="Z91" s="18"/>
      <c r="AA91" s="18">
        <f t="shared" si="23"/>
        <v>11</v>
      </c>
      <c r="AB91" s="18">
        <f t="shared" si="24"/>
        <v>8.5887500121435139</v>
      </c>
      <c r="AC91" s="18">
        <v>764.19479999999999</v>
      </c>
      <c r="AD91" s="18">
        <v>810.47800000000007</v>
      </c>
      <c r="AE91" s="18">
        <v>783.82080000000008</v>
      </c>
      <c r="AF91" s="18">
        <v>744.96319999999992</v>
      </c>
      <c r="AG91" s="18">
        <v>668.07883333333336</v>
      </c>
      <c r="AH91" s="18">
        <v>718.29883333333328</v>
      </c>
      <c r="AI91" s="18">
        <v>771.76340000000005</v>
      </c>
      <c r="AJ91" s="18">
        <v>885.34859999999992</v>
      </c>
      <c r="AK91" s="18" t="s">
        <v>54</v>
      </c>
      <c r="AL91" s="18">
        <f t="shared" ref="AL91:AL97" si="28">G91*W91</f>
        <v>1890.979400476667</v>
      </c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1:52" x14ac:dyDescent="0.25">
      <c r="A92" s="10" t="s">
        <v>145</v>
      </c>
      <c r="B92" s="18" t="s">
        <v>42</v>
      </c>
      <c r="C92" s="18"/>
      <c r="D92" s="18"/>
      <c r="E92" s="18"/>
      <c r="F92" s="18"/>
      <c r="G92" s="7">
        <v>1</v>
      </c>
      <c r="H92" s="18">
        <v>60</v>
      </c>
      <c r="I92" s="18" t="s">
        <v>43</v>
      </c>
      <c r="J92" s="18"/>
      <c r="K92" s="18"/>
      <c r="L92" s="18">
        <f t="shared" si="20"/>
        <v>0</v>
      </c>
      <c r="M92" s="18">
        <f t="shared" si="21"/>
        <v>0</v>
      </c>
      <c r="N92" s="18"/>
      <c r="O92" s="18"/>
      <c r="P92" s="18"/>
      <c r="Q92" s="18"/>
      <c r="R92" s="18">
        <f>IFERROR(VLOOKUP(A92,[1]Sheet!$A:$D,4,0),0)</f>
        <v>0</v>
      </c>
      <c r="S92" s="18"/>
      <c r="T92" s="10"/>
      <c r="U92" s="18"/>
      <c r="V92" s="18">
        <f t="shared" si="22"/>
        <v>0</v>
      </c>
      <c r="W92" s="17">
        <v>4</v>
      </c>
      <c r="X92" s="4"/>
      <c r="Y92" s="18"/>
      <c r="Z92" s="18"/>
      <c r="AA92" s="18" t="e">
        <f t="shared" si="23"/>
        <v>#DIV/0!</v>
      </c>
      <c r="AB92" s="18" t="e">
        <f t="shared" si="24"/>
        <v>#DIV/0!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0" t="s">
        <v>146</v>
      </c>
      <c r="AL92" s="18">
        <f t="shared" si="28"/>
        <v>4</v>
      </c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1:52" x14ac:dyDescent="0.25">
      <c r="A93" s="18" t="s">
        <v>147</v>
      </c>
      <c r="B93" s="18" t="s">
        <v>47</v>
      </c>
      <c r="C93" s="18">
        <v>204</v>
      </c>
      <c r="D93" s="18">
        <v>228</v>
      </c>
      <c r="E93" s="18">
        <v>203</v>
      </c>
      <c r="F93" s="18">
        <v>228</v>
      </c>
      <c r="G93" s="7">
        <v>0.3</v>
      </c>
      <c r="H93" s="18">
        <v>40</v>
      </c>
      <c r="I93" s="18" t="s">
        <v>43</v>
      </c>
      <c r="J93" s="18"/>
      <c r="K93" s="18">
        <v>212</v>
      </c>
      <c r="L93" s="18">
        <f t="shared" si="20"/>
        <v>-9</v>
      </c>
      <c r="M93" s="18">
        <f t="shared" si="21"/>
        <v>203</v>
      </c>
      <c r="N93" s="18"/>
      <c r="O93" s="18"/>
      <c r="P93" s="18">
        <v>59.466666666666811</v>
      </c>
      <c r="Q93" s="18"/>
      <c r="R93" s="18">
        <f>IFERROR(VLOOKUP(A93,[1]Sheet!$A:$D,4,0),0)</f>
        <v>0</v>
      </c>
      <c r="S93" s="18"/>
      <c r="T93" s="18">
        <v>89.399999999999977</v>
      </c>
      <c r="U93" s="18"/>
      <c r="V93" s="18">
        <f t="shared" si="22"/>
        <v>40.6</v>
      </c>
      <c r="W93" s="4">
        <f t="shared" si="27"/>
        <v>69.733333333333235</v>
      </c>
      <c r="X93" s="4"/>
      <c r="Y93" s="18"/>
      <c r="Z93" s="18"/>
      <c r="AA93" s="18">
        <f t="shared" si="23"/>
        <v>11</v>
      </c>
      <c r="AB93" s="18">
        <f t="shared" si="24"/>
        <v>9.2824302134646981</v>
      </c>
      <c r="AC93" s="18">
        <v>40</v>
      </c>
      <c r="AD93" s="18">
        <v>44.6</v>
      </c>
      <c r="AE93" s="18">
        <v>45.4</v>
      </c>
      <c r="AF93" s="18">
        <v>39</v>
      </c>
      <c r="AG93" s="18">
        <v>45.333333333333343</v>
      </c>
      <c r="AH93" s="18">
        <v>53.666666666666657</v>
      </c>
      <c r="AI93" s="18">
        <v>44.2</v>
      </c>
      <c r="AJ93" s="18">
        <v>44.8</v>
      </c>
      <c r="AK93" s="18"/>
      <c r="AL93" s="18">
        <f t="shared" si="28"/>
        <v>20.91999999999997</v>
      </c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1:52" x14ac:dyDescent="0.25">
      <c r="A94" s="18" t="s">
        <v>148</v>
      </c>
      <c r="B94" s="18" t="s">
        <v>47</v>
      </c>
      <c r="C94" s="18">
        <v>56</v>
      </c>
      <c r="D94" s="18">
        <v>176</v>
      </c>
      <c r="E94" s="18">
        <v>113</v>
      </c>
      <c r="F94" s="18">
        <v>118</v>
      </c>
      <c r="G94" s="7">
        <v>0.3</v>
      </c>
      <c r="H94" s="18">
        <v>40</v>
      </c>
      <c r="I94" s="18" t="s">
        <v>43</v>
      </c>
      <c r="J94" s="18"/>
      <c r="K94" s="18">
        <v>117</v>
      </c>
      <c r="L94" s="18">
        <f t="shared" si="20"/>
        <v>-4</v>
      </c>
      <c r="M94" s="18">
        <f t="shared" si="21"/>
        <v>113</v>
      </c>
      <c r="N94" s="18"/>
      <c r="O94" s="18"/>
      <c r="P94" s="18">
        <v>47.666666666666657</v>
      </c>
      <c r="Q94" s="18"/>
      <c r="R94" s="18">
        <f>IFERROR(VLOOKUP(A94,[1]Sheet!$A:$D,4,0),0)</f>
        <v>0</v>
      </c>
      <c r="S94" s="18"/>
      <c r="T94" s="18">
        <v>57.075639999999908</v>
      </c>
      <c r="U94" s="18"/>
      <c r="V94" s="18">
        <f t="shared" si="22"/>
        <v>22.6</v>
      </c>
      <c r="W94" s="4">
        <f t="shared" si="27"/>
        <v>25.857693333333458</v>
      </c>
      <c r="X94" s="4"/>
      <c r="Y94" s="18"/>
      <c r="Z94" s="18"/>
      <c r="AA94" s="18">
        <f t="shared" si="23"/>
        <v>11</v>
      </c>
      <c r="AB94" s="18">
        <f t="shared" si="24"/>
        <v>9.8558542772861308</v>
      </c>
      <c r="AC94" s="18">
        <v>23.2</v>
      </c>
      <c r="AD94" s="18">
        <v>24.6</v>
      </c>
      <c r="AE94" s="18">
        <v>24.8</v>
      </c>
      <c r="AF94" s="18">
        <v>20.2</v>
      </c>
      <c r="AG94" s="18">
        <v>21.833333333333329</v>
      </c>
      <c r="AH94" s="18">
        <v>25.666666666666671</v>
      </c>
      <c r="AI94" s="18">
        <v>21.4</v>
      </c>
      <c r="AJ94" s="18">
        <v>21.6</v>
      </c>
      <c r="AK94" s="18" t="s">
        <v>149</v>
      </c>
      <c r="AL94" s="18">
        <f t="shared" si="28"/>
        <v>7.7573080000000374</v>
      </c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1:52" x14ac:dyDescent="0.25">
      <c r="A95" s="18" t="s">
        <v>150</v>
      </c>
      <c r="B95" s="18" t="s">
        <v>42</v>
      </c>
      <c r="C95" s="18">
        <v>104.16</v>
      </c>
      <c r="D95" s="18">
        <v>52.155000000000001</v>
      </c>
      <c r="E95" s="18">
        <v>58.481999999999999</v>
      </c>
      <c r="F95" s="18">
        <v>91.078000000000003</v>
      </c>
      <c r="G95" s="7">
        <v>1</v>
      </c>
      <c r="H95" s="18">
        <v>50</v>
      </c>
      <c r="I95" s="18" t="s">
        <v>43</v>
      </c>
      <c r="J95" s="18"/>
      <c r="K95" s="18">
        <v>56.1</v>
      </c>
      <c r="L95" s="18">
        <f t="shared" si="20"/>
        <v>2.3819999999999979</v>
      </c>
      <c r="M95" s="18">
        <f t="shared" si="21"/>
        <v>58.481999999999999</v>
      </c>
      <c r="N95" s="18"/>
      <c r="O95" s="18"/>
      <c r="P95" s="18">
        <v>0</v>
      </c>
      <c r="Q95" s="18"/>
      <c r="R95" s="18">
        <f>IFERROR(VLOOKUP(A95,[1]Sheet!$A:$D,4,0),0)</f>
        <v>0</v>
      </c>
      <c r="S95" s="18"/>
      <c r="T95" s="18">
        <v>44.241199999999992</v>
      </c>
      <c r="U95" s="18"/>
      <c r="V95" s="18">
        <f t="shared" si="22"/>
        <v>11.696400000000001</v>
      </c>
      <c r="W95" s="4"/>
      <c r="X95" s="4"/>
      <c r="Y95" s="18"/>
      <c r="Z95" s="18"/>
      <c r="AA95" s="18">
        <f t="shared" si="23"/>
        <v>11.569303375397558</v>
      </c>
      <c r="AB95" s="18">
        <f t="shared" si="24"/>
        <v>11.569303375397558</v>
      </c>
      <c r="AC95" s="18">
        <v>12.505000000000001</v>
      </c>
      <c r="AD95" s="18">
        <v>8.7232000000000003</v>
      </c>
      <c r="AE95" s="18">
        <v>10.574400000000001</v>
      </c>
      <c r="AF95" s="18">
        <v>7.8301999999999996</v>
      </c>
      <c r="AG95" s="18">
        <v>10.2995</v>
      </c>
      <c r="AH95" s="18">
        <v>12.304</v>
      </c>
      <c r="AI95" s="18">
        <v>13.163399999999999</v>
      </c>
      <c r="AJ95" s="18">
        <v>13.0406</v>
      </c>
      <c r="AK95" s="18"/>
      <c r="AL95" s="18">
        <f t="shared" si="28"/>
        <v>0</v>
      </c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1:52" x14ac:dyDescent="0.25">
      <c r="A96" s="18" t="s">
        <v>151</v>
      </c>
      <c r="B96" s="18" t="s">
        <v>47</v>
      </c>
      <c r="C96" s="18">
        <v>14</v>
      </c>
      <c r="D96" s="18">
        <v>66</v>
      </c>
      <c r="E96" s="18">
        <v>29</v>
      </c>
      <c r="F96" s="18">
        <v>52</v>
      </c>
      <c r="G96" s="7">
        <v>0.3</v>
      </c>
      <c r="H96" s="18">
        <v>40</v>
      </c>
      <c r="I96" s="18" t="s">
        <v>43</v>
      </c>
      <c r="J96" s="18"/>
      <c r="K96" s="18">
        <v>29</v>
      </c>
      <c r="L96" s="18">
        <f t="shared" si="20"/>
        <v>0</v>
      </c>
      <c r="M96" s="18">
        <f t="shared" si="21"/>
        <v>29</v>
      </c>
      <c r="N96" s="18"/>
      <c r="O96" s="18"/>
      <c r="P96" s="18">
        <v>4.4000000000000057</v>
      </c>
      <c r="Q96" s="18"/>
      <c r="R96" s="18">
        <f>IFERROR(VLOOKUP(A96,[1]Sheet!$A:$D,4,0),0)</f>
        <v>0</v>
      </c>
      <c r="S96" s="18"/>
      <c r="T96" s="18">
        <v>6</v>
      </c>
      <c r="U96" s="18"/>
      <c r="V96" s="18">
        <f t="shared" si="22"/>
        <v>5.8</v>
      </c>
      <c r="W96" s="4"/>
      <c r="X96" s="4"/>
      <c r="Y96" s="18"/>
      <c r="Z96" s="18"/>
      <c r="AA96" s="18">
        <f t="shared" si="23"/>
        <v>10.758620689655174</v>
      </c>
      <c r="AB96" s="18">
        <f t="shared" si="24"/>
        <v>10.758620689655174</v>
      </c>
      <c r="AC96" s="18">
        <v>6.2</v>
      </c>
      <c r="AD96" s="18">
        <v>7.4</v>
      </c>
      <c r="AE96" s="18">
        <v>8</v>
      </c>
      <c r="AF96" s="18">
        <v>4.4000000000000004</v>
      </c>
      <c r="AG96" s="18">
        <v>4.833333333333333</v>
      </c>
      <c r="AH96" s="18">
        <v>6.833333333333333</v>
      </c>
      <c r="AI96" s="18">
        <v>7</v>
      </c>
      <c r="AJ96" s="18">
        <v>4.8</v>
      </c>
      <c r="AK96" s="18"/>
      <c r="AL96" s="18">
        <f t="shared" si="28"/>
        <v>0</v>
      </c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1:52" x14ac:dyDescent="0.25">
      <c r="A97" s="18" t="s">
        <v>152</v>
      </c>
      <c r="B97" s="18" t="s">
        <v>47</v>
      </c>
      <c r="C97" s="18"/>
      <c r="D97" s="18"/>
      <c r="E97" s="18">
        <v>-2</v>
      </c>
      <c r="F97" s="18"/>
      <c r="G97" s="7">
        <v>0.12</v>
      </c>
      <c r="H97" s="18">
        <v>45</v>
      </c>
      <c r="I97" s="18" t="s">
        <v>43</v>
      </c>
      <c r="J97" s="18"/>
      <c r="K97" s="18">
        <v>3</v>
      </c>
      <c r="L97" s="18">
        <f t="shared" si="20"/>
        <v>-5</v>
      </c>
      <c r="M97" s="18">
        <f t="shared" si="21"/>
        <v>-2</v>
      </c>
      <c r="N97" s="18"/>
      <c r="O97" s="18"/>
      <c r="P97" s="18">
        <v>50</v>
      </c>
      <c r="Q97" s="18"/>
      <c r="R97" s="18">
        <f>IFERROR(VLOOKUP(A97,[1]Sheet!$A:$D,4,0),0)</f>
        <v>0</v>
      </c>
      <c r="S97" s="18"/>
      <c r="T97" s="18">
        <v>0</v>
      </c>
      <c r="U97" s="18"/>
      <c r="V97" s="18">
        <f t="shared" si="22"/>
        <v>-0.4</v>
      </c>
      <c r="W97" s="4"/>
      <c r="X97" s="4"/>
      <c r="Y97" s="18"/>
      <c r="Z97" s="18"/>
      <c r="AA97" s="18">
        <f t="shared" si="23"/>
        <v>-125</v>
      </c>
      <c r="AB97" s="18">
        <f t="shared" si="24"/>
        <v>-125</v>
      </c>
      <c r="AC97" s="18">
        <v>-0.2</v>
      </c>
      <c r="AD97" s="18">
        <v>-0.6</v>
      </c>
      <c r="AE97" s="18">
        <v>-0.6</v>
      </c>
      <c r="AF97" s="18">
        <v>0</v>
      </c>
      <c r="AG97" s="18">
        <v>7.333333333333333</v>
      </c>
      <c r="AH97" s="18">
        <v>6.833333333333333</v>
      </c>
      <c r="AI97" s="18">
        <v>0</v>
      </c>
      <c r="AJ97" s="18">
        <v>3.4</v>
      </c>
      <c r="AK97" s="18" t="s">
        <v>153</v>
      </c>
      <c r="AL97" s="18">
        <f t="shared" si="28"/>
        <v>0</v>
      </c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1:52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1:52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1:52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1:52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1:52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1:52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1:52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1:52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1:52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1:52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1:52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1:52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1:52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1:52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1:52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1:52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1:52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1:52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1:52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1:52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1:52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1:52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1:52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1:52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1:52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1:52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1:52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1:52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spans="1:52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1:52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spans="1:52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spans="1:52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1:52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spans="1:52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1:52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spans="1:52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1:52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spans="1:52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1:52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spans="1:52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1:52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spans="1:52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1:52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spans="1:52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1:52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spans="1:52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spans="1:52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1:52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spans="1:52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1:52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spans="1:52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1:52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spans="1:52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1:52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spans="1:52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1:52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spans="1:52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spans="1:52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spans="1:52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spans="1:52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spans="1:52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spans="1:52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spans="1:52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spans="1:52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spans="1:52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spans="1:52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spans="1:52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spans="1:52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spans="1:52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spans="1:52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spans="1:52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spans="1:52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spans="1:52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1:52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spans="1:52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spans="1:52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1:52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spans="1:52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1:52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spans="1:52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1:52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:52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:52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:52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:52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:52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1:52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spans="1:52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:52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:52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spans="1:52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1:52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spans="1:52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1:52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spans="1:52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1:52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spans="1:52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1:52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spans="1:52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1:52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spans="1:52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1:52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spans="1:52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1:52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spans="1:52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spans="1:52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spans="1:52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spans="1:52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spans="1:52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spans="1:52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spans="1:52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spans="1:52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spans="1:52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spans="1:52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spans="1:52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spans="1:52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spans="1:52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spans="1:52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spans="1:52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spans="1:52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spans="1:52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1:52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spans="1:52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1:52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spans="1:52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1:52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spans="1:52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1:52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spans="1:52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1:52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spans="1:52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1:52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spans="1:52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1:52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spans="1:52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1:52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spans="1:52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1:52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spans="1:52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1:52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spans="1:52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1:52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spans="1:52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1:52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spans="1:52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1:52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spans="1:52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1:52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spans="1:52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1:52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spans="1:52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1:52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spans="1:52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1:52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spans="1:52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spans="1:52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spans="1:52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spans="1:52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spans="1:52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spans="1:52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spans="1:52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spans="1:52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spans="1:52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spans="1:52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spans="1:52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spans="1:52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spans="1:52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spans="1:52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spans="1:52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spans="1:52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spans="1:52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spans="1:52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1:52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spans="1:52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1:52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spans="1:52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1:52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spans="1:52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1:52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spans="1:52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1:52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spans="1:52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spans="1:52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1:52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spans="1:52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1:52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spans="1:52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1:52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spans="1:52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1:52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spans="1:52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1:52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spans="1:52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1:52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spans="1:52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1:52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spans="1:52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1:52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spans="1:52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1:52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spans="1:52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1:52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spans="1:52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1:52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spans="1:52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spans="1:52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spans="1:52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spans="1:52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spans="1:52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spans="1:52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spans="1:52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spans="1:52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spans="1:52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spans="1:52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spans="1:52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spans="1:52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spans="1:52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spans="1:52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spans="1:52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spans="1:52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spans="1:52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spans="1:52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1:52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spans="1:52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1:52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spans="1:52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1:52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spans="1:52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1:52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spans="1:52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1:52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spans="1:52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1:52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spans="1:52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1:52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spans="1:52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1:52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spans="1:52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1:52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spans="1:52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1:52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spans="1:52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1:52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spans="1:52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1:52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spans="1:52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1:52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spans="1:52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1:52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spans="1:52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1:52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spans="1:52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1:52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spans="1:52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1:52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spans="1:52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spans="1:52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spans="1:52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spans="1:52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spans="1:52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spans="1:52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spans="1:52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spans="1:52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spans="1:52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spans="1:52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spans="1:52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spans="1:52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spans="1:52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spans="1:52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spans="1:52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spans="1:52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spans="1:52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spans="1:52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1:52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spans="1:52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1:52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spans="1:52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1:52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spans="1:52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1:52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spans="1:52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1:52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spans="1:52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1:52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spans="1:52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1:52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spans="1:52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1:52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spans="1:52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1:52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spans="1:52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1:52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spans="1:52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1:52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spans="1:52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1:52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spans="1:52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1:52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spans="1:52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1:52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spans="1:52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1:52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spans="1:52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1:52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spans="1:52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1:52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spans="1:52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spans="1:52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spans="1:52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spans="1:52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spans="1:52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spans="1:52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spans="1:52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spans="1:52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spans="1:52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spans="1:52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spans="1:52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spans="1:52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spans="1:52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spans="1:52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spans="1:52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spans="1:52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spans="1:52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spans="1:52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1:52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spans="1:52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1:52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spans="1:52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1:52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spans="1:52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1:52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spans="1:52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1:52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spans="1:52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1:52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spans="1:52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1:52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spans="1:52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1:52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spans="1:52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1:52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spans="1:52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1:52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spans="1:52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1:52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spans="1:52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52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52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52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52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1:52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spans="1:52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52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52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52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52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1:52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spans="1:52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spans="1:52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spans="1:52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spans="1:52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spans="1:52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spans="1:52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spans="1:52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spans="1:52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spans="1:52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spans="1:52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spans="1:52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spans="1:52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spans="1:52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spans="1:52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spans="1:52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spans="1:52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spans="1:52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spans="1:52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spans="1:52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spans="1:52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spans="1:52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spans="1:52" x14ac:dyDescent="0.25">
      <c r="A485" s="18"/>
      <c r="B485" s="18"/>
      <c r="C485" s="18"/>
      <c r="D485" s="18"/>
      <c r="E485" s="18"/>
      <c r="F485" s="18"/>
      <c r="G485" s="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spans="1:52" x14ac:dyDescent="0.25">
      <c r="A486" s="18"/>
      <c r="B486" s="18"/>
      <c r="C486" s="18"/>
      <c r="D486" s="18"/>
      <c r="E486" s="18"/>
      <c r="F486" s="18"/>
      <c r="G486" s="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spans="1:52" x14ac:dyDescent="0.25">
      <c r="A487" s="18"/>
      <c r="B487" s="18"/>
      <c r="C487" s="18"/>
      <c r="D487" s="18"/>
      <c r="E487" s="18"/>
      <c r="F487" s="18"/>
      <c r="G487" s="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spans="1:52" x14ac:dyDescent="0.25">
      <c r="A488" s="18"/>
      <c r="B488" s="18"/>
      <c r="C488" s="18"/>
      <c r="D488" s="18"/>
      <c r="E488" s="18"/>
      <c r="F488" s="18"/>
      <c r="G488" s="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spans="1:52" x14ac:dyDescent="0.25">
      <c r="A489" s="18"/>
      <c r="B489" s="18"/>
      <c r="C489" s="18"/>
      <c r="D489" s="18"/>
      <c r="E489" s="18"/>
      <c r="F489" s="18"/>
      <c r="G489" s="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spans="1:52" x14ac:dyDescent="0.25">
      <c r="A490" s="18"/>
      <c r="B490" s="18"/>
      <c r="C490" s="18"/>
      <c r="D490" s="18"/>
      <c r="E490" s="18"/>
      <c r="F490" s="18"/>
      <c r="G490" s="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spans="1:52" x14ac:dyDescent="0.25">
      <c r="A491" s="18"/>
      <c r="B491" s="18"/>
      <c r="C491" s="18"/>
      <c r="D491" s="18"/>
      <c r="E491" s="18"/>
      <c r="F491" s="18"/>
      <c r="G491" s="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spans="1:52" x14ac:dyDescent="0.25">
      <c r="A492" s="18"/>
      <c r="B492" s="18"/>
      <c r="C492" s="18"/>
      <c r="D492" s="18"/>
      <c r="E492" s="18"/>
      <c r="F492" s="18"/>
      <c r="G492" s="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spans="1:52" x14ac:dyDescent="0.25">
      <c r="A493" s="18"/>
      <c r="B493" s="18"/>
      <c r="C493" s="18"/>
      <c r="D493" s="18"/>
      <c r="E493" s="18"/>
      <c r="F493" s="18"/>
      <c r="G493" s="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spans="1:52" x14ac:dyDescent="0.25">
      <c r="A494" s="18"/>
      <c r="B494" s="18"/>
      <c r="C494" s="18"/>
      <c r="D494" s="18"/>
      <c r="E494" s="18"/>
      <c r="F494" s="18"/>
      <c r="G494" s="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spans="1:52" x14ac:dyDescent="0.25">
      <c r="A495" s="18"/>
      <c r="B495" s="18"/>
      <c r="C495" s="18"/>
      <c r="D495" s="18"/>
      <c r="E495" s="18"/>
      <c r="F495" s="18"/>
      <c r="G495" s="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spans="1:52" x14ac:dyDescent="0.25">
      <c r="A496" s="18"/>
      <c r="B496" s="18"/>
      <c r="C496" s="18"/>
      <c r="D496" s="18"/>
      <c r="E496" s="18"/>
      <c r="F496" s="18"/>
      <c r="G496" s="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spans="1:52" x14ac:dyDescent="0.25">
      <c r="A497" s="18"/>
      <c r="B497" s="18"/>
      <c r="C497" s="18"/>
      <c r="D497" s="18"/>
      <c r="E497" s="18"/>
      <c r="F497" s="18"/>
      <c r="G497" s="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spans="1:52" x14ac:dyDescent="0.25">
      <c r="A498" s="18"/>
      <c r="B498" s="18"/>
      <c r="C498" s="18"/>
      <c r="D498" s="18"/>
      <c r="E498" s="18"/>
      <c r="F498" s="18"/>
      <c r="G498" s="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spans="1:52" x14ac:dyDescent="0.25">
      <c r="A499" s="18"/>
      <c r="B499" s="18"/>
      <c r="C499" s="18"/>
      <c r="D499" s="18"/>
      <c r="E499" s="18"/>
      <c r="F499" s="18"/>
      <c r="G499" s="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</sheetData>
  <autoFilter ref="A3:AL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2026-01-27T07:48:07Z</dcterms:created>
  <dcterms:modified xsi:type="dcterms:W3CDTF">2026-01-27T08:16:14Z</dcterms:modified>
</cp:coreProperties>
</file>