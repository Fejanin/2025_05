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9080C741-1937-4012-A4A5-6D49BA4ACA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0" i="1" l="1"/>
  <c r="AF72" i="1"/>
  <c r="AF60" i="1"/>
  <c r="AF56" i="1"/>
  <c r="AF52" i="1"/>
  <c r="AF15" i="1"/>
  <c r="Q93" i="1"/>
  <c r="V93" i="1" s="1"/>
  <c r="L93" i="1"/>
  <c r="Q92" i="1"/>
  <c r="V92" i="1" s="1"/>
  <c r="L92" i="1"/>
  <c r="F91" i="1"/>
  <c r="E91" i="1"/>
  <c r="L91" i="1" s="1"/>
  <c r="Q90" i="1"/>
  <c r="V90" i="1" s="1"/>
  <c r="L90" i="1"/>
  <c r="Q89" i="1"/>
  <c r="L89" i="1"/>
  <c r="Q88" i="1"/>
  <c r="V88" i="1" s="1"/>
  <c r="L88" i="1"/>
  <c r="Q87" i="1"/>
  <c r="V87" i="1" s="1"/>
  <c r="L87" i="1"/>
  <c r="Q86" i="1"/>
  <c r="V86" i="1" s="1"/>
  <c r="L86" i="1"/>
  <c r="Q85" i="1"/>
  <c r="R85" i="1" s="1"/>
  <c r="L85" i="1"/>
  <c r="Q84" i="1"/>
  <c r="V84" i="1" s="1"/>
  <c r="L84" i="1"/>
  <c r="Q83" i="1"/>
  <c r="V83" i="1" s="1"/>
  <c r="L83" i="1"/>
  <c r="Q82" i="1"/>
  <c r="V82" i="1" s="1"/>
  <c r="L82" i="1"/>
  <c r="Q81" i="1"/>
  <c r="L81" i="1"/>
  <c r="Q80" i="1"/>
  <c r="V80" i="1" s="1"/>
  <c r="L80" i="1"/>
  <c r="Q79" i="1"/>
  <c r="V79" i="1" s="1"/>
  <c r="L79" i="1"/>
  <c r="Q78" i="1"/>
  <c r="V78" i="1" s="1"/>
  <c r="L78" i="1"/>
  <c r="Q77" i="1"/>
  <c r="L77" i="1"/>
  <c r="Q76" i="1"/>
  <c r="V76" i="1" s="1"/>
  <c r="L76" i="1"/>
  <c r="Q75" i="1"/>
  <c r="V75" i="1" s="1"/>
  <c r="L75" i="1"/>
  <c r="Q74" i="1"/>
  <c r="V74" i="1" s="1"/>
  <c r="L74" i="1"/>
  <c r="Q73" i="1"/>
  <c r="L73" i="1"/>
  <c r="Q72" i="1"/>
  <c r="V72" i="1" s="1"/>
  <c r="L72" i="1"/>
  <c r="Q71" i="1"/>
  <c r="V71" i="1" s="1"/>
  <c r="L71" i="1"/>
  <c r="Q70" i="1"/>
  <c r="V70" i="1" s="1"/>
  <c r="L70" i="1"/>
  <c r="Q69" i="1"/>
  <c r="R69" i="1" s="1"/>
  <c r="L69" i="1"/>
  <c r="Q68" i="1"/>
  <c r="V68" i="1" s="1"/>
  <c r="L68" i="1"/>
  <c r="Q67" i="1"/>
  <c r="V67" i="1" s="1"/>
  <c r="L67" i="1"/>
  <c r="Q66" i="1"/>
  <c r="V66" i="1" s="1"/>
  <c r="L66" i="1"/>
  <c r="Q65" i="1"/>
  <c r="L65" i="1"/>
  <c r="Q64" i="1"/>
  <c r="V64" i="1" s="1"/>
  <c r="L64" i="1"/>
  <c r="F63" i="1"/>
  <c r="E63" i="1"/>
  <c r="L63" i="1" s="1"/>
  <c r="E62" i="1"/>
  <c r="Q62" i="1" s="1"/>
  <c r="V62" i="1" s="1"/>
  <c r="Q61" i="1"/>
  <c r="V61" i="1" s="1"/>
  <c r="L61" i="1"/>
  <c r="Q60" i="1"/>
  <c r="L60" i="1"/>
  <c r="Q59" i="1"/>
  <c r="V59" i="1" s="1"/>
  <c r="L59" i="1"/>
  <c r="Q58" i="1"/>
  <c r="AF58" i="1" s="1"/>
  <c r="L58" i="1"/>
  <c r="Q57" i="1"/>
  <c r="V57" i="1" s="1"/>
  <c r="L57" i="1"/>
  <c r="Q56" i="1"/>
  <c r="L56" i="1"/>
  <c r="Q55" i="1"/>
  <c r="V55" i="1" s="1"/>
  <c r="L55" i="1"/>
  <c r="Q54" i="1"/>
  <c r="R54" i="1" s="1"/>
  <c r="AF54" i="1" s="1"/>
  <c r="L54" i="1"/>
  <c r="Q53" i="1"/>
  <c r="V53" i="1" s="1"/>
  <c r="L53" i="1"/>
  <c r="Q52" i="1"/>
  <c r="L52" i="1"/>
  <c r="Q51" i="1"/>
  <c r="L51" i="1"/>
  <c r="Q50" i="1"/>
  <c r="L50" i="1"/>
  <c r="Q49" i="1"/>
  <c r="V49" i="1" s="1"/>
  <c r="L49" i="1"/>
  <c r="Q48" i="1"/>
  <c r="R48" i="1" s="1"/>
  <c r="AF48" i="1" s="1"/>
  <c r="L48" i="1"/>
  <c r="Q47" i="1"/>
  <c r="L47" i="1"/>
  <c r="Q46" i="1"/>
  <c r="L46" i="1"/>
  <c r="Q45" i="1"/>
  <c r="V45" i="1" s="1"/>
  <c r="L45" i="1"/>
  <c r="Q44" i="1"/>
  <c r="R44" i="1" s="1"/>
  <c r="AF44" i="1" s="1"/>
  <c r="L44" i="1"/>
  <c r="Q43" i="1"/>
  <c r="V43" i="1" s="1"/>
  <c r="L43" i="1"/>
  <c r="Q42" i="1"/>
  <c r="R42" i="1" s="1"/>
  <c r="AF42" i="1" s="1"/>
  <c r="L42" i="1"/>
  <c r="Q41" i="1"/>
  <c r="V41" i="1" s="1"/>
  <c r="L41" i="1"/>
  <c r="Q40" i="1"/>
  <c r="R40" i="1" s="1"/>
  <c r="AF40" i="1" s="1"/>
  <c r="L40" i="1"/>
  <c r="Q39" i="1"/>
  <c r="V39" i="1" s="1"/>
  <c r="L39" i="1"/>
  <c r="Q38" i="1"/>
  <c r="AF38" i="1" s="1"/>
  <c r="L38" i="1"/>
  <c r="Q37" i="1"/>
  <c r="V37" i="1" s="1"/>
  <c r="L37" i="1"/>
  <c r="Q36" i="1"/>
  <c r="R36" i="1" s="1"/>
  <c r="AF36" i="1" s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R28" i="1" s="1"/>
  <c r="AF28" i="1" s="1"/>
  <c r="L28" i="1"/>
  <c r="Q27" i="1"/>
  <c r="L27" i="1"/>
  <c r="Q26" i="1"/>
  <c r="AF26" i="1" s="1"/>
  <c r="L26" i="1"/>
  <c r="Q25" i="1"/>
  <c r="L25" i="1"/>
  <c r="Q24" i="1"/>
  <c r="AF24" i="1" s="1"/>
  <c r="L24" i="1"/>
  <c r="Q23" i="1"/>
  <c r="L23" i="1"/>
  <c r="Q22" i="1"/>
  <c r="AF22" i="1" s="1"/>
  <c r="L22" i="1"/>
  <c r="Q21" i="1"/>
  <c r="L21" i="1"/>
  <c r="Q20" i="1"/>
  <c r="R20" i="1" s="1"/>
  <c r="AF20" i="1" s="1"/>
  <c r="L20" i="1"/>
  <c r="Q19" i="1"/>
  <c r="L19" i="1"/>
  <c r="Q18" i="1"/>
  <c r="V18" i="1" s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R11" i="1" s="1"/>
  <c r="AF11" i="1" s="1"/>
  <c r="L11" i="1"/>
  <c r="Q10" i="1"/>
  <c r="L10" i="1"/>
  <c r="Q9" i="1"/>
  <c r="L9" i="1"/>
  <c r="Q8" i="1"/>
  <c r="L8" i="1"/>
  <c r="Q7" i="1"/>
  <c r="R7" i="1" s="1"/>
  <c r="AF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32" i="1" l="1"/>
  <c r="AF32" i="1" s="1"/>
  <c r="R86" i="1"/>
  <c r="R68" i="1"/>
  <c r="R62" i="1"/>
  <c r="AF62" i="1" s="1"/>
  <c r="R84" i="1"/>
  <c r="R76" i="1"/>
  <c r="R64" i="1"/>
  <c r="AF64" i="1" s="1"/>
  <c r="R88" i="1"/>
  <c r="AF88" i="1" s="1"/>
  <c r="V6" i="1"/>
  <c r="V10" i="1"/>
  <c r="AF10" i="1"/>
  <c r="V14" i="1"/>
  <c r="AF14" i="1"/>
  <c r="V19" i="1"/>
  <c r="U30" i="1"/>
  <c r="V31" i="1"/>
  <c r="R31" i="1"/>
  <c r="AF31" i="1" s="1"/>
  <c r="V35" i="1"/>
  <c r="R35" i="1"/>
  <c r="V51" i="1"/>
  <c r="AF69" i="1"/>
  <c r="V69" i="1"/>
  <c r="R77" i="1"/>
  <c r="AF77" i="1" s="1"/>
  <c r="V77" i="1"/>
  <c r="AF85" i="1"/>
  <c r="V85" i="1"/>
  <c r="U7" i="1"/>
  <c r="V8" i="1"/>
  <c r="AF8" i="1"/>
  <c r="U11" i="1"/>
  <c r="V12" i="1"/>
  <c r="R12" i="1"/>
  <c r="AF12" i="1" s="1"/>
  <c r="U15" i="1"/>
  <c r="V16" i="1"/>
  <c r="R16" i="1"/>
  <c r="AF16" i="1" s="1"/>
  <c r="V21" i="1"/>
  <c r="R21" i="1"/>
  <c r="AF21" i="1" s="1"/>
  <c r="V23" i="1"/>
  <c r="AF23" i="1"/>
  <c r="V25" i="1"/>
  <c r="AF25" i="1"/>
  <c r="V27" i="1"/>
  <c r="U28" i="1"/>
  <c r="V29" i="1"/>
  <c r="R29" i="1"/>
  <c r="AF29" i="1" s="1"/>
  <c r="V33" i="1"/>
  <c r="R33" i="1"/>
  <c r="AF33" i="1" s="1"/>
  <c r="V47" i="1"/>
  <c r="R47" i="1"/>
  <c r="AF47" i="1" s="1"/>
  <c r="R65" i="1"/>
  <c r="AF65" i="1" s="1"/>
  <c r="V65" i="1"/>
  <c r="U72" i="1"/>
  <c r="R73" i="1"/>
  <c r="AF73" i="1" s="1"/>
  <c r="V73" i="1"/>
  <c r="U80" i="1"/>
  <c r="R81" i="1"/>
  <c r="AF81" i="1" s="1"/>
  <c r="V81" i="1"/>
  <c r="AF89" i="1"/>
  <c r="V89" i="1"/>
  <c r="R9" i="1"/>
  <c r="AF9" i="1" s="1"/>
  <c r="R13" i="1"/>
  <c r="AF13" i="1" s="1"/>
  <c r="R17" i="1"/>
  <c r="AF17" i="1" s="1"/>
  <c r="AF30" i="1"/>
  <c r="R34" i="1"/>
  <c r="AF34" i="1" s="1"/>
  <c r="R46" i="1"/>
  <c r="AF46" i="1" s="1"/>
  <c r="R50" i="1"/>
  <c r="AF50" i="1" s="1"/>
  <c r="R66" i="1"/>
  <c r="R74" i="1"/>
  <c r="R78" i="1"/>
  <c r="R82" i="1"/>
  <c r="U44" i="1"/>
  <c r="U48" i="1"/>
  <c r="U60" i="1"/>
  <c r="U79" i="1"/>
  <c r="U87" i="1"/>
  <c r="AF37" i="1"/>
  <c r="R39" i="1"/>
  <c r="AF39" i="1" s="1"/>
  <c r="R41" i="1"/>
  <c r="AF41" i="1" s="1"/>
  <c r="R45" i="1"/>
  <c r="AF45" i="1" s="1"/>
  <c r="AF49" i="1"/>
  <c r="AF53" i="1"/>
  <c r="R55" i="1"/>
  <c r="AF55" i="1" s="1"/>
  <c r="AF57" i="1"/>
  <c r="R59" i="1"/>
  <c r="R61" i="1"/>
  <c r="AF61" i="1" s="1"/>
  <c r="R67" i="1"/>
  <c r="AF67" i="1" s="1"/>
  <c r="R71" i="1"/>
  <c r="AF71" i="1" s="1"/>
  <c r="AF75" i="1"/>
  <c r="AF79" i="1"/>
  <c r="R83" i="1"/>
  <c r="AF83" i="1" s="1"/>
  <c r="AF87" i="1"/>
  <c r="U20" i="1"/>
  <c r="U22" i="1"/>
  <c r="U24" i="1"/>
  <c r="U26" i="1"/>
  <c r="U36" i="1"/>
  <c r="U38" i="1"/>
  <c r="U40" i="1"/>
  <c r="U42" i="1"/>
  <c r="U52" i="1"/>
  <c r="U54" i="1"/>
  <c r="U56" i="1"/>
  <c r="U58" i="1"/>
  <c r="U10" i="1"/>
  <c r="L62" i="1"/>
  <c r="L5" i="1" s="1"/>
  <c r="U92" i="1"/>
  <c r="Q63" i="1"/>
  <c r="Q91" i="1"/>
  <c r="E5" i="1"/>
  <c r="U8" i="1"/>
  <c r="V13" i="1"/>
  <c r="V15" i="1"/>
  <c r="V17" i="1"/>
  <c r="U18" i="1"/>
  <c r="U37" i="1"/>
  <c r="U53" i="1"/>
  <c r="U57" i="1"/>
  <c r="U93" i="1"/>
  <c r="V7" i="1"/>
  <c r="V9" i="1"/>
  <c r="V11" i="1"/>
  <c r="F5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U62" i="1"/>
  <c r="U32" i="1" l="1"/>
  <c r="U61" i="1"/>
  <c r="U47" i="1"/>
  <c r="AF84" i="1"/>
  <c r="U84" i="1"/>
  <c r="AF68" i="1"/>
  <c r="U68" i="1"/>
  <c r="U45" i="1"/>
  <c r="U21" i="1"/>
  <c r="U64" i="1"/>
  <c r="U77" i="1"/>
  <c r="U13" i="1"/>
  <c r="AF76" i="1"/>
  <c r="U76" i="1"/>
  <c r="U41" i="1"/>
  <c r="U29" i="1"/>
  <c r="U12" i="1"/>
  <c r="U31" i="1"/>
  <c r="U71" i="1"/>
  <c r="U88" i="1"/>
  <c r="Q5" i="1"/>
  <c r="R63" i="1"/>
  <c r="AF59" i="1"/>
  <c r="U59" i="1"/>
  <c r="AF43" i="1"/>
  <c r="U43" i="1"/>
  <c r="AF86" i="1"/>
  <c r="U86" i="1"/>
  <c r="AF78" i="1"/>
  <c r="U78" i="1"/>
  <c r="AF70" i="1"/>
  <c r="U70" i="1"/>
  <c r="AF27" i="1"/>
  <c r="U27" i="1"/>
  <c r="U51" i="1"/>
  <c r="AF51" i="1"/>
  <c r="U50" i="1"/>
  <c r="AF6" i="1"/>
  <c r="U6" i="1"/>
  <c r="U49" i="1"/>
  <c r="U33" i="1"/>
  <c r="U25" i="1"/>
  <c r="U16" i="1"/>
  <c r="U14" i="1"/>
  <c r="V91" i="1"/>
  <c r="R91" i="1"/>
  <c r="R5" i="1" s="1"/>
  <c r="U55" i="1"/>
  <c r="U39" i="1"/>
  <c r="U23" i="1"/>
  <c r="U83" i="1"/>
  <c r="U75" i="1"/>
  <c r="U67" i="1"/>
  <c r="AF90" i="1"/>
  <c r="U90" i="1"/>
  <c r="AF82" i="1"/>
  <c r="U82" i="1"/>
  <c r="AF74" i="1"/>
  <c r="U74" i="1"/>
  <c r="AF66" i="1"/>
  <c r="U66" i="1"/>
  <c r="U89" i="1"/>
  <c r="U81" i="1"/>
  <c r="U73" i="1"/>
  <c r="U65" i="1"/>
  <c r="U46" i="1"/>
  <c r="U85" i="1"/>
  <c r="U69" i="1"/>
  <c r="U35" i="1"/>
  <c r="AF35" i="1"/>
  <c r="U34" i="1"/>
  <c r="U19" i="1"/>
  <c r="AF19" i="1"/>
  <c r="U17" i="1"/>
  <c r="U9" i="1"/>
  <c r="V63" i="1"/>
  <c r="AF63" i="1" l="1"/>
  <c r="U63" i="1"/>
  <c r="AF91" i="1"/>
  <c r="U91" i="1"/>
  <c r="AF5" i="1" l="1"/>
</calcChain>
</file>

<file path=xl/sharedStrings.xml><?xml version="1.0" encoding="utf-8"?>
<sst xmlns="http://schemas.openxmlformats.org/spreadsheetml/2006/main" count="326" uniqueCount="140">
  <si>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</si>
  <si>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</si>
  <si>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</si>
  <si>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</si>
  <si>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</si>
  <si>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</si>
  <si>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</si>
  <si>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</si>
  <si>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</si>
  <si>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</si>
  <si>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</si>
  <si>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</si>
  <si>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</si>
  <si>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</si>
  <si>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</si>
  <si>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</si>
  <si>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</si>
  <si>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</si>
  <si>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</si>
  <si>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</si>
  <si>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</si>
  <si>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</si>
  <si>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</si>
  <si>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</si>
  <si>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</si>
  <si>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</si>
  <si>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</si>
  <si>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</si>
  <si>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</si>
  <si>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</si>
  <si>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</si>
  <si>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</si>
  <si>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29,10,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</si>
  <si>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</si>
  <si>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</si>
  <si>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</si>
  <si>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</si>
  <si>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</si>
  <si>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</si>
  <si>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</si>
  <si>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</si>
  <si>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</si>
  <si>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</si>
  <si>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</si>
  <si>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</si>
  <si>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</si>
  <si>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</si>
  <si>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</si>
  <si>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</si>
  <si>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</si>
  <si>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</si>
  <si>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</si>
  <si>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</si>
  <si>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</si>
  <si>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</si>
  <si>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</si>
  <si>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</si>
  <si>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нужно увеличить продажи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</si>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</sst>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4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0.42578125" customWidth="1"/>
    <col min="32" max="32" width="7" customWidth="1"/>
    <col min="33" max="48" width="8" customWidth="1"/>
  </cols>
  <sheetData>
    <row r="1" spans="1:48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 spans="1:48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 spans="1:48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24</v>
      </c>
      <c r="P4" s="11" t="s">
        <v>25</v>
      </c>
      <c r="Q4" s="11" t="s">
        <v>26</v>
      </c>
      <c r="R4" s="11"/>
      <c r="S4" s="11"/>
      <c r="T4" s="11"/>
      <c r="U4" s="11"/>
      <c r="V4" s="11"/>
      <c r="W4" s="11" t="s">
        <v>27</v>
      </c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x14ac:dyDescent="0.25">
      <c r="A5" s="11"/>
      <c r="B5" s="11"/>
      <c r="C5" s="11"/>
      <c r="D5" s="11"/>
      <c r="E5" s="3">
        <f>SUM(E6:E498)</f>
        <v>12572.012000000001</v>
      </c>
      <c r="F5" s="3">
        <f>SUM(F6:F498)</f>
        <v>12389.065000000001</v>
      </c>
      <c r="G5" s="7"/>
      <c r="H5" s="11"/>
      <c r="I5" s="11"/>
      <c r="J5" s="11"/>
      <c r="K5" s="3">
        <f t="shared" ref="K5:S5" si="0">SUM(K6:K498)</f>
        <v>12396.91</v>
      </c>
      <c r="L5" s="3">
        <f t="shared" si="0"/>
        <v>175.10200000000003</v>
      </c>
      <c r="M5" s="3">
        <f t="shared" si="0"/>
        <v>0</v>
      </c>
      <c r="N5" s="3">
        <f t="shared" si="0"/>
        <v>0</v>
      </c>
      <c r="O5" s="3">
        <f t="shared" si="0"/>
        <v>7065</v>
      </c>
      <c r="P5" s="3">
        <f t="shared" si="0"/>
        <v>5731</v>
      </c>
      <c r="Q5" s="3">
        <f t="shared" si="0"/>
        <v>2514.4023999999999</v>
      </c>
      <c r="R5" s="3">
        <f t="shared" si="0"/>
        <v>11690.969399999998</v>
      </c>
      <c r="S5" s="3">
        <f t="shared" si="0"/>
        <v>0</v>
      </c>
      <c r="T5" s="11"/>
      <c r="U5" s="11"/>
      <c r="V5" s="11"/>
      <c r="W5" s="3">
        <f t="shared" ref="W5:AD5" si="1">SUM(W6:W498)</f>
        <v>2358.4086000000007</v>
      </c>
      <c r="X5" s="3">
        <f t="shared" si="1"/>
        <v>2578.9882000000002</v>
      </c>
      <c r="Y5" s="3">
        <f t="shared" si="1"/>
        <v>2625.3676</v>
      </c>
      <c r="Z5" s="3">
        <f t="shared" si="1"/>
        <v>2215.8407999999995</v>
      </c>
      <c r="AA5" s="3">
        <f t="shared" si="1"/>
        <v>2583.7302</v>
      </c>
      <c r="AB5" s="3">
        <f t="shared" si="1"/>
        <v>2344.4713999999994</v>
      </c>
      <c r="AC5" s="3">
        <f t="shared" si="1"/>
        <v>2862.6846000000005</v>
      </c>
      <c r="AD5" s="3">
        <f t="shared" si="1"/>
        <v>2834.6149999999993</v>
      </c>
      <c r="AE5" s="11"/>
      <c r="AF5" s="3">
        <f>SUM(AF6:AF498)</f>
        <v>6143.2634000000016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 spans="1:48" x14ac:dyDescent="0.25">
      <c r="A6" s="11" t="s">
        <v>35</v>
      </c>
      <c r="B6" s="11" t="s">
        <v>36</v>
      </c>
      <c r="C6" s="11">
        <v>311</v>
      </c>
      <c r="D6" s="11">
        <v>344</v>
      </c>
      <c r="E6" s="11">
        <v>148</v>
      </c>
      <c r="F6" s="11">
        <v>484</v>
      </c>
      <c r="G6" s="7">
        <v>0.4</v>
      </c>
      <c r="H6" s="11">
        <v>60</v>
      </c>
      <c r="I6" s="11" t="s">
        <v>37</v>
      </c>
      <c r="J6" s="11"/>
      <c r="K6" s="11">
        <v>147.5</v>
      </c>
      <c r="L6" s="11">
        <f t="shared" ref="L6:L37" si="2">E6-K6</f>
        <v>0.5</v>
      </c>
      <c r="M6" s="11"/>
      <c r="N6" s="11"/>
      <c r="O6" s="11">
        <v>0</v>
      </c>
      <c r="P6" s="11"/>
      <c r="Q6" s="11">
        <f t="shared" ref="Q6:Q37" si="3">E6/5</f>
        <v>29.6</v>
      </c>
      <c r="R6" s="4"/>
      <c r="S6" s="4"/>
      <c r="T6" s="11"/>
      <c r="U6" s="11">
        <f t="shared" ref="U6:U37" si="4">(F6+O6+P6+R6)/Q6</f>
        <v>16.351351351351351</v>
      </c>
      <c r="V6" s="11">
        <f t="shared" ref="V6:V37" si="5">(F6+O6+P6)/Q6</f>
        <v>16.351351351351351</v>
      </c>
      <c r="W6" s="11">
        <v>19</v>
      </c>
      <c r="X6" s="11">
        <v>51.4</v>
      </c>
      <c r="Y6" s="11">
        <v>49.6</v>
      </c>
      <c r="Z6" s="11">
        <v>32.799999999999997</v>
      </c>
      <c r="AA6" s="11">
        <v>48.8</v>
      </c>
      <c r="AB6" s="11">
        <v>36.200000000000003</v>
      </c>
      <c r="AC6" s="11">
        <v>78.599999999999994</v>
      </c>
      <c r="AD6" s="11">
        <v>50.2</v>
      </c>
      <c r="AE6" s="11"/>
      <c r="AF6" s="11">
        <f t="shared" ref="AF6:AF17" si="6">G6*R6</f>
        <v>0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 spans="1:48" x14ac:dyDescent="0.25">
      <c r="A7" s="11" t="s">
        <v>38</v>
      </c>
      <c r="B7" s="11" t="s">
        <v>39</v>
      </c>
      <c r="C7" s="11">
        <v>61.808</v>
      </c>
      <c r="D7" s="11"/>
      <c r="E7" s="11">
        <v>27.867999999999999</v>
      </c>
      <c r="F7" s="11">
        <v>32.475999999999999</v>
      </c>
      <c r="G7" s="7">
        <v>1</v>
      </c>
      <c r="H7" s="11">
        <v>120</v>
      </c>
      <c r="I7" s="11" t="s">
        <v>37</v>
      </c>
      <c r="J7" s="11"/>
      <c r="K7" s="11">
        <v>26.9</v>
      </c>
      <c r="L7" s="11">
        <f t="shared" si="2"/>
        <v>0.96799999999999997</v>
      </c>
      <c r="M7" s="11"/>
      <c r="N7" s="11"/>
      <c r="O7" s="11">
        <v>30</v>
      </c>
      <c r="P7" s="11"/>
      <c r="Q7" s="11">
        <f t="shared" si="3"/>
        <v>5.5735999999999999</v>
      </c>
      <c r="R7" s="4">
        <f t="shared" ref="R7:R17" si="7">14*Q7-P7-O7-F7</f>
        <v>15.554400000000001</v>
      </c>
      <c r="S7" s="4"/>
      <c r="T7" s="11"/>
      <c r="U7" s="11">
        <f t="shared" si="4"/>
        <v>14</v>
      </c>
      <c r="V7" s="11">
        <f t="shared" si="5"/>
        <v>11.209272283622793</v>
      </c>
      <c r="W7" s="11">
        <v>5.702</v>
      </c>
      <c r="X7" s="11">
        <v>1.1020000000000001</v>
      </c>
      <c r="Y7" s="11">
        <v>5.8109999999999999</v>
      </c>
      <c r="Z7" s="11">
        <v>4.9798</v>
      </c>
      <c r="AA7" s="11">
        <v>2.6446000000000001</v>
      </c>
      <c r="AB7" s="11">
        <v>2.63</v>
      </c>
      <c r="AC7" s="11">
        <v>5.5464000000000002</v>
      </c>
      <c r="AD7" s="11">
        <v>3.7913999999999999</v>
      </c>
      <c r="AE7" s="11"/>
      <c r="AF7" s="11">
        <f t="shared" si="6"/>
        <v>15.554400000000001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 spans="1:48" x14ac:dyDescent="0.25">
      <c r="A8" s="11" t="s">
        <v>40</v>
      </c>
      <c r="B8" s="11" t="s">
        <v>36</v>
      </c>
      <c r="C8" s="11">
        <v>8</v>
      </c>
      <c r="D8" s="11">
        <v>96</v>
      </c>
      <c r="E8" s="11">
        <v>88</v>
      </c>
      <c r="F8" s="11">
        <v>8</v>
      </c>
      <c r="G8" s="7">
        <v>0.25</v>
      </c>
      <c r="H8" s="11">
        <v>120</v>
      </c>
      <c r="I8" s="11" t="s">
        <v>37</v>
      </c>
      <c r="J8" s="11"/>
      <c r="K8" s="11">
        <v>119</v>
      </c>
      <c r="L8" s="11">
        <f t="shared" si="2"/>
        <v>-31</v>
      </c>
      <c r="M8" s="11"/>
      <c r="N8" s="11"/>
      <c r="O8" s="11">
        <v>162</v>
      </c>
      <c r="P8" s="11">
        <v>188</v>
      </c>
      <c r="Q8" s="11">
        <f t="shared" si="3"/>
        <v>17.600000000000001</v>
      </c>
      <c r="R8" s="4"/>
      <c r="S8" s="4"/>
      <c r="T8" s="11"/>
      <c r="U8" s="11">
        <f t="shared" si="4"/>
        <v>20.34090909090909</v>
      </c>
      <c r="V8" s="11">
        <f t="shared" si="5"/>
        <v>20.34090909090909</v>
      </c>
      <c r="W8" s="11">
        <v>35.6</v>
      </c>
      <c r="X8" s="11">
        <v>13.8</v>
      </c>
      <c r="Y8" s="11">
        <v>9.1999999999999993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 t="s">
        <v>41</v>
      </c>
      <c r="AF8" s="11">
        <f t="shared" si="6"/>
        <v>0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 spans="1:48" x14ac:dyDescent="0.25">
      <c r="A9" s="11" t="s">
        <v>42</v>
      </c>
      <c r="B9" s="11" t="s">
        <v>39</v>
      </c>
      <c r="C9" s="11">
        <v>562.428</v>
      </c>
      <c r="D9" s="11">
        <v>104.95699999999999</v>
      </c>
      <c r="E9" s="11">
        <v>401.15300000000002</v>
      </c>
      <c r="F9" s="11">
        <v>228.85</v>
      </c>
      <c r="G9" s="7">
        <v>1</v>
      </c>
      <c r="H9" s="11">
        <v>60</v>
      </c>
      <c r="I9" s="11" t="s">
        <v>37</v>
      </c>
      <c r="J9" s="11"/>
      <c r="K9" s="11">
        <v>392.4</v>
      </c>
      <c r="L9" s="11">
        <f t="shared" si="2"/>
        <v>8.7530000000000427</v>
      </c>
      <c r="M9" s="11"/>
      <c r="N9" s="11"/>
      <c r="O9" s="11">
        <v>231</v>
      </c>
      <c r="P9" s="11">
        <v>269</v>
      </c>
      <c r="Q9" s="11">
        <f t="shared" si="3"/>
        <v>80.23060000000001</v>
      </c>
      <c r="R9" s="4">
        <f t="shared" si="7"/>
        <v>394.37840000000017</v>
      </c>
      <c r="S9" s="4"/>
      <c r="T9" s="11"/>
      <c r="U9" s="11">
        <f t="shared" si="4"/>
        <v>14</v>
      </c>
      <c r="V9" s="11">
        <f t="shared" si="5"/>
        <v>9.0844391042819073</v>
      </c>
      <c r="W9" s="11">
        <v>74.535600000000002</v>
      </c>
      <c r="X9" s="11">
        <v>62.220599999999997</v>
      </c>
      <c r="Y9" s="11">
        <v>85.2256</v>
      </c>
      <c r="Z9" s="11">
        <v>68.352400000000003</v>
      </c>
      <c r="AA9" s="11">
        <v>68.101599999999991</v>
      </c>
      <c r="AB9" s="11">
        <v>80.230199999999996</v>
      </c>
      <c r="AC9" s="11">
        <v>90.258200000000002</v>
      </c>
      <c r="AD9" s="11">
        <v>85.118600000000001</v>
      </c>
      <c r="AE9" s="11"/>
      <c r="AF9" s="11">
        <f t="shared" si="6"/>
        <v>394.37840000000017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 spans="1:48" x14ac:dyDescent="0.25">
      <c r="A10" s="11" t="s">
        <v>43</v>
      </c>
      <c r="B10" s="11" t="s">
        <v>39</v>
      </c>
      <c r="C10" s="11">
        <v>42.22</v>
      </c>
      <c r="D10" s="11"/>
      <c r="E10" s="11">
        <v>18.834</v>
      </c>
      <c r="F10" s="11">
        <v>21.376000000000001</v>
      </c>
      <c r="G10" s="7">
        <v>1</v>
      </c>
      <c r="H10" s="11">
        <v>120</v>
      </c>
      <c r="I10" s="11" t="s">
        <v>37</v>
      </c>
      <c r="J10" s="11"/>
      <c r="K10" s="11">
        <v>19.5</v>
      </c>
      <c r="L10" s="11">
        <f t="shared" si="2"/>
        <v>-0.66600000000000037</v>
      </c>
      <c r="M10" s="11"/>
      <c r="N10" s="11"/>
      <c r="O10" s="11">
        <v>50</v>
      </c>
      <c r="P10" s="11"/>
      <c r="Q10" s="11">
        <f t="shared" si="3"/>
        <v>3.7667999999999999</v>
      </c>
      <c r="R10" s="4"/>
      <c r="S10" s="4"/>
      <c r="T10" s="11"/>
      <c r="U10" s="11">
        <f t="shared" si="4"/>
        <v>18.948709780184775</v>
      </c>
      <c r="V10" s="11">
        <f t="shared" si="5"/>
        <v>18.948709780184775</v>
      </c>
      <c r="W10" s="11">
        <v>5.3391999999999999</v>
      </c>
      <c r="X10" s="11">
        <v>1.5924</v>
      </c>
      <c r="Y10" s="11">
        <v>4.7628000000000004</v>
      </c>
      <c r="Z10" s="11">
        <v>4.2786</v>
      </c>
      <c r="AA10" s="11">
        <v>1.2896000000000001</v>
      </c>
      <c r="AB10" s="11">
        <v>2.3702000000000001</v>
      </c>
      <c r="AC10" s="11">
        <v>4.4546000000000001</v>
      </c>
      <c r="AD10" s="11">
        <v>5.0002000000000004</v>
      </c>
      <c r="AE10" s="11"/>
      <c r="AF10" s="11">
        <f t="shared" si="6"/>
        <v>0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 spans="1:48" x14ac:dyDescent="0.25">
      <c r="A11" s="11" t="s">
        <v>44</v>
      </c>
      <c r="B11" s="11" t="s">
        <v>39</v>
      </c>
      <c r="C11" s="11">
        <v>50.585999999999999</v>
      </c>
      <c r="D11" s="11"/>
      <c r="E11" s="11">
        <v>46.523000000000003</v>
      </c>
      <c r="F11" s="11">
        <v>1.403</v>
      </c>
      <c r="G11" s="7">
        <v>1</v>
      </c>
      <c r="H11" s="11">
        <v>60</v>
      </c>
      <c r="I11" s="11" t="s">
        <v>37</v>
      </c>
      <c r="J11" s="11"/>
      <c r="K11" s="11">
        <v>45</v>
      </c>
      <c r="L11" s="11">
        <f t="shared" si="2"/>
        <v>1.5230000000000032</v>
      </c>
      <c r="M11" s="11"/>
      <c r="N11" s="11"/>
      <c r="O11" s="11">
        <v>80</v>
      </c>
      <c r="P11" s="11"/>
      <c r="Q11" s="11">
        <f t="shared" si="3"/>
        <v>9.3046000000000006</v>
      </c>
      <c r="R11" s="4">
        <f t="shared" si="7"/>
        <v>48.861400000000025</v>
      </c>
      <c r="S11" s="4"/>
      <c r="T11" s="11"/>
      <c r="U11" s="11">
        <f t="shared" si="4"/>
        <v>14.000000000000002</v>
      </c>
      <c r="V11" s="11">
        <f t="shared" si="5"/>
        <v>8.7486834468972337</v>
      </c>
      <c r="W11" s="11">
        <v>10.8154</v>
      </c>
      <c r="X11" s="11">
        <v>6.359</v>
      </c>
      <c r="Y11" s="11">
        <v>11.864599999999999</v>
      </c>
      <c r="Z11" s="11">
        <v>9.9222000000000001</v>
      </c>
      <c r="AA11" s="11">
        <v>9.1658000000000008</v>
      </c>
      <c r="AB11" s="11">
        <v>10.244</v>
      </c>
      <c r="AC11" s="11">
        <v>12.7936</v>
      </c>
      <c r="AD11" s="11">
        <v>10.8612</v>
      </c>
      <c r="AE11" s="11"/>
      <c r="AF11" s="11">
        <f t="shared" si="6"/>
        <v>48.861400000000025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 spans="1:48" x14ac:dyDescent="0.25">
      <c r="A12" s="11" t="s">
        <v>45</v>
      </c>
      <c r="B12" s="11" t="s">
        <v>39</v>
      </c>
      <c r="C12" s="11">
        <v>301.03699999999998</v>
      </c>
      <c r="D12" s="11">
        <v>159.45500000000001</v>
      </c>
      <c r="E12" s="11">
        <v>236.58199999999999</v>
      </c>
      <c r="F12" s="11">
        <v>183.67599999999999</v>
      </c>
      <c r="G12" s="7">
        <v>1</v>
      </c>
      <c r="H12" s="11">
        <v>60</v>
      </c>
      <c r="I12" s="11" t="s">
        <v>37</v>
      </c>
      <c r="J12" s="11"/>
      <c r="K12" s="11">
        <v>231.1</v>
      </c>
      <c r="L12" s="11">
        <f t="shared" si="2"/>
        <v>5.4819999999999993</v>
      </c>
      <c r="M12" s="11"/>
      <c r="N12" s="11"/>
      <c r="O12" s="11">
        <v>129</v>
      </c>
      <c r="P12" s="11">
        <v>151</v>
      </c>
      <c r="Q12" s="11">
        <f t="shared" si="3"/>
        <v>47.316400000000002</v>
      </c>
      <c r="R12" s="4">
        <f t="shared" si="7"/>
        <v>198.75360000000006</v>
      </c>
      <c r="S12" s="4"/>
      <c r="T12" s="11"/>
      <c r="U12" s="11">
        <f t="shared" si="4"/>
        <v>14</v>
      </c>
      <c r="V12" s="11">
        <f t="shared" si="5"/>
        <v>9.7994775595776513</v>
      </c>
      <c r="W12" s="11">
        <v>49.003</v>
      </c>
      <c r="X12" s="11">
        <v>48.504199999999997</v>
      </c>
      <c r="Y12" s="11">
        <v>52.534400000000012</v>
      </c>
      <c r="Z12" s="11">
        <v>48.267000000000003</v>
      </c>
      <c r="AA12" s="11">
        <v>46.229399999999998</v>
      </c>
      <c r="AB12" s="11">
        <v>44.822400000000002</v>
      </c>
      <c r="AC12" s="11">
        <v>56.105600000000003</v>
      </c>
      <c r="AD12" s="11">
        <v>61.675199999999997</v>
      </c>
      <c r="AE12" s="11"/>
      <c r="AF12" s="11">
        <f t="shared" si="6"/>
        <v>198.75360000000006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 spans="1:48" x14ac:dyDescent="0.25">
      <c r="A13" s="11" t="s">
        <v>46</v>
      </c>
      <c r="B13" s="11" t="s">
        <v>36</v>
      </c>
      <c r="C13" s="11">
        <v>165</v>
      </c>
      <c r="D13" s="11">
        <v>240</v>
      </c>
      <c r="E13" s="11">
        <v>202</v>
      </c>
      <c r="F13" s="11">
        <v>177</v>
      </c>
      <c r="G13" s="7">
        <v>0.25</v>
      </c>
      <c r="H13" s="11">
        <v>120</v>
      </c>
      <c r="I13" s="11" t="s">
        <v>37</v>
      </c>
      <c r="J13" s="11"/>
      <c r="K13" s="11">
        <v>201</v>
      </c>
      <c r="L13" s="11">
        <f t="shared" si="2"/>
        <v>1</v>
      </c>
      <c r="M13" s="11"/>
      <c r="N13" s="11"/>
      <c r="O13" s="11">
        <v>46</v>
      </c>
      <c r="P13" s="11">
        <v>54</v>
      </c>
      <c r="Q13" s="11">
        <f t="shared" si="3"/>
        <v>40.4</v>
      </c>
      <c r="R13" s="4">
        <f t="shared" si="7"/>
        <v>288.60000000000002</v>
      </c>
      <c r="S13" s="4"/>
      <c r="T13" s="11"/>
      <c r="U13" s="11">
        <f t="shared" si="4"/>
        <v>14.000000000000002</v>
      </c>
      <c r="V13" s="11">
        <f t="shared" si="5"/>
        <v>6.8564356435643568</v>
      </c>
      <c r="W13" s="11">
        <v>32.4</v>
      </c>
      <c r="X13" s="11">
        <v>35</v>
      </c>
      <c r="Y13" s="11">
        <v>34.4</v>
      </c>
      <c r="Z13" s="11">
        <v>27.8</v>
      </c>
      <c r="AA13" s="11">
        <v>30.8</v>
      </c>
      <c r="AB13" s="11">
        <v>23.4</v>
      </c>
      <c r="AC13" s="11">
        <v>35.799999999999997</v>
      </c>
      <c r="AD13" s="11">
        <v>31.8</v>
      </c>
      <c r="AE13" s="11"/>
      <c r="AF13" s="11">
        <f t="shared" si="6"/>
        <v>72.150000000000006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x14ac:dyDescent="0.25">
      <c r="A14" s="11" t="s">
        <v>47</v>
      </c>
      <c r="B14" s="11" t="s">
        <v>39</v>
      </c>
      <c r="C14" s="11">
        <v>59.435000000000002</v>
      </c>
      <c r="D14" s="11"/>
      <c r="E14" s="11">
        <v>55.027000000000001</v>
      </c>
      <c r="F14" s="11">
        <v>0.41299999999999998</v>
      </c>
      <c r="G14" s="7">
        <v>1</v>
      </c>
      <c r="H14" s="11">
        <v>60</v>
      </c>
      <c r="I14" s="11" t="s">
        <v>37</v>
      </c>
      <c r="J14" s="11"/>
      <c r="K14" s="11">
        <v>57.6</v>
      </c>
      <c r="L14" s="11">
        <f t="shared" si="2"/>
        <v>-2.5730000000000004</v>
      </c>
      <c r="M14" s="11"/>
      <c r="N14" s="11"/>
      <c r="O14" s="11">
        <v>116</v>
      </c>
      <c r="P14" s="11">
        <v>134</v>
      </c>
      <c r="Q14" s="11">
        <f t="shared" si="3"/>
        <v>11.0054</v>
      </c>
      <c r="R14" s="4"/>
      <c r="S14" s="4"/>
      <c r="T14" s="11"/>
      <c r="U14" s="11">
        <f t="shared" si="4"/>
        <v>22.753648209061009</v>
      </c>
      <c r="V14" s="11">
        <f t="shared" si="5"/>
        <v>22.753648209061009</v>
      </c>
      <c r="W14" s="11">
        <v>23.2088</v>
      </c>
      <c r="X14" s="11">
        <v>11.734400000000001</v>
      </c>
      <c r="Y14" s="11">
        <v>15.6068</v>
      </c>
      <c r="Z14" s="11">
        <v>9.9926000000000013</v>
      </c>
      <c r="AA14" s="11">
        <v>14.657400000000001</v>
      </c>
      <c r="AB14" s="11">
        <v>12.036</v>
      </c>
      <c r="AC14" s="11">
        <v>14.9726</v>
      </c>
      <c r="AD14" s="11">
        <v>16.823399999999999</v>
      </c>
      <c r="AE14" s="11"/>
      <c r="AF14" s="11">
        <f t="shared" si="6"/>
        <v>0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 spans="1:48" x14ac:dyDescent="0.25">
      <c r="A15" s="11" t="s">
        <v>48</v>
      </c>
      <c r="B15" s="11" t="s">
        <v>36</v>
      </c>
      <c r="C15" s="11">
        <v>269</v>
      </c>
      <c r="D15" s="11">
        <v>392</v>
      </c>
      <c r="E15" s="11">
        <v>130</v>
      </c>
      <c r="F15" s="11">
        <v>505</v>
      </c>
      <c r="G15" s="7">
        <v>0.25</v>
      </c>
      <c r="H15" s="11">
        <v>120</v>
      </c>
      <c r="I15" s="11" t="s">
        <v>37</v>
      </c>
      <c r="J15" s="11"/>
      <c r="K15" s="11">
        <v>130</v>
      </c>
      <c r="L15" s="11">
        <f t="shared" si="2"/>
        <v>0</v>
      </c>
      <c r="M15" s="11"/>
      <c r="N15" s="11"/>
      <c r="O15" s="11">
        <v>0</v>
      </c>
      <c r="P15" s="11"/>
      <c r="Q15" s="11">
        <f t="shared" si="3"/>
        <v>26</v>
      </c>
      <c r="R15" s="4"/>
      <c r="S15" s="4"/>
      <c r="T15" s="11"/>
      <c r="U15" s="11">
        <f t="shared" si="4"/>
        <v>19.423076923076923</v>
      </c>
      <c r="V15" s="11">
        <f t="shared" si="5"/>
        <v>19.423076923076923</v>
      </c>
      <c r="W15" s="11">
        <v>29.2</v>
      </c>
      <c r="X15" s="11">
        <v>55.8</v>
      </c>
      <c r="Y15" s="11">
        <v>46.6</v>
      </c>
      <c r="Z15" s="11">
        <v>36.799999999999997</v>
      </c>
      <c r="AA15" s="11">
        <v>61.4</v>
      </c>
      <c r="AB15" s="11">
        <v>37.6</v>
      </c>
      <c r="AC15" s="11">
        <v>38.6</v>
      </c>
      <c r="AD15" s="11">
        <v>58.8</v>
      </c>
      <c r="AE15" s="11"/>
      <c r="AF15" s="11">
        <f t="shared" si="6"/>
        <v>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 spans="1:48" x14ac:dyDescent="0.25">
      <c r="A16" s="11" t="s">
        <v>49</v>
      </c>
      <c r="B16" s="11" t="s">
        <v>36</v>
      </c>
      <c r="C16" s="11">
        <v>125</v>
      </c>
      <c r="D16" s="11">
        <v>96</v>
      </c>
      <c r="E16" s="11">
        <v>146</v>
      </c>
      <c r="F16" s="11">
        <v>31</v>
      </c>
      <c r="G16" s="7">
        <v>0.4</v>
      </c>
      <c r="H16" s="11">
        <v>60</v>
      </c>
      <c r="I16" s="11" t="s">
        <v>37</v>
      </c>
      <c r="J16" s="11"/>
      <c r="K16" s="11">
        <v>133</v>
      </c>
      <c r="L16" s="11">
        <f t="shared" si="2"/>
        <v>13</v>
      </c>
      <c r="M16" s="11"/>
      <c r="N16" s="11"/>
      <c r="O16" s="11">
        <v>116</v>
      </c>
      <c r="P16" s="11">
        <v>134</v>
      </c>
      <c r="Q16" s="11">
        <f t="shared" si="3"/>
        <v>29.2</v>
      </c>
      <c r="R16" s="4">
        <f t="shared" si="7"/>
        <v>127.80000000000001</v>
      </c>
      <c r="S16" s="4"/>
      <c r="T16" s="11"/>
      <c r="U16" s="11">
        <f t="shared" si="4"/>
        <v>14</v>
      </c>
      <c r="V16" s="11">
        <f t="shared" si="5"/>
        <v>9.6232876712328768</v>
      </c>
      <c r="W16" s="11">
        <v>29</v>
      </c>
      <c r="X16" s="11">
        <v>21.4</v>
      </c>
      <c r="Y16" s="11">
        <v>25</v>
      </c>
      <c r="Z16" s="11">
        <v>17.600000000000001</v>
      </c>
      <c r="AA16" s="11">
        <v>24.2</v>
      </c>
      <c r="AB16" s="11">
        <v>22</v>
      </c>
      <c r="AC16" s="11">
        <v>22.6</v>
      </c>
      <c r="AD16" s="11">
        <v>25.6</v>
      </c>
      <c r="AE16" s="11"/>
      <c r="AF16" s="11">
        <f t="shared" si="6"/>
        <v>51.120000000000005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 spans="1:48" x14ac:dyDescent="0.25">
      <c r="A17" s="11" t="s">
        <v>50</v>
      </c>
      <c r="B17" s="11" t="s">
        <v>39</v>
      </c>
      <c r="C17" s="11">
        <v>174.20099999999999</v>
      </c>
      <c r="D17" s="11">
        <v>575.71699999999998</v>
      </c>
      <c r="E17" s="11">
        <v>298.20499999999998</v>
      </c>
      <c r="F17" s="11">
        <v>393.96100000000001</v>
      </c>
      <c r="G17" s="7">
        <v>1</v>
      </c>
      <c r="H17" s="11">
        <v>45</v>
      </c>
      <c r="I17" s="11" t="s">
        <v>37</v>
      </c>
      <c r="J17" s="11"/>
      <c r="K17" s="11">
        <v>274.39999999999998</v>
      </c>
      <c r="L17" s="11">
        <f t="shared" si="2"/>
        <v>23.805000000000007</v>
      </c>
      <c r="M17" s="11"/>
      <c r="N17" s="11"/>
      <c r="O17" s="11">
        <v>92</v>
      </c>
      <c r="P17" s="11">
        <v>108</v>
      </c>
      <c r="Q17" s="11">
        <f t="shared" si="3"/>
        <v>59.640999999999998</v>
      </c>
      <c r="R17" s="4">
        <f t="shared" si="7"/>
        <v>241.01299999999992</v>
      </c>
      <c r="S17" s="4"/>
      <c r="T17" s="11"/>
      <c r="U17" s="11">
        <f t="shared" si="4"/>
        <v>14</v>
      </c>
      <c r="V17" s="11">
        <f t="shared" si="5"/>
        <v>9.9589376435673458</v>
      </c>
      <c r="W17" s="11">
        <v>62.387800000000013</v>
      </c>
      <c r="X17" s="11">
        <v>69</v>
      </c>
      <c r="Y17" s="11">
        <v>55.5886</v>
      </c>
      <c r="Z17" s="11">
        <v>63.5792</v>
      </c>
      <c r="AA17" s="11">
        <v>54.83</v>
      </c>
      <c r="AB17" s="11">
        <v>69.053799999999995</v>
      </c>
      <c r="AC17" s="11">
        <v>65.913399999999996</v>
      </c>
      <c r="AD17" s="11">
        <v>77.592999999999989</v>
      </c>
      <c r="AE17" s="11"/>
      <c r="AF17" s="11">
        <f t="shared" si="6"/>
        <v>241.01299999999992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 spans="1:48" x14ac:dyDescent="0.25">
      <c r="A18" s="12" t="s">
        <v>51</v>
      </c>
      <c r="B18" s="12" t="s">
        <v>36</v>
      </c>
      <c r="C18" s="12">
        <v>200</v>
      </c>
      <c r="D18" s="12"/>
      <c r="E18" s="19">
        <v>208</v>
      </c>
      <c r="F18" s="19">
        <v>-20</v>
      </c>
      <c r="G18" s="13">
        <v>0</v>
      </c>
      <c r="H18" s="12">
        <v>60</v>
      </c>
      <c r="I18" s="14" t="s">
        <v>52</v>
      </c>
      <c r="J18" s="14" t="s">
        <v>53</v>
      </c>
      <c r="K18" s="12">
        <v>218</v>
      </c>
      <c r="L18" s="12">
        <f t="shared" si="2"/>
        <v>-10</v>
      </c>
      <c r="M18" s="12"/>
      <c r="N18" s="12"/>
      <c r="O18" s="12">
        <v>277</v>
      </c>
      <c r="P18" s="12">
        <v>323</v>
      </c>
      <c r="Q18" s="12">
        <f t="shared" si="3"/>
        <v>41.6</v>
      </c>
      <c r="R18" s="15"/>
      <c r="S18" s="15"/>
      <c r="T18" s="12"/>
      <c r="U18" s="12">
        <f t="shared" si="4"/>
        <v>13.942307692307692</v>
      </c>
      <c r="V18" s="12">
        <f t="shared" si="5"/>
        <v>13.942307692307692</v>
      </c>
      <c r="W18" s="12">
        <v>59.2</v>
      </c>
      <c r="X18" s="12">
        <v>38.4</v>
      </c>
      <c r="Y18" s="12">
        <v>40.200000000000003</v>
      </c>
      <c r="Z18" s="12">
        <v>54.6</v>
      </c>
      <c r="AA18" s="12">
        <v>42.8</v>
      </c>
      <c r="AB18" s="12">
        <v>33.4</v>
      </c>
      <c r="AC18" s="12">
        <v>55</v>
      </c>
      <c r="AD18" s="12">
        <v>52.6</v>
      </c>
      <c r="AE18" s="12" t="s">
        <v>54</v>
      </c>
      <c r="AF18" s="12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 spans="1:48" x14ac:dyDescent="0.25">
      <c r="A19" s="11" t="s">
        <v>55</v>
      </c>
      <c r="B19" s="11" t="s">
        <v>39</v>
      </c>
      <c r="C19" s="11">
        <v>28.475999999999999</v>
      </c>
      <c r="D19" s="11"/>
      <c r="E19" s="11">
        <v>21.366</v>
      </c>
      <c r="F19" s="11">
        <v>5.6189999999999998</v>
      </c>
      <c r="G19" s="7">
        <v>1</v>
      </c>
      <c r="H19" s="11">
        <v>120</v>
      </c>
      <c r="I19" s="11" t="s">
        <v>37</v>
      </c>
      <c r="J19" s="11"/>
      <c r="K19" s="11">
        <v>20.5</v>
      </c>
      <c r="L19" s="11">
        <f t="shared" si="2"/>
        <v>0.86599999999999966</v>
      </c>
      <c r="M19" s="11"/>
      <c r="N19" s="11"/>
      <c r="O19" s="11">
        <v>100</v>
      </c>
      <c r="P19" s="11"/>
      <c r="Q19" s="11">
        <f t="shared" si="3"/>
        <v>4.2732000000000001</v>
      </c>
      <c r="R19" s="4"/>
      <c r="S19" s="4"/>
      <c r="T19" s="11"/>
      <c r="U19" s="11">
        <f t="shared" si="4"/>
        <v>24.71660582233455</v>
      </c>
      <c r="V19" s="11">
        <f t="shared" si="5"/>
        <v>24.71660582233455</v>
      </c>
      <c r="W19" s="11">
        <v>8.4008000000000003</v>
      </c>
      <c r="X19" s="11">
        <v>2.5964</v>
      </c>
      <c r="Y19" s="11">
        <v>4.7544000000000004</v>
      </c>
      <c r="Z19" s="11">
        <v>4.2896000000000001</v>
      </c>
      <c r="AA19" s="11">
        <v>2.2056</v>
      </c>
      <c r="AB19" s="11">
        <v>3.289000000000001</v>
      </c>
      <c r="AC19" s="11">
        <v>5.5347999999999997</v>
      </c>
      <c r="AD19" s="11">
        <v>4.4236000000000004</v>
      </c>
      <c r="AE19" s="11"/>
      <c r="AF19" s="11">
        <f t="shared" ref="AF19:AF50" si="8">G19*R19</f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x14ac:dyDescent="0.25">
      <c r="A20" s="11" t="s">
        <v>56</v>
      </c>
      <c r="B20" s="11" t="s">
        <v>36</v>
      </c>
      <c r="C20" s="11">
        <v>28</v>
      </c>
      <c r="D20" s="11">
        <v>344</v>
      </c>
      <c r="E20" s="11">
        <v>165</v>
      </c>
      <c r="F20" s="11">
        <v>201</v>
      </c>
      <c r="G20" s="7">
        <v>0.4</v>
      </c>
      <c r="H20" s="11">
        <v>45</v>
      </c>
      <c r="I20" s="11" t="s">
        <v>37</v>
      </c>
      <c r="J20" s="11"/>
      <c r="K20" s="11">
        <v>164</v>
      </c>
      <c r="L20" s="11">
        <f t="shared" si="2"/>
        <v>1</v>
      </c>
      <c r="M20" s="11"/>
      <c r="N20" s="11"/>
      <c r="O20" s="11">
        <v>0</v>
      </c>
      <c r="P20" s="11"/>
      <c r="Q20" s="11">
        <f t="shared" si="3"/>
        <v>33</v>
      </c>
      <c r="R20" s="4">
        <f t="shared" ref="R19:R82" si="9">14*Q20-P20-O20-F20</f>
        <v>261</v>
      </c>
      <c r="S20" s="4"/>
      <c r="T20" s="11"/>
      <c r="U20" s="11">
        <f t="shared" si="4"/>
        <v>14</v>
      </c>
      <c r="V20" s="11">
        <f t="shared" si="5"/>
        <v>6.0909090909090908</v>
      </c>
      <c r="W20" s="11">
        <v>18</v>
      </c>
      <c r="X20" s="11">
        <v>40.799999999999997</v>
      </c>
      <c r="Y20" s="11">
        <v>15.4</v>
      </c>
      <c r="Z20" s="11">
        <v>21.8</v>
      </c>
      <c r="AA20" s="11">
        <v>55.4</v>
      </c>
      <c r="AB20" s="11">
        <v>21</v>
      </c>
      <c r="AC20" s="11">
        <v>39.6</v>
      </c>
      <c r="AD20" s="11">
        <v>38.6</v>
      </c>
      <c r="AE20" s="11"/>
      <c r="AF20" s="11">
        <f t="shared" si="8"/>
        <v>104.4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spans="1:48" x14ac:dyDescent="0.25">
      <c r="A21" s="11" t="s">
        <v>58</v>
      </c>
      <c r="B21" s="11" t="s">
        <v>39</v>
      </c>
      <c r="C21" s="11">
        <v>115.61499999999999</v>
      </c>
      <c r="D21" s="11">
        <v>149.953</v>
      </c>
      <c r="E21" s="11">
        <v>158.22300000000001</v>
      </c>
      <c r="F21" s="11">
        <v>75.527000000000001</v>
      </c>
      <c r="G21" s="7">
        <v>1</v>
      </c>
      <c r="H21" s="11">
        <v>60</v>
      </c>
      <c r="I21" s="11" t="s">
        <v>37</v>
      </c>
      <c r="J21" s="11"/>
      <c r="K21" s="11">
        <v>153.1</v>
      </c>
      <c r="L21" s="11">
        <f t="shared" si="2"/>
        <v>5.1230000000000189</v>
      </c>
      <c r="M21" s="11"/>
      <c r="N21" s="11"/>
      <c r="O21" s="11">
        <v>92</v>
      </c>
      <c r="P21" s="11">
        <v>108</v>
      </c>
      <c r="Q21" s="11">
        <f t="shared" si="3"/>
        <v>31.644600000000004</v>
      </c>
      <c r="R21" s="4">
        <f t="shared" si="9"/>
        <v>167.49740000000008</v>
      </c>
      <c r="S21" s="4"/>
      <c r="T21" s="11"/>
      <c r="U21" s="11">
        <f t="shared" si="4"/>
        <v>14</v>
      </c>
      <c r="V21" s="11">
        <f t="shared" si="5"/>
        <v>8.7069199800281858</v>
      </c>
      <c r="W21" s="11">
        <v>30.37</v>
      </c>
      <c r="X21" s="11">
        <v>28.280200000000001</v>
      </c>
      <c r="Y21" s="11">
        <v>26.901199999999999</v>
      </c>
      <c r="Z21" s="11">
        <v>23.154199999999999</v>
      </c>
      <c r="AA21" s="11">
        <v>31.187200000000001</v>
      </c>
      <c r="AB21" s="11">
        <v>26.022200000000002</v>
      </c>
      <c r="AC21" s="11">
        <v>32.539200000000001</v>
      </c>
      <c r="AD21" s="11">
        <v>35.8842</v>
      </c>
      <c r="AE21" s="11"/>
      <c r="AF21" s="11">
        <f t="shared" si="8"/>
        <v>167.49740000000008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spans="1:48" x14ac:dyDescent="0.25">
      <c r="A22" s="11" t="s">
        <v>59</v>
      </c>
      <c r="B22" s="11" t="s">
        <v>36</v>
      </c>
      <c r="C22" s="11">
        <v>184</v>
      </c>
      <c r="D22" s="11">
        <v>145</v>
      </c>
      <c r="E22" s="11">
        <v>136</v>
      </c>
      <c r="F22" s="11">
        <v>166</v>
      </c>
      <c r="G22" s="7">
        <v>0.22</v>
      </c>
      <c r="H22" s="11">
        <v>120</v>
      </c>
      <c r="I22" s="11" t="s">
        <v>37</v>
      </c>
      <c r="J22" s="11"/>
      <c r="K22" s="11">
        <v>137</v>
      </c>
      <c r="L22" s="11">
        <f t="shared" si="2"/>
        <v>-1</v>
      </c>
      <c r="M22" s="11"/>
      <c r="N22" s="11"/>
      <c r="O22" s="11">
        <v>116</v>
      </c>
      <c r="P22" s="11">
        <v>134</v>
      </c>
      <c r="Q22" s="11">
        <f t="shared" si="3"/>
        <v>27.2</v>
      </c>
      <c r="R22" s="4"/>
      <c r="S22" s="4"/>
      <c r="T22" s="11"/>
      <c r="U22" s="11">
        <f t="shared" si="4"/>
        <v>15.294117647058824</v>
      </c>
      <c r="V22" s="11">
        <f t="shared" si="5"/>
        <v>15.294117647058824</v>
      </c>
      <c r="W22" s="11">
        <v>38.4</v>
      </c>
      <c r="X22" s="11">
        <v>34.6</v>
      </c>
      <c r="Y22" s="11">
        <v>32</v>
      </c>
      <c r="Z22" s="11">
        <v>30.8</v>
      </c>
      <c r="AA22" s="11">
        <v>34</v>
      </c>
      <c r="AB22" s="11">
        <v>27.4</v>
      </c>
      <c r="AC22" s="11">
        <v>30.2</v>
      </c>
      <c r="AD22" s="11">
        <v>29.8</v>
      </c>
      <c r="AE22" s="11"/>
      <c r="AF22" s="11">
        <f t="shared" si="8"/>
        <v>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spans="1:48" x14ac:dyDescent="0.25">
      <c r="A23" s="11" t="s">
        <v>60</v>
      </c>
      <c r="B23" s="11" t="s">
        <v>36</v>
      </c>
      <c r="C23" s="11">
        <v>40</v>
      </c>
      <c r="D23" s="11">
        <v>20</v>
      </c>
      <c r="E23" s="11">
        <v>15</v>
      </c>
      <c r="F23" s="11">
        <v>44</v>
      </c>
      <c r="G23" s="7">
        <v>0.15</v>
      </c>
      <c r="H23" s="11">
        <v>45</v>
      </c>
      <c r="I23" s="11" t="s">
        <v>37</v>
      </c>
      <c r="J23" s="11"/>
      <c r="K23" s="11">
        <v>16</v>
      </c>
      <c r="L23" s="11">
        <f t="shared" si="2"/>
        <v>-1</v>
      </c>
      <c r="M23" s="11"/>
      <c r="N23" s="11"/>
      <c r="O23" s="11">
        <v>60</v>
      </c>
      <c r="P23" s="11"/>
      <c r="Q23" s="11">
        <f t="shared" si="3"/>
        <v>3</v>
      </c>
      <c r="R23" s="4"/>
      <c r="S23" s="4"/>
      <c r="T23" s="11"/>
      <c r="U23" s="11">
        <f t="shared" si="4"/>
        <v>34.666666666666664</v>
      </c>
      <c r="V23" s="11">
        <f t="shared" si="5"/>
        <v>34.666666666666664</v>
      </c>
      <c r="W23" s="11">
        <v>6.6</v>
      </c>
      <c r="X23" s="11">
        <v>4.8</v>
      </c>
      <c r="Y23" s="11">
        <v>6.6</v>
      </c>
      <c r="Z23" s="11">
        <v>6</v>
      </c>
      <c r="AA23" s="11">
        <v>0</v>
      </c>
      <c r="AB23" s="11">
        <v>0</v>
      </c>
      <c r="AC23" s="11">
        <v>3.6</v>
      </c>
      <c r="AD23" s="11">
        <v>0</v>
      </c>
      <c r="AE23" s="21" t="s">
        <v>138</v>
      </c>
      <c r="AF23" s="11">
        <f t="shared" si="8"/>
        <v>0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spans="1:48" x14ac:dyDescent="0.25">
      <c r="A24" s="11" t="s">
        <v>62</v>
      </c>
      <c r="B24" s="11" t="s">
        <v>39</v>
      </c>
      <c r="C24" s="11">
        <v>20.358000000000001</v>
      </c>
      <c r="D24" s="11">
        <v>149.875</v>
      </c>
      <c r="E24" s="11">
        <v>51.546999999999997</v>
      </c>
      <c r="F24" s="11">
        <v>103.831</v>
      </c>
      <c r="G24" s="7">
        <v>1</v>
      </c>
      <c r="H24" s="11">
        <v>60</v>
      </c>
      <c r="I24" s="11" t="s">
        <v>37</v>
      </c>
      <c r="J24" s="11"/>
      <c r="K24" s="11">
        <v>51.4</v>
      </c>
      <c r="L24" s="11">
        <f t="shared" si="2"/>
        <v>0.14699999999999847</v>
      </c>
      <c r="M24" s="11"/>
      <c r="N24" s="11"/>
      <c r="O24" s="11">
        <v>80</v>
      </c>
      <c r="P24" s="11"/>
      <c r="Q24" s="11">
        <f t="shared" si="3"/>
        <v>10.3094</v>
      </c>
      <c r="R24" s="4"/>
      <c r="S24" s="4"/>
      <c r="T24" s="11"/>
      <c r="U24" s="11">
        <f t="shared" si="4"/>
        <v>17.831396589520246</v>
      </c>
      <c r="V24" s="11">
        <f t="shared" si="5"/>
        <v>17.831396589520246</v>
      </c>
      <c r="W24" s="11">
        <v>15.7522</v>
      </c>
      <c r="X24" s="11">
        <v>18.615400000000001</v>
      </c>
      <c r="Y24" s="11">
        <v>15.2134</v>
      </c>
      <c r="Z24" s="11">
        <v>12.344799999999999</v>
      </c>
      <c r="AA24" s="11">
        <v>0</v>
      </c>
      <c r="AB24" s="11">
        <v>0</v>
      </c>
      <c r="AC24" s="11">
        <v>9.6677999999999997</v>
      </c>
      <c r="AD24" s="11">
        <v>0</v>
      </c>
      <c r="AE24" s="11" t="s">
        <v>61</v>
      </c>
      <c r="AF24" s="11">
        <f t="shared" si="8"/>
        <v>0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 spans="1:48" x14ac:dyDescent="0.25">
      <c r="A25" s="11" t="s">
        <v>63</v>
      </c>
      <c r="B25" s="11" t="s">
        <v>36</v>
      </c>
      <c r="C25" s="11"/>
      <c r="D25" s="11">
        <v>30</v>
      </c>
      <c r="E25" s="11">
        <v>23</v>
      </c>
      <c r="F25" s="11"/>
      <c r="G25" s="7">
        <v>0.09</v>
      </c>
      <c r="H25" s="11">
        <v>60</v>
      </c>
      <c r="I25" s="11" t="s">
        <v>37</v>
      </c>
      <c r="J25" s="11"/>
      <c r="K25" s="11">
        <v>29</v>
      </c>
      <c r="L25" s="11">
        <f t="shared" si="2"/>
        <v>-6</v>
      </c>
      <c r="M25" s="11"/>
      <c r="N25" s="11"/>
      <c r="O25" s="11">
        <v>162</v>
      </c>
      <c r="P25" s="11">
        <v>188</v>
      </c>
      <c r="Q25" s="11">
        <f t="shared" si="3"/>
        <v>4.5999999999999996</v>
      </c>
      <c r="R25" s="4"/>
      <c r="S25" s="4"/>
      <c r="T25" s="11"/>
      <c r="U25" s="11">
        <f t="shared" si="4"/>
        <v>76.08695652173914</v>
      </c>
      <c r="V25" s="11">
        <f t="shared" si="5"/>
        <v>76.08695652173914</v>
      </c>
      <c r="W25" s="11">
        <v>36.6</v>
      </c>
      <c r="X25" s="11">
        <v>14.4</v>
      </c>
      <c r="Y25" s="11">
        <v>14.8</v>
      </c>
      <c r="Z25" s="11">
        <v>19.399999999999999</v>
      </c>
      <c r="AA25" s="11">
        <v>14.6</v>
      </c>
      <c r="AB25" s="11">
        <v>14</v>
      </c>
      <c r="AC25" s="11">
        <v>16.399999999999999</v>
      </c>
      <c r="AD25" s="11">
        <v>23.4</v>
      </c>
      <c r="AE25" s="11"/>
      <c r="AF25" s="11">
        <f t="shared" si="8"/>
        <v>0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 spans="1:48" x14ac:dyDescent="0.25">
      <c r="A26" s="11" t="s">
        <v>64</v>
      </c>
      <c r="B26" s="11" t="s">
        <v>36</v>
      </c>
      <c r="C26" s="11"/>
      <c r="D26" s="11">
        <v>61</v>
      </c>
      <c r="E26" s="11">
        <v>39</v>
      </c>
      <c r="F26" s="11">
        <v>8</v>
      </c>
      <c r="G26" s="7">
        <v>0.09</v>
      </c>
      <c r="H26" s="11">
        <v>45</v>
      </c>
      <c r="I26" s="11" t="s">
        <v>37</v>
      </c>
      <c r="J26" s="11"/>
      <c r="K26" s="11">
        <v>45</v>
      </c>
      <c r="L26" s="11">
        <f t="shared" si="2"/>
        <v>-6</v>
      </c>
      <c r="M26" s="11"/>
      <c r="N26" s="11"/>
      <c r="O26" s="11">
        <v>120</v>
      </c>
      <c r="P26" s="11"/>
      <c r="Q26" s="11">
        <f t="shared" si="3"/>
        <v>7.8</v>
      </c>
      <c r="R26" s="4"/>
      <c r="S26" s="4"/>
      <c r="T26" s="11"/>
      <c r="U26" s="11">
        <f t="shared" si="4"/>
        <v>16.410256410256412</v>
      </c>
      <c r="V26" s="11">
        <f t="shared" si="5"/>
        <v>16.410256410256412</v>
      </c>
      <c r="W26" s="11">
        <v>12.8</v>
      </c>
      <c r="X26" s="11">
        <v>10.199999999999999</v>
      </c>
      <c r="Y26" s="11">
        <v>7.6</v>
      </c>
      <c r="Z26" s="11">
        <v>9.1999999999999993</v>
      </c>
      <c r="AA26" s="11">
        <v>11.2</v>
      </c>
      <c r="AB26" s="11">
        <v>10.199999999999999</v>
      </c>
      <c r="AC26" s="11">
        <v>11.4</v>
      </c>
      <c r="AD26" s="11">
        <v>9.1999999999999993</v>
      </c>
      <c r="AE26" s="11"/>
      <c r="AF26" s="11">
        <f t="shared" si="8"/>
        <v>0</v>
      </c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 spans="1:48" x14ac:dyDescent="0.25">
      <c r="A27" s="9" t="s">
        <v>65</v>
      </c>
      <c r="B27" s="11" t="s">
        <v>36</v>
      </c>
      <c r="C27" s="11">
        <v>18</v>
      </c>
      <c r="D27" s="11"/>
      <c r="E27" s="11">
        <v>21</v>
      </c>
      <c r="F27" s="11">
        <v>-8</v>
      </c>
      <c r="G27" s="7">
        <v>0.4</v>
      </c>
      <c r="H27" s="11">
        <v>60</v>
      </c>
      <c r="I27" s="11" t="s">
        <v>37</v>
      </c>
      <c r="J27" s="11"/>
      <c r="K27" s="11">
        <v>27</v>
      </c>
      <c r="L27" s="11">
        <f t="shared" si="2"/>
        <v>-6</v>
      </c>
      <c r="M27" s="11"/>
      <c r="N27" s="11"/>
      <c r="O27" s="11">
        <v>0</v>
      </c>
      <c r="P27" s="11"/>
      <c r="Q27" s="11">
        <f t="shared" si="3"/>
        <v>4.2</v>
      </c>
      <c r="R27" s="4">
        <v>200</v>
      </c>
      <c r="S27" s="4"/>
      <c r="T27" s="11"/>
      <c r="U27" s="11">
        <f t="shared" si="4"/>
        <v>45.714285714285715</v>
      </c>
      <c r="V27" s="11">
        <f t="shared" si="5"/>
        <v>-1.9047619047619047</v>
      </c>
      <c r="W27" s="11">
        <v>15</v>
      </c>
      <c r="X27" s="11">
        <v>28.4</v>
      </c>
      <c r="Y27" s="11">
        <v>17.600000000000001</v>
      </c>
      <c r="Z27" s="11">
        <v>21.2</v>
      </c>
      <c r="AA27" s="11">
        <v>24.2</v>
      </c>
      <c r="AB27" s="11">
        <v>25.4</v>
      </c>
      <c r="AC27" s="11">
        <v>22</v>
      </c>
      <c r="AD27" s="11">
        <v>34</v>
      </c>
      <c r="AE27" s="10" t="s">
        <v>113</v>
      </c>
      <c r="AF27" s="11">
        <f t="shared" si="8"/>
        <v>80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48" x14ac:dyDescent="0.25">
      <c r="A28" s="11" t="s">
        <v>66</v>
      </c>
      <c r="B28" s="11" t="s">
        <v>36</v>
      </c>
      <c r="C28" s="11">
        <v>39</v>
      </c>
      <c r="D28" s="11">
        <v>48</v>
      </c>
      <c r="E28" s="11">
        <v>43</v>
      </c>
      <c r="F28" s="11">
        <v>33</v>
      </c>
      <c r="G28" s="7">
        <v>0.15</v>
      </c>
      <c r="H28" s="11">
        <v>45</v>
      </c>
      <c r="I28" s="11" t="s">
        <v>37</v>
      </c>
      <c r="J28" s="11"/>
      <c r="K28" s="11">
        <v>48</v>
      </c>
      <c r="L28" s="11">
        <f t="shared" si="2"/>
        <v>-5</v>
      </c>
      <c r="M28" s="11"/>
      <c r="N28" s="11"/>
      <c r="O28" s="11">
        <v>50</v>
      </c>
      <c r="P28" s="11"/>
      <c r="Q28" s="11">
        <f t="shared" si="3"/>
        <v>8.6</v>
      </c>
      <c r="R28" s="4">
        <f t="shared" si="9"/>
        <v>37.399999999999991</v>
      </c>
      <c r="S28" s="4"/>
      <c r="T28" s="11"/>
      <c r="U28" s="11">
        <f t="shared" si="4"/>
        <v>14</v>
      </c>
      <c r="V28" s="11">
        <f t="shared" si="5"/>
        <v>9.6511627906976756</v>
      </c>
      <c r="W28" s="11">
        <v>9.1999999999999993</v>
      </c>
      <c r="X28" s="11">
        <v>9.6</v>
      </c>
      <c r="Y28" s="11">
        <v>10.4</v>
      </c>
      <c r="Z28" s="11">
        <v>9.8000000000000007</v>
      </c>
      <c r="AA28" s="11">
        <v>11.6</v>
      </c>
      <c r="AB28" s="11">
        <v>2.8</v>
      </c>
      <c r="AC28" s="11">
        <v>4.8</v>
      </c>
      <c r="AD28" s="11">
        <v>17.399999999999999</v>
      </c>
      <c r="AE28" s="11"/>
      <c r="AF28" s="11">
        <f t="shared" si="8"/>
        <v>5.6099999999999985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 spans="1:48" x14ac:dyDescent="0.25">
      <c r="A29" s="11" t="s">
        <v>67</v>
      </c>
      <c r="B29" s="11" t="s">
        <v>39</v>
      </c>
      <c r="C29" s="11">
        <v>544.59500000000003</v>
      </c>
      <c r="D29" s="11">
        <v>108.94499999999999</v>
      </c>
      <c r="E29" s="11">
        <v>306.77</v>
      </c>
      <c r="F29" s="11">
        <v>138.934</v>
      </c>
      <c r="G29" s="7">
        <v>1</v>
      </c>
      <c r="H29" s="11">
        <v>45</v>
      </c>
      <c r="I29" s="11" t="s">
        <v>37</v>
      </c>
      <c r="J29" s="11"/>
      <c r="K29" s="11">
        <v>288.60000000000002</v>
      </c>
      <c r="L29" s="11">
        <f t="shared" si="2"/>
        <v>18.169999999999959</v>
      </c>
      <c r="M29" s="11"/>
      <c r="N29" s="11"/>
      <c r="O29" s="11">
        <v>139</v>
      </c>
      <c r="P29" s="11">
        <v>161</v>
      </c>
      <c r="Q29" s="11">
        <f t="shared" si="3"/>
        <v>61.353999999999999</v>
      </c>
      <c r="R29" s="4">
        <f t="shared" si="9"/>
        <v>420.02200000000005</v>
      </c>
      <c r="S29" s="4"/>
      <c r="T29" s="11"/>
      <c r="U29" s="11">
        <f t="shared" si="4"/>
        <v>14</v>
      </c>
      <c r="V29" s="11">
        <f t="shared" si="5"/>
        <v>7.1541219806369591</v>
      </c>
      <c r="W29" s="11">
        <v>66.36</v>
      </c>
      <c r="X29" s="11">
        <v>62.159000000000013</v>
      </c>
      <c r="Y29" s="11">
        <v>74.370199999999997</v>
      </c>
      <c r="Z29" s="11">
        <v>56.426199999999987</v>
      </c>
      <c r="AA29" s="11">
        <v>71.535799999999995</v>
      </c>
      <c r="AB29" s="11">
        <v>49.277199999999993</v>
      </c>
      <c r="AC29" s="11">
        <v>58.217200000000012</v>
      </c>
      <c r="AD29" s="11">
        <v>51.249600000000008</v>
      </c>
      <c r="AE29" s="11"/>
      <c r="AF29" s="11">
        <f t="shared" si="8"/>
        <v>420.02200000000005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 spans="1:48" x14ac:dyDescent="0.25">
      <c r="A30" s="11" t="s">
        <v>68</v>
      </c>
      <c r="B30" s="11" t="s">
        <v>36</v>
      </c>
      <c r="C30" s="11"/>
      <c r="D30" s="11">
        <v>48</v>
      </c>
      <c r="E30" s="11">
        <v>35</v>
      </c>
      <c r="F30" s="11">
        <v>-2</v>
      </c>
      <c r="G30" s="7">
        <v>0.4</v>
      </c>
      <c r="H30" s="11">
        <v>60</v>
      </c>
      <c r="I30" s="11" t="s">
        <v>37</v>
      </c>
      <c r="J30" s="11"/>
      <c r="K30" s="11">
        <v>35</v>
      </c>
      <c r="L30" s="11">
        <f t="shared" si="2"/>
        <v>0</v>
      </c>
      <c r="M30" s="11"/>
      <c r="N30" s="11"/>
      <c r="O30" s="11">
        <v>100</v>
      </c>
      <c r="P30" s="11"/>
      <c r="Q30" s="11">
        <f t="shared" si="3"/>
        <v>7</v>
      </c>
      <c r="R30" s="4">
        <v>16</v>
      </c>
      <c r="S30" s="4"/>
      <c r="T30" s="11"/>
      <c r="U30" s="11">
        <f t="shared" si="4"/>
        <v>16.285714285714285</v>
      </c>
      <c r="V30" s="11">
        <f t="shared" si="5"/>
        <v>14</v>
      </c>
      <c r="W30" s="11">
        <v>10.199999999999999</v>
      </c>
      <c r="X30" s="11">
        <v>8.4</v>
      </c>
      <c r="Y30" s="11">
        <v>2</v>
      </c>
      <c r="Z30" s="11">
        <v>8.4</v>
      </c>
      <c r="AA30" s="11">
        <v>6.6</v>
      </c>
      <c r="AB30" s="11">
        <v>5</v>
      </c>
      <c r="AC30" s="11">
        <v>6.8</v>
      </c>
      <c r="AD30" s="11">
        <v>5.6</v>
      </c>
      <c r="AE30" s="11"/>
      <c r="AF30" s="11">
        <f t="shared" si="8"/>
        <v>6.4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 spans="1:48" x14ac:dyDescent="0.25">
      <c r="A31" s="11" t="s">
        <v>69</v>
      </c>
      <c r="B31" s="11" t="s">
        <v>36</v>
      </c>
      <c r="C31" s="11">
        <v>20</v>
      </c>
      <c r="D31" s="11">
        <v>18</v>
      </c>
      <c r="E31" s="11">
        <v>29</v>
      </c>
      <c r="F31" s="11"/>
      <c r="G31" s="7">
        <v>0.4</v>
      </c>
      <c r="H31" s="11">
        <v>60</v>
      </c>
      <c r="I31" s="11" t="s">
        <v>37</v>
      </c>
      <c r="J31" s="11"/>
      <c r="K31" s="11">
        <v>46</v>
      </c>
      <c r="L31" s="11">
        <f t="shared" si="2"/>
        <v>-17</v>
      </c>
      <c r="M31" s="11"/>
      <c r="N31" s="11"/>
      <c r="O31" s="11">
        <v>50</v>
      </c>
      <c r="P31" s="11"/>
      <c r="Q31" s="11">
        <f t="shared" si="3"/>
        <v>5.8</v>
      </c>
      <c r="R31" s="4">
        <f t="shared" si="9"/>
        <v>31.200000000000003</v>
      </c>
      <c r="S31" s="4"/>
      <c r="T31" s="11"/>
      <c r="U31" s="11">
        <f t="shared" si="4"/>
        <v>14.000000000000002</v>
      </c>
      <c r="V31" s="11">
        <f t="shared" si="5"/>
        <v>8.6206896551724146</v>
      </c>
      <c r="W31" s="11">
        <v>5.6</v>
      </c>
      <c r="X31" s="11">
        <v>4.8</v>
      </c>
      <c r="Y31" s="11">
        <v>10.199999999999999</v>
      </c>
      <c r="Z31" s="11">
        <v>0.8</v>
      </c>
      <c r="AA31" s="11">
        <v>13.6</v>
      </c>
      <c r="AB31" s="11">
        <v>6</v>
      </c>
      <c r="AC31" s="11">
        <v>6.4</v>
      </c>
      <c r="AD31" s="11">
        <v>8.4</v>
      </c>
      <c r="AE31" s="11"/>
      <c r="AF31" s="11">
        <f t="shared" si="8"/>
        <v>12.480000000000002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 spans="1:48" x14ac:dyDescent="0.25">
      <c r="A32" s="11" t="s">
        <v>70</v>
      </c>
      <c r="B32" s="11" t="s">
        <v>36</v>
      </c>
      <c r="C32" s="11">
        <v>377</v>
      </c>
      <c r="D32" s="11">
        <v>440</v>
      </c>
      <c r="E32" s="11">
        <v>548</v>
      </c>
      <c r="F32" s="11">
        <v>250</v>
      </c>
      <c r="G32" s="7">
        <v>0.4</v>
      </c>
      <c r="H32" s="11">
        <v>60</v>
      </c>
      <c r="I32" s="11" t="s">
        <v>37</v>
      </c>
      <c r="J32" s="11"/>
      <c r="K32" s="11">
        <v>539</v>
      </c>
      <c r="L32" s="11">
        <f t="shared" si="2"/>
        <v>9</v>
      </c>
      <c r="M32" s="11"/>
      <c r="N32" s="11"/>
      <c r="O32" s="11">
        <v>0</v>
      </c>
      <c r="P32" s="11"/>
      <c r="Q32" s="11">
        <f t="shared" si="3"/>
        <v>109.6</v>
      </c>
      <c r="R32" s="4">
        <f>11*Q32-P32-O32-F32</f>
        <v>955.59999999999991</v>
      </c>
      <c r="S32" s="4"/>
      <c r="T32" s="11"/>
      <c r="U32" s="11">
        <f t="shared" si="4"/>
        <v>11</v>
      </c>
      <c r="V32" s="11">
        <f t="shared" si="5"/>
        <v>2.281021897810219</v>
      </c>
      <c r="W32" s="11">
        <v>53.2</v>
      </c>
      <c r="X32" s="11">
        <v>75</v>
      </c>
      <c r="Y32" s="11">
        <v>70.400000000000006</v>
      </c>
      <c r="Z32" s="11">
        <v>58.8</v>
      </c>
      <c r="AA32" s="11">
        <v>78</v>
      </c>
      <c r="AB32" s="11">
        <v>80</v>
      </c>
      <c r="AC32" s="11">
        <v>97.6</v>
      </c>
      <c r="AD32" s="11">
        <v>87</v>
      </c>
      <c r="AE32" s="11"/>
      <c r="AF32" s="11">
        <f t="shared" si="8"/>
        <v>382.24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 spans="1:48" x14ac:dyDescent="0.25">
      <c r="A33" s="11" t="s">
        <v>71</v>
      </c>
      <c r="B33" s="11" t="s">
        <v>36</v>
      </c>
      <c r="C33" s="11">
        <v>64</v>
      </c>
      <c r="D33" s="11">
        <v>592</v>
      </c>
      <c r="E33" s="11">
        <v>233</v>
      </c>
      <c r="F33" s="11">
        <v>409</v>
      </c>
      <c r="G33" s="7">
        <v>0.4</v>
      </c>
      <c r="H33" s="11">
        <v>60</v>
      </c>
      <c r="I33" s="11" t="s">
        <v>37</v>
      </c>
      <c r="J33" s="11"/>
      <c r="K33" s="11">
        <v>230</v>
      </c>
      <c r="L33" s="11">
        <f t="shared" si="2"/>
        <v>3</v>
      </c>
      <c r="M33" s="11"/>
      <c r="N33" s="11"/>
      <c r="O33" s="11">
        <v>0</v>
      </c>
      <c r="P33" s="11"/>
      <c r="Q33" s="11">
        <f t="shared" si="3"/>
        <v>46.6</v>
      </c>
      <c r="R33" s="4">
        <f t="shared" si="9"/>
        <v>243.39999999999998</v>
      </c>
      <c r="S33" s="4"/>
      <c r="T33" s="11"/>
      <c r="U33" s="11">
        <f t="shared" si="4"/>
        <v>13.999999999999998</v>
      </c>
      <c r="V33" s="11">
        <f t="shared" si="5"/>
        <v>8.7768240343347639</v>
      </c>
      <c r="W33" s="11">
        <v>43.2</v>
      </c>
      <c r="X33" s="11">
        <v>65.8</v>
      </c>
      <c r="Y33" s="11">
        <v>43</v>
      </c>
      <c r="Z33" s="11">
        <v>43</v>
      </c>
      <c r="AA33" s="11">
        <v>49.8</v>
      </c>
      <c r="AB33" s="11">
        <v>24.8</v>
      </c>
      <c r="AC33" s="11">
        <v>62</v>
      </c>
      <c r="AD33" s="11">
        <v>35</v>
      </c>
      <c r="AE33" s="11"/>
      <c r="AF33" s="11">
        <f t="shared" si="8"/>
        <v>97.36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 spans="1:48" x14ac:dyDescent="0.25">
      <c r="A34" s="11" t="s">
        <v>72</v>
      </c>
      <c r="B34" s="11" t="s">
        <v>36</v>
      </c>
      <c r="C34" s="11">
        <v>516</v>
      </c>
      <c r="D34" s="11">
        <v>496</v>
      </c>
      <c r="E34" s="11">
        <v>454</v>
      </c>
      <c r="F34" s="11">
        <v>541</v>
      </c>
      <c r="G34" s="7">
        <v>0.4</v>
      </c>
      <c r="H34" s="11">
        <v>60</v>
      </c>
      <c r="I34" s="11" t="s">
        <v>37</v>
      </c>
      <c r="J34" s="11"/>
      <c r="K34" s="11">
        <v>442</v>
      </c>
      <c r="L34" s="11">
        <f t="shared" si="2"/>
        <v>12</v>
      </c>
      <c r="M34" s="11"/>
      <c r="N34" s="11"/>
      <c r="O34" s="11">
        <v>0</v>
      </c>
      <c r="P34" s="11"/>
      <c r="Q34" s="11">
        <f t="shared" si="3"/>
        <v>90.8</v>
      </c>
      <c r="R34" s="4">
        <f t="shared" si="9"/>
        <v>730.2</v>
      </c>
      <c r="S34" s="4"/>
      <c r="T34" s="11"/>
      <c r="U34" s="11">
        <f t="shared" si="4"/>
        <v>14.000000000000002</v>
      </c>
      <c r="V34" s="11">
        <f t="shared" si="5"/>
        <v>5.9581497797356828</v>
      </c>
      <c r="W34" s="11">
        <v>41</v>
      </c>
      <c r="X34" s="11">
        <v>84</v>
      </c>
      <c r="Y34" s="11">
        <v>79.8</v>
      </c>
      <c r="Z34" s="11">
        <v>55.2</v>
      </c>
      <c r="AA34" s="11">
        <v>79.2</v>
      </c>
      <c r="AB34" s="11">
        <v>74</v>
      </c>
      <c r="AC34" s="11">
        <v>99.6</v>
      </c>
      <c r="AD34" s="11">
        <v>81.8</v>
      </c>
      <c r="AE34" s="11"/>
      <c r="AF34" s="11">
        <f t="shared" si="8"/>
        <v>292.08000000000004</v>
      </c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 spans="1:48" x14ac:dyDescent="0.25">
      <c r="A35" s="11" t="s">
        <v>73</v>
      </c>
      <c r="B35" s="11" t="s">
        <v>36</v>
      </c>
      <c r="C35" s="11">
        <v>38</v>
      </c>
      <c r="D35" s="11">
        <v>60</v>
      </c>
      <c r="E35" s="11">
        <v>50</v>
      </c>
      <c r="F35" s="11">
        <v>40</v>
      </c>
      <c r="G35" s="7">
        <v>0.1</v>
      </c>
      <c r="H35" s="11">
        <v>45</v>
      </c>
      <c r="I35" s="11" t="s">
        <v>37</v>
      </c>
      <c r="J35" s="11"/>
      <c r="K35" s="11">
        <v>54</v>
      </c>
      <c r="L35" s="11">
        <f t="shared" si="2"/>
        <v>-4</v>
      </c>
      <c r="M35" s="11"/>
      <c r="N35" s="11"/>
      <c r="O35" s="11">
        <v>20</v>
      </c>
      <c r="P35" s="11">
        <v>20</v>
      </c>
      <c r="Q35" s="11">
        <f t="shared" si="3"/>
        <v>10</v>
      </c>
      <c r="R35" s="4">
        <f t="shared" si="9"/>
        <v>60</v>
      </c>
      <c r="S35" s="4"/>
      <c r="T35" s="11"/>
      <c r="U35" s="11">
        <f t="shared" si="4"/>
        <v>14</v>
      </c>
      <c r="V35" s="11">
        <f t="shared" si="5"/>
        <v>8</v>
      </c>
      <c r="W35" s="11">
        <v>5.6</v>
      </c>
      <c r="X35" s="11">
        <v>8.6</v>
      </c>
      <c r="Y35" s="11">
        <v>7.2</v>
      </c>
      <c r="Z35" s="11">
        <v>0</v>
      </c>
      <c r="AA35" s="11">
        <v>6</v>
      </c>
      <c r="AB35" s="11">
        <v>14.6</v>
      </c>
      <c r="AC35" s="11">
        <v>0.6</v>
      </c>
      <c r="AD35" s="11">
        <v>-1.6</v>
      </c>
      <c r="AE35" s="11"/>
      <c r="AF35" s="11">
        <f t="shared" si="8"/>
        <v>6</v>
      </c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 spans="1:48" x14ac:dyDescent="0.25">
      <c r="A36" s="11" t="s">
        <v>74</v>
      </c>
      <c r="B36" s="11" t="s">
        <v>36</v>
      </c>
      <c r="C36" s="11">
        <v>262</v>
      </c>
      <c r="D36" s="11">
        <v>196</v>
      </c>
      <c r="E36" s="11">
        <v>171</v>
      </c>
      <c r="F36" s="11">
        <v>253</v>
      </c>
      <c r="G36" s="7">
        <v>0.1</v>
      </c>
      <c r="H36" s="11">
        <v>60</v>
      </c>
      <c r="I36" s="11" t="s">
        <v>37</v>
      </c>
      <c r="J36" s="11"/>
      <c r="K36" s="11">
        <v>172</v>
      </c>
      <c r="L36" s="11">
        <f t="shared" si="2"/>
        <v>-1</v>
      </c>
      <c r="M36" s="11"/>
      <c r="N36" s="11"/>
      <c r="O36" s="11">
        <v>0</v>
      </c>
      <c r="P36" s="11"/>
      <c r="Q36" s="11">
        <f t="shared" si="3"/>
        <v>34.200000000000003</v>
      </c>
      <c r="R36" s="4">
        <f t="shared" si="9"/>
        <v>225.80000000000007</v>
      </c>
      <c r="S36" s="4"/>
      <c r="T36" s="11"/>
      <c r="U36" s="11">
        <f t="shared" si="4"/>
        <v>14</v>
      </c>
      <c r="V36" s="11">
        <f t="shared" si="5"/>
        <v>7.39766081871345</v>
      </c>
      <c r="W36" s="11">
        <v>14.6</v>
      </c>
      <c r="X36" s="11">
        <v>31.8</v>
      </c>
      <c r="Y36" s="11">
        <v>37.6</v>
      </c>
      <c r="Z36" s="11">
        <v>11.6</v>
      </c>
      <c r="AA36" s="11">
        <v>31.8</v>
      </c>
      <c r="AB36" s="11">
        <v>37.200000000000003</v>
      </c>
      <c r="AC36" s="11">
        <v>19.399999999999999</v>
      </c>
      <c r="AD36" s="11">
        <v>30.2</v>
      </c>
      <c r="AE36" s="11"/>
      <c r="AF36" s="11">
        <f t="shared" si="8"/>
        <v>22.580000000000009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 spans="1:48" x14ac:dyDescent="0.25">
      <c r="A37" s="11" t="s">
        <v>75</v>
      </c>
      <c r="B37" s="11" t="s">
        <v>36</v>
      </c>
      <c r="C37" s="11">
        <v>162</v>
      </c>
      <c r="D37" s="11">
        <v>290</v>
      </c>
      <c r="E37" s="11">
        <v>152</v>
      </c>
      <c r="F37" s="11">
        <v>274</v>
      </c>
      <c r="G37" s="7">
        <v>0.1</v>
      </c>
      <c r="H37" s="11">
        <v>60</v>
      </c>
      <c r="I37" s="11" t="s">
        <v>37</v>
      </c>
      <c r="J37" s="11"/>
      <c r="K37" s="11">
        <v>152</v>
      </c>
      <c r="L37" s="11">
        <f t="shared" si="2"/>
        <v>0</v>
      </c>
      <c r="M37" s="11"/>
      <c r="N37" s="11"/>
      <c r="O37" s="11">
        <v>69</v>
      </c>
      <c r="P37" s="11">
        <v>81</v>
      </c>
      <c r="Q37" s="11">
        <f t="shared" si="3"/>
        <v>30.4</v>
      </c>
      <c r="R37" s="4">
        <v>10</v>
      </c>
      <c r="S37" s="4"/>
      <c r="T37" s="11"/>
      <c r="U37" s="11">
        <f t="shared" si="4"/>
        <v>14.276315789473685</v>
      </c>
      <c r="V37" s="11">
        <f t="shared" si="5"/>
        <v>13.947368421052632</v>
      </c>
      <c r="W37" s="11">
        <v>30.4</v>
      </c>
      <c r="X37" s="11">
        <v>39.799999999999997</v>
      </c>
      <c r="Y37" s="11">
        <v>33</v>
      </c>
      <c r="Z37" s="11">
        <v>8.6</v>
      </c>
      <c r="AA37" s="11">
        <v>33.200000000000003</v>
      </c>
      <c r="AB37" s="11">
        <v>39.200000000000003</v>
      </c>
      <c r="AC37" s="11">
        <v>15.2</v>
      </c>
      <c r="AD37" s="11">
        <v>20.8</v>
      </c>
      <c r="AE37" s="11"/>
      <c r="AF37" s="11">
        <f t="shared" si="8"/>
        <v>1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x14ac:dyDescent="0.25">
      <c r="A38" s="11" t="s">
        <v>76</v>
      </c>
      <c r="B38" s="11" t="s">
        <v>36</v>
      </c>
      <c r="C38" s="11">
        <v>32</v>
      </c>
      <c r="D38" s="11"/>
      <c r="E38" s="11">
        <v>28</v>
      </c>
      <c r="F38" s="11"/>
      <c r="G38" s="7">
        <v>0.1</v>
      </c>
      <c r="H38" s="11">
        <v>45</v>
      </c>
      <c r="I38" s="11" t="s">
        <v>37</v>
      </c>
      <c r="J38" s="11"/>
      <c r="K38" s="11">
        <v>48</v>
      </c>
      <c r="L38" s="11">
        <f t="shared" ref="L38:L69" si="10">E38-K38</f>
        <v>-20</v>
      </c>
      <c r="M38" s="11"/>
      <c r="N38" s="11"/>
      <c r="O38" s="11">
        <v>150</v>
      </c>
      <c r="P38" s="11"/>
      <c r="Q38" s="11">
        <f t="shared" ref="Q38:Q69" si="11">E38/5</f>
        <v>5.6</v>
      </c>
      <c r="R38" s="4"/>
      <c r="S38" s="4"/>
      <c r="T38" s="11"/>
      <c r="U38" s="11">
        <f t="shared" ref="U38:U69" si="12">(F38+O38+P38+R38)/Q38</f>
        <v>26.785714285714288</v>
      </c>
      <c r="V38" s="11">
        <f t="shared" ref="V38:V69" si="13">(F38+O38+P38)/Q38</f>
        <v>26.785714285714288</v>
      </c>
      <c r="W38" s="11">
        <v>18.399999999999999</v>
      </c>
      <c r="X38" s="11">
        <v>8.8000000000000007</v>
      </c>
      <c r="Y38" s="11">
        <v>7.2</v>
      </c>
      <c r="Z38" s="11">
        <v>10.6</v>
      </c>
      <c r="AA38" s="11">
        <v>11.6</v>
      </c>
      <c r="AB38" s="11">
        <v>12.6</v>
      </c>
      <c r="AC38" s="11">
        <v>16.600000000000001</v>
      </c>
      <c r="AD38" s="11">
        <v>14.8</v>
      </c>
      <c r="AE38" s="11"/>
      <c r="AF38" s="11">
        <f t="shared" si="8"/>
        <v>0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 spans="1:48" x14ac:dyDescent="0.25">
      <c r="A39" s="11" t="s">
        <v>77</v>
      </c>
      <c r="B39" s="11" t="s">
        <v>36</v>
      </c>
      <c r="C39" s="11">
        <v>204</v>
      </c>
      <c r="D39" s="11">
        <v>384</v>
      </c>
      <c r="E39" s="11">
        <v>162</v>
      </c>
      <c r="F39" s="11">
        <v>401</v>
      </c>
      <c r="G39" s="7">
        <v>0.4</v>
      </c>
      <c r="H39" s="11">
        <v>45</v>
      </c>
      <c r="I39" s="11" t="s">
        <v>37</v>
      </c>
      <c r="J39" s="11"/>
      <c r="K39" s="11">
        <v>167</v>
      </c>
      <c r="L39" s="11">
        <f t="shared" si="10"/>
        <v>-5</v>
      </c>
      <c r="M39" s="11"/>
      <c r="N39" s="11"/>
      <c r="O39" s="11">
        <v>0</v>
      </c>
      <c r="P39" s="11"/>
      <c r="Q39" s="11">
        <f t="shared" si="11"/>
        <v>32.4</v>
      </c>
      <c r="R39" s="4">
        <f t="shared" si="9"/>
        <v>52.599999999999966</v>
      </c>
      <c r="S39" s="4"/>
      <c r="T39" s="11"/>
      <c r="U39" s="11">
        <f t="shared" si="12"/>
        <v>14</v>
      </c>
      <c r="V39" s="11">
        <f t="shared" si="13"/>
        <v>12.376543209876544</v>
      </c>
      <c r="W39" s="11">
        <v>22.4</v>
      </c>
      <c r="X39" s="11">
        <v>54.8</v>
      </c>
      <c r="Y39" s="11">
        <v>52.6</v>
      </c>
      <c r="Z39" s="11">
        <v>36.799999999999997</v>
      </c>
      <c r="AA39" s="11">
        <v>48</v>
      </c>
      <c r="AB39" s="11">
        <v>43.4</v>
      </c>
      <c r="AC39" s="11">
        <v>62.8</v>
      </c>
      <c r="AD39" s="11">
        <v>45</v>
      </c>
      <c r="AE39" s="11"/>
      <c r="AF39" s="11">
        <f t="shared" si="8"/>
        <v>21.039999999999988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 spans="1:48" x14ac:dyDescent="0.25">
      <c r="A40" s="11" t="s">
        <v>78</v>
      </c>
      <c r="B40" s="11" t="s">
        <v>39</v>
      </c>
      <c r="C40" s="11">
        <v>80.676000000000002</v>
      </c>
      <c r="D40" s="11">
        <v>68.313999999999993</v>
      </c>
      <c r="E40" s="11">
        <v>110.51600000000001</v>
      </c>
      <c r="F40" s="11">
        <v>12.388999999999999</v>
      </c>
      <c r="G40" s="7">
        <v>1</v>
      </c>
      <c r="H40" s="11">
        <v>60</v>
      </c>
      <c r="I40" s="11" t="s">
        <v>37</v>
      </c>
      <c r="J40" s="11"/>
      <c r="K40" s="11">
        <v>109.9</v>
      </c>
      <c r="L40" s="11">
        <f t="shared" si="10"/>
        <v>0.61599999999999966</v>
      </c>
      <c r="M40" s="11"/>
      <c r="N40" s="11"/>
      <c r="O40" s="11">
        <v>116</v>
      </c>
      <c r="P40" s="11">
        <v>134</v>
      </c>
      <c r="Q40" s="11">
        <f t="shared" si="11"/>
        <v>22.103200000000001</v>
      </c>
      <c r="R40" s="4">
        <f t="shared" si="9"/>
        <v>47.055799999999991</v>
      </c>
      <c r="S40" s="4"/>
      <c r="T40" s="11"/>
      <c r="U40" s="11">
        <f t="shared" si="12"/>
        <v>13.999999999999998</v>
      </c>
      <c r="V40" s="11">
        <f t="shared" si="13"/>
        <v>11.871086539505592</v>
      </c>
      <c r="W40" s="11">
        <v>28.352399999999999</v>
      </c>
      <c r="X40" s="11">
        <v>20.414200000000001</v>
      </c>
      <c r="Y40" s="11">
        <v>23.080200000000001</v>
      </c>
      <c r="Z40" s="11">
        <v>29.411200000000001</v>
      </c>
      <c r="AA40" s="11">
        <v>22.7136</v>
      </c>
      <c r="AB40" s="11">
        <v>26.207799999999999</v>
      </c>
      <c r="AC40" s="11">
        <v>24.388000000000002</v>
      </c>
      <c r="AD40" s="11">
        <v>26.569199999999999</v>
      </c>
      <c r="AE40" s="11"/>
      <c r="AF40" s="11">
        <f t="shared" si="8"/>
        <v>47.055799999999991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 spans="1:48" x14ac:dyDescent="0.25">
      <c r="A41" s="11" t="s">
        <v>79</v>
      </c>
      <c r="B41" s="11" t="s">
        <v>39</v>
      </c>
      <c r="C41" s="11">
        <v>121.509</v>
      </c>
      <c r="D41" s="11"/>
      <c r="E41" s="11">
        <v>104.991</v>
      </c>
      <c r="F41" s="11">
        <v>12.715999999999999</v>
      </c>
      <c r="G41" s="7">
        <v>1</v>
      </c>
      <c r="H41" s="11">
        <v>45</v>
      </c>
      <c r="I41" s="11" t="s">
        <v>37</v>
      </c>
      <c r="J41" s="11"/>
      <c r="K41" s="11">
        <v>105</v>
      </c>
      <c r="L41" s="11">
        <f t="shared" si="10"/>
        <v>-9.0000000000003411E-3</v>
      </c>
      <c r="M41" s="11"/>
      <c r="N41" s="11"/>
      <c r="O41" s="11">
        <v>106</v>
      </c>
      <c r="P41" s="11">
        <v>124</v>
      </c>
      <c r="Q41" s="11">
        <f t="shared" si="11"/>
        <v>20.998200000000001</v>
      </c>
      <c r="R41" s="4">
        <f t="shared" si="9"/>
        <v>51.258800000000015</v>
      </c>
      <c r="S41" s="4"/>
      <c r="T41" s="11"/>
      <c r="U41" s="11">
        <f t="shared" si="12"/>
        <v>14</v>
      </c>
      <c r="V41" s="11">
        <f t="shared" si="13"/>
        <v>11.558895524378281</v>
      </c>
      <c r="W41" s="11">
        <v>25.7256</v>
      </c>
      <c r="X41" s="11">
        <v>14.664400000000001</v>
      </c>
      <c r="Y41" s="11">
        <v>25.8584</v>
      </c>
      <c r="Z41" s="11">
        <v>21.873799999999999</v>
      </c>
      <c r="AA41" s="11">
        <v>20.895199999999999</v>
      </c>
      <c r="AB41" s="11">
        <v>26.303599999999999</v>
      </c>
      <c r="AC41" s="11">
        <v>29.85</v>
      </c>
      <c r="AD41" s="11">
        <v>32.853400000000001</v>
      </c>
      <c r="AE41" s="11"/>
      <c r="AF41" s="11">
        <f t="shared" si="8"/>
        <v>51.258800000000015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 spans="1:48" x14ac:dyDescent="0.25">
      <c r="A42" s="11" t="s">
        <v>80</v>
      </c>
      <c r="B42" s="11" t="s">
        <v>39</v>
      </c>
      <c r="C42" s="11">
        <v>198.30699999999999</v>
      </c>
      <c r="D42" s="11">
        <v>18.626999999999999</v>
      </c>
      <c r="E42" s="11">
        <v>146.51900000000001</v>
      </c>
      <c r="F42" s="11">
        <v>41.46</v>
      </c>
      <c r="G42" s="7">
        <v>1</v>
      </c>
      <c r="H42" s="11">
        <v>45</v>
      </c>
      <c r="I42" s="11" t="s">
        <v>37</v>
      </c>
      <c r="J42" s="11"/>
      <c r="K42" s="11">
        <v>148.30000000000001</v>
      </c>
      <c r="L42" s="11">
        <f t="shared" si="10"/>
        <v>-1.7810000000000059</v>
      </c>
      <c r="M42" s="11"/>
      <c r="N42" s="11"/>
      <c r="O42" s="11">
        <v>69</v>
      </c>
      <c r="P42" s="11">
        <v>81</v>
      </c>
      <c r="Q42" s="11">
        <f t="shared" si="11"/>
        <v>29.303800000000003</v>
      </c>
      <c r="R42" s="4">
        <f t="shared" si="9"/>
        <v>218.79320000000004</v>
      </c>
      <c r="S42" s="4"/>
      <c r="T42" s="11"/>
      <c r="U42" s="11">
        <f t="shared" si="12"/>
        <v>14</v>
      </c>
      <c r="V42" s="11">
        <f t="shared" si="13"/>
        <v>6.5336236256048696</v>
      </c>
      <c r="W42" s="11">
        <v>24.7468</v>
      </c>
      <c r="X42" s="11">
        <v>24.5398</v>
      </c>
      <c r="Y42" s="11">
        <v>30.13</v>
      </c>
      <c r="Z42" s="11">
        <v>23.267199999999999</v>
      </c>
      <c r="AA42" s="11">
        <v>26.168199999999999</v>
      </c>
      <c r="AB42" s="11">
        <v>27.88</v>
      </c>
      <c r="AC42" s="11">
        <v>31.876200000000001</v>
      </c>
      <c r="AD42" s="11">
        <v>36.763599999999997</v>
      </c>
      <c r="AE42" s="11"/>
      <c r="AF42" s="11">
        <f t="shared" si="8"/>
        <v>218.79320000000004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 spans="1:48" x14ac:dyDescent="0.25">
      <c r="A43" s="11" t="s">
        <v>81</v>
      </c>
      <c r="B43" s="11" t="s">
        <v>36</v>
      </c>
      <c r="C43" s="11">
        <v>1</v>
      </c>
      <c r="D43" s="11">
        <v>40</v>
      </c>
      <c r="E43" s="11">
        <v>22</v>
      </c>
      <c r="F43" s="11">
        <v>18</v>
      </c>
      <c r="G43" s="7">
        <v>0.35</v>
      </c>
      <c r="H43" s="11">
        <v>45</v>
      </c>
      <c r="I43" s="11" t="s">
        <v>37</v>
      </c>
      <c r="J43" s="11"/>
      <c r="K43" s="11">
        <v>23</v>
      </c>
      <c r="L43" s="11">
        <f t="shared" si="10"/>
        <v>-1</v>
      </c>
      <c r="M43" s="11"/>
      <c r="N43" s="11"/>
      <c r="O43" s="11">
        <v>100</v>
      </c>
      <c r="P43" s="11"/>
      <c r="Q43" s="11">
        <f t="shared" si="11"/>
        <v>4.4000000000000004</v>
      </c>
      <c r="R43" s="4"/>
      <c r="S43" s="4"/>
      <c r="T43" s="11"/>
      <c r="U43" s="11">
        <f t="shared" si="12"/>
        <v>26.818181818181817</v>
      </c>
      <c r="V43" s="11">
        <f t="shared" si="13"/>
        <v>26.818181818181817</v>
      </c>
      <c r="W43" s="11">
        <v>10</v>
      </c>
      <c r="X43" s="11">
        <v>5</v>
      </c>
      <c r="Y43" s="11">
        <v>4.5999999999999996</v>
      </c>
      <c r="Z43" s="11">
        <v>4.4000000000000004</v>
      </c>
      <c r="AA43" s="11">
        <v>8.8000000000000007</v>
      </c>
      <c r="AB43" s="11">
        <v>16</v>
      </c>
      <c r="AC43" s="11">
        <v>5</v>
      </c>
      <c r="AD43" s="11">
        <v>12.2</v>
      </c>
      <c r="AE43" s="11"/>
      <c r="AF43" s="11">
        <f t="shared" si="8"/>
        <v>0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 spans="1:48" x14ac:dyDescent="0.25">
      <c r="A44" s="11" t="s">
        <v>82</v>
      </c>
      <c r="B44" s="11" t="s">
        <v>39</v>
      </c>
      <c r="C44" s="11">
        <v>121.504</v>
      </c>
      <c r="D44" s="11">
        <v>78.709999999999994</v>
      </c>
      <c r="E44" s="11">
        <v>92.974999999999994</v>
      </c>
      <c r="F44" s="11">
        <v>85.218999999999994</v>
      </c>
      <c r="G44" s="7">
        <v>1</v>
      </c>
      <c r="H44" s="11">
        <v>45</v>
      </c>
      <c r="I44" s="11" t="s">
        <v>37</v>
      </c>
      <c r="J44" s="11"/>
      <c r="K44" s="11">
        <v>93</v>
      </c>
      <c r="L44" s="11">
        <f t="shared" si="10"/>
        <v>-2.5000000000005684E-2</v>
      </c>
      <c r="M44" s="11"/>
      <c r="N44" s="11"/>
      <c r="O44" s="11">
        <v>80</v>
      </c>
      <c r="P44" s="11"/>
      <c r="Q44" s="11">
        <f t="shared" si="11"/>
        <v>18.594999999999999</v>
      </c>
      <c r="R44" s="4">
        <f t="shared" si="9"/>
        <v>95.11099999999999</v>
      </c>
      <c r="S44" s="4"/>
      <c r="T44" s="11"/>
      <c r="U44" s="11">
        <f t="shared" si="12"/>
        <v>14</v>
      </c>
      <c r="V44" s="11">
        <f t="shared" si="13"/>
        <v>8.8851304114009153</v>
      </c>
      <c r="W44" s="11">
        <v>18.113600000000002</v>
      </c>
      <c r="X44" s="11">
        <v>19.178000000000001</v>
      </c>
      <c r="Y44" s="11">
        <v>19.627800000000001</v>
      </c>
      <c r="Z44" s="11">
        <v>18.1936</v>
      </c>
      <c r="AA44" s="11">
        <v>17.287600000000001</v>
      </c>
      <c r="AB44" s="11">
        <v>17.792999999999999</v>
      </c>
      <c r="AC44" s="11">
        <v>13.156599999999999</v>
      </c>
      <c r="AD44" s="11">
        <v>23.368600000000001</v>
      </c>
      <c r="AE44" s="11"/>
      <c r="AF44" s="11">
        <f t="shared" si="8"/>
        <v>95.11099999999999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 spans="1:48" x14ac:dyDescent="0.25">
      <c r="A45" s="11" t="s">
        <v>83</v>
      </c>
      <c r="B45" s="11" t="s">
        <v>36</v>
      </c>
      <c r="C45" s="11">
        <v>177</v>
      </c>
      <c r="D45" s="11">
        <v>184</v>
      </c>
      <c r="E45" s="11">
        <v>356</v>
      </c>
      <c r="F45" s="11"/>
      <c r="G45" s="7">
        <v>0.3</v>
      </c>
      <c r="H45" s="11">
        <v>45</v>
      </c>
      <c r="I45" s="11" t="s">
        <v>37</v>
      </c>
      <c r="J45" s="11"/>
      <c r="K45" s="11">
        <v>387</v>
      </c>
      <c r="L45" s="11">
        <f t="shared" si="10"/>
        <v>-31</v>
      </c>
      <c r="M45" s="11"/>
      <c r="N45" s="11"/>
      <c r="O45" s="11">
        <v>185</v>
      </c>
      <c r="P45" s="11">
        <v>215</v>
      </c>
      <c r="Q45" s="11">
        <f t="shared" si="11"/>
        <v>71.2</v>
      </c>
      <c r="R45" s="4">
        <f t="shared" si="9"/>
        <v>596.80000000000007</v>
      </c>
      <c r="S45" s="4"/>
      <c r="T45" s="11"/>
      <c r="U45" s="11">
        <f t="shared" si="12"/>
        <v>14</v>
      </c>
      <c r="V45" s="11">
        <f t="shared" si="13"/>
        <v>5.6179775280898872</v>
      </c>
      <c r="W45" s="11">
        <v>52.2</v>
      </c>
      <c r="X45" s="11">
        <v>45</v>
      </c>
      <c r="Y45" s="11">
        <v>48</v>
      </c>
      <c r="Z45" s="11">
        <v>52</v>
      </c>
      <c r="AA45" s="11">
        <v>42.2</v>
      </c>
      <c r="AB45" s="11">
        <v>52.4</v>
      </c>
      <c r="AC45" s="11">
        <v>46.4</v>
      </c>
      <c r="AD45" s="11">
        <v>55.963999999999999</v>
      </c>
      <c r="AE45" s="11"/>
      <c r="AF45" s="11">
        <f t="shared" si="8"/>
        <v>179.04000000000002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 spans="1:48" x14ac:dyDescent="0.25">
      <c r="A46" s="11" t="s">
        <v>84</v>
      </c>
      <c r="B46" s="11" t="s">
        <v>39</v>
      </c>
      <c r="C46" s="11">
        <v>245.696</v>
      </c>
      <c r="D46" s="11"/>
      <c r="E46" s="11">
        <v>155.79300000000001</v>
      </c>
      <c r="F46" s="11">
        <v>66.858000000000004</v>
      </c>
      <c r="G46" s="7">
        <v>1</v>
      </c>
      <c r="H46" s="11">
        <v>45</v>
      </c>
      <c r="I46" s="11" t="s">
        <v>37</v>
      </c>
      <c r="J46" s="11"/>
      <c r="K46" s="11">
        <v>147.51</v>
      </c>
      <c r="L46" s="11">
        <f t="shared" si="10"/>
        <v>8.2830000000000155</v>
      </c>
      <c r="M46" s="11"/>
      <c r="N46" s="11"/>
      <c r="O46" s="11">
        <v>69</v>
      </c>
      <c r="P46" s="11">
        <v>81</v>
      </c>
      <c r="Q46" s="11">
        <f t="shared" si="11"/>
        <v>31.1586</v>
      </c>
      <c r="R46" s="4">
        <f t="shared" si="9"/>
        <v>219.36239999999998</v>
      </c>
      <c r="S46" s="4"/>
      <c r="T46" s="11"/>
      <c r="U46" s="11">
        <f t="shared" si="12"/>
        <v>14</v>
      </c>
      <c r="V46" s="11">
        <f t="shared" si="13"/>
        <v>6.95981205830814</v>
      </c>
      <c r="W46" s="11">
        <v>26.295000000000002</v>
      </c>
      <c r="X46" s="11">
        <v>10.781000000000001</v>
      </c>
      <c r="Y46" s="11">
        <v>30.007200000000001</v>
      </c>
      <c r="Z46" s="11">
        <v>29.951799999999999</v>
      </c>
      <c r="AA46" s="11">
        <v>12.311400000000001</v>
      </c>
      <c r="AB46" s="11">
        <v>25.706</v>
      </c>
      <c r="AC46" s="11">
        <v>30.495200000000001</v>
      </c>
      <c r="AD46" s="11">
        <v>18.703800000000001</v>
      </c>
      <c r="AE46" s="11"/>
      <c r="AF46" s="11">
        <f t="shared" si="8"/>
        <v>219.36239999999998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 spans="1:48" x14ac:dyDescent="0.25">
      <c r="A47" s="11" t="s">
        <v>85</v>
      </c>
      <c r="B47" s="11" t="s">
        <v>36</v>
      </c>
      <c r="C47" s="11">
        <v>656</v>
      </c>
      <c r="D47" s="11">
        <v>441</v>
      </c>
      <c r="E47" s="11">
        <v>512</v>
      </c>
      <c r="F47" s="11">
        <v>536</v>
      </c>
      <c r="G47" s="7">
        <v>0.35</v>
      </c>
      <c r="H47" s="11">
        <v>45</v>
      </c>
      <c r="I47" s="11" t="s">
        <v>37</v>
      </c>
      <c r="J47" s="11"/>
      <c r="K47" s="11">
        <v>508.4</v>
      </c>
      <c r="L47" s="11">
        <f t="shared" si="10"/>
        <v>3.6000000000000227</v>
      </c>
      <c r="M47" s="11"/>
      <c r="N47" s="11"/>
      <c r="O47" s="11">
        <v>92</v>
      </c>
      <c r="P47" s="11">
        <v>108</v>
      </c>
      <c r="Q47" s="11">
        <f t="shared" si="11"/>
        <v>102.4</v>
      </c>
      <c r="R47" s="4">
        <f t="shared" si="9"/>
        <v>697.60000000000014</v>
      </c>
      <c r="S47" s="4"/>
      <c r="T47" s="11"/>
      <c r="U47" s="11">
        <f t="shared" si="12"/>
        <v>14</v>
      </c>
      <c r="V47" s="11">
        <f t="shared" si="13"/>
        <v>7.1875</v>
      </c>
      <c r="W47" s="11">
        <v>67</v>
      </c>
      <c r="X47" s="11">
        <v>99.2</v>
      </c>
      <c r="Y47" s="11">
        <v>104.6</v>
      </c>
      <c r="Z47" s="11">
        <v>83.4</v>
      </c>
      <c r="AA47" s="11">
        <v>97.6</v>
      </c>
      <c r="AB47" s="11">
        <v>88.2</v>
      </c>
      <c r="AC47" s="11">
        <v>109.6</v>
      </c>
      <c r="AD47" s="11">
        <v>109.4</v>
      </c>
      <c r="AE47" s="11"/>
      <c r="AF47" s="11">
        <f t="shared" si="8"/>
        <v>244.16000000000003</v>
      </c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 spans="1:48" x14ac:dyDescent="0.25">
      <c r="A48" s="11" t="s">
        <v>86</v>
      </c>
      <c r="B48" s="11" t="s">
        <v>36</v>
      </c>
      <c r="C48" s="11">
        <v>457</v>
      </c>
      <c r="D48" s="11">
        <v>3</v>
      </c>
      <c r="E48" s="11">
        <v>172</v>
      </c>
      <c r="F48" s="11">
        <v>243</v>
      </c>
      <c r="G48" s="7">
        <v>0.41</v>
      </c>
      <c r="H48" s="11">
        <v>45</v>
      </c>
      <c r="I48" s="11" t="s">
        <v>37</v>
      </c>
      <c r="J48" s="11"/>
      <c r="K48" s="11">
        <v>182</v>
      </c>
      <c r="L48" s="11">
        <f t="shared" si="10"/>
        <v>-10</v>
      </c>
      <c r="M48" s="11"/>
      <c r="N48" s="11"/>
      <c r="O48" s="11">
        <v>0</v>
      </c>
      <c r="P48" s="11"/>
      <c r="Q48" s="11">
        <f t="shared" si="11"/>
        <v>34.4</v>
      </c>
      <c r="R48" s="4">
        <f t="shared" si="9"/>
        <v>238.59999999999997</v>
      </c>
      <c r="S48" s="4"/>
      <c r="T48" s="11"/>
      <c r="U48" s="11">
        <f t="shared" si="12"/>
        <v>14</v>
      </c>
      <c r="V48" s="11">
        <f t="shared" si="13"/>
        <v>7.0639534883720936</v>
      </c>
      <c r="W48" s="11">
        <v>19.2</v>
      </c>
      <c r="X48" s="11">
        <v>38.935600000000001</v>
      </c>
      <c r="Y48" s="11">
        <v>66.599999999999994</v>
      </c>
      <c r="Z48" s="11">
        <v>41</v>
      </c>
      <c r="AA48" s="11">
        <v>50.4</v>
      </c>
      <c r="AB48" s="11">
        <v>57.8</v>
      </c>
      <c r="AC48" s="11">
        <v>77.8</v>
      </c>
      <c r="AD48" s="11">
        <v>56.8</v>
      </c>
      <c r="AE48" s="11"/>
      <c r="AF48" s="11">
        <f t="shared" si="8"/>
        <v>97.825999999999979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 spans="1:48" x14ac:dyDescent="0.25">
      <c r="A49" s="11" t="s">
        <v>87</v>
      </c>
      <c r="B49" s="11" t="s">
        <v>36</v>
      </c>
      <c r="C49" s="11">
        <v>28</v>
      </c>
      <c r="D49" s="11">
        <v>250</v>
      </c>
      <c r="E49" s="11">
        <v>99</v>
      </c>
      <c r="F49" s="11">
        <v>159</v>
      </c>
      <c r="G49" s="7">
        <v>0.41</v>
      </c>
      <c r="H49" s="11">
        <v>45</v>
      </c>
      <c r="I49" s="11" t="s">
        <v>37</v>
      </c>
      <c r="J49" s="11"/>
      <c r="K49" s="11">
        <v>133</v>
      </c>
      <c r="L49" s="11">
        <f t="shared" si="10"/>
        <v>-34</v>
      </c>
      <c r="M49" s="11"/>
      <c r="N49" s="11"/>
      <c r="O49" s="11">
        <v>55</v>
      </c>
      <c r="P49" s="11">
        <v>65</v>
      </c>
      <c r="Q49" s="11">
        <f t="shared" si="11"/>
        <v>19.8</v>
      </c>
      <c r="R49" s="4"/>
      <c r="S49" s="4"/>
      <c r="T49" s="11"/>
      <c r="U49" s="11">
        <f t="shared" si="12"/>
        <v>14.09090909090909</v>
      </c>
      <c r="V49" s="11">
        <f t="shared" si="13"/>
        <v>14.09090909090909</v>
      </c>
      <c r="W49" s="11">
        <v>26.6</v>
      </c>
      <c r="X49" s="11">
        <v>25.4</v>
      </c>
      <c r="Y49" s="11">
        <v>1.4</v>
      </c>
      <c r="Z49" s="11">
        <v>6</v>
      </c>
      <c r="AA49" s="11">
        <v>30.4</v>
      </c>
      <c r="AB49" s="11">
        <v>10.6</v>
      </c>
      <c r="AC49" s="11">
        <v>10.199999999999999</v>
      </c>
      <c r="AD49" s="11">
        <v>23.8</v>
      </c>
      <c r="AE49" s="11"/>
      <c r="AF49" s="11">
        <f t="shared" si="8"/>
        <v>0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 spans="1:48" x14ac:dyDescent="0.25">
      <c r="A50" s="11" t="s">
        <v>88</v>
      </c>
      <c r="B50" s="11" t="s">
        <v>36</v>
      </c>
      <c r="C50" s="11">
        <v>171</v>
      </c>
      <c r="D50" s="11">
        <v>96</v>
      </c>
      <c r="E50" s="11">
        <v>83</v>
      </c>
      <c r="F50" s="11">
        <v>172</v>
      </c>
      <c r="G50" s="7">
        <v>0.36</v>
      </c>
      <c r="H50" s="11">
        <v>45</v>
      </c>
      <c r="I50" s="11" t="s">
        <v>37</v>
      </c>
      <c r="J50" s="11"/>
      <c r="K50" s="11">
        <v>89</v>
      </c>
      <c r="L50" s="11">
        <f t="shared" si="10"/>
        <v>-6</v>
      </c>
      <c r="M50" s="11"/>
      <c r="N50" s="11"/>
      <c r="O50" s="11">
        <v>23</v>
      </c>
      <c r="P50" s="11">
        <v>27</v>
      </c>
      <c r="Q50" s="11">
        <f t="shared" si="11"/>
        <v>16.600000000000001</v>
      </c>
      <c r="R50" s="4">
        <f t="shared" si="9"/>
        <v>10.400000000000034</v>
      </c>
      <c r="S50" s="4"/>
      <c r="T50" s="11"/>
      <c r="U50" s="11">
        <f t="shared" si="12"/>
        <v>14</v>
      </c>
      <c r="V50" s="11">
        <f t="shared" si="13"/>
        <v>13.373493975903614</v>
      </c>
      <c r="W50" s="11">
        <v>20.8</v>
      </c>
      <c r="X50" s="11">
        <v>26.8</v>
      </c>
      <c r="Y50" s="11">
        <v>31.4</v>
      </c>
      <c r="Z50" s="11">
        <v>24.2</v>
      </c>
      <c r="AA50" s="11">
        <v>30.6</v>
      </c>
      <c r="AB50" s="11">
        <v>10</v>
      </c>
      <c r="AC50" s="11">
        <v>46</v>
      </c>
      <c r="AD50" s="11">
        <v>32.6</v>
      </c>
      <c r="AE50" s="11"/>
      <c r="AF50" s="11">
        <f t="shared" si="8"/>
        <v>3.7440000000000122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 spans="1:48" x14ac:dyDescent="0.25">
      <c r="A51" s="11" t="s">
        <v>89</v>
      </c>
      <c r="B51" s="11" t="s">
        <v>36</v>
      </c>
      <c r="C51" s="11"/>
      <c r="D51" s="11">
        <v>48</v>
      </c>
      <c r="E51" s="11">
        <v>15</v>
      </c>
      <c r="F51" s="11">
        <v>23</v>
      </c>
      <c r="G51" s="7">
        <v>0.33</v>
      </c>
      <c r="H51" s="11">
        <v>45</v>
      </c>
      <c r="I51" s="11" t="s">
        <v>37</v>
      </c>
      <c r="J51" s="11"/>
      <c r="K51" s="11">
        <v>18</v>
      </c>
      <c r="L51" s="11">
        <f t="shared" si="10"/>
        <v>-3</v>
      </c>
      <c r="M51" s="11"/>
      <c r="N51" s="11"/>
      <c r="O51" s="11">
        <v>72</v>
      </c>
      <c r="P51" s="11"/>
      <c r="Q51" s="11">
        <f t="shared" si="11"/>
        <v>3</v>
      </c>
      <c r="R51" s="4"/>
      <c r="S51" s="4"/>
      <c r="T51" s="11"/>
      <c r="U51" s="11">
        <f t="shared" si="12"/>
        <v>31.666666666666668</v>
      </c>
      <c r="V51" s="11">
        <f t="shared" si="13"/>
        <v>31.666666666666668</v>
      </c>
      <c r="W51" s="11">
        <v>7.2</v>
      </c>
      <c r="X51" s="11">
        <v>5.8</v>
      </c>
      <c r="Y51" s="11">
        <v>3</v>
      </c>
      <c r="Z51" s="11">
        <v>2.6</v>
      </c>
      <c r="AA51" s="11">
        <v>6.8</v>
      </c>
      <c r="AB51" s="11">
        <v>2.4</v>
      </c>
      <c r="AC51" s="11">
        <v>6</v>
      </c>
      <c r="AD51" s="11">
        <v>5.4</v>
      </c>
      <c r="AE51" s="11"/>
      <c r="AF51" s="11">
        <f t="shared" ref="AF51:AF82" si="14">G51*R51</f>
        <v>0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 spans="1:48" x14ac:dyDescent="0.25">
      <c r="A52" s="11" t="s">
        <v>90</v>
      </c>
      <c r="B52" s="11" t="s">
        <v>36</v>
      </c>
      <c r="C52" s="11">
        <v>-1</v>
      </c>
      <c r="D52" s="11">
        <v>49</v>
      </c>
      <c r="E52" s="11">
        <v>23</v>
      </c>
      <c r="F52" s="11">
        <v>15</v>
      </c>
      <c r="G52" s="7">
        <v>0.33</v>
      </c>
      <c r="H52" s="11">
        <v>45</v>
      </c>
      <c r="I52" s="11" t="s">
        <v>37</v>
      </c>
      <c r="J52" s="11"/>
      <c r="K52" s="11">
        <v>26</v>
      </c>
      <c r="L52" s="11">
        <f t="shared" si="10"/>
        <v>-3</v>
      </c>
      <c r="M52" s="11"/>
      <c r="N52" s="11"/>
      <c r="O52" s="11">
        <v>80</v>
      </c>
      <c r="P52" s="11"/>
      <c r="Q52" s="11">
        <f t="shared" si="11"/>
        <v>4.5999999999999996</v>
      </c>
      <c r="R52" s="4"/>
      <c r="S52" s="4"/>
      <c r="T52" s="11"/>
      <c r="U52" s="11">
        <f t="shared" si="12"/>
        <v>20.65217391304348</v>
      </c>
      <c r="V52" s="11">
        <f t="shared" si="13"/>
        <v>20.65217391304348</v>
      </c>
      <c r="W52" s="11">
        <v>9</v>
      </c>
      <c r="X52" s="11">
        <v>5.6</v>
      </c>
      <c r="Y52" s="11">
        <v>2.6</v>
      </c>
      <c r="Z52" s="11">
        <v>3.2</v>
      </c>
      <c r="AA52" s="11">
        <v>1.2</v>
      </c>
      <c r="AB52" s="11">
        <v>3.4</v>
      </c>
      <c r="AC52" s="11">
        <v>0</v>
      </c>
      <c r="AD52" s="11">
        <v>6.2</v>
      </c>
      <c r="AE52" s="11"/>
      <c r="AF52" s="11">
        <f t="shared" si="14"/>
        <v>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 spans="1:48" x14ac:dyDescent="0.25">
      <c r="A53" s="11" t="s">
        <v>91</v>
      </c>
      <c r="B53" s="11" t="s">
        <v>36</v>
      </c>
      <c r="C53" s="11">
        <v>219</v>
      </c>
      <c r="D53" s="11">
        <v>96</v>
      </c>
      <c r="E53" s="11">
        <v>57</v>
      </c>
      <c r="F53" s="11">
        <v>245</v>
      </c>
      <c r="G53" s="7">
        <v>0.33</v>
      </c>
      <c r="H53" s="11">
        <v>45</v>
      </c>
      <c r="I53" s="11" t="s">
        <v>37</v>
      </c>
      <c r="J53" s="11"/>
      <c r="K53" s="11">
        <v>57</v>
      </c>
      <c r="L53" s="11">
        <f t="shared" si="10"/>
        <v>0</v>
      </c>
      <c r="M53" s="11"/>
      <c r="N53" s="11"/>
      <c r="O53" s="11">
        <v>0</v>
      </c>
      <c r="P53" s="11"/>
      <c r="Q53" s="11">
        <f t="shared" si="11"/>
        <v>11.4</v>
      </c>
      <c r="R53" s="4"/>
      <c r="S53" s="4"/>
      <c r="T53" s="11"/>
      <c r="U53" s="11">
        <f t="shared" si="12"/>
        <v>21.491228070175438</v>
      </c>
      <c r="V53" s="11">
        <f t="shared" si="13"/>
        <v>21.491228070175438</v>
      </c>
      <c r="W53" s="11">
        <v>5</v>
      </c>
      <c r="X53" s="11">
        <v>24.8</v>
      </c>
      <c r="Y53" s="11">
        <v>26.2</v>
      </c>
      <c r="Z53" s="11">
        <v>17</v>
      </c>
      <c r="AA53" s="11">
        <v>24</v>
      </c>
      <c r="AB53" s="11">
        <v>13.8</v>
      </c>
      <c r="AC53" s="11">
        <v>44</v>
      </c>
      <c r="AD53" s="11">
        <v>17.8</v>
      </c>
      <c r="AE53" s="22" t="s">
        <v>139</v>
      </c>
      <c r="AF53" s="11">
        <f t="shared" si="14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48" x14ac:dyDescent="0.25">
      <c r="A54" s="11" t="s">
        <v>92</v>
      </c>
      <c r="B54" s="11" t="s">
        <v>36</v>
      </c>
      <c r="C54" s="11"/>
      <c r="D54" s="11">
        <v>48</v>
      </c>
      <c r="E54" s="11">
        <v>38</v>
      </c>
      <c r="F54" s="11">
        <v>2</v>
      </c>
      <c r="G54" s="7">
        <v>0.33</v>
      </c>
      <c r="H54" s="11">
        <v>45</v>
      </c>
      <c r="I54" s="11" t="s">
        <v>37</v>
      </c>
      <c r="J54" s="11"/>
      <c r="K54" s="11">
        <v>39</v>
      </c>
      <c r="L54" s="11">
        <f t="shared" si="10"/>
        <v>-1</v>
      </c>
      <c r="M54" s="11"/>
      <c r="N54" s="11"/>
      <c r="O54" s="11">
        <v>80</v>
      </c>
      <c r="P54" s="11"/>
      <c r="Q54" s="11">
        <f t="shared" si="11"/>
        <v>7.6</v>
      </c>
      <c r="R54" s="4">
        <f t="shared" si="9"/>
        <v>24.399999999999991</v>
      </c>
      <c r="S54" s="4"/>
      <c r="T54" s="11"/>
      <c r="U54" s="11">
        <f t="shared" si="12"/>
        <v>14</v>
      </c>
      <c r="V54" s="11">
        <f t="shared" si="13"/>
        <v>10.789473684210527</v>
      </c>
      <c r="W54" s="11">
        <v>9.1999999999999993</v>
      </c>
      <c r="X54" s="11">
        <v>5.6</v>
      </c>
      <c r="Y54" s="11">
        <v>3</v>
      </c>
      <c r="Z54" s="11">
        <v>1.8</v>
      </c>
      <c r="AA54" s="11">
        <v>9.6</v>
      </c>
      <c r="AB54" s="11">
        <v>7</v>
      </c>
      <c r="AC54" s="11">
        <v>3.2</v>
      </c>
      <c r="AD54" s="11">
        <v>6.8</v>
      </c>
      <c r="AE54" s="11"/>
      <c r="AF54" s="11">
        <f t="shared" si="14"/>
        <v>8.0519999999999978</v>
      </c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 spans="1:48" x14ac:dyDescent="0.25">
      <c r="A55" s="11" t="s">
        <v>93</v>
      </c>
      <c r="B55" s="11" t="s">
        <v>39</v>
      </c>
      <c r="C55" s="11">
        <v>696.74599999999998</v>
      </c>
      <c r="D55" s="11">
        <v>199.56200000000001</v>
      </c>
      <c r="E55" s="11">
        <v>535.149</v>
      </c>
      <c r="F55" s="11">
        <v>275.28100000000001</v>
      </c>
      <c r="G55" s="7">
        <v>1</v>
      </c>
      <c r="H55" s="11">
        <v>45</v>
      </c>
      <c r="I55" s="11" t="s">
        <v>37</v>
      </c>
      <c r="J55" s="11"/>
      <c r="K55" s="11">
        <v>498.3</v>
      </c>
      <c r="L55" s="11">
        <f t="shared" si="10"/>
        <v>36.84899999999999</v>
      </c>
      <c r="M55" s="11"/>
      <c r="N55" s="11"/>
      <c r="O55" s="11">
        <v>509</v>
      </c>
      <c r="P55" s="11">
        <v>591</v>
      </c>
      <c r="Q55" s="11">
        <f t="shared" si="11"/>
        <v>107.02979999999999</v>
      </c>
      <c r="R55" s="4">
        <f t="shared" si="9"/>
        <v>123.13619999999986</v>
      </c>
      <c r="S55" s="4"/>
      <c r="T55" s="11"/>
      <c r="U55" s="11">
        <f t="shared" si="12"/>
        <v>14</v>
      </c>
      <c r="V55" s="11">
        <f t="shared" si="13"/>
        <v>12.849514808025429</v>
      </c>
      <c r="W55" s="11">
        <v>133.36959999999999</v>
      </c>
      <c r="X55" s="11">
        <v>101.3676</v>
      </c>
      <c r="Y55" s="11">
        <v>128.01480000000001</v>
      </c>
      <c r="Z55" s="11">
        <v>103.3588</v>
      </c>
      <c r="AA55" s="11">
        <v>123.176</v>
      </c>
      <c r="AB55" s="11">
        <v>111.364</v>
      </c>
      <c r="AC55" s="11">
        <v>125.2668</v>
      </c>
      <c r="AD55" s="11">
        <v>145.46960000000001</v>
      </c>
      <c r="AE55" s="11"/>
      <c r="AF55" s="11">
        <f t="shared" si="14"/>
        <v>123.13619999999986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 spans="1:48" x14ac:dyDescent="0.25">
      <c r="A56" s="11" t="s">
        <v>94</v>
      </c>
      <c r="B56" s="11" t="s">
        <v>39</v>
      </c>
      <c r="C56" s="11">
        <v>1.034</v>
      </c>
      <c r="D56" s="11"/>
      <c r="E56" s="11"/>
      <c r="F56" s="11">
        <v>1.034</v>
      </c>
      <c r="G56" s="7">
        <v>1</v>
      </c>
      <c r="H56" s="11">
        <v>30</v>
      </c>
      <c r="I56" s="11" t="s">
        <v>37</v>
      </c>
      <c r="J56" s="11"/>
      <c r="K56" s="11"/>
      <c r="L56" s="11">
        <f t="shared" si="10"/>
        <v>0</v>
      </c>
      <c r="M56" s="11"/>
      <c r="N56" s="11"/>
      <c r="O56" s="11">
        <v>4</v>
      </c>
      <c r="P56" s="11"/>
      <c r="Q56" s="11">
        <f t="shared" si="11"/>
        <v>0</v>
      </c>
      <c r="R56" s="4"/>
      <c r="S56" s="4"/>
      <c r="T56" s="11"/>
      <c r="U56" s="11" t="e">
        <f t="shared" si="12"/>
        <v>#DIV/0!</v>
      </c>
      <c r="V56" s="11" t="e">
        <f t="shared" si="13"/>
        <v>#DIV/0!</v>
      </c>
      <c r="W56" s="11">
        <v>0</v>
      </c>
      <c r="X56" s="11">
        <v>0.51719999999999999</v>
      </c>
      <c r="Y56" s="11">
        <v>0.44059999999999999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 t="s">
        <v>95</v>
      </c>
      <c r="AF56" s="11">
        <f t="shared" si="14"/>
        <v>0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 spans="1:48" x14ac:dyDescent="0.25">
      <c r="A57" s="11" t="s">
        <v>96</v>
      </c>
      <c r="B57" s="11" t="s">
        <v>36</v>
      </c>
      <c r="C57" s="11">
        <v>9</v>
      </c>
      <c r="D57" s="11"/>
      <c r="E57" s="11">
        <v>7</v>
      </c>
      <c r="F57" s="11"/>
      <c r="G57" s="7">
        <v>0.1</v>
      </c>
      <c r="H57" s="11">
        <v>60</v>
      </c>
      <c r="I57" s="11" t="s">
        <v>37</v>
      </c>
      <c r="J57" s="11"/>
      <c r="K57" s="11">
        <v>15</v>
      </c>
      <c r="L57" s="11">
        <f t="shared" si="10"/>
        <v>-8</v>
      </c>
      <c r="M57" s="11"/>
      <c r="N57" s="11"/>
      <c r="O57" s="11">
        <v>100</v>
      </c>
      <c r="P57" s="11"/>
      <c r="Q57" s="11">
        <f t="shared" si="11"/>
        <v>1.4</v>
      </c>
      <c r="R57" s="4"/>
      <c r="S57" s="4"/>
      <c r="T57" s="11"/>
      <c r="U57" s="11">
        <f t="shared" si="12"/>
        <v>71.428571428571431</v>
      </c>
      <c r="V57" s="11">
        <f t="shared" si="13"/>
        <v>71.428571428571431</v>
      </c>
      <c r="W57" s="11">
        <v>8</v>
      </c>
      <c r="X57" s="11">
        <v>3</v>
      </c>
      <c r="Y57" s="11">
        <v>1.6</v>
      </c>
      <c r="Z57" s="11">
        <v>3.6</v>
      </c>
      <c r="AA57" s="11">
        <v>3.8</v>
      </c>
      <c r="AB57" s="11">
        <v>1</v>
      </c>
      <c r="AC57" s="11">
        <v>6.4</v>
      </c>
      <c r="AD57" s="11">
        <v>4.8</v>
      </c>
      <c r="AE57" s="11" t="s">
        <v>97</v>
      </c>
      <c r="AF57" s="11">
        <f t="shared" si="14"/>
        <v>0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 spans="1:48" x14ac:dyDescent="0.25">
      <c r="A58" s="11" t="s">
        <v>98</v>
      </c>
      <c r="B58" s="11" t="s">
        <v>36</v>
      </c>
      <c r="C58" s="11">
        <v>104</v>
      </c>
      <c r="D58" s="11"/>
      <c r="E58" s="11">
        <v>90</v>
      </c>
      <c r="F58" s="11">
        <v>4</v>
      </c>
      <c r="G58" s="7">
        <v>0.4</v>
      </c>
      <c r="H58" s="11">
        <v>45</v>
      </c>
      <c r="I58" s="11" t="s">
        <v>37</v>
      </c>
      <c r="J58" s="11"/>
      <c r="K58" s="11">
        <v>92</v>
      </c>
      <c r="L58" s="11">
        <f t="shared" si="10"/>
        <v>-2</v>
      </c>
      <c r="M58" s="11"/>
      <c r="N58" s="11"/>
      <c r="O58" s="11">
        <v>139</v>
      </c>
      <c r="P58" s="11">
        <v>161</v>
      </c>
      <c r="Q58" s="11">
        <f t="shared" si="11"/>
        <v>18</v>
      </c>
      <c r="R58" s="4"/>
      <c r="S58" s="4"/>
      <c r="T58" s="11"/>
      <c r="U58" s="11">
        <f t="shared" si="12"/>
        <v>16.888888888888889</v>
      </c>
      <c r="V58" s="11">
        <f t="shared" si="13"/>
        <v>16.888888888888889</v>
      </c>
      <c r="W58" s="11">
        <v>33.6</v>
      </c>
      <c r="X58" s="11">
        <v>5.8</v>
      </c>
      <c r="Y58" s="11">
        <v>24.4</v>
      </c>
      <c r="Z58" s="11">
        <v>19.8</v>
      </c>
      <c r="AA58" s="11">
        <v>25.8</v>
      </c>
      <c r="AB58" s="11">
        <v>20.399999999999999</v>
      </c>
      <c r="AC58" s="11">
        <v>19.8</v>
      </c>
      <c r="AD58" s="11">
        <v>27.6</v>
      </c>
      <c r="AE58" s="11"/>
      <c r="AF58" s="11">
        <f t="shared" si="14"/>
        <v>0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 spans="1:48" x14ac:dyDescent="0.25">
      <c r="A59" s="11" t="s">
        <v>99</v>
      </c>
      <c r="B59" s="11" t="s">
        <v>39</v>
      </c>
      <c r="C59" s="11">
        <v>97.484999999999999</v>
      </c>
      <c r="D59" s="11">
        <v>47.01</v>
      </c>
      <c r="E59" s="11">
        <v>52.45</v>
      </c>
      <c r="F59" s="11">
        <v>57.564999999999998</v>
      </c>
      <c r="G59" s="7">
        <v>1</v>
      </c>
      <c r="H59" s="11">
        <v>60</v>
      </c>
      <c r="I59" s="11" t="s">
        <v>37</v>
      </c>
      <c r="J59" s="11"/>
      <c r="K59" s="11">
        <v>51.8</v>
      </c>
      <c r="L59" s="11">
        <f t="shared" si="10"/>
        <v>0.65000000000000568</v>
      </c>
      <c r="M59" s="11"/>
      <c r="N59" s="11"/>
      <c r="O59" s="11">
        <v>40</v>
      </c>
      <c r="P59" s="11"/>
      <c r="Q59" s="11">
        <f t="shared" si="11"/>
        <v>10.49</v>
      </c>
      <c r="R59" s="4">
        <f t="shared" si="9"/>
        <v>49.295000000000016</v>
      </c>
      <c r="S59" s="4"/>
      <c r="T59" s="11"/>
      <c r="U59" s="11">
        <f t="shared" si="12"/>
        <v>14.000000000000002</v>
      </c>
      <c r="V59" s="11">
        <f t="shared" si="13"/>
        <v>9.300762631077216</v>
      </c>
      <c r="W59" s="11">
        <v>11.455</v>
      </c>
      <c r="X59" s="11">
        <v>9.6623999999999999</v>
      </c>
      <c r="Y59" s="11">
        <v>11.5114</v>
      </c>
      <c r="Z59" s="11">
        <v>9.9439999999999991</v>
      </c>
      <c r="AA59" s="11">
        <v>9.6757999999999988</v>
      </c>
      <c r="AB59" s="11">
        <v>9.0990000000000002</v>
      </c>
      <c r="AC59" s="11">
        <v>9.6590000000000007</v>
      </c>
      <c r="AD59" s="11">
        <v>11.2742</v>
      </c>
      <c r="AE59" s="11"/>
      <c r="AF59" s="11">
        <f t="shared" si="14"/>
        <v>49.295000000000016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 spans="1:48" x14ac:dyDescent="0.25">
      <c r="A60" s="11" t="s">
        <v>100</v>
      </c>
      <c r="B60" s="11" t="s">
        <v>36</v>
      </c>
      <c r="C60" s="11"/>
      <c r="D60" s="11">
        <v>96</v>
      </c>
      <c r="E60" s="11">
        <v>28</v>
      </c>
      <c r="F60" s="11">
        <v>57</v>
      </c>
      <c r="G60" s="7">
        <v>0.25</v>
      </c>
      <c r="H60" s="11">
        <v>120</v>
      </c>
      <c r="I60" s="11" t="s">
        <v>37</v>
      </c>
      <c r="J60" s="11"/>
      <c r="K60" s="11">
        <v>28</v>
      </c>
      <c r="L60" s="11">
        <f t="shared" si="10"/>
        <v>0</v>
      </c>
      <c r="M60" s="11"/>
      <c r="N60" s="11"/>
      <c r="O60" s="11">
        <v>50</v>
      </c>
      <c r="P60" s="11">
        <v>50</v>
      </c>
      <c r="Q60" s="11">
        <f t="shared" si="11"/>
        <v>5.6</v>
      </c>
      <c r="R60" s="4"/>
      <c r="S60" s="4"/>
      <c r="T60" s="11"/>
      <c r="U60" s="11">
        <f t="shared" si="12"/>
        <v>28.035714285714288</v>
      </c>
      <c r="V60" s="11">
        <f t="shared" si="13"/>
        <v>28.035714285714288</v>
      </c>
      <c r="W60" s="11">
        <v>6.8</v>
      </c>
      <c r="X60" s="11">
        <v>9</v>
      </c>
      <c r="Y60" s="11">
        <v>3.2</v>
      </c>
      <c r="Z60" s="11">
        <v>5</v>
      </c>
      <c r="AA60" s="11">
        <v>16.8</v>
      </c>
      <c r="AB60" s="11">
        <v>7</v>
      </c>
      <c r="AC60" s="11">
        <v>11</v>
      </c>
      <c r="AD60" s="11">
        <v>15</v>
      </c>
      <c r="AE60" s="11" t="s">
        <v>61</v>
      </c>
      <c r="AF60" s="11">
        <f t="shared" si="14"/>
        <v>0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 spans="1:48" x14ac:dyDescent="0.25">
      <c r="A61" s="11" t="s">
        <v>101</v>
      </c>
      <c r="B61" s="11" t="s">
        <v>39</v>
      </c>
      <c r="C61" s="11">
        <v>133.364</v>
      </c>
      <c r="D61" s="11">
        <v>65.155000000000001</v>
      </c>
      <c r="E61" s="11">
        <v>78.078000000000003</v>
      </c>
      <c r="F61" s="11">
        <v>89.259</v>
      </c>
      <c r="G61" s="7">
        <v>1</v>
      </c>
      <c r="H61" s="11">
        <v>45</v>
      </c>
      <c r="I61" s="11" t="s">
        <v>37</v>
      </c>
      <c r="J61" s="11"/>
      <c r="K61" s="11">
        <v>87.3</v>
      </c>
      <c r="L61" s="11">
        <f t="shared" si="10"/>
        <v>-9.2219999999999942</v>
      </c>
      <c r="M61" s="11"/>
      <c r="N61" s="11"/>
      <c r="O61" s="11">
        <v>0</v>
      </c>
      <c r="P61" s="11"/>
      <c r="Q61" s="11">
        <f t="shared" si="11"/>
        <v>15.615600000000001</v>
      </c>
      <c r="R61" s="4">
        <f t="shared" si="9"/>
        <v>129.35939999999999</v>
      </c>
      <c r="S61" s="4"/>
      <c r="T61" s="11"/>
      <c r="U61" s="11">
        <f t="shared" si="12"/>
        <v>14</v>
      </c>
      <c r="V61" s="11">
        <f t="shared" si="13"/>
        <v>5.7160147544762925</v>
      </c>
      <c r="W61" s="11">
        <v>3.8106</v>
      </c>
      <c r="X61" s="11">
        <v>14.8278</v>
      </c>
      <c r="Y61" s="11">
        <v>17.759599999999999</v>
      </c>
      <c r="Z61" s="11">
        <v>11.075200000000001</v>
      </c>
      <c r="AA61" s="11">
        <v>15.791399999999999</v>
      </c>
      <c r="AB61" s="11">
        <v>16.674399999999999</v>
      </c>
      <c r="AC61" s="11">
        <v>22.286200000000001</v>
      </c>
      <c r="AD61" s="11">
        <v>19.5428</v>
      </c>
      <c r="AE61" s="11"/>
      <c r="AF61" s="11">
        <f t="shared" si="14"/>
        <v>129.35939999999999</v>
      </c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 spans="1:48" x14ac:dyDescent="0.25">
      <c r="A62" s="11" t="s">
        <v>102</v>
      </c>
      <c r="B62" s="11" t="s">
        <v>36</v>
      </c>
      <c r="C62" s="11">
        <v>529</v>
      </c>
      <c r="D62" s="11">
        <v>490</v>
      </c>
      <c r="E62" s="19">
        <f>521+E92</f>
        <v>560</v>
      </c>
      <c r="F62" s="11">
        <v>429</v>
      </c>
      <c r="G62" s="7">
        <v>0.41</v>
      </c>
      <c r="H62" s="11">
        <v>50</v>
      </c>
      <c r="I62" s="11" t="s">
        <v>37</v>
      </c>
      <c r="J62" s="11"/>
      <c r="K62" s="11">
        <v>526</v>
      </c>
      <c r="L62" s="11">
        <f t="shared" si="10"/>
        <v>34</v>
      </c>
      <c r="M62" s="11"/>
      <c r="N62" s="11"/>
      <c r="O62" s="11">
        <v>185</v>
      </c>
      <c r="P62" s="11">
        <v>215</v>
      </c>
      <c r="Q62" s="11">
        <f t="shared" si="11"/>
        <v>112</v>
      </c>
      <c r="R62" s="4">
        <f t="shared" si="9"/>
        <v>739</v>
      </c>
      <c r="S62" s="4"/>
      <c r="T62" s="11"/>
      <c r="U62" s="11">
        <f t="shared" si="12"/>
        <v>14</v>
      </c>
      <c r="V62" s="11">
        <f t="shared" si="13"/>
        <v>7.4017857142857144</v>
      </c>
      <c r="W62" s="11">
        <v>92.8</v>
      </c>
      <c r="X62" s="11">
        <v>98.8</v>
      </c>
      <c r="Y62" s="11">
        <v>100.8</v>
      </c>
      <c r="Z62" s="11">
        <v>97.8</v>
      </c>
      <c r="AA62" s="11">
        <v>100.8</v>
      </c>
      <c r="AB62" s="11">
        <v>97.4</v>
      </c>
      <c r="AC62" s="11">
        <v>120.2</v>
      </c>
      <c r="AD62" s="11">
        <v>111.4</v>
      </c>
      <c r="AE62" s="11"/>
      <c r="AF62" s="11">
        <f t="shared" si="14"/>
        <v>302.99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 spans="1:48" x14ac:dyDescent="0.25">
      <c r="A63" s="11" t="s">
        <v>103</v>
      </c>
      <c r="B63" s="11" t="s">
        <v>39</v>
      </c>
      <c r="C63" s="11">
        <v>392.99200000000002</v>
      </c>
      <c r="D63" s="11">
        <v>259.53500000000003</v>
      </c>
      <c r="E63" s="19">
        <f>216.919+E93</f>
        <v>284.166</v>
      </c>
      <c r="F63" s="19">
        <f>341.978+F93</f>
        <v>359.363</v>
      </c>
      <c r="G63" s="7">
        <v>1</v>
      </c>
      <c r="H63" s="11">
        <v>50</v>
      </c>
      <c r="I63" s="11" t="s">
        <v>37</v>
      </c>
      <c r="J63" s="11"/>
      <c r="K63" s="11">
        <v>198</v>
      </c>
      <c r="L63" s="11">
        <f t="shared" si="10"/>
        <v>86.165999999999997</v>
      </c>
      <c r="M63" s="11"/>
      <c r="N63" s="11"/>
      <c r="O63" s="11">
        <v>69</v>
      </c>
      <c r="P63" s="11">
        <v>81</v>
      </c>
      <c r="Q63" s="11">
        <f t="shared" si="11"/>
        <v>56.833199999999998</v>
      </c>
      <c r="R63" s="4">
        <f t="shared" si="9"/>
        <v>286.30180000000001</v>
      </c>
      <c r="S63" s="4"/>
      <c r="T63" s="11"/>
      <c r="U63" s="11">
        <f t="shared" si="12"/>
        <v>14</v>
      </c>
      <c r="V63" s="11">
        <f t="shared" si="13"/>
        <v>8.9624198531844073</v>
      </c>
      <c r="W63" s="11">
        <v>52.449800000000003</v>
      </c>
      <c r="X63" s="11">
        <v>59.7226</v>
      </c>
      <c r="Y63" s="11">
        <v>60.838800000000013</v>
      </c>
      <c r="Z63" s="11">
        <v>73.594999999999999</v>
      </c>
      <c r="AA63" s="11">
        <v>64.119600000000005</v>
      </c>
      <c r="AB63" s="11">
        <v>51.177999999999997</v>
      </c>
      <c r="AC63" s="11">
        <v>66.072599999999994</v>
      </c>
      <c r="AD63" s="11">
        <v>89.318200000000004</v>
      </c>
      <c r="AE63" s="11"/>
      <c r="AF63" s="11">
        <f t="shared" si="14"/>
        <v>286.30180000000001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 spans="1:48" x14ac:dyDescent="0.25">
      <c r="A64" s="11" t="s">
        <v>104</v>
      </c>
      <c r="B64" s="11" t="s">
        <v>36</v>
      </c>
      <c r="C64" s="11">
        <v>80</v>
      </c>
      <c r="D64" s="11">
        <v>18</v>
      </c>
      <c r="E64" s="11">
        <v>59</v>
      </c>
      <c r="F64" s="11">
        <v>37</v>
      </c>
      <c r="G64" s="7">
        <v>0.35</v>
      </c>
      <c r="H64" s="11">
        <v>50</v>
      </c>
      <c r="I64" s="11" t="s">
        <v>37</v>
      </c>
      <c r="J64" s="11"/>
      <c r="K64" s="11">
        <v>53</v>
      </c>
      <c r="L64" s="11">
        <f t="shared" si="10"/>
        <v>6</v>
      </c>
      <c r="M64" s="11"/>
      <c r="N64" s="11"/>
      <c r="O64" s="11">
        <v>50</v>
      </c>
      <c r="P64" s="11"/>
      <c r="Q64" s="11">
        <f t="shared" si="11"/>
        <v>11.8</v>
      </c>
      <c r="R64" s="4">
        <f t="shared" si="9"/>
        <v>78.200000000000017</v>
      </c>
      <c r="S64" s="4"/>
      <c r="T64" s="11"/>
      <c r="U64" s="11">
        <f t="shared" si="12"/>
        <v>14</v>
      </c>
      <c r="V64" s="11">
        <f t="shared" si="13"/>
        <v>7.3728813559322033</v>
      </c>
      <c r="W64" s="11">
        <v>11.6</v>
      </c>
      <c r="X64" s="11">
        <v>11</v>
      </c>
      <c r="Y64" s="11">
        <v>11.6</v>
      </c>
      <c r="Z64" s="11">
        <v>13.8</v>
      </c>
      <c r="AA64" s="11">
        <v>2</v>
      </c>
      <c r="AB64" s="11">
        <v>4.8</v>
      </c>
      <c r="AC64" s="11">
        <v>15.4</v>
      </c>
      <c r="AD64" s="11">
        <v>8.8000000000000007</v>
      </c>
      <c r="AE64" s="11"/>
      <c r="AF64" s="11">
        <f t="shared" si="14"/>
        <v>27.370000000000005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 spans="1:48" x14ac:dyDescent="0.25">
      <c r="A65" s="11" t="s">
        <v>105</v>
      </c>
      <c r="B65" s="11" t="s">
        <v>39</v>
      </c>
      <c r="C65" s="11">
        <v>37.209000000000003</v>
      </c>
      <c r="D65" s="11">
        <v>63.389000000000003</v>
      </c>
      <c r="E65" s="11">
        <v>67.037000000000006</v>
      </c>
      <c r="F65" s="11">
        <v>9.7569999999999997</v>
      </c>
      <c r="G65" s="7">
        <v>1</v>
      </c>
      <c r="H65" s="11">
        <v>50</v>
      </c>
      <c r="I65" s="11" t="s">
        <v>37</v>
      </c>
      <c r="J65" s="11"/>
      <c r="K65" s="11">
        <v>64.5</v>
      </c>
      <c r="L65" s="11">
        <f t="shared" si="10"/>
        <v>2.5370000000000061</v>
      </c>
      <c r="M65" s="11"/>
      <c r="N65" s="11"/>
      <c r="O65" s="11">
        <v>100</v>
      </c>
      <c r="P65" s="11"/>
      <c r="Q65" s="11">
        <f t="shared" si="11"/>
        <v>13.407400000000001</v>
      </c>
      <c r="R65" s="4">
        <f t="shared" si="9"/>
        <v>77.946600000000018</v>
      </c>
      <c r="S65" s="4"/>
      <c r="T65" s="11"/>
      <c r="U65" s="11">
        <f t="shared" si="12"/>
        <v>14</v>
      </c>
      <c r="V65" s="11">
        <f t="shared" si="13"/>
        <v>8.1863001029282341</v>
      </c>
      <c r="W65" s="11">
        <v>15.814399999999999</v>
      </c>
      <c r="X65" s="11">
        <v>13.143000000000001</v>
      </c>
      <c r="Y65" s="11">
        <v>13.467599999999999</v>
      </c>
      <c r="Z65" s="11">
        <v>12.3826</v>
      </c>
      <c r="AA65" s="11">
        <v>19.113399999999999</v>
      </c>
      <c r="AB65" s="11">
        <v>16.910599999999999</v>
      </c>
      <c r="AC65" s="11">
        <v>19.037800000000001</v>
      </c>
      <c r="AD65" s="11">
        <v>18.141200000000001</v>
      </c>
      <c r="AE65" s="11"/>
      <c r="AF65" s="11">
        <f t="shared" si="14"/>
        <v>77.946600000000018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 spans="1:48" x14ac:dyDescent="0.25">
      <c r="A66" s="11" t="s">
        <v>106</v>
      </c>
      <c r="B66" s="11" t="s">
        <v>36</v>
      </c>
      <c r="C66" s="11">
        <v>600</v>
      </c>
      <c r="D66" s="11">
        <v>300</v>
      </c>
      <c r="E66" s="11">
        <v>413</v>
      </c>
      <c r="F66" s="11">
        <v>447</v>
      </c>
      <c r="G66" s="7">
        <v>0.41</v>
      </c>
      <c r="H66" s="11">
        <v>50</v>
      </c>
      <c r="I66" s="11" t="s">
        <v>37</v>
      </c>
      <c r="J66" s="11"/>
      <c r="K66" s="11">
        <v>417</v>
      </c>
      <c r="L66" s="11">
        <f t="shared" si="10"/>
        <v>-4</v>
      </c>
      <c r="M66" s="11"/>
      <c r="N66" s="11"/>
      <c r="O66" s="11">
        <v>46</v>
      </c>
      <c r="P66" s="11">
        <v>54</v>
      </c>
      <c r="Q66" s="11">
        <f t="shared" si="11"/>
        <v>82.6</v>
      </c>
      <c r="R66" s="4">
        <f t="shared" si="9"/>
        <v>609.39999999999986</v>
      </c>
      <c r="S66" s="4"/>
      <c r="T66" s="11"/>
      <c r="U66" s="11">
        <f t="shared" si="12"/>
        <v>14</v>
      </c>
      <c r="V66" s="11">
        <f t="shared" si="13"/>
        <v>6.6222760290556906</v>
      </c>
      <c r="W66" s="11">
        <v>63.6</v>
      </c>
      <c r="X66" s="11">
        <v>85.8</v>
      </c>
      <c r="Y66" s="11">
        <v>95.8</v>
      </c>
      <c r="Z66" s="11">
        <v>77</v>
      </c>
      <c r="AA66" s="11">
        <v>79.2</v>
      </c>
      <c r="AB66" s="11">
        <v>89.6</v>
      </c>
      <c r="AC66" s="11">
        <v>118.2</v>
      </c>
      <c r="AD66" s="11">
        <v>100.4</v>
      </c>
      <c r="AE66" s="11"/>
      <c r="AF66" s="11">
        <f t="shared" si="14"/>
        <v>249.85399999999993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 spans="1:48" x14ac:dyDescent="0.25">
      <c r="A67" s="11" t="s">
        <v>107</v>
      </c>
      <c r="B67" s="11" t="s">
        <v>39</v>
      </c>
      <c r="C67" s="11">
        <v>181.55199999999999</v>
      </c>
      <c r="D67" s="11">
        <v>258.59899999999999</v>
      </c>
      <c r="E67" s="11">
        <v>249.57900000000001</v>
      </c>
      <c r="F67" s="11">
        <v>149.375</v>
      </c>
      <c r="G67" s="7">
        <v>1</v>
      </c>
      <c r="H67" s="11">
        <v>50</v>
      </c>
      <c r="I67" s="11" t="s">
        <v>37</v>
      </c>
      <c r="J67" s="11"/>
      <c r="K67" s="11">
        <v>234.5</v>
      </c>
      <c r="L67" s="11">
        <f t="shared" si="10"/>
        <v>15.079000000000008</v>
      </c>
      <c r="M67" s="11"/>
      <c r="N67" s="11"/>
      <c r="O67" s="11">
        <v>139</v>
      </c>
      <c r="P67" s="11">
        <v>161</v>
      </c>
      <c r="Q67" s="11">
        <f t="shared" si="11"/>
        <v>49.915800000000004</v>
      </c>
      <c r="R67" s="4">
        <f t="shared" si="9"/>
        <v>249.44620000000009</v>
      </c>
      <c r="S67" s="4"/>
      <c r="T67" s="11"/>
      <c r="U67" s="11">
        <f t="shared" si="12"/>
        <v>14</v>
      </c>
      <c r="V67" s="11">
        <f t="shared" si="13"/>
        <v>9.0026604802487373</v>
      </c>
      <c r="W67" s="11">
        <v>46.925199999999997</v>
      </c>
      <c r="X67" s="11">
        <v>42.840200000000003</v>
      </c>
      <c r="Y67" s="11">
        <v>42.795999999999999</v>
      </c>
      <c r="Z67" s="11">
        <v>39.887999999999998</v>
      </c>
      <c r="AA67" s="11">
        <v>50.204799999999999</v>
      </c>
      <c r="AB67" s="11">
        <v>42.810199999999988</v>
      </c>
      <c r="AC67" s="11">
        <v>42.6494</v>
      </c>
      <c r="AD67" s="11">
        <v>65.701999999999998</v>
      </c>
      <c r="AE67" s="11"/>
      <c r="AF67" s="11">
        <f t="shared" si="14"/>
        <v>249.44620000000009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 spans="1:48" x14ac:dyDescent="0.25">
      <c r="A68" s="11" t="s">
        <v>108</v>
      </c>
      <c r="B68" s="11" t="s">
        <v>36</v>
      </c>
      <c r="C68" s="11">
        <v>1</v>
      </c>
      <c r="D68" s="11">
        <v>60</v>
      </c>
      <c r="E68" s="11">
        <v>56</v>
      </c>
      <c r="F68" s="11"/>
      <c r="G68" s="7">
        <v>0.3</v>
      </c>
      <c r="H68" s="11">
        <v>50</v>
      </c>
      <c r="I68" s="11" t="s">
        <v>37</v>
      </c>
      <c r="J68" s="11"/>
      <c r="K68" s="11">
        <v>56</v>
      </c>
      <c r="L68" s="11">
        <f t="shared" si="10"/>
        <v>0</v>
      </c>
      <c r="M68" s="11"/>
      <c r="N68" s="11"/>
      <c r="O68" s="11">
        <v>120</v>
      </c>
      <c r="P68" s="11"/>
      <c r="Q68" s="11">
        <f t="shared" si="11"/>
        <v>11.2</v>
      </c>
      <c r="R68" s="4">
        <f t="shared" si="9"/>
        <v>36.799999999999983</v>
      </c>
      <c r="S68" s="4"/>
      <c r="T68" s="11"/>
      <c r="U68" s="11">
        <f t="shared" si="12"/>
        <v>14</v>
      </c>
      <c r="V68" s="11">
        <f t="shared" si="13"/>
        <v>10.714285714285715</v>
      </c>
      <c r="W68" s="11">
        <v>15</v>
      </c>
      <c r="X68" s="11">
        <v>13.8</v>
      </c>
      <c r="Y68" s="11">
        <v>10</v>
      </c>
      <c r="Z68" s="11">
        <v>8.8000000000000007</v>
      </c>
      <c r="AA68" s="11">
        <v>19</v>
      </c>
      <c r="AB68" s="11">
        <v>9.8000000000000007</v>
      </c>
      <c r="AC68" s="11">
        <v>8</v>
      </c>
      <c r="AD68" s="11">
        <v>16.600000000000001</v>
      </c>
      <c r="AE68" s="11"/>
      <c r="AF68" s="11">
        <f t="shared" si="14"/>
        <v>11.039999999999994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 spans="1:48" x14ac:dyDescent="0.25">
      <c r="A69" s="11" t="s">
        <v>109</v>
      </c>
      <c r="B69" s="11" t="s">
        <v>36</v>
      </c>
      <c r="C69" s="11">
        <v>111</v>
      </c>
      <c r="D69" s="11">
        <v>10</v>
      </c>
      <c r="E69" s="11">
        <v>62</v>
      </c>
      <c r="F69" s="11">
        <v>37</v>
      </c>
      <c r="G69" s="7">
        <v>0.14000000000000001</v>
      </c>
      <c r="H69" s="11">
        <v>50</v>
      </c>
      <c r="I69" s="11" t="s">
        <v>37</v>
      </c>
      <c r="J69" s="11"/>
      <c r="K69" s="11">
        <v>76</v>
      </c>
      <c r="L69" s="11">
        <f t="shared" si="10"/>
        <v>-14</v>
      </c>
      <c r="M69" s="11"/>
      <c r="N69" s="11"/>
      <c r="O69" s="11">
        <v>0</v>
      </c>
      <c r="P69" s="11"/>
      <c r="Q69" s="11">
        <f t="shared" si="11"/>
        <v>12.4</v>
      </c>
      <c r="R69" s="4">
        <f>12*Q69-P69-O69-F69</f>
        <v>111.80000000000001</v>
      </c>
      <c r="S69" s="4"/>
      <c r="T69" s="11"/>
      <c r="U69" s="11">
        <f t="shared" si="12"/>
        <v>12</v>
      </c>
      <c r="V69" s="11">
        <f t="shared" si="13"/>
        <v>2.9838709677419355</v>
      </c>
      <c r="W69" s="11">
        <v>6</v>
      </c>
      <c r="X69" s="11">
        <v>11.4</v>
      </c>
      <c r="Y69" s="11">
        <v>13.4</v>
      </c>
      <c r="Z69" s="11">
        <v>6.6</v>
      </c>
      <c r="AA69" s="11">
        <v>7</v>
      </c>
      <c r="AB69" s="11">
        <v>4.2</v>
      </c>
      <c r="AC69" s="11">
        <v>3.6</v>
      </c>
      <c r="AD69" s="11">
        <v>21.6</v>
      </c>
      <c r="AE69" s="11"/>
      <c r="AF69" s="11">
        <f t="shared" si="14"/>
        <v>15.652000000000003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 spans="1:48" x14ac:dyDescent="0.25">
      <c r="A70" s="11" t="s">
        <v>110</v>
      </c>
      <c r="B70" s="11" t="s">
        <v>36</v>
      </c>
      <c r="C70" s="11">
        <v>258</v>
      </c>
      <c r="D70" s="11"/>
      <c r="E70" s="11">
        <v>45</v>
      </c>
      <c r="F70" s="11">
        <v>205</v>
      </c>
      <c r="G70" s="7">
        <v>0.18</v>
      </c>
      <c r="H70" s="11">
        <v>50</v>
      </c>
      <c r="I70" s="11" t="s">
        <v>37</v>
      </c>
      <c r="J70" s="11"/>
      <c r="K70" s="11">
        <v>50</v>
      </c>
      <c r="L70" s="11">
        <f t="shared" ref="L70:L101" si="15">E70-K70</f>
        <v>-5</v>
      </c>
      <c r="M70" s="11"/>
      <c r="N70" s="11"/>
      <c r="O70" s="11">
        <v>46</v>
      </c>
      <c r="P70" s="11">
        <v>54</v>
      </c>
      <c r="Q70" s="11">
        <f t="shared" ref="Q70:Q93" si="16">E70/5</f>
        <v>9</v>
      </c>
      <c r="R70" s="4"/>
      <c r="S70" s="4"/>
      <c r="T70" s="11"/>
      <c r="U70" s="11">
        <f t="shared" ref="U70:U93" si="17">(F70+O70+P70+R70)/Q70</f>
        <v>33.888888888888886</v>
      </c>
      <c r="V70" s="11">
        <f t="shared" ref="V70:V93" si="18">(F70+O70+P70)/Q70</f>
        <v>33.888888888888886</v>
      </c>
      <c r="W70" s="11">
        <v>20.8</v>
      </c>
      <c r="X70" s="11">
        <v>15.6</v>
      </c>
      <c r="Y70" s="11">
        <v>21</v>
      </c>
      <c r="Z70" s="11">
        <v>21.2</v>
      </c>
      <c r="AA70" s="11">
        <v>32.799999999999997</v>
      </c>
      <c r="AB70" s="11">
        <v>23</v>
      </c>
      <c r="AC70" s="11">
        <v>36</v>
      </c>
      <c r="AD70" s="11">
        <v>33</v>
      </c>
      <c r="AE70" s="22" t="s">
        <v>139</v>
      </c>
      <c r="AF70" s="11">
        <f t="shared" si="14"/>
        <v>0</v>
      </c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 spans="1:48" x14ac:dyDescent="0.25">
      <c r="A71" s="11" t="s">
        <v>111</v>
      </c>
      <c r="B71" s="11" t="s">
        <v>39</v>
      </c>
      <c r="C71" s="11">
        <v>130.86699999999999</v>
      </c>
      <c r="D71" s="11">
        <v>81.441999999999993</v>
      </c>
      <c r="E71" s="11">
        <v>55.854999999999997</v>
      </c>
      <c r="F71" s="11">
        <v>131.124</v>
      </c>
      <c r="G71" s="7">
        <v>1</v>
      </c>
      <c r="H71" s="11">
        <v>45</v>
      </c>
      <c r="I71" s="11" t="s">
        <v>37</v>
      </c>
      <c r="J71" s="11"/>
      <c r="K71" s="11">
        <v>53.1</v>
      </c>
      <c r="L71" s="11">
        <f t="shared" si="15"/>
        <v>2.7549999999999955</v>
      </c>
      <c r="M71" s="11"/>
      <c r="N71" s="11"/>
      <c r="O71" s="11">
        <v>0</v>
      </c>
      <c r="P71" s="11"/>
      <c r="Q71" s="11">
        <f t="shared" si="16"/>
        <v>11.170999999999999</v>
      </c>
      <c r="R71" s="4">
        <f t="shared" si="9"/>
        <v>25.27000000000001</v>
      </c>
      <c r="S71" s="4"/>
      <c r="T71" s="11"/>
      <c r="U71" s="11">
        <f t="shared" si="17"/>
        <v>14.000000000000002</v>
      </c>
      <c r="V71" s="11">
        <f t="shared" si="18"/>
        <v>11.737892758034196</v>
      </c>
      <c r="W71" s="11">
        <v>6.0472000000000001</v>
      </c>
      <c r="X71" s="11">
        <v>16.082999999999998</v>
      </c>
      <c r="Y71" s="11">
        <v>13.8188</v>
      </c>
      <c r="Z71" s="11">
        <v>8.5007999999999999</v>
      </c>
      <c r="AA71" s="11">
        <v>12.3634</v>
      </c>
      <c r="AB71" s="11">
        <v>13.888</v>
      </c>
      <c r="AC71" s="11">
        <v>7.4112000000000027</v>
      </c>
      <c r="AD71" s="11">
        <v>18.095199999999998</v>
      </c>
      <c r="AE71" s="11"/>
      <c r="AF71" s="11">
        <f t="shared" si="14"/>
        <v>25.27000000000001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 spans="1:48" x14ac:dyDescent="0.25">
      <c r="A72" s="11" t="s">
        <v>112</v>
      </c>
      <c r="B72" s="11" t="s">
        <v>36</v>
      </c>
      <c r="C72" s="11"/>
      <c r="D72" s="11"/>
      <c r="E72" s="11">
        <v>-1</v>
      </c>
      <c r="F72" s="11"/>
      <c r="G72" s="7">
        <v>0.22</v>
      </c>
      <c r="H72" s="11">
        <v>120</v>
      </c>
      <c r="I72" s="11" t="s">
        <v>37</v>
      </c>
      <c r="J72" s="11"/>
      <c r="K72" s="11"/>
      <c r="L72" s="11">
        <f t="shared" si="15"/>
        <v>-1</v>
      </c>
      <c r="M72" s="11"/>
      <c r="N72" s="11"/>
      <c r="O72" s="11">
        <v>50</v>
      </c>
      <c r="P72" s="11"/>
      <c r="Q72" s="11">
        <f t="shared" si="16"/>
        <v>-0.2</v>
      </c>
      <c r="R72" s="4"/>
      <c r="S72" s="4"/>
      <c r="T72" s="11"/>
      <c r="U72" s="11">
        <f t="shared" si="17"/>
        <v>-250</v>
      </c>
      <c r="V72" s="11">
        <f t="shared" si="18"/>
        <v>-250</v>
      </c>
      <c r="W72" s="11">
        <v>0</v>
      </c>
      <c r="X72" s="11">
        <v>0.6</v>
      </c>
      <c r="Y72" s="11">
        <v>2.6</v>
      </c>
      <c r="Z72" s="11">
        <v>1</v>
      </c>
      <c r="AA72" s="11">
        <v>-0.8</v>
      </c>
      <c r="AB72" s="11">
        <v>-0.4</v>
      </c>
      <c r="AC72" s="11">
        <v>-0.2</v>
      </c>
      <c r="AD72" s="11">
        <v>0.4</v>
      </c>
      <c r="AE72" s="10" t="s">
        <v>113</v>
      </c>
      <c r="AF72" s="11">
        <f t="shared" si="14"/>
        <v>0</v>
      </c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 spans="1:48" x14ac:dyDescent="0.25">
      <c r="A73" s="11" t="s">
        <v>114</v>
      </c>
      <c r="B73" s="11" t="s">
        <v>36</v>
      </c>
      <c r="C73" s="11">
        <v>60</v>
      </c>
      <c r="D73" s="11"/>
      <c r="E73" s="11">
        <v>51</v>
      </c>
      <c r="F73" s="11">
        <v>6</v>
      </c>
      <c r="G73" s="7">
        <v>0.84</v>
      </c>
      <c r="H73" s="11">
        <v>50</v>
      </c>
      <c r="I73" s="11" t="s">
        <v>37</v>
      </c>
      <c r="J73" s="11"/>
      <c r="K73" s="11">
        <v>54</v>
      </c>
      <c r="L73" s="11">
        <f t="shared" si="15"/>
        <v>-3</v>
      </c>
      <c r="M73" s="11"/>
      <c r="N73" s="11"/>
      <c r="O73" s="11">
        <v>50</v>
      </c>
      <c r="P73" s="11"/>
      <c r="Q73" s="11">
        <f t="shared" si="16"/>
        <v>10.199999999999999</v>
      </c>
      <c r="R73" s="4">
        <f t="shared" si="9"/>
        <v>86.799999999999983</v>
      </c>
      <c r="S73" s="4"/>
      <c r="T73" s="11"/>
      <c r="U73" s="11">
        <f t="shared" si="17"/>
        <v>14</v>
      </c>
      <c r="V73" s="11">
        <f t="shared" si="18"/>
        <v>5.4901960784313726</v>
      </c>
      <c r="W73" s="11">
        <v>6.4</v>
      </c>
      <c r="X73" s="11">
        <v>6.4</v>
      </c>
      <c r="Y73" s="11">
        <v>8.8000000000000007</v>
      </c>
      <c r="Z73" s="11">
        <v>6.2</v>
      </c>
      <c r="AA73" s="11">
        <v>8</v>
      </c>
      <c r="AB73" s="11">
        <v>6.8</v>
      </c>
      <c r="AC73" s="11">
        <v>5.8</v>
      </c>
      <c r="AD73" s="11">
        <v>7</v>
      </c>
      <c r="AE73" s="11"/>
      <c r="AF73" s="11">
        <f t="shared" si="14"/>
        <v>72.911999999999978</v>
      </c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 spans="1:48" x14ac:dyDescent="0.25">
      <c r="A74" s="11" t="s">
        <v>115</v>
      </c>
      <c r="B74" s="11" t="s">
        <v>36</v>
      </c>
      <c r="C74" s="11">
        <v>631</v>
      </c>
      <c r="D74" s="11">
        <v>440</v>
      </c>
      <c r="E74" s="11">
        <v>324</v>
      </c>
      <c r="F74" s="11">
        <v>705</v>
      </c>
      <c r="G74" s="7">
        <v>0.35</v>
      </c>
      <c r="H74" s="11">
        <v>50</v>
      </c>
      <c r="I74" s="11" t="s">
        <v>37</v>
      </c>
      <c r="J74" s="11"/>
      <c r="K74" s="11">
        <v>323</v>
      </c>
      <c r="L74" s="11">
        <f t="shared" si="15"/>
        <v>1</v>
      </c>
      <c r="M74" s="11"/>
      <c r="N74" s="11"/>
      <c r="O74" s="11">
        <v>0</v>
      </c>
      <c r="P74" s="11"/>
      <c r="Q74" s="11">
        <f t="shared" si="16"/>
        <v>64.8</v>
      </c>
      <c r="R74" s="4">
        <f t="shared" si="9"/>
        <v>202.19999999999993</v>
      </c>
      <c r="S74" s="4"/>
      <c r="T74" s="11"/>
      <c r="U74" s="11">
        <f t="shared" si="17"/>
        <v>14</v>
      </c>
      <c r="V74" s="11">
        <f t="shared" si="18"/>
        <v>10.87962962962963</v>
      </c>
      <c r="W74" s="11">
        <v>50.6</v>
      </c>
      <c r="X74" s="11">
        <v>90.8</v>
      </c>
      <c r="Y74" s="11">
        <v>105</v>
      </c>
      <c r="Z74" s="11">
        <v>71.599999999999994</v>
      </c>
      <c r="AA74" s="11">
        <v>89.6</v>
      </c>
      <c r="AB74" s="11">
        <v>87.6</v>
      </c>
      <c r="AC74" s="11">
        <v>114</v>
      </c>
      <c r="AD74" s="11">
        <v>98.8</v>
      </c>
      <c r="AE74" s="11"/>
      <c r="AF74" s="11">
        <f t="shared" si="14"/>
        <v>70.769999999999968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 spans="1:48" x14ac:dyDescent="0.25">
      <c r="A75" s="11" t="s">
        <v>116</v>
      </c>
      <c r="B75" s="11" t="s">
        <v>39</v>
      </c>
      <c r="C75" s="11">
        <v>192.12700000000001</v>
      </c>
      <c r="D75" s="11"/>
      <c r="E75" s="11">
        <v>182.48400000000001</v>
      </c>
      <c r="F75" s="11">
        <v>1.61</v>
      </c>
      <c r="G75" s="7">
        <v>1</v>
      </c>
      <c r="H75" s="11">
        <v>50</v>
      </c>
      <c r="I75" s="11" t="s">
        <v>37</v>
      </c>
      <c r="J75" s="11"/>
      <c r="K75" s="11">
        <v>203.8</v>
      </c>
      <c r="L75" s="11">
        <f t="shared" si="15"/>
        <v>-21.316000000000003</v>
      </c>
      <c r="M75" s="11"/>
      <c r="N75" s="11"/>
      <c r="O75" s="11">
        <v>324</v>
      </c>
      <c r="P75" s="11">
        <v>376</v>
      </c>
      <c r="Q75" s="11">
        <f t="shared" si="16"/>
        <v>36.4968</v>
      </c>
      <c r="R75" s="4"/>
      <c r="S75" s="4"/>
      <c r="T75" s="11"/>
      <c r="U75" s="11">
        <f t="shared" si="17"/>
        <v>19.223877161833368</v>
      </c>
      <c r="V75" s="11">
        <f t="shared" si="18"/>
        <v>19.223877161833368</v>
      </c>
      <c r="W75" s="11">
        <v>73.562399999999997</v>
      </c>
      <c r="X75" s="11">
        <v>16.7728</v>
      </c>
      <c r="Y75" s="11">
        <v>38.627400000000002</v>
      </c>
      <c r="Z75" s="11">
        <v>53.290200000000013</v>
      </c>
      <c r="AA75" s="11">
        <v>14.510999999999999</v>
      </c>
      <c r="AB75" s="11">
        <v>28.582999999999998</v>
      </c>
      <c r="AC75" s="11">
        <v>27.069800000000001</v>
      </c>
      <c r="AD75" s="11">
        <v>0</v>
      </c>
      <c r="AE75" s="11"/>
      <c r="AF75" s="11">
        <f t="shared" si="14"/>
        <v>0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 spans="1:48" x14ac:dyDescent="0.25">
      <c r="A76" s="11" t="s">
        <v>117</v>
      </c>
      <c r="B76" s="11" t="s">
        <v>39</v>
      </c>
      <c r="C76" s="11">
        <v>319.721</v>
      </c>
      <c r="D76" s="11">
        <v>358.76</v>
      </c>
      <c r="E76" s="11">
        <v>271.93099999999998</v>
      </c>
      <c r="F76" s="11">
        <v>348.05399999999997</v>
      </c>
      <c r="G76" s="7">
        <v>1</v>
      </c>
      <c r="H76" s="11">
        <v>50</v>
      </c>
      <c r="I76" s="11" t="s">
        <v>37</v>
      </c>
      <c r="J76" s="11"/>
      <c r="K76" s="11">
        <v>263.10000000000002</v>
      </c>
      <c r="L76" s="11">
        <f t="shared" si="15"/>
        <v>8.8309999999999604</v>
      </c>
      <c r="M76" s="11"/>
      <c r="N76" s="11"/>
      <c r="O76" s="11">
        <v>185</v>
      </c>
      <c r="P76" s="11">
        <v>215</v>
      </c>
      <c r="Q76" s="11">
        <f t="shared" si="16"/>
        <v>54.386199999999995</v>
      </c>
      <c r="R76" s="4">
        <f t="shared" si="9"/>
        <v>13.352800000000002</v>
      </c>
      <c r="S76" s="4"/>
      <c r="T76" s="11"/>
      <c r="U76" s="11">
        <f t="shared" si="17"/>
        <v>14</v>
      </c>
      <c r="V76" s="11">
        <f t="shared" si="18"/>
        <v>13.754481835465615</v>
      </c>
      <c r="W76" s="11">
        <v>73.034999999999997</v>
      </c>
      <c r="X76" s="11">
        <v>70.085799999999992</v>
      </c>
      <c r="Y76" s="11">
        <v>49.6188</v>
      </c>
      <c r="Z76" s="11">
        <v>67.777000000000001</v>
      </c>
      <c r="AA76" s="11">
        <v>54.074399999999997</v>
      </c>
      <c r="AB76" s="11">
        <v>65.099199999999996</v>
      </c>
      <c r="AC76" s="11">
        <v>67.461600000000004</v>
      </c>
      <c r="AD76" s="11">
        <v>81.076800000000006</v>
      </c>
      <c r="AE76" s="11"/>
      <c r="AF76" s="11">
        <f t="shared" si="14"/>
        <v>13.352800000000002</v>
      </c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 spans="1:48" x14ac:dyDescent="0.25">
      <c r="A77" s="11" t="s">
        <v>118</v>
      </c>
      <c r="B77" s="11" t="s">
        <v>36</v>
      </c>
      <c r="C77" s="11">
        <v>624</v>
      </c>
      <c r="D77" s="11">
        <v>544</v>
      </c>
      <c r="E77" s="11">
        <v>426</v>
      </c>
      <c r="F77" s="11">
        <v>688</v>
      </c>
      <c r="G77" s="7">
        <v>0.35</v>
      </c>
      <c r="H77" s="11">
        <v>50</v>
      </c>
      <c r="I77" s="11" t="s">
        <v>37</v>
      </c>
      <c r="J77" s="11"/>
      <c r="K77" s="11">
        <v>440</v>
      </c>
      <c r="L77" s="11">
        <f t="shared" si="15"/>
        <v>-14</v>
      </c>
      <c r="M77" s="11"/>
      <c r="N77" s="11"/>
      <c r="O77" s="11">
        <v>23</v>
      </c>
      <c r="P77" s="11">
        <v>27</v>
      </c>
      <c r="Q77" s="11">
        <f t="shared" si="16"/>
        <v>85.2</v>
      </c>
      <c r="R77" s="4">
        <f t="shared" si="9"/>
        <v>454.79999999999995</v>
      </c>
      <c r="S77" s="4"/>
      <c r="T77" s="11"/>
      <c r="U77" s="11">
        <f t="shared" si="17"/>
        <v>13.999999999999998</v>
      </c>
      <c r="V77" s="11">
        <f t="shared" si="18"/>
        <v>8.6619718309859159</v>
      </c>
      <c r="W77" s="11">
        <v>59.2</v>
      </c>
      <c r="X77" s="11">
        <v>104.6</v>
      </c>
      <c r="Y77" s="11">
        <v>102.4</v>
      </c>
      <c r="Z77" s="11">
        <v>78.400000000000006</v>
      </c>
      <c r="AA77" s="11">
        <v>90.8</v>
      </c>
      <c r="AB77" s="11">
        <v>90.8</v>
      </c>
      <c r="AC77" s="11">
        <v>105.6</v>
      </c>
      <c r="AD77" s="11">
        <v>115</v>
      </c>
      <c r="AE77" s="11"/>
      <c r="AF77" s="11">
        <f t="shared" si="14"/>
        <v>159.17999999999998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 spans="1:48" x14ac:dyDescent="0.25">
      <c r="A78" s="11" t="s">
        <v>119</v>
      </c>
      <c r="B78" s="11" t="s">
        <v>36</v>
      </c>
      <c r="C78" s="11">
        <v>51</v>
      </c>
      <c r="D78" s="11">
        <v>60</v>
      </c>
      <c r="E78" s="11">
        <v>71</v>
      </c>
      <c r="F78" s="11">
        <v>27</v>
      </c>
      <c r="G78" s="7">
        <v>0.3</v>
      </c>
      <c r="H78" s="11">
        <v>50</v>
      </c>
      <c r="I78" s="11" t="s">
        <v>37</v>
      </c>
      <c r="J78" s="11"/>
      <c r="K78" s="11">
        <v>73</v>
      </c>
      <c r="L78" s="11">
        <f t="shared" si="15"/>
        <v>-2</v>
      </c>
      <c r="M78" s="11"/>
      <c r="N78" s="11"/>
      <c r="O78" s="11">
        <v>60</v>
      </c>
      <c r="P78" s="11"/>
      <c r="Q78" s="11">
        <f t="shared" si="16"/>
        <v>14.2</v>
      </c>
      <c r="R78" s="4">
        <f t="shared" si="9"/>
        <v>111.79999999999998</v>
      </c>
      <c r="S78" s="4"/>
      <c r="T78" s="11"/>
      <c r="U78" s="11">
        <f t="shared" si="17"/>
        <v>14</v>
      </c>
      <c r="V78" s="11">
        <f t="shared" si="18"/>
        <v>6.126760563380282</v>
      </c>
      <c r="W78" s="11">
        <v>11.8</v>
      </c>
      <c r="X78" s="11">
        <v>13.4</v>
      </c>
      <c r="Y78" s="11">
        <v>13</v>
      </c>
      <c r="Z78" s="11">
        <v>13</v>
      </c>
      <c r="AA78" s="11">
        <v>3</v>
      </c>
      <c r="AB78" s="11">
        <v>14.2</v>
      </c>
      <c r="AC78" s="11">
        <v>12.8</v>
      </c>
      <c r="AD78" s="11">
        <v>10</v>
      </c>
      <c r="AE78" s="11"/>
      <c r="AF78" s="11">
        <f t="shared" si="14"/>
        <v>33.539999999999992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 spans="1:48" x14ac:dyDescent="0.25">
      <c r="A79" s="11" t="s">
        <v>120</v>
      </c>
      <c r="B79" s="11" t="s">
        <v>36</v>
      </c>
      <c r="C79" s="11">
        <v>8</v>
      </c>
      <c r="D79" s="11"/>
      <c r="E79" s="11">
        <v>7</v>
      </c>
      <c r="F79" s="11"/>
      <c r="G79" s="7">
        <v>0.3</v>
      </c>
      <c r="H79" s="11">
        <v>60</v>
      </c>
      <c r="I79" s="11" t="s">
        <v>37</v>
      </c>
      <c r="J79" s="11"/>
      <c r="K79" s="11">
        <v>17</v>
      </c>
      <c r="L79" s="11">
        <f t="shared" si="15"/>
        <v>-10</v>
      </c>
      <c r="M79" s="11"/>
      <c r="N79" s="11"/>
      <c r="O79" s="11">
        <v>66</v>
      </c>
      <c r="P79" s="11"/>
      <c r="Q79" s="11">
        <f t="shared" si="16"/>
        <v>1.4</v>
      </c>
      <c r="R79" s="4"/>
      <c r="S79" s="4"/>
      <c r="T79" s="11"/>
      <c r="U79" s="11">
        <f t="shared" si="17"/>
        <v>47.142857142857146</v>
      </c>
      <c r="V79" s="11">
        <f t="shared" si="18"/>
        <v>47.142857142857146</v>
      </c>
      <c r="W79" s="11">
        <v>7.4</v>
      </c>
      <c r="X79" s="11">
        <v>1.8</v>
      </c>
      <c r="Y79" s="11">
        <v>2.6</v>
      </c>
      <c r="Z79" s="11">
        <v>5.6</v>
      </c>
      <c r="AA79" s="11">
        <v>2.2000000000000002</v>
      </c>
      <c r="AB79" s="11">
        <v>3.6</v>
      </c>
      <c r="AC79" s="11">
        <v>5.6</v>
      </c>
      <c r="AD79" s="11">
        <v>0.6</v>
      </c>
      <c r="AE79" s="11"/>
      <c r="AF79" s="11">
        <f t="shared" si="14"/>
        <v>0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 spans="1:48" x14ac:dyDescent="0.25">
      <c r="A80" s="11" t="s">
        <v>121</v>
      </c>
      <c r="B80" s="11" t="s">
        <v>36</v>
      </c>
      <c r="C80" s="11">
        <v>506</v>
      </c>
      <c r="D80" s="11">
        <v>253</v>
      </c>
      <c r="E80" s="11">
        <v>231</v>
      </c>
      <c r="F80" s="11">
        <v>466</v>
      </c>
      <c r="G80" s="7">
        <v>0.28000000000000003</v>
      </c>
      <c r="H80" s="11">
        <v>50</v>
      </c>
      <c r="I80" s="11" t="s">
        <v>37</v>
      </c>
      <c r="J80" s="11"/>
      <c r="K80" s="11">
        <v>241</v>
      </c>
      <c r="L80" s="11">
        <f t="shared" si="15"/>
        <v>-10</v>
      </c>
      <c r="M80" s="11"/>
      <c r="N80" s="11"/>
      <c r="O80" s="11">
        <v>185</v>
      </c>
      <c r="P80" s="11">
        <v>215</v>
      </c>
      <c r="Q80" s="11">
        <f t="shared" si="16"/>
        <v>46.2</v>
      </c>
      <c r="R80" s="4"/>
      <c r="S80" s="4"/>
      <c r="T80" s="11"/>
      <c r="U80" s="11">
        <f t="shared" si="17"/>
        <v>18.744588744588743</v>
      </c>
      <c r="V80" s="11">
        <f t="shared" si="18"/>
        <v>18.744588744588743</v>
      </c>
      <c r="W80" s="11">
        <v>79</v>
      </c>
      <c r="X80" s="11">
        <v>78.400000000000006</v>
      </c>
      <c r="Y80" s="11">
        <v>89.2</v>
      </c>
      <c r="Z80" s="11">
        <v>56.4</v>
      </c>
      <c r="AA80" s="11">
        <v>87</v>
      </c>
      <c r="AB80" s="11">
        <v>72.2</v>
      </c>
      <c r="AC80" s="11">
        <v>73.599999999999994</v>
      </c>
      <c r="AD80" s="11">
        <v>86.8</v>
      </c>
      <c r="AE80" s="20" t="s">
        <v>57</v>
      </c>
      <c r="AF80" s="11">
        <f t="shared" si="14"/>
        <v>0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 spans="1:48" x14ac:dyDescent="0.25">
      <c r="A81" s="11" t="s">
        <v>122</v>
      </c>
      <c r="B81" s="11" t="s">
        <v>36</v>
      </c>
      <c r="C81" s="11">
        <v>744</v>
      </c>
      <c r="D81" s="11">
        <v>349</v>
      </c>
      <c r="E81" s="11">
        <v>477</v>
      </c>
      <c r="F81" s="11">
        <v>554</v>
      </c>
      <c r="G81" s="7">
        <v>0.28000000000000003</v>
      </c>
      <c r="H81" s="11">
        <v>45</v>
      </c>
      <c r="I81" s="11" t="s">
        <v>37</v>
      </c>
      <c r="J81" s="11"/>
      <c r="K81" s="11">
        <v>484</v>
      </c>
      <c r="L81" s="11">
        <f t="shared" si="15"/>
        <v>-7</v>
      </c>
      <c r="M81" s="11"/>
      <c r="N81" s="11"/>
      <c r="O81" s="11">
        <v>92</v>
      </c>
      <c r="P81" s="11">
        <v>108</v>
      </c>
      <c r="Q81" s="11">
        <f t="shared" si="16"/>
        <v>95.4</v>
      </c>
      <c r="R81" s="4">
        <f t="shared" si="9"/>
        <v>581.60000000000014</v>
      </c>
      <c r="S81" s="4"/>
      <c r="T81" s="11"/>
      <c r="U81" s="11">
        <f t="shared" si="17"/>
        <v>14</v>
      </c>
      <c r="V81" s="11">
        <f t="shared" si="18"/>
        <v>7.9035639412997902</v>
      </c>
      <c r="W81" s="11">
        <v>68.8</v>
      </c>
      <c r="X81" s="11">
        <v>98</v>
      </c>
      <c r="Y81" s="11">
        <v>110.4</v>
      </c>
      <c r="Z81" s="11">
        <v>73</v>
      </c>
      <c r="AA81" s="11">
        <v>106</v>
      </c>
      <c r="AB81" s="11">
        <v>85.8</v>
      </c>
      <c r="AC81" s="11">
        <v>111</v>
      </c>
      <c r="AD81" s="11">
        <v>93</v>
      </c>
      <c r="AE81" s="11"/>
      <c r="AF81" s="11">
        <f t="shared" si="14"/>
        <v>162.84800000000004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 spans="1:48" x14ac:dyDescent="0.25">
      <c r="A82" s="11" t="s">
        <v>123</v>
      </c>
      <c r="B82" s="11" t="s">
        <v>36</v>
      </c>
      <c r="C82" s="11">
        <v>46</v>
      </c>
      <c r="D82" s="11">
        <v>200</v>
      </c>
      <c r="E82" s="11">
        <v>142</v>
      </c>
      <c r="F82" s="11">
        <v>72</v>
      </c>
      <c r="G82" s="7">
        <v>0.28000000000000003</v>
      </c>
      <c r="H82" s="11">
        <v>45</v>
      </c>
      <c r="I82" s="11" t="s">
        <v>37</v>
      </c>
      <c r="J82" s="11"/>
      <c r="K82" s="11">
        <v>148</v>
      </c>
      <c r="L82" s="11">
        <f t="shared" si="15"/>
        <v>-6</v>
      </c>
      <c r="M82" s="11"/>
      <c r="N82" s="11"/>
      <c r="O82" s="11">
        <v>92</v>
      </c>
      <c r="P82" s="11">
        <v>108</v>
      </c>
      <c r="Q82" s="11">
        <f t="shared" si="16"/>
        <v>28.4</v>
      </c>
      <c r="R82" s="4">
        <f t="shared" si="9"/>
        <v>125.59999999999997</v>
      </c>
      <c r="S82" s="4"/>
      <c r="T82" s="11"/>
      <c r="U82" s="11">
        <f t="shared" si="17"/>
        <v>14</v>
      </c>
      <c r="V82" s="11">
        <f t="shared" si="18"/>
        <v>9.577464788732394</v>
      </c>
      <c r="W82" s="11">
        <v>29.4</v>
      </c>
      <c r="X82" s="11">
        <v>28.6</v>
      </c>
      <c r="Y82" s="11">
        <v>23.6</v>
      </c>
      <c r="Z82" s="11">
        <v>10</v>
      </c>
      <c r="AA82" s="11">
        <v>29</v>
      </c>
      <c r="AB82" s="11">
        <v>21.4</v>
      </c>
      <c r="AC82" s="11">
        <v>19.399999999999999</v>
      </c>
      <c r="AD82" s="11">
        <v>27.8</v>
      </c>
      <c r="AE82" s="11"/>
      <c r="AF82" s="11">
        <f t="shared" si="14"/>
        <v>35.167999999999992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 spans="1:48" x14ac:dyDescent="0.25">
      <c r="A83" s="11" t="s">
        <v>124</v>
      </c>
      <c r="B83" s="11" t="s">
        <v>36</v>
      </c>
      <c r="C83" s="11">
        <v>164</v>
      </c>
      <c r="D83" s="11">
        <v>392</v>
      </c>
      <c r="E83" s="11">
        <v>173</v>
      </c>
      <c r="F83" s="11">
        <v>339</v>
      </c>
      <c r="G83" s="7">
        <v>0.28000000000000003</v>
      </c>
      <c r="H83" s="11">
        <v>45</v>
      </c>
      <c r="I83" s="11" t="s">
        <v>37</v>
      </c>
      <c r="J83" s="11"/>
      <c r="K83" s="11">
        <v>178</v>
      </c>
      <c r="L83" s="11">
        <f t="shared" si="15"/>
        <v>-5</v>
      </c>
      <c r="M83" s="11"/>
      <c r="N83" s="11"/>
      <c r="O83" s="11">
        <v>46</v>
      </c>
      <c r="P83" s="11">
        <v>54</v>
      </c>
      <c r="Q83" s="11">
        <f t="shared" si="16"/>
        <v>34.6</v>
      </c>
      <c r="R83" s="4">
        <f t="shared" ref="R83:R91" si="19">14*Q83-P83-O83-F83</f>
        <v>45.400000000000034</v>
      </c>
      <c r="S83" s="4"/>
      <c r="T83" s="11"/>
      <c r="U83" s="11">
        <f t="shared" si="17"/>
        <v>14</v>
      </c>
      <c r="V83" s="11">
        <f t="shared" si="18"/>
        <v>12.687861271676301</v>
      </c>
      <c r="W83" s="11">
        <v>40.200000000000003</v>
      </c>
      <c r="X83" s="11">
        <v>58.4</v>
      </c>
      <c r="Y83" s="11">
        <v>53.2</v>
      </c>
      <c r="Z83" s="11">
        <v>37.799999999999997</v>
      </c>
      <c r="AA83" s="11">
        <v>65</v>
      </c>
      <c r="AB83" s="11">
        <v>47.8</v>
      </c>
      <c r="AC83" s="11">
        <v>66.2</v>
      </c>
      <c r="AD83" s="11">
        <v>50.4</v>
      </c>
      <c r="AE83" s="11"/>
      <c r="AF83" s="11">
        <f t="shared" ref="AF83:AF91" si="20">G83*R83</f>
        <v>12.71200000000001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 spans="1:48" x14ac:dyDescent="0.25">
      <c r="A84" s="11" t="s">
        <v>125</v>
      </c>
      <c r="B84" s="11" t="s">
        <v>36</v>
      </c>
      <c r="C84" s="11"/>
      <c r="D84" s="11">
        <v>492</v>
      </c>
      <c r="E84" s="11">
        <v>268</v>
      </c>
      <c r="F84" s="11">
        <v>205</v>
      </c>
      <c r="G84" s="7">
        <v>0.4</v>
      </c>
      <c r="H84" s="11">
        <v>50</v>
      </c>
      <c r="I84" s="11" t="s">
        <v>37</v>
      </c>
      <c r="J84" s="11"/>
      <c r="K84" s="11">
        <v>250</v>
      </c>
      <c r="L84" s="11">
        <f t="shared" si="15"/>
        <v>18</v>
      </c>
      <c r="M84" s="11"/>
      <c r="N84" s="11"/>
      <c r="O84" s="11">
        <v>50</v>
      </c>
      <c r="P84" s="11">
        <v>50</v>
      </c>
      <c r="Q84" s="11">
        <f t="shared" si="16"/>
        <v>53.6</v>
      </c>
      <c r="R84" s="4">
        <f t="shared" si="19"/>
        <v>445.4</v>
      </c>
      <c r="S84" s="4"/>
      <c r="T84" s="11"/>
      <c r="U84" s="11">
        <f t="shared" si="17"/>
        <v>14</v>
      </c>
      <c r="V84" s="11">
        <f t="shared" si="18"/>
        <v>5.6902985074626864</v>
      </c>
      <c r="W84" s="11">
        <v>10</v>
      </c>
      <c r="X84" s="11">
        <v>39.799999999999997</v>
      </c>
      <c r="Y84" s="11">
        <v>4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 t="s">
        <v>126</v>
      </c>
      <c r="AF84" s="11">
        <f t="shared" si="20"/>
        <v>178.16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 spans="1:48" x14ac:dyDescent="0.25">
      <c r="A85" s="11" t="s">
        <v>127</v>
      </c>
      <c r="B85" s="11" t="s">
        <v>36</v>
      </c>
      <c r="C85" s="11">
        <v>25</v>
      </c>
      <c r="D85" s="11">
        <v>7</v>
      </c>
      <c r="E85" s="11">
        <v>17</v>
      </c>
      <c r="F85" s="11">
        <v>12</v>
      </c>
      <c r="G85" s="7">
        <v>0.3</v>
      </c>
      <c r="H85" s="11">
        <v>50</v>
      </c>
      <c r="I85" s="11" t="s">
        <v>37</v>
      </c>
      <c r="J85" s="11"/>
      <c r="K85" s="11">
        <v>19</v>
      </c>
      <c r="L85" s="11">
        <f t="shared" si="15"/>
        <v>-2</v>
      </c>
      <c r="M85" s="11"/>
      <c r="N85" s="11"/>
      <c r="O85" s="11">
        <v>0</v>
      </c>
      <c r="P85" s="11"/>
      <c r="Q85" s="11">
        <f t="shared" si="16"/>
        <v>3.4</v>
      </c>
      <c r="R85" s="4">
        <f>13*Q85-P85-O85-F85</f>
        <v>32.199999999999996</v>
      </c>
      <c r="S85" s="4"/>
      <c r="T85" s="11"/>
      <c r="U85" s="11">
        <f t="shared" si="17"/>
        <v>12.999999999999998</v>
      </c>
      <c r="V85" s="11">
        <f t="shared" si="18"/>
        <v>3.5294117647058822</v>
      </c>
      <c r="W85" s="11">
        <v>2</v>
      </c>
      <c r="X85" s="11">
        <v>3.6</v>
      </c>
      <c r="Y85" s="11">
        <v>3.4</v>
      </c>
      <c r="Z85" s="11">
        <v>2.8</v>
      </c>
      <c r="AA85" s="11">
        <v>9.8000000000000007</v>
      </c>
      <c r="AB85" s="11">
        <v>0.6</v>
      </c>
      <c r="AC85" s="11">
        <v>6.2</v>
      </c>
      <c r="AD85" s="11">
        <v>12.4</v>
      </c>
      <c r="AE85" s="11"/>
      <c r="AF85" s="11">
        <f t="shared" si="20"/>
        <v>9.6599999999999984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 spans="1:48" x14ac:dyDescent="0.25">
      <c r="A86" s="11" t="s">
        <v>128</v>
      </c>
      <c r="B86" s="11" t="s">
        <v>36</v>
      </c>
      <c r="C86" s="11">
        <v>11</v>
      </c>
      <c r="D86" s="11">
        <v>48</v>
      </c>
      <c r="E86" s="11">
        <v>32</v>
      </c>
      <c r="F86" s="11">
        <v>14</v>
      </c>
      <c r="G86" s="7">
        <v>0.33</v>
      </c>
      <c r="H86" s="11">
        <v>30</v>
      </c>
      <c r="I86" s="11" t="s">
        <v>37</v>
      </c>
      <c r="J86" s="11"/>
      <c r="K86" s="11">
        <v>39</v>
      </c>
      <c r="L86" s="11">
        <f t="shared" si="15"/>
        <v>-7</v>
      </c>
      <c r="M86" s="11"/>
      <c r="N86" s="11"/>
      <c r="O86" s="11">
        <v>0</v>
      </c>
      <c r="P86" s="11"/>
      <c r="Q86" s="11">
        <f t="shared" si="16"/>
        <v>6.4</v>
      </c>
      <c r="R86" s="4">
        <f>11*Q86-P86-O86-F86</f>
        <v>56.400000000000006</v>
      </c>
      <c r="S86" s="4"/>
      <c r="T86" s="11"/>
      <c r="U86" s="11">
        <f t="shared" si="17"/>
        <v>11</v>
      </c>
      <c r="V86" s="11">
        <f t="shared" si="18"/>
        <v>2.1875</v>
      </c>
      <c r="W86" s="11">
        <v>3.8</v>
      </c>
      <c r="X86" s="11">
        <v>5.8</v>
      </c>
      <c r="Y86" s="11">
        <v>6.4</v>
      </c>
      <c r="Z86" s="11">
        <v>2</v>
      </c>
      <c r="AA86" s="11">
        <v>9.1999999999999993</v>
      </c>
      <c r="AB86" s="11">
        <v>8</v>
      </c>
      <c r="AC86" s="11">
        <v>4.4000000000000004</v>
      </c>
      <c r="AD86" s="11">
        <v>8.1999999999999993</v>
      </c>
      <c r="AE86" s="11"/>
      <c r="AF86" s="11">
        <f t="shared" si="20"/>
        <v>18.612000000000002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 spans="1:48" x14ac:dyDescent="0.25">
      <c r="A87" s="11" t="s">
        <v>129</v>
      </c>
      <c r="B87" s="11" t="s">
        <v>39</v>
      </c>
      <c r="C87" s="11">
        <v>20.55</v>
      </c>
      <c r="D87" s="11"/>
      <c r="E87" s="11">
        <v>-1.8560000000000001</v>
      </c>
      <c r="F87" s="11">
        <v>20.55</v>
      </c>
      <c r="G87" s="7">
        <v>1</v>
      </c>
      <c r="H87" s="11">
        <v>30</v>
      </c>
      <c r="I87" s="11" t="s">
        <v>37</v>
      </c>
      <c r="J87" s="11"/>
      <c r="K87" s="11">
        <v>0.9</v>
      </c>
      <c r="L87" s="11">
        <f t="shared" si="15"/>
        <v>-2.7560000000000002</v>
      </c>
      <c r="M87" s="11"/>
      <c r="N87" s="11"/>
      <c r="O87" s="11">
        <v>0</v>
      </c>
      <c r="P87" s="11"/>
      <c r="Q87" s="11">
        <f t="shared" si="16"/>
        <v>-0.37120000000000003</v>
      </c>
      <c r="R87" s="4"/>
      <c r="S87" s="4"/>
      <c r="T87" s="11"/>
      <c r="U87" s="11">
        <f t="shared" si="17"/>
        <v>-55.360991379310342</v>
      </c>
      <c r="V87" s="11">
        <f t="shared" si="18"/>
        <v>-55.360991379310342</v>
      </c>
      <c r="W87" s="11">
        <v>0.18579999999999999</v>
      </c>
      <c r="X87" s="11">
        <v>1.0793999999999999</v>
      </c>
      <c r="Y87" s="11">
        <v>0.81980000000000008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21" t="s">
        <v>138</v>
      </c>
      <c r="AF87" s="11">
        <f t="shared" si="20"/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 spans="1:48" x14ac:dyDescent="0.25">
      <c r="A88" s="11" t="s">
        <v>130</v>
      </c>
      <c r="B88" s="11" t="s">
        <v>36</v>
      </c>
      <c r="C88" s="11">
        <v>56</v>
      </c>
      <c r="D88" s="11">
        <v>2</v>
      </c>
      <c r="E88" s="11">
        <v>52</v>
      </c>
      <c r="F88" s="11">
        <v>2</v>
      </c>
      <c r="G88" s="7">
        <v>0.28000000000000003</v>
      </c>
      <c r="H88" s="11">
        <v>50</v>
      </c>
      <c r="I88" s="11" t="s">
        <v>37</v>
      </c>
      <c r="J88" s="11"/>
      <c r="K88" s="11">
        <v>54</v>
      </c>
      <c r="L88" s="11">
        <f t="shared" si="15"/>
        <v>-2</v>
      </c>
      <c r="M88" s="11"/>
      <c r="N88" s="11"/>
      <c r="O88" s="11">
        <v>80</v>
      </c>
      <c r="P88" s="11"/>
      <c r="Q88" s="11">
        <f t="shared" si="16"/>
        <v>10.4</v>
      </c>
      <c r="R88" s="4">
        <f t="shared" si="19"/>
        <v>63.599999999999994</v>
      </c>
      <c r="S88" s="4"/>
      <c r="T88" s="11"/>
      <c r="U88" s="11">
        <f t="shared" si="17"/>
        <v>13.999999999999998</v>
      </c>
      <c r="V88" s="11">
        <f t="shared" si="18"/>
        <v>7.8846153846153841</v>
      </c>
      <c r="W88" s="11">
        <v>8.4</v>
      </c>
      <c r="X88" s="11">
        <v>0.4</v>
      </c>
      <c r="Y88" s="11">
        <v>2.6</v>
      </c>
      <c r="Z88" s="11">
        <v>11.8</v>
      </c>
      <c r="AA88" s="11">
        <v>0</v>
      </c>
      <c r="AB88" s="11">
        <v>4</v>
      </c>
      <c r="AC88" s="11">
        <v>8.6</v>
      </c>
      <c r="AD88" s="11">
        <v>0</v>
      </c>
      <c r="AE88" s="11"/>
      <c r="AF88" s="11">
        <f t="shared" si="20"/>
        <v>17.808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</row>
    <row r="89" spans="1:48" x14ac:dyDescent="0.25">
      <c r="A89" s="11" t="s">
        <v>131</v>
      </c>
      <c r="B89" s="11" t="s">
        <v>36</v>
      </c>
      <c r="C89" s="11">
        <v>31</v>
      </c>
      <c r="D89" s="11"/>
      <c r="E89" s="11">
        <v>31</v>
      </c>
      <c r="F89" s="11"/>
      <c r="G89" s="7">
        <v>0.28000000000000003</v>
      </c>
      <c r="H89" s="11">
        <v>50</v>
      </c>
      <c r="I89" s="11" t="s">
        <v>37</v>
      </c>
      <c r="J89" s="11"/>
      <c r="K89" s="11">
        <v>31</v>
      </c>
      <c r="L89" s="11">
        <f t="shared" si="15"/>
        <v>0</v>
      </c>
      <c r="M89" s="11"/>
      <c r="N89" s="11"/>
      <c r="O89" s="11">
        <v>100</v>
      </c>
      <c r="P89" s="11"/>
      <c r="Q89" s="11">
        <f t="shared" si="16"/>
        <v>6.2</v>
      </c>
      <c r="R89" s="4"/>
      <c r="S89" s="4"/>
      <c r="T89" s="11"/>
      <c r="U89" s="11">
        <f t="shared" si="17"/>
        <v>16.129032258064516</v>
      </c>
      <c r="V89" s="11">
        <f t="shared" si="18"/>
        <v>16.129032258064516</v>
      </c>
      <c r="W89" s="11">
        <v>13</v>
      </c>
      <c r="X89" s="11">
        <v>0</v>
      </c>
      <c r="Y89" s="11">
        <v>2.4</v>
      </c>
      <c r="Z89" s="11">
        <v>8.6</v>
      </c>
      <c r="AA89" s="11">
        <v>0</v>
      </c>
      <c r="AB89" s="11">
        <v>0</v>
      </c>
      <c r="AC89" s="11">
        <v>4.5999999999999996</v>
      </c>
      <c r="AD89" s="11">
        <v>0</v>
      </c>
      <c r="AE89" s="11"/>
      <c r="AF89" s="11">
        <f t="shared" si="20"/>
        <v>0</v>
      </c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 spans="1:48" x14ac:dyDescent="0.25">
      <c r="A90" s="11" t="s">
        <v>132</v>
      </c>
      <c r="B90" s="11" t="s">
        <v>36</v>
      </c>
      <c r="C90" s="11"/>
      <c r="D90" s="11">
        <v>8</v>
      </c>
      <c r="E90" s="11">
        <v>8</v>
      </c>
      <c r="F90" s="11"/>
      <c r="G90" s="7">
        <v>0.4</v>
      </c>
      <c r="H90" s="11">
        <v>60</v>
      </c>
      <c r="I90" s="11" t="s">
        <v>37</v>
      </c>
      <c r="J90" s="11"/>
      <c r="K90" s="11">
        <v>14</v>
      </c>
      <c r="L90" s="11">
        <f t="shared" si="15"/>
        <v>-6</v>
      </c>
      <c r="M90" s="11"/>
      <c r="N90" s="11"/>
      <c r="O90" s="11">
        <v>24</v>
      </c>
      <c r="P90" s="11"/>
      <c r="Q90" s="11">
        <f t="shared" si="16"/>
        <v>1.6</v>
      </c>
      <c r="R90" s="4">
        <v>8</v>
      </c>
      <c r="S90" s="4"/>
      <c r="T90" s="11"/>
      <c r="U90" s="11">
        <f t="shared" si="17"/>
        <v>20</v>
      </c>
      <c r="V90" s="11">
        <f t="shared" si="18"/>
        <v>15</v>
      </c>
      <c r="W90" s="11">
        <v>0</v>
      </c>
      <c r="X90" s="11">
        <v>2.2000000000000002</v>
      </c>
      <c r="Y90" s="11">
        <v>2.4</v>
      </c>
      <c r="Z90" s="11">
        <v>2</v>
      </c>
      <c r="AA90" s="11">
        <v>1.4</v>
      </c>
      <c r="AB90" s="11">
        <v>1.6</v>
      </c>
      <c r="AC90" s="11">
        <v>0</v>
      </c>
      <c r="AD90" s="11">
        <v>0</v>
      </c>
      <c r="AE90" s="11" t="s">
        <v>133</v>
      </c>
      <c r="AF90" s="11">
        <f t="shared" si="20"/>
        <v>3.2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</row>
    <row r="91" spans="1:48" x14ac:dyDescent="0.25">
      <c r="A91" s="9" t="s">
        <v>53</v>
      </c>
      <c r="B91" s="11" t="s">
        <v>36</v>
      </c>
      <c r="C91" s="11"/>
      <c r="D91" s="11">
        <v>48</v>
      </c>
      <c r="E91" s="19">
        <f>18+E18</f>
        <v>226</v>
      </c>
      <c r="F91" s="19">
        <f>30+F18</f>
        <v>10</v>
      </c>
      <c r="G91" s="7">
        <v>0.12</v>
      </c>
      <c r="H91" s="11">
        <v>60</v>
      </c>
      <c r="I91" s="9" t="s">
        <v>37</v>
      </c>
      <c r="J91" s="11"/>
      <c r="K91" s="11">
        <v>34</v>
      </c>
      <c r="L91" s="11">
        <f t="shared" si="15"/>
        <v>192</v>
      </c>
      <c r="M91" s="11"/>
      <c r="N91" s="11"/>
      <c r="O91" s="11">
        <v>277</v>
      </c>
      <c r="P91" s="11">
        <v>323</v>
      </c>
      <c r="Q91" s="11">
        <f t="shared" si="16"/>
        <v>45.2</v>
      </c>
      <c r="R91" s="4">
        <f t="shared" si="19"/>
        <v>22.800000000000068</v>
      </c>
      <c r="S91" s="4"/>
      <c r="T91" s="11"/>
      <c r="U91" s="11">
        <f t="shared" si="17"/>
        <v>14</v>
      </c>
      <c r="V91" s="11">
        <f t="shared" si="18"/>
        <v>13.495575221238937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9" t="s">
        <v>134</v>
      </c>
      <c r="AF91" s="11">
        <f t="shared" si="20"/>
        <v>2.7360000000000082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</row>
    <row r="92" spans="1:48" x14ac:dyDescent="0.25">
      <c r="A92" s="16" t="s">
        <v>135</v>
      </c>
      <c r="B92" s="16" t="s">
        <v>36</v>
      </c>
      <c r="C92" s="16">
        <v>9</v>
      </c>
      <c r="D92" s="16">
        <v>34</v>
      </c>
      <c r="E92" s="19">
        <v>39</v>
      </c>
      <c r="F92" s="16"/>
      <c r="G92" s="17">
        <v>0</v>
      </c>
      <c r="H92" s="16" t="e">
        <v>#N/A</v>
      </c>
      <c r="I92" s="16" t="s">
        <v>136</v>
      </c>
      <c r="J92" s="16" t="s">
        <v>102</v>
      </c>
      <c r="K92" s="16">
        <v>39</v>
      </c>
      <c r="L92" s="16">
        <f t="shared" si="15"/>
        <v>0</v>
      </c>
      <c r="M92" s="16"/>
      <c r="N92" s="16"/>
      <c r="O92" s="16">
        <v>0</v>
      </c>
      <c r="P92" s="16"/>
      <c r="Q92" s="16">
        <f t="shared" si="16"/>
        <v>7.8</v>
      </c>
      <c r="R92" s="18"/>
      <c r="S92" s="18"/>
      <c r="T92" s="16"/>
      <c r="U92" s="16">
        <f t="shared" si="17"/>
        <v>0</v>
      </c>
      <c r="V92" s="16">
        <f t="shared" si="18"/>
        <v>0</v>
      </c>
      <c r="W92" s="16">
        <v>3.2</v>
      </c>
      <c r="X92" s="16">
        <v>11</v>
      </c>
      <c r="Y92" s="16">
        <v>2.2000000000000002</v>
      </c>
      <c r="Z92" s="16">
        <v>5.4</v>
      </c>
      <c r="AA92" s="16">
        <v>6.4</v>
      </c>
      <c r="AB92" s="16">
        <v>5.6</v>
      </c>
      <c r="AC92" s="16">
        <v>9.4</v>
      </c>
      <c r="AD92" s="16">
        <v>10</v>
      </c>
      <c r="AE92" s="16"/>
      <c r="AF92" s="16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</row>
    <row r="93" spans="1:48" x14ac:dyDescent="0.25">
      <c r="A93" s="16" t="s">
        <v>137</v>
      </c>
      <c r="B93" s="16" t="s">
        <v>39</v>
      </c>
      <c r="C93" s="16">
        <v>26.898</v>
      </c>
      <c r="D93" s="16">
        <v>60.898000000000003</v>
      </c>
      <c r="E93" s="19">
        <v>67.247</v>
      </c>
      <c r="F93" s="19">
        <v>17.385000000000002</v>
      </c>
      <c r="G93" s="17">
        <v>0</v>
      </c>
      <c r="H93" s="16" t="e">
        <v>#N/A</v>
      </c>
      <c r="I93" s="16" t="s">
        <v>136</v>
      </c>
      <c r="J93" s="16" t="s">
        <v>103</v>
      </c>
      <c r="K93" s="16">
        <v>64.5</v>
      </c>
      <c r="L93" s="16">
        <f t="shared" si="15"/>
        <v>2.7469999999999999</v>
      </c>
      <c r="M93" s="16"/>
      <c r="N93" s="16"/>
      <c r="O93" s="16">
        <v>0</v>
      </c>
      <c r="P93" s="16"/>
      <c r="Q93" s="16">
        <f t="shared" si="16"/>
        <v>13.449400000000001</v>
      </c>
      <c r="R93" s="18"/>
      <c r="S93" s="18"/>
      <c r="T93" s="16"/>
      <c r="U93" s="16">
        <f t="shared" si="17"/>
        <v>1.2926227192291107</v>
      </c>
      <c r="V93" s="16">
        <f t="shared" si="18"/>
        <v>1.2926227192291107</v>
      </c>
      <c r="W93" s="16">
        <v>3.4453999999999998</v>
      </c>
      <c r="X93" s="16">
        <v>10.6098</v>
      </c>
      <c r="Y93" s="16">
        <v>6.5174000000000003</v>
      </c>
      <c r="Z93" s="16">
        <v>11.345000000000001</v>
      </c>
      <c r="AA93" s="16">
        <v>7.2774000000000001</v>
      </c>
      <c r="AB93" s="16">
        <v>6.3996000000000004</v>
      </c>
      <c r="AC93" s="16">
        <v>10.6008</v>
      </c>
      <c r="AD93" s="16">
        <v>10.352</v>
      </c>
      <c r="AE93" s="16"/>
      <c r="AF93" s="16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</row>
    <row r="94" spans="1:48" x14ac:dyDescent="0.25">
      <c r="A94" s="11"/>
      <c r="B94" s="11"/>
      <c r="C94" s="11"/>
      <c r="D94" s="11"/>
      <c r="E94" s="11"/>
      <c r="F94" s="11"/>
      <c r="G94" s="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</row>
    <row r="95" spans="1:48" x14ac:dyDescent="0.25">
      <c r="A95" s="11"/>
      <c r="B95" s="11"/>
      <c r="C95" s="11"/>
      <c r="D95" s="11"/>
      <c r="E95" s="11"/>
      <c r="F95" s="11"/>
      <c r="G95" s="7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</row>
    <row r="96" spans="1:48" x14ac:dyDescent="0.25">
      <c r="A96" s="11"/>
      <c r="B96" s="11"/>
      <c r="C96" s="11"/>
      <c r="D96" s="11"/>
      <c r="E96" s="11"/>
      <c r="F96" s="11"/>
      <c r="G96" s="7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</row>
    <row r="97" spans="1:48" x14ac:dyDescent="0.25">
      <c r="A97" s="11"/>
      <c r="B97" s="11"/>
      <c r="C97" s="11"/>
      <c r="D97" s="11"/>
      <c r="E97" s="11"/>
      <c r="F97" s="11"/>
      <c r="G97" s="7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</row>
    <row r="98" spans="1:48" x14ac:dyDescent="0.25">
      <c r="A98" s="11"/>
      <c r="B98" s="11"/>
      <c r="C98" s="11"/>
      <c r="D98" s="11"/>
      <c r="E98" s="11"/>
      <c r="F98" s="11"/>
      <c r="G98" s="7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</row>
    <row r="99" spans="1:48" x14ac:dyDescent="0.25">
      <c r="A99" s="11"/>
      <c r="B99" s="11"/>
      <c r="C99" s="11"/>
      <c r="D99" s="11"/>
      <c r="E99" s="11"/>
      <c r="F99" s="11"/>
      <c r="G99" s="7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</row>
    <row r="100" spans="1:48" x14ac:dyDescent="0.25">
      <c r="A100" s="11"/>
      <c r="B100" s="11"/>
      <c r="C100" s="11"/>
      <c r="D100" s="11"/>
      <c r="E100" s="11"/>
      <c r="F100" s="11"/>
      <c r="G100" s="7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</row>
    <row r="101" spans="1:48" x14ac:dyDescent="0.25">
      <c r="A101" s="11"/>
      <c r="B101" s="11"/>
      <c r="C101" s="11"/>
      <c r="D101" s="11"/>
      <c r="E101" s="11"/>
      <c r="F101" s="11"/>
      <c r="G101" s="7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</row>
    <row r="102" spans="1:48" x14ac:dyDescent="0.25">
      <c r="A102" s="11"/>
      <c r="B102" s="11"/>
      <c r="C102" s="11"/>
      <c r="D102" s="11"/>
      <c r="E102" s="11"/>
      <c r="F102" s="11"/>
      <c r="G102" s="7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</row>
    <row r="103" spans="1:48" x14ac:dyDescent="0.25">
      <c r="A103" s="11"/>
      <c r="B103" s="11"/>
      <c r="C103" s="11"/>
      <c r="D103" s="11"/>
      <c r="E103" s="11"/>
      <c r="F103" s="11"/>
      <c r="G103" s="7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</row>
    <row r="104" spans="1:48" x14ac:dyDescent="0.25">
      <c r="A104" s="11"/>
      <c r="B104" s="11"/>
      <c r="C104" s="11"/>
      <c r="D104" s="11"/>
      <c r="E104" s="11"/>
      <c r="F104" s="11"/>
      <c r="G104" s="7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</row>
    <row r="105" spans="1:48" x14ac:dyDescent="0.25">
      <c r="A105" s="11"/>
      <c r="B105" s="11"/>
      <c r="C105" s="11"/>
      <c r="D105" s="11"/>
      <c r="E105" s="11"/>
      <c r="F105" s="11"/>
      <c r="G105" s="7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</row>
    <row r="106" spans="1:48" x14ac:dyDescent="0.25">
      <c r="A106" s="11"/>
      <c r="B106" s="11"/>
      <c r="C106" s="11"/>
      <c r="D106" s="11"/>
      <c r="E106" s="11"/>
      <c r="F106" s="11"/>
      <c r="G106" s="7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</row>
    <row r="107" spans="1:48" x14ac:dyDescent="0.25">
      <c r="A107" s="11"/>
      <c r="B107" s="11"/>
      <c r="C107" s="11"/>
      <c r="D107" s="11"/>
      <c r="E107" s="11"/>
      <c r="F107" s="11"/>
      <c r="G107" s="7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</row>
    <row r="108" spans="1:48" x14ac:dyDescent="0.25">
      <c r="A108" s="11"/>
      <c r="B108" s="11"/>
      <c r="C108" s="11"/>
      <c r="D108" s="11"/>
      <c r="E108" s="11"/>
      <c r="F108" s="11"/>
      <c r="G108" s="7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</row>
    <row r="109" spans="1:48" x14ac:dyDescent="0.25">
      <c r="A109" s="11"/>
      <c r="B109" s="11"/>
      <c r="C109" s="11"/>
      <c r="D109" s="11"/>
      <c r="E109" s="11"/>
      <c r="F109" s="11"/>
      <c r="G109" s="7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</row>
    <row r="110" spans="1:48" x14ac:dyDescent="0.25">
      <c r="A110" s="11"/>
      <c r="B110" s="11"/>
      <c r="C110" s="11"/>
      <c r="D110" s="11"/>
      <c r="E110" s="11"/>
      <c r="F110" s="11"/>
      <c r="G110" s="7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</row>
    <row r="111" spans="1:48" x14ac:dyDescent="0.25">
      <c r="A111" s="11"/>
      <c r="B111" s="11"/>
      <c r="C111" s="11"/>
      <c r="D111" s="11"/>
      <c r="E111" s="11"/>
      <c r="F111" s="11"/>
      <c r="G111" s="7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</row>
    <row r="112" spans="1:48" x14ac:dyDescent="0.25">
      <c r="A112" s="11"/>
      <c r="B112" s="11"/>
      <c r="C112" s="11"/>
      <c r="D112" s="11"/>
      <c r="E112" s="11"/>
      <c r="F112" s="11"/>
      <c r="G112" s="7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</row>
    <row r="113" spans="1:48" x14ac:dyDescent="0.25">
      <c r="A113" s="11"/>
      <c r="B113" s="11"/>
      <c r="C113" s="11"/>
      <c r="D113" s="11"/>
      <c r="E113" s="11"/>
      <c r="F113" s="11"/>
      <c r="G113" s="7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1:48" x14ac:dyDescent="0.25">
      <c r="A114" s="11"/>
      <c r="B114" s="11"/>
      <c r="C114" s="11"/>
      <c r="D114" s="11"/>
      <c r="E114" s="11"/>
      <c r="F114" s="11"/>
      <c r="G114" s="7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</row>
    <row r="115" spans="1:48" x14ac:dyDescent="0.25">
      <c r="A115" s="11"/>
      <c r="B115" s="11"/>
      <c r="C115" s="11"/>
      <c r="D115" s="11"/>
      <c r="E115" s="11"/>
      <c r="F115" s="11"/>
      <c r="G115" s="7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</row>
    <row r="116" spans="1:48" x14ac:dyDescent="0.25">
      <c r="A116" s="11"/>
      <c r="B116" s="11"/>
      <c r="C116" s="11"/>
      <c r="D116" s="11"/>
      <c r="E116" s="11"/>
      <c r="F116" s="11"/>
      <c r="G116" s="7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</row>
    <row r="117" spans="1:48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</row>
    <row r="118" spans="1:48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</row>
    <row r="119" spans="1:48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</row>
    <row r="120" spans="1:48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</row>
    <row r="121" spans="1:48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</row>
    <row r="122" spans="1:48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</row>
    <row r="123" spans="1:48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</row>
    <row r="124" spans="1:48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</row>
    <row r="125" spans="1:48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</row>
    <row r="126" spans="1:48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</row>
    <row r="127" spans="1:48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</row>
    <row r="128" spans="1:48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</row>
    <row r="129" spans="1:48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</row>
    <row r="130" spans="1:48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</row>
    <row r="131" spans="1:48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</row>
    <row r="132" spans="1:48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</row>
    <row r="133" spans="1:48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</row>
    <row r="134" spans="1:48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</row>
    <row r="135" spans="1:48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</row>
    <row r="136" spans="1:48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</row>
    <row r="137" spans="1:48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</row>
    <row r="138" spans="1:48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</row>
    <row r="139" spans="1:48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</row>
    <row r="140" spans="1:48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</row>
    <row r="141" spans="1:48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</row>
    <row r="142" spans="1:48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</row>
    <row r="143" spans="1:48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</row>
    <row r="144" spans="1:48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</row>
    <row r="145" spans="1:48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</row>
    <row r="146" spans="1:48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</row>
    <row r="147" spans="1:48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</row>
    <row r="148" spans="1:48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</row>
    <row r="149" spans="1:48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</row>
    <row r="150" spans="1:48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</row>
    <row r="151" spans="1:48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</row>
    <row r="152" spans="1:48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</row>
    <row r="153" spans="1:48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</row>
    <row r="154" spans="1:48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</row>
    <row r="155" spans="1:48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</row>
    <row r="156" spans="1:48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</row>
    <row r="157" spans="1:48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</row>
    <row r="158" spans="1:48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</row>
    <row r="159" spans="1:48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</row>
    <row r="160" spans="1:48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</row>
    <row r="161" spans="1:48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</row>
    <row r="162" spans="1:48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</row>
    <row r="163" spans="1:48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</row>
    <row r="164" spans="1:48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</row>
    <row r="165" spans="1:48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</row>
    <row r="166" spans="1:48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</row>
    <row r="167" spans="1:48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</row>
    <row r="168" spans="1:48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</row>
    <row r="169" spans="1:48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  <row r="170" spans="1:48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</row>
    <row r="171" spans="1:48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</row>
    <row r="172" spans="1:48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</row>
    <row r="173" spans="1:48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</row>
    <row r="174" spans="1:48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</row>
    <row r="175" spans="1:48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</row>
    <row r="176" spans="1:48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</row>
    <row r="177" spans="1:48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</row>
    <row r="178" spans="1:48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</row>
    <row r="179" spans="1:48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</row>
    <row r="180" spans="1:48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</row>
    <row r="181" spans="1:48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</row>
    <row r="182" spans="1:48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</row>
    <row r="183" spans="1:48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</row>
    <row r="184" spans="1:48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</row>
    <row r="185" spans="1:48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</row>
    <row r="186" spans="1:48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</row>
    <row r="187" spans="1:48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</row>
    <row r="188" spans="1:48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</row>
    <row r="189" spans="1:48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</row>
    <row r="190" spans="1:48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</row>
    <row r="191" spans="1:48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</row>
    <row r="192" spans="1:48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</row>
    <row r="193" spans="1:48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</row>
    <row r="194" spans="1:48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</row>
    <row r="195" spans="1:48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</row>
    <row r="196" spans="1:48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</row>
    <row r="197" spans="1:48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</row>
    <row r="198" spans="1:48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</row>
    <row r="199" spans="1:48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</row>
    <row r="200" spans="1:48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</row>
    <row r="201" spans="1:48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</row>
    <row r="202" spans="1:48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</row>
    <row r="203" spans="1:48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</row>
    <row r="204" spans="1:48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</row>
    <row r="205" spans="1:48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</row>
    <row r="206" spans="1:48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</row>
    <row r="207" spans="1:48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</row>
    <row r="208" spans="1:48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</row>
    <row r="209" spans="1:48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</row>
    <row r="210" spans="1:48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</row>
    <row r="211" spans="1:48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</row>
    <row r="212" spans="1:48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</row>
    <row r="213" spans="1:48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</row>
    <row r="214" spans="1:48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</row>
    <row r="215" spans="1:48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</row>
    <row r="216" spans="1:48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</row>
    <row r="217" spans="1:48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</row>
    <row r="218" spans="1:48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</row>
    <row r="219" spans="1:48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</row>
    <row r="220" spans="1:48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</row>
    <row r="221" spans="1:48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</row>
    <row r="222" spans="1:48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</row>
    <row r="223" spans="1:48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</row>
    <row r="224" spans="1:48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</row>
    <row r="225" spans="1:48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</row>
    <row r="226" spans="1:48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</row>
    <row r="227" spans="1:48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</row>
    <row r="228" spans="1:48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</row>
    <row r="229" spans="1:48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</row>
    <row r="230" spans="1:48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</row>
    <row r="231" spans="1:48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</row>
    <row r="232" spans="1:48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</row>
    <row r="233" spans="1:48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</row>
    <row r="234" spans="1:48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</row>
    <row r="235" spans="1:48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</row>
    <row r="236" spans="1:48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</row>
    <row r="237" spans="1:48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</row>
    <row r="238" spans="1:48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</row>
    <row r="239" spans="1:48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</row>
    <row r="240" spans="1:48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</row>
    <row r="241" spans="1:48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</row>
    <row r="242" spans="1:48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</row>
    <row r="243" spans="1:48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</row>
    <row r="244" spans="1:48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</row>
    <row r="245" spans="1:48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</row>
    <row r="246" spans="1:48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</row>
    <row r="247" spans="1:48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</row>
    <row r="248" spans="1:48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</row>
    <row r="249" spans="1:48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</row>
    <row r="250" spans="1:48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</row>
    <row r="251" spans="1:48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</row>
    <row r="252" spans="1:48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</row>
    <row r="253" spans="1:48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</row>
    <row r="254" spans="1:48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</row>
    <row r="255" spans="1:48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</row>
    <row r="256" spans="1:48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</row>
    <row r="257" spans="1:48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</row>
    <row r="258" spans="1:48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</row>
    <row r="259" spans="1:48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</row>
    <row r="260" spans="1:48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</row>
    <row r="261" spans="1:48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</row>
    <row r="262" spans="1:48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</row>
    <row r="263" spans="1:48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</row>
    <row r="264" spans="1:48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</row>
    <row r="265" spans="1:48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</row>
    <row r="266" spans="1:48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</row>
    <row r="267" spans="1:48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</row>
    <row r="268" spans="1:48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</row>
    <row r="269" spans="1:48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</row>
    <row r="270" spans="1:48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</row>
    <row r="271" spans="1:48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</row>
    <row r="272" spans="1:48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</row>
    <row r="273" spans="1:48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</row>
    <row r="274" spans="1:48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</row>
    <row r="275" spans="1:48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</row>
    <row r="276" spans="1:48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</row>
    <row r="277" spans="1:48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</row>
    <row r="278" spans="1:48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</row>
    <row r="279" spans="1:48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</row>
    <row r="280" spans="1:48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</row>
    <row r="281" spans="1:48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</row>
    <row r="282" spans="1:48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</row>
    <row r="283" spans="1:48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</row>
    <row r="284" spans="1:48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</row>
    <row r="285" spans="1:48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</row>
    <row r="286" spans="1:48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</row>
    <row r="287" spans="1:48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</row>
    <row r="288" spans="1:48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</row>
    <row r="289" spans="1:48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</row>
    <row r="290" spans="1:48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</row>
    <row r="291" spans="1:48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</row>
    <row r="292" spans="1:48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</row>
    <row r="293" spans="1:48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</row>
    <row r="294" spans="1:48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</row>
    <row r="295" spans="1:48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</row>
    <row r="296" spans="1:48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</row>
    <row r="297" spans="1:48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</row>
    <row r="298" spans="1:48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</row>
    <row r="299" spans="1:48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</row>
    <row r="300" spans="1:48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</row>
    <row r="301" spans="1:48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</row>
    <row r="302" spans="1:48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</row>
    <row r="303" spans="1:48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</row>
    <row r="304" spans="1:48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</row>
    <row r="305" spans="1:48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</row>
    <row r="306" spans="1:48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</row>
    <row r="307" spans="1:48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</row>
    <row r="308" spans="1:48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</row>
    <row r="309" spans="1:48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</row>
    <row r="310" spans="1:48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</row>
    <row r="311" spans="1:48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</row>
    <row r="312" spans="1:48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</row>
    <row r="313" spans="1:48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</row>
    <row r="314" spans="1:48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</row>
    <row r="315" spans="1:48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</row>
    <row r="316" spans="1:48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</row>
    <row r="317" spans="1:48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</row>
    <row r="318" spans="1:48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</row>
    <row r="319" spans="1:48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</row>
    <row r="320" spans="1:48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</row>
    <row r="321" spans="1:48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</row>
    <row r="322" spans="1:48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</row>
    <row r="323" spans="1:48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</row>
    <row r="324" spans="1:48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</row>
    <row r="325" spans="1:48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</row>
    <row r="326" spans="1:48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</row>
    <row r="327" spans="1:48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</row>
    <row r="328" spans="1:48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</row>
    <row r="329" spans="1:48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</row>
    <row r="330" spans="1:48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</row>
    <row r="331" spans="1:48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</row>
    <row r="332" spans="1:48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</row>
    <row r="333" spans="1:48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</row>
    <row r="334" spans="1:48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</row>
    <row r="335" spans="1:48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</row>
    <row r="336" spans="1:48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</row>
    <row r="337" spans="1:48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</row>
    <row r="338" spans="1:48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</row>
    <row r="339" spans="1:48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</row>
    <row r="340" spans="1:48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</row>
    <row r="341" spans="1:48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</row>
    <row r="342" spans="1:48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</row>
    <row r="343" spans="1:48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</row>
    <row r="344" spans="1:48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</row>
    <row r="345" spans="1:48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</row>
    <row r="346" spans="1:48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</row>
    <row r="347" spans="1:48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</row>
    <row r="348" spans="1:48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</row>
    <row r="349" spans="1:48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</row>
    <row r="350" spans="1:48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</row>
    <row r="351" spans="1:48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</row>
    <row r="352" spans="1:48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</row>
    <row r="353" spans="1:48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</row>
    <row r="354" spans="1:48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</row>
    <row r="355" spans="1:48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</row>
    <row r="356" spans="1:48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</row>
    <row r="357" spans="1:48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</row>
    <row r="358" spans="1:48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</row>
    <row r="359" spans="1:48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</row>
    <row r="360" spans="1:48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</row>
    <row r="361" spans="1:48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</row>
    <row r="362" spans="1:48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</row>
    <row r="363" spans="1:48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</row>
    <row r="364" spans="1:48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</row>
    <row r="365" spans="1:48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</row>
    <row r="366" spans="1:48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</row>
    <row r="367" spans="1:48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</row>
    <row r="368" spans="1:48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</row>
    <row r="369" spans="1:48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</row>
    <row r="370" spans="1:48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</row>
    <row r="371" spans="1:48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</row>
    <row r="372" spans="1:48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</row>
    <row r="373" spans="1:48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</row>
    <row r="374" spans="1:48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</row>
    <row r="375" spans="1:48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</row>
    <row r="376" spans="1:48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</row>
    <row r="377" spans="1:48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</row>
    <row r="378" spans="1:48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</row>
    <row r="379" spans="1:48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</row>
    <row r="380" spans="1:48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</row>
    <row r="381" spans="1:48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</row>
    <row r="382" spans="1:48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</row>
    <row r="383" spans="1:48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</row>
    <row r="384" spans="1:48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</row>
    <row r="385" spans="1:48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</row>
    <row r="386" spans="1:48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</row>
    <row r="387" spans="1:48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</row>
    <row r="388" spans="1:48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</row>
    <row r="389" spans="1:48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</row>
    <row r="390" spans="1:48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</row>
    <row r="391" spans="1:48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</row>
    <row r="392" spans="1:48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</row>
    <row r="393" spans="1:48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</row>
    <row r="394" spans="1:48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</row>
    <row r="395" spans="1:48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</row>
    <row r="396" spans="1:48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</row>
    <row r="397" spans="1:48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</row>
    <row r="398" spans="1:48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</row>
    <row r="399" spans="1:48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</row>
    <row r="400" spans="1:48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</row>
    <row r="401" spans="1:48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</row>
    <row r="402" spans="1:48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</row>
    <row r="403" spans="1:48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</row>
    <row r="404" spans="1:48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</row>
    <row r="405" spans="1:48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</row>
    <row r="406" spans="1:48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</row>
    <row r="407" spans="1:48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</row>
    <row r="408" spans="1:48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</row>
    <row r="409" spans="1:48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</row>
    <row r="410" spans="1:48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</row>
    <row r="411" spans="1:48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</row>
    <row r="412" spans="1:48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</row>
    <row r="413" spans="1:48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</row>
    <row r="414" spans="1:48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</row>
    <row r="415" spans="1:48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</row>
    <row r="416" spans="1:48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</row>
    <row r="417" spans="1:48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</row>
    <row r="418" spans="1:48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</row>
    <row r="419" spans="1:48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</row>
    <row r="420" spans="1:48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</row>
    <row r="421" spans="1:48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</row>
    <row r="422" spans="1:48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</row>
    <row r="423" spans="1:48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</row>
    <row r="424" spans="1:48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</row>
    <row r="425" spans="1:48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</row>
    <row r="426" spans="1:48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</row>
    <row r="427" spans="1:48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</row>
    <row r="428" spans="1:48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</row>
    <row r="429" spans="1:48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</row>
    <row r="430" spans="1:48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</row>
    <row r="431" spans="1:48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</row>
    <row r="432" spans="1:48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</row>
    <row r="433" spans="1:48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</row>
    <row r="434" spans="1:48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</row>
    <row r="435" spans="1:48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</row>
    <row r="436" spans="1:48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</row>
    <row r="437" spans="1:48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</row>
    <row r="438" spans="1:48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</row>
    <row r="439" spans="1:48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</row>
    <row r="440" spans="1:48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</row>
    <row r="441" spans="1:48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</row>
    <row r="442" spans="1:48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</row>
    <row r="443" spans="1:48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</row>
    <row r="444" spans="1:48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</row>
    <row r="445" spans="1:48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</row>
    <row r="446" spans="1:48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</row>
    <row r="447" spans="1:48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</row>
    <row r="448" spans="1:48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</row>
    <row r="449" spans="1:48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</row>
    <row r="450" spans="1:48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</row>
    <row r="451" spans="1:48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</row>
    <row r="452" spans="1:48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</row>
    <row r="453" spans="1:48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</row>
    <row r="454" spans="1:48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</row>
    <row r="455" spans="1:48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</row>
    <row r="456" spans="1:48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</row>
    <row r="457" spans="1:48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</row>
    <row r="458" spans="1:48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</row>
    <row r="459" spans="1:48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</row>
    <row r="460" spans="1:48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</row>
    <row r="461" spans="1:48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</row>
    <row r="462" spans="1:48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</row>
    <row r="463" spans="1:48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</row>
    <row r="464" spans="1:48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</row>
    <row r="465" spans="1:48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</row>
    <row r="466" spans="1:48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</row>
    <row r="467" spans="1:48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</row>
    <row r="468" spans="1:48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</row>
    <row r="469" spans="1:48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</row>
    <row r="470" spans="1:48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</row>
    <row r="471" spans="1:48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</row>
    <row r="472" spans="1:48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</row>
    <row r="473" spans="1:48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</row>
    <row r="474" spans="1:48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</row>
    <row r="475" spans="1:48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</row>
    <row r="476" spans="1:48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</row>
    <row r="477" spans="1:48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</row>
    <row r="478" spans="1:48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</row>
    <row r="479" spans="1:48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</row>
    <row r="480" spans="1:48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</row>
    <row r="481" spans="1:48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</row>
    <row r="482" spans="1:48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</row>
    <row r="483" spans="1:48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</row>
    <row r="484" spans="1:48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</row>
    <row r="485" spans="1:48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</row>
    <row r="486" spans="1:48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</row>
    <row r="487" spans="1:48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</row>
    <row r="488" spans="1:48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</row>
    <row r="489" spans="1:48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</row>
    <row r="490" spans="1:48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</row>
    <row r="491" spans="1:48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</row>
    <row r="492" spans="1:48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</row>
    <row r="493" spans="1:48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</row>
    <row r="494" spans="1:48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</row>
    <row r="495" spans="1:48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</row>
    <row r="496" spans="1:48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</row>
    <row r="497" spans="1:48" x14ac:dyDescent="0.25">
      <c r="A497" s="11"/>
      <c r="B497" s="11"/>
      <c r="C497" s="11"/>
      <c r="D497" s="11"/>
      <c r="E497" s="11"/>
      <c r="F497" s="11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</row>
    <row r="498" spans="1:48" x14ac:dyDescent="0.25">
      <c r="A498" s="11"/>
      <c r="B498" s="11"/>
      <c r="C498" s="11"/>
      <c r="D498" s="11"/>
      <c r="E498" s="11"/>
      <c r="F498" s="11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2025-12-09T13:21:12Z</dcterms:created>
  <dcterms:modified xsi:type="dcterms:W3CDTF">2025-12-09T13:47:01Z</dcterms:modified>
</cp:coreProperties>
</file>