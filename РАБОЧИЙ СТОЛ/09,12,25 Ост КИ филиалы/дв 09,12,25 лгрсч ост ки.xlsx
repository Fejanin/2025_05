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B78519D4-5AB7-473D-B4EE-9D8000598E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3" i="1" l="1"/>
  <c r="V93" i="1" s="1"/>
  <c r="L93" i="1"/>
  <c r="Q92" i="1"/>
  <c r="V92" i="1" s="1"/>
  <c r="L92" i="1"/>
  <c r="Q91" i="1"/>
  <c r="R91" i="1" s="1"/>
  <c r="L91" i="1"/>
  <c r="Q90" i="1"/>
  <c r="L90" i="1"/>
  <c r="Q89" i="1"/>
  <c r="V89" i="1" s="1"/>
  <c r="L89" i="1"/>
  <c r="Q88" i="1"/>
  <c r="V88" i="1" s="1"/>
  <c r="L88" i="1"/>
  <c r="AF87" i="1"/>
  <c r="Q87" i="1"/>
  <c r="U87" i="1" s="1"/>
  <c r="L87" i="1"/>
  <c r="Q86" i="1"/>
  <c r="U86" i="1" s="1"/>
  <c r="L86" i="1"/>
  <c r="Q85" i="1"/>
  <c r="V85" i="1" s="1"/>
  <c r="L85" i="1"/>
  <c r="Q84" i="1"/>
  <c r="R84" i="1" s="1"/>
  <c r="L84" i="1"/>
  <c r="Q83" i="1"/>
  <c r="V83" i="1" s="1"/>
  <c r="L83" i="1"/>
  <c r="Q82" i="1"/>
  <c r="L82" i="1"/>
  <c r="Q81" i="1"/>
  <c r="V81" i="1" s="1"/>
  <c r="L81" i="1"/>
  <c r="Q80" i="1"/>
  <c r="R80" i="1" s="1"/>
  <c r="L80" i="1"/>
  <c r="Q79" i="1"/>
  <c r="V79" i="1" s="1"/>
  <c r="L79" i="1"/>
  <c r="Q78" i="1"/>
  <c r="L78" i="1"/>
  <c r="Q77" i="1"/>
  <c r="V77" i="1" s="1"/>
  <c r="L77" i="1"/>
  <c r="Q76" i="1"/>
  <c r="L76" i="1"/>
  <c r="Q75" i="1"/>
  <c r="U75" i="1" s="1"/>
  <c r="L75" i="1"/>
  <c r="Q74" i="1"/>
  <c r="V74" i="1" s="1"/>
  <c r="L74" i="1"/>
  <c r="Q73" i="1"/>
  <c r="V73" i="1" s="1"/>
  <c r="L73" i="1"/>
  <c r="Q72" i="1"/>
  <c r="V72" i="1" s="1"/>
  <c r="L72" i="1"/>
  <c r="Q71" i="1"/>
  <c r="L71" i="1"/>
  <c r="Q70" i="1"/>
  <c r="L70" i="1"/>
  <c r="Q69" i="1"/>
  <c r="V69" i="1" s="1"/>
  <c r="L69" i="1"/>
  <c r="Q68" i="1"/>
  <c r="L68" i="1"/>
  <c r="Q67" i="1"/>
  <c r="R67" i="1" s="1"/>
  <c r="L67" i="1"/>
  <c r="Q66" i="1"/>
  <c r="L66" i="1"/>
  <c r="Q65" i="1"/>
  <c r="V65" i="1" s="1"/>
  <c r="L65" i="1"/>
  <c r="Q64" i="1"/>
  <c r="R64" i="1" s="1"/>
  <c r="AF64" i="1" s="1"/>
  <c r="L64" i="1"/>
  <c r="F63" i="1"/>
  <c r="E63" i="1"/>
  <c r="Q63" i="1" s="1"/>
  <c r="F62" i="1"/>
  <c r="F5" i="1" s="1"/>
  <c r="E62" i="1"/>
  <c r="L62" i="1" s="1"/>
  <c r="Q61" i="1"/>
  <c r="L61" i="1"/>
  <c r="Q60" i="1"/>
  <c r="V60" i="1" s="1"/>
  <c r="L60" i="1"/>
  <c r="Q59" i="1"/>
  <c r="R59" i="1" s="1"/>
  <c r="AF59" i="1" s="1"/>
  <c r="L59" i="1"/>
  <c r="Q58" i="1"/>
  <c r="V58" i="1" s="1"/>
  <c r="L58" i="1"/>
  <c r="Q57" i="1"/>
  <c r="V57" i="1" s="1"/>
  <c r="L57" i="1"/>
  <c r="Q56" i="1"/>
  <c r="L56" i="1"/>
  <c r="Q55" i="1"/>
  <c r="L55" i="1"/>
  <c r="Q54" i="1"/>
  <c r="R54" i="1" s="1"/>
  <c r="AF54" i="1" s="1"/>
  <c r="L54" i="1"/>
  <c r="Q53" i="1"/>
  <c r="V53" i="1" s="1"/>
  <c r="L53" i="1"/>
  <c r="Q52" i="1"/>
  <c r="R52" i="1" s="1"/>
  <c r="L52" i="1"/>
  <c r="Q51" i="1"/>
  <c r="L51" i="1"/>
  <c r="Q50" i="1"/>
  <c r="R50" i="1" s="1"/>
  <c r="AF50" i="1" s="1"/>
  <c r="L50" i="1"/>
  <c r="Q49" i="1"/>
  <c r="V49" i="1" s="1"/>
  <c r="L49" i="1"/>
  <c r="Q48" i="1"/>
  <c r="R48" i="1" s="1"/>
  <c r="AF48" i="1" s="1"/>
  <c r="L48" i="1"/>
  <c r="Q47" i="1"/>
  <c r="L47" i="1"/>
  <c r="Q46" i="1"/>
  <c r="L46" i="1"/>
  <c r="Q45" i="1"/>
  <c r="V45" i="1" s="1"/>
  <c r="L45" i="1"/>
  <c r="Q44" i="1"/>
  <c r="L44" i="1"/>
  <c r="Q43" i="1"/>
  <c r="L43" i="1"/>
  <c r="Q42" i="1"/>
  <c r="R42" i="1" s="1"/>
  <c r="AF42" i="1" s="1"/>
  <c r="L42" i="1"/>
  <c r="Q41" i="1"/>
  <c r="V41" i="1" s="1"/>
  <c r="L41" i="1"/>
  <c r="Q40" i="1"/>
  <c r="R40" i="1" s="1"/>
  <c r="AF40" i="1" s="1"/>
  <c r="L40" i="1"/>
  <c r="Q39" i="1"/>
  <c r="L39" i="1"/>
  <c r="AF38" i="1"/>
  <c r="Q38" i="1"/>
  <c r="L38" i="1"/>
  <c r="Q37" i="1"/>
  <c r="V37" i="1" s="1"/>
  <c r="L37" i="1"/>
  <c r="Q36" i="1"/>
  <c r="L36" i="1"/>
  <c r="Q35" i="1"/>
  <c r="L35" i="1"/>
  <c r="Q34" i="1"/>
  <c r="R34" i="1" s="1"/>
  <c r="AF34" i="1" s="1"/>
  <c r="L34" i="1"/>
  <c r="Q33" i="1"/>
  <c r="V33" i="1" s="1"/>
  <c r="L33" i="1"/>
  <c r="Q32" i="1"/>
  <c r="R32" i="1" s="1"/>
  <c r="AF32" i="1" s="1"/>
  <c r="L32" i="1"/>
  <c r="Q31" i="1"/>
  <c r="L31" i="1"/>
  <c r="Q30" i="1"/>
  <c r="R30" i="1" s="1"/>
  <c r="AF30" i="1" s="1"/>
  <c r="L30" i="1"/>
  <c r="Q29" i="1"/>
  <c r="V29" i="1" s="1"/>
  <c r="L29" i="1"/>
  <c r="Q28" i="1"/>
  <c r="L28" i="1"/>
  <c r="Q27" i="1"/>
  <c r="U27" i="1" s="1"/>
  <c r="L27" i="1"/>
  <c r="Q26" i="1"/>
  <c r="L26" i="1"/>
  <c r="Q25" i="1"/>
  <c r="R25" i="1" s="1"/>
  <c r="AF25" i="1" s="1"/>
  <c r="L25" i="1"/>
  <c r="Q24" i="1"/>
  <c r="U24" i="1" s="1"/>
  <c r="L24" i="1"/>
  <c r="Q23" i="1"/>
  <c r="U23" i="1" s="1"/>
  <c r="L23" i="1"/>
  <c r="Q22" i="1"/>
  <c r="V22" i="1" s="1"/>
  <c r="L22" i="1"/>
  <c r="Q21" i="1"/>
  <c r="R21" i="1" s="1"/>
  <c r="AF21" i="1" s="1"/>
  <c r="L21" i="1"/>
  <c r="Q20" i="1"/>
  <c r="V20" i="1" s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R15" i="1" s="1"/>
  <c r="AF15" i="1" s="1"/>
  <c r="L15" i="1"/>
  <c r="Q14" i="1"/>
  <c r="V14" i="1" s="1"/>
  <c r="L14" i="1"/>
  <c r="Q13" i="1"/>
  <c r="L13" i="1"/>
  <c r="Q12" i="1"/>
  <c r="L12" i="1"/>
  <c r="Q11" i="1"/>
  <c r="L11" i="1"/>
  <c r="Q10" i="1"/>
  <c r="U10" i="1" s="1"/>
  <c r="L10" i="1"/>
  <c r="Q9" i="1"/>
  <c r="V9" i="1" s="1"/>
  <c r="L9" i="1"/>
  <c r="Q8" i="1"/>
  <c r="L8" i="1"/>
  <c r="Q7" i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14" i="1" l="1"/>
  <c r="R46" i="1"/>
  <c r="AF46" i="1" s="1"/>
  <c r="R74" i="1"/>
  <c r="R11" i="1"/>
  <c r="AF11" i="1" s="1"/>
  <c r="R29" i="1"/>
  <c r="R81" i="1"/>
  <c r="AF81" i="1" s="1"/>
  <c r="AF6" i="1"/>
  <c r="R41" i="1"/>
  <c r="AF41" i="1" s="1"/>
  <c r="R79" i="1"/>
  <c r="R58" i="1"/>
  <c r="AF58" i="1" s="1"/>
  <c r="R65" i="1"/>
  <c r="R68" i="1"/>
  <c r="AF68" i="1" s="1"/>
  <c r="R69" i="1"/>
  <c r="R22" i="1"/>
  <c r="AF22" i="1" s="1"/>
  <c r="R63" i="1"/>
  <c r="AF63" i="1" s="1"/>
  <c r="V64" i="1"/>
  <c r="V68" i="1"/>
  <c r="U89" i="1"/>
  <c r="V12" i="1"/>
  <c r="R12" i="1"/>
  <c r="AF12" i="1" s="1"/>
  <c r="V26" i="1"/>
  <c r="R26" i="1"/>
  <c r="AF26" i="1" s="1"/>
  <c r="V35" i="1"/>
  <c r="AF35" i="1"/>
  <c r="V43" i="1"/>
  <c r="AF43" i="1"/>
  <c r="V51" i="1"/>
  <c r="AF51" i="1"/>
  <c r="AF52" i="1"/>
  <c r="V61" i="1"/>
  <c r="R61" i="1"/>
  <c r="V67" i="1"/>
  <c r="V70" i="1"/>
  <c r="R70" i="1"/>
  <c r="AF70" i="1" s="1"/>
  <c r="R76" i="1"/>
  <c r="AF76" i="1" s="1"/>
  <c r="AF80" i="1"/>
  <c r="AF84" i="1"/>
  <c r="R28" i="1"/>
  <c r="AF28" i="1" s="1"/>
  <c r="R36" i="1"/>
  <c r="AF36" i="1" s="1"/>
  <c r="R44" i="1"/>
  <c r="AF44" i="1" s="1"/>
  <c r="U6" i="1"/>
  <c r="V7" i="1"/>
  <c r="R7" i="1"/>
  <c r="AF7" i="1" s="1"/>
  <c r="U15" i="1"/>
  <c r="U21" i="1"/>
  <c r="V31" i="1"/>
  <c r="R31" i="1"/>
  <c r="AF31" i="1" s="1"/>
  <c r="U32" i="1"/>
  <c r="V39" i="1"/>
  <c r="AF39" i="1"/>
  <c r="U40" i="1"/>
  <c r="V47" i="1"/>
  <c r="R47" i="1"/>
  <c r="AF47" i="1" s="1"/>
  <c r="U48" i="1"/>
  <c r="V55" i="1"/>
  <c r="R55" i="1"/>
  <c r="AF55" i="1" s="1"/>
  <c r="AF56" i="1"/>
  <c r="V66" i="1"/>
  <c r="R66" i="1"/>
  <c r="AF66" i="1" s="1"/>
  <c r="V71" i="1"/>
  <c r="U71" i="1"/>
  <c r="U78" i="1"/>
  <c r="AF78" i="1"/>
  <c r="R82" i="1"/>
  <c r="AF82" i="1" s="1"/>
  <c r="V90" i="1"/>
  <c r="R90" i="1"/>
  <c r="AF90" i="1" s="1"/>
  <c r="AF91" i="1"/>
  <c r="AF8" i="1"/>
  <c r="AF13" i="1"/>
  <c r="R17" i="1"/>
  <c r="AF17" i="1" s="1"/>
  <c r="U25" i="1"/>
  <c r="U30" i="1"/>
  <c r="U34" i="1"/>
  <c r="U38" i="1"/>
  <c r="U42" i="1"/>
  <c r="U46" i="1"/>
  <c r="U50" i="1"/>
  <c r="U54" i="1"/>
  <c r="U59" i="1"/>
  <c r="U64" i="1"/>
  <c r="R9" i="1"/>
  <c r="AF9" i="1" s="1"/>
  <c r="AF16" i="1"/>
  <c r="R20" i="1"/>
  <c r="AF29" i="1"/>
  <c r="AF33" i="1"/>
  <c r="R37" i="1"/>
  <c r="AF37" i="1" s="1"/>
  <c r="AF45" i="1"/>
  <c r="AF49" i="1"/>
  <c r="R53" i="1"/>
  <c r="AF53" i="1" s="1"/>
  <c r="AF74" i="1"/>
  <c r="R77" i="1"/>
  <c r="AF77" i="1" s="1"/>
  <c r="AF79" i="1"/>
  <c r="R83" i="1"/>
  <c r="AF83" i="1" s="1"/>
  <c r="R85" i="1"/>
  <c r="AF85" i="1" s="1"/>
  <c r="E5" i="1"/>
  <c r="U18" i="1"/>
  <c r="U73" i="1"/>
  <c r="U92" i="1"/>
  <c r="Q62" i="1"/>
  <c r="V62" i="1" s="1"/>
  <c r="U16" i="1"/>
  <c r="U19" i="1"/>
  <c r="V24" i="1"/>
  <c r="V28" i="1"/>
  <c r="V30" i="1"/>
  <c r="U31" i="1"/>
  <c r="V32" i="1"/>
  <c r="U33" i="1"/>
  <c r="V34" i="1"/>
  <c r="V36" i="1"/>
  <c r="V38" i="1"/>
  <c r="V40" i="1"/>
  <c r="V42" i="1"/>
  <c r="V44" i="1"/>
  <c r="V46" i="1"/>
  <c r="V48" i="1"/>
  <c r="U49" i="1"/>
  <c r="V50" i="1"/>
  <c r="V52" i="1"/>
  <c r="V54" i="1"/>
  <c r="V56" i="1"/>
  <c r="U57" i="1"/>
  <c r="U60" i="1"/>
  <c r="V63" i="1"/>
  <c r="U72" i="1"/>
  <c r="V76" i="1"/>
  <c r="V78" i="1"/>
  <c r="V80" i="1"/>
  <c r="V82" i="1"/>
  <c r="V84" i="1"/>
  <c r="V86" i="1"/>
  <c r="U88" i="1"/>
  <c r="U93" i="1"/>
  <c r="V6" i="1"/>
  <c r="V8" i="1"/>
  <c r="V10" i="1"/>
  <c r="V11" i="1"/>
  <c r="V13" i="1"/>
  <c r="V15" i="1"/>
  <c r="V17" i="1"/>
  <c r="V21" i="1"/>
  <c r="V23" i="1"/>
  <c r="V25" i="1"/>
  <c r="V27" i="1"/>
  <c r="V59" i="1"/>
  <c r="L63" i="1"/>
  <c r="L5" i="1" s="1"/>
  <c r="V75" i="1"/>
  <c r="V87" i="1"/>
  <c r="V91" i="1"/>
  <c r="U81" i="1" l="1"/>
  <c r="U68" i="1"/>
  <c r="U63" i="1"/>
  <c r="U11" i="1"/>
  <c r="U90" i="1"/>
  <c r="U22" i="1"/>
  <c r="U58" i="1"/>
  <c r="U9" i="1"/>
  <c r="U85" i="1"/>
  <c r="U77" i="1"/>
  <c r="U47" i="1"/>
  <c r="U41" i="1"/>
  <c r="U7" i="1"/>
  <c r="U91" i="1"/>
  <c r="U82" i="1"/>
  <c r="U83" i="1"/>
  <c r="U79" i="1"/>
  <c r="U74" i="1"/>
  <c r="U55" i="1"/>
  <c r="U53" i="1"/>
  <c r="U51" i="1"/>
  <c r="U45" i="1"/>
  <c r="U43" i="1"/>
  <c r="U39" i="1"/>
  <c r="U37" i="1"/>
  <c r="U35" i="1"/>
  <c r="U29" i="1"/>
  <c r="U26" i="1"/>
  <c r="U52" i="1"/>
  <c r="U65" i="1"/>
  <c r="AF65" i="1"/>
  <c r="AF20" i="1"/>
  <c r="U20" i="1"/>
  <c r="U14" i="1"/>
  <c r="AF14" i="1"/>
  <c r="U70" i="1"/>
  <c r="U36" i="1"/>
  <c r="U17" i="1"/>
  <c r="U12" i="1"/>
  <c r="Q5" i="1"/>
  <c r="R62" i="1"/>
  <c r="AF62" i="1" s="1"/>
  <c r="U69" i="1"/>
  <c r="AF69" i="1"/>
  <c r="U66" i="1"/>
  <c r="U56" i="1"/>
  <c r="U8" i="1"/>
  <c r="U84" i="1"/>
  <c r="U80" i="1"/>
  <c r="U76" i="1"/>
  <c r="U67" i="1"/>
  <c r="AF67" i="1"/>
  <c r="U61" i="1"/>
  <c r="AF61" i="1"/>
  <c r="U44" i="1"/>
  <c r="U28" i="1"/>
  <c r="U13" i="1"/>
  <c r="AF5" i="1" l="1"/>
  <c r="U62" i="1"/>
  <c r="R5" i="1"/>
</calcChain>
</file>

<file path=xl/sharedStrings.xml><?xml version="1.0" encoding="utf-8"?>
<sst xmlns="http://schemas.openxmlformats.org/spreadsheetml/2006/main" count="332" uniqueCount="138">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</sst>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39.5703125" customWidth="1"/>
    <col min="32" max="32" width="7" customWidth="1"/>
    <col min="33" max="49" width="3" customWidth="1"/>
  </cols>
  <sheetData>
    <row r="1" spans="1:49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pans="1:49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26</v>
      </c>
      <c r="R4" s="10"/>
      <c r="S4" s="10"/>
      <c r="T4" s="10"/>
      <c r="U4" s="10"/>
      <c r="V4" s="10"/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x14ac:dyDescent="0.25">
      <c r="A5" s="10"/>
      <c r="B5" s="10"/>
      <c r="C5" s="10"/>
      <c r="D5" s="10"/>
      <c r="E5" s="3">
        <f>SUM(E6:E500)</f>
        <v>8604.6669999999995</v>
      </c>
      <c r="F5" s="3">
        <f>SUM(F6:F500)</f>
        <v>3573.8260000000005</v>
      </c>
      <c r="G5" s="7"/>
      <c r="H5" s="10"/>
      <c r="I5" s="10"/>
      <c r="J5" s="10"/>
      <c r="K5" s="3">
        <f t="shared" ref="K5:S5" si="0">SUM(K6:K500)</f>
        <v>8971.35</v>
      </c>
      <c r="L5" s="3">
        <f t="shared" si="0"/>
        <v>-366.68300000000005</v>
      </c>
      <c r="M5" s="3">
        <f t="shared" si="0"/>
        <v>0</v>
      </c>
      <c r="N5" s="3">
        <f t="shared" si="0"/>
        <v>0</v>
      </c>
      <c r="O5" s="3">
        <f t="shared" si="0"/>
        <v>4169</v>
      </c>
      <c r="P5" s="3">
        <f t="shared" si="0"/>
        <v>3557</v>
      </c>
      <c r="Q5" s="3">
        <f t="shared" si="0"/>
        <v>1720.9334000000001</v>
      </c>
      <c r="R5" s="3">
        <f t="shared" si="0"/>
        <v>12461.866200000002</v>
      </c>
      <c r="S5" s="3">
        <f t="shared" si="0"/>
        <v>0</v>
      </c>
      <c r="T5" s="10"/>
      <c r="U5" s="10"/>
      <c r="V5" s="10"/>
      <c r="W5" s="3">
        <f t="shared" ref="W5:AD5" si="1">SUM(W6:W500)</f>
        <v>1469.3773999999996</v>
      </c>
      <c r="X5" s="3">
        <f t="shared" si="1"/>
        <v>1469.3432</v>
      </c>
      <c r="Y5" s="3">
        <f t="shared" si="1"/>
        <v>1371.8485999999998</v>
      </c>
      <c r="Z5" s="3">
        <f t="shared" si="1"/>
        <v>1415.3122000000003</v>
      </c>
      <c r="AA5" s="3">
        <f t="shared" si="1"/>
        <v>1294.0808</v>
      </c>
      <c r="AB5" s="3">
        <f t="shared" si="1"/>
        <v>1373.9728</v>
      </c>
      <c r="AC5" s="3">
        <f t="shared" si="1"/>
        <v>1430.3769999999997</v>
      </c>
      <c r="AD5" s="3">
        <f t="shared" si="1"/>
        <v>1099.1307999999997</v>
      </c>
      <c r="AE5" s="10"/>
      <c r="AF5" s="3">
        <f>SUM(AF6:AF500)</f>
        <v>7647.5061999999971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x14ac:dyDescent="0.25">
      <c r="A6" s="10" t="s">
        <v>35</v>
      </c>
      <c r="B6" s="10" t="s">
        <v>36</v>
      </c>
      <c r="C6" s="10">
        <v>40</v>
      </c>
      <c r="D6" s="10">
        <v>50</v>
      </c>
      <c r="E6" s="10">
        <v>75</v>
      </c>
      <c r="F6" s="10">
        <v>8</v>
      </c>
      <c r="G6" s="7">
        <v>0.4</v>
      </c>
      <c r="H6" s="10">
        <v>60</v>
      </c>
      <c r="I6" s="10" t="s">
        <v>37</v>
      </c>
      <c r="J6" s="10"/>
      <c r="K6" s="10">
        <v>77</v>
      </c>
      <c r="L6" s="10">
        <f t="shared" ref="L6:L37" si="2">E6-K6</f>
        <v>-2</v>
      </c>
      <c r="M6" s="10"/>
      <c r="N6" s="10"/>
      <c r="O6" s="10">
        <v>51</v>
      </c>
      <c r="P6" s="10"/>
      <c r="Q6" s="10">
        <f t="shared" ref="Q6:Q37" si="3">E6/5</f>
        <v>15</v>
      </c>
      <c r="R6" s="4">
        <f>13*Q6-P6-O6-F6</f>
        <v>136</v>
      </c>
      <c r="S6" s="4"/>
      <c r="T6" s="10"/>
      <c r="U6" s="10">
        <f t="shared" ref="U6:U37" si="4">(F6+O6+P6+R6)/Q6</f>
        <v>13</v>
      </c>
      <c r="V6" s="10">
        <f t="shared" ref="V6:V37" si="5">(F6+O6+P6)/Q6</f>
        <v>3.9333333333333331</v>
      </c>
      <c r="W6" s="10">
        <v>9.6</v>
      </c>
      <c r="X6" s="10">
        <v>9.4</v>
      </c>
      <c r="Y6" s="10">
        <v>8.6</v>
      </c>
      <c r="Z6" s="10">
        <v>11.2</v>
      </c>
      <c r="AA6" s="10">
        <v>7.4</v>
      </c>
      <c r="AB6" s="10">
        <v>10.6</v>
      </c>
      <c r="AC6" s="10">
        <v>8.1999999999999993</v>
      </c>
      <c r="AD6" s="10">
        <v>4.5999999999999996</v>
      </c>
      <c r="AE6" s="10"/>
      <c r="AF6" s="10">
        <f>G6*R6</f>
        <v>54.400000000000006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x14ac:dyDescent="0.25">
      <c r="A7" s="10" t="s">
        <v>38</v>
      </c>
      <c r="B7" s="10" t="s">
        <v>39</v>
      </c>
      <c r="C7" s="10">
        <v>7.048</v>
      </c>
      <c r="D7" s="10">
        <v>37.979999999999997</v>
      </c>
      <c r="E7" s="10">
        <v>23.286000000000001</v>
      </c>
      <c r="F7" s="10"/>
      <c r="G7" s="7">
        <v>1</v>
      </c>
      <c r="H7" s="10">
        <v>120</v>
      </c>
      <c r="I7" s="10" t="s">
        <v>37</v>
      </c>
      <c r="J7" s="10"/>
      <c r="K7" s="10">
        <v>21.9</v>
      </c>
      <c r="L7" s="10">
        <f t="shared" si="2"/>
        <v>1.3860000000000028</v>
      </c>
      <c r="M7" s="10"/>
      <c r="N7" s="10"/>
      <c r="O7" s="10">
        <v>34</v>
      </c>
      <c r="P7" s="10">
        <v>20</v>
      </c>
      <c r="Q7" s="10">
        <f t="shared" si="3"/>
        <v>4.6572000000000005</v>
      </c>
      <c r="R7" s="4">
        <f t="shared" ref="R7:R9" si="6">14*Q7-P7-O7-F7</f>
        <v>11.200800000000001</v>
      </c>
      <c r="S7" s="4"/>
      <c r="T7" s="10"/>
      <c r="U7" s="10">
        <f t="shared" si="4"/>
        <v>13.999999999999998</v>
      </c>
      <c r="V7" s="10">
        <f t="shared" si="5"/>
        <v>11.594949755217726</v>
      </c>
      <c r="W7" s="10">
        <v>5.9291999999999998</v>
      </c>
      <c r="X7" s="10">
        <v>3.6652</v>
      </c>
      <c r="Y7" s="10">
        <v>2.3677999999999999</v>
      </c>
      <c r="Z7" s="10">
        <v>4.3554000000000004</v>
      </c>
      <c r="AA7" s="10">
        <v>4.4546000000000001</v>
      </c>
      <c r="AB7" s="10">
        <v>3.4552</v>
      </c>
      <c r="AC7" s="10">
        <v>3.3441999999999998</v>
      </c>
      <c r="AD7" s="10">
        <v>2.8896000000000002</v>
      </c>
      <c r="AE7" s="10"/>
      <c r="AF7" s="10">
        <f>G7*R7</f>
        <v>11.200800000000001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x14ac:dyDescent="0.25">
      <c r="A8" s="10" t="s">
        <v>40</v>
      </c>
      <c r="B8" s="10" t="s">
        <v>36</v>
      </c>
      <c r="C8" s="10"/>
      <c r="D8" s="10">
        <v>8</v>
      </c>
      <c r="E8" s="10">
        <v>8</v>
      </c>
      <c r="F8" s="10"/>
      <c r="G8" s="7">
        <v>0.25</v>
      </c>
      <c r="H8" s="10">
        <v>120</v>
      </c>
      <c r="I8" s="10" t="s">
        <v>37</v>
      </c>
      <c r="J8" s="10"/>
      <c r="K8" s="10">
        <v>10</v>
      </c>
      <c r="L8" s="10">
        <f t="shared" si="2"/>
        <v>-2</v>
      </c>
      <c r="M8" s="10"/>
      <c r="N8" s="10"/>
      <c r="O8" s="10">
        <v>47</v>
      </c>
      <c r="P8" s="10"/>
      <c r="Q8" s="10">
        <f t="shared" si="3"/>
        <v>1.6</v>
      </c>
      <c r="R8" s="4">
        <v>8</v>
      </c>
      <c r="S8" s="4"/>
      <c r="T8" s="10"/>
      <c r="U8" s="10">
        <f t="shared" si="4"/>
        <v>34.375</v>
      </c>
      <c r="V8" s="10">
        <f t="shared" si="5"/>
        <v>29.375</v>
      </c>
      <c r="W8" s="10">
        <v>5.2</v>
      </c>
      <c r="X8" s="10">
        <v>2.8</v>
      </c>
      <c r="Y8" s="10">
        <v>3.2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 t="s">
        <v>41</v>
      </c>
      <c r="AF8" s="10">
        <f>G8*R8</f>
        <v>2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x14ac:dyDescent="0.25">
      <c r="A9" s="10" t="s">
        <v>42</v>
      </c>
      <c r="B9" s="10" t="s">
        <v>39</v>
      </c>
      <c r="C9" s="10">
        <v>218.56700000000001</v>
      </c>
      <c r="D9" s="10">
        <v>547.46299999999997</v>
      </c>
      <c r="E9" s="10">
        <v>412.60899999999998</v>
      </c>
      <c r="F9" s="10">
        <v>306.63</v>
      </c>
      <c r="G9" s="7">
        <v>1</v>
      </c>
      <c r="H9" s="10">
        <v>60</v>
      </c>
      <c r="I9" s="10" t="s">
        <v>37</v>
      </c>
      <c r="J9" s="10"/>
      <c r="K9" s="10">
        <v>404.15</v>
      </c>
      <c r="L9" s="10">
        <f t="shared" si="2"/>
        <v>8.4590000000000032</v>
      </c>
      <c r="M9" s="10"/>
      <c r="N9" s="10"/>
      <c r="O9" s="10">
        <v>0</v>
      </c>
      <c r="P9" s="10">
        <v>103</v>
      </c>
      <c r="Q9" s="10">
        <f t="shared" si="3"/>
        <v>82.521799999999999</v>
      </c>
      <c r="R9" s="4">
        <f t="shared" si="6"/>
        <v>745.67520000000002</v>
      </c>
      <c r="S9" s="4"/>
      <c r="T9" s="10"/>
      <c r="U9" s="10">
        <f t="shared" si="4"/>
        <v>14</v>
      </c>
      <c r="V9" s="10">
        <f t="shared" si="5"/>
        <v>4.9639004481240105</v>
      </c>
      <c r="W9" s="10">
        <v>60.664400000000001</v>
      </c>
      <c r="X9" s="10">
        <v>74.398200000000003</v>
      </c>
      <c r="Y9" s="10">
        <v>62.628</v>
      </c>
      <c r="Z9" s="10">
        <v>62.285400000000003</v>
      </c>
      <c r="AA9" s="10">
        <v>71.472200000000001</v>
      </c>
      <c r="AB9" s="10">
        <v>67.044799999999995</v>
      </c>
      <c r="AC9" s="10">
        <v>70.733000000000004</v>
      </c>
      <c r="AD9" s="10">
        <v>52.066400000000002</v>
      </c>
      <c r="AE9" s="10"/>
      <c r="AF9" s="10">
        <f>G9*R9</f>
        <v>745.67520000000002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x14ac:dyDescent="0.25">
      <c r="A10" s="15" t="s">
        <v>43</v>
      </c>
      <c r="B10" s="15" t="s">
        <v>39</v>
      </c>
      <c r="C10" s="15"/>
      <c r="D10" s="15"/>
      <c r="E10" s="15"/>
      <c r="F10" s="15"/>
      <c r="G10" s="16">
        <v>0</v>
      </c>
      <c r="H10" s="15">
        <v>120</v>
      </c>
      <c r="I10" s="15" t="s">
        <v>37</v>
      </c>
      <c r="J10" s="15"/>
      <c r="K10" s="15"/>
      <c r="L10" s="15">
        <f t="shared" si="2"/>
        <v>0</v>
      </c>
      <c r="M10" s="15"/>
      <c r="N10" s="15"/>
      <c r="O10" s="15">
        <v>0</v>
      </c>
      <c r="P10" s="15"/>
      <c r="Q10" s="15">
        <f t="shared" si="3"/>
        <v>0</v>
      </c>
      <c r="R10" s="17"/>
      <c r="S10" s="17"/>
      <c r="T10" s="15"/>
      <c r="U10" s="15" t="e">
        <f t="shared" si="4"/>
        <v>#DIV/0!</v>
      </c>
      <c r="V10" s="15" t="e">
        <f t="shared" si="5"/>
        <v>#DIV/0!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 t="s">
        <v>44</v>
      </c>
      <c r="AF10" s="15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x14ac:dyDescent="0.25">
      <c r="A11" s="10" t="s">
        <v>45</v>
      </c>
      <c r="B11" s="10" t="s">
        <v>39</v>
      </c>
      <c r="C11" s="10">
        <v>156.816</v>
      </c>
      <c r="D11" s="10">
        <v>116.64700000000001</v>
      </c>
      <c r="E11" s="10">
        <v>240.65799999999999</v>
      </c>
      <c r="F11" s="10">
        <v>3.8490000000000002</v>
      </c>
      <c r="G11" s="7">
        <v>1</v>
      </c>
      <c r="H11" s="10">
        <v>60</v>
      </c>
      <c r="I11" s="10" t="s">
        <v>37</v>
      </c>
      <c r="J11" s="10"/>
      <c r="K11" s="10">
        <v>237.05</v>
      </c>
      <c r="L11" s="10">
        <f t="shared" si="2"/>
        <v>3.6079999999999757</v>
      </c>
      <c r="M11" s="10"/>
      <c r="N11" s="10"/>
      <c r="O11" s="10">
        <v>91</v>
      </c>
      <c r="P11" s="10">
        <v>113</v>
      </c>
      <c r="Q11" s="10">
        <f t="shared" si="3"/>
        <v>48.131599999999999</v>
      </c>
      <c r="R11" s="4">
        <f>13*Q11-P11-O11-F11</f>
        <v>417.86179999999996</v>
      </c>
      <c r="S11" s="4"/>
      <c r="T11" s="10"/>
      <c r="U11" s="10">
        <f t="shared" si="4"/>
        <v>13</v>
      </c>
      <c r="V11" s="10">
        <f t="shared" si="5"/>
        <v>4.3183480291534044</v>
      </c>
      <c r="W11" s="10">
        <v>38.831000000000003</v>
      </c>
      <c r="X11" s="10">
        <v>37.8628</v>
      </c>
      <c r="Y11" s="10">
        <v>36.320999999999998</v>
      </c>
      <c r="Z11" s="10">
        <v>30.732600000000001</v>
      </c>
      <c r="AA11" s="10">
        <v>42.876199999999997</v>
      </c>
      <c r="AB11" s="10">
        <v>34.9236</v>
      </c>
      <c r="AC11" s="10">
        <v>48.375999999999998</v>
      </c>
      <c r="AD11" s="10">
        <v>25.084</v>
      </c>
      <c r="AE11" s="10"/>
      <c r="AF11" s="10">
        <f t="shared" ref="AF11:AF17" si="7">G11*R11</f>
        <v>417.86179999999996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x14ac:dyDescent="0.25">
      <c r="A12" s="10" t="s">
        <v>46</v>
      </c>
      <c r="B12" s="10" t="s">
        <v>39</v>
      </c>
      <c r="C12" s="10">
        <v>187.22399999999999</v>
      </c>
      <c r="D12" s="10">
        <v>488.93099999999998</v>
      </c>
      <c r="E12" s="10">
        <v>414.07400000000001</v>
      </c>
      <c r="F12" s="10">
        <v>227.36699999999999</v>
      </c>
      <c r="G12" s="7">
        <v>1</v>
      </c>
      <c r="H12" s="10">
        <v>60</v>
      </c>
      <c r="I12" s="10" t="s">
        <v>37</v>
      </c>
      <c r="J12" s="10"/>
      <c r="K12" s="10">
        <v>403.4</v>
      </c>
      <c r="L12" s="10">
        <f t="shared" si="2"/>
        <v>10.674000000000035</v>
      </c>
      <c r="M12" s="10"/>
      <c r="N12" s="10"/>
      <c r="O12" s="10">
        <v>112</v>
      </c>
      <c r="P12" s="10">
        <v>140</v>
      </c>
      <c r="Q12" s="10">
        <f t="shared" si="3"/>
        <v>82.814800000000005</v>
      </c>
      <c r="R12" s="4">
        <f t="shared" ref="R11:R17" si="8">14*Q12-P12-O12-F12</f>
        <v>680.04020000000014</v>
      </c>
      <c r="S12" s="4"/>
      <c r="T12" s="10"/>
      <c r="U12" s="10">
        <f t="shared" si="4"/>
        <v>14</v>
      </c>
      <c r="V12" s="10">
        <f t="shared" si="5"/>
        <v>5.7884218762829827</v>
      </c>
      <c r="W12" s="10">
        <v>64.475400000000008</v>
      </c>
      <c r="X12" s="10">
        <v>69.884600000000006</v>
      </c>
      <c r="Y12" s="10">
        <v>60.200599999999987</v>
      </c>
      <c r="Z12" s="10">
        <v>53.482399999999998</v>
      </c>
      <c r="AA12" s="10">
        <v>61.416400000000003</v>
      </c>
      <c r="AB12" s="10">
        <v>62.2744</v>
      </c>
      <c r="AC12" s="10">
        <v>61.169800000000002</v>
      </c>
      <c r="AD12" s="10">
        <v>47.381</v>
      </c>
      <c r="AE12" s="10"/>
      <c r="AF12" s="10">
        <f t="shared" si="7"/>
        <v>680.04020000000014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49" x14ac:dyDescent="0.25">
      <c r="A13" s="10" t="s">
        <v>47</v>
      </c>
      <c r="B13" s="10" t="s">
        <v>36</v>
      </c>
      <c r="C13" s="10">
        <v>21</v>
      </c>
      <c r="D13" s="10">
        <v>24</v>
      </c>
      <c r="E13" s="10">
        <v>41</v>
      </c>
      <c r="F13" s="10">
        <v>4</v>
      </c>
      <c r="G13" s="7">
        <v>0.25</v>
      </c>
      <c r="H13" s="10">
        <v>120</v>
      </c>
      <c r="I13" s="10" t="s">
        <v>37</v>
      </c>
      <c r="J13" s="10"/>
      <c r="K13" s="10">
        <v>41</v>
      </c>
      <c r="L13" s="10">
        <f t="shared" si="2"/>
        <v>0</v>
      </c>
      <c r="M13" s="10"/>
      <c r="N13" s="10"/>
      <c r="O13" s="10">
        <v>85</v>
      </c>
      <c r="P13" s="10">
        <v>40</v>
      </c>
      <c r="Q13" s="10">
        <f t="shared" si="3"/>
        <v>8.1999999999999993</v>
      </c>
      <c r="R13" s="4"/>
      <c r="S13" s="4"/>
      <c r="T13" s="10"/>
      <c r="U13" s="10">
        <f t="shared" si="4"/>
        <v>15.731707317073171</v>
      </c>
      <c r="V13" s="10">
        <f t="shared" si="5"/>
        <v>15.731707317073171</v>
      </c>
      <c r="W13" s="10">
        <v>14.6</v>
      </c>
      <c r="X13" s="10">
        <v>8.4</v>
      </c>
      <c r="Y13" s="10">
        <v>10.6</v>
      </c>
      <c r="Z13" s="10">
        <v>13.4</v>
      </c>
      <c r="AA13" s="10">
        <v>8.6</v>
      </c>
      <c r="AB13" s="10">
        <v>0</v>
      </c>
      <c r="AC13" s="10">
        <v>13.4</v>
      </c>
      <c r="AD13" s="10">
        <v>9.1999999999999993</v>
      </c>
      <c r="AE13" s="10"/>
      <c r="AF13" s="10">
        <f t="shared" si="7"/>
        <v>0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x14ac:dyDescent="0.25">
      <c r="A14" s="10" t="s">
        <v>48</v>
      </c>
      <c r="B14" s="10" t="s">
        <v>39</v>
      </c>
      <c r="C14" s="10">
        <v>22.393999999999998</v>
      </c>
      <c r="D14" s="10">
        <v>236.76499999999999</v>
      </c>
      <c r="E14" s="10">
        <v>137.672</v>
      </c>
      <c r="F14" s="10">
        <v>117.01900000000001</v>
      </c>
      <c r="G14" s="7">
        <v>1</v>
      </c>
      <c r="H14" s="10">
        <v>60</v>
      </c>
      <c r="I14" s="10" t="s">
        <v>37</v>
      </c>
      <c r="J14" s="10"/>
      <c r="K14" s="10">
        <v>134.25</v>
      </c>
      <c r="L14" s="10">
        <f t="shared" si="2"/>
        <v>3.421999999999997</v>
      </c>
      <c r="M14" s="10"/>
      <c r="N14" s="10"/>
      <c r="O14" s="10">
        <v>0</v>
      </c>
      <c r="P14" s="10"/>
      <c r="Q14" s="10">
        <f t="shared" si="3"/>
        <v>27.534399999999998</v>
      </c>
      <c r="R14" s="4">
        <f>13*Q14-P14-O14-F14</f>
        <v>240.92819999999995</v>
      </c>
      <c r="S14" s="4"/>
      <c r="T14" s="10"/>
      <c r="U14" s="10">
        <f t="shared" si="4"/>
        <v>13</v>
      </c>
      <c r="V14" s="10">
        <f t="shared" si="5"/>
        <v>4.249920099947702</v>
      </c>
      <c r="W14" s="10">
        <v>14.258800000000001</v>
      </c>
      <c r="X14" s="10">
        <v>27.0992</v>
      </c>
      <c r="Y14" s="10">
        <v>13.2728</v>
      </c>
      <c r="Z14" s="10">
        <v>16.231400000000001</v>
      </c>
      <c r="AA14" s="10">
        <v>31.6846</v>
      </c>
      <c r="AB14" s="10">
        <v>17.807200000000002</v>
      </c>
      <c r="AC14" s="10">
        <v>21.723199999999999</v>
      </c>
      <c r="AD14" s="10">
        <v>6.5191999999999997</v>
      </c>
      <c r="AE14" s="10"/>
      <c r="AF14" s="10">
        <f t="shared" si="7"/>
        <v>240.92819999999995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spans="1:49" x14ac:dyDescent="0.25">
      <c r="A15" s="10" t="s">
        <v>49</v>
      </c>
      <c r="B15" s="10" t="s">
        <v>36</v>
      </c>
      <c r="C15" s="10">
        <v>75</v>
      </c>
      <c r="D15" s="10"/>
      <c r="E15" s="10">
        <v>75</v>
      </c>
      <c r="F15" s="10"/>
      <c r="G15" s="7">
        <v>0.25</v>
      </c>
      <c r="H15" s="10">
        <v>120</v>
      </c>
      <c r="I15" s="10" t="s">
        <v>37</v>
      </c>
      <c r="J15" s="10"/>
      <c r="K15" s="10">
        <v>98</v>
      </c>
      <c r="L15" s="10">
        <f t="shared" si="2"/>
        <v>-23</v>
      </c>
      <c r="M15" s="10"/>
      <c r="N15" s="10"/>
      <c r="O15" s="10">
        <v>98</v>
      </c>
      <c r="P15" s="10"/>
      <c r="Q15" s="10">
        <f t="shared" si="3"/>
        <v>15</v>
      </c>
      <c r="R15" s="4">
        <f t="shared" si="8"/>
        <v>112</v>
      </c>
      <c r="S15" s="4"/>
      <c r="T15" s="10"/>
      <c r="U15" s="10">
        <f t="shared" si="4"/>
        <v>14</v>
      </c>
      <c r="V15" s="10">
        <f t="shared" si="5"/>
        <v>6.5333333333333332</v>
      </c>
      <c r="W15" s="10">
        <v>12.2</v>
      </c>
      <c r="X15" s="10">
        <v>6</v>
      </c>
      <c r="Y15" s="10">
        <v>13.4</v>
      </c>
      <c r="Z15" s="10">
        <v>8.8000000000000007</v>
      </c>
      <c r="AA15" s="10">
        <v>3.8</v>
      </c>
      <c r="AB15" s="10">
        <v>11.8</v>
      </c>
      <c r="AC15" s="10">
        <v>3.4</v>
      </c>
      <c r="AD15" s="10">
        <v>8</v>
      </c>
      <c r="AE15" s="10"/>
      <c r="AF15" s="10">
        <f t="shared" si="7"/>
        <v>28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spans="1:49" x14ac:dyDescent="0.25">
      <c r="A16" s="10" t="s">
        <v>50</v>
      </c>
      <c r="B16" s="10" t="s">
        <v>36</v>
      </c>
      <c r="C16" s="10">
        <v>25</v>
      </c>
      <c r="D16" s="10">
        <v>2</v>
      </c>
      <c r="E16" s="10">
        <v>25</v>
      </c>
      <c r="F16" s="10"/>
      <c r="G16" s="7">
        <v>0.4</v>
      </c>
      <c r="H16" s="10">
        <v>60</v>
      </c>
      <c r="I16" s="10" t="s">
        <v>37</v>
      </c>
      <c r="J16" s="10"/>
      <c r="K16" s="10">
        <v>47</v>
      </c>
      <c r="L16" s="10">
        <f t="shared" si="2"/>
        <v>-22</v>
      </c>
      <c r="M16" s="10"/>
      <c r="N16" s="10"/>
      <c r="O16" s="10">
        <v>88</v>
      </c>
      <c r="P16" s="10">
        <v>109</v>
      </c>
      <c r="Q16" s="10">
        <f t="shared" si="3"/>
        <v>5</v>
      </c>
      <c r="R16" s="4"/>
      <c r="S16" s="4"/>
      <c r="T16" s="10"/>
      <c r="U16" s="10">
        <f t="shared" si="4"/>
        <v>39.4</v>
      </c>
      <c r="V16" s="10">
        <f t="shared" si="5"/>
        <v>39.4</v>
      </c>
      <c r="W16" s="10">
        <v>23.6</v>
      </c>
      <c r="X16" s="10">
        <v>9</v>
      </c>
      <c r="Y16" s="10">
        <v>13.6</v>
      </c>
      <c r="Z16" s="10">
        <v>11</v>
      </c>
      <c r="AA16" s="10">
        <v>8.6</v>
      </c>
      <c r="AB16" s="10">
        <v>15.4</v>
      </c>
      <c r="AC16" s="10">
        <v>7.4</v>
      </c>
      <c r="AD16" s="10">
        <v>12.4</v>
      </c>
      <c r="AE16" s="10"/>
      <c r="AF16" s="10">
        <f t="shared" si="7"/>
        <v>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x14ac:dyDescent="0.25">
      <c r="A17" s="10" t="s">
        <v>51</v>
      </c>
      <c r="B17" s="10" t="s">
        <v>39</v>
      </c>
      <c r="C17" s="10">
        <v>79.834000000000003</v>
      </c>
      <c r="D17" s="10">
        <v>406.00400000000002</v>
      </c>
      <c r="E17" s="10">
        <v>176.786</v>
      </c>
      <c r="F17" s="10">
        <v>270.71300000000002</v>
      </c>
      <c r="G17" s="7">
        <v>1</v>
      </c>
      <c r="H17" s="10">
        <v>45</v>
      </c>
      <c r="I17" s="10" t="s">
        <v>37</v>
      </c>
      <c r="J17" s="10"/>
      <c r="K17" s="10">
        <v>163.5</v>
      </c>
      <c r="L17" s="10">
        <f t="shared" si="2"/>
        <v>13.286000000000001</v>
      </c>
      <c r="M17" s="10"/>
      <c r="N17" s="10"/>
      <c r="O17" s="10">
        <v>0</v>
      </c>
      <c r="P17" s="10"/>
      <c r="Q17" s="10">
        <f t="shared" si="3"/>
        <v>35.357199999999999</v>
      </c>
      <c r="R17" s="4">
        <f t="shared" si="8"/>
        <v>224.28779999999995</v>
      </c>
      <c r="S17" s="4"/>
      <c r="T17" s="10"/>
      <c r="U17" s="10">
        <f t="shared" si="4"/>
        <v>14</v>
      </c>
      <c r="V17" s="10">
        <f t="shared" si="5"/>
        <v>7.656516918760536</v>
      </c>
      <c r="W17" s="10">
        <v>32.910400000000003</v>
      </c>
      <c r="X17" s="10">
        <v>44.441800000000001</v>
      </c>
      <c r="Y17" s="10">
        <v>31.293800000000001</v>
      </c>
      <c r="Z17" s="10">
        <v>33.410600000000002</v>
      </c>
      <c r="AA17" s="10">
        <v>34.281399999999998</v>
      </c>
      <c r="AB17" s="10">
        <v>38.194000000000003</v>
      </c>
      <c r="AC17" s="10">
        <v>47.822600000000001</v>
      </c>
      <c r="AD17" s="10">
        <v>30.984000000000002</v>
      </c>
      <c r="AE17" s="10"/>
      <c r="AF17" s="10">
        <f t="shared" si="7"/>
        <v>224.28779999999995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x14ac:dyDescent="0.25">
      <c r="A18" s="11" t="s">
        <v>52</v>
      </c>
      <c r="B18" s="11" t="s">
        <v>36</v>
      </c>
      <c r="C18" s="11">
        <v>1</v>
      </c>
      <c r="D18" s="11">
        <v>41</v>
      </c>
      <c r="E18" s="11"/>
      <c r="F18" s="11"/>
      <c r="G18" s="12">
        <v>0</v>
      </c>
      <c r="H18" s="11">
        <v>60</v>
      </c>
      <c r="I18" s="13" t="s">
        <v>53</v>
      </c>
      <c r="J18" s="11"/>
      <c r="K18" s="11">
        <v>9</v>
      </c>
      <c r="L18" s="11">
        <f t="shared" si="2"/>
        <v>-9</v>
      </c>
      <c r="M18" s="11"/>
      <c r="N18" s="11"/>
      <c r="O18" s="11">
        <v>0</v>
      </c>
      <c r="P18" s="11"/>
      <c r="Q18" s="11">
        <f t="shared" si="3"/>
        <v>0</v>
      </c>
      <c r="R18" s="14"/>
      <c r="S18" s="14"/>
      <c r="T18" s="11"/>
      <c r="U18" s="11" t="e">
        <f t="shared" si="4"/>
        <v>#DIV/0!</v>
      </c>
      <c r="V18" s="11" t="e">
        <f t="shared" si="5"/>
        <v>#DIV/0!</v>
      </c>
      <c r="W18" s="11">
        <v>0</v>
      </c>
      <c r="X18" s="11">
        <v>16</v>
      </c>
      <c r="Y18" s="11">
        <v>17</v>
      </c>
      <c r="Z18" s="11">
        <v>14.6</v>
      </c>
      <c r="AA18" s="11">
        <v>11.4</v>
      </c>
      <c r="AB18" s="11">
        <v>4.5999999999999996</v>
      </c>
      <c r="AC18" s="11">
        <v>17.600000000000001</v>
      </c>
      <c r="AD18" s="11">
        <v>14.8</v>
      </c>
      <c r="AE18" s="11" t="s">
        <v>54</v>
      </c>
      <c r="AF18" s="11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x14ac:dyDescent="0.25">
      <c r="A19" s="15" t="s">
        <v>55</v>
      </c>
      <c r="B19" s="15" t="s">
        <v>39</v>
      </c>
      <c r="C19" s="15"/>
      <c r="D19" s="15"/>
      <c r="E19" s="15"/>
      <c r="F19" s="15"/>
      <c r="G19" s="16">
        <v>0</v>
      </c>
      <c r="H19" s="15">
        <v>120</v>
      </c>
      <c r="I19" s="15" t="s">
        <v>37</v>
      </c>
      <c r="J19" s="15"/>
      <c r="K19" s="15"/>
      <c r="L19" s="15">
        <f t="shared" si="2"/>
        <v>0</v>
      </c>
      <c r="M19" s="15"/>
      <c r="N19" s="15"/>
      <c r="O19" s="15">
        <v>0</v>
      </c>
      <c r="P19" s="15"/>
      <c r="Q19" s="15">
        <f t="shared" si="3"/>
        <v>0</v>
      </c>
      <c r="R19" s="17"/>
      <c r="S19" s="17"/>
      <c r="T19" s="15"/>
      <c r="U19" s="15" t="e">
        <f t="shared" si="4"/>
        <v>#DIV/0!</v>
      </c>
      <c r="V19" s="15" t="e">
        <f t="shared" si="5"/>
        <v>#DIV/0!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 t="s">
        <v>44</v>
      </c>
      <c r="AF19" s="15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spans="1:49" x14ac:dyDescent="0.25">
      <c r="A20" s="10" t="s">
        <v>56</v>
      </c>
      <c r="B20" s="10" t="s">
        <v>36</v>
      </c>
      <c r="C20" s="10">
        <v>26</v>
      </c>
      <c r="D20" s="10">
        <v>18</v>
      </c>
      <c r="E20" s="10">
        <v>43</v>
      </c>
      <c r="F20" s="10"/>
      <c r="G20" s="7">
        <v>0.4</v>
      </c>
      <c r="H20" s="10">
        <v>45</v>
      </c>
      <c r="I20" s="10" t="s">
        <v>37</v>
      </c>
      <c r="J20" s="10"/>
      <c r="K20" s="10">
        <v>45</v>
      </c>
      <c r="L20" s="10">
        <f t="shared" si="2"/>
        <v>-2</v>
      </c>
      <c r="M20" s="10"/>
      <c r="N20" s="10"/>
      <c r="O20" s="10">
        <v>87</v>
      </c>
      <c r="P20" s="10"/>
      <c r="Q20" s="10">
        <f t="shared" si="3"/>
        <v>8.6</v>
      </c>
      <c r="R20" s="4">
        <f t="shared" ref="R20:R22" si="9">14*Q20-P20-O20-F20</f>
        <v>33.399999999999991</v>
      </c>
      <c r="S20" s="4"/>
      <c r="T20" s="10"/>
      <c r="U20" s="10">
        <f t="shared" si="4"/>
        <v>14</v>
      </c>
      <c r="V20" s="10">
        <f t="shared" si="5"/>
        <v>10.116279069767442</v>
      </c>
      <c r="W20" s="10">
        <v>9.1999999999999993</v>
      </c>
      <c r="X20" s="10">
        <v>5.4</v>
      </c>
      <c r="Y20" s="10">
        <v>8</v>
      </c>
      <c r="Z20" s="10">
        <v>5</v>
      </c>
      <c r="AA20" s="10">
        <v>9.1999999999999993</v>
      </c>
      <c r="AB20" s="10">
        <v>-0.2</v>
      </c>
      <c r="AC20" s="10">
        <v>8</v>
      </c>
      <c r="AD20" s="10">
        <v>1.2</v>
      </c>
      <c r="AE20" s="10"/>
      <c r="AF20" s="10">
        <f>G20*R20</f>
        <v>13.359999999999998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x14ac:dyDescent="0.25">
      <c r="A21" s="10" t="s">
        <v>57</v>
      </c>
      <c r="B21" s="10" t="s">
        <v>39</v>
      </c>
      <c r="C21" s="10">
        <v>147.40899999999999</v>
      </c>
      <c r="D21" s="10">
        <v>412.61700000000002</v>
      </c>
      <c r="E21" s="10">
        <v>277.64</v>
      </c>
      <c r="F21" s="10">
        <v>259.14100000000002</v>
      </c>
      <c r="G21" s="7">
        <v>1</v>
      </c>
      <c r="H21" s="10">
        <v>60</v>
      </c>
      <c r="I21" s="10" t="s">
        <v>37</v>
      </c>
      <c r="J21" s="10"/>
      <c r="K21" s="10">
        <v>271.5</v>
      </c>
      <c r="L21" s="10">
        <f t="shared" si="2"/>
        <v>6.1399999999999864</v>
      </c>
      <c r="M21" s="10"/>
      <c r="N21" s="10"/>
      <c r="O21" s="10">
        <v>0</v>
      </c>
      <c r="P21" s="10"/>
      <c r="Q21" s="10">
        <f t="shared" si="3"/>
        <v>55.527999999999999</v>
      </c>
      <c r="R21" s="4">
        <f t="shared" si="9"/>
        <v>518.25099999999998</v>
      </c>
      <c r="S21" s="4"/>
      <c r="T21" s="10"/>
      <c r="U21" s="10">
        <f t="shared" si="4"/>
        <v>14.000000000000002</v>
      </c>
      <c r="V21" s="10">
        <f t="shared" si="5"/>
        <v>4.6668527589684485</v>
      </c>
      <c r="W21" s="10">
        <v>30.492999999999999</v>
      </c>
      <c r="X21" s="10">
        <v>50.7624</v>
      </c>
      <c r="Y21" s="10">
        <v>38.770800000000001</v>
      </c>
      <c r="Z21" s="10">
        <v>37.908999999999999</v>
      </c>
      <c r="AA21" s="10">
        <v>25.867599999999999</v>
      </c>
      <c r="AB21" s="10">
        <v>38.806600000000003</v>
      </c>
      <c r="AC21" s="10">
        <v>51.186399999999999</v>
      </c>
      <c r="AD21" s="10">
        <v>24.626799999999999</v>
      </c>
      <c r="AE21" s="10"/>
      <c r="AF21" s="10">
        <f>G21*R21</f>
        <v>518.25099999999998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x14ac:dyDescent="0.25">
      <c r="A22" s="10" t="s">
        <v>58</v>
      </c>
      <c r="B22" s="10" t="s">
        <v>36</v>
      </c>
      <c r="C22" s="10"/>
      <c r="D22" s="10">
        <v>128</v>
      </c>
      <c r="E22" s="10">
        <v>128</v>
      </c>
      <c r="F22" s="10"/>
      <c r="G22" s="7">
        <v>0.22</v>
      </c>
      <c r="H22" s="10">
        <v>120</v>
      </c>
      <c r="I22" s="10" t="s">
        <v>37</v>
      </c>
      <c r="J22" s="10"/>
      <c r="K22" s="10">
        <v>125</v>
      </c>
      <c r="L22" s="10">
        <f t="shared" si="2"/>
        <v>3</v>
      </c>
      <c r="M22" s="10"/>
      <c r="N22" s="10"/>
      <c r="O22" s="10">
        <v>0</v>
      </c>
      <c r="P22" s="10"/>
      <c r="Q22" s="10">
        <f t="shared" si="3"/>
        <v>25.6</v>
      </c>
      <c r="R22" s="4">
        <f>8*Q22-P22-O22-F22</f>
        <v>204.8</v>
      </c>
      <c r="S22" s="4"/>
      <c r="T22" s="10"/>
      <c r="U22" s="10">
        <f t="shared" si="4"/>
        <v>8</v>
      </c>
      <c r="V22" s="10">
        <f t="shared" si="5"/>
        <v>0</v>
      </c>
      <c r="W22" s="10">
        <v>3.2</v>
      </c>
      <c r="X22" s="10">
        <v>14.4</v>
      </c>
      <c r="Y22" s="10">
        <v>1.6</v>
      </c>
      <c r="Z22" s="10">
        <v>8.1999999999999993</v>
      </c>
      <c r="AA22" s="10">
        <v>3</v>
      </c>
      <c r="AB22" s="10">
        <v>4.8</v>
      </c>
      <c r="AC22" s="10">
        <v>3.2</v>
      </c>
      <c r="AD22" s="10">
        <v>3.2</v>
      </c>
      <c r="AE22" s="10"/>
      <c r="AF22" s="10">
        <f>G22*R22</f>
        <v>45.056000000000004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x14ac:dyDescent="0.25">
      <c r="A23" s="15" t="s">
        <v>59</v>
      </c>
      <c r="B23" s="15" t="s">
        <v>36</v>
      </c>
      <c r="C23" s="15"/>
      <c r="D23" s="15"/>
      <c r="E23" s="15"/>
      <c r="F23" s="15"/>
      <c r="G23" s="16">
        <v>0</v>
      </c>
      <c r="H23" s="15">
        <v>45</v>
      </c>
      <c r="I23" s="15" t="s">
        <v>37</v>
      </c>
      <c r="J23" s="15"/>
      <c r="K23" s="15"/>
      <c r="L23" s="15">
        <f t="shared" si="2"/>
        <v>0</v>
      </c>
      <c r="M23" s="15"/>
      <c r="N23" s="15"/>
      <c r="O23" s="15">
        <v>0</v>
      </c>
      <c r="P23" s="15"/>
      <c r="Q23" s="15">
        <f t="shared" si="3"/>
        <v>0</v>
      </c>
      <c r="R23" s="17"/>
      <c r="S23" s="17"/>
      <c r="T23" s="15"/>
      <c r="U23" s="15" t="e">
        <f t="shared" si="4"/>
        <v>#DIV/0!</v>
      </c>
      <c r="V23" s="15" t="e">
        <f t="shared" si="5"/>
        <v>#DIV/0!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 t="s">
        <v>44</v>
      </c>
      <c r="AF23" s="15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x14ac:dyDescent="0.25">
      <c r="A24" s="15" t="s">
        <v>60</v>
      </c>
      <c r="B24" s="15" t="s">
        <v>39</v>
      </c>
      <c r="C24" s="15"/>
      <c r="D24" s="15"/>
      <c r="E24" s="15"/>
      <c r="F24" s="15"/>
      <c r="G24" s="16">
        <v>0</v>
      </c>
      <c r="H24" s="15">
        <v>60</v>
      </c>
      <c r="I24" s="15" t="s">
        <v>37</v>
      </c>
      <c r="J24" s="15"/>
      <c r="K24" s="15"/>
      <c r="L24" s="15">
        <f t="shared" si="2"/>
        <v>0</v>
      </c>
      <c r="M24" s="15"/>
      <c r="N24" s="15"/>
      <c r="O24" s="15">
        <v>0</v>
      </c>
      <c r="P24" s="15"/>
      <c r="Q24" s="15">
        <f t="shared" si="3"/>
        <v>0</v>
      </c>
      <c r="R24" s="17"/>
      <c r="S24" s="17"/>
      <c r="T24" s="15"/>
      <c r="U24" s="15" t="e">
        <f t="shared" si="4"/>
        <v>#DIV/0!</v>
      </c>
      <c r="V24" s="15" t="e">
        <f t="shared" si="5"/>
        <v>#DIV/0!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 t="s">
        <v>44</v>
      </c>
      <c r="AF24" s="15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x14ac:dyDescent="0.25">
      <c r="A25" s="10" t="s">
        <v>61</v>
      </c>
      <c r="B25" s="10" t="s">
        <v>36</v>
      </c>
      <c r="C25" s="10">
        <v>12</v>
      </c>
      <c r="D25" s="10">
        <v>194</v>
      </c>
      <c r="E25" s="10">
        <v>108</v>
      </c>
      <c r="F25" s="10">
        <v>70</v>
      </c>
      <c r="G25" s="7">
        <v>0.09</v>
      </c>
      <c r="H25" s="10">
        <v>60</v>
      </c>
      <c r="I25" s="10" t="s">
        <v>37</v>
      </c>
      <c r="J25" s="10"/>
      <c r="K25" s="10">
        <v>114</v>
      </c>
      <c r="L25" s="10">
        <f t="shared" si="2"/>
        <v>-6</v>
      </c>
      <c r="M25" s="10"/>
      <c r="N25" s="10"/>
      <c r="O25" s="10">
        <v>0</v>
      </c>
      <c r="P25" s="10">
        <v>43</v>
      </c>
      <c r="Q25" s="10">
        <f t="shared" si="3"/>
        <v>21.6</v>
      </c>
      <c r="R25" s="4">
        <f t="shared" ref="R25:R26" si="10">14*Q25-P25-O25-F25</f>
        <v>189.40000000000003</v>
      </c>
      <c r="S25" s="4"/>
      <c r="T25" s="10"/>
      <c r="U25" s="10">
        <f t="shared" si="4"/>
        <v>14</v>
      </c>
      <c r="V25" s="10">
        <f t="shared" si="5"/>
        <v>5.231481481481481</v>
      </c>
      <c r="W25" s="10">
        <v>17.600000000000001</v>
      </c>
      <c r="X25" s="10">
        <v>22.6</v>
      </c>
      <c r="Y25" s="10">
        <v>15.4</v>
      </c>
      <c r="Z25" s="10">
        <v>2.8</v>
      </c>
      <c r="AA25" s="10">
        <v>21.2</v>
      </c>
      <c r="AB25" s="10">
        <v>9</v>
      </c>
      <c r="AC25" s="10">
        <v>12.4</v>
      </c>
      <c r="AD25" s="10">
        <v>6.8</v>
      </c>
      <c r="AE25" s="10"/>
      <c r="AF25" s="10">
        <f>G25*R25</f>
        <v>17.046000000000003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x14ac:dyDescent="0.25">
      <c r="A26" s="10" t="s">
        <v>62</v>
      </c>
      <c r="B26" s="10" t="s">
        <v>36</v>
      </c>
      <c r="C26" s="10">
        <v>123</v>
      </c>
      <c r="D26" s="10">
        <v>51</v>
      </c>
      <c r="E26" s="10">
        <v>124</v>
      </c>
      <c r="F26" s="10"/>
      <c r="G26" s="7">
        <v>0.09</v>
      </c>
      <c r="H26" s="10">
        <v>45</v>
      </c>
      <c r="I26" s="10" t="s">
        <v>37</v>
      </c>
      <c r="J26" s="10"/>
      <c r="K26" s="10">
        <v>141</v>
      </c>
      <c r="L26" s="10">
        <f t="shared" si="2"/>
        <v>-17</v>
      </c>
      <c r="M26" s="10"/>
      <c r="N26" s="10"/>
      <c r="O26" s="10">
        <v>105</v>
      </c>
      <c r="P26" s="10">
        <v>132</v>
      </c>
      <c r="Q26" s="10">
        <f t="shared" si="3"/>
        <v>24.8</v>
      </c>
      <c r="R26" s="4">
        <f t="shared" si="10"/>
        <v>110.19999999999999</v>
      </c>
      <c r="S26" s="4"/>
      <c r="T26" s="10"/>
      <c r="U26" s="10">
        <f t="shared" si="4"/>
        <v>14</v>
      </c>
      <c r="V26" s="10">
        <f t="shared" si="5"/>
        <v>9.556451612903226</v>
      </c>
      <c r="W26" s="10">
        <v>26.8</v>
      </c>
      <c r="X26" s="10">
        <v>17</v>
      </c>
      <c r="Y26" s="10">
        <v>25.8</v>
      </c>
      <c r="Z26" s="10">
        <v>23.6</v>
      </c>
      <c r="AA26" s="10">
        <v>18.600000000000001</v>
      </c>
      <c r="AB26" s="10">
        <v>17.600000000000001</v>
      </c>
      <c r="AC26" s="10">
        <v>22.2</v>
      </c>
      <c r="AD26" s="10">
        <v>7.8</v>
      </c>
      <c r="AE26" s="10"/>
      <c r="AF26" s="10">
        <f>G26*R26</f>
        <v>9.9179999999999993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x14ac:dyDescent="0.25">
      <c r="A27" s="15" t="s">
        <v>63</v>
      </c>
      <c r="B27" s="15" t="s">
        <v>36</v>
      </c>
      <c r="C27" s="15"/>
      <c r="D27" s="15"/>
      <c r="E27" s="15"/>
      <c r="F27" s="15"/>
      <c r="G27" s="16">
        <v>0</v>
      </c>
      <c r="H27" s="15">
        <v>60</v>
      </c>
      <c r="I27" s="15" t="s">
        <v>37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/>
      <c r="Q27" s="15">
        <f t="shared" si="3"/>
        <v>0</v>
      </c>
      <c r="R27" s="17"/>
      <c r="S27" s="17"/>
      <c r="T27" s="15"/>
      <c r="U27" s="15" t="e">
        <f t="shared" si="4"/>
        <v>#DIV/0!</v>
      </c>
      <c r="V27" s="15" t="e">
        <f t="shared" si="5"/>
        <v>#DIV/0!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 t="s">
        <v>44</v>
      </c>
      <c r="AF27" s="15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x14ac:dyDescent="0.25">
      <c r="A28" s="10" t="s">
        <v>64</v>
      </c>
      <c r="B28" s="10" t="s">
        <v>36</v>
      </c>
      <c r="C28" s="10">
        <v>146</v>
      </c>
      <c r="D28" s="10">
        <v>1</v>
      </c>
      <c r="E28" s="10">
        <v>101</v>
      </c>
      <c r="F28" s="10">
        <v>25</v>
      </c>
      <c r="G28" s="7">
        <v>0.15</v>
      </c>
      <c r="H28" s="10">
        <v>45</v>
      </c>
      <c r="I28" s="10" t="s">
        <v>37</v>
      </c>
      <c r="J28" s="10"/>
      <c r="K28" s="10">
        <v>102</v>
      </c>
      <c r="L28" s="10">
        <f t="shared" si="2"/>
        <v>-1</v>
      </c>
      <c r="M28" s="10"/>
      <c r="N28" s="10"/>
      <c r="O28" s="10">
        <v>63</v>
      </c>
      <c r="P28" s="10">
        <v>79</v>
      </c>
      <c r="Q28" s="10">
        <f t="shared" si="3"/>
        <v>20.2</v>
      </c>
      <c r="R28" s="4">
        <f t="shared" ref="R28:R56" si="11">14*Q28-P28-O28-F28</f>
        <v>115.80000000000001</v>
      </c>
      <c r="S28" s="4"/>
      <c r="T28" s="10"/>
      <c r="U28" s="10">
        <f t="shared" si="4"/>
        <v>14.000000000000002</v>
      </c>
      <c r="V28" s="10">
        <f t="shared" si="5"/>
        <v>8.2673267326732685</v>
      </c>
      <c r="W28" s="10">
        <v>20.399999999999999</v>
      </c>
      <c r="X28" s="10">
        <v>9.1999999999999993</v>
      </c>
      <c r="Y28" s="10">
        <v>21.6</v>
      </c>
      <c r="Z28" s="10">
        <v>17</v>
      </c>
      <c r="AA28" s="10">
        <v>6.2</v>
      </c>
      <c r="AB28" s="10">
        <v>22.6</v>
      </c>
      <c r="AC28" s="10">
        <v>0</v>
      </c>
      <c r="AD28" s="10">
        <v>14.4</v>
      </c>
      <c r="AE28" s="10"/>
      <c r="AF28" s="10">
        <f t="shared" ref="AF28:AF56" si="12">G28*R28</f>
        <v>17.37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x14ac:dyDescent="0.25">
      <c r="A29" s="10" t="s">
        <v>65</v>
      </c>
      <c r="B29" s="10" t="s">
        <v>39</v>
      </c>
      <c r="C29" s="10">
        <v>48.360999999999997</v>
      </c>
      <c r="D29" s="10">
        <v>341.62900000000002</v>
      </c>
      <c r="E29" s="10">
        <v>254.69900000000001</v>
      </c>
      <c r="F29" s="10">
        <v>109.682</v>
      </c>
      <c r="G29" s="7">
        <v>1</v>
      </c>
      <c r="H29" s="10">
        <v>45</v>
      </c>
      <c r="I29" s="10" t="s">
        <v>37</v>
      </c>
      <c r="J29" s="10"/>
      <c r="K29" s="10">
        <v>243.3</v>
      </c>
      <c r="L29" s="10">
        <f t="shared" si="2"/>
        <v>11.399000000000001</v>
      </c>
      <c r="M29" s="10"/>
      <c r="N29" s="10"/>
      <c r="O29" s="10">
        <v>0</v>
      </c>
      <c r="P29" s="10">
        <v>98</v>
      </c>
      <c r="Q29" s="10">
        <f t="shared" si="3"/>
        <v>50.939800000000005</v>
      </c>
      <c r="R29" s="4">
        <f>13*Q29-P29-O29-F29</f>
        <v>454.5354000000001</v>
      </c>
      <c r="S29" s="4"/>
      <c r="T29" s="10"/>
      <c r="U29" s="10">
        <f t="shared" si="4"/>
        <v>13</v>
      </c>
      <c r="V29" s="10">
        <f t="shared" si="5"/>
        <v>4.0770085473441195</v>
      </c>
      <c r="W29" s="10">
        <v>32.405799999999999</v>
      </c>
      <c r="X29" s="10">
        <v>37.2164</v>
      </c>
      <c r="Y29" s="10">
        <v>27.445399999999999</v>
      </c>
      <c r="Z29" s="10">
        <v>33.9114</v>
      </c>
      <c r="AA29" s="10">
        <v>34.386000000000003</v>
      </c>
      <c r="AB29" s="10">
        <v>36.118600000000001</v>
      </c>
      <c r="AC29" s="10">
        <v>44.638399999999997</v>
      </c>
      <c r="AD29" s="10">
        <v>26.5974</v>
      </c>
      <c r="AE29" s="10"/>
      <c r="AF29" s="10">
        <f t="shared" si="12"/>
        <v>454.5354000000001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x14ac:dyDescent="0.25">
      <c r="A30" s="10" t="s">
        <v>66</v>
      </c>
      <c r="B30" s="10" t="s">
        <v>36</v>
      </c>
      <c r="C30" s="10">
        <v>31</v>
      </c>
      <c r="D30" s="10">
        <v>40</v>
      </c>
      <c r="E30" s="10">
        <v>63</v>
      </c>
      <c r="F30" s="10">
        <v>-2</v>
      </c>
      <c r="G30" s="7">
        <v>0.4</v>
      </c>
      <c r="H30" s="10">
        <v>60</v>
      </c>
      <c r="I30" s="10" t="s">
        <v>37</v>
      </c>
      <c r="J30" s="10"/>
      <c r="K30" s="10">
        <v>63</v>
      </c>
      <c r="L30" s="10">
        <f t="shared" si="2"/>
        <v>0</v>
      </c>
      <c r="M30" s="10"/>
      <c r="N30" s="10"/>
      <c r="O30" s="10">
        <v>66</v>
      </c>
      <c r="P30" s="10"/>
      <c r="Q30" s="10">
        <f t="shared" si="3"/>
        <v>12.6</v>
      </c>
      <c r="R30" s="4">
        <f t="shared" si="11"/>
        <v>112.4</v>
      </c>
      <c r="S30" s="4"/>
      <c r="T30" s="10"/>
      <c r="U30" s="10">
        <f t="shared" si="4"/>
        <v>14</v>
      </c>
      <c r="V30" s="10">
        <f t="shared" si="5"/>
        <v>5.0793650793650791</v>
      </c>
      <c r="W30" s="10">
        <v>9.6</v>
      </c>
      <c r="X30" s="10">
        <v>8.1999999999999993</v>
      </c>
      <c r="Y30" s="10">
        <v>8.6</v>
      </c>
      <c r="Z30" s="10">
        <v>9.8000000000000007</v>
      </c>
      <c r="AA30" s="10">
        <v>3.6</v>
      </c>
      <c r="AB30" s="10">
        <v>8.8000000000000007</v>
      </c>
      <c r="AC30" s="10">
        <v>14</v>
      </c>
      <c r="AD30" s="10">
        <v>9</v>
      </c>
      <c r="AE30" s="10"/>
      <c r="AF30" s="10">
        <f t="shared" si="12"/>
        <v>44.960000000000008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x14ac:dyDescent="0.25">
      <c r="A31" s="10" t="s">
        <v>67</v>
      </c>
      <c r="B31" s="10" t="s">
        <v>36</v>
      </c>
      <c r="C31" s="10">
        <v>49</v>
      </c>
      <c r="D31" s="10">
        <v>8</v>
      </c>
      <c r="E31" s="10">
        <v>57</v>
      </c>
      <c r="F31" s="10"/>
      <c r="G31" s="7">
        <v>0.4</v>
      </c>
      <c r="H31" s="10">
        <v>60</v>
      </c>
      <c r="I31" s="10" t="s">
        <v>37</v>
      </c>
      <c r="J31" s="10"/>
      <c r="K31" s="10">
        <v>60</v>
      </c>
      <c r="L31" s="10">
        <f t="shared" si="2"/>
        <v>-3</v>
      </c>
      <c r="M31" s="10"/>
      <c r="N31" s="10"/>
      <c r="O31" s="10">
        <v>143</v>
      </c>
      <c r="P31" s="10"/>
      <c r="Q31" s="10">
        <f t="shared" si="3"/>
        <v>11.4</v>
      </c>
      <c r="R31" s="4">
        <f t="shared" si="11"/>
        <v>16.599999999999994</v>
      </c>
      <c r="S31" s="4"/>
      <c r="T31" s="10"/>
      <c r="U31" s="10">
        <f t="shared" si="4"/>
        <v>13.999999999999998</v>
      </c>
      <c r="V31" s="10">
        <f t="shared" si="5"/>
        <v>12.543859649122806</v>
      </c>
      <c r="W31" s="10">
        <v>15.2</v>
      </c>
      <c r="X31" s="10">
        <v>9.6</v>
      </c>
      <c r="Y31" s="10">
        <v>12</v>
      </c>
      <c r="Z31" s="10">
        <v>7.8</v>
      </c>
      <c r="AA31" s="10">
        <v>0</v>
      </c>
      <c r="AB31" s="10">
        <v>14.2</v>
      </c>
      <c r="AC31" s="10">
        <v>4.8</v>
      </c>
      <c r="AD31" s="10">
        <v>6.8</v>
      </c>
      <c r="AE31" s="10"/>
      <c r="AF31" s="10">
        <f t="shared" si="12"/>
        <v>6.6399999999999979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x14ac:dyDescent="0.25">
      <c r="A32" s="10" t="s">
        <v>68</v>
      </c>
      <c r="B32" s="10" t="s">
        <v>36</v>
      </c>
      <c r="C32" s="10">
        <v>156</v>
      </c>
      <c r="D32" s="10">
        <v>96</v>
      </c>
      <c r="E32" s="10">
        <v>234</v>
      </c>
      <c r="F32" s="10">
        <v>-7</v>
      </c>
      <c r="G32" s="7">
        <v>0.4</v>
      </c>
      <c r="H32" s="10">
        <v>60</v>
      </c>
      <c r="I32" s="10" t="s">
        <v>37</v>
      </c>
      <c r="J32" s="10"/>
      <c r="K32" s="10">
        <v>235</v>
      </c>
      <c r="L32" s="10">
        <f t="shared" si="2"/>
        <v>-1</v>
      </c>
      <c r="M32" s="10"/>
      <c r="N32" s="10"/>
      <c r="O32" s="10">
        <v>120</v>
      </c>
      <c r="P32" s="10">
        <v>150</v>
      </c>
      <c r="Q32" s="10">
        <f t="shared" si="3"/>
        <v>46.8</v>
      </c>
      <c r="R32" s="4">
        <f t="shared" si="11"/>
        <v>392.19999999999993</v>
      </c>
      <c r="S32" s="4"/>
      <c r="T32" s="10"/>
      <c r="U32" s="10">
        <f t="shared" si="4"/>
        <v>14</v>
      </c>
      <c r="V32" s="10">
        <f t="shared" si="5"/>
        <v>5.6196581196581201</v>
      </c>
      <c r="W32" s="10">
        <v>37</v>
      </c>
      <c r="X32" s="10">
        <v>31.4</v>
      </c>
      <c r="Y32" s="10">
        <v>35.799999999999997</v>
      </c>
      <c r="Z32" s="10">
        <v>40.200000000000003</v>
      </c>
      <c r="AA32" s="10">
        <v>40.6</v>
      </c>
      <c r="AB32" s="10">
        <v>30.4</v>
      </c>
      <c r="AC32" s="10">
        <v>44.2</v>
      </c>
      <c r="AD32" s="10">
        <v>40.799999999999997</v>
      </c>
      <c r="AE32" s="10"/>
      <c r="AF32" s="10">
        <f t="shared" si="12"/>
        <v>156.88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x14ac:dyDescent="0.25">
      <c r="A33" s="10" t="s">
        <v>69</v>
      </c>
      <c r="B33" s="10" t="s">
        <v>36</v>
      </c>
      <c r="C33" s="10">
        <v>3</v>
      </c>
      <c r="D33" s="10"/>
      <c r="E33" s="10"/>
      <c r="F33" s="10">
        <v>1</v>
      </c>
      <c r="G33" s="7">
        <v>0.4</v>
      </c>
      <c r="H33" s="10">
        <v>60</v>
      </c>
      <c r="I33" s="10" t="s">
        <v>37</v>
      </c>
      <c r="J33" s="10"/>
      <c r="K33" s="10">
        <v>21</v>
      </c>
      <c r="L33" s="10">
        <f t="shared" si="2"/>
        <v>-21</v>
      </c>
      <c r="M33" s="10"/>
      <c r="N33" s="10"/>
      <c r="O33" s="10">
        <v>154</v>
      </c>
      <c r="P33" s="10"/>
      <c r="Q33" s="10">
        <f t="shared" si="3"/>
        <v>0</v>
      </c>
      <c r="R33" s="4"/>
      <c r="S33" s="4"/>
      <c r="T33" s="10"/>
      <c r="U33" s="10" t="e">
        <f t="shared" si="4"/>
        <v>#DIV/0!</v>
      </c>
      <c r="V33" s="10" t="e">
        <f t="shared" si="5"/>
        <v>#DIV/0!</v>
      </c>
      <c r="W33" s="10">
        <v>18.399999999999999</v>
      </c>
      <c r="X33" s="10">
        <v>14.4</v>
      </c>
      <c r="Y33" s="10">
        <v>11.8</v>
      </c>
      <c r="Z33" s="10">
        <v>6.8</v>
      </c>
      <c r="AA33" s="10">
        <v>16.2</v>
      </c>
      <c r="AB33" s="10">
        <v>9.1999999999999993</v>
      </c>
      <c r="AC33" s="10">
        <v>14.4</v>
      </c>
      <c r="AD33" s="10">
        <v>3.4</v>
      </c>
      <c r="AE33" s="10"/>
      <c r="AF33" s="10">
        <f t="shared" si="12"/>
        <v>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x14ac:dyDescent="0.25">
      <c r="A34" s="10" t="s">
        <v>70</v>
      </c>
      <c r="B34" s="10" t="s">
        <v>36</v>
      </c>
      <c r="C34" s="10">
        <v>110</v>
      </c>
      <c r="D34" s="10">
        <v>70</v>
      </c>
      <c r="E34" s="10">
        <v>170</v>
      </c>
      <c r="F34" s="10">
        <v>-4</v>
      </c>
      <c r="G34" s="7">
        <v>0.4</v>
      </c>
      <c r="H34" s="10">
        <v>60</v>
      </c>
      <c r="I34" s="10" t="s">
        <v>37</v>
      </c>
      <c r="J34" s="10"/>
      <c r="K34" s="10">
        <v>205</v>
      </c>
      <c r="L34" s="10">
        <f t="shared" si="2"/>
        <v>-35</v>
      </c>
      <c r="M34" s="10"/>
      <c r="N34" s="10"/>
      <c r="O34" s="10">
        <v>141</v>
      </c>
      <c r="P34" s="10">
        <v>176</v>
      </c>
      <c r="Q34" s="10">
        <f t="shared" si="3"/>
        <v>34</v>
      </c>
      <c r="R34" s="4">
        <f t="shared" si="11"/>
        <v>163</v>
      </c>
      <c r="S34" s="4"/>
      <c r="T34" s="10"/>
      <c r="U34" s="10">
        <f t="shared" si="4"/>
        <v>14</v>
      </c>
      <c r="V34" s="10">
        <f t="shared" si="5"/>
        <v>9.2058823529411757</v>
      </c>
      <c r="W34" s="10">
        <v>34.200000000000003</v>
      </c>
      <c r="X34" s="10">
        <v>24</v>
      </c>
      <c r="Y34" s="10">
        <v>27.8</v>
      </c>
      <c r="Z34" s="10">
        <v>26.6</v>
      </c>
      <c r="AA34" s="10">
        <v>26.2</v>
      </c>
      <c r="AB34" s="10">
        <v>31.6</v>
      </c>
      <c r="AC34" s="10">
        <v>24.6</v>
      </c>
      <c r="AD34" s="10">
        <v>33.4</v>
      </c>
      <c r="AE34" s="10"/>
      <c r="AF34" s="10">
        <f t="shared" si="12"/>
        <v>65.2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x14ac:dyDescent="0.25">
      <c r="A35" s="10" t="s">
        <v>71</v>
      </c>
      <c r="B35" s="10" t="s">
        <v>36</v>
      </c>
      <c r="C35" s="10">
        <v>144</v>
      </c>
      <c r="D35" s="10">
        <v>1</v>
      </c>
      <c r="E35" s="10">
        <v>37</v>
      </c>
      <c r="F35" s="10">
        <v>94</v>
      </c>
      <c r="G35" s="7">
        <v>0.1</v>
      </c>
      <c r="H35" s="10">
        <v>45</v>
      </c>
      <c r="I35" s="10" t="s">
        <v>37</v>
      </c>
      <c r="J35" s="10"/>
      <c r="K35" s="10">
        <v>39</v>
      </c>
      <c r="L35" s="10">
        <f t="shared" si="2"/>
        <v>-2</v>
      </c>
      <c r="M35" s="10"/>
      <c r="N35" s="10"/>
      <c r="O35" s="10">
        <v>0</v>
      </c>
      <c r="P35" s="10"/>
      <c r="Q35" s="10">
        <f t="shared" si="3"/>
        <v>7.4</v>
      </c>
      <c r="R35" s="4"/>
      <c r="S35" s="4"/>
      <c r="T35" s="10"/>
      <c r="U35" s="10">
        <f t="shared" si="4"/>
        <v>12.702702702702702</v>
      </c>
      <c r="V35" s="10">
        <f t="shared" si="5"/>
        <v>12.702702702702702</v>
      </c>
      <c r="W35" s="10">
        <v>6.6</v>
      </c>
      <c r="X35" s="10">
        <v>5.2</v>
      </c>
      <c r="Y35" s="10">
        <v>3.2</v>
      </c>
      <c r="Z35" s="10">
        <v>18.2</v>
      </c>
      <c r="AA35" s="10">
        <v>7.8</v>
      </c>
      <c r="AB35" s="10">
        <v>13.8</v>
      </c>
      <c r="AC35" s="10">
        <v>8</v>
      </c>
      <c r="AD35" s="10">
        <v>7.4</v>
      </c>
      <c r="AE35" s="19" t="s">
        <v>72</v>
      </c>
      <c r="AF35" s="10">
        <f t="shared" si="12"/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x14ac:dyDescent="0.25">
      <c r="A36" s="10" t="s">
        <v>73</v>
      </c>
      <c r="B36" s="10" t="s">
        <v>36</v>
      </c>
      <c r="C36" s="10">
        <v>162</v>
      </c>
      <c r="D36" s="10">
        <v>53</v>
      </c>
      <c r="E36" s="10">
        <v>172</v>
      </c>
      <c r="F36" s="10"/>
      <c r="G36" s="7">
        <v>0.1</v>
      </c>
      <c r="H36" s="10">
        <v>60</v>
      </c>
      <c r="I36" s="10" t="s">
        <v>37</v>
      </c>
      <c r="J36" s="10"/>
      <c r="K36" s="10">
        <v>208</v>
      </c>
      <c r="L36" s="10">
        <f t="shared" si="2"/>
        <v>-36</v>
      </c>
      <c r="M36" s="10"/>
      <c r="N36" s="10"/>
      <c r="O36" s="10">
        <v>84</v>
      </c>
      <c r="P36" s="10">
        <v>104</v>
      </c>
      <c r="Q36" s="10">
        <f t="shared" si="3"/>
        <v>34.4</v>
      </c>
      <c r="R36" s="4">
        <f t="shared" si="11"/>
        <v>293.59999999999997</v>
      </c>
      <c r="S36" s="4"/>
      <c r="T36" s="10"/>
      <c r="U36" s="10">
        <f t="shared" si="4"/>
        <v>14</v>
      </c>
      <c r="V36" s="10">
        <f t="shared" si="5"/>
        <v>5.4651162790697674</v>
      </c>
      <c r="W36" s="10">
        <v>25.8</v>
      </c>
      <c r="X36" s="10">
        <v>22.6</v>
      </c>
      <c r="Y36" s="10">
        <v>28.2</v>
      </c>
      <c r="Z36" s="10">
        <v>28</v>
      </c>
      <c r="AA36" s="10">
        <v>19</v>
      </c>
      <c r="AB36" s="10">
        <v>34</v>
      </c>
      <c r="AC36" s="10">
        <v>32.4</v>
      </c>
      <c r="AD36" s="10">
        <v>20</v>
      </c>
      <c r="AE36" s="10"/>
      <c r="AF36" s="10">
        <f t="shared" si="12"/>
        <v>29.36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x14ac:dyDescent="0.25">
      <c r="A37" s="10" t="s">
        <v>74</v>
      </c>
      <c r="B37" s="10" t="s">
        <v>36</v>
      </c>
      <c r="C37" s="10">
        <v>141</v>
      </c>
      <c r="D37" s="10">
        <v>273</v>
      </c>
      <c r="E37" s="10">
        <v>343</v>
      </c>
      <c r="F37" s="10">
        <v>34</v>
      </c>
      <c r="G37" s="7">
        <v>0.1</v>
      </c>
      <c r="H37" s="10">
        <v>60</v>
      </c>
      <c r="I37" s="10" t="s">
        <v>37</v>
      </c>
      <c r="J37" s="10"/>
      <c r="K37" s="10">
        <v>349</v>
      </c>
      <c r="L37" s="10">
        <f t="shared" si="2"/>
        <v>-6</v>
      </c>
      <c r="M37" s="10"/>
      <c r="N37" s="10"/>
      <c r="O37" s="10">
        <v>159</v>
      </c>
      <c r="P37" s="10">
        <v>198</v>
      </c>
      <c r="Q37" s="10">
        <f t="shared" si="3"/>
        <v>68.599999999999994</v>
      </c>
      <c r="R37" s="4">
        <f t="shared" si="11"/>
        <v>569.39999999999986</v>
      </c>
      <c r="S37" s="4"/>
      <c r="T37" s="10"/>
      <c r="U37" s="10">
        <f t="shared" si="4"/>
        <v>14</v>
      </c>
      <c r="V37" s="10">
        <f t="shared" si="5"/>
        <v>5.6997084548104961</v>
      </c>
      <c r="W37" s="10">
        <v>54.6</v>
      </c>
      <c r="X37" s="10">
        <v>49.2</v>
      </c>
      <c r="Y37" s="10">
        <v>50.8</v>
      </c>
      <c r="Z37" s="10">
        <v>46.2</v>
      </c>
      <c r="AA37" s="10">
        <v>43</v>
      </c>
      <c r="AB37" s="10">
        <v>45.6</v>
      </c>
      <c r="AC37" s="10">
        <v>40.4</v>
      </c>
      <c r="AD37" s="10">
        <v>32.6</v>
      </c>
      <c r="AE37" s="10"/>
      <c r="AF37" s="10">
        <f t="shared" si="12"/>
        <v>56.939999999999991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25">
      <c r="A38" s="10" t="s">
        <v>75</v>
      </c>
      <c r="B38" s="10" t="s">
        <v>36</v>
      </c>
      <c r="C38" s="10">
        <v>13</v>
      </c>
      <c r="D38" s="10">
        <v>19</v>
      </c>
      <c r="E38" s="10">
        <v>26</v>
      </c>
      <c r="F38" s="10"/>
      <c r="G38" s="7">
        <v>0.1</v>
      </c>
      <c r="H38" s="10">
        <v>45</v>
      </c>
      <c r="I38" s="10" t="s">
        <v>37</v>
      </c>
      <c r="J38" s="10"/>
      <c r="K38" s="10">
        <v>39</v>
      </c>
      <c r="L38" s="10">
        <f t="shared" ref="L38:L69" si="13">E38-K38</f>
        <v>-13</v>
      </c>
      <c r="M38" s="10"/>
      <c r="N38" s="10"/>
      <c r="O38" s="10">
        <v>104</v>
      </c>
      <c r="P38" s="10"/>
      <c r="Q38" s="10">
        <f t="shared" ref="Q38:Q69" si="14">E38/5</f>
        <v>5.2</v>
      </c>
      <c r="R38" s="4"/>
      <c r="S38" s="4"/>
      <c r="T38" s="10"/>
      <c r="U38" s="10">
        <f t="shared" ref="U38:U69" si="15">(F38+O38+P38+R38)/Q38</f>
        <v>20</v>
      </c>
      <c r="V38" s="10">
        <f t="shared" ref="V38:V69" si="16">(F38+O38+P38)/Q38</f>
        <v>20</v>
      </c>
      <c r="W38" s="10">
        <v>11.8</v>
      </c>
      <c r="X38" s="10">
        <v>5.2</v>
      </c>
      <c r="Y38" s="10">
        <v>6.8</v>
      </c>
      <c r="Z38" s="10">
        <v>10.8</v>
      </c>
      <c r="AA38" s="10">
        <v>4.4000000000000004</v>
      </c>
      <c r="AB38" s="10">
        <v>3.8</v>
      </c>
      <c r="AC38" s="10">
        <v>12.4</v>
      </c>
      <c r="AD38" s="10">
        <v>3.8</v>
      </c>
      <c r="AE38" s="10"/>
      <c r="AF38" s="10">
        <f t="shared" si="12"/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x14ac:dyDescent="0.25">
      <c r="A39" s="10" t="s">
        <v>76</v>
      </c>
      <c r="B39" s="10" t="s">
        <v>36</v>
      </c>
      <c r="C39" s="10">
        <v>17</v>
      </c>
      <c r="D39" s="10">
        <v>51</v>
      </c>
      <c r="E39" s="10">
        <v>58</v>
      </c>
      <c r="F39" s="10"/>
      <c r="G39" s="7">
        <v>0.4</v>
      </c>
      <c r="H39" s="10">
        <v>45</v>
      </c>
      <c r="I39" s="10" t="s">
        <v>37</v>
      </c>
      <c r="J39" s="10"/>
      <c r="K39" s="10">
        <v>60</v>
      </c>
      <c r="L39" s="10">
        <f t="shared" si="13"/>
        <v>-2</v>
      </c>
      <c r="M39" s="10"/>
      <c r="N39" s="10"/>
      <c r="O39" s="10">
        <v>140</v>
      </c>
      <c r="P39" s="10">
        <v>175</v>
      </c>
      <c r="Q39" s="10">
        <f t="shared" si="14"/>
        <v>11.6</v>
      </c>
      <c r="R39" s="4"/>
      <c r="S39" s="4"/>
      <c r="T39" s="10"/>
      <c r="U39" s="10">
        <f t="shared" si="15"/>
        <v>27.155172413793103</v>
      </c>
      <c r="V39" s="10">
        <f t="shared" si="16"/>
        <v>27.155172413793103</v>
      </c>
      <c r="W39" s="10">
        <v>37</v>
      </c>
      <c r="X39" s="10">
        <v>16.8</v>
      </c>
      <c r="Y39" s="10">
        <v>20.399999999999999</v>
      </c>
      <c r="Z39" s="10">
        <v>23.6</v>
      </c>
      <c r="AA39" s="10">
        <v>14.8</v>
      </c>
      <c r="AB39" s="10">
        <v>24.2</v>
      </c>
      <c r="AC39" s="10">
        <v>3.6</v>
      </c>
      <c r="AD39" s="10">
        <v>20.399999999999999</v>
      </c>
      <c r="AE39" s="10"/>
      <c r="AF39" s="10">
        <f t="shared" si="12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x14ac:dyDescent="0.25">
      <c r="A40" s="10" t="s">
        <v>77</v>
      </c>
      <c r="B40" s="10" t="s">
        <v>39</v>
      </c>
      <c r="C40" s="10">
        <v>50.91</v>
      </c>
      <c r="D40" s="10">
        <v>32.819000000000003</v>
      </c>
      <c r="E40" s="10">
        <v>80.066999999999993</v>
      </c>
      <c r="F40" s="10"/>
      <c r="G40" s="7">
        <v>1</v>
      </c>
      <c r="H40" s="10">
        <v>60</v>
      </c>
      <c r="I40" s="10" t="s">
        <v>37</v>
      </c>
      <c r="J40" s="10"/>
      <c r="K40" s="10">
        <v>106.2</v>
      </c>
      <c r="L40" s="10">
        <f t="shared" si="13"/>
        <v>-26.13300000000001</v>
      </c>
      <c r="M40" s="10"/>
      <c r="N40" s="10"/>
      <c r="O40" s="10">
        <v>134</v>
      </c>
      <c r="P40" s="10"/>
      <c r="Q40" s="10">
        <f t="shared" si="14"/>
        <v>16.013399999999997</v>
      </c>
      <c r="R40" s="4">
        <f t="shared" si="11"/>
        <v>90.187599999999975</v>
      </c>
      <c r="S40" s="4"/>
      <c r="T40" s="10"/>
      <c r="U40" s="10">
        <f t="shared" si="15"/>
        <v>14</v>
      </c>
      <c r="V40" s="10">
        <f t="shared" si="16"/>
        <v>8.3679918068617543</v>
      </c>
      <c r="W40" s="10">
        <v>15.1502</v>
      </c>
      <c r="X40" s="10">
        <v>11.4244</v>
      </c>
      <c r="Y40" s="10">
        <v>14.6082</v>
      </c>
      <c r="Z40" s="10">
        <v>8.5594000000000001</v>
      </c>
      <c r="AA40" s="10">
        <v>12.314</v>
      </c>
      <c r="AB40" s="10">
        <v>7.8630000000000004</v>
      </c>
      <c r="AC40" s="10">
        <v>3.7801999999999998</v>
      </c>
      <c r="AD40" s="10">
        <v>10.0236</v>
      </c>
      <c r="AE40" s="10"/>
      <c r="AF40" s="10">
        <f t="shared" si="12"/>
        <v>90.187599999999975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25">
      <c r="A41" s="10" t="s">
        <v>78</v>
      </c>
      <c r="B41" s="10" t="s">
        <v>39</v>
      </c>
      <c r="C41" s="10">
        <v>50.368000000000002</v>
      </c>
      <c r="D41" s="10">
        <v>77.587999999999994</v>
      </c>
      <c r="E41" s="10">
        <v>106.92700000000001</v>
      </c>
      <c r="F41" s="10">
        <v>9.36</v>
      </c>
      <c r="G41" s="7">
        <v>1</v>
      </c>
      <c r="H41" s="10">
        <v>45</v>
      </c>
      <c r="I41" s="10" t="s">
        <v>37</v>
      </c>
      <c r="J41" s="10"/>
      <c r="K41" s="10">
        <v>107.5</v>
      </c>
      <c r="L41" s="10">
        <f t="shared" si="13"/>
        <v>-0.57299999999999329</v>
      </c>
      <c r="M41" s="10"/>
      <c r="N41" s="10"/>
      <c r="O41" s="10">
        <v>47</v>
      </c>
      <c r="P41" s="10"/>
      <c r="Q41" s="10">
        <f t="shared" si="14"/>
        <v>21.385400000000001</v>
      </c>
      <c r="R41" s="4">
        <f>12*Q41-P41-O41-F41</f>
        <v>200.26479999999998</v>
      </c>
      <c r="S41" s="4"/>
      <c r="T41" s="10"/>
      <c r="U41" s="10">
        <f t="shared" si="15"/>
        <v>12</v>
      </c>
      <c r="V41" s="10">
        <f t="shared" si="16"/>
        <v>2.6354428722399392</v>
      </c>
      <c r="W41" s="10">
        <v>12.19</v>
      </c>
      <c r="X41" s="10">
        <v>13.324</v>
      </c>
      <c r="Y41" s="10">
        <v>12.957599999999999</v>
      </c>
      <c r="Z41" s="10">
        <v>12.7136</v>
      </c>
      <c r="AA41" s="10">
        <v>15.459</v>
      </c>
      <c r="AB41" s="10">
        <v>15.2918</v>
      </c>
      <c r="AC41" s="10">
        <v>20.405000000000001</v>
      </c>
      <c r="AD41" s="10">
        <v>13.230600000000001</v>
      </c>
      <c r="AE41" s="10"/>
      <c r="AF41" s="10">
        <f t="shared" si="12"/>
        <v>200.26479999999998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1:49" x14ac:dyDescent="0.25">
      <c r="A42" s="10" t="s">
        <v>79</v>
      </c>
      <c r="B42" s="10" t="s">
        <v>39</v>
      </c>
      <c r="C42" s="10">
        <v>59.987000000000002</v>
      </c>
      <c r="D42" s="10">
        <v>76.337000000000003</v>
      </c>
      <c r="E42" s="10">
        <v>102.577</v>
      </c>
      <c r="F42" s="10">
        <v>13.968999999999999</v>
      </c>
      <c r="G42" s="7">
        <v>1</v>
      </c>
      <c r="H42" s="10">
        <v>45</v>
      </c>
      <c r="I42" s="10" t="s">
        <v>37</v>
      </c>
      <c r="J42" s="10"/>
      <c r="K42" s="10">
        <v>105.9</v>
      </c>
      <c r="L42" s="10">
        <f t="shared" si="13"/>
        <v>-3.3230000000000075</v>
      </c>
      <c r="M42" s="10"/>
      <c r="N42" s="10"/>
      <c r="O42" s="10">
        <v>119</v>
      </c>
      <c r="P42" s="10"/>
      <c r="Q42" s="10">
        <f t="shared" si="14"/>
        <v>20.5154</v>
      </c>
      <c r="R42" s="4">
        <f t="shared" si="11"/>
        <v>154.2466</v>
      </c>
      <c r="S42" s="4"/>
      <c r="T42" s="10"/>
      <c r="U42" s="10">
        <f t="shared" si="15"/>
        <v>14</v>
      </c>
      <c r="V42" s="10">
        <f t="shared" si="16"/>
        <v>6.4814237109683459</v>
      </c>
      <c r="W42" s="10">
        <v>17.532</v>
      </c>
      <c r="X42" s="10">
        <v>15.464</v>
      </c>
      <c r="Y42" s="10">
        <v>13.860799999999999</v>
      </c>
      <c r="Z42" s="10">
        <v>18.8202</v>
      </c>
      <c r="AA42" s="10">
        <v>15.1698</v>
      </c>
      <c r="AB42" s="10">
        <v>15.2492</v>
      </c>
      <c r="AC42" s="10">
        <v>17.717199999999998</v>
      </c>
      <c r="AD42" s="10">
        <v>15.1928</v>
      </c>
      <c r="AE42" s="10"/>
      <c r="AF42" s="10">
        <f t="shared" si="12"/>
        <v>154.2466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 x14ac:dyDescent="0.25">
      <c r="A43" s="10" t="s">
        <v>80</v>
      </c>
      <c r="B43" s="10" t="s">
        <v>36</v>
      </c>
      <c r="C43" s="10">
        <v>1</v>
      </c>
      <c r="D43" s="10">
        <v>42</v>
      </c>
      <c r="E43" s="10">
        <v>16</v>
      </c>
      <c r="F43" s="10"/>
      <c r="G43" s="7">
        <v>0.35</v>
      </c>
      <c r="H43" s="10">
        <v>45</v>
      </c>
      <c r="I43" s="10" t="s">
        <v>37</v>
      </c>
      <c r="J43" s="10"/>
      <c r="K43" s="10">
        <v>19</v>
      </c>
      <c r="L43" s="10">
        <f t="shared" si="13"/>
        <v>-3</v>
      </c>
      <c r="M43" s="10"/>
      <c r="N43" s="10"/>
      <c r="O43" s="10">
        <v>48</v>
      </c>
      <c r="P43" s="10"/>
      <c r="Q43" s="10">
        <f t="shared" si="14"/>
        <v>3.2</v>
      </c>
      <c r="R43" s="4"/>
      <c r="S43" s="4"/>
      <c r="T43" s="10"/>
      <c r="U43" s="10">
        <f t="shared" si="15"/>
        <v>15</v>
      </c>
      <c r="V43" s="10">
        <f t="shared" si="16"/>
        <v>15</v>
      </c>
      <c r="W43" s="10">
        <v>5.6</v>
      </c>
      <c r="X43" s="10">
        <v>3.2</v>
      </c>
      <c r="Y43" s="10">
        <v>3.4</v>
      </c>
      <c r="Z43" s="10">
        <v>4</v>
      </c>
      <c r="AA43" s="10">
        <v>2.6</v>
      </c>
      <c r="AB43" s="10">
        <v>5</v>
      </c>
      <c r="AC43" s="10">
        <v>3</v>
      </c>
      <c r="AD43" s="10">
        <v>3</v>
      </c>
      <c r="AE43" s="10" t="s">
        <v>81</v>
      </c>
      <c r="AF43" s="10">
        <f t="shared" si="12"/>
        <v>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x14ac:dyDescent="0.25">
      <c r="A44" s="10" t="s">
        <v>82</v>
      </c>
      <c r="B44" s="10" t="s">
        <v>39</v>
      </c>
      <c r="C44" s="10">
        <v>155.702</v>
      </c>
      <c r="D44" s="10">
        <v>2.0720000000000001</v>
      </c>
      <c r="E44" s="10">
        <v>97.594999999999999</v>
      </c>
      <c r="F44" s="10">
        <v>41.972999999999999</v>
      </c>
      <c r="G44" s="7">
        <v>1</v>
      </c>
      <c r="H44" s="10">
        <v>45</v>
      </c>
      <c r="I44" s="10" t="s">
        <v>37</v>
      </c>
      <c r="J44" s="10"/>
      <c r="K44" s="10">
        <v>98.7</v>
      </c>
      <c r="L44" s="10">
        <f t="shared" si="13"/>
        <v>-1.105000000000004</v>
      </c>
      <c r="M44" s="10"/>
      <c r="N44" s="10"/>
      <c r="O44" s="10">
        <v>66</v>
      </c>
      <c r="P44" s="10"/>
      <c r="Q44" s="10">
        <f t="shared" si="14"/>
        <v>19.518999999999998</v>
      </c>
      <c r="R44" s="4">
        <f t="shared" si="11"/>
        <v>165.29299999999995</v>
      </c>
      <c r="S44" s="4"/>
      <c r="T44" s="10"/>
      <c r="U44" s="10">
        <f t="shared" si="15"/>
        <v>14</v>
      </c>
      <c r="V44" s="10">
        <f t="shared" si="16"/>
        <v>5.531687074132897</v>
      </c>
      <c r="W44" s="10">
        <v>15.450799999999999</v>
      </c>
      <c r="X44" s="10">
        <v>16.043600000000001</v>
      </c>
      <c r="Y44" s="10">
        <v>17.951000000000001</v>
      </c>
      <c r="Z44" s="10">
        <v>14.196999999999999</v>
      </c>
      <c r="AA44" s="10">
        <v>15.410399999999999</v>
      </c>
      <c r="AB44" s="10">
        <v>20.447399999999998</v>
      </c>
      <c r="AC44" s="10">
        <v>22.9878</v>
      </c>
      <c r="AD44" s="10">
        <v>14.6084</v>
      </c>
      <c r="AE44" s="10"/>
      <c r="AF44" s="10">
        <f t="shared" si="12"/>
        <v>165.29299999999995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49" x14ac:dyDescent="0.25">
      <c r="A45" s="10" t="s">
        <v>83</v>
      </c>
      <c r="B45" s="10" t="s">
        <v>36</v>
      </c>
      <c r="C45" s="10">
        <v>8</v>
      </c>
      <c r="D45" s="10">
        <v>187</v>
      </c>
      <c r="E45" s="10">
        <v>86</v>
      </c>
      <c r="F45" s="10">
        <v>81</v>
      </c>
      <c r="G45" s="7">
        <v>0.3</v>
      </c>
      <c r="H45" s="10">
        <v>45</v>
      </c>
      <c r="I45" s="10" t="s">
        <v>37</v>
      </c>
      <c r="J45" s="10"/>
      <c r="K45" s="10">
        <v>89</v>
      </c>
      <c r="L45" s="10">
        <f t="shared" si="13"/>
        <v>-3</v>
      </c>
      <c r="M45" s="10"/>
      <c r="N45" s="10"/>
      <c r="O45" s="10">
        <v>74</v>
      </c>
      <c r="P45" s="10">
        <v>93</v>
      </c>
      <c r="Q45" s="10">
        <f t="shared" si="14"/>
        <v>17.2</v>
      </c>
      <c r="R45" s="4"/>
      <c r="S45" s="4"/>
      <c r="T45" s="10"/>
      <c r="U45" s="10">
        <f t="shared" si="15"/>
        <v>14.418604651162791</v>
      </c>
      <c r="V45" s="10">
        <f t="shared" si="16"/>
        <v>14.418604651162791</v>
      </c>
      <c r="W45" s="10">
        <v>25.2</v>
      </c>
      <c r="X45" s="10">
        <v>22.2</v>
      </c>
      <c r="Y45" s="10">
        <v>16.399999999999999</v>
      </c>
      <c r="Z45" s="10">
        <v>19.2</v>
      </c>
      <c r="AA45" s="10">
        <v>23</v>
      </c>
      <c r="AB45" s="10">
        <v>24</v>
      </c>
      <c r="AC45" s="10">
        <v>23.8</v>
      </c>
      <c r="AD45" s="10">
        <v>22</v>
      </c>
      <c r="AE45" s="10"/>
      <c r="AF45" s="10">
        <f t="shared" si="12"/>
        <v>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1:49" x14ac:dyDescent="0.25">
      <c r="A46" s="10" t="s">
        <v>84</v>
      </c>
      <c r="B46" s="10" t="s">
        <v>39</v>
      </c>
      <c r="C46" s="10">
        <v>240.011</v>
      </c>
      <c r="D46" s="10">
        <v>101.375</v>
      </c>
      <c r="E46" s="10">
        <v>184.95400000000001</v>
      </c>
      <c r="F46" s="10">
        <v>141.77600000000001</v>
      </c>
      <c r="G46" s="7">
        <v>1</v>
      </c>
      <c r="H46" s="10">
        <v>45</v>
      </c>
      <c r="I46" s="10" t="s">
        <v>37</v>
      </c>
      <c r="J46" s="10"/>
      <c r="K46" s="10">
        <v>177.6</v>
      </c>
      <c r="L46" s="10">
        <f t="shared" si="13"/>
        <v>7.3540000000000134</v>
      </c>
      <c r="M46" s="10"/>
      <c r="N46" s="10"/>
      <c r="O46" s="10">
        <v>0</v>
      </c>
      <c r="P46" s="10"/>
      <c r="Q46" s="10">
        <f t="shared" si="14"/>
        <v>36.9908</v>
      </c>
      <c r="R46" s="4">
        <f>13*Q46-P46-O46-F46</f>
        <v>339.1044</v>
      </c>
      <c r="S46" s="4"/>
      <c r="T46" s="10"/>
      <c r="U46" s="10">
        <f t="shared" si="15"/>
        <v>13</v>
      </c>
      <c r="V46" s="10">
        <f t="shared" si="16"/>
        <v>3.8327367886068973</v>
      </c>
      <c r="W46" s="10">
        <v>21.6572</v>
      </c>
      <c r="X46" s="10">
        <v>31.432600000000001</v>
      </c>
      <c r="Y46" s="10">
        <v>34.810600000000001</v>
      </c>
      <c r="Z46" s="10">
        <v>45.679600000000001</v>
      </c>
      <c r="AA46" s="10">
        <v>31.8858</v>
      </c>
      <c r="AB46" s="10">
        <v>30.251999999999999</v>
      </c>
      <c r="AC46" s="10">
        <v>40.116999999999997</v>
      </c>
      <c r="AD46" s="10">
        <v>30.9496</v>
      </c>
      <c r="AE46" s="10"/>
      <c r="AF46" s="10">
        <f t="shared" si="12"/>
        <v>339.1044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1:49" x14ac:dyDescent="0.25">
      <c r="A47" s="10" t="s">
        <v>85</v>
      </c>
      <c r="B47" s="10" t="s">
        <v>36</v>
      </c>
      <c r="C47" s="10">
        <v>139</v>
      </c>
      <c r="D47" s="10">
        <v>289</v>
      </c>
      <c r="E47" s="10">
        <v>273</v>
      </c>
      <c r="F47" s="10">
        <v>114</v>
      </c>
      <c r="G47" s="7">
        <v>0.35</v>
      </c>
      <c r="H47" s="10">
        <v>45</v>
      </c>
      <c r="I47" s="10" t="s">
        <v>37</v>
      </c>
      <c r="J47" s="10"/>
      <c r="K47" s="10">
        <v>278</v>
      </c>
      <c r="L47" s="10">
        <f t="shared" si="13"/>
        <v>-5</v>
      </c>
      <c r="M47" s="10"/>
      <c r="N47" s="10"/>
      <c r="O47" s="10">
        <v>90</v>
      </c>
      <c r="P47" s="10">
        <v>113</v>
      </c>
      <c r="Q47" s="10">
        <f t="shared" si="14"/>
        <v>54.6</v>
      </c>
      <c r="R47" s="4">
        <f t="shared" si="11"/>
        <v>447.4</v>
      </c>
      <c r="S47" s="4"/>
      <c r="T47" s="10"/>
      <c r="U47" s="10">
        <f t="shared" si="15"/>
        <v>14</v>
      </c>
      <c r="V47" s="10">
        <f t="shared" si="16"/>
        <v>5.8058608058608057</v>
      </c>
      <c r="W47" s="10">
        <v>44</v>
      </c>
      <c r="X47" s="10">
        <v>46.4</v>
      </c>
      <c r="Y47" s="10">
        <v>37.200000000000003</v>
      </c>
      <c r="Z47" s="10">
        <v>49.6</v>
      </c>
      <c r="AA47" s="10">
        <v>44</v>
      </c>
      <c r="AB47" s="10">
        <v>39.4</v>
      </c>
      <c r="AC47" s="10">
        <v>47.6</v>
      </c>
      <c r="AD47" s="10">
        <v>33.799999999999997</v>
      </c>
      <c r="AE47" s="10"/>
      <c r="AF47" s="10">
        <f t="shared" si="12"/>
        <v>156.58999999999997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 x14ac:dyDescent="0.25">
      <c r="A48" s="10" t="s">
        <v>86</v>
      </c>
      <c r="B48" s="10" t="s">
        <v>36</v>
      </c>
      <c r="C48" s="10">
        <v>75</v>
      </c>
      <c r="D48" s="10">
        <v>431</v>
      </c>
      <c r="E48" s="10">
        <v>396</v>
      </c>
      <c r="F48" s="10">
        <v>8</v>
      </c>
      <c r="G48" s="7">
        <v>0.41</v>
      </c>
      <c r="H48" s="10">
        <v>45</v>
      </c>
      <c r="I48" s="10" t="s">
        <v>37</v>
      </c>
      <c r="J48" s="10"/>
      <c r="K48" s="10">
        <v>448</v>
      </c>
      <c r="L48" s="10">
        <f t="shared" si="13"/>
        <v>-52</v>
      </c>
      <c r="M48" s="10"/>
      <c r="N48" s="10"/>
      <c r="O48" s="10">
        <v>273</v>
      </c>
      <c r="P48" s="10">
        <v>342</v>
      </c>
      <c r="Q48" s="10">
        <f t="shared" si="14"/>
        <v>79.2</v>
      </c>
      <c r="R48" s="4">
        <f t="shared" si="11"/>
        <v>485.79999999999995</v>
      </c>
      <c r="S48" s="4"/>
      <c r="T48" s="10"/>
      <c r="U48" s="10">
        <f t="shared" si="15"/>
        <v>13.999999999999998</v>
      </c>
      <c r="V48" s="10">
        <f t="shared" si="16"/>
        <v>7.8661616161616159</v>
      </c>
      <c r="W48" s="10">
        <v>79</v>
      </c>
      <c r="X48" s="10">
        <v>63.8</v>
      </c>
      <c r="Y48" s="10">
        <v>60.4</v>
      </c>
      <c r="Z48" s="10">
        <v>72.8</v>
      </c>
      <c r="AA48" s="10">
        <v>48</v>
      </c>
      <c r="AB48" s="10">
        <v>68.8</v>
      </c>
      <c r="AC48" s="10">
        <v>52.4</v>
      </c>
      <c r="AD48" s="10">
        <v>34.200000000000003</v>
      </c>
      <c r="AE48" s="10"/>
      <c r="AF48" s="10">
        <f t="shared" si="12"/>
        <v>199.17799999999997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 x14ac:dyDescent="0.25">
      <c r="A49" s="10" t="s">
        <v>87</v>
      </c>
      <c r="B49" s="10" t="s">
        <v>36</v>
      </c>
      <c r="C49" s="10">
        <v>63</v>
      </c>
      <c r="D49" s="10">
        <v>36</v>
      </c>
      <c r="E49" s="10">
        <v>74</v>
      </c>
      <c r="F49" s="10"/>
      <c r="G49" s="7">
        <v>0.41</v>
      </c>
      <c r="H49" s="10">
        <v>45</v>
      </c>
      <c r="I49" s="10" t="s">
        <v>37</v>
      </c>
      <c r="J49" s="10"/>
      <c r="K49" s="10">
        <v>97</v>
      </c>
      <c r="L49" s="10">
        <f t="shared" si="13"/>
        <v>-23</v>
      </c>
      <c r="M49" s="10"/>
      <c r="N49" s="10"/>
      <c r="O49" s="10">
        <v>110</v>
      </c>
      <c r="P49" s="10">
        <v>137</v>
      </c>
      <c r="Q49" s="10">
        <f t="shared" si="14"/>
        <v>14.8</v>
      </c>
      <c r="R49" s="4"/>
      <c r="S49" s="4"/>
      <c r="T49" s="10"/>
      <c r="U49" s="10">
        <f t="shared" si="15"/>
        <v>16.689189189189189</v>
      </c>
      <c r="V49" s="10">
        <f t="shared" si="16"/>
        <v>16.689189189189189</v>
      </c>
      <c r="W49" s="10">
        <v>28.6</v>
      </c>
      <c r="X49" s="10">
        <v>14.6</v>
      </c>
      <c r="Y49" s="10">
        <v>18</v>
      </c>
      <c r="Z49" s="10">
        <v>13.4</v>
      </c>
      <c r="AA49" s="10">
        <v>5.2</v>
      </c>
      <c r="AB49" s="10">
        <v>18.8</v>
      </c>
      <c r="AC49" s="10">
        <v>2</v>
      </c>
      <c r="AD49" s="10">
        <v>12</v>
      </c>
      <c r="AE49" s="10"/>
      <c r="AF49" s="10">
        <f t="shared" si="12"/>
        <v>0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 x14ac:dyDescent="0.25">
      <c r="A50" s="10" t="s">
        <v>88</v>
      </c>
      <c r="B50" s="10" t="s">
        <v>36</v>
      </c>
      <c r="C50" s="10">
        <v>-2</v>
      </c>
      <c r="D50" s="10">
        <v>106</v>
      </c>
      <c r="E50" s="10">
        <v>21</v>
      </c>
      <c r="F50" s="10">
        <v>38</v>
      </c>
      <c r="G50" s="7">
        <v>0.36</v>
      </c>
      <c r="H50" s="10">
        <v>45</v>
      </c>
      <c r="I50" s="10" t="s">
        <v>37</v>
      </c>
      <c r="J50" s="10"/>
      <c r="K50" s="10">
        <v>21</v>
      </c>
      <c r="L50" s="10">
        <f t="shared" si="13"/>
        <v>0</v>
      </c>
      <c r="M50" s="10"/>
      <c r="N50" s="10"/>
      <c r="O50" s="10">
        <v>0</v>
      </c>
      <c r="P50" s="10">
        <v>6</v>
      </c>
      <c r="Q50" s="10">
        <f t="shared" si="14"/>
        <v>4.2</v>
      </c>
      <c r="R50" s="4">
        <f t="shared" si="11"/>
        <v>14.800000000000004</v>
      </c>
      <c r="S50" s="4"/>
      <c r="T50" s="10"/>
      <c r="U50" s="10">
        <f t="shared" si="15"/>
        <v>14</v>
      </c>
      <c r="V50" s="10">
        <f t="shared" si="16"/>
        <v>10.476190476190476</v>
      </c>
      <c r="W50" s="10">
        <v>5.4</v>
      </c>
      <c r="X50" s="10">
        <v>9</v>
      </c>
      <c r="Y50" s="10">
        <v>3.8</v>
      </c>
      <c r="Z50" s="10">
        <v>3.2</v>
      </c>
      <c r="AA50" s="10">
        <v>7.8</v>
      </c>
      <c r="AB50" s="10">
        <v>6.6</v>
      </c>
      <c r="AC50" s="10">
        <v>1.4</v>
      </c>
      <c r="AD50" s="10">
        <v>7.4</v>
      </c>
      <c r="AE50" s="10"/>
      <c r="AF50" s="10">
        <f t="shared" si="12"/>
        <v>5.3280000000000012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 x14ac:dyDescent="0.25">
      <c r="A51" s="10" t="s">
        <v>89</v>
      </c>
      <c r="B51" s="10" t="s">
        <v>36</v>
      </c>
      <c r="C51" s="10">
        <v>8</v>
      </c>
      <c r="D51" s="10">
        <v>24</v>
      </c>
      <c r="E51" s="10">
        <v>29</v>
      </c>
      <c r="F51" s="10">
        <v>3</v>
      </c>
      <c r="G51" s="7">
        <v>0.33</v>
      </c>
      <c r="H51" s="10">
        <v>45</v>
      </c>
      <c r="I51" s="10" t="s">
        <v>37</v>
      </c>
      <c r="J51" s="10"/>
      <c r="K51" s="10">
        <v>38</v>
      </c>
      <c r="L51" s="10">
        <f t="shared" si="13"/>
        <v>-9</v>
      </c>
      <c r="M51" s="10"/>
      <c r="N51" s="10"/>
      <c r="O51" s="10">
        <v>108</v>
      </c>
      <c r="P51" s="10"/>
      <c r="Q51" s="10">
        <f t="shared" si="14"/>
        <v>5.8</v>
      </c>
      <c r="R51" s="4">
        <v>16</v>
      </c>
      <c r="S51" s="4"/>
      <c r="T51" s="10"/>
      <c r="U51" s="10">
        <f t="shared" si="15"/>
        <v>21.896551724137932</v>
      </c>
      <c r="V51" s="10">
        <f t="shared" si="16"/>
        <v>19.137931034482758</v>
      </c>
      <c r="W51" s="10">
        <v>12.6</v>
      </c>
      <c r="X51" s="10">
        <v>8</v>
      </c>
      <c r="Y51" s="10">
        <v>9.4</v>
      </c>
      <c r="Z51" s="10">
        <v>11.4</v>
      </c>
      <c r="AA51" s="10">
        <v>8.6</v>
      </c>
      <c r="AB51" s="10">
        <v>5.6</v>
      </c>
      <c r="AC51" s="10">
        <v>10.4</v>
      </c>
      <c r="AD51" s="10">
        <v>1.8</v>
      </c>
      <c r="AE51" s="10"/>
      <c r="AF51" s="10">
        <f t="shared" si="12"/>
        <v>5.28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 x14ac:dyDescent="0.25">
      <c r="A52" s="10" t="s">
        <v>90</v>
      </c>
      <c r="B52" s="10" t="s">
        <v>36</v>
      </c>
      <c r="C52" s="10"/>
      <c r="D52" s="10">
        <v>32</v>
      </c>
      <c r="E52" s="10">
        <v>23</v>
      </c>
      <c r="F52" s="10">
        <v>1</v>
      </c>
      <c r="G52" s="7">
        <v>0.33</v>
      </c>
      <c r="H52" s="10">
        <v>45</v>
      </c>
      <c r="I52" s="10" t="s">
        <v>37</v>
      </c>
      <c r="J52" s="10"/>
      <c r="K52" s="10">
        <v>23</v>
      </c>
      <c r="L52" s="10">
        <f t="shared" si="13"/>
        <v>0</v>
      </c>
      <c r="M52" s="10"/>
      <c r="N52" s="10"/>
      <c r="O52" s="10">
        <v>16</v>
      </c>
      <c r="P52" s="10"/>
      <c r="Q52" s="10">
        <f t="shared" si="14"/>
        <v>4.5999999999999996</v>
      </c>
      <c r="R52" s="4">
        <f>13*Q52-P52-O52-F52</f>
        <v>42.8</v>
      </c>
      <c r="S52" s="4"/>
      <c r="T52" s="10"/>
      <c r="U52" s="10">
        <f t="shared" si="15"/>
        <v>13</v>
      </c>
      <c r="V52" s="10">
        <f t="shared" si="16"/>
        <v>3.6956521739130439</v>
      </c>
      <c r="W52" s="10">
        <v>0</v>
      </c>
      <c r="X52" s="10">
        <v>3.8</v>
      </c>
      <c r="Y52" s="10">
        <v>0</v>
      </c>
      <c r="Z52" s="10">
        <v>0</v>
      </c>
      <c r="AA52" s="10">
        <v>0</v>
      </c>
      <c r="AB52" s="10">
        <v>4.8</v>
      </c>
      <c r="AC52" s="10">
        <v>0</v>
      </c>
      <c r="AD52" s="10">
        <v>4.4000000000000004</v>
      </c>
      <c r="AE52" s="10"/>
      <c r="AF52" s="10">
        <f t="shared" si="12"/>
        <v>14.124000000000001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 x14ac:dyDescent="0.25">
      <c r="A53" s="10" t="s">
        <v>91</v>
      </c>
      <c r="B53" s="10" t="s">
        <v>36</v>
      </c>
      <c r="C53" s="10">
        <v>61</v>
      </c>
      <c r="D53" s="10"/>
      <c r="E53" s="10">
        <v>48</v>
      </c>
      <c r="F53" s="10">
        <v>3</v>
      </c>
      <c r="G53" s="7">
        <v>0.33</v>
      </c>
      <c r="H53" s="10">
        <v>45</v>
      </c>
      <c r="I53" s="10" t="s">
        <v>37</v>
      </c>
      <c r="J53" s="10"/>
      <c r="K53" s="10">
        <v>49</v>
      </c>
      <c r="L53" s="10">
        <f t="shared" si="13"/>
        <v>-1</v>
      </c>
      <c r="M53" s="10"/>
      <c r="N53" s="10"/>
      <c r="O53" s="10">
        <v>108</v>
      </c>
      <c r="P53" s="10"/>
      <c r="Q53" s="10">
        <f t="shared" si="14"/>
        <v>9.6</v>
      </c>
      <c r="R53" s="4">
        <f t="shared" si="11"/>
        <v>23.400000000000006</v>
      </c>
      <c r="S53" s="4"/>
      <c r="T53" s="10"/>
      <c r="U53" s="10">
        <f t="shared" si="15"/>
        <v>14.000000000000002</v>
      </c>
      <c r="V53" s="10">
        <f t="shared" si="16"/>
        <v>11.5625</v>
      </c>
      <c r="W53" s="10">
        <v>11.8</v>
      </c>
      <c r="X53" s="10">
        <v>4.5999999999999996</v>
      </c>
      <c r="Y53" s="10">
        <v>7.4</v>
      </c>
      <c r="Z53" s="10">
        <v>13.6</v>
      </c>
      <c r="AA53" s="10">
        <v>6.4</v>
      </c>
      <c r="AB53" s="10">
        <v>10.4</v>
      </c>
      <c r="AC53" s="10">
        <v>6.6</v>
      </c>
      <c r="AD53" s="10">
        <v>1.6</v>
      </c>
      <c r="AE53" s="10"/>
      <c r="AF53" s="10">
        <f t="shared" si="12"/>
        <v>7.7220000000000022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 x14ac:dyDescent="0.25">
      <c r="A54" s="10" t="s">
        <v>92</v>
      </c>
      <c r="B54" s="10" t="s">
        <v>36</v>
      </c>
      <c r="C54" s="10">
        <v>19</v>
      </c>
      <c r="D54" s="10">
        <v>24</v>
      </c>
      <c r="E54" s="10">
        <v>42</v>
      </c>
      <c r="F54" s="10"/>
      <c r="G54" s="7">
        <v>0.33</v>
      </c>
      <c r="H54" s="10">
        <v>45</v>
      </c>
      <c r="I54" s="10" t="s">
        <v>37</v>
      </c>
      <c r="J54" s="10"/>
      <c r="K54" s="10">
        <v>46</v>
      </c>
      <c r="L54" s="10">
        <f t="shared" si="13"/>
        <v>-4</v>
      </c>
      <c r="M54" s="10"/>
      <c r="N54" s="10"/>
      <c r="O54" s="10">
        <v>110</v>
      </c>
      <c r="P54" s="10"/>
      <c r="Q54" s="10">
        <f t="shared" si="14"/>
        <v>8.4</v>
      </c>
      <c r="R54" s="4">
        <f t="shared" si="11"/>
        <v>7.6000000000000085</v>
      </c>
      <c r="S54" s="4"/>
      <c r="T54" s="10"/>
      <c r="U54" s="10">
        <f t="shared" si="15"/>
        <v>14</v>
      </c>
      <c r="V54" s="10">
        <f t="shared" si="16"/>
        <v>13.095238095238095</v>
      </c>
      <c r="W54" s="10">
        <v>12.2</v>
      </c>
      <c r="X54" s="10">
        <v>7.6</v>
      </c>
      <c r="Y54" s="10">
        <v>6.8</v>
      </c>
      <c r="Z54" s="10">
        <v>12.4</v>
      </c>
      <c r="AA54" s="10">
        <v>2.8</v>
      </c>
      <c r="AB54" s="10">
        <v>8</v>
      </c>
      <c r="AC54" s="10">
        <v>10</v>
      </c>
      <c r="AD54" s="10">
        <v>6</v>
      </c>
      <c r="AE54" s="10"/>
      <c r="AF54" s="10">
        <f t="shared" si="12"/>
        <v>2.5080000000000031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 x14ac:dyDescent="0.25">
      <c r="A55" s="10" t="s">
        <v>93</v>
      </c>
      <c r="B55" s="10" t="s">
        <v>39</v>
      </c>
      <c r="C55" s="10">
        <v>189.92599999999999</v>
      </c>
      <c r="D55" s="10">
        <v>213.32300000000001</v>
      </c>
      <c r="E55" s="10">
        <v>227.042</v>
      </c>
      <c r="F55" s="10">
        <v>142.07300000000001</v>
      </c>
      <c r="G55" s="7">
        <v>1</v>
      </c>
      <c r="H55" s="10">
        <v>45</v>
      </c>
      <c r="I55" s="10" t="s">
        <v>37</v>
      </c>
      <c r="J55" s="10"/>
      <c r="K55" s="10">
        <v>219.7</v>
      </c>
      <c r="L55" s="10">
        <f t="shared" si="13"/>
        <v>7.342000000000013</v>
      </c>
      <c r="M55" s="10"/>
      <c r="N55" s="10"/>
      <c r="O55" s="10">
        <v>100</v>
      </c>
      <c r="P55" s="10">
        <v>124</v>
      </c>
      <c r="Q55" s="10">
        <f t="shared" si="14"/>
        <v>45.4084</v>
      </c>
      <c r="R55" s="4">
        <f t="shared" si="11"/>
        <v>269.64459999999997</v>
      </c>
      <c r="S55" s="4"/>
      <c r="T55" s="10"/>
      <c r="U55" s="10">
        <f t="shared" si="15"/>
        <v>13.999999999999998</v>
      </c>
      <c r="V55" s="10">
        <f t="shared" si="16"/>
        <v>8.0617903295425517</v>
      </c>
      <c r="W55" s="10">
        <v>44.491399999999999</v>
      </c>
      <c r="X55" s="10">
        <v>42.022399999999998</v>
      </c>
      <c r="Y55" s="10">
        <v>42.116199999999999</v>
      </c>
      <c r="Z55" s="10">
        <v>46.8934</v>
      </c>
      <c r="AA55" s="10">
        <v>41.356200000000001</v>
      </c>
      <c r="AB55" s="10">
        <v>35.644399999999997</v>
      </c>
      <c r="AC55" s="10">
        <v>68.387799999999999</v>
      </c>
      <c r="AD55" s="10">
        <v>39.565600000000003</v>
      </c>
      <c r="AE55" s="10"/>
      <c r="AF55" s="10">
        <f t="shared" si="12"/>
        <v>269.64459999999997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 x14ac:dyDescent="0.25">
      <c r="A56" s="10" t="s">
        <v>94</v>
      </c>
      <c r="B56" s="10" t="s">
        <v>39</v>
      </c>
      <c r="C56" s="10">
        <v>-1.069</v>
      </c>
      <c r="D56" s="10">
        <v>1.069</v>
      </c>
      <c r="E56" s="10"/>
      <c r="F56" s="10"/>
      <c r="G56" s="7">
        <v>1</v>
      </c>
      <c r="H56" s="10">
        <v>30</v>
      </c>
      <c r="I56" s="10" t="s">
        <v>37</v>
      </c>
      <c r="J56" s="10"/>
      <c r="K56" s="10"/>
      <c r="L56" s="10">
        <f t="shared" si="13"/>
        <v>0</v>
      </c>
      <c r="M56" s="10"/>
      <c r="N56" s="10"/>
      <c r="O56" s="10">
        <v>4</v>
      </c>
      <c r="P56" s="10"/>
      <c r="Q56" s="10">
        <f t="shared" si="14"/>
        <v>0</v>
      </c>
      <c r="R56" s="4">
        <v>4</v>
      </c>
      <c r="S56" s="4"/>
      <c r="T56" s="10"/>
      <c r="U56" s="10" t="e">
        <f t="shared" si="15"/>
        <v>#DIV/0!</v>
      </c>
      <c r="V56" s="10" t="e">
        <f t="shared" si="16"/>
        <v>#DIV/0!</v>
      </c>
      <c r="W56" s="10">
        <v>0.21379999999999999</v>
      </c>
      <c r="X56" s="10">
        <v>0</v>
      </c>
      <c r="Y56" s="10">
        <v>0</v>
      </c>
      <c r="Z56" s="10">
        <v>0.20100000000000001</v>
      </c>
      <c r="AA56" s="10">
        <v>0</v>
      </c>
      <c r="AB56" s="10">
        <v>0</v>
      </c>
      <c r="AC56" s="10">
        <v>0</v>
      </c>
      <c r="AD56" s="10">
        <v>0</v>
      </c>
      <c r="AE56" s="10" t="s">
        <v>95</v>
      </c>
      <c r="AF56" s="10">
        <f t="shared" si="12"/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 x14ac:dyDescent="0.25">
      <c r="A57" s="15" t="s">
        <v>96</v>
      </c>
      <c r="B57" s="15" t="s">
        <v>36</v>
      </c>
      <c r="C57" s="15"/>
      <c r="D57" s="15"/>
      <c r="E57" s="15"/>
      <c r="F57" s="15"/>
      <c r="G57" s="16">
        <v>0</v>
      </c>
      <c r="H57" s="15">
        <v>60</v>
      </c>
      <c r="I57" s="15" t="s">
        <v>37</v>
      </c>
      <c r="J57" s="15"/>
      <c r="K57" s="15"/>
      <c r="L57" s="15">
        <f t="shared" si="13"/>
        <v>0</v>
      </c>
      <c r="M57" s="15"/>
      <c r="N57" s="15"/>
      <c r="O57" s="15">
        <v>0</v>
      </c>
      <c r="P57" s="15"/>
      <c r="Q57" s="15">
        <f t="shared" si="14"/>
        <v>0</v>
      </c>
      <c r="R57" s="17"/>
      <c r="S57" s="17"/>
      <c r="T57" s="15"/>
      <c r="U57" s="15" t="e">
        <f t="shared" si="15"/>
        <v>#DIV/0!</v>
      </c>
      <c r="V57" s="15" t="e">
        <f t="shared" si="16"/>
        <v>#DIV/0!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 t="s">
        <v>44</v>
      </c>
      <c r="AF57" s="15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 x14ac:dyDescent="0.25">
      <c r="A58" s="10" t="s">
        <v>97</v>
      </c>
      <c r="B58" s="10" t="s">
        <v>36</v>
      </c>
      <c r="C58" s="10">
        <v>72</v>
      </c>
      <c r="D58" s="10">
        <v>24</v>
      </c>
      <c r="E58" s="10">
        <v>70</v>
      </c>
      <c r="F58" s="10"/>
      <c r="G58" s="7">
        <v>0.4</v>
      </c>
      <c r="H58" s="10">
        <v>45</v>
      </c>
      <c r="I58" s="10" t="s">
        <v>37</v>
      </c>
      <c r="J58" s="10"/>
      <c r="K58" s="10">
        <v>83</v>
      </c>
      <c r="L58" s="10">
        <f t="shared" si="13"/>
        <v>-13</v>
      </c>
      <c r="M58" s="10"/>
      <c r="N58" s="10"/>
      <c r="O58" s="10">
        <v>38</v>
      </c>
      <c r="P58" s="10"/>
      <c r="Q58" s="10">
        <f t="shared" si="14"/>
        <v>14</v>
      </c>
      <c r="R58" s="4">
        <f>12*Q58-P58-O58-F58</f>
        <v>130</v>
      </c>
      <c r="S58" s="4"/>
      <c r="T58" s="10"/>
      <c r="U58" s="10">
        <f t="shared" si="15"/>
        <v>12</v>
      </c>
      <c r="V58" s="10">
        <f t="shared" si="16"/>
        <v>2.7142857142857144</v>
      </c>
      <c r="W58" s="10">
        <v>8.4</v>
      </c>
      <c r="X58" s="10">
        <v>9.4</v>
      </c>
      <c r="Y58" s="10">
        <v>9.8000000000000007</v>
      </c>
      <c r="Z58" s="10">
        <v>12.2</v>
      </c>
      <c r="AA58" s="10">
        <v>13.4</v>
      </c>
      <c r="AB58" s="10">
        <v>12.2</v>
      </c>
      <c r="AC58" s="10">
        <v>0</v>
      </c>
      <c r="AD58" s="10">
        <v>11.8</v>
      </c>
      <c r="AE58" s="10"/>
      <c r="AF58" s="10">
        <f>G58*R58</f>
        <v>52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x14ac:dyDescent="0.25">
      <c r="A59" s="10" t="s">
        <v>98</v>
      </c>
      <c r="B59" s="10" t="s">
        <v>39</v>
      </c>
      <c r="C59" s="10">
        <v>36.020000000000003</v>
      </c>
      <c r="D59" s="10"/>
      <c r="E59" s="10">
        <v>12.074999999999999</v>
      </c>
      <c r="F59" s="10">
        <v>22.46</v>
      </c>
      <c r="G59" s="7">
        <v>1</v>
      </c>
      <c r="H59" s="10">
        <v>60</v>
      </c>
      <c r="I59" s="10" t="s">
        <v>37</v>
      </c>
      <c r="J59" s="10"/>
      <c r="K59" s="10">
        <v>11.5</v>
      </c>
      <c r="L59" s="10">
        <f t="shared" si="13"/>
        <v>0.57499999999999929</v>
      </c>
      <c r="M59" s="10"/>
      <c r="N59" s="10"/>
      <c r="O59" s="10">
        <v>0</v>
      </c>
      <c r="P59" s="10"/>
      <c r="Q59" s="10">
        <f t="shared" si="14"/>
        <v>2.415</v>
      </c>
      <c r="R59" s="4">
        <f t="shared" ref="R58:R59" si="17">14*Q59-P59-O59-F59</f>
        <v>11.350000000000001</v>
      </c>
      <c r="S59" s="4"/>
      <c r="T59" s="10"/>
      <c r="U59" s="10">
        <f t="shared" si="15"/>
        <v>14</v>
      </c>
      <c r="V59" s="10">
        <f t="shared" si="16"/>
        <v>9.3002070393374741</v>
      </c>
      <c r="W59" s="10">
        <v>2.3929999999999998</v>
      </c>
      <c r="X59" s="10">
        <v>1.7909999999999999</v>
      </c>
      <c r="Y59" s="10">
        <v>3.9283999999999999</v>
      </c>
      <c r="Z59" s="10">
        <v>0.91780000000000006</v>
      </c>
      <c r="AA59" s="10">
        <v>2.11</v>
      </c>
      <c r="AB59" s="10">
        <v>1.8089999999999999</v>
      </c>
      <c r="AC59" s="10">
        <v>1.5129999999999999</v>
      </c>
      <c r="AD59" s="10">
        <v>1.806</v>
      </c>
      <c r="AE59" s="10"/>
      <c r="AF59" s="10">
        <f>G59*R59</f>
        <v>11.350000000000001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 x14ac:dyDescent="0.25">
      <c r="A60" s="15" t="s">
        <v>99</v>
      </c>
      <c r="B60" s="15" t="s">
        <v>36</v>
      </c>
      <c r="C60" s="15"/>
      <c r="D60" s="15"/>
      <c r="E60" s="15"/>
      <c r="F60" s="15"/>
      <c r="G60" s="16">
        <v>0</v>
      </c>
      <c r="H60" s="15">
        <v>120</v>
      </c>
      <c r="I60" s="15" t="s">
        <v>37</v>
      </c>
      <c r="J60" s="15"/>
      <c r="K60" s="15"/>
      <c r="L60" s="15">
        <f t="shared" si="13"/>
        <v>0</v>
      </c>
      <c r="M60" s="15"/>
      <c r="N60" s="15"/>
      <c r="O60" s="15">
        <v>0</v>
      </c>
      <c r="P60" s="15"/>
      <c r="Q60" s="15">
        <f t="shared" si="14"/>
        <v>0</v>
      </c>
      <c r="R60" s="17"/>
      <c r="S60" s="17"/>
      <c r="T60" s="15"/>
      <c r="U60" s="15" t="e">
        <f t="shared" si="15"/>
        <v>#DIV/0!</v>
      </c>
      <c r="V60" s="15" t="e">
        <f t="shared" si="16"/>
        <v>#DIV/0!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44</v>
      </c>
      <c r="AF60" s="15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x14ac:dyDescent="0.25">
      <c r="A61" s="10" t="s">
        <v>100</v>
      </c>
      <c r="B61" s="10" t="s">
        <v>39</v>
      </c>
      <c r="C61" s="10">
        <v>26.384</v>
      </c>
      <c r="D61" s="10">
        <v>44.286999999999999</v>
      </c>
      <c r="E61" s="10">
        <v>50.781999999999996</v>
      </c>
      <c r="F61" s="10">
        <v>10.371</v>
      </c>
      <c r="G61" s="7">
        <v>1</v>
      </c>
      <c r="H61" s="10">
        <v>45</v>
      </c>
      <c r="I61" s="10" t="s">
        <v>37</v>
      </c>
      <c r="J61" s="10"/>
      <c r="K61" s="10">
        <v>56</v>
      </c>
      <c r="L61" s="10">
        <f t="shared" si="13"/>
        <v>-5.2180000000000035</v>
      </c>
      <c r="M61" s="10"/>
      <c r="N61" s="10"/>
      <c r="O61" s="10">
        <v>56</v>
      </c>
      <c r="P61" s="10"/>
      <c r="Q61" s="10">
        <f t="shared" si="14"/>
        <v>10.1564</v>
      </c>
      <c r="R61" s="4">
        <f t="shared" ref="R61:R70" si="18">14*Q61-P61-O61-F61</f>
        <v>75.818599999999989</v>
      </c>
      <c r="S61" s="4"/>
      <c r="T61" s="10"/>
      <c r="U61" s="10">
        <f t="shared" si="15"/>
        <v>13.999999999999998</v>
      </c>
      <c r="V61" s="10">
        <f t="shared" si="16"/>
        <v>6.5348942538694814</v>
      </c>
      <c r="W61" s="10">
        <v>8.7707999999999995</v>
      </c>
      <c r="X61" s="10">
        <v>7.9647999999999994</v>
      </c>
      <c r="Y61" s="10">
        <v>6.1454000000000004</v>
      </c>
      <c r="Z61" s="10">
        <v>5.9478</v>
      </c>
      <c r="AA61" s="10">
        <v>8.8409999999999993</v>
      </c>
      <c r="AB61" s="10">
        <v>6.8364000000000003</v>
      </c>
      <c r="AC61" s="10">
        <v>8.8260000000000005</v>
      </c>
      <c r="AD61" s="10">
        <v>8.5733999999999995</v>
      </c>
      <c r="AE61" s="10"/>
      <c r="AF61" s="10">
        <f t="shared" ref="AF61:AF70" si="19">G61*R61</f>
        <v>75.818599999999989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 x14ac:dyDescent="0.25">
      <c r="A62" s="10" t="s">
        <v>101</v>
      </c>
      <c r="B62" s="10" t="s">
        <v>36</v>
      </c>
      <c r="C62" s="10">
        <v>11</v>
      </c>
      <c r="D62" s="10">
        <v>390</v>
      </c>
      <c r="E62" s="18">
        <f>243+E92</f>
        <v>244</v>
      </c>
      <c r="F62" s="18">
        <f>11+F92</f>
        <v>56</v>
      </c>
      <c r="G62" s="7">
        <v>0.41</v>
      </c>
      <c r="H62" s="10">
        <v>50</v>
      </c>
      <c r="I62" s="10" t="s">
        <v>37</v>
      </c>
      <c r="J62" s="10"/>
      <c r="K62" s="10">
        <v>260</v>
      </c>
      <c r="L62" s="10">
        <f t="shared" si="13"/>
        <v>-16</v>
      </c>
      <c r="M62" s="10"/>
      <c r="N62" s="10"/>
      <c r="O62" s="10">
        <v>172</v>
      </c>
      <c r="P62" s="10">
        <v>215</v>
      </c>
      <c r="Q62" s="10">
        <f t="shared" si="14"/>
        <v>48.8</v>
      </c>
      <c r="R62" s="4">
        <f t="shared" si="18"/>
        <v>240.19999999999993</v>
      </c>
      <c r="S62" s="4"/>
      <c r="T62" s="10"/>
      <c r="U62" s="10">
        <f t="shared" si="15"/>
        <v>14</v>
      </c>
      <c r="V62" s="10">
        <f t="shared" si="16"/>
        <v>9.0778688524590176</v>
      </c>
      <c r="W62" s="10">
        <v>52</v>
      </c>
      <c r="X62" s="10">
        <v>43.8</v>
      </c>
      <c r="Y62" s="10">
        <v>35.799999999999997</v>
      </c>
      <c r="Z62" s="10">
        <v>35</v>
      </c>
      <c r="AA62" s="10">
        <v>37.799999999999997</v>
      </c>
      <c r="AB62" s="10">
        <v>33.799999999999997</v>
      </c>
      <c r="AC62" s="10">
        <v>31</v>
      </c>
      <c r="AD62" s="10">
        <v>26.8</v>
      </c>
      <c r="AE62" s="10"/>
      <c r="AF62" s="10">
        <f t="shared" si="19"/>
        <v>98.481999999999971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x14ac:dyDescent="0.25">
      <c r="A63" s="10" t="s">
        <v>102</v>
      </c>
      <c r="B63" s="10" t="s">
        <v>39</v>
      </c>
      <c r="C63" s="10">
        <v>153.614</v>
      </c>
      <c r="D63" s="10">
        <v>95.001000000000005</v>
      </c>
      <c r="E63" s="18">
        <f>116.614+E93</f>
        <v>133.83699999999999</v>
      </c>
      <c r="F63" s="18">
        <f>117.433+F93</f>
        <v>141.637</v>
      </c>
      <c r="G63" s="7">
        <v>1</v>
      </c>
      <c r="H63" s="10">
        <v>50</v>
      </c>
      <c r="I63" s="10" t="s">
        <v>37</v>
      </c>
      <c r="J63" s="10"/>
      <c r="K63" s="10">
        <v>111.3</v>
      </c>
      <c r="L63" s="10">
        <f t="shared" si="13"/>
        <v>22.536999999999992</v>
      </c>
      <c r="M63" s="10"/>
      <c r="N63" s="10"/>
      <c r="O63" s="10">
        <v>48</v>
      </c>
      <c r="P63" s="10">
        <v>60</v>
      </c>
      <c r="Q63" s="10">
        <f t="shared" si="14"/>
        <v>26.767399999999999</v>
      </c>
      <c r="R63" s="4">
        <f t="shared" si="18"/>
        <v>125.10659999999996</v>
      </c>
      <c r="S63" s="4"/>
      <c r="T63" s="10"/>
      <c r="U63" s="10">
        <f t="shared" si="15"/>
        <v>14</v>
      </c>
      <c r="V63" s="10">
        <f t="shared" si="16"/>
        <v>9.3261579383877411</v>
      </c>
      <c r="W63" s="10">
        <v>27.606000000000002</v>
      </c>
      <c r="X63" s="10">
        <v>29.933800000000002</v>
      </c>
      <c r="Y63" s="10">
        <v>33.968800000000002</v>
      </c>
      <c r="Z63" s="10">
        <v>31.1328</v>
      </c>
      <c r="AA63" s="10">
        <v>26.1206</v>
      </c>
      <c r="AB63" s="10">
        <v>32.6524</v>
      </c>
      <c r="AC63" s="10">
        <v>30.158799999999999</v>
      </c>
      <c r="AD63" s="10">
        <v>31.1464</v>
      </c>
      <c r="AE63" s="10"/>
      <c r="AF63" s="10">
        <f t="shared" si="19"/>
        <v>125.10659999999996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 x14ac:dyDescent="0.25">
      <c r="A64" s="10" t="s">
        <v>103</v>
      </c>
      <c r="B64" s="10" t="s">
        <v>36</v>
      </c>
      <c r="C64" s="10">
        <v>15</v>
      </c>
      <c r="D64" s="10">
        <v>128</v>
      </c>
      <c r="E64" s="10">
        <v>49</v>
      </c>
      <c r="F64" s="10">
        <v>75</v>
      </c>
      <c r="G64" s="7">
        <v>0.35</v>
      </c>
      <c r="H64" s="10">
        <v>50</v>
      </c>
      <c r="I64" s="10" t="s">
        <v>37</v>
      </c>
      <c r="J64" s="10"/>
      <c r="K64" s="10">
        <v>49</v>
      </c>
      <c r="L64" s="10">
        <f t="shared" si="13"/>
        <v>0</v>
      </c>
      <c r="M64" s="10"/>
      <c r="N64" s="10"/>
      <c r="O64" s="10">
        <v>0</v>
      </c>
      <c r="P64" s="10">
        <v>4</v>
      </c>
      <c r="Q64" s="10">
        <f t="shared" si="14"/>
        <v>9.8000000000000007</v>
      </c>
      <c r="R64" s="4">
        <f t="shared" si="18"/>
        <v>58.200000000000017</v>
      </c>
      <c r="S64" s="4"/>
      <c r="T64" s="10"/>
      <c r="U64" s="10">
        <f t="shared" si="15"/>
        <v>14</v>
      </c>
      <c r="V64" s="10">
        <f t="shared" si="16"/>
        <v>8.0612244897959187</v>
      </c>
      <c r="W64" s="10">
        <v>10.6</v>
      </c>
      <c r="X64" s="10">
        <v>14.2</v>
      </c>
      <c r="Y64" s="10">
        <v>9</v>
      </c>
      <c r="Z64" s="10">
        <v>7.2</v>
      </c>
      <c r="AA64" s="10">
        <v>4.2</v>
      </c>
      <c r="AB64" s="10">
        <v>15.2</v>
      </c>
      <c r="AC64" s="10">
        <v>9.6</v>
      </c>
      <c r="AD64" s="10">
        <v>8</v>
      </c>
      <c r="AE64" s="10"/>
      <c r="AF64" s="10">
        <f t="shared" si="19"/>
        <v>20.370000000000005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9" x14ac:dyDescent="0.25">
      <c r="A65" s="10" t="s">
        <v>104</v>
      </c>
      <c r="B65" s="10" t="s">
        <v>39</v>
      </c>
      <c r="C65" s="10">
        <v>72.204999999999998</v>
      </c>
      <c r="D65" s="10">
        <v>37.158000000000001</v>
      </c>
      <c r="E65" s="10">
        <v>71.596999999999994</v>
      </c>
      <c r="F65" s="10">
        <v>23.41</v>
      </c>
      <c r="G65" s="7">
        <v>1</v>
      </c>
      <c r="H65" s="10">
        <v>50</v>
      </c>
      <c r="I65" s="10" t="s">
        <v>37</v>
      </c>
      <c r="J65" s="10"/>
      <c r="K65" s="10">
        <v>70</v>
      </c>
      <c r="L65" s="10">
        <f t="shared" si="13"/>
        <v>1.5969999999999942</v>
      </c>
      <c r="M65" s="10"/>
      <c r="N65" s="10"/>
      <c r="O65" s="10">
        <v>0</v>
      </c>
      <c r="P65" s="10">
        <v>4</v>
      </c>
      <c r="Q65" s="10">
        <f t="shared" si="14"/>
        <v>14.319399999999998</v>
      </c>
      <c r="R65" s="4">
        <f>11*Q65-P65-O65-F65</f>
        <v>130.10339999999999</v>
      </c>
      <c r="S65" s="4"/>
      <c r="T65" s="10"/>
      <c r="U65" s="10">
        <f t="shared" si="15"/>
        <v>11</v>
      </c>
      <c r="V65" s="10">
        <f t="shared" si="16"/>
        <v>1.914186348590025</v>
      </c>
      <c r="W65" s="10">
        <v>8.121599999999999</v>
      </c>
      <c r="X65" s="10">
        <v>10.3116</v>
      </c>
      <c r="Y65" s="10">
        <v>11.779400000000001</v>
      </c>
      <c r="Z65" s="10">
        <v>16.018999999999998</v>
      </c>
      <c r="AA65" s="10">
        <v>5.4480000000000004</v>
      </c>
      <c r="AB65" s="10">
        <v>14.204800000000001</v>
      </c>
      <c r="AC65" s="10">
        <v>19.772200000000002</v>
      </c>
      <c r="AD65" s="10">
        <v>3.6665999999999999</v>
      </c>
      <c r="AE65" s="10"/>
      <c r="AF65" s="10">
        <f t="shared" si="19"/>
        <v>130.10339999999999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49" x14ac:dyDescent="0.25">
      <c r="A66" s="10" t="s">
        <v>105</v>
      </c>
      <c r="B66" s="10" t="s">
        <v>36</v>
      </c>
      <c r="C66" s="10">
        <v>22</v>
      </c>
      <c r="D66" s="10">
        <v>311</v>
      </c>
      <c r="E66" s="10">
        <v>190</v>
      </c>
      <c r="F66" s="10">
        <v>120</v>
      </c>
      <c r="G66" s="7">
        <v>0.41</v>
      </c>
      <c r="H66" s="10">
        <v>50</v>
      </c>
      <c r="I66" s="10" t="s">
        <v>37</v>
      </c>
      <c r="J66" s="10"/>
      <c r="K66" s="10">
        <v>193</v>
      </c>
      <c r="L66" s="10">
        <f t="shared" si="13"/>
        <v>-3</v>
      </c>
      <c r="M66" s="10"/>
      <c r="N66" s="10"/>
      <c r="O66" s="10">
        <v>0</v>
      </c>
      <c r="P66" s="10">
        <v>99</v>
      </c>
      <c r="Q66" s="10">
        <f t="shared" si="14"/>
        <v>38</v>
      </c>
      <c r="R66" s="4">
        <f t="shared" si="18"/>
        <v>313</v>
      </c>
      <c r="S66" s="4"/>
      <c r="T66" s="10"/>
      <c r="U66" s="10">
        <f t="shared" si="15"/>
        <v>14</v>
      </c>
      <c r="V66" s="10">
        <f t="shared" si="16"/>
        <v>5.7631578947368425</v>
      </c>
      <c r="W66" s="10">
        <v>30.8</v>
      </c>
      <c r="X66" s="10">
        <v>36.6</v>
      </c>
      <c r="Y66" s="10">
        <v>22.8</v>
      </c>
      <c r="Z66" s="10">
        <v>40.4</v>
      </c>
      <c r="AA66" s="10">
        <v>32.799999999999997</v>
      </c>
      <c r="AB66" s="10">
        <v>34</v>
      </c>
      <c r="AC66" s="10">
        <v>33.200000000000003</v>
      </c>
      <c r="AD66" s="10">
        <v>31.8</v>
      </c>
      <c r="AE66" s="10"/>
      <c r="AF66" s="10">
        <f t="shared" si="19"/>
        <v>128.32999999999998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49" x14ac:dyDescent="0.25">
      <c r="A67" s="10" t="s">
        <v>106</v>
      </c>
      <c r="B67" s="10" t="s">
        <v>39</v>
      </c>
      <c r="C67" s="10">
        <v>179.505</v>
      </c>
      <c r="D67" s="10">
        <v>138.161</v>
      </c>
      <c r="E67" s="10">
        <v>221.04900000000001</v>
      </c>
      <c r="F67" s="10">
        <v>48.173999999999999</v>
      </c>
      <c r="G67" s="7">
        <v>1</v>
      </c>
      <c r="H67" s="10">
        <v>50</v>
      </c>
      <c r="I67" s="10" t="s">
        <v>37</v>
      </c>
      <c r="J67" s="10"/>
      <c r="K67" s="10">
        <v>214.1</v>
      </c>
      <c r="L67" s="10">
        <f t="shared" si="13"/>
        <v>6.9490000000000123</v>
      </c>
      <c r="M67" s="10"/>
      <c r="N67" s="10"/>
      <c r="O67" s="10">
        <v>0</v>
      </c>
      <c r="P67" s="10">
        <v>38</v>
      </c>
      <c r="Q67" s="10">
        <f t="shared" si="14"/>
        <v>44.209800000000001</v>
      </c>
      <c r="R67" s="4">
        <f t="shared" ref="R67:R68" si="20">11*Q67-P67-O67-F67</f>
        <v>400.13380000000006</v>
      </c>
      <c r="S67" s="4"/>
      <c r="T67" s="10"/>
      <c r="U67" s="10">
        <f t="shared" si="15"/>
        <v>11</v>
      </c>
      <c r="V67" s="10">
        <f t="shared" si="16"/>
        <v>1.9492058321910528</v>
      </c>
      <c r="W67" s="10">
        <v>24.0654</v>
      </c>
      <c r="X67" s="10">
        <v>29.802399999999999</v>
      </c>
      <c r="Y67" s="10">
        <v>31.2424</v>
      </c>
      <c r="Z67" s="10">
        <v>22.934200000000001</v>
      </c>
      <c r="AA67" s="10">
        <v>32.221600000000002</v>
      </c>
      <c r="AB67" s="10">
        <v>23.2118</v>
      </c>
      <c r="AC67" s="10">
        <v>43.502400000000002</v>
      </c>
      <c r="AD67" s="10">
        <v>19.413399999999999</v>
      </c>
      <c r="AE67" s="10"/>
      <c r="AF67" s="10">
        <f t="shared" si="19"/>
        <v>400.13380000000006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49" x14ac:dyDescent="0.25">
      <c r="A68" s="10" t="s">
        <v>107</v>
      </c>
      <c r="B68" s="10" t="s">
        <v>36</v>
      </c>
      <c r="C68" s="10">
        <v>88</v>
      </c>
      <c r="D68" s="10"/>
      <c r="E68" s="10">
        <v>70</v>
      </c>
      <c r="F68" s="10">
        <v>12</v>
      </c>
      <c r="G68" s="7">
        <v>0.3</v>
      </c>
      <c r="H68" s="10">
        <v>50</v>
      </c>
      <c r="I68" s="10" t="s">
        <v>37</v>
      </c>
      <c r="J68" s="10"/>
      <c r="K68" s="10">
        <v>70</v>
      </c>
      <c r="L68" s="10">
        <f t="shared" si="13"/>
        <v>0</v>
      </c>
      <c r="M68" s="10"/>
      <c r="N68" s="10"/>
      <c r="O68" s="10">
        <v>0</v>
      </c>
      <c r="P68" s="10">
        <v>20</v>
      </c>
      <c r="Q68" s="10">
        <f t="shared" si="14"/>
        <v>14</v>
      </c>
      <c r="R68" s="4">
        <f t="shared" si="20"/>
        <v>122</v>
      </c>
      <c r="S68" s="4"/>
      <c r="T68" s="10"/>
      <c r="U68" s="10">
        <f t="shared" si="15"/>
        <v>11</v>
      </c>
      <c r="V68" s="10">
        <f t="shared" si="16"/>
        <v>2.2857142857142856</v>
      </c>
      <c r="W68" s="10">
        <v>7.4</v>
      </c>
      <c r="X68" s="10">
        <v>7.2</v>
      </c>
      <c r="Y68" s="10">
        <v>14.4</v>
      </c>
      <c r="Z68" s="10">
        <v>7.6</v>
      </c>
      <c r="AA68" s="10">
        <v>10.199999999999999</v>
      </c>
      <c r="AB68" s="10">
        <v>16</v>
      </c>
      <c r="AC68" s="10">
        <v>9.8000000000000007</v>
      </c>
      <c r="AD68" s="10">
        <v>9.4</v>
      </c>
      <c r="AE68" s="10"/>
      <c r="AF68" s="10">
        <f t="shared" si="19"/>
        <v>36.6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x14ac:dyDescent="0.25">
      <c r="A69" s="10" t="s">
        <v>108</v>
      </c>
      <c r="B69" s="10" t="s">
        <v>36</v>
      </c>
      <c r="C69" s="10">
        <v>92</v>
      </c>
      <c r="D69" s="10"/>
      <c r="E69" s="10">
        <v>90</v>
      </c>
      <c r="F69" s="10"/>
      <c r="G69" s="7">
        <v>0.14000000000000001</v>
      </c>
      <c r="H69" s="10">
        <v>50</v>
      </c>
      <c r="I69" s="10" t="s">
        <v>37</v>
      </c>
      <c r="J69" s="10"/>
      <c r="K69" s="10">
        <v>95</v>
      </c>
      <c r="L69" s="10">
        <f t="shared" si="13"/>
        <v>-5</v>
      </c>
      <c r="M69" s="10"/>
      <c r="N69" s="10"/>
      <c r="O69" s="10">
        <v>0</v>
      </c>
      <c r="P69" s="10"/>
      <c r="Q69" s="10">
        <f t="shared" si="14"/>
        <v>18</v>
      </c>
      <c r="R69" s="4">
        <f>8*Q69-P69-O69-F69</f>
        <v>144</v>
      </c>
      <c r="S69" s="4"/>
      <c r="T69" s="10"/>
      <c r="U69" s="10">
        <f t="shared" si="15"/>
        <v>8</v>
      </c>
      <c r="V69" s="10">
        <f t="shared" si="16"/>
        <v>0</v>
      </c>
      <c r="W69" s="10">
        <v>6</v>
      </c>
      <c r="X69" s="10">
        <v>6.8</v>
      </c>
      <c r="Y69" s="10">
        <v>2.8</v>
      </c>
      <c r="Z69" s="10">
        <v>4</v>
      </c>
      <c r="AA69" s="10">
        <v>4.2</v>
      </c>
      <c r="AB69" s="10">
        <v>21.2</v>
      </c>
      <c r="AC69" s="10">
        <v>0.8</v>
      </c>
      <c r="AD69" s="10">
        <v>13</v>
      </c>
      <c r="AE69" s="10"/>
      <c r="AF69" s="10">
        <f t="shared" si="19"/>
        <v>20.160000000000004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x14ac:dyDescent="0.25">
      <c r="A70" s="10" t="s">
        <v>109</v>
      </c>
      <c r="B70" s="10" t="s">
        <v>36</v>
      </c>
      <c r="C70" s="10">
        <v>50</v>
      </c>
      <c r="D70" s="10">
        <v>52</v>
      </c>
      <c r="E70" s="10">
        <v>100</v>
      </c>
      <c r="F70" s="10"/>
      <c r="G70" s="7">
        <v>0.18</v>
      </c>
      <c r="H70" s="10">
        <v>50</v>
      </c>
      <c r="I70" s="10" t="s">
        <v>37</v>
      </c>
      <c r="J70" s="10"/>
      <c r="K70" s="10">
        <v>117</v>
      </c>
      <c r="L70" s="10">
        <f t="shared" ref="L70:L101" si="21">E70-K70</f>
        <v>-17</v>
      </c>
      <c r="M70" s="10"/>
      <c r="N70" s="10"/>
      <c r="O70" s="10">
        <v>80</v>
      </c>
      <c r="P70" s="10">
        <v>101</v>
      </c>
      <c r="Q70" s="10">
        <f t="shared" ref="Q70:Q93" si="22">E70/5</f>
        <v>20</v>
      </c>
      <c r="R70" s="4">
        <f t="shared" si="18"/>
        <v>99</v>
      </c>
      <c r="S70" s="4"/>
      <c r="T70" s="10"/>
      <c r="U70" s="10">
        <f t="shared" ref="U70:U93" si="23">(F70+O70+P70+R70)/Q70</f>
        <v>14</v>
      </c>
      <c r="V70" s="10">
        <f t="shared" ref="V70:V93" si="24">(F70+O70+P70)/Q70</f>
        <v>9.0500000000000007</v>
      </c>
      <c r="W70" s="10">
        <v>21</v>
      </c>
      <c r="X70" s="10">
        <v>14.6</v>
      </c>
      <c r="Y70" s="10">
        <v>16.399999999999999</v>
      </c>
      <c r="Z70" s="10">
        <v>18</v>
      </c>
      <c r="AA70" s="10">
        <v>17</v>
      </c>
      <c r="AB70" s="10">
        <v>5.8</v>
      </c>
      <c r="AC70" s="10">
        <v>24</v>
      </c>
      <c r="AD70" s="10">
        <v>5</v>
      </c>
      <c r="AE70" s="10"/>
      <c r="AF70" s="10">
        <f t="shared" si="19"/>
        <v>17.82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x14ac:dyDescent="0.25">
      <c r="A71" s="15" t="s">
        <v>110</v>
      </c>
      <c r="B71" s="15" t="s">
        <v>39</v>
      </c>
      <c r="C71" s="15"/>
      <c r="D71" s="15"/>
      <c r="E71" s="15"/>
      <c r="F71" s="15"/>
      <c r="G71" s="16">
        <v>0</v>
      </c>
      <c r="H71" s="15">
        <v>45</v>
      </c>
      <c r="I71" s="15" t="s">
        <v>37</v>
      </c>
      <c r="J71" s="15"/>
      <c r="K71" s="15"/>
      <c r="L71" s="15">
        <f t="shared" si="21"/>
        <v>0</v>
      </c>
      <c r="M71" s="15"/>
      <c r="N71" s="15"/>
      <c r="O71" s="15">
        <v>0</v>
      </c>
      <c r="P71" s="15"/>
      <c r="Q71" s="15">
        <f t="shared" si="22"/>
        <v>0</v>
      </c>
      <c r="R71" s="17"/>
      <c r="S71" s="17"/>
      <c r="T71" s="15"/>
      <c r="U71" s="15" t="e">
        <f t="shared" si="23"/>
        <v>#DIV/0!</v>
      </c>
      <c r="V71" s="15" t="e">
        <f t="shared" si="24"/>
        <v>#DIV/0!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 t="s">
        <v>44</v>
      </c>
      <c r="AF71" s="15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x14ac:dyDescent="0.25">
      <c r="A72" s="15" t="s">
        <v>111</v>
      </c>
      <c r="B72" s="15" t="s">
        <v>36</v>
      </c>
      <c r="C72" s="15"/>
      <c r="D72" s="15"/>
      <c r="E72" s="15"/>
      <c r="F72" s="15"/>
      <c r="G72" s="16">
        <v>0</v>
      </c>
      <c r="H72" s="15">
        <v>120</v>
      </c>
      <c r="I72" s="15" t="s">
        <v>37</v>
      </c>
      <c r="J72" s="15"/>
      <c r="K72" s="15"/>
      <c r="L72" s="15">
        <f t="shared" si="21"/>
        <v>0</v>
      </c>
      <c r="M72" s="15"/>
      <c r="N72" s="15"/>
      <c r="O72" s="15">
        <v>0</v>
      </c>
      <c r="P72" s="15"/>
      <c r="Q72" s="15">
        <f t="shared" si="22"/>
        <v>0</v>
      </c>
      <c r="R72" s="17"/>
      <c r="S72" s="17"/>
      <c r="T72" s="15"/>
      <c r="U72" s="15" t="e">
        <f t="shared" si="23"/>
        <v>#DIV/0!</v>
      </c>
      <c r="V72" s="15" t="e">
        <f t="shared" si="24"/>
        <v>#DIV/0!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 t="s">
        <v>44</v>
      </c>
      <c r="AF72" s="15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x14ac:dyDescent="0.25">
      <c r="A73" s="15" t="s">
        <v>112</v>
      </c>
      <c r="B73" s="15" t="s">
        <v>36</v>
      </c>
      <c r="C73" s="15"/>
      <c r="D73" s="15"/>
      <c r="E73" s="15"/>
      <c r="F73" s="15"/>
      <c r="G73" s="16">
        <v>0</v>
      </c>
      <c r="H73" s="15">
        <v>50</v>
      </c>
      <c r="I73" s="15" t="s">
        <v>37</v>
      </c>
      <c r="J73" s="15"/>
      <c r="K73" s="15"/>
      <c r="L73" s="15">
        <f t="shared" si="21"/>
        <v>0</v>
      </c>
      <c r="M73" s="15"/>
      <c r="N73" s="15"/>
      <c r="O73" s="15">
        <v>0</v>
      </c>
      <c r="P73" s="15"/>
      <c r="Q73" s="15">
        <f t="shared" si="22"/>
        <v>0</v>
      </c>
      <c r="R73" s="17"/>
      <c r="S73" s="17"/>
      <c r="T73" s="15"/>
      <c r="U73" s="15" t="e">
        <f t="shared" si="23"/>
        <v>#DIV/0!</v>
      </c>
      <c r="V73" s="15" t="e">
        <f t="shared" si="24"/>
        <v>#DIV/0!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 t="s">
        <v>44</v>
      </c>
      <c r="AF73" s="15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x14ac:dyDescent="0.25">
      <c r="A74" s="10" t="s">
        <v>113</v>
      </c>
      <c r="B74" s="10" t="s">
        <v>36</v>
      </c>
      <c r="C74" s="10">
        <v>150</v>
      </c>
      <c r="D74" s="10">
        <v>258</v>
      </c>
      <c r="E74" s="10">
        <v>205</v>
      </c>
      <c r="F74" s="10">
        <v>176</v>
      </c>
      <c r="G74" s="7">
        <v>0.35</v>
      </c>
      <c r="H74" s="10">
        <v>50</v>
      </c>
      <c r="I74" s="10" t="s">
        <v>37</v>
      </c>
      <c r="J74" s="10"/>
      <c r="K74" s="10">
        <v>207</v>
      </c>
      <c r="L74" s="10">
        <f t="shared" si="21"/>
        <v>-2</v>
      </c>
      <c r="M74" s="10"/>
      <c r="N74" s="10"/>
      <c r="O74" s="10">
        <v>0</v>
      </c>
      <c r="P74" s="10"/>
      <c r="Q74" s="10">
        <f t="shared" si="22"/>
        <v>41</v>
      </c>
      <c r="R74" s="4">
        <f>13*Q74-P74-O74-F74</f>
        <v>357</v>
      </c>
      <c r="S74" s="4"/>
      <c r="T74" s="10"/>
      <c r="U74" s="10">
        <f t="shared" si="23"/>
        <v>13</v>
      </c>
      <c r="V74" s="10">
        <f t="shared" si="24"/>
        <v>4.2926829268292686</v>
      </c>
      <c r="W74" s="10">
        <v>21.4</v>
      </c>
      <c r="X74" s="10">
        <v>37.6</v>
      </c>
      <c r="Y74" s="10">
        <v>30</v>
      </c>
      <c r="Z74" s="10">
        <v>22.8</v>
      </c>
      <c r="AA74" s="10">
        <v>29</v>
      </c>
      <c r="AB74" s="10">
        <v>25.6</v>
      </c>
      <c r="AC74" s="10">
        <v>17.2</v>
      </c>
      <c r="AD74" s="10">
        <v>22.6</v>
      </c>
      <c r="AE74" s="10"/>
      <c r="AF74" s="10">
        <f>G74*R74</f>
        <v>124.94999999999999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x14ac:dyDescent="0.25">
      <c r="A75" s="15" t="s">
        <v>114</v>
      </c>
      <c r="B75" s="15" t="s">
        <v>39</v>
      </c>
      <c r="C75" s="15"/>
      <c r="D75" s="15"/>
      <c r="E75" s="15"/>
      <c r="F75" s="15"/>
      <c r="G75" s="16">
        <v>0</v>
      </c>
      <c r="H75" s="15">
        <v>50</v>
      </c>
      <c r="I75" s="15" t="s">
        <v>37</v>
      </c>
      <c r="J75" s="15"/>
      <c r="K75" s="15"/>
      <c r="L75" s="15">
        <f t="shared" si="21"/>
        <v>0</v>
      </c>
      <c r="M75" s="15"/>
      <c r="N75" s="15"/>
      <c r="O75" s="15">
        <v>0</v>
      </c>
      <c r="P75" s="15"/>
      <c r="Q75" s="15">
        <f t="shared" si="22"/>
        <v>0</v>
      </c>
      <c r="R75" s="17"/>
      <c r="S75" s="17"/>
      <c r="T75" s="15"/>
      <c r="U75" s="15" t="e">
        <f t="shared" si="23"/>
        <v>#DIV/0!</v>
      </c>
      <c r="V75" s="15" t="e">
        <f t="shared" si="24"/>
        <v>#DIV/0!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 t="s">
        <v>44</v>
      </c>
      <c r="AF75" s="15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x14ac:dyDescent="0.25">
      <c r="A76" s="10" t="s">
        <v>115</v>
      </c>
      <c r="B76" s="10" t="s">
        <v>39</v>
      </c>
      <c r="C76" s="10">
        <v>126.422</v>
      </c>
      <c r="D76" s="10">
        <v>291.92200000000003</v>
      </c>
      <c r="E76" s="10">
        <v>231.518</v>
      </c>
      <c r="F76" s="10">
        <v>174.018</v>
      </c>
      <c r="G76" s="7">
        <v>1</v>
      </c>
      <c r="H76" s="10">
        <v>50</v>
      </c>
      <c r="I76" s="10" t="s">
        <v>37</v>
      </c>
      <c r="J76" s="10"/>
      <c r="K76" s="10">
        <v>222.3</v>
      </c>
      <c r="L76" s="10">
        <f t="shared" si="21"/>
        <v>9.2179999999999893</v>
      </c>
      <c r="M76" s="10"/>
      <c r="N76" s="10"/>
      <c r="O76" s="10">
        <v>0</v>
      </c>
      <c r="P76" s="10">
        <v>78</v>
      </c>
      <c r="Q76" s="10">
        <f t="shared" si="22"/>
        <v>46.303600000000003</v>
      </c>
      <c r="R76" s="4">
        <f t="shared" ref="R76:R85" si="25">14*Q76-P76-O76-F76</f>
        <v>396.23239999999998</v>
      </c>
      <c r="S76" s="4"/>
      <c r="T76" s="10"/>
      <c r="U76" s="10">
        <f t="shared" si="23"/>
        <v>14</v>
      </c>
      <c r="V76" s="10">
        <f t="shared" si="24"/>
        <v>5.4427301548907643</v>
      </c>
      <c r="W76" s="10">
        <v>34.523600000000002</v>
      </c>
      <c r="X76" s="10">
        <v>41.204599999999999</v>
      </c>
      <c r="Y76" s="10">
        <v>35.339199999999998</v>
      </c>
      <c r="Z76" s="10">
        <v>34.457799999999999</v>
      </c>
      <c r="AA76" s="10">
        <v>35.2562</v>
      </c>
      <c r="AB76" s="10">
        <v>34.231000000000002</v>
      </c>
      <c r="AC76" s="10">
        <v>41.3934</v>
      </c>
      <c r="AD76" s="10">
        <v>24.980599999999999</v>
      </c>
      <c r="AE76" s="10"/>
      <c r="AF76" s="10">
        <f t="shared" ref="AF76:AF85" si="26">G76*R76</f>
        <v>396.23239999999998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x14ac:dyDescent="0.25">
      <c r="A77" s="10" t="s">
        <v>116</v>
      </c>
      <c r="B77" s="10" t="s">
        <v>36</v>
      </c>
      <c r="C77" s="10">
        <v>94</v>
      </c>
      <c r="D77" s="10">
        <v>256</v>
      </c>
      <c r="E77" s="10">
        <v>239</v>
      </c>
      <c r="F77" s="10">
        <v>67</v>
      </c>
      <c r="G77" s="7">
        <v>0.35</v>
      </c>
      <c r="H77" s="10">
        <v>50</v>
      </c>
      <c r="I77" s="10" t="s">
        <v>37</v>
      </c>
      <c r="J77" s="10"/>
      <c r="K77" s="10">
        <v>251</v>
      </c>
      <c r="L77" s="10">
        <f t="shared" si="21"/>
        <v>-12</v>
      </c>
      <c r="M77" s="10"/>
      <c r="N77" s="10"/>
      <c r="O77" s="10">
        <v>153</v>
      </c>
      <c r="P77" s="10">
        <v>192</v>
      </c>
      <c r="Q77" s="10">
        <f t="shared" si="22"/>
        <v>47.8</v>
      </c>
      <c r="R77" s="4">
        <f t="shared" si="25"/>
        <v>257.19999999999993</v>
      </c>
      <c r="S77" s="4"/>
      <c r="T77" s="10"/>
      <c r="U77" s="10">
        <f t="shared" si="23"/>
        <v>14</v>
      </c>
      <c r="V77" s="10">
        <f t="shared" si="24"/>
        <v>8.6192468619246867</v>
      </c>
      <c r="W77" s="10">
        <v>48.6</v>
      </c>
      <c r="X77" s="10">
        <v>42.4</v>
      </c>
      <c r="Y77" s="10">
        <v>39.4</v>
      </c>
      <c r="Z77" s="10">
        <v>51.2</v>
      </c>
      <c r="AA77" s="10">
        <v>40.200000000000003</v>
      </c>
      <c r="AB77" s="10">
        <v>36.6</v>
      </c>
      <c r="AC77" s="10">
        <v>49.8</v>
      </c>
      <c r="AD77" s="10">
        <v>36.200000000000003</v>
      </c>
      <c r="AE77" s="10"/>
      <c r="AF77" s="10">
        <f t="shared" si="26"/>
        <v>90.019999999999968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49" x14ac:dyDescent="0.25">
      <c r="A78" s="10" t="s">
        <v>117</v>
      </c>
      <c r="B78" s="10" t="s">
        <v>36</v>
      </c>
      <c r="C78" s="10">
        <v>75</v>
      </c>
      <c r="D78" s="10"/>
      <c r="E78" s="10">
        <v>25</v>
      </c>
      <c r="F78" s="10">
        <v>50</v>
      </c>
      <c r="G78" s="7">
        <v>0.3</v>
      </c>
      <c r="H78" s="10">
        <v>50</v>
      </c>
      <c r="I78" s="10" t="s">
        <v>37</v>
      </c>
      <c r="J78" s="10"/>
      <c r="K78" s="10">
        <v>25</v>
      </c>
      <c r="L78" s="10">
        <f t="shared" si="21"/>
        <v>0</v>
      </c>
      <c r="M78" s="10"/>
      <c r="N78" s="10"/>
      <c r="O78" s="10">
        <v>0</v>
      </c>
      <c r="P78" s="10">
        <v>23</v>
      </c>
      <c r="Q78" s="10">
        <f t="shared" si="22"/>
        <v>5</v>
      </c>
      <c r="R78" s="4"/>
      <c r="S78" s="4"/>
      <c r="T78" s="10"/>
      <c r="U78" s="10">
        <f t="shared" si="23"/>
        <v>14.6</v>
      </c>
      <c r="V78" s="10">
        <f t="shared" si="24"/>
        <v>14.6</v>
      </c>
      <c r="W78" s="10">
        <v>7</v>
      </c>
      <c r="X78" s="10">
        <v>4.4000000000000004</v>
      </c>
      <c r="Y78" s="10">
        <v>11.4</v>
      </c>
      <c r="Z78" s="10">
        <v>3</v>
      </c>
      <c r="AA78" s="10">
        <v>4.5999999999999996</v>
      </c>
      <c r="AB78" s="10">
        <v>9.1999999999999993</v>
      </c>
      <c r="AC78" s="10">
        <v>4.4000000000000004</v>
      </c>
      <c r="AD78" s="10">
        <v>7</v>
      </c>
      <c r="AE78" s="10"/>
      <c r="AF78" s="10">
        <f t="shared" si="26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spans="1:49" x14ac:dyDescent="0.25">
      <c r="A79" s="10" t="s">
        <v>118</v>
      </c>
      <c r="B79" s="10" t="s">
        <v>36</v>
      </c>
      <c r="C79" s="10">
        <v>-1</v>
      </c>
      <c r="D79" s="10">
        <v>83</v>
      </c>
      <c r="E79" s="10">
        <v>60</v>
      </c>
      <c r="F79" s="10">
        <v>14</v>
      </c>
      <c r="G79" s="7">
        <v>0.3</v>
      </c>
      <c r="H79" s="10">
        <v>60</v>
      </c>
      <c r="I79" s="10" t="s">
        <v>37</v>
      </c>
      <c r="J79" s="10"/>
      <c r="K79" s="10">
        <v>60</v>
      </c>
      <c r="L79" s="10">
        <f t="shared" si="21"/>
        <v>0</v>
      </c>
      <c r="M79" s="10"/>
      <c r="N79" s="10"/>
      <c r="O79" s="10">
        <v>0</v>
      </c>
      <c r="P79" s="10">
        <v>10</v>
      </c>
      <c r="Q79" s="10">
        <f t="shared" si="22"/>
        <v>12</v>
      </c>
      <c r="R79" s="4">
        <f t="shared" ref="R79:R80" si="27">11*Q79-P79-O79-F79</f>
        <v>108</v>
      </c>
      <c r="S79" s="4"/>
      <c r="T79" s="10"/>
      <c r="U79" s="10">
        <f t="shared" si="23"/>
        <v>11</v>
      </c>
      <c r="V79" s="10">
        <f t="shared" si="24"/>
        <v>2</v>
      </c>
      <c r="W79" s="10">
        <v>6.8</v>
      </c>
      <c r="X79" s="10">
        <v>9.6</v>
      </c>
      <c r="Y79" s="10">
        <v>6.4</v>
      </c>
      <c r="Z79" s="10">
        <v>12</v>
      </c>
      <c r="AA79" s="10">
        <v>8.1999999999999993</v>
      </c>
      <c r="AB79" s="10">
        <v>6.4</v>
      </c>
      <c r="AC79" s="10">
        <v>12.2</v>
      </c>
      <c r="AD79" s="10">
        <v>5</v>
      </c>
      <c r="AE79" s="10"/>
      <c r="AF79" s="10">
        <f t="shared" si="26"/>
        <v>32.4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spans="1:49" x14ac:dyDescent="0.25">
      <c r="A80" s="10" t="s">
        <v>119</v>
      </c>
      <c r="B80" s="10" t="s">
        <v>36</v>
      </c>
      <c r="C80" s="10">
        <v>104</v>
      </c>
      <c r="D80" s="10">
        <v>81</v>
      </c>
      <c r="E80" s="10">
        <v>125</v>
      </c>
      <c r="F80" s="10">
        <v>46</v>
      </c>
      <c r="G80" s="7">
        <v>0.28000000000000003</v>
      </c>
      <c r="H80" s="10">
        <v>50</v>
      </c>
      <c r="I80" s="10" t="s">
        <v>37</v>
      </c>
      <c r="J80" s="10"/>
      <c r="K80" s="10">
        <v>127</v>
      </c>
      <c r="L80" s="10">
        <f t="shared" si="21"/>
        <v>-2</v>
      </c>
      <c r="M80" s="10"/>
      <c r="N80" s="10"/>
      <c r="O80" s="10">
        <v>0</v>
      </c>
      <c r="P80" s="10"/>
      <c r="Q80" s="10">
        <f t="shared" si="22"/>
        <v>25</v>
      </c>
      <c r="R80" s="4">
        <f t="shared" si="27"/>
        <v>229</v>
      </c>
      <c r="S80" s="4"/>
      <c r="T80" s="10"/>
      <c r="U80" s="10">
        <f t="shared" si="23"/>
        <v>11</v>
      </c>
      <c r="V80" s="10">
        <f t="shared" si="24"/>
        <v>1.84</v>
      </c>
      <c r="W80" s="10">
        <v>12</v>
      </c>
      <c r="X80" s="10">
        <v>18.399999999999999</v>
      </c>
      <c r="Y80" s="10">
        <v>18</v>
      </c>
      <c r="Z80" s="10">
        <v>17.600000000000001</v>
      </c>
      <c r="AA80" s="10">
        <v>15.8</v>
      </c>
      <c r="AB80" s="10">
        <v>11.2</v>
      </c>
      <c r="AC80" s="10">
        <v>10</v>
      </c>
      <c r="AD80" s="10">
        <v>11.6</v>
      </c>
      <c r="AE80" s="10"/>
      <c r="AF80" s="10">
        <f t="shared" si="26"/>
        <v>64.12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spans="1:49" x14ac:dyDescent="0.25">
      <c r="A81" s="10" t="s">
        <v>120</v>
      </c>
      <c r="B81" s="10" t="s">
        <v>36</v>
      </c>
      <c r="C81" s="10">
        <v>84</v>
      </c>
      <c r="D81" s="10">
        <v>299</v>
      </c>
      <c r="E81" s="10">
        <v>194</v>
      </c>
      <c r="F81" s="10">
        <v>156</v>
      </c>
      <c r="G81" s="7">
        <v>0.28000000000000003</v>
      </c>
      <c r="H81" s="10">
        <v>45</v>
      </c>
      <c r="I81" s="10" t="s">
        <v>37</v>
      </c>
      <c r="J81" s="10"/>
      <c r="K81" s="10">
        <v>200</v>
      </c>
      <c r="L81" s="10">
        <f t="shared" si="21"/>
        <v>-6</v>
      </c>
      <c r="M81" s="10"/>
      <c r="N81" s="10"/>
      <c r="O81" s="10">
        <v>0</v>
      </c>
      <c r="P81" s="10"/>
      <c r="Q81" s="10">
        <f t="shared" si="22"/>
        <v>38.799999999999997</v>
      </c>
      <c r="R81" s="4">
        <f>13*Q81-P81-O81-F81</f>
        <v>348.4</v>
      </c>
      <c r="S81" s="4"/>
      <c r="T81" s="10"/>
      <c r="U81" s="10">
        <f t="shared" si="23"/>
        <v>13</v>
      </c>
      <c r="V81" s="10">
        <f t="shared" si="24"/>
        <v>4.0206185567010309</v>
      </c>
      <c r="W81" s="10">
        <v>19</v>
      </c>
      <c r="X81" s="10">
        <v>41.8</v>
      </c>
      <c r="Y81" s="10">
        <v>32.6</v>
      </c>
      <c r="Z81" s="10">
        <v>17</v>
      </c>
      <c r="AA81" s="10">
        <v>31.2</v>
      </c>
      <c r="AB81" s="10">
        <v>30.8</v>
      </c>
      <c r="AC81" s="10">
        <v>33.6</v>
      </c>
      <c r="AD81" s="10">
        <v>32</v>
      </c>
      <c r="AE81" s="10"/>
      <c r="AF81" s="10">
        <f t="shared" si="26"/>
        <v>97.552000000000007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spans="1:49" x14ac:dyDescent="0.25">
      <c r="A82" s="10" t="s">
        <v>121</v>
      </c>
      <c r="B82" s="10" t="s">
        <v>36</v>
      </c>
      <c r="C82" s="10">
        <v>57</v>
      </c>
      <c r="D82" s="10">
        <v>154</v>
      </c>
      <c r="E82" s="10">
        <v>111</v>
      </c>
      <c r="F82" s="10">
        <v>76</v>
      </c>
      <c r="G82" s="7">
        <v>0.28000000000000003</v>
      </c>
      <c r="H82" s="10">
        <v>45</v>
      </c>
      <c r="I82" s="10" t="s">
        <v>37</v>
      </c>
      <c r="J82" s="10"/>
      <c r="K82" s="10">
        <v>115</v>
      </c>
      <c r="L82" s="10">
        <f t="shared" si="21"/>
        <v>-4</v>
      </c>
      <c r="M82" s="10"/>
      <c r="N82" s="10"/>
      <c r="O82" s="10">
        <v>59</v>
      </c>
      <c r="P82" s="10">
        <v>73</v>
      </c>
      <c r="Q82" s="10">
        <f t="shared" si="22"/>
        <v>22.2</v>
      </c>
      <c r="R82" s="4">
        <f t="shared" si="25"/>
        <v>102.80000000000001</v>
      </c>
      <c r="S82" s="4"/>
      <c r="T82" s="10"/>
      <c r="U82" s="10">
        <f t="shared" si="23"/>
        <v>14.000000000000002</v>
      </c>
      <c r="V82" s="10">
        <f t="shared" si="24"/>
        <v>9.3693693693693696</v>
      </c>
      <c r="W82" s="10">
        <v>23.4</v>
      </c>
      <c r="X82" s="10">
        <v>22.8</v>
      </c>
      <c r="Y82" s="10">
        <v>20.8</v>
      </c>
      <c r="Z82" s="10">
        <v>25.2</v>
      </c>
      <c r="AA82" s="10">
        <v>19.399999999999999</v>
      </c>
      <c r="AB82" s="10">
        <v>20.6</v>
      </c>
      <c r="AC82" s="10">
        <v>24</v>
      </c>
      <c r="AD82" s="10">
        <v>17.600000000000001</v>
      </c>
      <c r="AE82" s="10"/>
      <c r="AF82" s="10">
        <f t="shared" si="26"/>
        <v>28.784000000000006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spans="1:49" x14ac:dyDescent="0.25">
      <c r="A83" s="10" t="s">
        <v>122</v>
      </c>
      <c r="B83" s="10" t="s">
        <v>36</v>
      </c>
      <c r="C83" s="10">
        <v>234</v>
      </c>
      <c r="D83" s="10">
        <v>107</v>
      </c>
      <c r="E83" s="10">
        <v>253</v>
      </c>
      <c r="F83" s="10">
        <v>56</v>
      </c>
      <c r="G83" s="7">
        <v>0.28000000000000003</v>
      </c>
      <c r="H83" s="10">
        <v>45</v>
      </c>
      <c r="I83" s="10" t="s">
        <v>37</v>
      </c>
      <c r="J83" s="10"/>
      <c r="K83" s="10">
        <v>260</v>
      </c>
      <c r="L83" s="10">
        <f t="shared" si="21"/>
        <v>-7</v>
      </c>
      <c r="M83" s="10"/>
      <c r="N83" s="10"/>
      <c r="O83" s="10">
        <v>82</v>
      </c>
      <c r="P83" s="10">
        <v>103</v>
      </c>
      <c r="Q83" s="10">
        <f t="shared" si="22"/>
        <v>50.6</v>
      </c>
      <c r="R83" s="4">
        <f t="shared" si="25"/>
        <v>467.4</v>
      </c>
      <c r="S83" s="4"/>
      <c r="T83" s="10"/>
      <c r="U83" s="10">
        <f t="shared" si="23"/>
        <v>14</v>
      </c>
      <c r="V83" s="10">
        <f t="shared" si="24"/>
        <v>4.7628458498023711</v>
      </c>
      <c r="W83" s="10">
        <v>35.799999999999997</v>
      </c>
      <c r="X83" s="10">
        <v>37.6</v>
      </c>
      <c r="Y83" s="10">
        <v>45.8</v>
      </c>
      <c r="Z83" s="10">
        <v>38.6</v>
      </c>
      <c r="AA83" s="10">
        <v>30.6</v>
      </c>
      <c r="AB83" s="10">
        <v>25.8</v>
      </c>
      <c r="AC83" s="10">
        <v>25</v>
      </c>
      <c r="AD83" s="10">
        <v>22.6</v>
      </c>
      <c r="AE83" s="10"/>
      <c r="AF83" s="10">
        <f t="shared" si="26"/>
        <v>130.87200000000001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x14ac:dyDescent="0.25">
      <c r="A84" s="10" t="s">
        <v>123</v>
      </c>
      <c r="B84" s="10" t="s">
        <v>36</v>
      </c>
      <c r="C84" s="10"/>
      <c r="D84" s="10">
        <v>86</v>
      </c>
      <c r="E84" s="10">
        <v>84</v>
      </c>
      <c r="F84" s="10"/>
      <c r="G84" s="7">
        <v>0.4</v>
      </c>
      <c r="H84" s="10">
        <v>50</v>
      </c>
      <c r="I84" s="10" t="s">
        <v>37</v>
      </c>
      <c r="J84" s="10"/>
      <c r="K84" s="10">
        <v>122</v>
      </c>
      <c r="L84" s="10">
        <f t="shared" si="21"/>
        <v>-38</v>
      </c>
      <c r="M84" s="10"/>
      <c r="N84" s="10"/>
      <c r="O84" s="10">
        <v>0</v>
      </c>
      <c r="P84" s="10">
        <v>42</v>
      </c>
      <c r="Q84" s="10">
        <f t="shared" si="22"/>
        <v>16.8</v>
      </c>
      <c r="R84" s="4">
        <f>12*Q84-P84-O84-F84</f>
        <v>159.60000000000002</v>
      </c>
      <c r="S84" s="4"/>
      <c r="T84" s="10"/>
      <c r="U84" s="10">
        <f t="shared" si="23"/>
        <v>12</v>
      </c>
      <c r="V84" s="10">
        <f t="shared" si="24"/>
        <v>2.5</v>
      </c>
      <c r="W84" s="10">
        <v>4.8</v>
      </c>
      <c r="X84" s="10">
        <v>9.8000000000000007</v>
      </c>
      <c r="Y84" s="10">
        <v>0</v>
      </c>
      <c r="Z84" s="10">
        <v>7.6</v>
      </c>
      <c r="AA84" s="10">
        <v>0</v>
      </c>
      <c r="AB84" s="10">
        <v>0</v>
      </c>
      <c r="AC84" s="10">
        <v>0</v>
      </c>
      <c r="AD84" s="10">
        <v>0</v>
      </c>
      <c r="AE84" s="10" t="s">
        <v>124</v>
      </c>
      <c r="AF84" s="10">
        <f t="shared" si="26"/>
        <v>63.840000000000011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x14ac:dyDescent="0.25">
      <c r="A85" s="10" t="s">
        <v>125</v>
      </c>
      <c r="B85" s="10" t="s">
        <v>36</v>
      </c>
      <c r="C85" s="10">
        <v>12</v>
      </c>
      <c r="D85" s="10">
        <v>119</v>
      </c>
      <c r="E85" s="10">
        <v>64</v>
      </c>
      <c r="F85" s="10">
        <v>48</v>
      </c>
      <c r="G85" s="7">
        <v>0.3</v>
      </c>
      <c r="H85" s="10">
        <v>50</v>
      </c>
      <c r="I85" s="10" t="s">
        <v>37</v>
      </c>
      <c r="J85" s="10"/>
      <c r="K85" s="10">
        <v>80</v>
      </c>
      <c r="L85" s="10">
        <f t="shared" si="21"/>
        <v>-16</v>
      </c>
      <c r="M85" s="10"/>
      <c r="N85" s="10"/>
      <c r="O85" s="10">
        <v>62</v>
      </c>
      <c r="P85" s="10"/>
      <c r="Q85" s="10">
        <f t="shared" si="22"/>
        <v>12.8</v>
      </c>
      <c r="R85" s="4">
        <f t="shared" si="25"/>
        <v>69.200000000000017</v>
      </c>
      <c r="S85" s="4"/>
      <c r="T85" s="10"/>
      <c r="U85" s="10">
        <f t="shared" si="23"/>
        <v>14</v>
      </c>
      <c r="V85" s="10">
        <f t="shared" si="24"/>
        <v>8.59375</v>
      </c>
      <c r="W85" s="10">
        <v>13.8</v>
      </c>
      <c r="X85" s="10">
        <v>13.2</v>
      </c>
      <c r="Y85" s="10">
        <v>7.4</v>
      </c>
      <c r="Z85" s="10">
        <v>14.2</v>
      </c>
      <c r="AA85" s="10">
        <v>14</v>
      </c>
      <c r="AB85" s="10">
        <v>11.6</v>
      </c>
      <c r="AC85" s="10">
        <v>15</v>
      </c>
      <c r="AD85" s="10">
        <v>8.4</v>
      </c>
      <c r="AE85" s="10"/>
      <c r="AF85" s="10">
        <f t="shared" si="26"/>
        <v>20.760000000000005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x14ac:dyDescent="0.25">
      <c r="A86" s="15" t="s">
        <v>126</v>
      </c>
      <c r="B86" s="15" t="s">
        <v>36</v>
      </c>
      <c r="C86" s="15"/>
      <c r="D86" s="15"/>
      <c r="E86" s="15"/>
      <c r="F86" s="15"/>
      <c r="G86" s="16">
        <v>0</v>
      </c>
      <c r="H86" s="15">
        <v>30</v>
      </c>
      <c r="I86" s="15" t="s">
        <v>37</v>
      </c>
      <c r="J86" s="15"/>
      <c r="K86" s="15"/>
      <c r="L86" s="15">
        <f t="shared" si="21"/>
        <v>0</v>
      </c>
      <c r="M86" s="15"/>
      <c r="N86" s="15"/>
      <c r="O86" s="15">
        <v>0</v>
      </c>
      <c r="P86" s="15"/>
      <c r="Q86" s="15">
        <f t="shared" si="22"/>
        <v>0</v>
      </c>
      <c r="R86" s="17"/>
      <c r="S86" s="17"/>
      <c r="T86" s="15"/>
      <c r="U86" s="15" t="e">
        <f t="shared" si="23"/>
        <v>#DIV/0!</v>
      </c>
      <c r="V86" s="15" t="e">
        <f t="shared" si="24"/>
        <v>#DIV/0!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 t="s">
        <v>127</v>
      </c>
      <c r="AF86" s="15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49" x14ac:dyDescent="0.25">
      <c r="A87" s="10" t="s">
        <v>128</v>
      </c>
      <c r="B87" s="10" t="s">
        <v>39</v>
      </c>
      <c r="C87" s="10"/>
      <c r="D87" s="10"/>
      <c r="E87" s="10"/>
      <c r="F87" s="10"/>
      <c r="G87" s="7">
        <v>1</v>
      </c>
      <c r="H87" s="10">
        <v>30</v>
      </c>
      <c r="I87" s="10" t="s">
        <v>37</v>
      </c>
      <c r="J87" s="10"/>
      <c r="K87" s="10"/>
      <c r="L87" s="10">
        <f t="shared" si="21"/>
        <v>0</v>
      </c>
      <c r="M87" s="10"/>
      <c r="N87" s="10"/>
      <c r="O87" s="10">
        <v>6</v>
      </c>
      <c r="P87" s="10"/>
      <c r="Q87" s="10">
        <f t="shared" si="22"/>
        <v>0</v>
      </c>
      <c r="R87" s="4">
        <v>6</v>
      </c>
      <c r="S87" s="4"/>
      <c r="T87" s="10"/>
      <c r="U87" s="10" t="e">
        <f t="shared" si="23"/>
        <v>#DIV/0!</v>
      </c>
      <c r="V87" s="10" t="e">
        <f t="shared" si="24"/>
        <v>#DIV/0!</v>
      </c>
      <c r="W87" s="10">
        <v>0.54080000000000006</v>
      </c>
      <c r="X87" s="10">
        <v>0.1772</v>
      </c>
      <c r="Y87" s="10">
        <v>1.224</v>
      </c>
      <c r="Z87" s="10">
        <v>0.5544</v>
      </c>
      <c r="AA87" s="10">
        <v>0</v>
      </c>
      <c r="AB87" s="10">
        <v>0</v>
      </c>
      <c r="AC87" s="10">
        <v>0</v>
      </c>
      <c r="AD87" s="10">
        <v>0</v>
      </c>
      <c r="AE87" s="10" t="s">
        <v>95</v>
      </c>
      <c r="AF87" s="10">
        <f>G87*R87</f>
        <v>6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49" x14ac:dyDescent="0.25">
      <c r="A88" s="15" t="s">
        <v>129</v>
      </c>
      <c r="B88" s="15" t="s">
        <v>36</v>
      </c>
      <c r="C88" s="15"/>
      <c r="D88" s="15"/>
      <c r="E88" s="15"/>
      <c r="F88" s="15"/>
      <c r="G88" s="16">
        <v>0</v>
      </c>
      <c r="H88" s="15">
        <v>50</v>
      </c>
      <c r="I88" s="15" t="s">
        <v>37</v>
      </c>
      <c r="J88" s="15"/>
      <c r="K88" s="15"/>
      <c r="L88" s="15">
        <f t="shared" si="21"/>
        <v>0</v>
      </c>
      <c r="M88" s="15"/>
      <c r="N88" s="15"/>
      <c r="O88" s="15">
        <v>0</v>
      </c>
      <c r="P88" s="15"/>
      <c r="Q88" s="15">
        <f t="shared" si="22"/>
        <v>0</v>
      </c>
      <c r="R88" s="17"/>
      <c r="S88" s="17"/>
      <c r="T88" s="15"/>
      <c r="U88" s="15" t="e">
        <f t="shared" si="23"/>
        <v>#DIV/0!</v>
      </c>
      <c r="V88" s="15" t="e">
        <f t="shared" si="24"/>
        <v>#DIV/0!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 t="s">
        <v>44</v>
      </c>
      <c r="AF88" s="15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49" x14ac:dyDescent="0.25">
      <c r="A89" s="15" t="s">
        <v>130</v>
      </c>
      <c r="B89" s="15" t="s">
        <v>36</v>
      </c>
      <c r="C89" s="15"/>
      <c r="D89" s="15"/>
      <c r="E89" s="15"/>
      <c r="F89" s="15"/>
      <c r="G89" s="16">
        <v>0</v>
      </c>
      <c r="H89" s="15">
        <v>50</v>
      </c>
      <c r="I89" s="15" t="s">
        <v>37</v>
      </c>
      <c r="J89" s="15"/>
      <c r="K89" s="15"/>
      <c r="L89" s="15">
        <f t="shared" si="21"/>
        <v>0</v>
      </c>
      <c r="M89" s="15"/>
      <c r="N89" s="15"/>
      <c r="O89" s="15">
        <v>0</v>
      </c>
      <c r="P89" s="15"/>
      <c r="Q89" s="15">
        <f t="shared" si="22"/>
        <v>0</v>
      </c>
      <c r="R89" s="17"/>
      <c r="S89" s="17"/>
      <c r="T89" s="15"/>
      <c r="U89" s="15" t="e">
        <f t="shared" si="23"/>
        <v>#DIV/0!</v>
      </c>
      <c r="V89" s="15" t="e">
        <f t="shared" si="24"/>
        <v>#DIV/0!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 t="s">
        <v>44</v>
      </c>
      <c r="AF89" s="15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spans="1:49" x14ac:dyDescent="0.25">
      <c r="A90" s="10" t="s">
        <v>131</v>
      </c>
      <c r="B90" s="10" t="s">
        <v>36</v>
      </c>
      <c r="C90" s="10">
        <v>25</v>
      </c>
      <c r="D90" s="10"/>
      <c r="E90" s="10">
        <v>25</v>
      </c>
      <c r="F90" s="10"/>
      <c r="G90" s="7">
        <v>0.4</v>
      </c>
      <c r="H90" s="10">
        <v>60</v>
      </c>
      <c r="I90" s="10" t="s">
        <v>37</v>
      </c>
      <c r="J90" s="10"/>
      <c r="K90" s="10">
        <v>27</v>
      </c>
      <c r="L90" s="10">
        <f t="shared" si="21"/>
        <v>-2</v>
      </c>
      <c r="M90" s="10"/>
      <c r="N90" s="10"/>
      <c r="O90" s="10">
        <v>34</v>
      </c>
      <c r="P90" s="10"/>
      <c r="Q90" s="10">
        <f t="shared" si="22"/>
        <v>5</v>
      </c>
      <c r="R90" s="4">
        <f t="shared" ref="R90:R91" si="28">14*Q90-P90-O90-F90</f>
        <v>36</v>
      </c>
      <c r="S90" s="4"/>
      <c r="T90" s="10"/>
      <c r="U90" s="10">
        <f t="shared" si="23"/>
        <v>14</v>
      </c>
      <c r="V90" s="10">
        <f t="shared" si="24"/>
        <v>6.8</v>
      </c>
      <c r="W90" s="10">
        <v>3.8</v>
      </c>
      <c r="X90" s="10">
        <v>2.6</v>
      </c>
      <c r="Y90" s="10">
        <v>4.2</v>
      </c>
      <c r="Z90" s="10">
        <v>5.4</v>
      </c>
      <c r="AA90" s="10">
        <v>0.2</v>
      </c>
      <c r="AB90" s="10">
        <v>1.2</v>
      </c>
      <c r="AC90" s="10">
        <v>0</v>
      </c>
      <c r="AD90" s="10">
        <v>0</v>
      </c>
      <c r="AE90" s="10" t="s">
        <v>132</v>
      </c>
      <c r="AF90" s="10">
        <f>G90*R90</f>
        <v>14.4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49" x14ac:dyDescent="0.25">
      <c r="A91" s="10" t="s">
        <v>133</v>
      </c>
      <c r="B91" s="10" t="s">
        <v>36</v>
      </c>
      <c r="C91" s="10"/>
      <c r="D91" s="10">
        <v>64</v>
      </c>
      <c r="E91" s="10">
        <v>35</v>
      </c>
      <c r="F91" s="10">
        <v>18</v>
      </c>
      <c r="G91" s="7">
        <v>0.12</v>
      </c>
      <c r="H91" s="10">
        <v>60</v>
      </c>
      <c r="I91" s="9" t="s">
        <v>37</v>
      </c>
      <c r="J91" s="10"/>
      <c r="K91" s="10">
        <v>37</v>
      </c>
      <c r="L91" s="10">
        <f t="shared" si="21"/>
        <v>-2</v>
      </c>
      <c r="M91" s="10"/>
      <c r="N91" s="10"/>
      <c r="O91" s="10"/>
      <c r="P91" s="10"/>
      <c r="Q91" s="10">
        <f t="shared" si="22"/>
        <v>7</v>
      </c>
      <c r="R91" s="4">
        <f>12*Q91-P91-O91-F91</f>
        <v>66</v>
      </c>
      <c r="S91" s="4"/>
      <c r="T91" s="10"/>
      <c r="U91" s="10">
        <f t="shared" si="23"/>
        <v>12</v>
      </c>
      <c r="V91" s="10">
        <f t="shared" si="24"/>
        <v>2.5714285714285716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9" t="s">
        <v>134</v>
      </c>
      <c r="AF91" s="10">
        <f>G91*R91</f>
        <v>7.92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49" x14ac:dyDescent="0.25">
      <c r="A92" s="15" t="s">
        <v>135</v>
      </c>
      <c r="B92" s="15" t="s">
        <v>36</v>
      </c>
      <c r="C92" s="15">
        <v>6</v>
      </c>
      <c r="D92" s="15">
        <v>40</v>
      </c>
      <c r="E92" s="18">
        <v>1</v>
      </c>
      <c r="F92" s="18">
        <v>45</v>
      </c>
      <c r="G92" s="16">
        <v>0</v>
      </c>
      <c r="H92" s="15" t="e">
        <v>#N/A</v>
      </c>
      <c r="I92" s="15" t="s">
        <v>136</v>
      </c>
      <c r="J92" s="15" t="s">
        <v>101</v>
      </c>
      <c r="K92" s="15">
        <v>1</v>
      </c>
      <c r="L92" s="15">
        <f t="shared" si="21"/>
        <v>0</v>
      </c>
      <c r="M92" s="15"/>
      <c r="N92" s="15"/>
      <c r="O92" s="15">
        <v>0</v>
      </c>
      <c r="P92" s="15"/>
      <c r="Q92" s="15">
        <f t="shared" si="22"/>
        <v>0.2</v>
      </c>
      <c r="R92" s="17"/>
      <c r="S92" s="17"/>
      <c r="T92" s="15"/>
      <c r="U92" s="15">
        <f t="shared" si="23"/>
        <v>225</v>
      </c>
      <c r="V92" s="15">
        <f t="shared" si="24"/>
        <v>225</v>
      </c>
      <c r="W92" s="15">
        <v>1.8</v>
      </c>
      <c r="X92" s="15">
        <v>2</v>
      </c>
      <c r="Y92" s="15">
        <v>1.6</v>
      </c>
      <c r="Z92" s="15">
        <v>4</v>
      </c>
      <c r="AA92" s="15">
        <v>4.4000000000000004</v>
      </c>
      <c r="AB92" s="15">
        <v>4.2</v>
      </c>
      <c r="AC92" s="15">
        <v>3.6</v>
      </c>
      <c r="AD92" s="15">
        <v>4</v>
      </c>
      <c r="AE92" s="15"/>
      <c r="AF92" s="15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49" x14ac:dyDescent="0.25">
      <c r="A93" s="15" t="s">
        <v>137</v>
      </c>
      <c r="B93" s="15" t="s">
        <v>39</v>
      </c>
      <c r="C93" s="15">
        <v>41.427</v>
      </c>
      <c r="D93" s="15"/>
      <c r="E93" s="18">
        <v>17.222999999999999</v>
      </c>
      <c r="F93" s="18">
        <v>24.204000000000001</v>
      </c>
      <c r="G93" s="16">
        <v>0</v>
      </c>
      <c r="H93" s="15" t="e">
        <v>#N/A</v>
      </c>
      <c r="I93" s="15" t="s">
        <v>136</v>
      </c>
      <c r="J93" s="15" t="s">
        <v>102</v>
      </c>
      <c r="K93" s="15">
        <v>16.5</v>
      </c>
      <c r="L93" s="15">
        <f t="shared" si="21"/>
        <v>0.72299999999999898</v>
      </c>
      <c r="M93" s="15"/>
      <c r="N93" s="15"/>
      <c r="O93" s="15">
        <v>0</v>
      </c>
      <c r="P93" s="15"/>
      <c r="Q93" s="15">
        <f t="shared" si="22"/>
        <v>3.4445999999999999</v>
      </c>
      <c r="R93" s="17"/>
      <c r="S93" s="17"/>
      <c r="T93" s="15"/>
      <c r="U93" s="15">
        <f t="shared" si="23"/>
        <v>7.0266504093363533</v>
      </c>
      <c r="V93" s="15">
        <f t="shared" si="24"/>
        <v>7.0266504093363533</v>
      </c>
      <c r="W93" s="15">
        <v>5.3028000000000004</v>
      </c>
      <c r="X93" s="15">
        <v>8.3162000000000003</v>
      </c>
      <c r="Y93" s="15">
        <v>4.0164</v>
      </c>
      <c r="Z93" s="15">
        <v>7.766</v>
      </c>
      <c r="AA93" s="15">
        <v>6.8492000000000006</v>
      </c>
      <c r="AB93" s="15">
        <v>13.055199999999999</v>
      </c>
      <c r="AC93" s="15">
        <v>7.8226000000000004</v>
      </c>
      <c r="AD93" s="15">
        <v>10.8254</v>
      </c>
      <c r="AE93" s="15"/>
      <c r="AF93" s="15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49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49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49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spans="1:49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spans="1:49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spans="1:49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spans="1:49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spans="1:49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spans="1:49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spans="1:49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spans="1:49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spans="1:49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spans="1:49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spans="1:49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spans="1:49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spans="1:49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spans="1:49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spans="1:49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spans="1:49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spans="1:49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spans="1:49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spans="1:49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spans="1:49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spans="1:49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spans="1:49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spans="1:49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spans="1:49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spans="1:49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spans="1:49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spans="1:49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spans="1:49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spans="1:49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spans="1:49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spans="1:49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spans="1:49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spans="1:49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spans="1:49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spans="1:49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spans="1:49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spans="1:49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spans="1:49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spans="1:49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spans="1:49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spans="1:49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spans="1:49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spans="1:49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spans="1:49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spans="1:49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spans="1:49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spans="1:49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spans="1:49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spans="1:49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spans="1:49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spans="1:49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spans="1:49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spans="1:49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spans="1:49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spans="1:49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spans="1:49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spans="1:49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spans="1:49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spans="1:49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spans="1:49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spans="1:49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spans="1:49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spans="1:49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spans="1:49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spans="1:49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spans="1:49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spans="1:49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spans="1:49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spans="1:49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spans="1:49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spans="1:49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spans="1:49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spans="1:49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spans="1:49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spans="1:49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spans="1:49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spans="1:49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spans="1:49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spans="1:49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spans="1:49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spans="1:49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spans="1:49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spans="1:49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spans="1:49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spans="1:49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spans="1:49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spans="1:49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spans="1:49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spans="1:49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spans="1:49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spans="1:49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spans="1:49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spans="1:49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spans="1:49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spans="1:49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spans="1:49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spans="1:49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spans="1:49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spans="1:49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spans="1:49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spans="1:49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spans="1:49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spans="1:49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spans="1:49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spans="1:49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spans="1:49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spans="1:49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spans="1:49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spans="1:49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spans="1:49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spans="1:49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spans="1:49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spans="1:49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spans="1:49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spans="1:49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spans="1:49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spans="1:49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spans="1:49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spans="1:49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spans="1:49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spans="1:49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spans="1:49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spans="1:49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spans="1:49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spans="1:49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spans="1:49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spans="1:49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spans="1:49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spans="1:49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spans="1:49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spans="1:49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spans="1:49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spans="1:49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spans="1:49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spans="1:49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spans="1:49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spans="1:49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spans="1:49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spans="1:49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spans="1:49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spans="1:49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spans="1:49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spans="1:49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spans="1:49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spans="1:49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spans="1:49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spans="1:49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spans="1:49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spans="1:49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spans="1:49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spans="1:49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spans="1:49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spans="1:49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spans="1:49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spans="1:49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spans="1:49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spans="1:49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spans="1:49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spans="1:49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spans="1:49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spans="1:49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spans="1:49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spans="1:49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spans="1:49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spans="1:49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spans="1:49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spans="1:49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spans="1:49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spans="1:49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spans="1:49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spans="1:49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spans="1:49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spans="1:49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spans="1:49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spans="1:49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spans="1:49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spans="1:49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spans="1:49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spans="1:49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spans="1:49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spans="1:49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spans="1:49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spans="1:49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spans="1:49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spans="1:49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spans="1:49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spans="1:49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spans="1:49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spans="1:49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spans="1:49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spans="1:49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spans="1:49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spans="1:49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spans="1:49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spans="1:49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spans="1:49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spans="1:49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spans="1:49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spans="1:49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spans="1:49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spans="1:49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spans="1:49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spans="1:49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spans="1:49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spans="1:49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spans="1:49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spans="1:49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spans="1:49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spans="1:49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spans="1:49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spans="1:49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spans="1:49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spans="1:49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spans="1:49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spans="1:49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spans="1:49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spans="1:49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spans="1:49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spans="1:49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spans="1:49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spans="1:49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spans="1:49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spans="1:49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spans="1:49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spans="1:49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spans="1:49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spans="1:49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spans="1:49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spans="1:49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spans="1:49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spans="1:49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spans="1:49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spans="1:49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spans="1:49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spans="1:49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spans="1:49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spans="1:49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spans="1:49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spans="1:49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spans="1:49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spans="1:49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spans="1:49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spans="1:49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spans="1:49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spans="1:49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spans="1:49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spans="1:49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spans="1:49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spans="1:49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spans="1:49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spans="1:49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spans="1:49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spans="1:49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spans="1:49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spans="1:49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spans="1:49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spans="1:49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spans="1:49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spans="1:49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spans="1:49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spans="1:49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spans="1:49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spans="1:49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spans="1:49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spans="1:49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spans="1:49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spans="1:49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spans="1:49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spans="1:49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spans="1:49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spans="1:49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spans="1:49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spans="1:49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spans="1:49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spans="1:49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spans="1:49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spans="1:49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spans="1:49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spans="1:49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spans="1:49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spans="1:49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spans="1:49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spans="1:49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spans="1:49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spans="1:49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spans="1:49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spans="1:49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spans="1:49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spans="1:49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spans="1:49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spans="1:49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spans="1:49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spans="1:49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spans="1:49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spans="1:49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spans="1:49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spans="1:49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spans="1:49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spans="1:49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spans="1:49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spans="1:49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spans="1:49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spans="1:49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spans="1:49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spans="1:49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spans="1:49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spans="1:49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spans="1:49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spans="1:49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spans="1:49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spans="1:49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spans="1:49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spans="1:49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spans="1:49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spans="1:49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spans="1:49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spans="1:49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spans="1:49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spans="1:49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spans="1:49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spans="1:49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spans="1:49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spans="1:49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spans="1:49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spans="1:49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spans="1:49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spans="1:49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spans="1:49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spans="1:49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spans="1:49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spans="1:49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spans="1:49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spans="1:49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spans="1:49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spans="1:49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spans="1:49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spans="1:49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spans="1:49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spans="1:49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spans="1:49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spans="1:49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spans="1:49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spans="1:49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spans="1:49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spans="1:49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spans="1:49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spans="1:49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spans="1:49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spans="1:49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spans="1:49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spans="1:49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spans="1:49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spans="1:49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spans="1:49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spans="1:49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spans="1:49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spans="1:49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spans="1:49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spans="1:49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spans="1:49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spans="1:49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spans="1:49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spans="1:49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spans="1:49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spans="1:49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spans="1:49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spans="1:49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spans="1:49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spans="1:49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spans="1:49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spans="1:49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spans="1:49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spans="1:49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spans="1:49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spans="1:49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spans="1:49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spans="1:49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spans="1:49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spans="1:49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spans="1:49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spans="1:49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spans="1:49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spans="1:49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spans="1:49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spans="1:49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spans="1:49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spans="1:49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2025-12-09T12:53:08Z</dcterms:created>
  <dcterms:modified xsi:type="dcterms:W3CDTF">2025-12-09T13:07:12Z</dcterms:modified>
</cp:coreProperties>
</file>