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A3E1F8E-EA12-437E-9236-FF2FD51BBD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<sst xmlns="http://schemas.openxmlformats.org/spreadsheetml/2006/main" count="1761" uniqueCount="407">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</sst>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5"/>
  <sheetViews>
    <sheetView showGridLines="0" tabSelected="1" topLeftCell="A268" zoomScaleNormal="100" zoomScaleSheetLayoutView="100" workbookViewId="0">
      <selection activeCell="X151" sqref="X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175</v>
      </c>
      <c r="Y96" s="55">
        <f t="shared" si="6"/>
        <v>175</v>
      </c>
      <c r="Z96" s="41">
        <f t="shared" si="7"/>
        <v>3.129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627.13</v>
      </c>
      <c r="BN96" s="81">
        <f t="shared" si="9"/>
        <v>627.13</v>
      </c>
      <c r="BO96" s="81">
        <f t="shared" si="10"/>
        <v>2.5</v>
      </c>
      <c r="BP96" s="81">
        <f t="shared" si="11"/>
        <v>2.5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182</v>
      </c>
      <c r="Y97" s="55">
        <f t="shared" si="6"/>
        <v>182</v>
      </c>
      <c r="Z97" s="41">
        <f t="shared" si="7"/>
        <v>3.2541600000000002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652.21519999999998</v>
      </c>
      <c r="BN97" s="81">
        <f t="shared" si="9"/>
        <v>652.21519999999998</v>
      </c>
      <c r="BO97" s="81">
        <f t="shared" si="10"/>
        <v>2.6</v>
      </c>
      <c r="BP97" s="81">
        <f t="shared" si="11"/>
        <v>2.6</v>
      </c>
    </row>
    <row r="98" spans="1:68" ht="27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si="6"/>
        <v>28</v>
      </c>
      <c r="Z99" s="41">
        <f t="shared" si="7"/>
        <v>0.50063999999999997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126.81760000000001</v>
      </c>
      <c r="BN99" s="81">
        <f t="shared" si="9"/>
        <v>126.81760000000001</v>
      </c>
      <c r="BO99" s="81">
        <f t="shared" si="10"/>
        <v>0.4</v>
      </c>
      <c r="BP99" s="81">
        <f t="shared" si="11"/>
        <v>0.4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385</v>
      </c>
      <c r="Y100" s="43">
        <f>IFERROR(SUM(Y94:Y99),"0")</f>
        <v>385</v>
      </c>
      <c r="Z100" s="43">
        <f>IFERROR(IF(Z94="",0,Z94),"0")+IFERROR(IF(Z95="",0,Z95),"0")+IFERROR(IF(Z96="",0,Z96),"0")+IFERROR(IF(Z97="",0,Z97),"0")+IFERROR(IF(Z98="",0,Z98),"0")+IFERROR(IF(Z99="",0,Z99),"0")</f>
        <v>6.8837999999999999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1145.7599999999998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28</v>
      </c>
      <c r="Y104" s="55">
        <f>IFERROR(IF(X104="","",X104),"")</f>
        <v>28</v>
      </c>
      <c r="Z104" s="41">
        <f>IFERROR(IF(X104="","",X104*0.00936),"")</f>
        <v>0.26207999999999998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69.753600000000006</v>
      </c>
      <c r="BN104" s="81">
        <f>IFERROR(Y104*I104,"0")</f>
        <v>69.753600000000006</v>
      </c>
      <c r="BO104" s="81">
        <f>IFERROR(X104/J104,"0")</f>
        <v>0.22222222222222221</v>
      </c>
      <c r="BP104" s="81">
        <f>IFERROR(Y104/J104,"0")</f>
        <v>0.22222222222222221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0.26207999999999998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60.480000000000004</v>
      </c>
      <c r="Y107" s="43">
        <f>IFERROR(SUMPRODUCT(Y104:Y105*H104:H105),"0")</f>
        <v>60.480000000000004</v>
      </c>
      <c r="Z107" s="42"/>
      <c r="AA107" s="67"/>
      <c r="AB107" s="67"/>
      <c r="AC107" s="67"/>
    </row>
    <row r="108" spans="1:68" ht="16.5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120</v>
      </c>
      <c r="Y117" s="55">
        <f t="shared" si="12"/>
        <v>120</v>
      </c>
      <c r="Z117" s="41">
        <f t="shared" si="13"/>
        <v>1.8599999999999999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806.35199999999998</v>
      </c>
      <c r="BN117" s="81">
        <f t="shared" si="15"/>
        <v>806.35199999999998</v>
      </c>
      <c r="BO117" s="81">
        <f t="shared" si="16"/>
        <v>1.4285714285714286</v>
      </c>
      <c r="BP117" s="81">
        <f t="shared" si="17"/>
        <v>1.4285714285714286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72</v>
      </c>
      <c r="Y118" s="55">
        <f t="shared" si="12"/>
        <v>72</v>
      </c>
      <c r="Z118" s="41">
        <f t="shared" si="13"/>
        <v>1.1160000000000001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525.6</v>
      </c>
      <c r="BN118" s="81">
        <f t="shared" si="15"/>
        <v>525.6</v>
      </c>
      <c r="BO118" s="81">
        <f t="shared" si="16"/>
        <v>0.8571428571428571</v>
      </c>
      <c r="BP118" s="81">
        <f t="shared" si="17"/>
        <v>0.8571428571428571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240</v>
      </c>
      <c r="Y119" s="43">
        <f>IFERROR(SUM(Y110:Y118),"0")</f>
        <v>240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3.72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1579.2</v>
      </c>
      <c r="Y120" s="43">
        <f>IFERROR(SUMPRODUCT(Y110:Y118*H110:H118),"0")</f>
        <v>1579.2</v>
      </c>
      <c r="Z120" s="42"/>
      <c r="AA120" s="67"/>
      <c r="AB120" s="67"/>
      <c r="AC120" s="67"/>
    </row>
    <row r="121" spans="1:68" ht="14.25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87</v>
      </c>
      <c r="Y131" s="55">
        <f>IFERROR(IF(X131="","",X131),"")</f>
        <v>87</v>
      </c>
      <c r="Z131" s="41">
        <f>IFERROR(IF(X131="","",X131*0.00941),"")</f>
        <v>0.81867000000000001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156.6</v>
      </c>
      <c r="BN131" s="81">
        <f>IFERROR(Y131*I131,"0")</f>
        <v>156.6</v>
      </c>
      <c r="BO131" s="81">
        <f>IFERROR(X131/J131,"0")</f>
        <v>0.62142857142857144</v>
      </c>
      <c r="BP131" s="81">
        <f>IFERROR(Y131/J131,"0")</f>
        <v>0.62142857142857144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80</v>
      </c>
      <c r="Y134" s="55">
        <f>IFERROR(IF(X134="","",X134),"")</f>
        <v>80</v>
      </c>
      <c r="Z134" s="41">
        <f>IFERROR(IF(X134="","",X134*0.00941),"")</f>
        <v>0.75280000000000002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144</v>
      </c>
      <c r="BN134" s="81">
        <f>IFERROR(Y134*I134,"0")</f>
        <v>144</v>
      </c>
      <c r="BO134" s="81">
        <f>IFERROR(X134/J134,"0")</f>
        <v>0.5714285714285714</v>
      </c>
      <c r="BP134" s="81">
        <f>IFERROR(Y134/J134,"0")</f>
        <v>0.5714285714285714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167</v>
      </c>
      <c r="Y135" s="43">
        <f>IFERROR(SUM(Y131:Y134),"0")</f>
        <v>167</v>
      </c>
      <c r="Z135" s="43">
        <f>IFERROR(IF(Z131="",0,Z131),"0")+IFERROR(IF(Z132="",0,Z132),"0")+IFERROR(IF(Z133="",0,Z133),"0")+IFERROR(IF(Z134="",0,Z134),"0")</f>
        <v>1.5714700000000001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230.45999999999998</v>
      </c>
      <c r="Y136" s="43">
        <f>IFERROR(SUMPRODUCT(Y131:Y134*H131:H134),"0")</f>
        <v>230.45999999999998</v>
      </c>
      <c r="Z136" s="42"/>
      <c r="AA136" s="67"/>
      <c r="AB136" s="67"/>
      <c r="AC136" s="67"/>
    </row>
    <row r="137" spans="1:68" ht="14.25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112</v>
      </c>
      <c r="Y145" s="55">
        <f>IFERROR(IF(X145="","",X145),"")</f>
        <v>112</v>
      </c>
      <c r="Z145" s="41">
        <f>IFERROR(IF(X145="","",X145*0.01788),"")</f>
        <v>2.0025599999999999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414.80319999999995</v>
      </c>
      <c r="BN145" s="81">
        <f>IFERROR(Y145*I145,"0")</f>
        <v>414.80319999999995</v>
      </c>
      <c r="BO145" s="81">
        <f>IFERROR(X145/J145,"0")</f>
        <v>1.6</v>
      </c>
      <c r="BP145" s="81">
        <f>IFERROR(Y145/J145,"0")</f>
        <v>1.6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294</v>
      </c>
      <c r="Y147" s="43">
        <f>IFERROR(SUM(Y145:Y146),"0")</f>
        <v>294</v>
      </c>
      <c r="Z147" s="43">
        <f>IFERROR(IF(Z145="",0,Z145),"0")+IFERROR(IF(Z146="",0,Z146),"0")</f>
        <v>5.2567199999999996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882</v>
      </c>
      <c r="Y148" s="43">
        <f>IFERROR(SUMPRODUCT(Y145:Y146*H145:H146),"0")</f>
        <v>882</v>
      </c>
      <c r="Z148" s="42"/>
      <c r="AA148" s="67"/>
      <c r="AB148" s="67"/>
      <c r="AC148" s="67"/>
    </row>
    <row r="149" spans="1:68" ht="16.5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3897.8999999999996</v>
      </c>
      <c r="Y282" s="43">
        <f>IFERROR(Y31+Y37+Y44+Y50+Y58+Y63+Y68+Y74+Y80+Y85+Y91+Y101+Y107+Y120+Y124+Y128+Y136+Y142+Y148+Y154+Y160+Y165+Y170+Y175+Y182+Y187+Y196+Y202+Y208+Y214+Y219+Y224+Y230+Y236+Y240+Y246+Y250+Y258+Y262+Y268+Y281,"0")</f>
        <v>2752.1400000000003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4519.8675999999996</v>
      </c>
      <c r="Y283" s="43">
        <f>IFERROR(SUM(BN22:BN279),"0")</f>
        <v>4519.8675999999996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14</v>
      </c>
      <c r="Y284" s="44">
        <f>ROUNDUP(SUM(BP22:BP279),0)</f>
        <v>14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4869.8675999999996</v>
      </c>
      <c r="Y285" s="43">
        <f>GrossWeightTotalR+PalletQtyTotalR*25</f>
        <v>4869.8675999999996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1114</v>
      </c>
      <c r="Y286" s="43">
        <f>IFERROR(Y30+Y36+Y43+Y49+Y57+Y62+Y67+Y73+Y79+Y84+Y90+Y100+Y106+Y119+Y123+Y127+Y135+Y141+Y147+Y153+Y159+Y164+Y169+Y174+Y181+Y186+Y195+Y201+Y207+Y213+Y218+Y223+Y229+Y235+Y239+Y245+Y249+Y257+Y261+Y267+Y280,"0")</f>
        <v>1114</v>
      </c>
      <c r="Z286" s="42"/>
      <c r="AA286" s="67"/>
      <c r="AB286" s="67"/>
      <c r="AC286" s="67"/>
    </row>
    <row r="287" spans="1:68" ht="14.25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17.69407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1145.7599999999998</v>
      </c>
      <c r="L292" s="52">
        <f>IFERROR(X104*H104,"0")+IFERROR(X105*H105,"0")</f>
        <v>60.480000000000004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1579.2</v>
      </c>
      <c r="N292" s="1"/>
      <c r="O292" s="52">
        <f>IFERROR(X131*H131,"0")+IFERROR(X132*H132,"0")+IFERROR(X133*H133,"0")+IFERROR(X134*H134,"0")+IFERROR(X138*H138,"0")+IFERROR(X139*H139,"0")+IFERROR(X140*H140,"0")</f>
        <v>230.45999999999998</v>
      </c>
      <c r="P292" s="52">
        <f>IFERROR(X145*H145,"0")+IFERROR(X146*H146,"0")</f>
        <v>882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1579.2</v>
      </c>
      <c r="B295" s="72">
        <f>SUMPRODUCT(--(BB:BB="ПГП"),--(W:W="кор"),H:H,Y:Y)+SUMPRODUCT(--(BB:BB="ПГП"),--(W:W="кг"),Y:Y)</f>
        <v>2318.6999999999998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2026-10-22T10:51:23Z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