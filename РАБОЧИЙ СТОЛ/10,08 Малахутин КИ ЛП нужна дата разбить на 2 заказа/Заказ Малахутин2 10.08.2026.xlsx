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0,08,26 Малахутин КИ ЛП нужна дата разбить на 2 заказа\"/>
    </mc:Choice>
  </mc:AlternateContent>
  <xr:revisionPtr revIDLastSave="0" documentId="13_ncr:1_{FF48E0DE-2CE0-4200-A383-52EBD8094F2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7" i="2" s="1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Y557" i="2" s="1"/>
  <c r="Z75" i="2"/>
  <c r="Y558" i="2"/>
  <c r="Z396" i="2"/>
  <c r="Z42" i="2"/>
  <c r="Z559" i="2"/>
  <c r="Z350" i="2"/>
  <c r="Z524" i="2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<sst xmlns="http://schemas.openxmlformats.org/spreadsheetml/2006/main" count="4262" uniqueCount="913">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</sst>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5000</v>
      </c>
      <c r="Y464" s="55">
        <f>IFERROR(IF(X464="",0,CEILING((X464/$H464),1)*$H464),"")</f>
        <v>5004</v>
      </c>
      <c r="Z464" s="41">
        <f>IFERROR(IF(Y464=0,"",ROUNDUP(Y464/H464,0)*0.01898),"")</f>
        <v>10.55288</v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5274.4444444444443</v>
      </c>
      <c r="BN464" s="78">
        <f>IFERROR(Y464*I464/H464,"0")</f>
        <v>5278.6640000000007</v>
      </c>
      <c r="BO464" s="78">
        <f>IFERROR(1/J464*(X464/H464),"0")</f>
        <v>8.6805555555555554</v>
      </c>
      <c r="BP464" s="78">
        <f>IFERROR(1/J464*(Y464/H464),"0")</f>
        <v>8.6875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555.55555555555554</v>
      </c>
      <c r="Y467" s="43">
        <f>IFERROR(Y464/H464,"0")+IFERROR(Y465/H465,"0")+IFERROR(Y466/H466,"0")</f>
        <v>556</v>
      </c>
      <c r="Z467" s="43">
        <f>IFERROR(IF(Z464="",0,Z464),"0")+IFERROR(IF(Z465="",0,Z465),"0")+IFERROR(IF(Z466="",0,Z466),"0")</f>
        <v>10.55288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5000</v>
      </c>
      <c r="Y468" s="43">
        <f>IFERROR(SUM(Y464:Y466),"0")</f>
        <v>5004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5000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5004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5274.4444444444443</v>
      </c>
      <c r="Y555" s="43">
        <f>IFERROR(SUM(BN22:BN551),"0")</f>
        <v>5278.6640000000007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9</v>
      </c>
      <c r="Y556" s="44">
        <f>ROUNDUP(SUM(BP22:BP551),0)</f>
        <v>9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5499.4444444444443</v>
      </c>
      <c r="Y557" s="43">
        <f>GrossWeightTotalR+PalletQtyTotalR*25</f>
        <v>5503.6640000000007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555.55555555555554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556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10.55288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5004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2026-08-11T06:02:38Z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