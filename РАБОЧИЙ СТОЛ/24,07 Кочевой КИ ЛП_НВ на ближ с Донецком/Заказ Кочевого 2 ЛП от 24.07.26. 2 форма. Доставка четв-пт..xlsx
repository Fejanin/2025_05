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1D9264-6C00-4417-A5D5-4DC01DFA312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Z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Z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Z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Z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P365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P344" i="2"/>
  <c r="BO344" i="2"/>
  <c r="BN344" i="2"/>
  <c r="BM344" i="2"/>
  <c r="Z344" i="2"/>
  <c r="Y344" i="2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Z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P248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Z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P225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Z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Z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Z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Z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Z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Z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163" i="2" l="1"/>
  <c r="Y203" i="2"/>
  <c r="Y204" i="2"/>
  <c r="X555" i="2"/>
  <c r="Z28" i="2"/>
  <c r="Z88" i="2"/>
  <c r="BN88" i="2"/>
  <c r="Y93" i="2"/>
  <c r="Z98" i="2"/>
  <c r="Z139" i="2"/>
  <c r="Z142" i="2"/>
  <c r="BN142" i="2"/>
  <c r="Z161" i="2"/>
  <c r="Z162" i="2" s="1"/>
  <c r="Z187" i="2"/>
  <c r="Z230" i="2"/>
  <c r="BN230" i="2"/>
  <c r="Z242" i="2"/>
  <c r="Z265" i="2"/>
  <c r="Z275" i="2"/>
  <c r="Z306" i="2"/>
  <c r="Z329" i="2"/>
  <c r="Z337" i="2"/>
  <c r="Z372" i="2"/>
  <c r="BP391" i="2"/>
  <c r="Z409" i="2"/>
  <c r="Z425" i="2"/>
  <c r="Z457" i="2"/>
  <c r="Z458" i="2" s="1"/>
  <c r="Z478" i="2"/>
  <c r="Z480" i="2" s="1"/>
  <c r="BN478" i="2"/>
  <c r="W561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Z418" i="2" s="1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Z143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Z347" i="2"/>
  <c r="T561" i="2"/>
  <c r="BN365" i="2"/>
  <c r="Z375" i="2"/>
  <c r="Z382" i="2"/>
  <c r="Z386" i="2" s="1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Y352" i="2"/>
  <c r="Z391" i="2"/>
  <c r="BN403" i="2"/>
  <c r="Z426" i="2"/>
  <c r="Z436" i="2"/>
  <c r="Z437" i="2" s="1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Z322" i="2" s="1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38" i="2" l="1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<sst xmlns="http://schemas.openxmlformats.org/spreadsheetml/2006/main" count="4201" uniqueCount="895">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</sst>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1"/>
  <sheetViews>
    <sheetView showGridLines="0" tabSelected="1" zoomScaleNormal="100" zoomScaleSheetLayoutView="100" workbookViewId="0">
      <selection activeCell="X557" sqref="X55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46233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0</v>
      </c>
      <c r="Y431" s="43">
        <f>IFERROR(Y423/H423,"0")+IFERROR(Y424/H424,"0")+IFERROR(Y425/H425,"0")+IFERROR(Y426/H426,"0")+IFERROR(Y427/H427,"0")+IFERROR(Y428/H428,"0")+IFERROR(Y429/H429,"0")+IFERROR(Y430/H430,"0")</f>
        <v>0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0</v>
      </c>
      <c r="Y432" s="43">
        <f>IFERROR(SUM(Y423:Y430),"0")</f>
        <v>0</v>
      </c>
      <c r="Z432" s="42"/>
      <c r="AA432" s="67"/>
      <c r="AB432" s="67"/>
      <c r="AC432" s="67"/>
    </row>
    <row r="433" spans="1:68" ht="14.25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4000</v>
      </c>
      <c r="Y461" s="55">
        <f>IFERROR(IF(X461="",0,CEILING((X461/$H461),1)*$H461),"")</f>
        <v>4005</v>
      </c>
      <c r="Z461" s="41">
        <f>IFERROR(IF(Y461=0,"",ROUNDUP(Y461/H461,0)*0.01898),"")</f>
        <v>8.4460999999999995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4219.5555555555557</v>
      </c>
      <c r="BN461" s="78">
        <f>IFERROR(Y461*I461/H461,"0")</f>
        <v>4224.83</v>
      </c>
      <c r="BO461" s="78">
        <f>IFERROR(1/J461*(X461/H461),"0")</f>
        <v>6.9444444444444446</v>
      </c>
      <c r="BP461" s="78">
        <f>IFERROR(1/J461*(Y461/H461),"0")</f>
        <v>6.953125</v>
      </c>
    </row>
    <row r="462" spans="1:68" ht="27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444.44444444444446</v>
      </c>
      <c r="Y464" s="43">
        <f>IFERROR(Y461/H461,"0")+IFERROR(Y462/H462,"0")+IFERROR(Y463/H463,"0")</f>
        <v>445</v>
      </c>
      <c r="Z464" s="43">
        <f>IFERROR(IF(Z461="",0,Z461),"0")+IFERROR(IF(Z462="",0,Z462),"0")+IFERROR(IF(Z463="",0,Z463),"0")</f>
        <v>8.4460999999999995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4000</v>
      </c>
      <c r="Y465" s="43">
        <f>IFERROR(SUM(Y461:Y463),"0")</f>
        <v>4005</v>
      </c>
      <c r="Z465" s="42"/>
      <c r="AA465" s="67"/>
      <c r="AB465" s="67"/>
      <c r="AC465" s="67"/>
    </row>
    <row r="466" spans="1:68" ht="27.75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4000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4005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4219.5555555555557</v>
      </c>
      <c r="Y552" s="43">
        <f>IFERROR(SUM(BN22:BN548),"0")</f>
        <v>4224.83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7</v>
      </c>
      <c r="Y553" s="44">
        <f>ROUNDUP(SUM(BP22:BP548),0)</f>
        <v>7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4394.5555555555557</v>
      </c>
      <c r="Y554" s="43">
        <f>GrossWeightTotalR+PalletQtyTotalR*25</f>
        <v>4399.83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444.44444444444446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445</v>
      </c>
      <c r="Z555" s="42"/>
      <c r="AA555" s="67"/>
      <c r="AB555" s="67"/>
      <c r="AC555" s="67"/>
    </row>
    <row r="556" spans="1:68" ht="14.25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8.4460999999999995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2">
        <f>IFERROR(Y452*1,"0")+IFERROR(Y453*1,"0")+IFERROR(Y457*1,"0")+IFERROR(Y461*1,"0")+IFERROR(Y462*1,"0")+IFERROR(Y463*1,"0")</f>
        <v>4005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2026-07-24T11:37:49Z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