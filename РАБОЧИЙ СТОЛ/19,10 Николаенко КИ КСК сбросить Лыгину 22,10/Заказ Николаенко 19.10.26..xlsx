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12650B7C-0C30-4E87-ACFA-390DE2666D7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N474" i="2"/>
  <c r="BM474" i="2"/>
  <c r="Z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N466" i="2"/>
  <c r="BM466" i="2"/>
  <c r="Z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N442" i="2"/>
  <c r="BM442" i="2"/>
  <c r="Z442" i="2"/>
  <c r="Y442" i="2"/>
  <c r="BP442" i="2" s="1"/>
  <c r="P442" i="2"/>
  <c r="BO441" i="2"/>
  <c r="BM441" i="2"/>
  <c r="Y441" i="2"/>
  <c r="BP441" i="2" s="1"/>
  <c r="P441" i="2"/>
  <c r="BO440" i="2"/>
  <c r="BM440" i="2"/>
  <c r="Z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P428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P405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P398" i="2"/>
  <c r="BO398" i="2"/>
  <c r="BM398" i="2"/>
  <c r="Y398" i="2"/>
  <c r="P398" i="2"/>
  <c r="BO397" i="2"/>
  <c r="BM397" i="2"/>
  <c r="Y397" i="2"/>
  <c r="BP397" i="2" s="1"/>
  <c r="P397" i="2"/>
  <c r="BO396" i="2"/>
  <c r="BM396" i="2"/>
  <c r="Z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P385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Z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Z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P333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Z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Z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Z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P233" i="2"/>
  <c r="BO233" i="2"/>
  <c r="BN233" i="2"/>
  <c r="BM233" i="2"/>
  <c r="Z233" i="2"/>
  <c r="Y233" i="2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Z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Z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P209" i="2"/>
  <c r="BO209" i="2"/>
  <c r="BM209" i="2"/>
  <c r="Y209" i="2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P191" i="2"/>
  <c r="BO191" i="2"/>
  <c r="BN191" i="2"/>
  <c r="BM191" i="2"/>
  <c r="Z191" i="2"/>
  <c r="Y191" i="2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P185" i="2"/>
  <c r="BO185" i="2"/>
  <c r="BN185" i="2"/>
  <c r="BM185" i="2"/>
  <c r="Z185" i="2"/>
  <c r="Y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P161" i="2"/>
  <c r="BO161" i="2"/>
  <c r="BN161" i="2"/>
  <c r="BM161" i="2"/>
  <c r="Z161" i="2"/>
  <c r="Y161" i="2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P107" i="2"/>
  <c r="BO107" i="2"/>
  <c r="BN107" i="2"/>
  <c r="BM107" i="2"/>
  <c r="Z107" i="2"/>
  <c r="Y107" i="2"/>
  <c r="P107" i="2"/>
  <c r="BO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P86" i="2"/>
  <c r="BO86" i="2"/>
  <c r="BN86" i="2"/>
  <c r="BM86" i="2"/>
  <c r="Z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159" i="2" l="1"/>
  <c r="BN218" i="2"/>
  <c r="BN250" i="2"/>
  <c r="BN292" i="2"/>
  <c r="BN298" i="2"/>
  <c r="BN313" i="2"/>
  <c r="BN336" i="2"/>
  <c r="BN343" i="2"/>
  <c r="BN351" i="2"/>
  <c r="BN372" i="2"/>
  <c r="BN384" i="2"/>
  <c r="BN392" i="2"/>
  <c r="BN416" i="2"/>
  <c r="BN455" i="2"/>
  <c r="BN503" i="2"/>
  <c r="BN516" i="2"/>
  <c r="BN106" i="2"/>
  <c r="BN118" i="2"/>
  <c r="BN145" i="2"/>
  <c r="Y33" i="2"/>
  <c r="Z31" i="2"/>
  <c r="BN31" i="2"/>
  <c r="BP38" i="2"/>
  <c r="BN41" i="2"/>
  <c r="Z48" i="2"/>
  <c r="Y82" i="2"/>
  <c r="BP80" i="2"/>
  <c r="BP98" i="2"/>
  <c r="Y112" i="2"/>
  <c r="Y136" i="2"/>
  <c r="BP173" i="2"/>
  <c r="Y179" i="2"/>
  <c r="BN187" i="2"/>
  <c r="BN194" i="2"/>
  <c r="Z199" i="2"/>
  <c r="BN199" i="2"/>
  <c r="Z205" i="2"/>
  <c r="Z206" i="2" s="1"/>
  <c r="Z221" i="2"/>
  <c r="Z231" i="2"/>
  <c r="Z240" i="2"/>
  <c r="BN240" i="2"/>
  <c r="Z241" i="2"/>
  <c r="Z261" i="2"/>
  <c r="Z262" i="2" s="1"/>
  <c r="BN266" i="2"/>
  <c r="Z326" i="2"/>
  <c r="BN326" i="2"/>
  <c r="Z327" i="2"/>
  <c r="BN327" i="2"/>
  <c r="Z328" i="2"/>
  <c r="BN382" i="2"/>
  <c r="BP396" i="2"/>
  <c r="Z404" i="2"/>
  <c r="BN410" i="2"/>
  <c r="Z436" i="2"/>
  <c r="BN436" i="2"/>
  <c r="BN443" i="2"/>
  <c r="BN454" i="2"/>
  <c r="BN460" i="2"/>
  <c r="Y462" i="2"/>
  <c r="Z486" i="2"/>
  <c r="BN486" i="2"/>
  <c r="BN502" i="2"/>
  <c r="BN510" i="2"/>
  <c r="BN515" i="2"/>
  <c r="BN530" i="2"/>
  <c r="Z532" i="2"/>
  <c r="Z415" i="2"/>
  <c r="Z93" i="2"/>
  <c r="BN93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54" i="2"/>
  <c r="Z406" i="2"/>
  <c r="Z32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4" i="2" s="1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0" i="2" s="1"/>
  <c r="Z128" i="2"/>
  <c r="BN151" i="2"/>
  <c r="BN162" i="2"/>
  <c r="Z173" i="2"/>
  <c r="Z174" i="2" s="1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Z345" i="2" s="1"/>
  <c r="BN357" i="2"/>
  <c r="Z379" i="2"/>
  <c r="Z386" i="2" s="1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142" i="2" l="1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<sst xmlns="http://schemas.openxmlformats.org/spreadsheetml/2006/main" count="4365" uniqueCount="909">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</sst>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zoomScale="115" zoomScaleNormal="115" zoomScaleSheetLayoutView="100" workbookViewId="0">
      <selection activeCell="X552" sqref="X5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46271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0.375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50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51.898148148148145</v>
      </c>
      <c r="BN56" s="78">
        <f t="shared" si="2"/>
        <v>56.05</v>
      </c>
      <c r="BO56" s="78">
        <f t="shared" si="3"/>
        <v>7.2337962962962965E-2</v>
      </c>
      <c r="BP56" s="78">
        <f t="shared" si="4"/>
        <v>7.8125E-2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14.62962962962963</v>
      </c>
      <c r="Y61" s="43">
        <f>IFERROR(Y55/H55,"0")+IFERROR(Y56/H56,"0")+IFERROR(Y57/H57,"0")+IFERROR(Y58/H58,"0")+IFERROR(Y59/H59,"0")+IFERROR(Y60/H60,"0")</f>
        <v>15</v>
      </c>
      <c r="Z61" s="43">
        <f>IFERROR(IF(Z55="",0,Z55),"0")+IFERROR(IF(Z56="",0,Z56),"0")+IFERROR(IF(Z57="",0,Z57),"0")+IFERROR(IF(Z58="",0,Z58),"0")+IFERROR(IF(Z59="",0,Z59),"0")+IFERROR(IF(Z60="",0,Z60),"0")</f>
        <v>0.18509999999999999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95</v>
      </c>
      <c r="Y62" s="43">
        <f>IFERROR(SUM(Y55:Y60),"0")</f>
        <v>99</v>
      </c>
      <c r="Z62" s="42"/>
      <c r="AA62" s="67"/>
      <c r="AB62" s="67"/>
      <c r="AC62" s="67"/>
    </row>
    <row r="63" spans="1:68" ht="14.25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/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22.5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23.450000000000003</v>
      </c>
      <c r="BN89" s="78">
        <f>IFERROR(Y89*I89/H89,"0")</f>
        <v>23.450000000000003</v>
      </c>
      <c r="BO89" s="78">
        <f>IFERROR(1/J89*(X89/H89),"0")</f>
        <v>3.787878787878788E-2</v>
      </c>
      <c r="BP89" s="78">
        <f>IFERROR(1/J89*(Y89/H89),"0")</f>
        <v>3.787878787878788E-2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5</v>
      </c>
      <c r="Y90" s="43">
        <f>IFERROR(Y85/H85,"0")+IFERROR(Y86/H86,"0")+IFERROR(Y87/H87,"0")+IFERROR(Y88/H88,"0")+IFERROR(Y89/H89,"0")</f>
        <v>5</v>
      </c>
      <c r="Z90" s="43">
        <f>IFERROR(IF(Z85="",0,Z85),"0")+IFERROR(IF(Z86="",0,Z86),"0")+IFERROR(IF(Z87="",0,Z87),"0")+IFERROR(IF(Z88="",0,Z88),"0")+IFERROR(IF(Z89="",0,Z89),"0")</f>
        <v>4.5100000000000001E-2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22.5</v>
      </c>
      <c r="Y91" s="43">
        <f>IFERROR(SUM(Y85:Y89),"0")</f>
        <v>22.5</v>
      </c>
      <c r="Z91" s="42"/>
      <c r="AA91" s="67"/>
      <c r="AB91" s="67"/>
      <c r="AC91" s="67"/>
    </row>
    <row r="92" spans="1:68" ht="14.25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2.7777777777777777</v>
      </c>
      <c r="Y112" s="43">
        <f>IFERROR(Y104/H104,"0")+IFERROR(Y105/H105,"0")+IFERROR(Y106/H106,"0")+IFERROR(Y107/H107,"0")+IFERROR(Y108/H108,"0")+IFERROR(Y109/H109,"0")+IFERROR(Y110/H110,"0")+IFERROR(Y111/H111,"0")</f>
        <v>3.0000000000000004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30</v>
      </c>
      <c r="Y113" s="43">
        <f>IFERROR(SUM(Y104:Y111),"0")</f>
        <v>32.400000000000006</v>
      </c>
      <c r="Z113" s="42"/>
      <c r="AA113" s="67"/>
      <c r="AB113" s="67"/>
      <c r="AC113" s="67"/>
    </row>
    <row r="114" spans="1:68" ht="14.25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20</v>
      </c>
      <c r="Y182" s="55">
        <f t="shared" ref="Y182:Y195" si="27">IFERROR(IF(X182="",0,CEILING((X182/$H182),1)*$H182),"")</f>
        <v>21</v>
      </c>
      <c r="Z182" s="41">
        <f t="shared" ref="Z182:Z187" si="28">IFERROR(IF(Y182=0,"",ROUNDUP(Y182/H182,0)*0.00902),"")</f>
        <v>5.4120000000000001E-2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21.085714285714285</v>
      </c>
      <c r="BN182" s="78">
        <f t="shared" ref="BN182:BN195" si="30">IFERROR(Y182*I182/H182,"0")</f>
        <v>22.139999999999997</v>
      </c>
      <c r="BO182" s="78">
        <f t="shared" ref="BO182:BO195" si="31">IFERROR(1/J182*(X182/H182),"0")</f>
        <v>4.3290043290043295E-2</v>
      </c>
      <c r="BP182" s="78">
        <f t="shared" ref="BP182:BP195" si="32">IFERROR(1/J182*(Y182/H182),"0")</f>
        <v>4.5454545454545456E-2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70</v>
      </c>
      <c r="Y184" s="55">
        <f t="shared" si="27"/>
        <v>70</v>
      </c>
      <c r="Z184" s="41">
        <f t="shared" si="28"/>
        <v>0.1804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73.8</v>
      </c>
      <c r="BN184" s="78">
        <f t="shared" si="30"/>
        <v>73.8</v>
      </c>
      <c r="BO184" s="78">
        <f t="shared" si="31"/>
        <v>0.15151515151515152</v>
      </c>
      <c r="BP184" s="78">
        <f t="shared" si="32"/>
        <v>0.15151515151515152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20</v>
      </c>
      <c r="Y186" s="55">
        <f t="shared" si="27"/>
        <v>21</v>
      </c>
      <c r="Z186" s="41">
        <f t="shared" si="28"/>
        <v>5.4120000000000001E-2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21.085714285714285</v>
      </c>
      <c r="BN186" s="78">
        <f t="shared" si="30"/>
        <v>22.139999999999997</v>
      </c>
      <c r="BO186" s="78">
        <f t="shared" si="31"/>
        <v>4.3290043290043295E-2</v>
      </c>
      <c r="BP186" s="78">
        <f t="shared" si="32"/>
        <v>4.5454545454545456E-2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6.72</v>
      </c>
      <c r="Y190" s="55">
        <f t="shared" si="27"/>
        <v>6.72</v>
      </c>
      <c r="Z190" s="41">
        <f>IFERROR(IF(Y190=0,"",ROUNDUP(Y190/H190,0)*0.00502),"")</f>
        <v>2.0080000000000001E-2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7.1199999999999992</v>
      </c>
      <c r="BN190" s="78">
        <f t="shared" si="30"/>
        <v>7.1199999999999992</v>
      </c>
      <c r="BO190" s="78">
        <f t="shared" si="31"/>
        <v>1.7094017094017096E-2</v>
      </c>
      <c r="BP190" s="78">
        <f t="shared" si="32"/>
        <v>1.7094017094017096E-2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6.72</v>
      </c>
      <c r="Y195" s="55">
        <f t="shared" si="27"/>
        <v>6.72</v>
      </c>
      <c r="Z195" s="41">
        <f>IFERROR(IF(Y195=0,"",ROUNDUP(Y195/H195,0)*0.00502),"")</f>
        <v>2.0080000000000001E-2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7.1199999999999992</v>
      </c>
      <c r="BN195" s="78">
        <f t="shared" si="30"/>
        <v>7.1199999999999992</v>
      </c>
      <c r="BO195" s="78">
        <f t="shared" si="31"/>
        <v>1.7094017094017096E-2</v>
      </c>
      <c r="BP195" s="78">
        <f t="shared" si="32"/>
        <v>1.7094017094017096E-2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44.428571428571431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45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0.35389999999999999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131.84</v>
      </c>
      <c r="Y197" s="43">
        <f>IFERROR(SUM(Y182:Y195),"0")</f>
        <v>133.84</v>
      </c>
      <c r="Z197" s="42"/>
      <c r="AA197" s="67"/>
      <c r="AB197" s="67"/>
      <c r="AC197" s="67"/>
    </row>
    <row r="198" spans="1:68" ht="14.25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/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50</v>
      </c>
      <c r="Y278" s="55">
        <f t="shared" si="45"/>
        <v>54</v>
      </c>
      <c r="Z278" s="41">
        <f>IFERROR(IF(Y278=0,"",ROUNDUP(Y278/H278,0)*0.00902),"")</f>
        <v>9.0200000000000002E-2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51.759259259259252</v>
      </c>
      <c r="BN278" s="78">
        <f t="shared" si="47"/>
        <v>55.9</v>
      </c>
      <c r="BO278" s="78">
        <f t="shared" si="48"/>
        <v>7.0145903479236812E-2</v>
      </c>
      <c r="BP278" s="78">
        <f t="shared" si="49"/>
        <v>7.575757575757576E-2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45"/>
        <v>81</v>
      </c>
      <c r="Z279" s="41">
        <f>IFERROR(IF(Y279=0,"",ROUNDUP(Y279/H279,0)*0.00902),"")</f>
        <v>0.1353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82.81481481481481</v>
      </c>
      <c r="BN279" s="78">
        <f t="shared" si="47"/>
        <v>83.85</v>
      </c>
      <c r="BO279" s="78">
        <f t="shared" si="48"/>
        <v>0.11223344556677889</v>
      </c>
      <c r="BP279" s="78">
        <f t="shared" si="49"/>
        <v>0.11363636363636363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33.333333333333329</v>
      </c>
      <c r="Y284" s="43">
        <f>IFERROR(Y276/H276,"0")+IFERROR(Y277/H277,"0")+IFERROR(Y278/H278,"0")+IFERROR(Y279/H279,"0")+IFERROR(Y280/H280,"0")+IFERROR(Y281/H281,"0")+IFERROR(Y282/H282,"0")+IFERROR(Y283/H283,"0")</f>
        <v>35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0.31569999999999998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180</v>
      </c>
      <c r="Y285" s="43">
        <f>IFERROR(SUM(Y276:Y283),"0")</f>
        <v>189</v>
      </c>
      <c r="Z285" s="42"/>
      <c r="AA285" s="67"/>
      <c r="AB285" s="67"/>
      <c r="AC285" s="67"/>
    </row>
    <row r="286" spans="1:68" ht="14.25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/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50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51.898148148148145</v>
      </c>
      <c r="BN335" s="78">
        <f>IFERROR(Y335*I335/H335,"0")</f>
        <v>56.05</v>
      </c>
      <c r="BO335" s="78">
        <f>IFERROR(1/J335*(X335/H335),"0")</f>
        <v>7.2337962962962965E-2</v>
      </c>
      <c r="BP335" s="78">
        <f>IFERROR(1/J335*(Y335/H335),"0")</f>
        <v>7.8125E-2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4.6296296296296298</v>
      </c>
      <c r="Y338" s="43">
        <f>IFERROR(Y333/H333,"0")+IFERROR(Y334/H334,"0")+IFERROR(Y335/H335,"0")+IFERROR(Y336/H336,"0")+IFERROR(Y337/H337,"0")</f>
        <v>5</v>
      </c>
      <c r="Z338" s="43">
        <f>IFERROR(IF(Z333="",0,Z333),"0")+IFERROR(IF(Z334="",0,Z334),"0")+IFERROR(IF(Z335="",0,Z335),"0")+IFERROR(IF(Z336="",0,Z336),"0")+IFERROR(IF(Z337="",0,Z337),"0")</f>
        <v>9.4899999999999998E-2</v>
      </c>
      <c r="AA338" s="67"/>
      <c r="AB338" s="67"/>
      <c r="AC338" s="67"/>
    </row>
    <row r="339" spans="1:68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50</v>
      </c>
      <c r="Y339" s="43">
        <f>IFERROR(SUM(Y333:Y337),"0")</f>
        <v>54</v>
      </c>
      <c r="Z339" s="42"/>
      <c r="AA339" s="67"/>
      <c r="AB339" s="67"/>
      <c r="AC339" s="67"/>
    </row>
    <row r="340" spans="1:68" ht="16.5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23</v>
      </c>
      <c r="Y364" s="55">
        <f>IFERROR(IF(X364="",0,CEILING((X364/$H364),1)*$H364),"")</f>
        <v>23.4</v>
      </c>
      <c r="Z364" s="41">
        <f>IFERROR(IF(Y364=0,"",ROUNDUP(Y364/H364,0)*0.01898),"")</f>
        <v>5.6940000000000004E-2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24.208974358974363</v>
      </c>
      <c r="BN364" s="78">
        <f>IFERROR(Y364*I364/H364,"0")</f>
        <v>24.630000000000003</v>
      </c>
      <c r="BO364" s="78">
        <f>IFERROR(1/J364*(X364/H364),"0")</f>
        <v>4.6073717948717952E-2</v>
      </c>
      <c r="BP364" s="78">
        <f>IFERROR(1/J364*(Y364/H364),"0")</f>
        <v>4.6875E-2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15</v>
      </c>
      <c r="Y365" s="55">
        <f>IFERROR(IF(X365="",0,CEILING((X365/$H365),1)*$H365),"")</f>
        <v>15.6</v>
      </c>
      <c r="Z365" s="41">
        <f>IFERROR(IF(Y365=0,"",ROUNDUP(Y365/H365,0)*0.01898),"")</f>
        <v>3.7960000000000001E-2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15.78846153846154</v>
      </c>
      <c r="BN365" s="78">
        <f>IFERROR(Y365*I365/H365,"0")</f>
        <v>16.420000000000002</v>
      </c>
      <c r="BO365" s="78">
        <f>IFERROR(1/J365*(X365/H365),"0")</f>
        <v>3.0048076923076924E-2</v>
      </c>
      <c r="BP365" s="78">
        <f>IFERROR(1/J365*(Y365/H365),"0")</f>
        <v>3.125E-2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4.8717948717948723</v>
      </c>
      <c r="Y366" s="43">
        <f>IFERROR(Y363/H363,"0")+IFERROR(Y364/H364,"0")+IFERROR(Y365/H365,"0")</f>
        <v>5</v>
      </c>
      <c r="Z366" s="43">
        <f>IFERROR(IF(Z363="",0,Z363),"0")+IFERROR(IF(Z364="",0,Z364),"0")+IFERROR(IF(Z365="",0,Z365),"0")</f>
        <v>9.4900000000000012E-2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38</v>
      </c>
      <c r="Y367" s="43">
        <f>IFERROR(SUM(Y363:Y365),"0")</f>
        <v>39</v>
      </c>
      <c r="Z367" s="42"/>
      <c r="AA367" s="67"/>
      <c r="AB367" s="67"/>
      <c r="AC367" s="67"/>
    </row>
    <row r="368" spans="1:68" ht="16.5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15</v>
      </c>
      <c r="Y379" s="55">
        <f t="shared" ref="Y379:Y385" si="65">IFERROR(IF(X379="",0,CEILING((X379/$H379),1)*$H379),"")</f>
        <v>16.8</v>
      </c>
      <c r="Z379" s="41">
        <f>IFERROR(IF(Y379=0,"",ROUNDUP(Y379/H379,0)*0.00902),"")</f>
        <v>3.6080000000000001E-2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15.892857142857142</v>
      </c>
      <c r="BN379" s="78">
        <f t="shared" ref="BN379:BN385" si="67">IFERROR(Y379*I379/H379,"0")</f>
        <v>17.8</v>
      </c>
      <c r="BO379" s="78">
        <f t="shared" ref="BO379:BO385" si="68">IFERROR(1/J379*(X379/H379),"0")</f>
        <v>2.7056277056277056E-2</v>
      </c>
      <c r="BP379" s="78">
        <f t="shared" ref="BP379:BP385" si="69">IFERROR(1/J379*(Y379/H379),"0")</f>
        <v>3.0303030303030304E-2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25</v>
      </c>
      <c r="Y380" s="55">
        <f t="shared" si="65"/>
        <v>25.200000000000003</v>
      </c>
      <c r="Z380" s="41">
        <f>IFERROR(IF(Y380=0,"",ROUNDUP(Y380/H380,0)*0.00902),"")</f>
        <v>5.4120000000000001E-2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26.488095238095237</v>
      </c>
      <c r="BN380" s="78">
        <f t="shared" si="67"/>
        <v>26.700000000000003</v>
      </c>
      <c r="BO380" s="78">
        <f t="shared" si="68"/>
        <v>4.5093795093795096E-2</v>
      </c>
      <c r="BP380" s="78">
        <f t="shared" si="69"/>
        <v>4.5454545454545456E-2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9.5238095238095237</v>
      </c>
      <c r="Y386" s="43">
        <f>IFERROR(Y379/H379,"0")+IFERROR(Y380/H380,"0")+IFERROR(Y381/H381,"0")+IFERROR(Y382/H382,"0")+IFERROR(Y383/H383,"0")+IFERROR(Y384/H384,"0")+IFERROR(Y385/H385,"0")</f>
        <v>10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9.0200000000000002E-2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40</v>
      </c>
      <c r="Y387" s="43">
        <f>IFERROR(SUM(Y379:Y385),"0")</f>
        <v>42</v>
      </c>
      <c r="Z387" s="42"/>
      <c r="AA387" s="67"/>
      <c r="AB387" s="67"/>
      <c r="AC387" s="67"/>
    </row>
    <row r="388" spans="1:68" ht="14.25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60</v>
      </c>
      <c r="Y397" s="55">
        <f>IFERROR(IF(X397="",0,CEILING((X397/$H397),1)*$H397),"")</f>
        <v>62.4</v>
      </c>
      <c r="Z397" s="41">
        <f>IFERROR(IF(Y397=0,"",ROUNDUP(Y397/H397,0)*0.01898),"")</f>
        <v>0.15184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63.800000000000004</v>
      </c>
      <c r="BN397" s="78">
        <f>IFERROR(Y397*I397/H397,"0")</f>
        <v>66.352000000000004</v>
      </c>
      <c r="BO397" s="78">
        <f>IFERROR(1/J397*(X397/H397),"0")</f>
        <v>0.1201923076923077</v>
      </c>
      <c r="BP397" s="78">
        <f>IFERROR(1/J397*(Y397/H397),"0")</f>
        <v>0.125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7.6923076923076925</v>
      </c>
      <c r="Y399" s="43">
        <f>IFERROR(Y396/H396,"0")+IFERROR(Y397/H397,"0")+IFERROR(Y398/H398,"0")</f>
        <v>8</v>
      </c>
      <c r="Z399" s="43">
        <f>IFERROR(IF(Z396="",0,Z396),"0")+IFERROR(IF(Z397="",0,Z397),"0")+IFERROR(IF(Z398="",0,Z398),"0")</f>
        <v>0.15184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60</v>
      </c>
      <c r="Y400" s="43">
        <f>IFERROR(SUM(Y396:Y398),"0")</f>
        <v>62.4</v>
      </c>
      <c r="Z400" s="42"/>
      <c r="AA400" s="67"/>
      <c r="AB400" s="67"/>
      <c r="AC400" s="67"/>
    </row>
    <row r="401" spans="1:68" ht="14.25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3</v>
      </c>
      <c r="Y415" s="55">
        <f>IFERROR(IF(X415="",0,CEILING((X415/$H415),1)*$H415),"")</f>
        <v>3</v>
      </c>
      <c r="Z415" s="41">
        <f>IFERROR(IF(Y415=0,"",ROUNDUP(Y415/H415,0)*0.0045),"")</f>
        <v>4.4999999999999997E-3</v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3.22</v>
      </c>
      <c r="BN415" s="78">
        <f>IFERROR(Y415*I415/H415,"0")</f>
        <v>3.22</v>
      </c>
      <c r="BO415" s="78">
        <f>IFERROR(1/J415*(X415/H415),"0")</f>
        <v>4.464285714285714E-3</v>
      </c>
      <c r="BP415" s="78">
        <f>IFERROR(1/J415*(Y415/H415),"0")</f>
        <v>4.464285714285714E-3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3</v>
      </c>
      <c r="Y417" s="55">
        <f>IFERROR(IF(X417="",0,CEILING((X417/$H417),1)*$H417),"")</f>
        <v>3</v>
      </c>
      <c r="Z417" s="41">
        <f>IFERROR(IF(Y417=0,"",ROUNDUP(Y417/H417,0)*0.0045),"")</f>
        <v>4.4999999999999997E-3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3.22</v>
      </c>
      <c r="BN417" s="78">
        <f>IFERROR(Y417*I417/H417,"0")</f>
        <v>3.22</v>
      </c>
      <c r="BO417" s="78">
        <f>IFERROR(1/J417*(X417/H417),"0")</f>
        <v>4.464285714285714E-3</v>
      </c>
      <c r="BP417" s="78">
        <f>IFERROR(1/J417*(Y417/H417),"0")</f>
        <v>4.464285714285714E-3</v>
      </c>
    </row>
    <row r="418" spans="1:68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2</v>
      </c>
      <c r="Y418" s="43">
        <f>IFERROR(Y415/H415,"0")+IFERROR(Y416/H416,"0")+IFERROR(Y417/H417,"0")</f>
        <v>2</v>
      </c>
      <c r="Z418" s="43">
        <f>IFERROR(IF(Z415="",0,Z415),"0")+IFERROR(IF(Z416="",0,Z416),"0")+IFERROR(IF(Z417="",0,Z417),"0")</f>
        <v>8.9999999999999993E-3</v>
      </c>
      <c r="AA418" s="67"/>
      <c r="AB418" s="67"/>
      <c r="AC418" s="67"/>
    </row>
    <row r="419" spans="1:68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6</v>
      </c>
      <c r="Y419" s="43">
        <f>IFERROR(SUM(Y415:Y417),"0")</f>
        <v>6</v>
      </c>
      <c r="Z419" s="42"/>
      <c r="AA419" s="67"/>
      <c r="AB419" s="67"/>
      <c r="AC419" s="67"/>
    </row>
    <row r="420" spans="1:68" ht="16.5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21</v>
      </c>
      <c r="Y429" s="55">
        <f>IFERROR(IF(X429="",0,CEILING((X429/$H429),1)*$H429),"")</f>
        <v>21</v>
      </c>
      <c r="Z429" s="41">
        <f>IFERROR(IF(Y429=0,"",ROUNDUP(Y429/H429,0)*0.00651),"")</f>
        <v>6.5100000000000005E-2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23.519999999999996</v>
      </c>
      <c r="BN429" s="78">
        <f>IFERROR(Y429*I429/H429,"0")</f>
        <v>23.519999999999996</v>
      </c>
      <c r="BO429" s="78">
        <f>IFERROR(1/J429*(X429/H429),"0")</f>
        <v>5.4945054945054951E-2</v>
      </c>
      <c r="BP429" s="78">
        <f>IFERROR(1/J429*(Y429/H429),"0")</f>
        <v>5.4945054945054951E-2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6.3</v>
      </c>
      <c r="Y430" s="55">
        <f>IFERROR(IF(X430="",0,CEILING((X430/$H430),1)*$H430),"")</f>
        <v>6.3000000000000007</v>
      </c>
      <c r="Z430" s="41">
        <f>IFERROR(IF(Y430=0,"",ROUNDUP(Y430/H430,0)*0.00651),"")</f>
        <v>1.9529999999999999E-2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7.02</v>
      </c>
      <c r="BN430" s="78">
        <f>IFERROR(Y430*I430/H430,"0")</f>
        <v>7.0200000000000005</v>
      </c>
      <c r="BO430" s="78">
        <f>IFERROR(1/J430*(X430/H430),"0")</f>
        <v>1.6483516483516484E-2</v>
      </c>
      <c r="BP430" s="78">
        <f>IFERROR(1/J430*(Y430/H430),"0")</f>
        <v>1.6483516483516484E-2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13</v>
      </c>
      <c r="Y431" s="43">
        <f>IFERROR(Y428/H428,"0")+IFERROR(Y429/H429,"0")+IFERROR(Y430/H430,"0")</f>
        <v>13</v>
      </c>
      <c r="Z431" s="43">
        <f>IFERROR(IF(Z428="",0,Z428),"0")+IFERROR(IF(Z429="",0,Z429),"0")+IFERROR(IF(Z430="",0,Z430),"0")</f>
        <v>8.4630000000000011E-2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27.3</v>
      </c>
      <c r="Y432" s="43">
        <f>IFERROR(SUM(Y428:Y430),"0")</f>
        <v>27.3</v>
      </c>
      <c r="Z432" s="42"/>
      <c r="AA432" s="67"/>
      <c r="AB432" s="67"/>
      <c r="AC432" s="67"/>
    </row>
    <row r="433" spans="1:68" ht="27.75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200</v>
      </c>
      <c r="Y437" s="55">
        <f t="shared" si="70"/>
        <v>210</v>
      </c>
      <c r="Z437" s="41">
        <f>IFERROR(IF(Y437=0,"",ROUNDUP(Y437/H437,0)*0.02175),"")</f>
        <v>0.30449999999999999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206.26666666666668</v>
      </c>
      <c r="BN437" s="78">
        <f t="shared" si="72"/>
        <v>216.58</v>
      </c>
      <c r="BO437" s="78">
        <f t="shared" si="73"/>
        <v>0.27777777777777779</v>
      </c>
      <c r="BP437" s="78">
        <f t="shared" si="74"/>
        <v>0.29166666666666663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300</v>
      </c>
      <c r="Y438" s="55">
        <f t="shared" si="70"/>
        <v>300</v>
      </c>
      <c r="Z438" s="41">
        <f>IFERROR(IF(Y438=0,"",ROUNDUP(Y438/H438,0)*0.02175),"")</f>
        <v>0.43499999999999994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309.39999999999998</v>
      </c>
      <c r="BN438" s="78">
        <f t="shared" si="72"/>
        <v>309.39999999999998</v>
      </c>
      <c r="BO438" s="78">
        <f t="shared" si="73"/>
        <v>0.41666666666666663</v>
      </c>
      <c r="BP438" s="78">
        <f t="shared" si="74"/>
        <v>0.41666666666666663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70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515.66666666666663</v>
      </c>
      <c r="BN439" s="78">
        <f t="shared" si="72"/>
        <v>525.98</v>
      </c>
      <c r="BO439" s="78">
        <f t="shared" si="73"/>
        <v>0.69444444444444442</v>
      </c>
      <c r="BP439" s="78">
        <f t="shared" si="74"/>
        <v>0.70833333333333326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66.666666666666671</v>
      </c>
      <c r="Y444" s="43">
        <f>IFERROR(Y436/H436,"0")+IFERROR(Y437/H437,"0")+IFERROR(Y438/H438,"0")+IFERROR(Y439/H439,"0")+IFERROR(Y440/H440,"0")+IFERROR(Y441/H441,"0")+IFERROR(Y442/H442,"0")+IFERROR(Y443/H443,"0")</f>
        <v>68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1.4789999999999999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1000</v>
      </c>
      <c r="Y445" s="43">
        <f>IFERROR(SUM(Y436:Y443),"0")</f>
        <v>1020</v>
      </c>
      <c r="Z445" s="42"/>
      <c r="AA445" s="67"/>
      <c r="AB445" s="67"/>
      <c r="AC445" s="67"/>
    </row>
    <row r="446" spans="1:68" ht="14.25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/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/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/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/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10</v>
      </c>
      <c r="Y511" s="55">
        <f t="shared" si="80"/>
        <v>10.56</v>
      </c>
      <c r="Z511" s="41">
        <f t="shared" si="81"/>
        <v>2.392E-2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10.662878787878787</v>
      </c>
      <c r="BN511" s="78">
        <f t="shared" si="83"/>
        <v>11.26</v>
      </c>
      <c r="BO511" s="78">
        <f t="shared" si="84"/>
        <v>1.8210955710955712E-2</v>
      </c>
      <c r="BP511" s="78">
        <f t="shared" si="85"/>
        <v>1.9230769230769232E-2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200</v>
      </c>
      <c r="Y512" s="55">
        <f t="shared" si="80"/>
        <v>200.64000000000001</v>
      </c>
      <c r="Z512" s="41">
        <f t="shared" si="81"/>
        <v>0.45448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213.25757575757575</v>
      </c>
      <c r="BN512" s="78">
        <f t="shared" si="83"/>
        <v>213.94</v>
      </c>
      <c r="BO512" s="78">
        <f t="shared" si="84"/>
        <v>0.36421911421911418</v>
      </c>
      <c r="BP512" s="78">
        <f t="shared" si="85"/>
        <v>0.36538461538461542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100</v>
      </c>
      <c r="Y514" s="55">
        <f t="shared" si="80"/>
        <v>100.32000000000001</v>
      </c>
      <c r="Z514" s="41">
        <f t="shared" si="81"/>
        <v>0.22724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106.62878787878788</v>
      </c>
      <c r="BN514" s="78">
        <f t="shared" si="83"/>
        <v>106.97</v>
      </c>
      <c r="BO514" s="78">
        <f t="shared" si="84"/>
        <v>0.18210955710955709</v>
      </c>
      <c r="BP514" s="78">
        <f t="shared" si="85"/>
        <v>0.18269230769230771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58.712121212121204</v>
      </c>
      <c r="Y518" s="43">
        <f>IFERROR(Y509/H509,"0")+IFERROR(Y510/H510,"0")+IFERROR(Y511/H511,"0")+IFERROR(Y512/H512,"0")+IFERROR(Y513/H513,"0")+IFERROR(Y514/H514,"0")+IFERROR(Y515/H515,"0")+IFERROR(Y516/H516,"0")+IFERROR(Y517/H517,"0")</f>
        <v>59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0.70564000000000004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310</v>
      </c>
      <c r="Y519" s="43">
        <f>IFERROR(SUM(Y509:Y517),"0")</f>
        <v>311.52000000000004</v>
      </c>
      <c r="Z519" s="42"/>
      <c r="AA519" s="67"/>
      <c r="AB519" s="67"/>
      <c r="AC519" s="67"/>
    </row>
    <row r="520" spans="1:68" ht="14.25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20</v>
      </c>
      <c r="Y527" s="55">
        <f t="shared" ref="Y527:Y533" si="86">IFERROR(IF(X527="",0,CEILING((X527/$H527),1)*$H527),"")</f>
        <v>21.12</v>
      </c>
      <c r="Z527" s="41">
        <f>IFERROR(IF(Y527=0,"",ROUNDUP(Y527/H527,0)*0.01196),"")</f>
        <v>4.7840000000000001E-2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21.325757575757574</v>
      </c>
      <c r="BN527" s="78">
        <f t="shared" ref="BN527:BN533" si="88">IFERROR(Y527*I527/H527,"0")</f>
        <v>22.52</v>
      </c>
      <c r="BO527" s="78">
        <f t="shared" ref="BO527:BO533" si="89">IFERROR(1/J527*(X527/H527),"0")</f>
        <v>3.6421911421911424E-2</v>
      </c>
      <c r="BP527" s="78">
        <f t="shared" ref="BP527:BP533" si="90">IFERROR(1/J527*(Y527/H527),"0")</f>
        <v>3.8461538461538464E-2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/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60</v>
      </c>
      <c r="Y529" s="55">
        <f t="shared" si="86"/>
        <v>63.36</v>
      </c>
      <c r="Z529" s="41">
        <f>IFERROR(IF(Y529=0,"",ROUNDUP(Y529/H529,0)*0.01196),"")</f>
        <v>0.14352000000000001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63.977272727272727</v>
      </c>
      <c r="BN529" s="78">
        <f t="shared" si="88"/>
        <v>67.559999999999988</v>
      </c>
      <c r="BO529" s="78">
        <f t="shared" si="89"/>
        <v>0.10926573426573427</v>
      </c>
      <c r="BP529" s="78">
        <f t="shared" si="90"/>
        <v>0.11538461538461539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15.15151515151515</v>
      </c>
      <c r="Y534" s="43">
        <f>IFERROR(Y527/H527,"0")+IFERROR(Y528/H528,"0")+IFERROR(Y529/H529,"0")+IFERROR(Y530/H530,"0")+IFERROR(Y531/H531,"0")+IFERROR(Y532/H532,"0")+IFERROR(Y533/H533,"0")</f>
        <v>16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0.19136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80</v>
      </c>
      <c r="Y535" s="43">
        <f>IFERROR(SUM(Y527:Y533),"0")</f>
        <v>84.48</v>
      </c>
      <c r="Z535" s="42"/>
      <c r="AA535" s="67"/>
      <c r="AB535" s="67"/>
      <c r="AC535" s="67"/>
    </row>
    <row r="536" spans="1:68" ht="27.75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/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80</v>
      </c>
      <c r="Y551" s="55">
        <f>IFERROR(IF(X551="",0,CEILING((X551/$H551),1)*$H551),"")</f>
        <v>81</v>
      </c>
      <c r="Z551" s="41">
        <f>IFERROR(IF(Y551=0,"",ROUNDUP(Y551/H551,0)*0.01898),"")</f>
        <v>0.17082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84.391111111111115</v>
      </c>
      <c r="BN551" s="78">
        <f>IFERROR(Y551*I551/H551,"0")</f>
        <v>85.445999999999998</v>
      </c>
      <c r="BO551" s="78">
        <f>IFERROR(1/J551*(X551/H551),"0")</f>
        <v>0.1388888888888889</v>
      </c>
      <c r="BP551" s="78">
        <f>IFERROR(1/J551*(Y551/H551),"0")</f>
        <v>0.140625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8.8888888888888893</v>
      </c>
      <c r="Y552" s="43">
        <f>IFERROR(Y551/H551,"0")</f>
        <v>9</v>
      </c>
      <c r="Z552" s="43">
        <f>IFERROR(IF(Z551="",0,Z551),"0")</f>
        <v>0.17082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80</v>
      </c>
      <c r="Y553" s="43">
        <f>IFERROR(SUM(Y551:Y551),"0")</f>
        <v>81</v>
      </c>
      <c r="Z553" s="42"/>
      <c r="AA553" s="67"/>
      <c r="AB553" s="67"/>
      <c r="AC553" s="67"/>
    </row>
    <row r="554" spans="1:68" ht="14.25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2470.64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2536.36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2579.1197663447656</v>
      </c>
      <c r="Y565" s="43">
        <f>IFERROR(SUM(BN22:BN561),"0")</f>
        <v>2647.4579999999992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4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2679.1197663447656</v>
      </c>
      <c r="Y567" s="43">
        <f>GrossWeightTotalR+PalletQtyTotalR*25</f>
        <v>2772.4579999999992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325.43062493062496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333</v>
      </c>
      <c r="Z568" s="42"/>
      <c r="AA568" s="67"/>
      <c r="AB568" s="67"/>
      <c r="AC568" s="67"/>
    </row>
    <row r="569" spans="1:68" ht="14.25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4.5987299999999998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21.6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99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22.5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32.400000000000006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133.84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189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54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39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110.4</v>
      </c>
      <c r="U574" s="52">
        <f>IFERROR(Y422*1,"0")+IFERROR(Y423*1,"0")</f>
        <v>0</v>
      </c>
      <c r="V574" s="52">
        <f>IFERROR(Y428*1,"0")+IFERROR(Y429*1,"0")+IFERROR(Y430*1,"0")</f>
        <v>27.3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1230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496.32000000000005</v>
      </c>
      <c r="AB574" s="52">
        <f>IFERROR(Y539*1,"0")+IFERROR(Y543*1,"0")+IFERROR(Y547*1,"0")+IFERROR(Y551*1,"0")+IFERROR(Y555*1,"0")+IFERROR(Y556*1,"0")</f>
        <v>81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1196</vt:i4>
      </vt:variant>
    </vt:vector>
  </HeadingPairs>
  <TitlesOfParts>
    <vt:vector size="119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2026-10-19T09:57:40Z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