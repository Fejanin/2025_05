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A35B244B-BA1F-4E3E-98BF-D0476C19A2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P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94" i="2" l="1"/>
  <c r="BN94" i="2"/>
  <c r="Z101" i="2"/>
  <c r="BN101" i="2"/>
  <c r="Z288" i="2"/>
  <c r="BN288" i="2"/>
  <c r="Z299" i="2"/>
  <c r="Z217" i="2"/>
  <c r="Z218" i="2" s="1"/>
  <c r="Z38" i="2"/>
  <c r="BN38" i="2"/>
  <c r="Z241" i="2"/>
  <c r="Z344" i="2"/>
  <c r="BP22" i="2"/>
  <c r="Y25" i="2"/>
  <c r="Z50" i="2"/>
  <c r="BN50" i="2"/>
  <c r="Z180" i="2"/>
  <c r="Z232" i="2"/>
  <c r="Z258" i="2"/>
  <c r="BP319" i="2"/>
  <c r="Z327" i="2"/>
  <c r="Z356" i="2"/>
  <c r="Z474" i="2"/>
  <c r="Z84" i="2"/>
  <c r="BN84" i="2"/>
  <c r="Z31" i="2"/>
  <c r="BN31" i="2"/>
  <c r="Z67" i="2"/>
  <c r="BN67" i="2"/>
  <c r="Z112" i="2"/>
  <c r="Z170" i="2"/>
  <c r="Z172" i="2" s="1"/>
  <c r="Z210" i="2"/>
  <c r="BN210" i="2"/>
  <c r="Z223" i="2"/>
  <c r="BN223" i="2"/>
  <c r="Z234" i="2"/>
  <c r="Y254" i="2"/>
  <c r="Z274" i="2"/>
  <c r="Z309" i="2"/>
  <c r="Z310" i="2" s="1"/>
  <c r="Y310" i="2"/>
  <c r="Y311" i="2"/>
  <c r="Z363" i="2"/>
  <c r="Z375" i="2"/>
  <c r="Z388" i="2"/>
  <c r="Z406" i="2"/>
  <c r="BN406" i="2"/>
  <c r="Z512" i="2"/>
  <c r="BN512" i="2"/>
  <c r="Z513" i="2"/>
  <c r="BN27" i="2"/>
  <c r="BN37" i="2"/>
  <c r="BN39" i="2"/>
  <c r="BN85" i="2"/>
  <c r="BP109" i="2"/>
  <c r="BN109" i="2"/>
  <c r="Z109" i="2"/>
  <c r="BN138" i="2"/>
  <c r="Z138" i="2"/>
  <c r="BN144" i="2"/>
  <c r="Z144" i="2"/>
  <c r="BN155" i="2"/>
  <c r="Z155" i="2"/>
  <c r="BN176" i="2"/>
  <c r="Z176" i="2"/>
  <c r="BP206" i="2"/>
  <c r="BN206" i="2"/>
  <c r="Z206" i="2"/>
  <c r="BN257" i="2"/>
  <c r="Z257" i="2"/>
  <c r="Z259" i="2" s="1"/>
  <c r="BN280" i="2"/>
  <c r="Z280" i="2"/>
  <c r="BP301" i="2"/>
  <c r="BN301" i="2"/>
  <c r="Z301" i="2"/>
  <c r="BN335" i="2"/>
  <c r="Z335" i="2"/>
  <c r="BN343" i="2"/>
  <c r="Z343" i="2"/>
  <c r="BN355" i="2"/>
  <c r="BP355" i="2"/>
  <c r="BN364" i="2"/>
  <c r="Z364" i="2"/>
  <c r="BP373" i="2"/>
  <c r="Z373" i="2"/>
  <c r="BP387" i="2"/>
  <c r="Z387" i="2"/>
  <c r="BN401" i="2"/>
  <c r="BP401" i="2"/>
  <c r="BP443" i="2"/>
  <c r="Z443" i="2"/>
  <c r="BP456" i="2"/>
  <c r="BN456" i="2"/>
  <c r="Z456" i="2"/>
  <c r="BN505" i="2"/>
  <c r="Z48" i="2"/>
  <c r="Z57" i="2"/>
  <c r="BN57" i="2"/>
  <c r="Z78" i="2"/>
  <c r="BN78" i="2"/>
  <c r="BP78" i="2"/>
  <c r="Z92" i="2"/>
  <c r="BP113" i="2"/>
  <c r="Z113" i="2"/>
  <c r="BN119" i="2"/>
  <c r="Z119" i="2"/>
  <c r="BP138" i="2"/>
  <c r="BN142" i="2"/>
  <c r="Z142" i="2"/>
  <c r="BP144" i="2"/>
  <c r="I564" i="2"/>
  <c r="BN150" i="2"/>
  <c r="Z150" i="2"/>
  <c r="BN153" i="2"/>
  <c r="Z153" i="2"/>
  <c r="BP155" i="2"/>
  <c r="BP166" i="2"/>
  <c r="BN166" i="2"/>
  <c r="Z166" i="2"/>
  <c r="BP176" i="2"/>
  <c r="BP178" i="2"/>
  <c r="BN178" i="2"/>
  <c r="Z178" i="2"/>
  <c r="BN212" i="2"/>
  <c r="BP212" i="2"/>
  <c r="BP225" i="2"/>
  <c r="Z225" i="2"/>
  <c r="BN238" i="2"/>
  <c r="BP268" i="2"/>
  <c r="Z268" i="2"/>
  <c r="BP280" i="2"/>
  <c r="BP284" i="2"/>
  <c r="BN284" i="2"/>
  <c r="Z284" i="2"/>
  <c r="BP317" i="2"/>
  <c r="BN317" i="2"/>
  <c r="Z317" i="2"/>
  <c r="BP335" i="2"/>
  <c r="BN342" i="2"/>
  <c r="Z342" i="2"/>
  <c r="S564" i="2"/>
  <c r="Y358" i="2"/>
  <c r="Z354" i="2"/>
  <c r="BP364" i="2"/>
  <c r="BN365" i="2"/>
  <c r="Z365" i="2"/>
  <c r="Y389" i="2"/>
  <c r="Z386" i="2"/>
  <c r="BP394" i="2"/>
  <c r="Z394" i="2"/>
  <c r="BN407" i="2"/>
  <c r="Y421" i="2"/>
  <c r="BP418" i="2"/>
  <c r="BN418" i="2"/>
  <c r="Z418" i="2"/>
  <c r="BN487" i="2"/>
  <c r="Z487" i="2"/>
  <c r="Z488" i="2" s="1"/>
  <c r="BN493" i="2"/>
  <c r="Y114" i="2"/>
  <c r="BN137" i="2"/>
  <c r="BN151" i="2"/>
  <c r="BN191" i="2"/>
  <c r="BP217" i="2"/>
  <c r="BP232" i="2"/>
  <c r="BP241" i="2"/>
  <c r="BP274" i="2"/>
  <c r="BN334" i="2"/>
  <c r="BP375" i="2"/>
  <c r="BN380" i="2"/>
  <c r="Y409" i="2"/>
  <c r="BN419" i="2"/>
  <c r="BN430" i="2"/>
  <c r="BN445" i="2"/>
  <c r="BN500" i="2"/>
  <c r="Z519" i="2"/>
  <c r="BN521" i="2"/>
  <c r="BP529" i="2"/>
  <c r="Z533" i="2"/>
  <c r="Z534" i="2" s="1"/>
  <c r="BN53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95" i="2" s="1"/>
  <c r="Z104" i="2"/>
  <c r="Z137" i="2"/>
  <c r="Z226" i="2"/>
  <c r="Z246" i="2"/>
  <c r="Z249" i="2" s="1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383" i="2" l="1"/>
  <c r="Z306" i="2"/>
  <c r="Z275" i="2"/>
  <c r="Z139" i="2"/>
  <c r="Z483" i="2"/>
  <c r="Z434" i="2"/>
  <c r="Z366" i="2"/>
  <c r="Z329" i="2"/>
  <c r="Z32" i="2"/>
  <c r="Z186" i="2"/>
  <c r="Z421" i="2"/>
  <c r="Z357" i="2"/>
  <c r="Z320" i="2"/>
  <c r="Z197" i="2"/>
  <c r="Z467" i="2"/>
  <c r="Z114" i="2"/>
  <c r="X557" i="2"/>
  <c r="Z51" i="2"/>
  <c r="Z547" i="2"/>
  <c r="Z478" i="2"/>
  <c r="Z243" i="2"/>
  <c r="Z457" i="2"/>
  <c r="Z167" i="2"/>
  <c r="Z446" i="2"/>
  <c r="Z336" i="2"/>
  <c r="Z440" i="2"/>
  <c r="Z80" i="2"/>
  <c r="Z70" i="2"/>
  <c r="Z345" i="2"/>
  <c r="Z145" i="2"/>
  <c r="Z414" i="2"/>
  <c r="Z389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<sst xmlns="http://schemas.openxmlformats.org/spreadsheetml/2006/main" count="4262" uniqueCount="913">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</sst>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X554" sqref="X5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46244</v>
      </c>
      <c r="R5" s="649"/>
      <c r="T5" s="650" t="s">
        <v>3</v>
      </c>
      <c r="U5" s="651"/>
      <c r="V5" s="652" t="s">
        <v>873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Понедельник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3">
        <v>4680115886643</v>
      </c>
      <c r="E22" s="7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3">
        <v>4680115889071</v>
      </c>
      <c r="E23" s="7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5"/>
      <c r="R23" s="715"/>
      <c r="S23" s="715"/>
      <c r="T23" s="7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1"/>
      <c r="B25" s="721"/>
      <c r="C25" s="721"/>
      <c r="D25" s="721"/>
      <c r="E25" s="721"/>
      <c r="F25" s="721"/>
      <c r="G25" s="721"/>
      <c r="H25" s="721"/>
      <c r="I25" s="721"/>
      <c r="J25" s="721"/>
      <c r="K25" s="721"/>
      <c r="L25" s="721"/>
      <c r="M25" s="721"/>
      <c r="N25" s="721"/>
      <c r="O25" s="722"/>
      <c r="P25" s="718" t="s">
        <v>40</v>
      </c>
      <c r="Q25" s="719"/>
      <c r="R25" s="719"/>
      <c r="S25" s="719"/>
      <c r="T25" s="719"/>
      <c r="U25" s="719"/>
      <c r="V25" s="72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2" t="s">
        <v>86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712"/>
      <c r="O26" s="712"/>
      <c r="P26" s="712"/>
      <c r="Q26" s="712"/>
      <c r="R26" s="712"/>
      <c r="S26" s="712"/>
      <c r="T26" s="712"/>
      <c r="U26" s="712"/>
      <c r="V26" s="712"/>
      <c r="W26" s="712"/>
      <c r="X26" s="712"/>
      <c r="Y26" s="712"/>
      <c r="Z26" s="71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3">
        <v>4680115885912</v>
      </c>
      <c r="E27" s="7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3">
        <v>4607091388237</v>
      </c>
      <c r="E28" s="7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3">
        <v>4680115887350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3">
        <v>4680115885905</v>
      </c>
      <c r="E30" s="7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3">
        <v>4680115887619</v>
      </c>
      <c r="E31" s="7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5"/>
      <c r="R31" s="715"/>
      <c r="S31" s="715"/>
      <c r="T31" s="71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1"/>
      <c r="B33" s="721"/>
      <c r="C33" s="721"/>
      <c r="D33" s="721"/>
      <c r="E33" s="721"/>
      <c r="F33" s="721"/>
      <c r="G33" s="721"/>
      <c r="H33" s="721"/>
      <c r="I33" s="721"/>
      <c r="J33" s="721"/>
      <c r="K33" s="721"/>
      <c r="L33" s="721"/>
      <c r="M33" s="721"/>
      <c r="N33" s="721"/>
      <c r="O33" s="722"/>
      <c r="P33" s="718" t="s">
        <v>40</v>
      </c>
      <c r="Q33" s="719"/>
      <c r="R33" s="719"/>
      <c r="S33" s="719"/>
      <c r="T33" s="719"/>
      <c r="U33" s="719"/>
      <c r="V33" s="72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0" t="s">
        <v>45</v>
      </c>
      <c r="B34" s="710"/>
      <c r="C34" s="710"/>
      <c r="D34" s="710"/>
      <c r="E34" s="710"/>
      <c r="F34" s="710"/>
      <c r="G34" s="710"/>
      <c r="H34" s="710"/>
      <c r="I34" s="710"/>
      <c r="J34" s="710"/>
      <c r="K34" s="710"/>
      <c r="L34" s="710"/>
      <c r="M34" s="710"/>
      <c r="N34" s="710"/>
      <c r="O34" s="710"/>
      <c r="P34" s="710"/>
      <c r="Q34" s="710"/>
      <c r="R34" s="710"/>
      <c r="S34" s="710"/>
      <c r="T34" s="710"/>
      <c r="U34" s="710"/>
      <c r="V34" s="710"/>
      <c r="W34" s="710"/>
      <c r="X34" s="710"/>
      <c r="Y34" s="710"/>
      <c r="Z34" s="710"/>
      <c r="AA34" s="54"/>
      <c r="AB34" s="54"/>
      <c r="AC34" s="54"/>
    </row>
    <row r="35" spans="1:68" ht="16.5" customHeight="1" x14ac:dyDescent="0.25">
      <c r="A35" s="711" t="s">
        <v>104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11"/>
      <c r="Q35" s="711"/>
      <c r="R35" s="711"/>
      <c r="S35" s="711"/>
      <c r="T35" s="711"/>
      <c r="U35" s="711"/>
      <c r="V35" s="711"/>
      <c r="W35" s="711"/>
      <c r="X35" s="711"/>
      <c r="Y35" s="711"/>
      <c r="Z35" s="711"/>
      <c r="AA35" s="65"/>
      <c r="AB35" s="65"/>
      <c r="AC35" s="79"/>
    </row>
    <row r="36" spans="1:68" ht="14.25" customHeight="1" x14ac:dyDescent="0.25">
      <c r="A36" s="712" t="s">
        <v>86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2"/>
      <c r="S36" s="712"/>
      <c r="T36" s="712"/>
      <c r="U36" s="712"/>
      <c r="V36" s="712"/>
      <c r="W36" s="712"/>
      <c r="X36" s="712"/>
      <c r="Y36" s="712"/>
      <c r="Z36" s="71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3">
        <v>4680115889354</v>
      </c>
      <c r="E37" s="71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2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5"/>
      <c r="R37" s="715"/>
      <c r="S37" s="715"/>
      <c r="T37" s="71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3">
        <v>4680115888463</v>
      </c>
      <c r="E38" s="71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5"/>
      <c r="R38" s="715"/>
      <c r="S38" s="715"/>
      <c r="T38" s="71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3">
        <v>4680115888494</v>
      </c>
      <c r="E39" s="71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5"/>
      <c r="R39" s="715"/>
      <c r="S39" s="715"/>
      <c r="T39" s="71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3">
        <v>4680115888272</v>
      </c>
      <c r="E40" s="71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5"/>
      <c r="R40" s="715"/>
      <c r="S40" s="715"/>
      <c r="T40" s="71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3">
        <v>4680115888364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1"/>
      <c r="B42" s="721"/>
      <c r="C42" s="721"/>
      <c r="D42" s="721"/>
      <c r="E42" s="721"/>
      <c r="F42" s="721"/>
      <c r="G42" s="721"/>
      <c r="H42" s="721"/>
      <c r="I42" s="721"/>
      <c r="J42" s="721"/>
      <c r="K42" s="721"/>
      <c r="L42" s="721"/>
      <c r="M42" s="721"/>
      <c r="N42" s="721"/>
      <c r="O42" s="722"/>
      <c r="P42" s="718" t="s">
        <v>40</v>
      </c>
      <c r="Q42" s="719"/>
      <c r="R42" s="719"/>
      <c r="S42" s="719"/>
      <c r="T42" s="719"/>
      <c r="U42" s="719"/>
      <c r="V42" s="72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1"/>
      <c r="B43" s="721"/>
      <c r="C43" s="721"/>
      <c r="D43" s="721"/>
      <c r="E43" s="721"/>
      <c r="F43" s="721"/>
      <c r="G43" s="721"/>
      <c r="H43" s="721"/>
      <c r="I43" s="721"/>
      <c r="J43" s="721"/>
      <c r="K43" s="721"/>
      <c r="L43" s="721"/>
      <c r="M43" s="721"/>
      <c r="N43" s="721"/>
      <c r="O43" s="722"/>
      <c r="P43" s="718" t="s">
        <v>40</v>
      </c>
      <c r="Q43" s="719"/>
      <c r="R43" s="719"/>
      <c r="S43" s="719"/>
      <c r="T43" s="719"/>
      <c r="U43" s="719"/>
      <c r="V43" s="72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0" t="s">
        <v>120</v>
      </c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54"/>
      <c r="AB44" s="54"/>
      <c r="AC44" s="54"/>
    </row>
    <row r="45" spans="1:68" ht="16.5" customHeight="1" x14ac:dyDescent="0.25">
      <c r="A45" s="711" t="s">
        <v>121</v>
      </c>
      <c r="B45" s="711"/>
      <c r="C45" s="711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711"/>
      <c r="O45" s="711"/>
      <c r="P45" s="711"/>
      <c r="Q45" s="711"/>
      <c r="R45" s="711"/>
      <c r="S45" s="711"/>
      <c r="T45" s="711"/>
      <c r="U45" s="711"/>
      <c r="V45" s="711"/>
      <c r="W45" s="711"/>
      <c r="X45" s="711"/>
      <c r="Y45" s="711"/>
      <c r="Z45" s="711"/>
      <c r="AA45" s="65"/>
      <c r="AB45" s="65"/>
      <c r="AC45" s="79"/>
    </row>
    <row r="46" spans="1:68" ht="14.25" customHeight="1" x14ac:dyDescent="0.25">
      <c r="A46" s="712" t="s">
        <v>122</v>
      </c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  <c r="Z46" s="71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3">
        <v>4607091385670</v>
      </c>
      <c r="E47" s="71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5"/>
      <c r="R47" s="715"/>
      <c r="S47" s="715"/>
      <c r="T47" s="71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3">
        <v>4680115887725</v>
      </c>
      <c r="E48" s="71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5"/>
      <c r="R48" s="715"/>
      <c r="S48" s="715"/>
      <c r="T48" s="71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3">
        <v>4607091385687</v>
      </c>
      <c r="E49" s="71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5"/>
      <c r="R49" s="715"/>
      <c r="S49" s="715"/>
      <c r="T49" s="71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3">
        <v>4680115882539</v>
      </c>
      <c r="E50" s="71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5"/>
      <c r="R50" s="715"/>
      <c r="S50" s="715"/>
      <c r="T50" s="71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1"/>
      <c r="B51" s="721"/>
      <c r="C51" s="721"/>
      <c r="D51" s="721"/>
      <c r="E51" s="721"/>
      <c r="F51" s="721"/>
      <c r="G51" s="721"/>
      <c r="H51" s="721"/>
      <c r="I51" s="721"/>
      <c r="J51" s="721"/>
      <c r="K51" s="721"/>
      <c r="L51" s="721"/>
      <c r="M51" s="721"/>
      <c r="N51" s="721"/>
      <c r="O51" s="722"/>
      <c r="P51" s="718" t="s">
        <v>40</v>
      </c>
      <c r="Q51" s="719"/>
      <c r="R51" s="719"/>
      <c r="S51" s="719"/>
      <c r="T51" s="719"/>
      <c r="U51" s="719"/>
      <c r="V51" s="72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1"/>
      <c r="B52" s="721"/>
      <c r="C52" s="721"/>
      <c r="D52" s="721"/>
      <c r="E52" s="721"/>
      <c r="F52" s="721"/>
      <c r="G52" s="721"/>
      <c r="H52" s="721"/>
      <c r="I52" s="721"/>
      <c r="J52" s="721"/>
      <c r="K52" s="721"/>
      <c r="L52" s="721"/>
      <c r="M52" s="721"/>
      <c r="N52" s="721"/>
      <c r="O52" s="722"/>
      <c r="P52" s="718" t="s">
        <v>40</v>
      </c>
      <c r="Q52" s="719"/>
      <c r="R52" s="719"/>
      <c r="S52" s="719"/>
      <c r="T52" s="719"/>
      <c r="U52" s="719"/>
      <c r="V52" s="72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1" t="s">
        <v>137</v>
      </c>
      <c r="B53" s="711"/>
      <c r="C53" s="711"/>
      <c r="D53" s="711"/>
      <c r="E53" s="711"/>
      <c r="F53" s="711"/>
      <c r="G53" s="711"/>
      <c r="H53" s="711"/>
      <c r="I53" s="711"/>
      <c r="J53" s="711"/>
      <c r="K53" s="711"/>
      <c r="L53" s="711"/>
      <c r="M53" s="711"/>
      <c r="N53" s="711"/>
      <c r="O53" s="711"/>
      <c r="P53" s="711"/>
      <c r="Q53" s="711"/>
      <c r="R53" s="711"/>
      <c r="S53" s="711"/>
      <c r="T53" s="711"/>
      <c r="U53" s="711"/>
      <c r="V53" s="711"/>
      <c r="W53" s="711"/>
      <c r="X53" s="711"/>
      <c r="Y53" s="711"/>
      <c r="Z53" s="711"/>
      <c r="AA53" s="65"/>
      <c r="AB53" s="65"/>
      <c r="AC53" s="79"/>
    </row>
    <row r="54" spans="1:68" ht="14.25" customHeight="1" x14ac:dyDescent="0.25">
      <c r="A54" s="712" t="s">
        <v>122</v>
      </c>
      <c r="B54" s="712"/>
      <c r="C54" s="712"/>
      <c r="D54" s="712"/>
      <c r="E54" s="712"/>
      <c r="F54" s="712"/>
      <c r="G54" s="712"/>
      <c r="H54" s="712"/>
      <c r="I54" s="712"/>
      <c r="J54" s="712"/>
      <c r="K54" s="712"/>
      <c r="L54" s="712"/>
      <c r="M54" s="712"/>
      <c r="N54" s="712"/>
      <c r="O54" s="712"/>
      <c r="P54" s="712"/>
      <c r="Q54" s="712"/>
      <c r="R54" s="712"/>
      <c r="S54" s="712"/>
      <c r="T54" s="712"/>
      <c r="U54" s="712"/>
      <c r="V54" s="712"/>
      <c r="W54" s="712"/>
      <c r="X54" s="712"/>
      <c r="Y54" s="712"/>
      <c r="Z54" s="71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3">
        <v>4680115885882</v>
      </c>
      <c r="E55" s="71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5"/>
      <c r="R55" s="715"/>
      <c r="S55" s="715"/>
      <c r="T55" s="71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3">
        <v>4680115885882</v>
      </c>
      <c r="E56" s="71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5"/>
      <c r="R56" s="715"/>
      <c r="S56" s="715"/>
      <c r="T56" s="71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3">
        <v>4680115881426</v>
      </c>
      <c r="E57" s="71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5"/>
      <c r="R57" s="715"/>
      <c r="S57" s="715"/>
      <c r="T57" s="71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3">
        <v>4680115880283</v>
      </c>
      <c r="E58" s="71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5"/>
      <c r="R58" s="715"/>
      <c r="S58" s="715"/>
      <c r="T58" s="71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3">
        <v>4680115880283</v>
      </c>
      <c r="E59" s="71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3">
        <v>4680115881525</v>
      </c>
      <c r="E60" s="71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3">
        <v>4680115885899</v>
      </c>
      <c r="E61" s="71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3">
        <v>4680115881419</v>
      </c>
      <c r="E62" s="71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1"/>
      <c r="B63" s="721"/>
      <c r="C63" s="721"/>
      <c r="D63" s="721"/>
      <c r="E63" s="721"/>
      <c r="F63" s="721"/>
      <c r="G63" s="721"/>
      <c r="H63" s="721"/>
      <c r="I63" s="721"/>
      <c r="J63" s="721"/>
      <c r="K63" s="721"/>
      <c r="L63" s="721"/>
      <c r="M63" s="721"/>
      <c r="N63" s="721"/>
      <c r="O63" s="722"/>
      <c r="P63" s="718" t="s">
        <v>40</v>
      </c>
      <c r="Q63" s="719"/>
      <c r="R63" s="719"/>
      <c r="S63" s="719"/>
      <c r="T63" s="719"/>
      <c r="U63" s="719"/>
      <c r="V63" s="72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1"/>
      <c r="B64" s="721"/>
      <c r="C64" s="721"/>
      <c r="D64" s="721"/>
      <c r="E64" s="721"/>
      <c r="F64" s="721"/>
      <c r="G64" s="721"/>
      <c r="H64" s="721"/>
      <c r="I64" s="721"/>
      <c r="J64" s="721"/>
      <c r="K64" s="721"/>
      <c r="L64" s="721"/>
      <c r="M64" s="721"/>
      <c r="N64" s="721"/>
      <c r="O64" s="722"/>
      <c r="P64" s="718" t="s">
        <v>40</v>
      </c>
      <c r="Q64" s="719"/>
      <c r="R64" s="719"/>
      <c r="S64" s="719"/>
      <c r="T64" s="719"/>
      <c r="U64" s="719"/>
      <c r="V64" s="72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2" t="s">
        <v>158</v>
      </c>
      <c r="B65" s="712"/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712"/>
      <c r="Y65" s="712"/>
      <c r="Z65" s="71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3">
        <v>4680115881440</v>
      </c>
      <c r="E66" s="71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3">
        <v>4680115885950</v>
      </c>
      <c r="E67" s="71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5"/>
      <c r="R67" s="715"/>
      <c r="S67" s="715"/>
      <c r="T67" s="71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3">
        <v>4680115887688</v>
      </c>
      <c r="E68" s="71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5"/>
      <c r="R68" s="715"/>
      <c r="S68" s="715"/>
      <c r="T68" s="71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3">
        <v>4680115881433</v>
      </c>
      <c r="E69" s="71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5"/>
      <c r="R69" s="715"/>
      <c r="S69" s="715"/>
      <c r="T69" s="7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1"/>
      <c r="B70" s="721"/>
      <c r="C70" s="721"/>
      <c r="D70" s="721"/>
      <c r="E70" s="721"/>
      <c r="F70" s="721"/>
      <c r="G70" s="721"/>
      <c r="H70" s="721"/>
      <c r="I70" s="721"/>
      <c r="J70" s="721"/>
      <c r="K70" s="721"/>
      <c r="L70" s="721"/>
      <c r="M70" s="721"/>
      <c r="N70" s="721"/>
      <c r="O70" s="722"/>
      <c r="P70" s="718" t="s">
        <v>40</v>
      </c>
      <c r="Q70" s="719"/>
      <c r="R70" s="719"/>
      <c r="S70" s="719"/>
      <c r="T70" s="719"/>
      <c r="U70" s="719"/>
      <c r="V70" s="72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1"/>
      <c r="B71" s="721"/>
      <c r="C71" s="721"/>
      <c r="D71" s="721"/>
      <c r="E71" s="721"/>
      <c r="F71" s="721"/>
      <c r="G71" s="721"/>
      <c r="H71" s="721"/>
      <c r="I71" s="721"/>
      <c r="J71" s="721"/>
      <c r="K71" s="721"/>
      <c r="L71" s="721"/>
      <c r="M71" s="721"/>
      <c r="N71" s="721"/>
      <c r="O71" s="722"/>
      <c r="P71" s="718" t="s">
        <v>40</v>
      </c>
      <c r="Q71" s="719"/>
      <c r="R71" s="719"/>
      <c r="S71" s="719"/>
      <c r="T71" s="719"/>
      <c r="U71" s="719"/>
      <c r="V71" s="72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2" t="s">
        <v>86</v>
      </c>
      <c r="B72" s="712"/>
      <c r="C72" s="712"/>
      <c r="D72" s="712"/>
      <c r="E72" s="712"/>
      <c r="F72" s="712"/>
      <c r="G72" s="712"/>
      <c r="H72" s="712"/>
      <c r="I72" s="712"/>
      <c r="J72" s="712"/>
      <c r="K72" s="712"/>
      <c r="L72" s="712"/>
      <c r="M72" s="712"/>
      <c r="N72" s="712"/>
      <c r="O72" s="712"/>
      <c r="P72" s="712"/>
      <c r="Q72" s="712"/>
      <c r="R72" s="712"/>
      <c r="S72" s="712"/>
      <c r="T72" s="712"/>
      <c r="U72" s="712"/>
      <c r="V72" s="712"/>
      <c r="W72" s="712"/>
      <c r="X72" s="712"/>
      <c r="Y72" s="712"/>
      <c r="Z72" s="71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3">
        <v>4680115884311</v>
      </c>
      <c r="E73" s="71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3">
        <v>4680115884403</v>
      </c>
      <c r="E74" s="71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5"/>
      <c r="R74" s="715"/>
      <c r="S74" s="715"/>
      <c r="T74" s="71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1"/>
      <c r="B76" s="721"/>
      <c r="C76" s="721"/>
      <c r="D76" s="721"/>
      <c r="E76" s="721"/>
      <c r="F76" s="721"/>
      <c r="G76" s="721"/>
      <c r="H76" s="721"/>
      <c r="I76" s="721"/>
      <c r="J76" s="721"/>
      <c r="K76" s="721"/>
      <c r="L76" s="721"/>
      <c r="M76" s="721"/>
      <c r="N76" s="721"/>
      <c r="O76" s="722"/>
      <c r="P76" s="718" t="s">
        <v>40</v>
      </c>
      <c r="Q76" s="719"/>
      <c r="R76" s="719"/>
      <c r="S76" s="719"/>
      <c r="T76" s="719"/>
      <c r="U76" s="719"/>
      <c r="V76" s="72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2" t="s">
        <v>175</v>
      </c>
      <c r="B77" s="712"/>
      <c r="C77" s="712"/>
      <c r="D77" s="712"/>
      <c r="E77" s="712"/>
      <c r="F77" s="712"/>
      <c r="G77" s="712"/>
      <c r="H77" s="712"/>
      <c r="I77" s="712"/>
      <c r="J77" s="712"/>
      <c r="K77" s="712"/>
      <c r="L77" s="712"/>
      <c r="M77" s="712"/>
      <c r="N77" s="712"/>
      <c r="O77" s="712"/>
      <c r="P77" s="712"/>
      <c r="Q77" s="712"/>
      <c r="R77" s="712"/>
      <c r="S77" s="712"/>
      <c r="T77" s="712"/>
      <c r="U77" s="712"/>
      <c r="V77" s="712"/>
      <c r="W77" s="712"/>
      <c r="X77" s="712"/>
      <c r="Y77" s="712"/>
      <c r="Z77" s="71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3">
        <v>4680115881532</v>
      </c>
      <c r="E78" s="71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3">
        <v>4680115881464</v>
      </c>
      <c r="E79" s="71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5"/>
      <c r="R79" s="715"/>
      <c r="S79" s="715"/>
      <c r="T79" s="71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1"/>
      <c r="B81" s="721"/>
      <c r="C81" s="721"/>
      <c r="D81" s="721"/>
      <c r="E81" s="721"/>
      <c r="F81" s="721"/>
      <c r="G81" s="721"/>
      <c r="H81" s="721"/>
      <c r="I81" s="721"/>
      <c r="J81" s="721"/>
      <c r="K81" s="721"/>
      <c r="L81" s="721"/>
      <c r="M81" s="721"/>
      <c r="N81" s="721"/>
      <c r="O81" s="722"/>
      <c r="P81" s="718" t="s">
        <v>40</v>
      </c>
      <c r="Q81" s="719"/>
      <c r="R81" s="719"/>
      <c r="S81" s="719"/>
      <c r="T81" s="719"/>
      <c r="U81" s="719"/>
      <c r="V81" s="72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1" t="s">
        <v>182</v>
      </c>
      <c r="B82" s="711"/>
      <c r="C82" s="711"/>
      <c r="D82" s="711"/>
      <c r="E82" s="711"/>
      <c r="F82" s="711"/>
      <c r="G82" s="711"/>
      <c r="H82" s="711"/>
      <c r="I82" s="711"/>
      <c r="J82" s="711"/>
      <c r="K82" s="711"/>
      <c r="L82" s="711"/>
      <c r="M82" s="711"/>
      <c r="N82" s="711"/>
      <c r="O82" s="711"/>
      <c r="P82" s="711"/>
      <c r="Q82" s="711"/>
      <c r="R82" s="711"/>
      <c r="S82" s="711"/>
      <c r="T82" s="711"/>
      <c r="U82" s="711"/>
      <c r="V82" s="711"/>
      <c r="W82" s="711"/>
      <c r="X82" s="711"/>
      <c r="Y82" s="711"/>
      <c r="Z82" s="711"/>
      <c r="AA82" s="65"/>
      <c r="AB82" s="65"/>
      <c r="AC82" s="79"/>
    </row>
    <row r="83" spans="1:68" ht="14.25" customHeight="1" x14ac:dyDescent="0.25">
      <c r="A83" s="712" t="s">
        <v>122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3">
        <v>4680115881327</v>
      </c>
      <c r="E84" s="71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3">
        <v>4680115887732</v>
      </c>
      <c r="E85" s="71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5"/>
      <c r="R85" s="715"/>
      <c r="S85" s="715"/>
      <c r="T85" s="71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3">
        <v>4680115881518</v>
      </c>
      <c r="E86" s="71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5"/>
      <c r="R86" s="715"/>
      <c r="S86" s="715"/>
      <c r="T86" s="71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3">
        <v>4680115881303</v>
      </c>
      <c r="E87" s="71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5"/>
      <c r="R87" s="715"/>
      <c r="S87" s="715"/>
      <c r="T87" s="7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1"/>
      <c r="B88" s="721"/>
      <c r="C88" s="721"/>
      <c r="D88" s="721"/>
      <c r="E88" s="721"/>
      <c r="F88" s="721"/>
      <c r="G88" s="721"/>
      <c r="H88" s="721"/>
      <c r="I88" s="721"/>
      <c r="J88" s="721"/>
      <c r="K88" s="721"/>
      <c r="L88" s="721"/>
      <c r="M88" s="721"/>
      <c r="N88" s="721"/>
      <c r="O88" s="722"/>
      <c r="P88" s="718" t="s">
        <v>40</v>
      </c>
      <c r="Q88" s="719"/>
      <c r="R88" s="719"/>
      <c r="S88" s="719"/>
      <c r="T88" s="719"/>
      <c r="U88" s="719"/>
      <c r="V88" s="720"/>
      <c r="W88" s="42" t="s">
        <v>39</v>
      </c>
      <c r="X88" s="43">
        <f>IFERROR(X84/H84,"0")+IFERROR(X85/H85,"0")+IFERROR(X86/H86,"0")+IFERROR(X87/H87,"0")</f>
        <v>4.6296296296296298</v>
      </c>
      <c r="Y88" s="43">
        <f>IFERROR(Y84/H84,"0")+IFERROR(Y85/H85,"0")+IFERROR(Y86/H86,"0")+IFERROR(Y87/H87,"0")</f>
        <v>5</v>
      </c>
      <c r="Z88" s="43">
        <f>IFERROR(IF(Z84="",0,Z84),"0")+IFERROR(IF(Z85="",0,Z85),"0")+IFERROR(IF(Z86="",0,Z86),"0")+IFERROR(IF(Z87="",0,Z87),"0")</f>
        <v>9.4899999999999998E-2</v>
      </c>
      <c r="AA88" s="67"/>
      <c r="AB88" s="67"/>
      <c r="AC88" s="67"/>
    </row>
    <row r="89" spans="1:68" x14ac:dyDescent="0.2">
      <c r="A89" s="721"/>
      <c r="B89" s="721"/>
      <c r="C89" s="721"/>
      <c r="D89" s="721"/>
      <c r="E89" s="721"/>
      <c r="F89" s="721"/>
      <c r="G89" s="721"/>
      <c r="H89" s="721"/>
      <c r="I89" s="721"/>
      <c r="J89" s="721"/>
      <c r="K89" s="721"/>
      <c r="L89" s="721"/>
      <c r="M89" s="721"/>
      <c r="N89" s="721"/>
      <c r="O89" s="722"/>
      <c r="P89" s="718" t="s">
        <v>40</v>
      </c>
      <c r="Q89" s="719"/>
      <c r="R89" s="719"/>
      <c r="S89" s="719"/>
      <c r="T89" s="719"/>
      <c r="U89" s="719"/>
      <c r="V89" s="720"/>
      <c r="W89" s="42" t="s">
        <v>0</v>
      </c>
      <c r="X89" s="43">
        <f>IFERROR(SUM(X84:X87),"0")</f>
        <v>50</v>
      </c>
      <c r="Y89" s="43">
        <f>IFERROR(SUM(Y84:Y87),"0")</f>
        <v>54</v>
      </c>
      <c r="Z89" s="42"/>
      <c r="AA89" s="67"/>
      <c r="AB89" s="67"/>
      <c r="AC89" s="67"/>
    </row>
    <row r="90" spans="1:68" ht="14.25" customHeight="1" x14ac:dyDescent="0.25">
      <c r="A90" s="712" t="s">
        <v>86</v>
      </c>
      <c r="B90" s="712"/>
      <c r="C90" s="712"/>
      <c r="D90" s="712"/>
      <c r="E90" s="712"/>
      <c r="F90" s="712"/>
      <c r="G90" s="712"/>
      <c r="H90" s="712"/>
      <c r="I90" s="712"/>
      <c r="J90" s="712"/>
      <c r="K90" s="712"/>
      <c r="L90" s="712"/>
      <c r="M90" s="712"/>
      <c r="N90" s="712"/>
      <c r="O90" s="712"/>
      <c r="P90" s="712"/>
      <c r="Q90" s="712"/>
      <c r="R90" s="712"/>
      <c r="S90" s="712"/>
      <c r="T90" s="712"/>
      <c r="U90" s="712"/>
      <c r="V90" s="712"/>
      <c r="W90" s="712"/>
      <c r="X90" s="712"/>
      <c r="Y90" s="712"/>
      <c r="Z90" s="71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3">
        <v>4607091386967</v>
      </c>
      <c r="E91" s="71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3">
        <v>4680115884953</v>
      </c>
      <c r="E92" s="71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3">
        <v>4607091385731</v>
      </c>
      <c r="E93" s="71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3">
        <v>4680115880894</v>
      </c>
      <c r="E94" s="71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711" t="s">
        <v>203</v>
      </c>
      <c r="B97" s="711"/>
      <c r="C97" s="711"/>
      <c r="D97" s="711"/>
      <c r="E97" s="711"/>
      <c r="F97" s="711"/>
      <c r="G97" s="711"/>
      <c r="H97" s="711"/>
      <c r="I97" s="711"/>
      <c r="J97" s="711"/>
      <c r="K97" s="711"/>
      <c r="L97" s="711"/>
      <c r="M97" s="711"/>
      <c r="N97" s="711"/>
      <c r="O97" s="711"/>
      <c r="P97" s="711"/>
      <c r="Q97" s="711"/>
      <c r="R97" s="711"/>
      <c r="S97" s="711"/>
      <c r="T97" s="711"/>
      <c r="U97" s="711"/>
      <c r="V97" s="711"/>
      <c r="W97" s="711"/>
      <c r="X97" s="711"/>
      <c r="Y97" s="711"/>
      <c r="Z97" s="711"/>
      <c r="AA97" s="65"/>
      <c r="AB97" s="65"/>
      <c r="AC97" s="79"/>
    </row>
    <row r="98" spans="1:68" ht="14.25" customHeight="1" x14ac:dyDescent="0.25">
      <c r="A98" s="712" t="s">
        <v>122</v>
      </c>
      <c r="B98" s="712"/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712"/>
      <c r="O98" s="712"/>
      <c r="P98" s="712"/>
      <c r="Q98" s="712"/>
      <c r="R98" s="712"/>
      <c r="S98" s="712"/>
      <c r="T98" s="712"/>
      <c r="U98" s="712"/>
      <c r="V98" s="712"/>
      <c r="W98" s="712"/>
      <c r="X98" s="712"/>
      <c r="Y98" s="712"/>
      <c r="Z98" s="71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3">
        <v>4680115882133</v>
      </c>
      <c r="E99" s="71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3">
        <v>4680115887718</v>
      </c>
      <c r="E100" s="71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3">
        <v>4680115887718</v>
      </c>
      <c r="E101" s="713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3">
        <v>4680115887718</v>
      </c>
      <c r="E102" s="713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5"/>
      <c r="R102" s="715"/>
      <c r="S102" s="715"/>
      <c r="T102" s="7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3">
        <v>4680115880269</v>
      </c>
      <c r="E103" s="713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5"/>
      <c r="R103" s="715"/>
      <c r="S103" s="715"/>
      <c r="T103" s="7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3">
        <v>4680115880429</v>
      </c>
      <c r="E104" s="713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5"/>
      <c r="R104" s="715"/>
      <c r="S104" s="715"/>
      <c r="T104" s="7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3">
        <v>4680115881457</v>
      </c>
      <c r="E105" s="713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5"/>
      <c r="R105" s="715"/>
      <c r="S105" s="715"/>
      <c r="T105" s="7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1"/>
      <c r="B106" s="721"/>
      <c r="C106" s="721"/>
      <c r="D106" s="721"/>
      <c r="E106" s="721"/>
      <c r="F106" s="721"/>
      <c r="G106" s="721"/>
      <c r="H106" s="721"/>
      <c r="I106" s="721"/>
      <c r="J106" s="721"/>
      <c r="K106" s="721"/>
      <c r="L106" s="721"/>
      <c r="M106" s="721"/>
      <c r="N106" s="721"/>
      <c r="O106" s="722"/>
      <c r="P106" s="718" t="s">
        <v>40</v>
      </c>
      <c r="Q106" s="719"/>
      <c r="R106" s="719"/>
      <c r="S106" s="719"/>
      <c r="T106" s="719"/>
      <c r="U106" s="719"/>
      <c r="V106" s="72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721"/>
      <c r="B107" s="721"/>
      <c r="C107" s="721"/>
      <c r="D107" s="721"/>
      <c r="E107" s="721"/>
      <c r="F107" s="721"/>
      <c r="G107" s="721"/>
      <c r="H107" s="721"/>
      <c r="I107" s="721"/>
      <c r="J107" s="721"/>
      <c r="K107" s="721"/>
      <c r="L107" s="721"/>
      <c r="M107" s="721"/>
      <c r="N107" s="721"/>
      <c r="O107" s="722"/>
      <c r="P107" s="718" t="s">
        <v>40</v>
      </c>
      <c r="Q107" s="719"/>
      <c r="R107" s="719"/>
      <c r="S107" s="719"/>
      <c r="T107" s="719"/>
      <c r="U107" s="719"/>
      <c r="V107" s="72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712" t="s">
        <v>158</v>
      </c>
      <c r="B108" s="712"/>
      <c r="C108" s="712"/>
      <c r="D108" s="712"/>
      <c r="E108" s="712"/>
      <c r="F108" s="712"/>
      <c r="G108" s="712"/>
      <c r="H108" s="712"/>
      <c r="I108" s="712"/>
      <c r="J108" s="712"/>
      <c r="K108" s="712"/>
      <c r="L108" s="712"/>
      <c r="M108" s="712"/>
      <c r="N108" s="712"/>
      <c r="O108" s="712"/>
      <c r="P108" s="712"/>
      <c r="Q108" s="712"/>
      <c r="R108" s="712"/>
      <c r="S108" s="712"/>
      <c r="T108" s="712"/>
      <c r="U108" s="712"/>
      <c r="V108" s="712"/>
      <c r="W108" s="712"/>
      <c r="X108" s="712"/>
      <c r="Y108" s="712"/>
      <c r="Z108" s="71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3">
        <v>4680115881488</v>
      </c>
      <c r="E109" s="713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3">
        <v>4680115887664</v>
      </c>
      <c r="E110" s="713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3">
        <v>4680115887664</v>
      </c>
      <c r="E111" s="713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3">
        <v>4680115882775</v>
      </c>
      <c r="E112" s="713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3">
        <v>4680115880658</v>
      </c>
      <c r="E113" s="713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5"/>
      <c r="R113" s="715"/>
      <c r="S113" s="715"/>
      <c r="T113" s="71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1"/>
      <c r="B115" s="721"/>
      <c r="C115" s="721"/>
      <c r="D115" s="721"/>
      <c r="E115" s="721"/>
      <c r="F115" s="721"/>
      <c r="G115" s="721"/>
      <c r="H115" s="721"/>
      <c r="I115" s="721"/>
      <c r="J115" s="721"/>
      <c r="K115" s="721"/>
      <c r="L115" s="721"/>
      <c r="M115" s="721"/>
      <c r="N115" s="721"/>
      <c r="O115" s="722"/>
      <c r="P115" s="718" t="s">
        <v>40</v>
      </c>
      <c r="Q115" s="719"/>
      <c r="R115" s="719"/>
      <c r="S115" s="719"/>
      <c r="T115" s="719"/>
      <c r="U115" s="719"/>
      <c r="V115" s="72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2" t="s">
        <v>86</v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2"/>
      <c r="Z116" s="71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3">
        <v>4607091385168</v>
      </c>
      <c r="E117" s="713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40</v>
      </c>
      <c r="Y117" s="55">
        <f>IFERROR(IF(X117="",0,CEILING((X117/$H117),1)*$H117),"")</f>
        <v>40.5</v>
      </c>
      <c r="Z117" s="41">
        <f>IFERROR(IF(Y117=0,"",ROUNDUP(Y117/H117,0)*0.01898),"")</f>
        <v>9.4899999999999998E-2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42.409876543209876</v>
      </c>
      <c r="BN117" s="78">
        <f>IFERROR(Y117*I117/H117,"0")</f>
        <v>42.94</v>
      </c>
      <c r="BO117" s="78">
        <f>IFERROR(1/J117*(X117/H117),"0")</f>
        <v>7.7160493827160503E-2</v>
      </c>
      <c r="BP117" s="78">
        <f>IFERROR(1/J117*(Y117/H117),"0")</f>
        <v>7.8125E-2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3">
        <v>4607091383256</v>
      </c>
      <c r="E118" s="713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3">
        <v>4607091385748</v>
      </c>
      <c r="E119" s="713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3">
        <v>4680115884533</v>
      </c>
      <c r="E120" s="713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5"/>
      <c r="R120" s="715"/>
      <c r="S120" s="715"/>
      <c r="T120" s="71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39</v>
      </c>
      <c r="X121" s="43">
        <f>IFERROR(X117/H117,"0")+IFERROR(X118/H118,"0")+IFERROR(X119/H119,"0")+IFERROR(X120/H120,"0")</f>
        <v>4.9382716049382722</v>
      </c>
      <c r="Y121" s="43">
        <f>IFERROR(Y117/H117,"0")+IFERROR(Y118/H118,"0")+IFERROR(Y119/H119,"0")+IFERROR(Y120/H120,"0")</f>
        <v>5</v>
      </c>
      <c r="Z121" s="43">
        <f>IFERROR(IF(Z117="",0,Z117),"0")+IFERROR(IF(Z118="",0,Z118),"0")+IFERROR(IF(Z119="",0,Z119),"0")+IFERROR(IF(Z120="",0,Z120),"0")</f>
        <v>9.4899999999999998E-2</v>
      </c>
      <c r="AA121" s="67"/>
      <c r="AB121" s="67"/>
      <c r="AC121" s="67"/>
    </row>
    <row r="122" spans="1:68" x14ac:dyDescent="0.2">
      <c r="A122" s="721"/>
      <c r="B122" s="721"/>
      <c r="C122" s="721"/>
      <c r="D122" s="721"/>
      <c r="E122" s="721"/>
      <c r="F122" s="721"/>
      <c r="G122" s="721"/>
      <c r="H122" s="721"/>
      <c r="I122" s="721"/>
      <c r="J122" s="721"/>
      <c r="K122" s="721"/>
      <c r="L122" s="721"/>
      <c r="M122" s="721"/>
      <c r="N122" s="721"/>
      <c r="O122" s="722"/>
      <c r="P122" s="718" t="s">
        <v>40</v>
      </c>
      <c r="Q122" s="719"/>
      <c r="R122" s="719"/>
      <c r="S122" s="719"/>
      <c r="T122" s="719"/>
      <c r="U122" s="719"/>
      <c r="V122" s="720"/>
      <c r="W122" s="42" t="s">
        <v>0</v>
      </c>
      <c r="X122" s="43">
        <f>IFERROR(SUM(X117:X120),"0")</f>
        <v>40</v>
      </c>
      <c r="Y122" s="43">
        <f>IFERROR(SUM(Y117:Y120),"0")</f>
        <v>40.5</v>
      </c>
      <c r="Z122" s="42"/>
      <c r="AA122" s="67"/>
      <c r="AB122" s="67"/>
      <c r="AC122" s="67"/>
    </row>
    <row r="123" spans="1:68" ht="14.25" customHeight="1" x14ac:dyDescent="0.25">
      <c r="A123" s="712" t="s">
        <v>175</v>
      </c>
      <c r="B123" s="712"/>
      <c r="C123" s="712"/>
      <c r="D123" s="712"/>
      <c r="E123" s="712"/>
      <c r="F123" s="712"/>
      <c r="G123" s="712"/>
      <c r="H123" s="712"/>
      <c r="I123" s="712"/>
      <c r="J123" s="712"/>
      <c r="K123" s="712"/>
      <c r="L123" s="712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2"/>
      <c r="X123" s="712"/>
      <c r="Y123" s="712"/>
      <c r="Z123" s="71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3">
        <v>4680115880238</v>
      </c>
      <c r="E124" s="713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1"/>
      <c r="B125" s="721"/>
      <c r="C125" s="721"/>
      <c r="D125" s="721"/>
      <c r="E125" s="721"/>
      <c r="F125" s="721"/>
      <c r="G125" s="721"/>
      <c r="H125" s="721"/>
      <c r="I125" s="721"/>
      <c r="J125" s="721"/>
      <c r="K125" s="721"/>
      <c r="L125" s="721"/>
      <c r="M125" s="721"/>
      <c r="N125" s="721"/>
      <c r="O125" s="722"/>
      <c r="P125" s="718" t="s">
        <v>40</v>
      </c>
      <c r="Q125" s="719"/>
      <c r="R125" s="719"/>
      <c r="S125" s="719"/>
      <c r="T125" s="719"/>
      <c r="U125" s="719"/>
      <c r="V125" s="72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1"/>
      <c r="B126" s="721"/>
      <c r="C126" s="721"/>
      <c r="D126" s="721"/>
      <c r="E126" s="721"/>
      <c r="F126" s="721"/>
      <c r="G126" s="721"/>
      <c r="H126" s="721"/>
      <c r="I126" s="721"/>
      <c r="J126" s="721"/>
      <c r="K126" s="721"/>
      <c r="L126" s="721"/>
      <c r="M126" s="721"/>
      <c r="N126" s="721"/>
      <c r="O126" s="722"/>
      <c r="P126" s="718" t="s">
        <v>40</v>
      </c>
      <c r="Q126" s="719"/>
      <c r="R126" s="719"/>
      <c r="S126" s="719"/>
      <c r="T126" s="719"/>
      <c r="U126" s="719"/>
      <c r="V126" s="72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1" t="s">
        <v>243</v>
      </c>
      <c r="B127" s="711"/>
      <c r="C127" s="711"/>
      <c r="D127" s="711"/>
      <c r="E127" s="711"/>
      <c r="F127" s="711"/>
      <c r="G127" s="711"/>
      <c r="H127" s="711"/>
      <c r="I127" s="711"/>
      <c r="J127" s="711"/>
      <c r="K127" s="711"/>
      <c r="L127" s="711"/>
      <c r="M127" s="711"/>
      <c r="N127" s="711"/>
      <c r="O127" s="711"/>
      <c r="P127" s="711"/>
      <c r="Q127" s="711"/>
      <c r="R127" s="711"/>
      <c r="S127" s="711"/>
      <c r="T127" s="711"/>
      <c r="U127" s="711"/>
      <c r="V127" s="711"/>
      <c r="W127" s="711"/>
      <c r="X127" s="711"/>
      <c r="Y127" s="711"/>
      <c r="Z127" s="711"/>
      <c r="AA127" s="65"/>
      <c r="AB127" s="65"/>
      <c r="AC127" s="79"/>
    </row>
    <row r="128" spans="1:68" ht="14.25" customHeight="1" x14ac:dyDescent="0.25">
      <c r="A128" s="712" t="s">
        <v>122</v>
      </c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2"/>
      <c r="P128" s="712"/>
      <c r="Q128" s="712"/>
      <c r="R128" s="712"/>
      <c r="S128" s="712"/>
      <c r="T128" s="712"/>
      <c r="U128" s="712"/>
      <c r="V128" s="712"/>
      <c r="W128" s="712"/>
      <c r="X128" s="712"/>
      <c r="Y128" s="712"/>
      <c r="Z128" s="712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3">
        <v>4680115888784</v>
      </c>
      <c r="E129" s="713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5"/>
      <c r="R129" s="715"/>
      <c r="S129" s="715"/>
      <c r="T129" s="7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3">
        <v>4680115882577</v>
      </c>
      <c r="E130" s="71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3">
        <v>4680115882577</v>
      </c>
      <c r="E131" s="71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5"/>
      <c r="R131" s="715"/>
      <c r="S131" s="715"/>
      <c r="T131" s="71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1"/>
      <c r="B133" s="721"/>
      <c r="C133" s="721"/>
      <c r="D133" s="721"/>
      <c r="E133" s="721"/>
      <c r="F133" s="721"/>
      <c r="G133" s="721"/>
      <c r="H133" s="721"/>
      <c r="I133" s="721"/>
      <c r="J133" s="721"/>
      <c r="K133" s="721"/>
      <c r="L133" s="721"/>
      <c r="M133" s="721"/>
      <c r="N133" s="721"/>
      <c r="O133" s="722"/>
      <c r="P133" s="718" t="s">
        <v>40</v>
      </c>
      <c r="Q133" s="719"/>
      <c r="R133" s="719"/>
      <c r="S133" s="719"/>
      <c r="T133" s="719"/>
      <c r="U133" s="719"/>
      <c r="V133" s="72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2" t="s">
        <v>77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3">
        <v>4680115888913</v>
      </c>
      <c r="E135" s="713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3">
        <v>4680115883444</v>
      </c>
      <c r="E136" s="71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3">
        <v>4680115883444</v>
      </c>
      <c r="E137" s="71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5"/>
      <c r="R137" s="715"/>
      <c r="S137" s="715"/>
      <c r="T137" s="71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3">
        <v>4680115888920</v>
      </c>
      <c r="E138" s="713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5"/>
      <c r="R138" s="715"/>
      <c r="S138" s="715"/>
      <c r="T138" s="71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1"/>
      <c r="B139" s="721"/>
      <c r="C139" s="721"/>
      <c r="D139" s="721"/>
      <c r="E139" s="721"/>
      <c r="F139" s="721"/>
      <c r="G139" s="721"/>
      <c r="H139" s="721"/>
      <c r="I139" s="721"/>
      <c r="J139" s="721"/>
      <c r="K139" s="721"/>
      <c r="L139" s="721"/>
      <c r="M139" s="721"/>
      <c r="N139" s="721"/>
      <c r="O139" s="722"/>
      <c r="P139" s="718" t="s">
        <v>40</v>
      </c>
      <c r="Q139" s="719"/>
      <c r="R139" s="719"/>
      <c r="S139" s="719"/>
      <c r="T139" s="719"/>
      <c r="U139" s="719"/>
      <c r="V139" s="72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1"/>
      <c r="B140" s="721"/>
      <c r="C140" s="721"/>
      <c r="D140" s="721"/>
      <c r="E140" s="721"/>
      <c r="F140" s="721"/>
      <c r="G140" s="721"/>
      <c r="H140" s="721"/>
      <c r="I140" s="721"/>
      <c r="J140" s="721"/>
      <c r="K140" s="721"/>
      <c r="L140" s="721"/>
      <c r="M140" s="721"/>
      <c r="N140" s="721"/>
      <c r="O140" s="722"/>
      <c r="P140" s="718" t="s">
        <v>40</v>
      </c>
      <c r="Q140" s="719"/>
      <c r="R140" s="719"/>
      <c r="S140" s="719"/>
      <c r="T140" s="719"/>
      <c r="U140" s="719"/>
      <c r="V140" s="72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2" t="s">
        <v>86</v>
      </c>
      <c r="B141" s="712"/>
      <c r="C141" s="712"/>
      <c r="D141" s="712"/>
      <c r="E141" s="712"/>
      <c r="F141" s="712"/>
      <c r="G141" s="712"/>
      <c r="H141" s="712"/>
      <c r="I141" s="712"/>
      <c r="J141" s="712"/>
      <c r="K141" s="712"/>
      <c r="L141" s="712"/>
      <c r="M141" s="712"/>
      <c r="N141" s="712"/>
      <c r="O141" s="712"/>
      <c r="P141" s="712"/>
      <c r="Q141" s="712"/>
      <c r="R141" s="712"/>
      <c r="S141" s="712"/>
      <c r="T141" s="712"/>
      <c r="U141" s="712"/>
      <c r="V141" s="712"/>
      <c r="W141" s="712"/>
      <c r="X141" s="712"/>
      <c r="Y141" s="712"/>
      <c r="Z141" s="712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3">
        <v>4680115888944</v>
      </c>
      <c r="E142" s="713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5"/>
      <c r="R142" s="715"/>
      <c r="S142" s="715"/>
      <c r="T142" s="71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3">
        <v>4680115882584</v>
      </c>
      <c r="E143" s="71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5"/>
      <c r="R143" s="715"/>
      <c r="S143" s="715"/>
      <c r="T143" s="71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3">
        <v>4680115882584</v>
      </c>
      <c r="E144" s="7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5"/>
      <c r="R144" s="715"/>
      <c r="S144" s="715"/>
      <c r="T144" s="7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1"/>
      <c r="B145" s="721"/>
      <c r="C145" s="721"/>
      <c r="D145" s="721"/>
      <c r="E145" s="721"/>
      <c r="F145" s="721"/>
      <c r="G145" s="721"/>
      <c r="H145" s="721"/>
      <c r="I145" s="721"/>
      <c r="J145" s="721"/>
      <c r="K145" s="721"/>
      <c r="L145" s="721"/>
      <c r="M145" s="721"/>
      <c r="N145" s="721"/>
      <c r="O145" s="722"/>
      <c r="P145" s="718" t="s">
        <v>40</v>
      </c>
      <c r="Q145" s="719"/>
      <c r="R145" s="719"/>
      <c r="S145" s="719"/>
      <c r="T145" s="719"/>
      <c r="U145" s="719"/>
      <c r="V145" s="72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1"/>
      <c r="B146" s="721"/>
      <c r="C146" s="721"/>
      <c r="D146" s="721"/>
      <c r="E146" s="721"/>
      <c r="F146" s="721"/>
      <c r="G146" s="721"/>
      <c r="H146" s="721"/>
      <c r="I146" s="721"/>
      <c r="J146" s="721"/>
      <c r="K146" s="721"/>
      <c r="L146" s="721"/>
      <c r="M146" s="721"/>
      <c r="N146" s="721"/>
      <c r="O146" s="722"/>
      <c r="P146" s="718" t="s">
        <v>40</v>
      </c>
      <c r="Q146" s="719"/>
      <c r="R146" s="719"/>
      <c r="S146" s="719"/>
      <c r="T146" s="719"/>
      <c r="U146" s="719"/>
      <c r="V146" s="72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1" t="s">
        <v>267</v>
      </c>
      <c r="B147" s="711"/>
      <c r="C147" s="711"/>
      <c r="D147" s="711"/>
      <c r="E147" s="711"/>
      <c r="F147" s="711"/>
      <c r="G147" s="711"/>
      <c r="H147" s="711"/>
      <c r="I147" s="711"/>
      <c r="J147" s="711"/>
      <c r="K147" s="711"/>
      <c r="L147" s="711"/>
      <c r="M147" s="711"/>
      <c r="N147" s="711"/>
      <c r="O147" s="711"/>
      <c r="P147" s="711"/>
      <c r="Q147" s="711"/>
      <c r="R147" s="711"/>
      <c r="S147" s="711"/>
      <c r="T147" s="711"/>
      <c r="U147" s="711"/>
      <c r="V147" s="711"/>
      <c r="W147" s="711"/>
      <c r="X147" s="711"/>
      <c r="Y147" s="711"/>
      <c r="Z147" s="711"/>
      <c r="AA147" s="65"/>
      <c r="AB147" s="65"/>
      <c r="AC147" s="79"/>
    </row>
    <row r="148" spans="1:68" ht="14.25" customHeight="1" x14ac:dyDescent="0.25">
      <c r="A148" s="712" t="s">
        <v>86</v>
      </c>
      <c r="B148" s="712"/>
      <c r="C148" s="712"/>
      <c r="D148" s="712"/>
      <c r="E148" s="712"/>
      <c r="F148" s="712"/>
      <c r="G148" s="712"/>
      <c r="H148" s="712"/>
      <c r="I148" s="712"/>
      <c r="J148" s="712"/>
      <c r="K148" s="712"/>
      <c r="L148" s="712"/>
      <c r="M148" s="712"/>
      <c r="N148" s="712"/>
      <c r="O148" s="712"/>
      <c r="P148" s="712"/>
      <c r="Q148" s="712"/>
      <c r="R148" s="712"/>
      <c r="S148" s="712"/>
      <c r="T148" s="712"/>
      <c r="U148" s="712"/>
      <c r="V148" s="712"/>
      <c r="W148" s="712"/>
      <c r="X148" s="712"/>
      <c r="Y148" s="712"/>
      <c r="Z148" s="712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3">
        <v>4680115888203</v>
      </c>
      <c r="E149" s="71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5"/>
      <c r="R149" s="715"/>
      <c r="S149" s="715"/>
      <c r="T149" s="71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3">
        <v>4680115888180</v>
      </c>
      <c r="E150" s="7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5"/>
      <c r="R150" s="715"/>
      <c r="S150" s="715"/>
      <c r="T150" s="71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3">
        <v>4680115888180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3">
        <v>4680115888197</v>
      </c>
      <c r="E152" s="7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3">
        <v>4680115888210</v>
      </c>
      <c r="E154" s="71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3">
        <v>4680115888210</v>
      </c>
      <c r="E155" s="71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5"/>
      <c r="R155" s="715"/>
      <c r="S155" s="715"/>
      <c r="T155" s="71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1"/>
      <c r="B157" s="721"/>
      <c r="C157" s="721"/>
      <c r="D157" s="721"/>
      <c r="E157" s="721"/>
      <c r="F157" s="721"/>
      <c r="G157" s="721"/>
      <c r="H157" s="721"/>
      <c r="I157" s="721"/>
      <c r="J157" s="721"/>
      <c r="K157" s="721"/>
      <c r="L157" s="721"/>
      <c r="M157" s="721"/>
      <c r="N157" s="721"/>
      <c r="O157" s="722"/>
      <c r="P157" s="718" t="s">
        <v>40</v>
      </c>
      <c r="Q157" s="719"/>
      <c r="R157" s="719"/>
      <c r="S157" s="719"/>
      <c r="T157" s="719"/>
      <c r="U157" s="719"/>
      <c r="V157" s="72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2" t="s">
        <v>283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3">
        <v>4680115889132</v>
      </c>
      <c r="E159" s="71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5"/>
      <c r="R159" s="715"/>
      <c r="S159" s="715"/>
      <c r="T159" s="7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1"/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2"/>
      <c r="P161" s="718" t="s">
        <v>40</v>
      </c>
      <c r="Q161" s="719"/>
      <c r="R161" s="719"/>
      <c r="S161" s="719"/>
      <c r="T161" s="719"/>
      <c r="U161" s="719"/>
      <c r="V161" s="72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1" t="s">
        <v>120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711"/>
      <c r="O162" s="711"/>
      <c r="P162" s="711"/>
      <c r="Q162" s="711"/>
      <c r="R162" s="711"/>
      <c r="S162" s="711"/>
      <c r="T162" s="711"/>
      <c r="U162" s="711"/>
      <c r="V162" s="711"/>
      <c r="W162" s="711"/>
      <c r="X162" s="711"/>
      <c r="Y162" s="711"/>
      <c r="Z162" s="711"/>
      <c r="AA162" s="65"/>
      <c r="AB162" s="65"/>
      <c r="AC162" s="79"/>
    </row>
    <row r="163" spans="1:68" ht="14.25" customHeight="1" x14ac:dyDescent="0.25">
      <c r="A163" s="712" t="s">
        <v>122</v>
      </c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2"/>
      <c r="P163" s="712"/>
      <c r="Q163" s="712"/>
      <c r="R163" s="712"/>
      <c r="S163" s="712"/>
      <c r="T163" s="712"/>
      <c r="U163" s="712"/>
      <c r="V163" s="712"/>
      <c r="W163" s="712"/>
      <c r="X163" s="712"/>
      <c r="Y163" s="712"/>
      <c r="Z163" s="71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3">
        <v>4680115887374</v>
      </c>
      <c r="E164" s="71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2" t="s">
        <v>158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3">
        <v>4680115887763</v>
      </c>
      <c r="E182" s="713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0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3">
        <v>4680115887480</v>
      </c>
      <c r="E183" s="71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0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3">
        <v>4680115888067</v>
      </c>
      <c r="E184" s="71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3">
        <v>4680115887435</v>
      </c>
      <c r="E185" s="71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5"/>
      <c r="R185" s="715"/>
      <c r="S185" s="715"/>
      <c r="T185" s="71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1"/>
      <c r="B187" s="721"/>
      <c r="C187" s="721"/>
      <c r="D187" s="721"/>
      <c r="E187" s="721"/>
      <c r="F187" s="721"/>
      <c r="G187" s="721"/>
      <c r="H187" s="721"/>
      <c r="I187" s="721"/>
      <c r="J187" s="721"/>
      <c r="K187" s="721"/>
      <c r="L187" s="721"/>
      <c r="M187" s="721"/>
      <c r="N187" s="721"/>
      <c r="O187" s="722"/>
      <c r="P187" s="718" t="s">
        <v>40</v>
      </c>
      <c r="Q187" s="719"/>
      <c r="R187" s="719"/>
      <c r="S187" s="719"/>
      <c r="T187" s="719"/>
      <c r="U187" s="719"/>
      <c r="V187" s="72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2" t="s">
        <v>86</v>
      </c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2"/>
      <c r="X188" s="712"/>
      <c r="Y188" s="712"/>
      <c r="Z188" s="712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3">
        <v>4680115888395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3">
        <v>4680115888371</v>
      </c>
      <c r="E190" s="71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5"/>
      <c r="R190" s="715"/>
      <c r="S190" s="715"/>
      <c r="T190" s="71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3">
        <v>4680115887459</v>
      </c>
      <c r="E191" s="71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5"/>
      <c r="R191" s="715"/>
      <c r="S191" s="715"/>
      <c r="T191" s="71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1"/>
      <c r="B192" s="721"/>
      <c r="C192" s="721"/>
      <c r="D192" s="721"/>
      <c r="E192" s="721"/>
      <c r="F192" s="721"/>
      <c r="G192" s="721"/>
      <c r="H192" s="721"/>
      <c r="I192" s="721"/>
      <c r="J192" s="721"/>
      <c r="K192" s="721"/>
      <c r="L192" s="721"/>
      <c r="M192" s="721"/>
      <c r="N192" s="721"/>
      <c r="O192" s="722"/>
      <c r="P192" s="718" t="s">
        <v>40</v>
      </c>
      <c r="Q192" s="719"/>
      <c r="R192" s="719"/>
      <c r="S192" s="719"/>
      <c r="T192" s="719"/>
      <c r="U192" s="719"/>
      <c r="V192" s="72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1"/>
      <c r="B193" s="721"/>
      <c r="C193" s="721"/>
      <c r="D193" s="721"/>
      <c r="E193" s="721"/>
      <c r="F193" s="721"/>
      <c r="G193" s="721"/>
      <c r="H193" s="721"/>
      <c r="I193" s="721"/>
      <c r="J193" s="721"/>
      <c r="K193" s="721"/>
      <c r="L193" s="721"/>
      <c r="M193" s="721"/>
      <c r="N193" s="721"/>
      <c r="O193" s="722"/>
      <c r="P193" s="718" t="s">
        <v>40</v>
      </c>
      <c r="Q193" s="719"/>
      <c r="R193" s="719"/>
      <c r="S193" s="719"/>
      <c r="T193" s="719"/>
      <c r="U193" s="719"/>
      <c r="V193" s="72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2" t="s">
        <v>283</v>
      </c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2"/>
      <c r="P194" s="712"/>
      <c r="Q194" s="712"/>
      <c r="R194" s="712"/>
      <c r="S194" s="712"/>
      <c r="T194" s="712"/>
      <c r="U194" s="712"/>
      <c r="V194" s="712"/>
      <c r="W194" s="712"/>
      <c r="X194" s="712"/>
      <c r="Y194" s="712"/>
      <c r="Z194" s="712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3">
        <v>4680115889026</v>
      </c>
      <c r="E195" s="71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5"/>
      <c r="R195" s="715"/>
      <c r="S195" s="715"/>
      <c r="T195" s="71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3">
        <v>4680115889088</v>
      </c>
      <c r="E196" s="71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5"/>
      <c r="R196" s="715"/>
      <c r="S196" s="715"/>
      <c r="T196" s="71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1"/>
      <c r="B197" s="721"/>
      <c r="C197" s="721"/>
      <c r="D197" s="721"/>
      <c r="E197" s="721"/>
      <c r="F197" s="721"/>
      <c r="G197" s="721"/>
      <c r="H197" s="721"/>
      <c r="I197" s="721"/>
      <c r="J197" s="721"/>
      <c r="K197" s="721"/>
      <c r="L197" s="721"/>
      <c r="M197" s="721"/>
      <c r="N197" s="721"/>
      <c r="O197" s="722"/>
      <c r="P197" s="718" t="s">
        <v>40</v>
      </c>
      <c r="Q197" s="719"/>
      <c r="R197" s="719"/>
      <c r="S197" s="719"/>
      <c r="T197" s="719"/>
      <c r="U197" s="719"/>
      <c r="V197" s="72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2" t="s">
        <v>349</v>
      </c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2"/>
      <c r="P199" s="712"/>
      <c r="Q199" s="712"/>
      <c r="R199" s="712"/>
      <c r="S199" s="712"/>
      <c r="T199" s="712"/>
      <c r="U199" s="712"/>
      <c r="V199" s="712"/>
      <c r="W199" s="712"/>
      <c r="X199" s="712"/>
      <c r="Y199" s="712"/>
      <c r="Z199" s="712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3">
        <v>4680115889033</v>
      </c>
      <c r="E200" s="71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5"/>
      <c r="R200" s="715"/>
      <c r="S200" s="715"/>
      <c r="T200" s="7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1"/>
      <c r="B201" s="721"/>
      <c r="C201" s="721"/>
      <c r="D201" s="721"/>
      <c r="E201" s="721"/>
      <c r="F201" s="721"/>
      <c r="G201" s="721"/>
      <c r="H201" s="721"/>
      <c r="I201" s="721"/>
      <c r="J201" s="721"/>
      <c r="K201" s="721"/>
      <c r="L201" s="721"/>
      <c r="M201" s="721"/>
      <c r="N201" s="721"/>
      <c r="O201" s="722"/>
      <c r="P201" s="718" t="s">
        <v>40</v>
      </c>
      <c r="Q201" s="719"/>
      <c r="R201" s="719"/>
      <c r="S201" s="719"/>
      <c r="T201" s="719"/>
      <c r="U201" s="719"/>
      <c r="V201" s="72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1"/>
      <c r="B202" s="721"/>
      <c r="C202" s="721"/>
      <c r="D202" s="721"/>
      <c r="E202" s="721"/>
      <c r="F202" s="721"/>
      <c r="G202" s="721"/>
      <c r="H202" s="721"/>
      <c r="I202" s="721"/>
      <c r="J202" s="721"/>
      <c r="K202" s="721"/>
      <c r="L202" s="721"/>
      <c r="M202" s="721"/>
      <c r="N202" s="721"/>
      <c r="O202" s="722"/>
      <c r="P202" s="718" t="s">
        <v>40</v>
      </c>
      <c r="Q202" s="719"/>
      <c r="R202" s="719"/>
      <c r="S202" s="719"/>
      <c r="T202" s="719"/>
      <c r="U202" s="719"/>
      <c r="V202" s="72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0" t="s">
        <v>353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54"/>
      <c r="AB203" s="54"/>
      <c r="AC203" s="54"/>
    </row>
    <row r="204" spans="1:68" ht="16.5" customHeight="1" x14ac:dyDescent="0.25">
      <c r="A204" s="711" t="s">
        <v>354</v>
      </c>
      <c r="B204" s="711"/>
      <c r="C204" s="711"/>
      <c r="D204" s="711"/>
      <c r="E204" s="711"/>
      <c r="F204" s="711"/>
      <c r="G204" s="711"/>
      <c r="H204" s="711"/>
      <c r="I204" s="711"/>
      <c r="J204" s="711"/>
      <c r="K204" s="711"/>
      <c r="L204" s="711"/>
      <c r="M204" s="711"/>
      <c r="N204" s="711"/>
      <c r="O204" s="711"/>
      <c r="P204" s="711"/>
      <c r="Q204" s="711"/>
      <c r="R204" s="711"/>
      <c r="S204" s="711"/>
      <c r="T204" s="711"/>
      <c r="U204" s="711"/>
      <c r="V204" s="711"/>
      <c r="W204" s="711"/>
      <c r="X204" s="711"/>
      <c r="Y204" s="711"/>
      <c r="Z204" s="711"/>
      <c r="AA204" s="65"/>
      <c r="AB204" s="65"/>
      <c r="AC204" s="79"/>
    </row>
    <row r="205" spans="1:68" ht="14.25" customHeight="1" x14ac:dyDescent="0.25">
      <c r="A205" s="712" t="s">
        <v>122</v>
      </c>
      <c r="B205" s="712"/>
      <c r="C205" s="712"/>
      <c r="D205" s="712"/>
      <c r="E205" s="712"/>
      <c r="F205" s="712"/>
      <c r="G205" s="712"/>
      <c r="H205" s="712"/>
      <c r="I205" s="712"/>
      <c r="J205" s="712"/>
      <c r="K205" s="712"/>
      <c r="L205" s="712"/>
      <c r="M205" s="712"/>
      <c r="N205" s="712"/>
      <c r="O205" s="712"/>
      <c r="P205" s="712"/>
      <c r="Q205" s="712"/>
      <c r="R205" s="712"/>
      <c r="S205" s="712"/>
      <c r="T205" s="712"/>
      <c r="U205" s="712"/>
      <c r="V205" s="712"/>
      <c r="W205" s="712"/>
      <c r="X205" s="712"/>
      <c r="Y205" s="712"/>
      <c r="Z205" s="712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3">
        <v>4607091383423</v>
      </c>
      <c r="E206" s="71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3">
        <v>4680115888760</v>
      </c>
      <c r="E207" s="71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3">
        <v>4680115888807</v>
      </c>
      <c r="E208" s="71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3">
        <v>4680115888852</v>
      </c>
      <c r="E209" s="71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3">
        <v>4680115886957</v>
      </c>
      <c r="E210" s="71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5"/>
      <c r="R210" s="715"/>
      <c r="S210" s="715"/>
      <c r="T210" s="7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3">
        <v>4680115885660</v>
      </c>
      <c r="E211" s="71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5"/>
      <c r="R211" s="715"/>
      <c r="S211" s="715"/>
      <c r="T211" s="7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3">
        <v>4680115886773</v>
      </c>
      <c r="E212" s="71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5"/>
      <c r="R212" s="715"/>
      <c r="S212" s="715"/>
      <c r="T212" s="7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1"/>
      <c r="B213" s="721"/>
      <c r="C213" s="721"/>
      <c r="D213" s="721"/>
      <c r="E213" s="721"/>
      <c r="F213" s="721"/>
      <c r="G213" s="721"/>
      <c r="H213" s="721"/>
      <c r="I213" s="721"/>
      <c r="J213" s="721"/>
      <c r="K213" s="721"/>
      <c r="L213" s="721"/>
      <c r="M213" s="721"/>
      <c r="N213" s="721"/>
      <c r="O213" s="722"/>
      <c r="P213" s="718" t="s">
        <v>40</v>
      </c>
      <c r="Q213" s="719"/>
      <c r="R213" s="719"/>
      <c r="S213" s="719"/>
      <c r="T213" s="719"/>
      <c r="U213" s="719"/>
      <c r="V213" s="72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1"/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2"/>
      <c r="P214" s="718" t="s">
        <v>40</v>
      </c>
      <c r="Q214" s="719"/>
      <c r="R214" s="719"/>
      <c r="S214" s="719"/>
      <c r="T214" s="719"/>
      <c r="U214" s="719"/>
      <c r="V214" s="72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1" t="s">
        <v>375</v>
      </c>
      <c r="B215" s="711"/>
      <c r="C215" s="711"/>
      <c r="D215" s="711"/>
      <c r="E215" s="711"/>
      <c r="F215" s="711"/>
      <c r="G215" s="711"/>
      <c r="H215" s="711"/>
      <c r="I215" s="711"/>
      <c r="J215" s="711"/>
      <c r="K215" s="711"/>
      <c r="L215" s="711"/>
      <c r="M215" s="711"/>
      <c r="N215" s="711"/>
      <c r="O215" s="711"/>
      <c r="P215" s="711"/>
      <c r="Q215" s="711"/>
      <c r="R215" s="711"/>
      <c r="S215" s="711"/>
      <c r="T215" s="711"/>
      <c r="U215" s="711"/>
      <c r="V215" s="711"/>
      <c r="W215" s="711"/>
      <c r="X215" s="711"/>
      <c r="Y215" s="711"/>
      <c r="Z215" s="711"/>
      <c r="AA215" s="65"/>
      <c r="AB215" s="65"/>
      <c r="AC215" s="79"/>
    </row>
    <row r="216" spans="1:68" ht="14.25" customHeight="1" x14ac:dyDescent="0.25">
      <c r="A216" s="712" t="s">
        <v>158</v>
      </c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2"/>
      <c r="P216" s="712"/>
      <c r="Q216" s="712"/>
      <c r="R216" s="712"/>
      <c r="S216" s="712"/>
      <c r="T216" s="712"/>
      <c r="U216" s="712"/>
      <c r="V216" s="712"/>
      <c r="W216" s="712"/>
      <c r="X216" s="712"/>
      <c r="Y216" s="712"/>
      <c r="Z216" s="712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3">
        <v>4680115886223</v>
      </c>
      <c r="E217" s="71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5"/>
      <c r="R217" s="715"/>
      <c r="S217" s="715"/>
      <c r="T217" s="71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1"/>
      <c r="B218" s="721"/>
      <c r="C218" s="721"/>
      <c r="D218" s="721"/>
      <c r="E218" s="721"/>
      <c r="F218" s="721"/>
      <c r="G218" s="721"/>
      <c r="H218" s="721"/>
      <c r="I218" s="721"/>
      <c r="J218" s="721"/>
      <c r="K218" s="721"/>
      <c r="L218" s="721"/>
      <c r="M218" s="721"/>
      <c r="N218" s="721"/>
      <c r="O218" s="722"/>
      <c r="P218" s="718" t="s">
        <v>40</v>
      </c>
      <c r="Q218" s="719"/>
      <c r="R218" s="719"/>
      <c r="S218" s="719"/>
      <c r="T218" s="719"/>
      <c r="U218" s="719"/>
      <c r="V218" s="72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1"/>
      <c r="B219" s="721"/>
      <c r="C219" s="721"/>
      <c r="D219" s="721"/>
      <c r="E219" s="721"/>
      <c r="F219" s="721"/>
      <c r="G219" s="721"/>
      <c r="H219" s="721"/>
      <c r="I219" s="721"/>
      <c r="J219" s="721"/>
      <c r="K219" s="721"/>
      <c r="L219" s="721"/>
      <c r="M219" s="721"/>
      <c r="N219" s="721"/>
      <c r="O219" s="722"/>
      <c r="P219" s="718" t="s">
        <v>40</v>
      </c>
      <c r="Q219" s="719"/>
      <c r="R219" s="719"/>
      <c r="S219" s="719"/>
      <c r="T219" s="719"/>
      <c r="U219" s="719"/>
      <c r="V219" s="72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2" t="s">
        <v>77</v>
      </c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2"/>
      <c r="P220" s="712"/>
      <c r="Q220" s="712"/>
      <c r="R220" s="712"/>
      <c r="S220" s="712"/>
      <c r="T220" s="712"/>
      <c r="U220" s="712"/>
      <c r="V220" s="712"/>
      <c r="W220" s="712"/>
      <c r="X220" s="712"/>
      <c r="Y220" s="712"/>
      <c r="Z220" s="71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3">
        <v>4680115880993</v>
      </c>
      <c r="E221" s="71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3">
        <v>4680115881761</v>
      </c>
      <c r="E222" s="71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3">
        <v>4680115881563</v>
      </c>
      <c r="E223" s="71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3">
        <v>4680115887565</v>
      </c>
      <c r="E224" s="71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3">
        <v>4680115880986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3">
        <v>4680115887213</v>
      </c>
      <c r="E226" s="71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3">
        <v>4680115881785</v>
      </c>
      <c r="E227" s="71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3">
        <v>4680115888432</v>
      </c>
      <c r="E228" s="71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3">
        <v>4680115888104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3">
        <v>4680115886537</v>
      </c>
      <c r="E230" s="71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3">
        <v>4680115887596</v>
      </c>
      <c r="E231" s="71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3">
        <v>4680115881679</v>
      </c>
      <c r="E232" s="71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5"/>
      <c r="R232" s="715"/>
      <c r="S232" s="715"/>
      <c r="T232" s="71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3">
        <v>4680115880191</v>
      </c>
      <c r="E233" s="71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5"/>
      <c r="R233" s="715"/>
      <c r="S233" s="715"/>
      <c r="T233" s="71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3">
        <v>4680115883963</v>
      </c>
      <c r="E234" s="71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5"/>
      <c r="R234" s="715"/>
      <c r="S234" s="715"/>
      <c r="T234" s="71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1"/>
      <c r="B235" s="721"/>
      <c r="C235" s="721"/>
      <c r="D235" s="721"/>
      <c r="E235" s="721"/>
      <c r="F235" s="721"/>
      <c r="G235" s="721"/>
      <c r="H235" s="721"/>
      <c r="I235" s="721"/>
      <c r="J235" s="721"/>
      <c r="K235" s="721"/>
      <c r="L235" s="721"/>
      <c r="M235" s="721"/>
      <c r="N235" s="721"/>
      <c r="O235" s="722"/>
      <c r="P235" s="718" t="s">
        <v>40</v>
      </c>
      <c r="Q235" s="719"/>
      <c r="R235" s="719"/>
      <c r="S235" s="719"/>
      <c r="T235" s="719"/>
      <c r="U235" s="719"/>
      <c r="V235" s="72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1"/>
      <c r="B236" s="721"/>
      <c r="C236" s="721"/>
      <c r="D236" s="721"/>
      <c r="E236" s="721"/>
      <c r="F236" s="721"/>
      <c r="G236" s="721"/>
      <c r="H236" s="721"/>
      <c r="I236" s="721"/>
      <c r="J236" s="721"/>
      <c r="K236" s="721"/>
      <c r="L236" s="721"/>
      <c r="M236" s="721"/>
      <c r="N236" s="721"/>
      <c r="O236" s="722"/>
      <c r="P236" s="718" t="s">
        <v>40</v>
      </c>
      <c r="Q236" s="719"/>
      <c r="R236" s="719"/>
      <c r="S236" s="719"/>
      <c r="T236" s="719"/>
      <c r="U236" s="719"/>
      <c r="V236" s="72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2" t="s">
        <v>86</v>
      </c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2"/>
      <c r="U237" s="712"/>
      <c r="V237" s="712"/>
      <c r="W237" s="712"/>
      <c r="X237" s="712"/>
      <c r="Y237" s="712"/>
      <c r="Z237" s="712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3">
        <v>4680115888692</v>
      </c>
      <c r="E238" s="71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3">
        <v>4680115888722</v>
      </c>
      <c r="E239" s="71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3">
        <v>4680115888951</v>
      </c>
      <c r="E240" s="71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5"/>
      <c r="R240" s="715"/>
      <c r="S240" s="715"/>
      <c r="T240" s="7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3">
        <v>4680115888975</v>
      </c>
      <c r="E241" s="713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5"/>
      <c r="R241" s="715"/>
      <c r="S241" s="715"/>
      <c r="T241" s="71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3">
        <v>4680115888982</v>
      </c>
      <c r="E242" s="71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5"/>
      <c r="R242" s="715"/>
      <c r="S242" s="715"/>
      <c r="T242" s="71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1"/>
      <c r="B243" s="721"/>
      <c r="C243" s="721"/>
      <c r="D243" s="721"/>
      <c r="E243" s="721"/>
      <c r="F243" s="721"/>
      <c r="G243" s="721"/>
      <c r="H243" s="721"/>
      <c r="I243" s="721"/>
      <c r="J243" s="721"/>
      <c r="K243" s="721"/>
      <c r="L243" s="721"/>
      <c r="M243" s="721"/>
      <c r="N243" s="721"/>
      <c r="O243" s="722"/>
      <c r="P243" s="718" t="s">
        <v>40</v>
      </c>
      <c r="Q243" s="719"/>
      <c r="R243" s="719"/>
      <c r="S243" s="719"/>
      <c r="T243" s="719"/>
      <c r="U243" s="719"/>
      <c r="V243" s="72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1"/>
      <c r="B244" s="721"/>
      <c r="C244" s="721"/>
      <c r="D244" s="721"/>
      <c r="E244" s="721"/>
      <c r="F244" s="721"/>
      <c r="G244" s="721"/>
      <c r="H244" s="721"/>
      <c r="I244" s="721"/>
      <c r="J244" s="721"/>
      <c r="K244" s="721"/>
      <c r="L244" s="721"/>
      <c r="M244" s="721"/>
      <c r="N244" s="721"/>
      <c r="O244" s="722"/>
      <c r="P244" s="718" t="s">
        <v>40</v>
      </c>
      <c r="Q244" s="719"/>
      <c r="R244" s="719"/>
      <c r="S244" s="719"/>
      <c r="T244" s="719"/>
      <c r="U244" s="719"/>
      <c r="V244" s="72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2" t="s">
        <v>283</v>
      </c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2"/>
      <c r="P245" s="712"/>
      <c r="Q245" s="712"/>
      <c r="R245" s="712"/>
      <c r="S245" s="712"/>
      <c r="T245" s="712"/>
      <c r="U245" s="712"/>
      <c r="V245" s="712"/>
      <c r="W245" s="712"/>
      <c r="X245" s="712"/>
      <c r="Y245" s="712"/>
      <c r="Z245" s="71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3">
        <v>4680115886780</v>
      </c>
      <c r="E246" s="71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5"/>
      <c r="R246" s="715"/>
      <c r="S246" s="715"/>
      <c r="T246" s="7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3">
        <v>4680115886742</v>
      </c>
      <c r="E247" s="713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5"/>
      <c r="R247" s="715"/>
      <c r="S247" s="715"/>
      <c r="T247" s="71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3">
        <v>4680115886766</v>
      </c>
      <c r="E248" s="71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5"/>
      <c r="R248" s="715"/>
      <c r="S248" s="715"/>
      <c r="T248" s="71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1"/>
      <c r="B249" s="721"/>
      <c r="C249" s="721"/>
      <c r="D249" s="721"/>
      <c r="E249" s="721"/>
      <c r="F249" s="721"/>
      <c r="G249" s="721"/>
      <c r="H249" s="721"/>
      <c r="I249" s="721"/>
      <c r="J249" s="721"/>
      <c r="K249" s="721"/>
      <c r="L249" s="721"/>
      <c r="M249" s="721"/>
      <c r="N249" s="721"/>
      <c r="O249" s="722"/>
      <c r="P249" s="718" t="s">
        <v>40</v>
      </c>
      <c r="Q249" s="719"/>
      <c r="R249" s="719"/>
      <c r="S249" s="719"/>
      <c r="T249" s="719"/>
      <c r="U249" s="719"/>
      <c r="V249" s="72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2" t="s">
        <v>439</v>
      </c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2"/>
      <c r="P251" s="712"/>
      <c r="Q251" s="712"/>
      <c r="R251" s="712"/>
      <c r="S251" s="712"/>
      <c r="T251" s="712"/>
      <c r="U251" s="712"/>
      <c r="V251" s="712"/>
      <c r="W251" s="712"/>
      <c r="X251" s="712"/>
      <c r="Y251" s="712"/>
      <c r="Z251" s="71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3">
        <v>4680115886797</v>
      </c>
      <c r="E252" s="71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5"/>
      <c r="R252" s="715"/>
      <c r="S252" s="715"/>
      <c r="T252" s="71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1"/>
      <c r="B253" s="721"/>
      <c r="C253" s="721"/>
      <c r="D253" s="721"/>
      <c r="E253" s="721"/>
      <c r="F253" s="721"/>
      <c r="G253" s="721"/>
      <c r="H253" s="721"/>
      <c r="I253" s="721"/>
      <c r="J253" s="721"/>
      <c r="K253" s="721"/>
      <c r="L253" s="721"/>
      <c r="M253" s="721"/>
      <c r="N253" s="721"/>
      <c r="O253" s="722"/>
      <c r="P253" s="718" t="s">
        <v>40</v>
      </c>
      <c r="Q253" s="719"/>
      <c r="R253" s="719"/>
      <c r="S253" s="719"/>
      <c r="T253" s="719"/>
      <c r="U253" s="719"/>
      <c r="V253" s="72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1"/>
      <c r="B254" s="721"/>
      <c r="C254" s="721"/>
      <c r="D254" s="721"/>
      <c r="E254" s="721"/>
      <c r="F254" s="721"/>
      <c r="G254" s="721"/>
      <c r="H254" s="721"/>
      <c r="I254" s="721"/>
      <c r="J254" s="721"/>
      <c r="K254" s="721"/>
      <c r="L254" s="721"/>
      <c r="M254" s="721"/>
      <c r="N254" s="721"/>
      <c r="O254" s="722"/>
      <c r="P254" s="718" t="s">
        <v>40</v>
      </c>
      <c r="Q254" s="719"/>
      <c r="R254" s="719"/>
      <c r="S254" s="719"/>
      <c r="T254" s="719"/>
      <c r="U254" s="719"/>
      <c r="V254" s="72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1" t="s">
        <v>442</v>
      </c>
      <c r="B255" s="711"/>
      <c r="C255" s="711"/>
      <c r="D255" s="711"/>
      <c r="E255" s="711"/>
      <c r="F255" s="711"/>
      <c r="G255" s="711"/>
      <c r="H255" s="711"/>
      <c r="I255" s="711"/>
      <c r="J255" s="711"/>
      <c r="K255" s="711"/>
      <c r="L255" s="711"/>
      <c r="M255" s="711"/>
      <c r="N255" s="711"/>
      <c r="O255" s="711"/>
      <c r="P255" s="711"/>
      <c r="Q255" s="711"/>
      <c r="R255" s="711"/>
      <c r="S255" s="711"/>
      <c r="T255" s="711"/>
      <c r="U255" s="711"/>
      <c r="V255" s="711"/>
      <c r="W255" s="711"/>
      <c r="X255" s="711"/>
      <c r="Y255" s="711"/>
      <c r="Z255" s="711"/>
      <c r="AA255" s="65"/>
      <c r="AB255" s="65"/>
      <c r="AC255" s="79"/>
    </row>
    <row r="256" spans="1:68" ht="14.25" customHeight="1" x14ac:dyDescent="0.25">
      <c r="A256" s="712" t="s">
        <v>122</v>
      </c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2"/>
      <c r="P256" s="712"/>
      <c r="Q256" s="712"/>
      <c r="R256" s="712"/>
      <c r="S256" s="712"/>
      <c r="T256" s="712"/>
      <c r="U256" s="712"/>
      <c r="V256" s="712"/>
      <c r="W256" s="712"/>
      <c r="X256" s="712"/>
      <c r="Y256" s="712"/>
      <c r="Z256" s="71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3">
        <v>4680115881402</v>
      </c>
      <c r="E257" s="71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4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5"/>
      <c r="R257" s="715"/>
      <c r="S257" s="715"/>
      <c r="T257" s="71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3">
        <v>4680115881396</v>
      </c>
      <c r="E258" s="713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5"/>
      <c r="R258" s="715"/>
      <c r="S258" s="715"/>
      <c r="T258" s="716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1"/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2"/>
      <c r="P259" s="718" t="s">
        <v>40</v>
      </c>
      <c r="Q259" s="719"/>
      <c r="R259" s="719"/>
      <c r="S259" s="719"/>
      <c r="T259" s="719"/>
      <c r="U259" s="719"/>
      <c r="V259" s="72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1"/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2"/>
      <c r="P260" s="718" t="s">
        <v>40</v>
      </c>
      <c r="Q260" s="719"/>
      <c r="R260" s="719"/>
      <c r="S260" s="719"/>
      <c r="T260" s="719"/>
      <c r="U260" s="719"/>
      <c r="V260" s="72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2" t="s">
        <v>158</v>
      </c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2"/>
      <c r="P261" s="712"/>
      <c r="Q261" s="712"/>
      <c r="R261" s="712"/>
      <c r="S261" s="712"/>
      <c r="T261" s="712"/>
      <c r="U261" s="712"/>
      <c r="V261" s="712"/>
      <c r="W261" s="712"/>
      <c r="X261" s="712"/>
      <c r="Y261" s="712"/>
      <c r="Z261" s="712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3">
        <v>4680115882935</v>
      </c>
      <c r="E262" s="71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5"/>
      <c r="R262" s="715"/>
      <c r="S262" s="715"/>
      <c r="T262" s="71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3">
        <v>4680115880764</v>
      </c>
      <c r="E263" s="713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5"/>
      <c r="R263" s="715"/>
      <c r="S263" s="715"/>
      <c r="T263" s="71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1"/>
      <c r="B264" s="721"/>
      <c r="C264" s="721"/>
      <c r="D264" s="721"/>
      <c r="E264" s="721"/>
      <c r="F264" s="721"/>
      <c r="G264" s="721"/>
      <c r="H264" s="721"/>
      <c r="I264" s="721"/>
      <c r="J264" s="721"/>
      <c r="K264" s="721"/>
      <c r="L264" s="721"/>
      <c r="M264" s="721"/>
      <c r="N264" s="721"/>
      <c r="O264" s="722"/>
      <c r="P264" s="718" t="s">
        <v>40</v>
      </c>
      <c r="Q264" s="719"/>
      <c r="R264" s="719"/>
      <c r="S264" s="719"/>
      <c r="T264" s="719"/>
      <c r="U264" s="719"/>
      <c r="V264" s="72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1"/>
      <c r="B265" s="721"/>
      <c r="C265" s="721"/>
      <c r="D265" s="721"/>
      <c r="E265" s="721"/>
      <c r="F265" s="721"/>
      <c r="G265" s="721"/>
      <c r="H265" s="721"/>
      <c r="I265" s="721"/>
      <c r="J265" s="721"/>
      <c r="K265" s="721"/>
      <c r="L265" s="721"/>
      <c r="M265" s="721"/>
      <c r="N265" s="721"/>
      <c r="O265" s="722"/>
      <c r="P265" s="718" t="s">
        <v>40</v>
      </c>
      <c r="Q265" s="719"/>
      <c r="R265" s="719"/>
      <c r="S265" s="719"/>
      <c r="T265" s="719"/>
      <c r="U265" s="719"/>
      <c r="V265" s="72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2" t="s">
        <v>77</v>
      </c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2"/>
      <c r="P266" s="712"/>
      <c r="Q266" s="712"/>
      <c r="R266" s="712"/>
      <c r="S266" s="712"/>
      <c r="T266" s="712"/>
      <c r="U266" s="712"/>
      <c r="V266" s="712"/>
      <c r="W266" s="712"/>
      <c r="X266" s="712"/>
      <c r="Y266" s="712"/>
      <c r="Z266" s="71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3">
        <v>4680115882683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3">
        <v>4680115882690</v>
      </c>
      <c r="E268" s="71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3">
        <v>4680115882669</v>
      </c>
      <c r="E269" s="71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15</v>
      </c>
      <c r="Y269" s="55">
        <f t="shared" si="33"/>
        <v>16.200000000000003</v>
      </c>
      <c r="Z269" s="41">
        <f>IFERROR(IF(Y269=0,"",ROUNDUP(Y269/H269,0)*0.00902),"")</f>
        <v>2.7060000000000001E-2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15.527777777777775</v>
      </c>
      <c r="BN269" s="78">
        <f t="shared" si="35"/>
        <v>16.77</v>
      </c>
      <c r="BO269" s="78">
        <f t="shared" si="36"/>
        <v>2.1043771043771045E-2</v>
      </c>
      <c r="BP269" s="78">
        <f t="shared" si="37"/>
        <v>2.2727272727272731E-2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3">
        <v>4680115882676</v>
      </c>
      <c r="E270" s="71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15</v>
      </c>
      <c r="Y270" s="55">
        <f t="shared" si="33"/>
        <v>16.200000000000003</v>
      </c>
      <c r="Z270" s="41">
        <f>IFERROR(IF(Y270=0,"",ROUNDUP(Y270/H270,0)*0.00902),"")</f>
        <v>2.7060000000000001E-2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15.527777777777775</v>
      </c>
      <c r="BN270" s="78">
        <f t="shared" si="35"/>
        <v>16.77</v>
      </c>
      <c r="BO270" s="78">
        <f t="shared" si="36"/>
        <v>2.1043771043771045E-2</v>
      </c>
      <c r="BP270" s="78">
        <f t="shared" si="37"/>
        <v>2.2727272727272731E-2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3">
        <v>4680115884014</v>
      </c>
      <c r="E271" s="713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3">
        <v>4680115884007</v>
      </c>
      <c r="E272" s="71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5"/>
      <c r="R272" s="715"/>
      <c r="S272" s="715"/>
      <c r="T272" s="7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3">
        <v>4680115884038</v>
      </c>
      <c r="E273" s="713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5"/>
      <c r="R273" s="715"/>
      <c r="S273" s="715"/>
      <c r="T273" s="7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3">
        <v>4680115884021</v>
      </c>
      <c r="E274" s="71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5"/>
      <c r="R274" s="715"/>
      <c r="S274" s="715"/>
      <c r="T274" s="7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1"/>
      <c r="B275" s="721"/>
      <c r="C275" s="721"/>
      <c r="D275" s="721"/>
      <c r="E275" s="721"/>
      <c r="F275" s="721"/>
      <c r="G275" s="721"/>
      <c r="H275" s="721"/>
      <c r="I275" s="721"/>
      <c r="J275" s="721"/>
      <c r="K275" s="721"/>
      <c r="L275" s="721"/>
      <c r="M275" s="721"/>
      <c r="N275" s="721"/>
      <c r="O275" s="722"/>
      <c r="P275" s="718" t="s">
        <v>40</v>
      </c>
      <c r="Q275" s="719"/>
      <c r="R275" s="719"/>
      <c r="S275" s="719"/>
      <c r="T275" s="719"/>
      <c r="U275" s="719"/>
      <c r="V275" s="72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5.5555555555555554</v>
      </c>
      <c r="Y275" s="43">
        <f>IFERROR(Y267/H267,"0")+IFERROR(Y268/H268,"0")+IFERROR(Y269/H269,"0")+IFERROR(Y270/H270,"0")+IFERROR(Y271/H271,"0")+IFERROR(Y272/H272,"0")+IFERROR(Y273/H273,"0")+IFERROR(Y274/H274,"0")</f>
        <v>6.0000000000000009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5.4120000000000001E-2</v>
      </c>
      <c r="AA275" s="67"/>
      <c r="AB275" s="67"/>
      <c r="AC275" s="67"/>
    </row>
    <row r="276" spans="1:68" x14ac:dyDescent="0.2">
      <c r="A276" s="721"/>
      <c r="B276" s="721"/>
      <c r="C276" s="721"/>
      <c r="D276" s="721"/>
      <c r="E276" s="721"/>
      <c r="F276" s="721"/>
      <c r="G276" s="721"/>
      <c r="H276" s="721"/>
      <c r="I276" s="721"/>
      <c r="J276" s="721"/>
      <c r="K276" s="721"/>
      <c r="L276" s="721"/>
      <c r="M276" s="721"/>
      <c r="N276" s="721"/>
      <c r="O276" s="722"/>
      <c r="P276" s="718" t="s">
        <v>40</v>
      </c>
      <c r="Q276" s="719"/>
      <c r="R276" s="719"/>
      <c r="S276" s="719"/>
      <c r="T276" s="719"/>
      <c r="U276" s="719"/>
      <c r="V276" s="720"/>
      <c r="W276" s="42" t="s">
        <v>0</v>
      </c>
      <c r="X276" s="43">
        <f>IFERROR(SUM(X267:X274),"0")</f>
        <v>30</v>
      </c>
      <c r="Y276" s="43">
        <f>IFERROR(SUM(Y267:Y274),"0")</f>
        <v>32.400000000000006</v>
      </c>
      <c r="Z276" s="42"/>
      <c r="AA276" s="67"/>
      <c r="AB276" s="67"/>
      <c r="AC276" s="67"/>
    </row>
    <row r="277" spans="1:68" ht="14.25" customHeight="1" x14ac:dyDescent="0.25">
      <c r="A277" s="712" t="s">
        <v>86</v>
      </c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2"/>
      <c r="P277" s="712"/>
      <c r="Q277" s="712"/>
      <c r="R277" s="712"/>
      <c r="S277" s="712"/>
      <c r="T277" s="712"/>
      <c r="U277" s="712"/>
      <c r="V277" s="712"/>
      <c r="W277" s="712"/>
      <c r="X277" s="712"/>
      <c r="Y277" s="712"/>
      <c r="Z277" s="71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3">
        <v>4680115881594</v>
      </c>
      <c r="E278" s="713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3">
        <v>4680115881617</v>
      </c>
      <c r="E279" s="713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3">
        <v>4680115880573</v>
      </c>
      <c r="E280" s="713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3">
        <v>4680115882195</v>
      </c>
      <c r="E281" s="713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3">
        <v>4680115882607</v>
      </c>
      <c r="E282" s="713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3">
        <v>4680115882607</v>
      </c>
      <c r="E283" s="713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3">
        <v>4680115880092</v>
      </c>
      <c r="E284" s="71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48</v>
      </c>
      <c r="Y284" s="55">
        <f t="shared" si="38"/>
        <v>48</v>
      </c>
      <c r="Z284" s="41">
        <f>IFERROR(IF(Y284=0,"",ROUNDUP(Y284/H284,0)*0.00651),"")</f>
        <v>0.13020000000000001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53.040000000000006</v>
      </c>
      <c r="BN284" s="78">
        <f t="shared" si="40"/>
        <v>53.040000000000006</v>
      </c>
      <c r="BO284" s="78">
        <f t="shared" si="41"/>
        <v>0.1098901098901099</v>
      </c>
      <c r="BP284" s="78">
        <f t="shared" si="42"/>
        <v>0.1098901098901099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3">
        <v>4680115889064</v>
      </c>
      <c r="E285" s="713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3">
        <v>4680115880221</v>
      </c>
      <c r="E286" s="71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5"/>
      <c r="R286" s="715"/>
      <c r="S286" s="715"/>
      <c r="T286" s="71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3">
        <v>4680115880504</v>
      </c>
      <c r="E287" s="71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5"/>
      <c r="R287" s="715"/>
      <c r="S287" s="715"/>
      <c r="T287" s="7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3">
        <v>4680115882164</v>
      </c>
      <c r="E288" s="713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5"/>
      <c r="R288" s="715"/>
      <c r="S288" s="715"/>
      <c r="T288" s="7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3">
        <v>4680115888340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1"/>
      <c r="B290" s="721"/>
      <c r="C290" s="721"/>
      <c r="D290" s="721"/>
      <c r="E290" s="721"/>
      <c r="F290" s="721"/>
      <c r="G290" s="721"/>
      <c r="H290" s="721"/>
      <c r="I290" s="721"/>
      <c r="J290" s="721"/>
      <c r="K290" s="721"/>
      <c r="L290" s="721"/>
      <c r="M290" s="721"/>
      <c r="N290" s="721"/>
      <c r="O290" s="722"/>
      <c r="P290" s="718" t="s">
        <v>40</v>
      </c>
      <c r="Q290" s="719"/>
      <c r="R290" s="719"/>
      <c r="S290" s="719"/>
      <c r="T290" s="719"/>
      <c r="U290" s="719"/>
      <c r="V290" s="72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0.13020000000000001</v>
      </c>
      <c r="AA290" s="67"/>
      <c r="AB290" s="67"/>
      <c r="AC290" s="67"/>
    </row>
    <row r="291" spans="1:68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0</v>
      </c>
      <c r="X291" s="43">
        <f>IFERROR(SUM(X278:X289),"0")</f>
        <v>48</v>
      </c>
      <c r="Y291" s="43">
        <f>IFERROR(SUM(Y278:Y289),"0")</f>
        <v>48</v>
      </c>
      <c r="Z291" s="42"/>
      <c r="AA291" s="67"/>
      <c r="AB291" s="67"/>
      <c r="AC291" s="67"/>
    </row>
    <row r="292" spans="1:68" ht="14.25" customHeight="1" x14ac:dyDescent="0.25">
      <c r="A292" s="712" t="s">
        <v>175</v>
      </c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2"/>
      <c r="P292" s="712"/>
      <c r="Q292" s="712"/>
      <c r="R292" s="712"/>
      <c r="S292" s="712"/>
      <c r="T292" s="712"/>
      <c r="U292" s="712"/>
      <c r="V292" s="712"/>
      <c r="W292" s="712"/>
      <c r="X292" s="712"/>
      <c r="Y292" s="712"/>
      <c r="Z292" s="71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3">
        <v>4680115880818</v>
      </c>
      <c r="E293" s="71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5"/>
      <c r="R293" s="715"/>
      <c r="S293" s="715"/>
      <c r="T293" s="71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3">
        <v>4680115880801</v>
      </c>
      <c r="E294" s="71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5"/>
      <c r="R294" s="715"/>
      <c r="S294" s="715"/>
      <c r="T294" s="716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1"/>
      <c r="B295" s="721"/>
      <c r="C295" s="721"/>
      <c r="D295" s="721"/>
      <c r="E295" s="721"/>
      <c r="F295" s="721"/>
      <c r="G295" s="721"/>
      <c r="H295" s="721"/>
      <c r="I295" s="721"/>
      <c r="J295" s="721"/>
      <c r="K295" s="721"/>
      <c r="L295" s="721"/>
      <c r="M295" s="721"/>
      <c r="N295" s="721"/>
      <c r="O295" s="722"/>
      <c r="P295" s="718" t="s">
        <v>40</v>
      </c>
      <c r="Q295" s="719"/>
      <c r="R295" s="719"/>
      <c r="S295" s="719"/>
      <c r="T295" s="719"/>
      <c r="U295" s="719"/>
      <c r="V295" s="72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1"/>
      <c r="B296" s="721"/>
      <c r="C296" s="721"/>
      <c r="D296" s="721"/>
      <c r="E296" s="721"/>
      <c r="F296" s="721"/>
      <c r="G296" s="721"/>
      <c r="H296" s="721"/>
      <c r="I296" s="721"/>
      <c r="J296" s="721"/>
      <c r="K296" s="721"/>
      <c r="L296" s="721"/>
      <c r="M296" s="721"/>
      <c r="N296" s="721"/>
      <c r="O296" s="722"/>
      <c r="P296" s="718" t="s">
        <v>40</v>
      </c>
      <c r="Q296" s="719"/>
      <c r="R296" s="719"/>
      <c r="S296" s="719"/>
      <c r="T296" s="719"/>
      <c r="U296" s="719"/>
      <c r="V296" s="72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1" t="s">
        <v>510</v>
      </c>
      <c r="B297" s="711"/>
      <c r="C297" s="711"/>
      <c r="D297" s="711"/>
      <c r="E297" s="711"/>
      <c r="F297" s="711"/>
      <c r="G297" s="711"/>
      <c r="H297" s="711"/>
      <c r="I297" s="711"/>
      <c r="J297" s="711"/>
      <c r="K297" s="711"/>
      <c r="L297" s="711"/>
      <c r="M297" s="711"/>
      <c r="N297" s="711"/>
      <c r="O297" s="711"/>
      <c r="P297" s="711"/>
      <c r="Q297" s="711"/>
      <c r="R297" s="711"/>
      <c r="S297" s="711"/>
      <c r="T297" s="711"/>
      <c r="U297" s="711"/>
      <c r="V297" s="711"/>
      <c r="W297" s="711"/>
      <c r="X297" s="711"/>
      <c r="Y297" s="711"/>
      <c r="Z297" s="711"/>
      <c r="AA297" s="65"/>
      <c r="AB297" s="65"/>
      <c r="AC297" s="79"/>
    </row>
    <row r="298" spans="1:68" ht="14.25" customHeight="1" x14ac:dyDescent="0.25">
      <c r="A298" s="712" t="s">
        <v>122</v>
      </c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2"/>
      <c r="P298" s="712"/>
      <c r="Q298" s="712"/>
      <c r="R298" s="712"/>
      <c r="S298" s="712"/>
      <c r="T298" s="712"/>
      <c r="U298" s="712"/>
      <c r="V298" s="712"/>
      <c r="W298" s="712"/>
      <c r="X298" s="712"/>
      <c r="Y298" s="712"/>
      <c r="Z298" s="712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3">
        <v>4680115884137</v>
      </c>
      <c r="E299" s="71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3">
        <v>4680115884236</v>
      </c>
      <c r="E300" s="713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3">
        <v>4680115884175</v>
      </c>
      <c r="E301" s="71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3">
        <v>4680115884144</v>
      </c>
      <c r="E302" s="71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5"/>
      <c r="R302" s="715"/>
      <c r="S302" s="715"/>
      <c r="T302" s="71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3">
        <v>4680115886551</v>
      </c>
      <c r="E303" s="71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5"/>
      <c r="R303" s="715"/>
      <c r="S303" s="715"/>
      <c r="T303" s="71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3">
        <v>4680115887282</v>
      </c>
      <c r="E304" s="713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5"/>
      <c r="R304" s="715"/>
      <c r="S304" s="715"/>
      <c r="T304" s="71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3">
        <v>4680115884205</v>
      </c>
      <c r="E305" s="71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2" t="s">
        <v>158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3">
        <v>4680115885981</v>
      </c>
      <c r="E309" s="713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2" t="s">
        <v>532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3">
        <v>4680115886803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1"/>
      <c r="B314" s="721"/>
      <c r="C314" s="721"/>
      <c r="D314" s="721"/>
      <c r="E314" s="721"/>
      <c r="F314" s="721"/>
      <c r="G314" s="721"/>
      <c r="H314" s="721"/>
      <c r="I314" s="721"/>
      <c r="J314" s="721"/>
      <c r="K314" s="721"/>
      <c r="L314" s="721"/>
      <c r="M314" s="721"/>
      <c r="N314" s="721"/>
      <c r="O314" s="722"/>
      <c r="P314" s="718" t="s">
        <v>40</v>
      </c>
      <c r="Q314" s="719"/>
      <c r="R314" s="719"/>
      <c r="S314" s="719"/>
      <c r="T314" s="719"/>
      <c r="U314" s="719"/>
      <c r="V314" s="72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1"/>
      <c r="B315" s="721"/>
      <c r="C315" s="721"/>
      <c r="D315" s="721"/>
      <c r="E315" s="721"/>
      <c r="F315" s="721"/>
      <c r="G315" s="721"/>
      <c r="H315" s="721"/>
      <c r="I315" s="721"/>
      <c r="J315" s="721"/>
      <c r="K315" s="721"/>
      <c r="L315" s="721"/>
      <c r="M315" s="721"/>
      <c r="N315" s="721"/>
      <c r="O315" s="722"/>
      <c r="P315" s="718" t="s">
        <v>40</v>
      </c>
      <c r="Q315" s="719"/>
      <c r="R315" s="719"/>
      <c r="S315" s="719"/>
      <c r="T315" s="719"/>
      <c r="U315" s="719"/>
      <c r="V315" s="72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2" t="s">
        <v>349</v>
      </c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2"/>
      <c r="P316" s="712"/>
      <c r="Q316" s="712"/>
      <c r="R316" s="712"/>
      <c r="S316" s="712"/>
      <c r="T316" s="712"/>
      <c r="U316" s="712"/>
      <c r="V316" s="712"/>
      <c r="W316" s="712"/>
      <c r="X316" s="712"/>
      <c r="Y316" s="712"/>
      <c r="Z316" s="712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3">
        <v>4680115886704</v>
      </c>
      <c r="E317" s="713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5"/>
      <c r="R317" s="715"/>
      <c r="S317" s="715"/>
      <c r="T317" s="71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3">
        <v>4680115886681</v>
      </c>
      <c r="E318" s="71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5"/>
      <c r="R318" s="715"/>
      <c r="S318" s="715"/>
      <c r="T318" s="71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3">
        <v>4680115886735</v>
      </c>
      <c r="E319" s="713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5"/>
      <c r="R319" s="715"/>
      <c r="S319" s="715"/>
      <c r="T319" s="71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1"/>
      <c r="B320" s="721"/>
      <c r="C320" s="721"/>
      <c r="D320" s="721"/>
      <c r="E320" s="721"/>
      <c r="F320" s="721"/>
      <c r="G320" s="721"/>
      <c r="H320" s="721"/>
      <c r="I320" s="721"/>
      <c r="J320" s="721"/>
      <c r="K320" s="721"/>
      <c r="L320" s="721"/>
      <c r="M320" s="721"/>
      <c r="N320" s="721"/>
      <c r="O320" s="722"/>
      <c r="P320" s="718" t="s">
        <v>40</v>
      </c>
      <c r="Q320" s="719"/>
      <c r="R320" s="719"/>
      <c r="S320" s="719"/>
      <c r="T320" s="719"/>
      <c r="U320" s="719"/>
      <c r="V320" s="72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1"/>
      <c r="B321" s="721"/>
      <c r="C321" s="721"/>
      <c r="D321" s="721"/>
      <c r="E321" s="721"/>
      <c r="F321" s="721"/>
      <c r="G321" s="721"/>
      <c r="H321" s="721"/>
      <c r="I321" s="721"/>
      <c r="J321" s="721"/>
      <c r="K321" s="721"/>
      <c r="L321" s="721"/>
      <c r="M321" s="721"/>
      <c r="N321" s="721"/>
      <c r="O321" s="722"/>
      <c r="P321" s="718" t="s">
        <v>40</v>
      </c>
      <c r="Q321" s="719"/>
      <c r="R321" s="719"/>
      <c r="S321" s="719"/>
      <c r="T321" s="719"/>
      <c r="U321" s="719"/>
      <c r="V321" s="72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1" t="s">
        <v>543</v>
      </c>
      <c r="B322" s="711"/>
      <c r="C322" s="711"/>
      <c r="D322" s="711"/>
      <c r="E322" s="711"/>
      <c r="F322" s="711"/>
      <c r="G322" s="711"/>
      <c r="H322" s="711"/>
      <c r="I322" s="711"/>
      <c r="J322" s="711"/>
      <c r="K322" s="711"/>
      <c r="L322" s="711"/>
      <c r="M322" s="711"/>
      <c r="N322" s="711"/>
      <c r="O322" s="711"/>
      <c r="P322" s="711"/>
      <c r="Q322" s="711"/>
      <c r="R322" s="711"/>
      <c r="S322" s="711"/>
      <c r="T322" s="711"/>
      <c r="U322" s="711"/>
      <c r="V322" s="711"/>
      <c r="W322" s="711"/>
      <c r="X322" s="711"/>
      <c r="Y322" s="711"/>
      <c r="Z322" s="711"/>
      <c r="AA322" s="65"/>
      <c r="AB322" s="65"/>
      <c r="AC322" s="79"/>
    </row>
    <row r="323" spans="1:68" ht="14.25" customHeight="1" x14ac:dyDescent="0.25">
      <c r="A323" s="712" t="s">
        <v>122</v>
      </c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3">
        <v>4680115885837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3">
        <v>4680115887237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3">
        <v>4680115885806</v>
      </c>
      <c r="E326" s="71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3">
        <v>4680115885844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3">
        <v>4680115885820</v>
      </c>
      <c r="E328" s="713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5"/>
      <c r="R328" s="715"/>
      <c r="S328" s="715"/>
      <c r="T328" s="7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1"/>
      <c r="B330" s="721"/>
      <c r="C330" s="721"/>
      <c r="D330" s="721"/>
      <c r="E330" s="721"/>
      <c r="F330" s="721"/>
      <c r="G330" s="721"/>
      <c r="H330" s="721"/>
      <c r="I330" s="721"/>
      <c r="J330" s="721"/>
      <c r="K330" s="721"/>
      <c r="L330" s="721"/>
      <c r="M330" s="721"/>
      <c r="N330" s="721"/>
      <c r="O330" s="722"/>
      <c r="P330" s="718" t="s">
        <v>40</v>
      </c>
      <c r="Q330" s="719"/>
      <c r="R330" s="719"/>
      <c r="S330" s="719"/>
      <c r="T330" s="719"/>
      <c r="U330" s="719"/>
      <c r="V330" s="72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1" t="s">
        <v>559</v>
      </c>
      <c r="B331" s="711"/>
      <c r="C331" s="711"/>
      <c r="D331" s="711"/>
      <c r="E331" s="711"/>
      <c r="F331" s="711"/>
      <c r="G331" s="711"/>
      <c r="H331" s="711"/>
      <c r="I331" s="711"/>
      <c r="J331" s="711"/>
      <c r="K331" s="711"/>
      <c r="L331" s="711"/>
      <c r="M331" s="711"/>
      <c r="N331" s="711"/>
      <c r="O331" s="711"/>
      <c r="P331" s="711"/>
      <c r="Q331" s="711"/>
      <c r="R331" s="711"/>
      <c r="S331" s="711"/>
      <c r="T331" s="711"/>
      <c r="U331" s="711"/>
      <c r="V331" s="711"/>
      <c r="W331" s="711"/>
      <c r="X331" s="711"/>
      <c r="Y331" s="711"/>
      <c r="Z331" s="711"/>
      <c r="AA331" s="65"/>
      <c r="AB331" s="65"/>
      <c r="AC331" s="79"/>
    </row>
    <row r="332" spans="1:68" ht="14.25" customHeight="1" x14ac:dyDescent="0.25">
      <c r="A332" s="712" t="s">
        <v>86</v>
      </c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2"/>
      <c r="P332" s="712"/>
      <c r="Q332" s="712"/>
      <c r="R332" s="712"/>
      <c r="S332" s="712"/>
      <c r="T332" s="712"/>
      <c r="U332" s="712"/>
      <c r="V332" s="712"/>
      <c r="W332" s="712"/>
      <c r="X332" s="712"/>
      <c r="Y332" s="712"/>
      <c r="Z332" s="712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3">
        <v>4680115886186</v>
      </c>
      <c r="E333" s="713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3">
        <v>4680115881228</v>
      </c>
      <c r="E334" s="713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3">
        <v>4680115881211</v>
      </c>
      <c r="E335" s="713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5"/>
      <c r="R335" s="715"/>
      <c r="S335" s="715"/>
      <c r="T335" s="71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1"/>
      <c r="B337" s="721"/>
      <c r="C337" s="721"/>
      <c r="D337" s="721"/>
      <c r="E337" s="721"/>
      <c r="F337" s="721"/>
      <c r="G337" s="721"/>
      <c r="H337" s="721"/>
      <c r="I337" s="721"/>
      <c r="J337" s="721"/>
      <c r="K337" s="721"/>
      <c r="L337" s="721"/>
      <c r="M337" s="721"/>
      <c r="N337" s="721"/>
      <c r="O337" s="722"/>
      <c r="P337" s="718" t="s">
        <v>40</v>
      </c>
      <c r="Q337" s="719"/>
      <c r="R337" s="719"/>
      <c r="S337" s="719"/>
      <c r="T337" s="719"/>
      <c r="U337" s="719"/>
      <c r="V337" s="72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1" t="s">
        <v>568</v>
      </c>
      <c r="B338" s="711"/>
      <c r="C338" s="711"/>
      <c r="D338" s="711"/>
      <c r="E338" s="711"/>
      <c r="F338" s="711"/>
      <c r="G338" s="711"/>
      <c r="H338" s="711"/>
      <c r="I338" s="711"/>
      <c r="J338" s="711"/>
      <c r="K338" s="711"/>
      <c r="L338" s="711"/>
      <c r="M338" s="711"/>
      <c r="N338" s="711"/>
      <c r="O338" s="711"/>
      <c r="P338" s="711"/>
      <c r="Q338" s="711"/>
      <c r="R338" s="711"/>
      <c r="S338" s="711"/>
      <c r="T338" s="711"/>
      <c r="U338" s="711"/>
      <c r="V338" s="711"/>
      <c r="W338" s="711"/>
      <c r="X338" s="711"/>
      <c r="Y338" s="711"/>
      <c r="Z338" s="711"/>
      <c r="AA338" s="65"/>
      <c r="AB338" s="65"/>
      <c r="AC338" s="79"/>
    </row>
    <row r="339" spans="1:68" ht="14.25" customHeight="1" x14ac:dyDescent="0.25">
      <c r="A339" s="712" t="s">
        <v>77</v>
      </c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2"/>
      <c r="P339" s="712"/>
      <c r="Q339" s="712"/>
      <c r="R339" s="712"/>
      <c r="S339" s="712"/>
      <c r="T339" s="712"/>
      <c r="U339" s="712"/>
      <c r="V339" s="712"/>
      <c r="W339" s="712"/>
      <c r="X339" s="712"/>
      <c r="Y339" s="712"/>
      <c r="Z339" s="712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3">
        <v>4680115888319</v>
      </c>
      <c r="E340" s="713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3">
        <v>4680115884700</v>
      </c>
      <c r="E341" s="713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3">
        <v>4680115880344</v>
      </c>
      <c r="E342" s="713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3">
        <v>4680115886919</v>
      </c>
      <c r="E343" s="713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5"/>
      <c r="R343" s="715"/>
      <c r="S343" s="715"/>
      <c r="T343" s="7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3">
        <v>4680115883970</v>
      </c>
      <c r="E344" s="713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5"/>
      <c r="R344" s="715"/>
      <c r="S344" s="715"/>
      <c r="T344" s="7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1"/>
      <c r="B345" s="721"/>
      <c r="C345" s="721"/>
      <c r="D345" s="721"/>
      <c r="E345" s="721"/>
      <c r="F345" s="721"/>
      <c r="G345" s="721"/>
      <c r="H345" s="721"/>
      <c r="I345" s="721"/>
      <c r="J345" s="721"/>
      <c r="K345" s="721"/>
      <c r="L345" s="721"/>
      <c r="M345" s="721"/>
      <c r="N345" s="721"/>
      <c r="O345" s="722"/>
      <c r="P345" s="718" t="s">
        <v>40</v>
      </c>
      <c r="Q345" s="719"/>
      <c r="R345" s="719"/>
      <c r="S345" s="719"/>
      <c r="T345" s="719"/>
      <c r="U345" s="719"/>
      <c r="V345" s="72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1"/>
      <c r="B346" s="721"/>
      <c r="C346" s="721"/>
      <c r="D346" s="721"/>
      <c r="E346" s="721"/>
      <c r="F346" s="721"/>
      <c r="G346" s="721"/>
      <c r="H346" s="721"/>
      <c r="I346" s="721"/>
      <c r="J346" s="721"/>
      <c r="K346" s="721"/>
      <c r="L346" s="721"/>
      <c r="M346" s="721"/>
      <c r="N346" s="721"/>
      <c r="O346" s="722"/>
      <c r="P346" s="718" t="s">
        <v>40</v>
      </c>
      <c r="Q346" s="719"/>
      <c r="R346" s="719"/>
      <c r="S346" s="719"/>
      <c r="T346" s="719"/>
      <c r="U346" s="719"/>
      <c r="V346" s="72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2" t="s">
        <v>86</v>
      </c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2"/>
      <c r="P347" s="712"/>
      <c r="Q347" s="712"/>
      <c r="R347" s="712"/>
      <c r="S347" s="712"/>
      <c r="T347" s="712"/>
      <c r="U347" s="712"/>
      <c r="V347" s="712"/>
      <c r="W347" s="712"/>
      <c r="X347" s="712"/>
      <c r="Y347" s="712"/>
      <c r="Z347" s="71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3">
        <v>4680115884618</v>
      </c>
      <c r="E348" s="713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3">
        <v>4680115887114</v>
      </c>
      <c r="E349" s="713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5"/>
      <c r="R349" s="715"/>
      <c r="S349" s="715"/>
      <c r="T349" s="71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1"/>
      <c r="B351" s="721"/>
      <c r="C351" s="721"/>
      <c r="D351" s="721"/>
      <c r="E351" s="721"/>
      <c r="F351" s="721"/>
      <c r="G351" s="721"/>
      <c r="H351" s="721"/>
      <c r="I351" s="721"/>
      <c r="J351" s="721"/>
      <c r="K351" s="721"/>
      <c r="L351" s="721"/>
      <c r="M351" s="721"/>
      <c r="N351" s="721"/>
      <c r="O351" s="722"/>
      <c r="P351" s="718" t="s">
        <v>40</v>
      </c>
      <c r="Q351" s="719"/>
      <c r="R351" s="719"/>
      <c r="S351" s="719"/>
      <c r="T351" s="719"/>
      <c r="U351" s="719"/>
      <c r="V351" s="72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1" t="s">
        <v>589</v>
      </c>
      <c r="B352" s="711"/>
      <c r="C352" s="711"/>
      <c r="D352" s="711"/>
      <c r="E352" s="711"/>
      <c r="F352" s="711"/>
      <c r="G352" s="711"/>
      <c r="H352" s="711"/>
      <c r="I352" s="711"/>
      <c r="J352" s="711"/>
      <c r="K352" s="711"/>
      <c r="L352" s="711"/>
      <c r="M352" s="711"/>
      <c r="N352" s="711"/>
      <c r="O352" s="711"/>
      <c r="P352" s="711"/>
      <c r="Q352" s="711"/>
      <c r="R352" s="711"/>
      <c r="S352" s="711"/>
      <c r="T352" s="711"/>
      <c r="U352" s="711"/>
      <c r="V352" s="711"/>
      <c r="W352" s="711"/>
      <c r="X352" s="711"/>
      <c r="Y352" s="711"/>
      <c r="Z352" s="711"/>
      <c r="AA352" s="65"/>
      <c r="AB352" s="65"/>
      <c r="AC352" s="79"/>
    </row>
    <row r="353" spans="1:68" ht="14.25" customHeight="1" x14ac:dyDescent="0.25">
      <c r="A353" s="712" t="s">
        <v>122</v>
      </c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2"/>
      <c r="P353" s="712"/>
      <c r="Q353" s="712"/>
      <c r="R353" s="712"/>
      <c r="S353" s="712"/>
      <c r="T353" s="712"/>
      <c r="U353" s="712"/>
      <c r="V353" s="712"/>
      <c r="W353" s="712"/>
      <c r="X353" s="712"/>
      <c r="Y353" s="712"/>
      <c r="Z353" s="71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3">
        <v>4680115887947</v>
      </c>
      <c r="E354" s="71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5"/>
      <c r="R354" s="715"/>
      <c r="S354" s="715"/>
      <c r="T354" s="71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3">
        <v>4680115887978</v>
      </c>
      <c r="E355" s="713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5"/>
      <c r="R355" s="715"/>
      <c r="S355" s="715"/>
      <c r="T355" s="716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3">
        <v>4680115887992</v>
      </c>
      <c r="E356" s="71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5"/>
      <c r="R356" s="715"/>
      <c r="S356" s="715"/>
      <c r="T356" s="71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1"/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2"/>
      <c r="P357" s="718" t="s">
        <v>40</v>
      </c>
      <c r="Q357" s="719"/>
      <c r="R357" s="719"/>
      <c r="S357" s="719"/>
      <c r="T357" s="719"/>
      <c r="U357" s="719"/>
      <c r="V357" s="72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1" t="s">
        <v>598</v>
      </c>
      <c r="B359" s="711"/>
      <c r="C359" s="711"/>
      <c r="D359" s="711"/>
      <c r="E359" s="711"/>
      <c r="F359" s="711"/>
      <c r="G359" s="711"/>
      <c r="H359" s="711"/>
      <c r="I359" s="711"/>
      <c r="J359" s="711"/>
      <c r="K359" s="711"/>
      <c r="L359" s="711"/>
      <c r="M359" s="711"/>
      <c r="N359" s="711"/>
      <c r="O359" s="711"/>
      <c r="P359" s="711"/>
      <c r="Q359" s="711"/>
      <c r="R359" s="711"/>
      <c r="S359" s="711"/>
      <c r="T359" s="711"/>
      <c r="U359" s="711"/>
      <c r="V359" s="711"/>
      <c r="W359" s="711"/>
      <c r="X359" s="711"/>
      <c r="Y359" s="711"/>
      <c r="Z359" s="711"/>
      <c r="AA359" s="65"/>
      <c r="AB359" s="65"/>
      <c r="AC359" s="79"/>
    </row>
    <row r="360" spans="1:68" ht="14.25" customHeight="1" x14ac:dyDescent="0.25">
      <c r="A360" s="712" t="s">
        <v>122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713">
        <v>4680115887190</v>
      </c>
      <c r="E361" s="71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5"/>
      <c r="R361" s="715"/>
      <c r="S361" s="715"/>
      <c r="T361" s="71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713">
        <v>4680115887138</v>
      </c>
      <c r="E362" s="71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713">
        <v>4680115885554</v>
      </c>
      <c r="E363" s="71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713">
        <v>4680115887220</v>
      </c>
      <c r="E364" s="71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713">
        <v>4680115885608</v>
      </c>
      <c r="E365" s="713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5"/>
      <c r="R365" s="715"/>
      <c r="S365" s="715"/>
      <c r="T365" s="71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21"/>
      <c r="B367" s="721"/>
      <c r="C367" s="721"/>
      <c r="D367" s="721"/>
      <c r="E367" s="721"/>
      <c r="F367" s="721"/>
      <c r="G367" s="721"/>
      <c r="H367" s="721"/>
      <c r="I367" s="721"/>
      <c r="J367" s="721"/>
      <c r="K367" s="721"/>
      <c r="L367" s="721"/>
      <c r="M367" s="721"/>
      <c r="N367" s="721"/>
      <c r="O367" s="722"/>
      <c r="P367" s="718" t="s">
        <v>40</v>
      </c>
      <c r="Q367" s="719"/>
      <c r="R367" s="719"/>
      <c r="S367" s="719"/>
      <c r="T367" s="719"/>
      <c r="U367" s="719"/>
      <c r="V367" s="720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712" t="s">
        <v>77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713">
        <v>4607091387193</v>
      </c>
      <c r="E369" s="71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713">
        <v>4607091387230</v>
      </c>
      <c r="E370" s="713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713">
        <v>4607091387292</v>
      </c>
      <c r="E371" s="713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713">
        <v>4607091387285</v>
      </c>
      <c r="E372" s="713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713">
        <v>4607091389845</v>
      </c>
      <c r="E373" s="713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713">
        <v>4680115887442</v>
      </c>
      <c r="E374" s="71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713">
        <v>4607091383836</v>
      </c>
      <c r="E375" s="713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712" t="s">
        <v>86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713">
        <v>4607091387766</v>
      </c>
      <c r="E379" s="713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713">
        <v>4607091387957</v>
      </c>
      <c r="E380" s="713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713">
        <v>4607091387964</v>
      </c>
      <c r="E381" s="713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713">
        <v>4680115884588</v>
      </c>
      <c r="E382" s="713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1"/>
      <c r="B383" s="721"/>
      <c r="C383" s="721"/>
      <c r="D383" s="721"/>
      <c r="E383" s="721"/>
      <c r="F383" s="721"/>
      <c r="G383" s="721"/>
      <c r="H383" s="721"/>
      <c r="I383" s="721"/>
      <c r="J383" s="721"/>
      <c r="K383" s="721"/>
      <c r="L383" s="721"/>
      <c r="M383" s="721"/>
      <c r="N383" s="721"/>
      <c r="O383" s="722"/>
      <c r="P383" s="718" t="s">
        <v>40</v>
      </c>
      <c r="Q383" s="719"/>
      <c r="R383" s="719"/>
      <c r="S383" s="719"/>
      <c r="T383" s="719"/>
      <c r="U383" s="719"/>
      <c r="V383" s="72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21"/>
      <c r="B384" s="721"/>
      <c r="C384" s="721"/>
      <c r="D384" s="721"/>
      <c r="E384" s="721"/>
      <c r="F384" s="721"/>
      <c r="G384" s="721"/>
      <c r="H384" s="721"/>
      <c r="I384" s="721"/>
      <c r="J384" s="721"/>
      <c r="K384" s="721"/>
      <c r="L384" s="721"/>
      <c r="M384" s="721"/>
      <c r="N384" s="721"/>
      <c r="O384" s="722"/>
      <c r="P384" s="718" t="s">
        <v>40</v>
      </c>
      <c r="Q384" s="719"/>
      <c r="R384" s="719"/>
      <c r="S384" s="719"/>
      <c r="T384" s="719"/>
      <c r="U384" s="719"/>
      <c r="V384" s="72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712" t="s">
        <v>175</v>
      </c>
      <c r="B385" s="712"/>
      <c r="C385" s="712"/>
      <c r="D385" s="712"/>
      <c r="E385" s="712"/>
      <c r="F385" s="712"/>
      <c r="G385" s="712"/>
      <c r="H385" s="712"/>
      <c r="I385" s="712"/>
      <c r="J385" s="712"/>
      <c r="K385" s="712"/>
      <c r="L385" s="712"/>
      <c r="M385" s="712"/>
      <c r="N385" s="712"/>
      <c r="O385" s="712"/>
      <c r="P385" s="712"/>
      <c r="Q385" s="712"/>
      <c r="R385" s="712"/>
      <c r="S385" s="712"/>
      <c r="T385" s="712"/>
      <c r="U385" s="712"/>
      <c r="V385" s="712"/>
      <c r="W385" s="712"/>
      <c r="X385" s="712"/>
      <c r="Y385" s="712"/>
      <c r="Z385" s="712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713">
        <v>4607091380880</v>
      </c>
      <c r="E386" s="713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5"/>
      <c r="R386" s="715"/>
      <c r="S386" s="715"/>
      <c r="T386" s="71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713">
        <v>4607091384482</v>
      </c>
      <c r="E387" s="713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5"/>
      <c r="R387" s="715"/>
      <c r="S387" s="715"/>
      <c r="T387" s="716"/>
      <c r="U387" s="39" t="s">
        <v>46</v>
      </c>
      <c r="V387" s="39" t="s">
        <v>46</v>
      </c>
      <c r="W387" s="40" t="s">
        <v>0</v>
      </c>
      <c r="X387" s="58">
        <v>50</v>
      </c>
      <c r="Y387" s="55">
        <f>IFERROR(IF(X387="",0,CEILING((X387/$H387),1)*$H387),"")</f>
        <v>54.6</v>
      </c>
      <c r="Z387" s="41">
        <f>IFERROR(IF(Y387=0,"",ROUNDUP(Y387/H387,0)*0.01898),"")</f>
        <v>0.13286000000000001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53.166666666666671</v>
      </c>
      <c r="BN387" s="78">
        <f>IFERROR(Y387*I387/H387,"0")</f>
        <v>58.058000000000007</v>
      </c>
      <c r="BO387" s="78">
        <f>IFERROR(1/J387*(X387/H387),"0")</f>
        <v>0.10016025641025642</v>
      </c>
      <c r="BP387" s="78">
        <f>IFERROR(1/J387*(Y387/H387),"0")</f>
        <v>0.109375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713">
        <v>4607091380897</v>
      </c>
      <c r="E388" s="713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5"/>
      <c r="R388" s="715"/>
      <c r="S388" s="715"/>
      <c r="T388" s="7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21"/>
      <c r="B389" s="721"/>
      <c r="C389" s="721"/>
      <c r="D389" s="721"/>
      <c r="E389" s="721"/>
      <c r="F389" s="721"/>
      <c r="G389" s="721"/>
      <c r="H389" s="721"/>
      <c r="I389" s="721"/>
      <c r="J389" s="721"/>
      <c r="K389" s="721"/>
      <c r="L389" s="721"/>
      <c r="M389" s="721"/>
      <c r="N389" s="721"/>
      <c r="O389" s="722"/>
      <c r="P389" s="718" t="s">
        <v>40</v>
      </c>
      <c r="Q389" s="719"/>
      <c r="R389" s="719"/>
      <c r="S389" s="719"/>
      <c r="T389" s="719"/>
      <c r="U389" s="719"/>
      <c r="V389" s="720"/>
      <c r="W389" s="42" t="s">
        <v>39</v>
      </c>
      <c r="X389" s="43">
        <f>IFERROR(X386/H386,"0")+IFERROR(X387/H387,"0")+IFERROR(X388/H388,"0")</f>
        <v>6.4102564102564106</v>
      </c>
      <c r="Y389" s="43">
        <f>IFERROR(Y386/H386,"0")+IFERROR(Y387/H387,"0")+IFERROR(Y388/H388,"0")</f>
        <v>7</v>
      </c>
      <c r="Z389" s="43">
        <f>IFERROR(IF(Z386="",0,Z386),"0")+IFERROR(IF(Z387="",0,Z387),"0")+IFERROR(IF(Z388="",0,Z388),"0")</f>
        <v>0.13286000000000001</v>
      </c>
      <c r="AA389" s="67"/>
      <c r="AB389" s="67"/>
      <c r="AC389" s="67"/>
    </row>
    <row r="390" spans="1:68" x14ac:dyDescent="0.2">
      <c r="A390" s="721"/>
      <c r="B390" s="721"/>
      <c r="C390" s="721"/>
      <c r="D390" s="721"/>
      <c r="E390" s="721"/>
      <c r="F390" s="721"/>
      <c r="G390" s="721"/>
      <c r="H390" s="721"/>
      <c r="I390" s="721"/>
      <c r="J390" s="721"/>
      <c r="K390" s="721"/>
      <c r="L390" s="721"/>
      <c r="M390" s="721"/>
      <c r="N390" s="721"/>
      <c r="O390" s="722"/>
      <c r="P390" s="718" t="s">
        <v>40</v>
      </c>
      <c r="Q390" s="719"/>
      <c r="R390" s="719"/>
      <c r="S390" s="719"/>
      <c r="T390" s="719"/>
      <c r="U390" s="719"/>
      <c r="V390" s="720"/>
      <c r="W390" s="42" t="s">
        <v>0</v>
      </c>
      <c r="X390" s="43">
        <f>IFERROR(SUM(X386:X388),"0")</f>
        <v>50</v>
      </c>
      <c r="Y390" s="43">
        <f>IFERROR(SUM(Y386:Y388),"0")</f>
        <v>54.6</v>
      </c>
      <c r="Z390" s="42"/>
      <c r="AA390" s="67"/>
      <c r="AB390" s="67"/>
      <c r="AC390" s="67"/>
    </row>
    <row r="391" spans="1:68" ht="14.25" customHeight="1" x14ac:dyDescent="0.25">
      <c r="A391" s="712" t="s">
        <v>283</v>
      </c>
      <c r="B391" s="712"/>
      <c r="C391" s="712"/>
      <c r="D391" s="712"/>
      <c r="E391" s="712"/>
      <c r="F391" s="712"/>
      <c r="G391" s="712"/>
      <c r="H391" s="712"/>
      <c r="I391" s="712"/>
      <c r="J391" s="712"/>
      <c r="K391" s="712"/>
      <c r="L391" s="712"/>
      <c r="M391" s="712"/>
      <c r="N391" s="712"/>
      <c r="O391" s="712"/>
      <c r="P391" s="712"/>
      <c r="Q391" s="712"/>
      <c r="R391" s="712"/>
      <c r="S391" s="712"/>
      <c r="T391" s="712"/>
      <c r="U391" s="712"/>
      <c r="V391" s="712"/>
      <c r="W391" s="712"/>
      <c r="X391" s="712"/>
      <c r="Y391" s="712"/>
      <c r="Z391" s="712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713">
        <v>4607091388381</v>
      </c>
      <c r="E392" s="713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713">
        <v>4607091388374</v>
      </c>
      <c r="E393" s="713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5"/>
      <c r="R393" s="715"/>
      <c r="S393" s="715"/>
      <c r="T393" s="71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713">
        <v>4607091383102</v>
      </c>
      <c r="E394" s="713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5"/>
      <c r="R394" s="715"/>
      <c r="S394" s="715"/>
      <c r="T394" s="71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713">
        <v>4607091388404</v>
      </c>
      <c r="E395" s="713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5"/>
      <c r="R395" s="715"/>
      <c r="S395" s="715"/>
      <c r="T395" s="7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21"/>
      <c r="B396" s="721"/>
      <c r="C396" s="721"/>
      <c r="D396" s="721"/>
      <c r="E396" s="721"/>
      <c r="F396" s="721"/>
      <c r="G396" s="721"/>
      <c r="H396" s="721"/>
      <c r="I396" s="721"/>
      <c r="J396" s="721"/>
      <c r="K396" s="721"/>
      <c r="L396" s="721"/>
      <c r="M396" s="721"/>
      <c r="N396" s="721"/>
      <c r="O396" s="722"/>
      <c r="P396" s="718" t="s">
        <v>40</v>
      </c>
      <c r="Q396" s="719"/>
      <c r="R396" s="719"/>
      <c r="S396" s="719"/>
      <c r="T396" s="719"/>
      <c r="U396" s="719"/>
      <c r="V396" s="72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21"/>
      <c r="B397" s="721"/>
      <c r="C397" s="721"/>
      <c r="D397" s="721"/>
      <c r="E397" s="721"/>
      <c r="F397" s="721"/>
      <c r="G397" s="721"/>
      <c r="H397" s="721"/>
      <c r="I397" s="721"/>
      <c r="J397" s="721"/>
      <c r="K397" s="721"/>
      <c r="L397" s="721"/>
      <c r="M397" s="721"/>
      <c r="N397" s="721"/>
      <c r="O397" s="722"/>
      <c r="P397" s="718" t="s">
        <v>40</v>
      </c>
      <c r="Q397" s="719"/>
      <c r="R397" s="719"/>
      <c r="S397" s="719"/>
      <c r="T397" s="719"/>
      <c r="U397" s="719"/>
      <c r="V397" s="72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712" t="s">
        <v>661</v>
      </c>
      <c r="B398" s="712"/>
      <c r="C398" s="712"/>
      <c r="D398" s="712"/>
      <c r="E398" s="712"/>
      <c r="F398" s="712"/>
      <c r="G398" s="712"/>
      <c r="H398" s="712"/>
      <c r="I398" s="712"/>
      <c r="J398" s="712"/>
      <c r="K398" s="712"/>
      <c r="L398" s="712"/>
      <c r="M398" s="712"/>
      <c r="N398" s="712"/>
      <c r="O398" s="712"/>
      <c r="P398" s="712"/>
      <c r="Q398" s="712"/>
      <c r="R398" s="712"/>
      <c r="S398" s="712"/>
      <c r="T398" s="712"/>
      <c r="U398" s="712"/>
      <c r="V398" s="712"/>
      <c r="W398" s="712"/>
      <c r="X398" s="712"/>
      <c r="Y398" s="712"/>
      <c r="Z398" s="712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713">
        <v>4680115881808</v>
      </c>
      <c r="E399" s="71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5"/>
      <c r="R399" s="715"/>
      <c r="S399" s="715"/>
      <c r="T399" s="71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713">
        <v>4680115881822</v>
      </c>
      <c r="E400" s="71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5"/>
      <c r="R400" s="715"/>
      <c r="S400" s="715"/>
      <c r="T400" s="71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713">
        <v>4680115880016</v>
      </c>
      <c r="E401" s="713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5"/>
      <c r="R401" s="715"/>
      <c r="S401" s="715"/>
      <c r="T401" s="71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21"/>
      <c r="B402" s="721"/>
      <c r="C402" s="721"/>
      <c r="D402" s="721"/>
      <c r="E402" s="721"/>
      <c r="F402" s="721"/>
      <c r="G402" s="721"/>
      <c r="H402" s="721"/>
      <c r="I402" s="721"/>
      <c r="J402" s="721"/>
      <c r="K402" s="721"/>
      <c r="L402" s="721"/>
      <c r="M402" s="721"/>
      <c r="N402" s="721"/>
      <c r="O402" s="722"/>
      <c r="P402" s="718" t="s">
        <v>40</v>
      </c>
      <c r="Q402" s="719"/>
      <c r="R402" s="719"/>
      <c r="S402" s="719"/>
      <c r="T402" s="719"/>
      <c r="U402" s="719"/>
      <c r="V402" s="72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21"/>
      <c r="B403" s="721"/>
      <c r="C403" s="721"/>
      <c r="D403" s="721"/>
      <c r="E403" s="721"/>
      <c r="F403" s="721"/>
      <c r="G403" s="721"/>
      <c r="H403" s="721"/>
      <c r="I403" s="721"/>
      <c r="J403" s="721"/>
      <c r="K403" s="721"/>
      <c r="L403" s="721"/>
      <c r="M403" s="721"/>
      <c r="N403" s="721"/>
      <c r="O403" s="722"/>
      <c r="P403" s="718" t="s">
        <v>40</v>
      </c>
      <c r="Q403" s="719"/>
      <c r="R403" s="719"/>
      <c r="S403" s="719"/>
      <c r="T403" s="719"/>
      <c r="U403" s="719"/>
      <c r="V403" s="72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712" t="s">
        <v>670</v>
      </c>
      <c r="B404" s="712"/>
      <c r="C404" s="712"/>
      <c r="D404" s="712"/>
      <c r="E404" s="712"/>
      <c r="F404" s="712"/>
      <c r="G404" s="712"/>
      <c r="H404" s="712"/>
      <c r="I404" s="712"/>
      <c r="J404" s="712"/>
      <c r="K404" s="712"/>
      <c r="L404" s="712"/>
      <c r="M404" s="712"/>
      <c r="N404" s="712"/>
      <c r="O404" s="712"/>
      <c r="P404" s="712"/>
      <c r="Q404" s="712"/>
      <c r="R404" s="712"/>
      <c r="S404" s="712"/>
      <c r="T404" s="712"/>
      <c r="U404" s="712"/>
      <c r="V404" s="712"/>
      <c r="W404" s="712"/>
      <c r="X404" s="712"/>
      <c r="Y404" s="712"/>
      <c r="Z404" s="712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713">
        <v>4680115888678</v>
      </c>
      <c r="E405" s="713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713">
        <v>4680115888654</v>
      </c>
      <c r="E406" s="713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5"/>
      <c r="R406" s="715"/>
      <c r="S406" s="715"/>
      <c r="T406" s="71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713">
        <v>4680115888753</v>
      </c>
      <c r="E407" s="713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5"/>
      <c r="R407" s="715"/>
      <c r="S407" s="715"/>
      <c r="T407" s="71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1"/>
      <c r="B408" s="721"/>
      <c r="C408" s="721"/>
      <c r="D408" s="721"/>
      <c r="E408" s="721"/>
      <c r="F408" s="721"/>
      <c r="G408" s="721"/>
      <c r="H408" s="721"/>
      <c r="I408" s="721"/>
      <c r="J408" s="721"/>
      <c r="K408" s="721"/>
      <c r="L408" s="721"/>
      <c r="M408" s="721"/>
      <c r="N408" s="721"/>
      <c r="O408" s="722"/>
      <c r="P408" s="718" t="s">
        <v>40</v>
      </c>
      <c r="Q408" s="719"/>
      <c r="R408" s="719"/>
      <c r="S408" s="719"/>
      <c r="T408" s="719"/>
      <c r="U408" s="719"/>
      <c r="V408" s="72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21"/>
      <c r="B409" s="721"/>
      <c r="C409" s="721"/>
      <c r="D409" s="721"/>
      <c r="E409" s="721"/>
      <c r="F409" s="721"/>
      <c r="G409" s="721"/>
      <c r="H409" s="721"/>
      <c r="I409" s="721"/>
      <c r="J409" s="721"/>
      <c r="K409" s="721"/>
      <c r="L409" s="721"/>
      <c r="M409" s="721"/>
      <c r="N409" s="721"/>
      <c r="O409" s="722"/>
      <c r="P409" s="718" t="s">
        <v>40</v>
      </c>
      <c r="Q409" s="719"/>
      <c r="R409" s="719"/>
      <c r="S409" s="719"/>
      <c r="T409" s="719"/>
      <c r="U409" s="719"/>
      <c r="V409" s="72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711" t="s">
        <v>679</v>
      </c>
      <c r="B410" s="711"/>
      <c r="C410" s="711"/>
      <c r="D410" s="711"/>
      <c r="E410" s="711"/>
      <c r="F410" s="711"/>
      <c r="G410" s="711"/>
      <c r="H410" s="711"/>
      <c r="I410" s="711"/>
      <c r="J410" s="711"/>
      <c r="K410" s="711"/>
      <c r="L410" s="711"/>
      <c r="M410" s="711"/>
      <c r="N410" s="711"/>
      <c r="O410" s="711"/>
      <c r="P410" s="711"/>
      <c r="Q410" s="711"/>
      <c r="R410" s="711"/>
      <c r="S410" s="711"/>
      <c r="T410" s="711"/>
      <c r="U410" s="711"/>
      <c r="V410" s="711"/>
      <c r="W410" s="711"/>
      <c r="X410" s="711"/>
      <c r="Y410" s="711"/>
      <c r="Z410" s="711"/>
      <c r="AA410" s="65"/>
      <c r="AB410" s="65"/>
      <c r="AC410" s="79"/>
    </row>
    <row r="411" spans="1:68" ht="14.25" customHeight="1" x14ac:dyDescent="0.25">
      <c r="A411" s="712" t="s">
        <v>86</v>
      </c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2"/>
      <c r="P411" s="712"/>
      <c r="Q411" s="712"/>
      <c r="R411" s="712"/>
      <c r="S411" s="712"/>
      <c r="T411" s="712"/>
      <c r="U411" s="712"/>
      <c r="V411" s="712"/>
      <c r="W411" s="712"/>
      <c r="X411" s="712"/>
      <c r="Y411" s="712"/>
      <c r="Z411" s="712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713">
        <v>4680115889415</v>
      </c>
      <c r="E412" s="71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34" t="s">
        <v>682</v>
      </c>
      <c r="Q412" s="715"/>
      <c r="R412" s="715"/>
      <c r="S412" s="715"/>
      <c r="T412" s="71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713">
        <v>4680115889422</v>
      </c>
      <c r="E413" s="713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5" t="s">
        <v>687</v>
      </c>
      <c r="Q413" s="715"/>
      <c r="R413" s="715"/>
      <c r="S413" s="715"/>
      <c r="T413" s="71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1"/>
      <c r="B414" s="721"/>
      <c r="C414" s="721"/>
      <c r="D414" s="721"/>
      <c r="E414" s="721"/>
      <c r="F414" s="721"/>
      <c r="G414" s="721"/>
      <c r="H414" s="721"/>
      <c r="I414" s="721"/>
      <c r="J414" s="721"/>
      <c r="K414" s="721"/>
      <c r="L414" s="721"/>
      <c r="M414" s="721"/>
      <c r="N414" s="721"/>
      <c r="O414" s="722"/>
      <c r="P414" s="718" t="s">
        <v>40</v>
      </c>
      <c r="Q414" s="719"/>
      <c r="R414" s="719"/>
      <c r="S414" s="719"/>
      <c r="T414" s="719"/>
      <c r="U414" s="719"/>
      <c r="V414" s="72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721"/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2"/>
      <c r="P415" s="718" t="s">
        <v>40</v>
      </c>
      <c r="Q415" s="719"/>
      <c r="R415" s="719"/>
      <c r="S415" s="719"/>
      <c r="T415" s="719"/>
      <c r="U415" s="719"/>
      <c r="V415" s="72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711" t="s">
        <v>689</v>
      </c>
      <c r="B416" s="711"/>
      <c r="C416" s="711"/>
      <c r="D416" s="711"/>
      <c r="E416" s="711"/>
      <c r="F416" s="711"/>
      <c r="G416" s="711"/>
      <c r="H416" s="711"/>
      <c r="I416" s="711"/>
      <c r="J416" s="711"/>
      <c r="K416" s="711"/>
      <c r="L416" s="711"/>
      <c r="M416" s="711"/>
      <c r="N416" s="711"/>
      <c r="O416" s="711"/>
      <c r="P416" s="711"/>
      <c r="Q416" s="711"/>
      <c r="R416" s="711"/>
      <c r="S416" s="711"/>
      <c r="T416" s="711"/>
      <c r="U416" s="711"/>
      <c r="V416" s="711"/>
      <c r="W416" s="711"/>
      <c r="X416" s="711"/>
      <c r="Y416" s="711"/>
      <c r="Z416" s="711"/>
      <c r="AA416" s="65"/>
      <c r="AB416" s="65"/>
      <c r="AC416" s="79"/>
    </row>
    <row r="417" spans="1:68" ht="14.25" customHeight="1" x14ac:dyDescent="0.25">
      <c r="A417" s="712" t="s">
        <v>86</v>
      </c>
      <c r="B417" s="712"/>
      <c r="C417" s="712"/>
      <c r="D417" s="712"/>
      <c r="E417" s="712"/>
      <c r="F417" s="712"/>
      <c r="G417" s="712"/>
      <c r="H417" s="712"/>
      <c r="I417" s="712"/>
      <c r="J417" s="712"/>
      <c r="K417" s="712"/>
      <c r="L417" s="712"/>
      <c r="M417" s="712"/>
      <c r="N417" s="712"/>
      <c r="O417" s="712"/>
      <c r="P417" s="712"/>
      <c r="Q417" s="712"/>
      <c r="R417" s="712"/>
      <c r="S417" s="712"/>
      <c r="T417" s="712"/>
      <c r="U417" s="712"/>
      <c r="V417" s="712"/>
      <c r="W417" s="712"/>
      <c r="X417" s="712"/>
      <c r="Y417" s="712"/>
      <c r="Z417" s="712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713">
        <v>4607091387919</v>
      </c>
      <c r="E418" s="713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5"/>
      <c r="R418" s="715"/>
      <c r="S418" s="715"/>
      <c r="T418" s="71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713">
        <v>4680115883604</v>
      </c>
      <c r="E419" s="713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5"/>
      <c r="R419" s="715"/>
      <c r="S419" s="715"/>
      <c r="T419" s="71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713">
        <v>4680115883567</v>
      </c>
      <c r="E420" s="713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5"/>
      <c r="R420" s="715"/>
      <c r="S420" s="715"/>
      <c r="T420" s="7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21"/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2"/>
      <c r="P421" s="718" t="s">
        <v>40</v>
      </c>
      <c r="Q421" s="719"/>
      <c r="R421" s="719"/>
      <c r="S421" s="719"/>
      <c r="T421" s="719"/>
      <c r="U421" s="719"/>
      <c r="V421" s="72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721"/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2"/>
      <c r="P422" s="718" t="s">
        <v>40</v>
      </c>
      <c r="Q422" s="719"/>
      <c r="R422" s="719"/>
      <c r="S422" s="719"/>
      <c r="T422" s="719"/>
      <c r="U422" s="719"/>
      <c r="V422" s="72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710" t="s">
        <v>699</v>
      </c>
      <c r="B423" s="710"/>
      <c r="C423" s="710"/>
      <c r="D423" s="710"/>
      <c r="E423" s="710"/>
      <c r="F423" s="710"/>
      <c r="G423" s="710"/>
      <c r="H423" s="710"/>
      <c r="I423" s="710"/>
      <c r="J423" s="710"/>
      <c r="K423" s="710"/>
      <c r="L423" s="710"/>
      <c r="M423" s="710"/>
      <c r="N423" s="710"/>
      <c r="O423" s="710"/>
      <c r="P423" s="710"/>
      <c r="Q423" s="710"/>
      <c r="R423" s="710"/>
      <c r="S423" s="710"/>
      <c r="T423" s="710"/>
      <c r="U423" s="710"/>
      <c r="V423" s="710"/>
      <c r="W423" s="710"/>
      <c r="X423" s="710"/>
      <c r="Y423" s="710"/>
      <c r="Z423" s="710"/>
      <c r="AA423" s="54"/>
      <c r="AB423" s="54"/>
      <c r="AC423" s="54"/>
    </row>
    <row r="424" spans="1:68" ht="16.5" customHeight="1" x14ac:dyDescent="0.25">
      <c r="A424" s="711" t="s">
        <v>700</v>
      </c>
      <c r="B424" s="711"/>
      <c r="C424" s="711"/>
      <c r="D424" s="711"/>
      <c r="E424" s="711"/>
      <c r="F424" s="711"/>
      <c r="G424" s="711"/>
      <c r="H424" s="711"/>
      <c r="I424" s="711"/>
      <c r="J424" s="711"/>
      <c r="K424" s="711"/>
      <c r="L424" s="711"/>
      <c r="M424" s="711"/>
      <c r="N424" s="711"/>
      <c r="O424" s="711"/>
      <c r="P424" s="711"/>
      <c r="Q424" s="711"/>
      <c r="R424" s="711"/>
      <c r="S424" s="711"/>
      <c r="T424" s="711"/>
      <c r="U424" s="711"/>
      <c r="V424" s="711"/>
      <c r="W424" s="711"/>
      <c r="X424" s="711"/>
      <c r="Y424" s="711"/>
      <c r="Z424" s="711"/>
      <c r="AA424" s="65"/>
      <c r="AB424" s="65"/>
      <c r="AC424" s="79"/>
    </row>
    <row r="425" spans="1:68" ht="14.25" customHeight="1" x14ac:dyDescent="0.25">
      <c r="A425" s="712" t="s">
        <v>122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713">
        <v>4680115888401</v>
      </c>
      <c r="E426" s="71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5"/>
      <c r="R426" s="715"/>
      <c r="S426" s="715"/>
      <c r="T426" s="71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713">
        <v>4680115884847</v>
      </c>
      <c r="E427" s="71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5"/>
      <c r="R427" s="715"/>
      <c r="S427" s="715"/>
      <c r="T427" s="716"/>
      <c r="U427" s="39" t="s">
        <v>46</v>
      </c>
      <c r="V427" s="39" t="s">
        <v>46</v>
      </c>
      <c r="W427" s="40" t="s">
        <v>0</v>
      </c>
      <c r="X427" s="58">
        <v>120</v>
      </c>
      <c r="Y427" s="55">
        <f t="shared" si="53"/>
        <v>120</v>
      </c>
      <c r="Z427" s="41">
        <f>IFERROR(IF(Y427=0,"",ROUNDUP(Y427/H427,0)*0.02175),"")</f>
        <v>0.17399999999999999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123.76</v>
      </c>
      <c r="BN427" s="78">
        <f t="shared" si="55"/>
        <v>123.76</v>
      </c>
      <c r="BO427" s="78">
        <f t="shared" si="56"/>
        <v>0.16666666666666666</v>
      </c>
      <c r="BP427" s="78">
        <f t="shared" si="57"/>
        <v>0.16666666666666666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713">
        <v>4680115884854</v>
      </c>
      <c r="E428" s="71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5"/>
      <c r="R428" s="715"/>
      <c r="S428" s="715"/>
      <c r="T428" s="71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713">
        <v>4680115884830</v>
      </c>
      <c r="E429" s="71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5"/>
      <c r="R429" s="715"/>
      <c r="S429" s="715"/>
      <c r="T429" s="716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3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154.69999999999999</v>
      </c>
      <c r="BN429" s="78">
        <f t="shared" si="55"/>
        <v>154.69999999999999</v>
      </c>
      <c r="BO429" s="78">
        <f t="shared" si="56"/>
        <v>0.20833333333333331</v>
      </c>
      <c r="BP429" s="78">
        <f t="shared" si="57"/>
        <v>0.20833333333333331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713">
        <v>4680115889231</v>
      </c>
      <c r="E430" s="71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713">
        <v>4680115882638</v>
      </c>
      <c r="E431" s="7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713">
        <v>4680115884922</v>
      </c>
      <c r="E432" s="71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4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713">
        <v>4680115884861</v>
      </c>
      <c r="E433" s="713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5"/>
      <c r="R433" s="715"/>
      <c r="S433" s="715"/>
      <c r="T433" s="71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18</v>
      </c>
      <c r="Y434" s="43">
        <f>IFERROR(Y426/H426,"0")+IFERROR(Y427/H427,"0")+IFERROR(Y428/H428,"0")+IFERROR(Y429/H429,"0")+IFERROR(Y430/H430,"0")+IFERROR(Y431/H431,"0")+IFERROR(Y432/H432,"0")+IFERROR(Y433/H433,"0")</f>
        <v>18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0.39149999999999996</v>
      </c>
      <c r="AA434" s="67"/>
      <c r="AB434" s="67"/>
      <c r="AC434" s="67"/>
    </row>
    <row r="435" spans="1:68" x14ac:dyDescent="0.2">
      <c r="A435" s="721"/>
      <c r="B435" s="721"/>
      <c r="C435" s="721"/>
      <c r="D435" s="721"/>
      <c r="E435" s="721"/>
      <c r="F435" s="721"/>
      <c r="G435" s="721"/>
      <c r="H435" s="721"/>
      <c r="I435" s="721"/>
      <c r="J435" s="721"/>
      <c r="K435" s="721"/>
      <c r="L435" s="721"/>
      <c r="M435" s="721"/>
      <c r="N435" s="721"/>
      <c r="O435" s="722"/>
      <c r="P435" s="718" t="s">
        <v>40</v>
      </c>
      <c r="Q435" s="719"/>
      <c r="R435" s="719"/>
      <c r="S435" s="719"/>
      <c r="T435" s="719"/>
      <c r="U435" s="719"/>
      <c r="V435" s="720"/>
      <c r="W435" s="42" t="s">
        <v>0</v>
      </c>
      <c r="X435" s="43">
        <f>IFERROR(SUM(X426:X433),"0")</f>
        <v>270</v>
      </c>
      <c r="Y435" s="43">
        <f>IFERROR(SUM(Y426:Y433),"0")</f>
        <v>270</v>
      </c>
      <c r="Z435" s="42"/>
      <c r="AA435" s="67"/>
      <c r="AB435" s="67"/>
      <c r="AC435" s="67"/>
    </row>
    <row r="436" spans="1:68" ht="14.25" customHeight="1" x14ac:dyDescent="0.25">
      <c r="A436" s="712" t="s">
        <v>158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713">
        <v>4607091383980</v>
      </c>
      <c r="E437" s="71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5"/>
      <c r="R437" s="715"/>
      <c r="S437" s="715"/>
      <c r="T437" s="716"/>
      <c r="U437" s="39" t="s">
        <v>46</v>
      </c>
      <c r="V437" s="39" t="s">
        <v>46</v>
      </c>
      <c r="W437" s="40" t="s">
        <v>0</v>
      </c>
      <c r="X437" s="58">
        <v>120</v>
      </c>
      <c r="Y437" s="55">
        <f>IFERROR(IF(X437="",0,CEILING((X437/$H437),1)*$H437),"")</f>
        <v>120</v>
      </c>
      <c r="Z437" s="41">
        <f>IFERROR(IF(Y437=0,"",ROUNDUP(Y437/H437,0)*0.02175),"")</f>
        <v>0.17399999999999999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123.76</v>
      </c>
      <c r="BN437" s="78">
        <f>IFERROR(Y437*I437/H437,"0")</f>
        <v>123.76</v>
      </c>
      <c r="BO437" s="78">
        <f>IFERROR(1/J437*(X437/H437),"0")</f>
        <v>0.16666666666666666</v>
      </c>
      <c r="BP437" s="78">
        <f>IFERROR(1/J437*(Y437/H437),"0")</f>
        <v>0.16666666666666666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713">
        <v>4680115888425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713">
        <v>4607091384178</v>
      </c>
      <c r="E439" s="713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1"/>
      <c r="B440" s="721"/>
      <c r="C440" s="721"/>
      <c r="D440" s="721"/>
      <c r="E440" s="721"/>
      <c r="F440" s="721"/>
      <c r="G440" s="721"/>
      <c r="H440" s="721"/>
      <c r="I440" s="721"/>
      <c r="J440" s="721"/>
      <c r="K440" s="721"/>
      <c r="L440" s="721"/>
      <c r="M440" s="721"/>
      <c r="N440" s="721"/>
      <c r="O440" s="722"/>
      <c r="P440" s="718" t="s">
        <v>40</v>
      </c>
      <c r="Q440" s="719"/>
      <c r="R440" s="719"/>
      <c r="S440" s="719"/>
      <c r="T440" s="719"/>
      <c r="U440" s="719"/>
      <c r="V440" s="720"/>
      <c r="W440" s="42" t="s">
        <v>39</v>
      </c>
      <c r="X440" s="43">
        <f>IFERROR(X437/H437,"0")+IFERROR(X438/H438,"0")+IFERROR(X439/H439,"0")</f>
        <v>8</v>
      </c>
      <c r="Y440" s="43">
        <f>IFERROR(Y437/H437,"0")+IFERROR(Y438/H438,"0")+IFERROR(Y439/H439,"0")</f>
        <v>8</v>
      </c>
      <c r="Z440" s="43">
        <f>IFERROR(IF(Z437="",0,Z437),"0")+IFERROR(IF(Z438="",0,Z438),"0")+IFERROR(IF(Z439="",0,Z439),"0")</f>
        <v>0.17399999999999999</v>
      </c>
      <c r="AA440" s="67"/>
      <c r="AB440" s="67"/>
      <c r="AC440" s="67"/>
    </row>
    <row r="441" spans="1:68" x14ac:dyDescent="0.2">
      <c r="A441" s="721"/>
      <c r="B441" s="721"/>
      <c r="C441" s="721"/>
      <c r="D441" s="721"/>
      <c r="E441" s="721"/>
      <c r="F441" s="721"/>
      <c r="G441" s="721"/>
      <c r="H441" s="721"/>
      <c r="I441" s="721"/>
      <c r="J441" s="721"/>
      <c r="K441" s="721"/>
      <c r="L441" s="721"/>
      <c r="M441" s="721"/>
      <c r="N441" s="721"/>
      <c r="O441" s="722"/>
      <c r="P441" s="718" t="s">
        <v>40</v>
      </c>
      <c r="Q441" s="719"/>
      <c r="R441" s="719"/>
      <c r="S441" s="719"/>
      <c r="T441" s="719"/>
      <c r="U441" s="719"/>
      <c r="V441" s="720"/>
      <c r="W441" s="42" t="s">
        <v>0</v>
      </c>
      <c r="X441" s="43">
        <f>IFERROR(SUM(X437:X439),"0")</f>
        <v>120</v>
      </c>
      <c r="Y441" s="43">
        <f>IFERROR(SUM(Y437:Y439),"0")</f>
        <v>120</v>
      </c>
      <c r="Z441" s="42"/>
      <c r="AA441" s="67"/>
      <c r="AB441" s="67"/>
      <c r="AC441" s="67"/>
    </row>
    <row r="442" spans="1:68" ht="14.25" customHeight="1" x14ac:dyDescent="0.25">
      <c r="A442" s="712" t="s">
        <v>86</v>
      </c>
      <c r="B442" s="712"/>
      <c r="C442" s="712"/>
      <c r="D442" s="712"/>
      <c r="E442" s="712"/>
      <c r="F442" s="712"/>
      <c r="G442" s="712"/>
      <c r="H442" s="712"/>
      <c r="I442" s="712"/>
      <c r="J442" s="712"/>
      <c r="K442" s="712"/>
      <c r="L442" s="712"/>
      <c r="M442" s="712"/>
      <c r="N442" s="712"/>
      <c r="O442" s="712"/>
      <c r="P442" s="712"/>
      <c r="Q442" s="712"/>
      <c r="R442" s="712"/>
      <c r="S442" s="712"/>
      <c r="T442" s="712"/>
      <c r="U442" s="712"/>
      <c r="V442" s="712"/>
      <c r="W442" s="712"/>
      <c r="X442" s="712"/>
      <c r="Y442" s="712"/>
      <c r="Z442" s="712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713">
        <v>4607091383928</v>
      </c>
      <c r="E443" s="713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713">
        <v>4607091384260</v>
      </c>
      <c r="E444" s="713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713">
        <v>4680115889538</v>
      </c>
      <c r="E445" s="713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5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12" t="s">
        <v>175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713">
        <v>4680115889545</v>
      </c>
      <c r="E449" s="713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713">
        <v>4607091384673</v>
      </c>
      <c r="E450" s="71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21"/>
      <c r="B451" s="721"/>
      <c r="C451" s="721"/>
      <c r="D451" s="721"/>
      <c r="E451" s="721"/>
      <c r="F451" s="721"/>
      <c r="G451" s="721"/>
      <c r="H451" s="721"/>
      <c r="I451" s="721"/>
      <c r="J451" s="721"/>
      <c r="K451" s="721"/>
      <c r="L451" s="721"/>
      <c r="M451" s="721"/>
      <c r="N451" s="721"/>
      <c r="O451" s="722"/>
      <c r="P451" s="718" t="s">
        <v>40</v>
      </c>
      <c r="Q451" s="719"/>
      <c r="R451" s="719"/>
      <c r="S451" s="719"/>
      <c r="T451" s="719"/>
      <c r="U451" s="719"/>
      <c r="V451" s="72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711" t="s">
        <v>749</v>
      </c>
      <c r="B453" s="711"/>
      <c r="C453" s="711"/>
      <c r="D453" s="711"/>
      <c r="E453" s="711"/>
      <c r="F453" s="711"/>
      <c r="G453" s="711"/>
      <c r="H453" s="711"/>
      <c r="I453" s="711"/>
      <c r="J453" s="711"/>
      <c r="K453" s="711"/>
      <c r="L453" s="711"/>
      <c r="M453" s="711"/>
      <c r="N453" s="711"/>
      <c r="O453" s="711"/>
      <c r="P453" s="711"/>
      <c r="Q453" s="711"/>
      <c r="R453" s="711"/>
      <c r="S453" s="711"/>
      <c r="T453" s="711"/>
      <c r="U453" s="711"/>
      <c r="V453" s="711"/>
      <c r="W453" s="711"/>
      <c r="X453" s="711"/>
      <c r="Y453" s="711"/>
      <c r="Z453" s="711"/>
      <c r="AA453" s="65"/>
      <c r="AB453" s="65"/>
      <c r="AC453" s="79"/>
    </row>
    <row r="454" spans="1:68" ht="14.25" customHeight="1" x14ac:dyDescent="0.25">
      <c r="A454" s="712" t="s">
        <v>122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713">
        <v>4680115884885</v>
      </c>
      <c r="E455" s="713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713">
        <v>4680115884908</v>
      </c>
      <c r="E456" s="713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21"/>
      <c r="B457" s="721"/>
      <c r="C457" s="721"/>
      <c r="D457" s="721"/>
      <c r="E457" s="721"/>
      <c r="F457" s="721"/>
      <c r="G457" s="721"/>
      <c r="H457" s="721"/>
      <c r="I457" s="721"/>
      <c r="J457" s="721"/>
      <c r="K457" s="721"/>
      <c r="L457" s="721"/>
      <c r="M457" s="721"/>
      <c r="N457" s="721"/>
      <c r="O457" s="722"/>
      <c r="P457" s="718" t="s">
        <v>40</v>
      </c>
      <c r="Q457" s="719"/>
      <c r="R457" s="719"/>
      <c r="S457" s="719"/>
      <c r="T457" s="719"/>
      <c r="U457" s="719"/>
      <c r="V457" s="72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712" t="s">
        <v>77</v>
      </c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2"/>
      <c r="P459" s="712"/>
      <c r="Q459" s="712"/>
      <c r="R459" s="712"/>
      <c r="S459" s="712"/>
      <c r="T459" s="712"/>
      <c r="U459" s="712"/>
      <c r="V459" s="712"/>
      <c r="W459" s="712"/>
      <c r="X459" s="712"/>
      <c r="Y459" s="712"/>
      <c r="Z459" s="712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713">
        <v>4607091384802</v>
      </c>
      <c r="E460" s="713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5"/>
      <c r="R460" s="715"/>
      <c r="S460" s="715"/>
      <c r="T460" s="71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1"/>
      <c r="B461" s="721"/>
      <c r="C461" s="721"/>
      <c r="D461" s="721"/>
      <c r="E461" s="721"/>
      <c r="F461" s="721"/>
      <c r="G461" s="721"/>
      <c r="H461" s="721"/>
      <c r="I461" s="721"/>
      <c r="J461" s="721"/>
      <c r="K461" s="721"/>
      <c r="L461" s="721"/>
      <c r="M461" s="721"/>
      <c r="N461" s="721"/>
      <c r="O461" s="722"/>
      <c r="P461" s="718" t="s">
        <v>40</v>
      </c>
      <c r="Q461" s="719"/>
      <c r="R461" s="719"/>
      <c r="S461" s="719"/>
      <c r="T461" s="719"/>
      <c r="U461" s="719"/>
      <c r="V461" s="72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721"/>
      <c r="B462" s="721"/>
      <c r="C462" s="721"/>
      <c r="D462" s="721"/>
      <c r="E462" s="721"/>
      <c r="F462" s="721"/>
      <c r="G462" s="721"/>
      <c r="H462" s="721"/>
      <c r="I462" s="721"/>
      <c r="J462" s="721"/>
      <c r="K462" s="721"/>
      <c r="L462" s="721"/>
      <c r="M462" s="721"/>
      <c r="N462" s="721"/>
      <c r="O462" s="722"/>
      <c r="P462" s="718" t="s">
        <v>40</v>
      </c>
      <c r="Q462" s="719"/>
      <c r="R462" s="719"/>
      <c r="S462" s="719"/>
      <c r="T462" s="719"/>
      <c r="U462" s="719"/>
      <c r="V462" s="72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712" t="s">
        <v>86</v>
      </c>
      <c r="B463" s="712"/>
      <c r="C463" s="712"/>
      <c r="D463" s="712"/>
      <c r="E463" s="712"/>
      <c r="F463" s="712"/>
      <c r="G463" s="712"/>
      <c r="H463" s="712"/>
      <c r="I463" s="712"/>
      <c r="J463" s="712"/>
      <c r="K463" s="712"/>
      <c r="L463" s="712"/>
      <c r="M463" s="712"/>
      <c r="N463" s="712"/>
      <c r="O463" s="712"/>
      <c r="P463" s="712"/>
      <c r="Q463" s="712"/>
      <c r="R463" s="712"/>
      <c r="S463" s="712"/>
      <c r="T463" s="712"/>
      <c r="U463" s="712"/>
      <c r="V463" s="712"/>
      <c r="W463" s="712"/>
      <c r="X463" s="712"/>
      <c r="Y463" s="712"/>
      <c r="Z463" s="712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713">
        <v>4607091384246</v>
      </c>
      <c r="E464" s="713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5"/>
      <c r="R464" s="715"/>
      <c r="S464" s="715"/>
      <c r="T464" s="716"/>
      <c r="U464" s="39" t="s">
        <v>46</v>
      </c>
      <c r="V464" s="39" t="s">
        <v>46</v>
      </c>
      <c r="W464" s="40" t="s">
        <v>0</v>
      </c>
      <c r="X464" s="58">
        <v>300</v>
      </c>
      <c r="Y464" s="55">
        <f>IFERROR(IF(X464="",0,CEILING((X464/$H464),1)*$H464),"")</f>
        <v>306</v>
      </c>
      <c r="Z464" s="41">
        <f>IFERROR(IF(Y464=0,"",ROUNDUP(Y464/H464,0)*0.01898),"")</f>
        <v>0.64532</v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316.46666666666664</v>
      </c>
      <c r="BN464" s="78">
        <f>IFERROR(Y464*I464/H464,"0")</f>
        <v>322.79599999999999</v>
      </c>
      <c r="BO464" s="78">
        <f>IFERROR(1/J464*(X464/H464),"0")</f>
        <v>0.52083333333333337</v>
      </c>
      <c r="BP464" s="78">
        <f>IFERROR(1/J464*(Y464/H464),"0")</f>
        <v>0.53125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713">
        <v>4607091384253</v>
      </c>
      <c r="E465" s="71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5"/>
      <c r="R465" s="715"/>
      <c r="S465" s="715"/>
      <c r="T465" s="716"/>
      <c r="U465" s="39" t="s">
        <v>46</v>
      </c>
      <c r="V465" s="39" t="s">
        <v>46</v>
      </c>
      <c r="W465" s="40" t="s">
        <v>0</v>
      </c>
      <c r="X465" s="58">
        <v>48</v>
      </c>
      <c r="Y465" s="55">
        <f>IFERROR(IF(X465="",0,CEILING((X465/$H465),1)*$H465),"")</f>
        <v>48</v>
      </c>
      <c r="Z465" s="41">
        <f>IFERROR(IF(Y465=0,"",ROUNDUP(Y465/H465,0)*0.00651),"")</f>
        <v>0.13020000000000001</v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53.280000000000008</v>
      </c>
      <c r="BN465" s="78">
        <f>IFERROR(Y465*I465/H465,"0")</f>
        <v>53.280000000000008</v>
      </c>
      <c r="BO465" s="78">
        <f>IFERROR(1/J465*(X465/H465),"0")</f>
        <v>0.1098901098901099</v>
      </c>
      <c r="BP465" s="78">
        <f>IFERROR(1/J465*(Y465/H465),"0")</f>
        <v>0.1098901098901099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713">
        <v>4607091384253</v>
      </c>
      <c r="E466" s="713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5"/>
      <c r="R466" s="715"/>
      <c r="S466" s="715"/>
      <c r="T466" s="7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1"/>
      <c r="B467" s="721"/>
      <c r="C467" s="721"/>
      <c r="D467" s="721"/>
      <c r="E467" s="721"/>
      <c r="F467" s="721"/>
      <c r="G467" s="721"/>
      <c r="H467" s="721"/>
      <c r="I467" s="721"/>
      <c r="J467" s="721"/>
      <c r="K467" s="721"/>
      <c r="L467" s="721"/>
      <c r="M467" s="721"/>
      <c r="N467" s="721"/>
      <c r="O467" s="722"/>
      <c r="P467" s="718" t="s">
        <v>40</v>
      </c>
      <c r="Q467" s="719"/>
      <c r="R467" s="719"/>
      <c r="S467" s="719"/>
      <c r="T467" s="719"/>
      <c r="U467" s="719"/>
      <c r="V467" s="720"/>
      <c r="W467" s="42" t="s">
        <v>39</v>
      </c>
      <c r="X467" s="43">
        <f>IFERROR(X464/H464,"0")+IFERROR(X465/H465,"0")+IFERROR(X466/H466,"0")</f>
        <v>53.333333333333336</v>
      </c>
      <c r="Y467" s="43">
        <f>IFERROR(Y464/H464,"0")+IFERROR(Y465/H465,"0")+IFERROR(Y466/H466,"0")</f>
        <v>54</v>
      </c>
      <c r="Z467" s="43">
        <f>IFERROR(IF(Z464="",0,Z464),"0")+IFERROR(IF(Z465="",0,Z465),"0")+IFERROR(IF(Z466="",0,Z466),"0")</f>
        <v>0.77551999999999999</v>
      </c>
      <c r="AA467" s="67"/>
      <c r="AB467" s="67"/>
      <c r="AC467" s="67"/>
    </row>
    <row r="468" spans="1:68" x14ac:dyDescent="0.2">
      <c r="A468" s="721"/>
      <c r="B468" s="721"/>
      <c r="C468" s="721"/>
      <c r="D468" s="721"/>
      <c r="E468" s="721"/>
      <c r="F468" s="721"/>
      <c r="G468" s="721"/>
      <c r="H468" s="721"/>
      <c r="I468" s="721"/>
      <c r="J468" s="721"/>
      <c r="K468" s="721"/>
      <c r="L468" s="721"/>
      <c r="M468" s="721"/>
      <c r="N468" s="721"/>
      <c r="O468" s="722"/>
      <c r="P468" s="718" t="s">
        <v>40</v>
      </c>
      <c r="Q468" s="719"/>
      <c r="R468" s="719"/>
      <c r="S468" s="719"/>
      <c r="T468" s="719"/>
      <c r="U468" s="719"/>
      <c r="V468" s="720"/>
      <c r="W468" s="42" t="s">
        <v>0</v>
      </c>
      <c r="X468" s="43">
        <f>IFERROR(SUM(X464:X466),"0")</f>
        <v>348</v>
      </c>
      <c r="Y468" s="43">
        <f>IFERROR(SUM(Y464:Y466),"0")</f>
        <v>354</v>
      </c>
      <c r="Z468" s="42"/>
      <c r="AA468" s="67"/>
      <c r="AB468" s="67"/>
      <c r="AC468" s="67"/>
    </row>
    <row r="469" spans="1:68" ht="27.75" customHeight="1" x14ac:dyDescent="0.2">
      <c r="A469" s="710" t="s">
        <v>765</v>
      </c>
      <c r="B469" s="710"/>
      <c r="C469" s="710"/>
      <c r="D469" s="710"/>
      <c r="E469" s="710"/>
      <c r="F469" s="710"/>
      <c r="G469" s="710"/>
      <c r="H469" s="710"/>
      <c r="I469" s="710"/>
      <c r="J469" s="710"/>
      <c r="K469" s="710"/>
      <c r="L469" s="710"/>
      <c r="M469" s="710"/>
      <c r="N469" s="710"/>
      <c r="O469" s="710"/>
      <c r="P469" s="710"/>
      <c r="Q469" s="710"/>
      <c r="R469" s="710"/>
      <c r="S469" s="710"/>
      <c r="T469" s="710"/>
      <c r="U469" s="710"/>
      <c r="V469" s="710"/>
      <c r="W469" s="710"/>
      <c r="X469" s="710"/>
      <c r="Y469" s="710"/>
      <c r="Z469" s="710"/>
      <c r="AA469" s="54"/>
      <c r="AB469" s="54"/>
      <c r="AC469" s="54"/>
    </row>
    <row r="470" spans="1:68" ht="16.5" customHeight="1" x14ac:dyDescent="0.25">
      <c r="A470" s="711" t="s">
        <v>766</v>
      </c>
      <c r="B470" s="711"/>
      <c r="C470" s="711"/>
      <c r="D470" s="711"/>
      <c r="E470" s="711"/>
      <c r="F470" s="711"/>
      <c r="G470" s="711"/>
      <c r="H470" s="711"/>
      <c r="I470" s="711"/>
      <c r="J470" s="711"/>
      <c r="K470" s="711"/>
      <c r="L470" s="711"/>
      <c r="M470" s="711"/>
      <c r="N470" s="711"/>
      <c r="O470" s="711"/>
      <c r="P470" s="711"/>
      <c r="Q470" s="711"/>
      <c r="R470" s="711"/>
      <c r="S470" s="711"/>
      <c r="T470" s="711"/>
      <c r="U470" s="711"/>
      <c r="V470" s="711"/>
      <c r="W470" s="711"/>
      <c r="X470" s="711"/>
      <c r="Y470" s="711"/>
      <c r="Z470" s="711"/>
      <c r="AA470" s="65"/>
      <c r="AB470" s="65"/>
      <c r="AC470" s="79"/>
    </row>
    <row r="471" spans="1:68" ht="14.25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713">
        <v>4680115886100</v>
      </c>
      <c r="E472" s="71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713">
        <v>4680115886124</v>
      </c>
      <c r="E473" s="713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5"/>
      <c r="R473" s="715"/>
      <c r="S473" s="715"/>
      <c r="T473" s="71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713">
        <v>4607091384338</v>
      </c>
      <c r="E474" s="713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5"/>
      <c r="R474" s="715"/>
      <c r="S474" s="715"/>
      <c r="T474" s="7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713">
        <v>4680115883161</v>
      </c>
      <c r="E475" s="713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5"/>
      <c r="R475" s="715"/>
      <c r="S475" s="715"/>
      <c r="T475" s="7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713">
        <v>4607091389531</v>
      </c>
      <c r="E476" s="71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713">
        <v>4607091384345</v>
      </c>
      <c r="E477" s="71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721"/>
      <c r="B478" s="721"/>
      <c r="C478" s="721"/>
      <c r="D478" s="721"/>
      <c r="E478" s="721"/>
      <c r="F478" s="721"/>
      <c r="G478" s="721"/>
      <c r="H478" s="721"/>
      <c r="I478" s="721"/>
      <c r="J478" s="721"/>
      <c r="K478" s="721"/>
      <c r="L478" s="721"/>
      <c r="M478" s="721"/>
      <c r="N478" s="721"/>
      <c r="O478" s="722"/>
      <c r="P478" s="718" t="s">
        <v>40</v>
      </c>
      <c r="Q478" s="719"/>
      <c r="R478" s="719"/>
      <c r="S478" s="719"/>
      <c r="T478" s="719"/>
      <c r="U478" s="719"/>
      <c r="V478" s="72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712" t="s">
        <v>86</v>
      </c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2"/>
      <c r="P480" s="712"/>
      <c r="Q480" s="712"/>
      <c r="R480" s="712"/>
      <c r="S480" s="712"/>
      <c r="T480" s="712"/>
      <c r="U480" s="712"/>
      <c r="V480" s="712"/>
      <c r="W480" s="712"/>
      <c r="X480" s="712"/>
      <c r="Y480" s="712"/>
      <c r="Z480" s="712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713">
        <v>4607091384352</v>
      </c>
      <c r="E481" s="713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5"/>
      <c r="R481" s="715"/>
      <c r="S481" s="715"/>
      <c r="T481" s="71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713">
        <v>4607091389654</v>
      </c>
      <c r="E482" s="713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5"/>
      <c r="R482" s="715"/>
      <c r="S482" s="715"/>
      <c r="T482" s="716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721"/>
      <c r="B483" s="721"/>
      <c r="C483" s="721"/>
      <c r="D483" s="721"/>
      <c r="E483" s="721"/>
      <c r="F483" s="721"/>
      <c r="G483" s="721"/>
      <c r="H483" s="721"/>
      <c r="I483" s="721"/>
      <c r="J483" s="721"/>
      <c r="K483" s="721"/>
      <c r="L483" s="721"/>
      <c r="M483" s="721"/>
      <c r="N483" s="721"/>
      <c r="O483" s="722"/>
      <c r="P483" s="718" t="s">
        <v>40</v>
      </c>
      <c r="Q483" s="719"/>
      <c r="R483" s="719"/>
      <c r="S483" s="719"/>
      <c r="T483" s="719"/>
      <c r="U483" s="719"/>
      <c r="V483" s="72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721"/>
      <c r="B484" s="721"/>
      <c r="C484" s="721"/>
      <c r="D484" s="721"/>
      <c r="E484" s="721"/>
      <c r="F484" s="721"/>
      <c r="G484" s="721"/>
      <c r="H484" s="721"/>
      <c r="I484" s="721"/>
      <c r="J484" s="721"/>
      <c r="K484" s="721"/>
      <c r="L484" s="721"/>
      <c r="M484" s="721"/>
      <c r="N484" s="721"/>
      <c r="O484" s="722"/>
      <c r="P484" s="718" t="s">
        <v>40</v>
      </c>
      <c r="Q484" s="719"/>
      <c r="R484" s="719"/>
      <c r="S484" s="719"/>
      <c r="T484" s="719"/>
      <c r="U484" s="719"/>
      <c r="V484" s="72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711" t="s">
        <v>789</v>
      </c>
      <c r="B485" s="711"/>
      <c r="C485" s="711"/>
      <c r="D485" s="711"/>
      <c r="E485" s="711"/>
      <c r="F485" s="711"/>
      <c r="G485" s="711"/>
      <c r="H485" s="711"/>
      <c r="I485" s="711"/>
      <c r="J485" s="711"/>
      <c r="K485" s="711"/>
      <c r="L485" s="711"/>
      <c r="M485" s="711"/>
      <c r="N485" s="711"/>
      <c r="O485" s="711"/>
      <c r="P485" s="711"/>
      <c r="Q485" s="711"/>
      <c r="R485" s="711"/>
      <c r="S485" s="711"/>
      <c r="T485" s="711"/>
      <c r="U485" s="711"/>
      <c r="V485" s="711"/>
      <c r="W485" s="711"/>
      <c r="X485" s="711"/>
      <c r="Y485" s="711"/>
      <c r="Z485" s="711"/>
      <c r="AA485" s="65"/>
      <c r="AB485" s="65"/>
      <c r="AC485" s="79"/>
    </row>
    <row r="486" spans="1:68" ht="14.25" customHeight="1" x14ac:dyDescent="0.25">
      <c r="A486" s="712" t="s">
        <v>158</v>
      </c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2"/>
      <c r="P486" s="712"/>
      <c r="Q486" s="712"/>
      <c r="R486" s="712"/>
      <c r="S486" s="712"/>
      <c r="T486" s="712"/>
      <c r="U486" s="712"/>
      <c r="V486" s="712"/>
      <c r="W486" s="712"/>
      <c r="X486" s="712"/>
      <c r="Y486" s="712"/>
      <c r="Z486" s="712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713">
        <v>4680115885240</v>
      </c>
      <c r="E487" s="713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21"/>
      <c r="B488" s="721"/>
      <c r="C488" s="721"/>
      <c r="D488" s="721"/>
      <c r="E488" s="721"/>
      <c r="F488" s="721"/>
      <c r="G488" s="721"/>
      <c r="H488" s="721"/>
      <c r="I488" s="721"/>
      <c r="J488" s="721"/>
      <c r="K488" s="721"/>
      <c r="L488" s="721"/>
      <c r="M488" s="721"/>
      <c r="N488" s="721"/>
      <c r="O488" s="722"/>
      <c r="P488" s="718" t="s">
        <v>40</v>
      </c>
      <c r="Q488" s="719"/>
      <c r="R488" s="719"/>
      <c r="S488" s="719"/>
      <c r="T488" s="719"/>
      <c r="U488" s="719"/>
      <c r="V488" s="72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721"/>
      <c r="B489" s="721"/>
      <c r="C489" s="721"/>
      <c r="D489" s="721"/>
      <c r="E489" s="721"/>
      <c r="F489" s="721"/>
      <c r="G489" s="721"/>
      <c r="H489" s="721"/>
      <c r="I489" s="721"/>
      <c r="J489" s="721"/>
      <c r="K489" s="721"/>
      <c r="L489" s="721"/>
      <c r="M489" s="721"/>
      <c r="N489" s="721"/>
      <c r="O489" s="722"/>
      <c r="P489" s="718" t="s">
        <v>40</v>
      </c>
      <c r="Q489" s="719"/>
      <c r="R489" s="719"/>
      <c r="S489" s="719"/>
      <c r="T489" s="719"/>
      <c r="U489" s="719"/>
      <c r="V489" s="72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712" t="s">
        <v>77</v>
      </c>
      <c r="B490" s="712"/>
      <c r="C490" s="712"/>
      <c r="D490" s="712"/>
      <c r="E490" s="712"/>
      <c r="F490" s="712"/>
      <c r="G490" s="712"/>
      <c r="H490" s="712"/>
      <c r="I490" s="712"/>
      <c r="J490" s="712"/>
      <c r="K490" s="712"/>
      <c r="L490" s="712"/>
      <c r="M490" s="712"/>
      <c r="N490" s="712"/>
      <c r="O490" s="712"/>
      <c r="P490" s="712"/>
      <c r="Q490" s="712"/>
      <c r="R490" s="712"/>
      <c r="S490" s="712"/>
      <c r="T490" s="712"/>
      <c r="U490" s="712"/>
      <c r="V490" s="712"/>
      <c r="W490" s="712"/>
      <c r="X490" s="712"/>
      <c r="Y490" s="712"/>
      <c r="Z490" s="712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713">
        <v>4680115886094</v>
      </c>
      <c r="E491" s="713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5"/>
      <c r="R491" s="715"/>
      <c r="S491" s="715"/>
      <c r="T491" s="71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713">
        <v>4680115880771</v>
      </c>
      <c r="E492" s="713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5"/>
      <c r="R492" s="715"/>
      <c r="S492" s="715"/>
      <c r="T492" s="71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713">
        <v>4607091389500</v>
      </c>
      <c r="E493" s="713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710" t="s">
        <v>801</v>
      </c>
      <c r="B496" s="710"/>
      <c r="C496" s="710"/>
      <c r="D496" s="710"/>
      <c r="E496" s="710"/>
      <c r="F496" s="710"/>
      <c r="G496" s="710"/>
      <c r="H496" s="710"/>
      <c r="I496" s="710"/>
      <c r="J496" s="710"/>
      <c r="K496" s="710"/>
      <c r="L496" s="710"/>
      <c r="M496" s="710"/>
      <c r="N496" s="710"/>
      <c r="O496" s="710"/>
      <c r="P496" s="710"/>
      <c r="Q496" s="710"/>
      <c r="R496" s="710"/>
      <c r="S496" s="710"/>
      <c r="T496" s="710"/>
      <c r="U496" s="710"/>
      <c r="V496" s="710"/>
      <c r="W496" s="710"/>
      <c r="X496" s="710"/>
      <c r="Y496" s="710"/>
      <c r="Z496" s="710"/>
      <c r="AA496" s="54"/>
      <c r="AB496" s="54"/>
      <c r="AC496" s="54"/>
    </row>
    <row r="497" spans="1:68" ht="16.5" customHeight="1" x14ac:dyDescent="0.25">
      <c r="A497" s="711" t="s">
        <v>801</v>
      </c>
      <c r="B497" s="711"/>
      <c r="C497" s="711"/>
      <c r="D497" s="711"/>
      <c r="E497" s="711"/>
      <c r="F497" s="711"/>
      <c r="G497" s="711"/>
      <c r="H497" s="711"/>
      <c r="I497" s="711"/>
      <c r="J497" s="711"/>
      <c r="K497" s="711"/>
      <c r="L497" s="711"/>
      <c r="M497" s="711"/>
      <c r="N497" s="711"/>
      <c r="O497" s="711"/>
      <c r="P497" s="711"/>
      <c r="Q497" s="711"/>
      <c r="R497" s="711"/>
      <c r="S497" s="711"/>
      <c r="T497" s="711"/>
      <c r="U497" s="711"/>
      <c r="V497" s="711"/>
      <c r="W497" s="711"/>
      <c r="X497" s="711"/>
      <c r="Y497" s="711"/>
      <c r="Z497" s="711"/>
      <c r="AA497" s="65"/>
      <c r="AB497" s="65"/>
      <c r="AC497" s="79"/>
    </row>
    <row r="498" spans="1:68" ht="14.25" customHeight="1" x14ac:dyDescent="0.25">
      <c r="A498" s="712" t="s">
        <v>122</v>
      </c>
      <c r="B498" s="712"/>
      <c r="C498" s="712"/>
      <c r="D498" s="712"/>
      <c r="E498" s="712"/>
      <c r="F498" s="712"/>
      <c r="G498" s="712"/>
      <c r="H498" s="712"/>
      <c r="I498" s="712"/>
      <c r="J498" s="712"/>
      <c r="K498" s="712"/>
      <c r="L498" s="712"/>
      <c r="M498" s="712"/>
      <c r="N498" s="712"/>
      <c r="O498" s="712"/>
      <c r="P498" s="712"/>
      <c r="Q498" s="712"/>
      <c r="R498" s="712"/>
      <c r="S498" s="712"/>
      <c r="T498" s="712"/>
      <c r="U498" s="712"/>
      <c r="V498" s="712"/>
      <c r="W498" s="712"/>
      <c r="X498" s="712"/>
      <c r="Y498" s="712"/>
      <c r="Z498" s="712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713">
        <v>4607091389067</v>
      </c>
      <c r="E499" s="71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5"/>
      <c r="R499" s="715"/>
      <c r="S499" s="715"/>
      <c r="T499" s="716"/>
      <c r="U499" s="39" t="s">
        <v>46</v>
      </c>
      <c r="V499" s="39" t="s">
        <v>46</v>
      </c>
      <c r="W499" s="40" t="s">
        <v>0</v>
      </c>
      <c r="X499" s="58">
        <v>50</v>
      </c>
      <c r="Y499" s="55">
        <f t="shared" ref="Y499:Y507" si="63">IFERROR(IF(X499="",0,CEILING((X499/$H499),1)*$H499),"")</f>
        <v>52.800000000000004</v>
      </c>
      <c r="Z499" s="41">
        <f t="shared" ref="Z499:Z504" si="64">IFERROR(IF(Y499=0,"",ROUNDUP(Y499/H499,0)*0.01196),"")</f>
        <v>0.1196</v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53.314393939393938</v>
      </c>
      <c r="BN499" s="78">
        <f t="shared" ref="BN499:BN507" si="66">IFERROR(Y499*I499/H499,"0")</f>
        <v>56.3</v>
      </c>
      <c r="BO499" s="78">
        <f t="shared" ref="BO499:BO507" si="67">IFERROR(1/J499*(X499/H499),"0")</f>
        <v>9.1054778554778545E-2</v>
      </c>
      <c r="BP499" s="78">
        <f t="shared" ref="BP499:BP507" si="68">IFERROR(1/J499*(Y499/H499),"0")</f>
        <v>9.6153846153846159E-2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713">
        <v>4680115889576</v>
      </c>
      <c r="E500" s="71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7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5"/>
      <c r="R500" s="715"/>
      <c r="S500" s="715"/>
      <c r="T500" s="71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713">
        <v>4680115885271</v>
      </c>
      <c r="E501" s="71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5"/>
      <c r="R501" s="715"/>
      <c r="S501" s="715"/>
      <c r="T501" s="716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3"/>
        <v>31.68</v>
      </c>
      <c r="Z501" s="41">
        <f t="shared" si="64"/>
        <v>7.1760000000000004E-2</v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31.988636363636363</v>
      </c>
      <c r="BN501" s="78">
        <f t="shared" si="66"/>
        <v>33.779999999999994</v>
      </c>
      <c r="BO501" s="78">
        <f t="shared" si="67"/>
        <v>5.4632867132867136E-2</v>
      </c>
      <c r="BP501" s="78">
        <f t="shared" si="68"/>
        <v>5.7692307692307696E-2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713">
        <v>4680115885226</v>
      </c>
      <c r="E502" s="71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63"/>
        <v>121.44000000000001</v>
      </c>
      <c r="Z502" s="41">
        <f t="shared" si="64"/>
        <v>0.27507999999999999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127.95454545454545</v>
      </c>
      <c r="BN502" s="78">
        <f t="shared" si="66"/>
        <v>129.49</v>
      </c>
      <c r="BO502" s="78">
        <f t="shared" si="67"/>
        <v>0.21853146853146854</v>
      </c>
      <c r="BP502" s="78">
        <f t="shared" si="68"/>
        <v>0.22115384615384617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713">
        <v>4680115884502</v>
      </c>
      <c r="E503" s="71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713">
        <v>4607091389104</v>
      </c>
      <c r="E504" s="71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150</v>
      </c>
      <c r="Y504" s="55">
        <f t="shared" si="63"/>
        <v>153.12</v>
      </c>
      <c r="Z504" s="41">
        <f t="shared" si="64"/>
        <v>0.34683999999999998</v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159.94318181818181</v>
      </c>
      <c r="BN504" s="78">
        <f t="shared" si="66"/>
        <v>163.26999999999998</v>
      </c>
      <c r="BO504" s="78">
        <f t="shared" si="67"/>
        <v>0.27316433566433568</v>
      </c>
      <c r="BP504" s="78">
        <f t="shared" si="68"/>
        <v>0.27884615384615385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713">
        <v>4680115886391</v>
      </c>
      <c r="E505" s="713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5"/>
      <c r="R505" s="715"/>
      <c r="S505" s="715"/>
      <c r="T505" s="71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713">
        <v>4680115880603</v>
      </c>
      <c r="E506" s="71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5"/>
      <c r="R506" s="715"/>
      <c r="S506" s="715"/>
      <c r="T506" s="71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713">
        <v>4607091389982</v>
      </c>
      <c r="E507" s="713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5"/>
      <c r="R507" s="715"/>
      <c r="S507" s="715"/>
      <c r="T507" s="71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721"/>
      <c r="B508" s="721"/>
      <c r="C508" s="721"/>
      <c r="D508" s="721"/>
      <c r="E508" s="721"/>
      <c r="F508" s="721"/>
      <c r="G508" s="721"/>
      <c r="H508" s="721"/>
      <c r="I508" s="721"/>
      <c r="J508" s="721"/>
      <c r="K508" s="721"/>
      <c r="L508" s="721"/>
      <c r="M508" s="721"/>
      <c r="N508" s="721"/>
      <c r="O508" s="722"/>
      <c r="P508" s="718" t="s">
        <v>40</v>
      </c>
      <c r="Q508" s="719"/>
      <c r="R508" s="719"/>
      <c r="S508" s="719"/>
      <c r="T508" s="719"/>
      <c r="U508" s="719"/>
      <c r="V508" s="72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66.287878787878782</v>
      </c>
      <c r="Y508" s="43">
        <f>IFERROR(Y499/H499,"0")+IFERROR(Y500/H500,"0")+IFERROR(Y501/H501,"0")+IFERROR(Y502/H502,"0")+IFERROR(Y503/H503,"0")+IFERROR(Y504/H504,"0")+IFERROR(Y505/H505,"0")+IFERROR(Y506/H506,"0")+IFERROR(Y507/H507,"0")</f>
        <v>68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0.81328</v>
      </c>
      <c r="AA508" s="67"/>
      <c r="AB508" s="67"/>
      <c r="AC508" s="67"/>
    </row>
    <row r="509" spans="1:68" x14ac:dyDescent="0.2">
      <c r="A509" s="721"/>
      <c r="B509" s="721"/>
      <c r="C509" s="721"/>
      <c r="D509" s="721"/>
      <c r="E509" s="721"/>
      <c r="F509" s="721"/>
      <c r="G509" s="721"/>
      <c r="H509" s="721"/>
      <c r="I509" s="721"/>
      <c r="J509" s="721"/>
      <c r="K509" s="721"/>
      <c r="L509" s="721"/>
      <c r="M509" s="721"/>
      <c r="N509" s="721"/>
      <c r="O509" s="722"/>
      <c r="P509" s="718" t="s">
        <v>40</v>
      </c>
      <c r="Q509" s="719"/>
      <c r="R509" s="719"/>
      <c r="S509" s="719"/>
      <c r="T509" s="719"/>
      <c r="U509" s="719"/>
      <c r="V509" s="720"/>
      <c r="W509" s="42" t="s">
        <v>0</v>
      </c>
      <c r="X509" s="43">
        <f>IFERROR(SUM(X499:X507),"0")</f>
        <v>350</v>
      </c>
      <c r="Y509" s="43">
        <f>IFERROR(SUM(Y499:Y507),"0")</f>
        <v>359.04</v>
      </c>
      <c r="Z509" s="42"/>
      <c r="AA509" s="67"/>
      <c r="AB509" s="67"/>
      <c r="AC509" s="67"/>
    </row>
    <row r="510" spans="1:68" ht="14.25" customHeight="1" x14ac:dyDescent="0.25">
      <c r="A510" s="712" t="s">
        <v>158</v>
      </c>
      <c r="B510" s="712"/>
      <c r="C510" s="712"/>
      <c r="D510" s="712"/>
      <c r="E510" s="712"/>
      <c r="F510" s="712"/>
      <c r="G510" s="712"/>
      <c r="H510" s="712"/>
      <c r="I510" s="712"/>
      <c r="J510" s="712"/>
      <c r="K510" s="712"/>
      <c r="L510" s="712"/>
      <c r="M510" s="712"/>
      <c r="N510" s="712"/>
      <c r="O510" s="712"/>
      <c r="P510" s="712"/>
      <c r="Q510" s="712"/>
      <c r="R510" s="712"/>
      <c r="S510" s="712"/>
      <c r="T510" s="712"/>
      <c r="U510" s="712"/>
      <c r="V510" s="712"/>
      <c r="W510" s="712"/>
      <c r="X510" s="712"/>
      <c r="Y510" s="712"/>
      <c r="Z510" s="712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713">
        <v>4607091388930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100</v>
      </c>
      <c r="Y511" s="55">
        <f>IFERROR(IF(X511="",0,CEILING((X511/$H511),1)*$H511),"")</f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106.62878787878788</v>
      </c>
      <c r="BN511" s="78">
        <f>IFERROR(Y511*I511/H511,"0")</f>
        <v>106.97</v>
      </c>
      <c r="BO511" s="78">
        <f>IFERROR(1/J511*(X511/H511),"0")</f>
        <v>0.18210955710955709</v>
      </c>
      <c r="BP511" s="78">
        <f>IFERROR(1/J511*(Y511/H511),"0")</f>
        <v>0.18269230769230771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713">
        <v>4680115886407</v>
      </c>
      <c r="E512" s="713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713">
        <v>4680115880054</v>
      </c>
      <c r="E513" s="71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1"/>
      <c r="B514" s="721"/>
      <c r="C514" s="721"/>
      <c r="D514" s="721"/>
      <c r="E514" s="721"/>
      <c r="F514" s="721"/>
      <c r="G514" s="721"/>
      <c r="H514" s="721"/>
      <c r="I514" s="721"/>
      <c r="J514" s="721"/>
      <c r="K514" s="721"/>
      <c r="L514" s="721"/>
      <c r="M514" s="721"/>
      <c r="N514" s="721"/>
      <c r="O514" s="722"/>
      <c r="P514" s="718" t="s">
        <v>40</v>
      </c>
      <c r="Q514" s="719"/>
      <c r="R514" s="719"/>
      <c r="S514" s="719"/>
      <c r="T514" s="719"/>
      <c r="U514" s="719"/>
      <c r="V514" s="720"/>
      <c r="W514" s="42" t="s">
        <v>39</v>
      </c>
      <c r="X514" s="43">
        <f>IFERROR(X511/H511,"0")+IFERROR(X512/H512,"0")+IFERROR(X513/H513,"0")</f>
        <v>18.939393939393938</v>
      </c>
      <c r="Y514" s="43">
        <f>IFERROR(Y511/H511,"0")+IFERROR(Y512/H512,"0")+IFERROR(Y513/H513,"0")</f>
        <v>19</v>
      </c>
      <c r="Z514" s="43">
        <f>IFERROR(IF(Z511="",0,Z511),"0")+IFERROR(IF(Z512="",0,Z512),"0")+IFERROR(IF(Z513="",0,Z513),"0")</f>
        <v>0.22724</v>
      </c>
      <c r="AA514" s="67"/>
      <c r="AB514" s="67"/>
      <c r="AC514" s="67"/>
    </row>
    <row r="515" spans="1:68" x14ac:dyDescent="0.2">
      <c r="A515" s="721"/>
      <c r="B515" s="721"/>
      <c r="C515" s="721"/>
      <c r="D515" s="721"/>
      <c r="E515" s="721"/>
      <c r="F515" s="721"/>
      <c r="G515" s="721"/>
      <c r="H515" s="721"/>
      <c r="I515" s="721"/>
      <c r="J515" s="721"/>
      <c r="K515" s="721"/>
      <c r="L515" s="721"/>
      <c r="M515" s="721"/>
      <c r="N515" s="721"/>
      <c r="O515" s="722"/>
      <c r="P515" s="718" t="s">
        <v>40</v>
      </c>
      <c r="Q515" s="719"/>
      <c r="R515" s="719"/>
      <c r="S515" s="719"/>
      <c r="T515" s="719"/>
      <c r="U515" s="719"/>
      <c r="V515" s="720"/>
      <c r="W515" s="42" t="s">
        <v>0</v>
      </c>
      <c r="X515" s="43">
        <f>IFERROR(SUM(X511:X513),"0")</f>
        <v>100</v>
      </c>
      <c r="Y515" s="43">
        <f>IFERROR(SUM(Y511:Y513),"0")</f>
        <v>100.32000000000001</v>
      </c>
      <c r="Z515" s="42"/>
      <c r="AA515" s="67"/>
      <c r="AB515" s="67"/>
      <c r="AC515" s="67"/>
    </row>
    <row r="516" spans="1:68" ht="14.25" customHeight="1" x14ac:dyDescent="0.25">
      <c r="A516" s="712" t="s">
        <v>77</v>
      </c>
      <c r="B516" s="712"/>
      <c r="C516" s="712"/>
      <c r="D516" s="712"/>
      <c r="E516" s="712"/>
      <c r="F516" s="712"/>
      <c r="G516" s="712"/>
      <c r="H516" s="712"/>
      <c r="I516" s="712"/>
      <c r="J516" s="712"/>
      <c r="K516" s="712"/>
      <c r="L516" s="712"/>
      <c r="M516" s="712"/>
      <c r="N516" s="712"/>
      <c r="O516" s="712"/>
      <c r="P516" s="712"/>
      <c r="Q516" s="712"/>
      <c r="R516" s="712"/>
      <c r="S516" s="712"/>
      <c r="T516" s="712"/>
      <c r="U516" s="712"/>
      <c r="V516" s="712"/>
      <c r="W516" s="712"/>
      <c r="X516" s="712"/>
      <c r="Y516" s="712"/>
      <c r="Z516" s="712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713">
        <v>4680115883116</v>
      </c>
      <c r="E517" s="71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50</v>
      </c>
      <c r="Y517" s="55">
        <f t="shared" ref="Y517:Y523" si="69"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53.314393939393938</v>
      </c>
      <c r="BN517" s="78">
        <f t="shared" ref="BN517:BN523" si="71">IFERROR(Y517*I517/H517,"0")</f>
        <v>56.3</v>
      </c>
      <c r="BO517" s="78">
        <f t="shared" ref="BO517:BO523" si="72">IFERROR(1/J517*(X517/H517),"0")</f>
        <v>9.1054778554778545E-2</v>
      </c>
      <c r="BP517" s="78">
        <f t="shared" ref="BP517:BP523" si="73">IFERROR(1/J517*(Y517/H517),"0")</f>
        <v>9.6153846153846159E-2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713">
        <v>4680115883093</v>
      </c>
      <c r="E518" s="71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5"/>
      <c r="R518" s="715"/>
      <c r="S518" s="715"/>
      <c r="T518" s="716"/>
      <c r="U518" s="39" t="s">
        <v>46</v>
      </c>
      <c r="V518" s="39" t="s">
        <v>46</v>
      </c>
      <c r="W518" s="40" t="s">
        <v>0</v>
      </c>
      <c r="X518" s="58">
        <v>70</v>
      </c>
      <c r="Y518" s="55">
        <f t="shared" si="69"/>
        <v>73.92</v>
      </c>
      <c r="Z518" s="41">
        <f>IFERROR(IF(Y518=0,"",ROUNDUP(Y518/H518,0)*0.01196),"")</f>
        <v>0.16744000000000001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74.640151515151501</v>
      </c>
      <c r="BN518" s="78">
        <f t="shared" si="71"/>
        <v>78.819999999999993</v>
      </c>
      <c r="BO518" s="78">
        <f t="shared" si="72"/>
        <v>0.12747668997668998</v>
      </c>
      <c r="BP518" s="78">
        <f t="shared" si="73"/>
        <v>0.13461538461538464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713">
        <v>4680115883109</v>
      </c>
      <c r="E519" s="713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5"/>
      <c r="R519" s="715"/>
      <c r="S519" s="715"/>
      <c r="T519" s="716"/>
      <c r="U519" s="39" t="s">
        <v>46</v>
      </c>
      <c r="V519" s="39" t="s">
        <v>46</v>
      </c>
      <c r="W519" s="40" t="s">
        <v>0</v>
      </c>
      <c r="X519" s="58">
        <v>50</v>
      </c>
      <c r="Y519" s="55">
        <f t="shared" si="69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53.314393939393938</v>
      </c>
      <c r="BN519" s="78">
        <f t="shared" si="71"/>
        <v>56.3</v>
      </c>
      <c r="BO519" s="78">
        <f t="shared" si="72"/>
        <v>9.1054778554778545E-2</v>
      </c>
      <c r="BP519" s="78">
        <f t="shared" si="73"/>
        <v>9.6153846153846159E-2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713">
        <v>4680115882072</v>
      </c>
      <c r="E520" s="713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5"/>
      <c r="R520" s="715"/>
      <c r="S520" s="715"/>
      <c r="T520" s="71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713">
        <v>4680115882102</v>
      </c>
      <c r="E521" s="713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713">
        <v>4680115882102</v>
      </c>
      <c r="E522" s="71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713">
        <v>4680115882096</v>
      </c>
      <c r="E523" s="713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IFERROR(X517/H517,"0")+IFERROR(X518/H518,"0")+IFERROR(X519/H519,"0")+IFERROR(X520/H520,"0")+IFERROR(X521/H521,"0")+IFERROR(X522/H522,"0")+IFERROR(X523/H523,"0")</f>
        <v>32.196969696969695</v>
      </c>
      <c r="Y524" s="43">
        <f>IFERROR(Y517/H517,"0")+IFERROR(Y518/H518,"0")+IFERROR(Y519/H519,"0")+IFERROR(Y520/H520,"0")+IFERROR(Y521/H521,"0")+IFERROR(Y522/H522,"0")+IFERROR(Y523/H523,"0")</f>
        <v>34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0.40664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IFERROR(SUM(X517:X523),"0")</f>
        <v>170</v>
      </c>
      <c r="Y525" s="43">
        <f>IFERROR(SUM(Y517:Y523),"0")</f>
        <v>179.52</v>
      </c>
      <c r="Z525" s="42"/>
      <c r="AA525" s="67"/>
      <c r="AB525" s="67"/>
      <c r="AC525" s="67"/>
    </row>
    <row r="526" spans="1:68" ht="27.75" customHeight="1" x14ac:dyDescent="0.2">
      <c r="A526" s="710" t="s">
        <v>848</v>
      </c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0"/>
      <c r="P526" s="710"/>
      <c r="Q526" s="710"/>
      <c r="R526" s="710"/>
      <c r="S526" s="710"/>
      <c r="T526" s="710"/>
      <c r="U526" s="710"/>
      <c r="V526" s="710"/>
      <c r="W526" s="710"/>
      <c r="X526" s="710"/>
      <c r="Y526" s="710"/>
      <c r="Z526" s="710"/>
      <c r="AA526" s="54"/>
      <c r="AB526" s="54"/>
      <c r="AC526" s="54"/>
    </row>
    <row r="527" spans="1:68" ht="16.5" customHeight="1" x14ac:dyDescent="0.25">
      <c r="A527" s="711" t="s">
        <v>848</v>
      </c>
      <c r="B527" s="711"/>
      <c r="C527" s="711"/>
      <c r="D527" s="711"/>
      <c r="E527" s="711"/>
      <c r="F527" s="711"/>
      <c r="G527" s="711"/>
      <c r="H527" s="711"/>
      <c r="I527" s="711"/>
      <c r="J527" s="711"/>
      <c r="K527" s="711"/>
      <c r="L527" s="711"/>
      <c r="M527" s="711"/>
      <c r="N527" s="711"/>
      <c r="O527" s="711"/>
      <c r="P527" s="711"/>
      <c r="Q527" s="711"/>
      <c r="R527" s="711"/>
      <c r="S527" s="711"/>
      <c r="T527" s="711"/>
      <c r="U527" s="711"/>
      <c r="V527" s="711"/>
      <c r="W527" s="711"/>
      <c r="X527" s="711"/>
      <c r="Y527" s="711"/>
      <c r="Z527" s="711"/>
      <c r="AA527" s="65"/>
      <c r="AB527" s="65"/>
      <c r="AC527" s="79"/>
    </row>
    <row r="528" spans="1:68" ht="14.25" customHeight="1" x14ac:dyDescent="0.25">
      <c r="A528" s="712" t="s">
        <v>122</v>
      </c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2"/>
      <c r="P528" s="712"/>
      <c r="Q528" s="712"/>
      <c r="R528" s="712"/>
      <c r="S528" s="712"/>
      <c r="T528" s="712"/>
      <c r="U528" s="712"/>
      <c r="V528" s="712"/>
      <c r="W528" s="712"/>
      <c r="X528" s="712"/>
      <c r="Y528" s="712"/>
      <c r="Z528" s="712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713">
        <v>4640242180564</v>
      </c>
      <c r="E529" s="713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99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21"/>
      <c r="B530" s="721"/>
      <c r="C530" s="721"/>
      <c r="D530" s="721"/>
      <c r="E530" s="721"/>
      <c r="F530" s="721"/>
      <c r="G530" s="721"/>
      <c r="H530" s="721"/>
      <c r="I530" s="721"/>
      <c r="J530" s="721"/>
      <c r="K530" s="721"/>
      <c r="L530" s="721"/>
      <c r="M530" s="721"/>
      <c r="N530" s="721"/>
      <c r="O530" s="722"/>
      <c r="P530" s="718" t="s">
        <v>40</v>
      </c>
      <c r="Q530" s="719"/>
      <c r="R530" s="719"/>
      <c r="S530" s="719"/>
      <c r="T530" s="719"/>
      <c r="U530" s="719"/>
      <c r="V530" s="72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21"/>
      <c r="B531" s="721"/>
      <c r="C531" s="721"/>
      <c r="D531" s="721"/>
      <c r="E531" s="721"/>
      <c r="F531" s="721"/>
      <c r="G531" s="721"/>
      <c r="H531" s="721"/>
      <c r="I531" s="721"/>
      <c r="J531" s="721"/>
      <c r="K531" s="721"/>
      <c r="L531" s="721"/>
      <c r="M531" s="721"/>
      <c r="N531" s="721"/>
      <c r="O531" s="722"/>
      <c r="P531" s="718" t="s">
        <v>40</v>
      </c>
      <c r="Q531" s="719"/>
      <c r="R531" s="719"/>
      <c r="S531" s="719"/>
      <c r="T531" s="719"/>
      <c r="U531" s="719"/>
      <c r="V531" s="72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712" t="s">
        <v>158</v>
      </c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2"/>
      <c r="P532" s="712"/>
      <c r="Q532" s="712"/>
      <c r="R532" s="712"/>
      <c r="S532" s="712"/>
      <c r="T532" s="712"/>
      <c r="U532" s="712"/>
      <c r="V532" s="712"/>
      <c r="W532" s="712"/>
      <c r="X532" s="712"/>
      <c r="Y532" s="712"/>
      <c r="Z532" s="712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713">
        <v>4640242180519</v>
      </c>
      <c r="E533" s="713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9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12" t="s">
        <v>77</v>
      </c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2"/>
      <c r="P536" s="712"/>
      <c r="Q536" s="712"/>
      <c r="R536" s="712"/>
      <c r="S536" s="712"/>
      <c r="T536" s="712"/>
      <c r="U536" s="712"/>
      <c r="V536" s="712"/>
      <c r="W536" s="712"/>
      <c r="X536" s="712"/>
      <c r="Y536" s="712"/>
      <c r="Z536" s="712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713">
        <v>4640242180595</v>
      </c>
      <c r="E537" s="713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9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5"/>
      <c r="R537" s="715"/>
      <c r="S537" s="715"/>
      <c r="T537" s="716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21"/>
      <c r="B538" s="721"/>
      <c r="C538" s="721"/>
      <c r="D538" s="721"/>
      <c r="E538" s="721"/>
      <c r="F538" s="721"/>
      <c r="G538" s="721"/>
      <c r="H538" s="721"/>
      <c r="I538" s="721"/>
      <c r="J538" s="721"/>
      <c r="K538" s="721"/>
      <c r="L538" s="721"/>
      <c r="M538" s="721"/>
      <c r="N538" s="721"/>
      <c r="O538" s="722"/>
      <c r="P538" s="718" t="s">
        <v>40</v>
      </c>
      <c r="Q538" s="719"/>
      <c r="R538" s="719"/>
      <c r="S538" s="719"/>
      <c r="T538" s="719"/>
      <c r="U538" s="719"/>
      <c r="V538" s="72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21"/>
      <c r="B539" s="721"/>
      <c r="C539" s="721"/>
      <c r="D539" s="721"/>
      <c r="E539" s="721"/>
      <c r="F539" s="721"/>
      <c r="G539" s="721"/>
      <c r="H539" s="721"/>
      <c r="I539" s="721"/>
      <c r="J539" s="721"/>
      <c r="K539" s="721"/>
      <c r="L539" s="721"/>
      <c r="M539" s="721"/>
      <c r="N539" s="721"/>
      <c r="O539" s="722"/>
      <c r="P539" s="718" t="s">
        <v>40</v>
      </c>
      <c r="Q539" s="719"/>
      <c r="R539" s="719"/>
      <c r="S539" s="719"/>
      <c r="T539" s="719"/>
      <c r="U539" s="719"/>
      <c r="V539" s="72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12" t="s">
        <v>86</v>
      </c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2"/>
      <c r="P540" s="712"/>
      <c r="Q540" s="712"/>
      <c r="R540" s="712"/>
      <c r="S540" s="712"/>
      <c r="T540" s="712"/>
      <c r="U540" s="712"/>
      <c r="V540" s="712"/>
      <c r="W540" s="712"/>
      <c r="X540" s="712"/>
      <c r="Y540" s="712"/>
      <c r="Z540" s="712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713">
        <v>4640242180533</v>
      </c>
      <c r="E541" s="713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9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5"/>
      <c r="R541" s="715"/>
      <c r="S541" s="715"/>
      <c r="T541" s="716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1"/>
      <c r="B542" s="721"/>
      <c r="C542" s="721"/>
      <c r="D542" s="721"/>
      <c r="E542" s="721"/>
      <c r="F542" s="721"/>
      <c r="G542" s="721"/>
      <c r="H542" s="721"/>
      <c r="I542" s="721"/>
      <c r="J542" s="721"/>
      <c r="K542" s="721"/>
      <c r="L542" s="721"/>
      <c r="M542" s="721"/>
      <c r="N542" s="721"/>
      <c r="O542" s="722"/>
      <c r="P542" s="718" t="s">
        <v>40</v>
      </c>
      <c r="Q542" s="719"/>
      <c r="R542" s="719"/>
      <c r="S542" s="719"/>
      <c r="T542" s="719"/>
      <c r="U542" s="719"/>
      <c r="V542" s="72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1"/>
      <c r="B543" s="721"/>
      <c r="C543" s="721"/>
      <c r="D543" s="721"/>
      <c r="E543" s="721"/>
      <c r="F543" s="721"/>
      <c r="G543" s="721"/>
      <c r="H543" s="721"/>
      <c r="I543" s="721"/>
      <c r="J543" s="721"/>
      <c r="K543" s="721"/>
      <c r="L543" s="721"/>
      <c r="M543" s="721"/>
      <c r="N543" s="721"/>
      <c r="O543" s="722"/>
      <c r="P543" s="718" t="s">
        <v>40</v>
      </c>
      <c r="Q543" s="719"/>
      <c r="R543" s="719"/>
      <c r="S543" s="719"/>
      <c r="T543" s="719"/>
      <c r="U543" s="719"/>
      <c r="V543" s="72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12" t="s">
        <v>175</v>
      </c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2"/>
      <c r="P544" s="712"/>
      <c r="Q544" s="712"/>
      <c r="R544" s="712"/>
      <c r="S544" s="712"/>
      <c r="T544" s="712"/>
      <c r="U544" s="712"/>
      <c r="V544" s="712"/>
      <c r="W544" s="712"/>
      <c r="X544" s="712"/>
      <c r="Y544" s="712"/>
      <c r="Z544" s="712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713">
        <v>4640242180120</v>
      </c>
      <c r="E545" s="71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99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5"/>
      <c r="R545" s="715"/>
      <c r="S545" s="715"/>
      <c r="T545" s="71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713">
        <v>4640242180137</v>
      </c>
      <c r="E546" s="713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5"/>
      <c r="R546" s="715"/>
      <c r="S546" s="715"/>
      <c r="T546" s="71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21"/>
      <c r="B547" s="721"/>
      <c r="C547" s="721"/>
      <c r="D547" s="721"/>
      <c r="E547" s="721"/>
      <c r="F547" s="721"/>
      <c r="G547" s="721"/>
      <c r="H547" s="721"/>
      <c r="I547" s="721"/>
      <c r="J547" s="721"/>
      <c r="K547" s="721"/>
      <c r="L547" s="721"/>
      <c r="M547" s="721"/>
      <c r="N547" s="721"/>
      <c r="O547" s="722"/>
      <c r="P547" s="718" t="s">
        <v>40</v>
      </c>
      <c r="Q547" s="719"/>
      <c r="R547" s="719"/>
      <c r="S547" s="719"/>
      <c r="T547" s="719"/>
      <c r="U547" s="719"/>
      <c r="V547" s="72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711" t="s">
        <v>867</v>
      </c>
      <c r="B549" s="711"/>
      <c r="C549" s="711"/>
      <c r="D549" s="711"/>
      <c r="E549" s="711"/>
      <c r="F549" s="711"/>
      <c r="G549" s="711"/>
      <c r="H549" s="711"/>
      <c r="I549" s="711"/>
      <c r="J549" s="711"/>
      <c r="K549" s="711"/>
      <c r="L549" s="711"/>
      <c r="M549" s="711"/>
      <c r="N549" s="711"/>
      <c r="O549" s="711"/>
      <c r="P549" s="711"/>
      <c r="Q549" s="711"/>
      <c r="R549" s="711"/>
      <c r="S549" s="711"/>
      <c r="T549" s="711"/>
      <c r="U549" s="711"/>
      <c r="V549" s="711"/>
      <c r="W549" s="711"/>
      <c r="X549" s="711"/>
      <c r="Y549" s="711"/>
      <c r="Z549" s="711"/>
      <c r="AA549" s="65"/>
      <c r="AB549" s="65"/>
      <c r="AC549" s="79"/>
    </row>
    <row r="550" spans="1:68" ht="14.25" customHeight="1" x14ac:dyDescent="0.25">
      <c r="A550" s="712" t="s">
        <v>158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713">
        <v>4640242180090</v>
      </c>
      <c r="E551" s="713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99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1"/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1002"/>
      <c r="P554" s="999" t="s">
        <v>33</v>
      </c>
      <c r="Q554" s="1000"/>
      <c r="R554" s="1000"/>
      <c r="S554" s="1000"/>
      <c r="T554" s="1000"/>
      <c r="U554" s="1000"/>
      <c r="V554" s="1001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1576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1612.3799999999999</v>
      </c>
      <c r="Z554" s="42"/>
      <c r="AA554" s="67"/>
      <c r="AB554" s="67"/>
      <c r="AC554" s="67"/>
    </row>
    <row r="555" spans="1:68" x14ac:dyDescent="0.2">
      <c r="A555" s="721"/>
      <c r="B555" s="721"/>
      <c r="C555" s="721"/>
      <c r="D555" s="721"/>
      <c r="E555" s="721"/>
      <c r="F555" s="721"/>
      <c r="G555" s="721"/>
      <c r="H555" s="721"/>
      <c r="I555" s="721"/>
      <c r="J555" s="721"/>
      <c r="K555" s="721"/>
      <c r="L555" s="721"/>
      <c r="M555" s="721"/>
      <c r="N555" s="721"/>
      <c r="O555" s="1002"/>
      <c r="P555" s="999" t="s">
        <v>34</v>
      </c>
      <c r="Q555" s="1000"/>
      <c r="R555" s="1000"/>
      <c r="S555" s="1000"/>
      <c r="T555" s="1000"/>
      <c r="U555" s="1000"/>
      <c r="V555" s="1001"/>
      <c r="W555" s="42" t="s">
        <v>0</v>
      </c>
      <c r="X555" s="43">
        <f>IFERROR(SUM(BM22:BM551),"0")</f>
        <v>1664.6353984287316</v>
      </c>
      <c r="Y555" s="43">
        <f>IFERROR(SUM(BN22:BN551),"0")</f>
        <v>1703.1539999999998</v>
      </c>
      <c r="Z555" s="42"/>
      <c r="AA555" s="67"/>
      <c r="AB555" s="67"/>
      <c r="AC555" s="67"/>
    </row>
    <row r="556" spans="1:68" x14ac:dyDescent="0.2">
      <c r="A556" s="721"/>
      <c r="B556" s="721"/>
      <c r="C556" s="721"/>
      <c r="D556" s="721"/>
      <c r="E556" s="721"/>
      <c r="F556" s="721"/>
      <c r="G556" s="721"/>
      <c r="H556" s="721"/>
      <c r="I556" s="721"/>
      <c r="J556" s="721"/>
      <c r="K556" s="721"/>
      <c r="L556" s="721"/>
      <c r="M556" s="721"/>
      <c r="N556" s="721"/>
      <c r="O556" s="1002"/>
      <c r="P556" s="999" t="s">
        <v>35</v>
      </c>
      <c r="Q556" s="1000"/>
      <c r="R556" s="1000"/>
      <c r="S556" s="1000"/>
      <c r="T556" s="1000"/>
      <c r="U556" s="1000"/>
      <c r="V556" s="1001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1002"/>
      <c r="P557" s="999" t="s">
        <v>36</v>
      </c>
      <c r="Q557" s="1000"/>
      <c r="R557" s="1000"/>
      <c r="S557" s="1000"/>
      <c r="T557" s="1000"/>
      <c r="U557" s="1000"/>
      <c r="V557" s="1001"/>
      <c r="W557" s="42" t="s">
        <v>0</v>
      </c>
      <c r="X557" s="43">
        <f>GrossWeightTotal+PalletQtyTotal*25</f>
        <v>1739.6353984287316</v>
      </c>
      <c r="Y557" s="43">
        <f>GrossWeightTotalR+PalletQtyTotalR*25</f>
        <v>1778.1539999999998</v>
      </c>
      <c r="Z557" s="42"/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1002"/>
      <c r="P558" s="999" t="s">
        <v>37</v>
      </c>
      <c r="Q558" s="1000"/>
      <c r="R558" s="1000"/>
      <c r="S558" s="1000"/>
      <c r="T558" s="1000"/>
      <c r="U558" s="1000"/>
      <c r="V558" s="1001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238.2912889579556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244</v>
      </c>
      <c r="Z558" s="42"/>
      <c r="AA558" s="67"/>
      <c r="AB558" s="67"/>
      <c r="AC558" s="67"/>
    </row>
    <row r="559" spans="1:68" ht="14.25" x14ac:dyDescent="0.2">
      <c r="A559" s="721"/>
      <c r="B559" s="721"/>
      <c r="C559" s="721"/>
      <c r="D559" s="721"/>
      <c r="E559" s="721"/>
      <c r="F559" s="721"/>
      <c r="G559" s="721"/>
      <c r="H559" s="721"/>
      <c r="I559" s="721"/>
      <c r="J559" s="721"/>
      <c r="K559" s="721"/>
      <c r="L559" s="721"/>
      <c r="M559" s="721"/>
      <c r="N559" s="721"/>
      <c r="O559" s="1002"/>
      <c r="P559" s="999" t="s">
        <v>38</v>
      </c>
      <c r="Q559" s="1000"/>
      <c r="R559" s="1000"/>
      <c r="S559" s="1000"/>
      <c r="T559" s="1000"/>
      <c r="U559" s="1000"/>
      <c r="V559" s="1001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3.2951599999999996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03" t="s">
        <v>120</v>
      </c>
      <c r="E561" s="1003" t="s">
        <v>120</v>
      </c>
      <c r="F561" s="1003" t="s">
        <v>120</v>
      </c>
      <c r="G561" s="1003" t="s">
        <v>120</v>
      </c>
      <c r="H561" s="1003" t="s">
        <v>120</v>
      </c>
      <c r="I561" s="1003" t="s">
        <v>120</v>
      </c>
      <c r="J561" s="1003" t="s">
        <v>120</v>
      </c>
      <c r="K561" s="1003" t="s">
        <v>353</v>
      </c>
      <c r="L561" s="1003" t="s">
        <v>353</v>
      </c>
      <c r="M561" s="1003" t="s">
        <v>353</v>
      </c>
      <c r="N561" s="1004"/>
      <c r="O561" s="1003" t="s">
        <v>353</v>
      </c>
      <c r="P561" s="1003" t="s">
        <v>353</v>
      </c>
      <c r="Q561" s="1003" t="s">
        <v>353</v>
      </c>
      <c r="R561" s="1003" t="s">
        <v>353</v>
      </c>
      <c r="S561" s="1003" t="s">
        <v>353</v>
      </c>
      <c r="T561" s="1003" t="s">
        <v>353</v>
      </c>
      <c r="U561" s="1003" t="s">
        <v>353</v>
      </c>
      <c r="V561" s="1003" t="s">
        <v>353</v>
      </c>
      <c r="W561" s="1003" t="s">
        <v>699</v>
      </c>
      <c r="X561" s="1003" t="s">
        <v>699</v>
      </c>
      <c r="Y561" s="1003" t="s">
        <v>765</v>
      </c>
      <c r="Z561" s="1003" t="s">
        <v>765</v>
      </c>
      <c r="AA561" s="85" t="s">
        <v>801</v>
      </c>
      <c r="AB561" s="1003" t="s">
        <v>848</v>
      </c>
      <c r="AC561" s="1003" t="s">
        <v>848</v>
      </c>
      <c r="AF561" s="1"/>
    </row>
    <row r="562" spans="1:32" ht="14.25" customHeight="1" thickTop="1" x14ac:dyDescent="0.2">
      <c r="A562" s="1005" t="s">
        <v>10</v>
      </c>
      <c r="B562" s="1003" t="s">
        <v>76</v>
      </c>
      <c r="C562" s="1003" t="s">
        <v>104</v>
      </c>
      <c r="D562" s="1003" t="s">
        <v>121</v>
      </c>
      <c r="E562" s="1003" t="s">
        <v>137</v>
      </c>
      <c r="F562" s="1003" t="s">
        <v>182</v>
      </c>
      <c r="G562" s="1003" t="s">
        <v>203</v>
      </c>
      <c r="H562" s="1003" t="s">
        <v>243</v>
      </c>
      <c r="I562" s="1003" t="s">
        <v>267</v>
      </c>
      <c r="J562" s="1003" t="s">
        <v>120</v>
      </c>
      <c r="K562" s="1003" t="s">
        <v>354</v>
      </c>
      <c r="L562" s="1003" t="s">
        <v>375</v>
      </c>
      <c r="M562" s="1003" t="s">
        <v>442</v>
      </c>
      <c r="N562" s="1"/>
      <c r="O562" s="1003" t="s">
        <v>510</v>
      </c>
      <c r="P562" s="1003" t="s">
        <v>543</v>
      </c>
      <c r="Q562" s="1003" t="s">
        <v>559</v>
      </c>
      <c r="R562" s="1003" t="s">
        <v>568</v>
      </c>
      <c r="S562" s="1003" t="s">
        <v>589</v>
      </c>
      <c r="T562" s="1003" t="s">
        <v>598</v>
      </c>
      <c r="U562" s="1003" t="s">
        <v>679</v>
      </c>
      <c r="V562" s="1003" t="s">
        <v>689</v>
      </c>
      <c r="W562" s="1003" t="s">
        <v>700</v>
      </c>
      <c r="X562" s="1003" t="s">
        <v>749</v>
      </c>
      <c r="Y562" s="1003" t="s">
        <v>766</v>
      </c>
      <c r="Z562" s="1003" t="s">
        <v>789</v>
      </c>
      <c r="AA562" s="1003" t="s">
        <v>801</v>
      </c>
      <c r="AB562" s="1003" t="s">
        <v>848</v>
      </c>
      <c r="AC562" s="1003" t="s">
        <v>867</v>
      </c>
      <c r="AF562" s="1"/>
    </row>
    <row r="563" spans="1:32" ht="13.5" thickBot="1" x14ac:dyDescent="0.25">
      <c r="A563" s="1006"/>
      <c r="B563" s="1003"/>
      <c r="C563" s="1003"/>
      <c r="D563" s="1003"/>
      <c r="E563" s="1003"/>
      <c r="F563" s="1003"/>
      <c r="G563" s="1003"/>
      <c r="H563" s="1003"/>
      <c r="I563" s="1003"/>
      <c r="J563" s="1003"/>
      <c r="K563" s="1003"/>
      <c r="L563" s="1003"/>
      <c r="M563" s="1003"/>
      <c r="N563" s="1"/>
      <c r="O563" s="1003"/>
      <c r="P563" s="1003"/>
      <c r="Q563" s="1003"/>
      <c r="R563" s="1003"/>
      <c r="S563" s="1003"/>
      <c r="T563" s="1003"/>
      <c r="U563" s="1003"/>
      <c r="V563" s="1003"/>
      <c r="W563" s="1003"/>
      <c r="X563" s="1003"/>
      <c r="Y563" s="1003"/>
      <c r="Z563" s="1003"/>
      <c r="AA563" s="1003"/>
      <c r="AB563" s="1003"/>
      <c r="AC563" s="1003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54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40.5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80.400000000000006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54.6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390</v>
      </c>
      <c r="X564" s="52">
        <f>IFERROR(Y455*1,"0")+IFERROR(Y456*1,"0")+IFERROR(Y460*1,"0")+IFERROR(Y464*1,"0")+IFERROR(Y465*1,"0")+IFERROR(Y466*1,"0")</f>
        <v>354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638.87999999999988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cp:lastPrinted>2026-08-14T14:21:03Z</cp:lastPrinted>
  <dcterms:created xsi:type="dcterms:W3CDTF">2021-11-12T12:13:19Z</dcterms:created>
  <dcterms:modified xsi:type="dcterms:W3CDTF">2026-08-14T14:21:22Z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