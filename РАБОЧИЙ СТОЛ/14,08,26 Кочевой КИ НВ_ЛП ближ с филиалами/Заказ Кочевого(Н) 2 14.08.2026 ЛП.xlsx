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A9282740-83FC-4916-AC01-3D9BC2F0F9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BP66" i="2" l="1"/>
  <c r="Z183" i="2"/>
  <c r="Z372" i="2"/>
  <c r="Z439" i="2"/>
  <c r="Z441" i="2" s="1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5" i="2" s="1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47" i="2" l="1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<sst xmlns="http://schemas.openxmlformats.org/spreadsheetml/2006/main" count="4244" uniqueCount="900">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</sst>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A531" zoomScaleNormal="100" zoomScaleSheetLayoutView="100" workbookViewId="0">
      <selection activeCell="X561" sqref="X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46247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1000</v>
      </c>
      <c r="Y428" s="55">
        <f t="shared" si="58"/>
        <v>1005</v>
      </c>
      <c r="Z428" s="41">
        <f>IFERROR(IF(Y428=0,"",ROUNDUP(Y428/H428,0)*0.02175),"")</f>
        <v>1.4572499999999999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1031.3333333333333</v>
      </c>
      <c r="BN428" s="78">
        <f t="shared" si="60"/>
        <v>1036.49</v>
      </c>
      <c r="BO428" s="78">
        <f t="shared" si="61"/>
        <v>1.3888888888888888</v>
      </c>
      <c r="BP428" s="78">
        <f t="shared" si="62"/>
        <v>1.3958333333333333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58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1547</v>
      </c>
      <c r="BN430" s="78">
        <f t="shared" si="60"/>
        <v>1547</v>
      </c>
      <c r="BO430" s="78">
        <f t="shared" si="61"/>
        <v>2.083333333333333</v>
      </c>
      <c r="BP430" s="78">
        <f t="shared" si="62"/>
        <v>2.083333333333333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166.66666666666669</v>
      </c>
      <c r="Y435" s="43">
        <f>IFERROR(Y427/H427,"0")+IFERROR(Y428/H428,"0")+IFERROR(Y429/H429,"0")+IFERROR(Y430/H430,"0")+IFERROR(Y431/H431,"0")+IFERROR(Y432/H432,"0")+IFERROR(Y433/H433,"0")+IFERROR(Y434/H434,"0")</f>
        <v>167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3.63225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2500</v>
      </c>
      <c r="Y436" s="43">
        <f>IFERROR(SUM(Y427:Y434),"0")</f>
        <v>2505</v>
      </c>
      <c r="Z436" s="42"/>
      <c r="AA436" s="67"/>
      <c r="AB436" s="67"/>
      <c r="AC436" s="67"/>
    </row>
    <row r="437" spans="1:68" ht="14.25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5000</v>
      </c>
      <c r="Y465" s="55">
        <f>IFERROR(IF(X465="",0,CEILING((X465/$H465),1)*$H465),"")</f>
        <v>5004</v>
      </c>
      <c r="Z465" s="41">
        <f>IFERROR(IF(Y465=0,"",ROUNDUP(Y465/H465,0)*0.01898),"")</f>
        <v>10.55288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5274.4444444444443</v>
      </c>
      <c r="BN465" s="78">
        <f>IFERROR(Y465*I465/H465,"0")</f>
        <v>5278.6640000000007</v>
      </c>
      <c r="BO465" s="78">
        <f>IFERROR(1/J465*(X465/H465),"0")</f>
        <v>8.6805555555555554</v>
      </c>
      <c r="BP465" s="78">
        <f>IFERROR(1/J465*(Y465/H465),"0")</f>
        <v>8.6875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555.55555555555554</v>
      </c>
      <c r="Y468" s="43">
        <f>IFERROR(Y465/H465,"0")+IFERROR(Y466/H466,"0")+IFERROR(Y467/H467,"0")</f>
        <v>556</v>
      </c>
      <c r="Z468" s="43">
        <f>IFERROR(IF(Z465="",0,Z465),"0")+IFERROR(IF(Z466="",0,Z466),"0")+IFERROR(IF(Z467="",0,Z467),"0")</f>
        <v>10.55288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5000</v>
      </c>
      <c r="Y469" s="43">
        <f>IFERROR(SUM(Y465:Y467),"0")</f>
        <v>5004</v>
      </c>
      <c r="Z469" s="42"/>
      <c r="AA469" s="67"/>
      <c r="AB469" s="67"/>
      <c r="AC469" s="67"/>
    </row>
    <row r="470" spans="1:68" ht="27.75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500</v>
      </c>
      <c r="Y503" s="55">
        <f t="shared" si="68"/>
        <v>501.6</v>
      </c>
      <c r="Z503" s="41">
        <f t="shared" si="69"/>
        <v>1.1362000000000001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533.14393939393938</v>
      </c>
      <c r="BN503" s="78">
        <f t="shared" si="71"/>
        <v>534.85</v>
      </c>
      <c r="BO503" s="78">
        <f t="shared" si="72"/>
        <v>0.91054778554778548</v>
      </c>
      <c r="BP503" s="78">
        <f t="shared" si="73"/>
        <v>0.91346153846153855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1000</v>
      </c>
      <c r="Y505" s="55">
        <f t="shared" si="68"/>
        <v>1003.2</v>
      </c>
      <c r="Z505" s="41">
        <f t="shared" si="69"/>
        <v>2.2724000000000002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1066.2878787878788</v>
      </c>
      <c r="BN505" s="78">
        <f t="shared" si="71"/>
        <v>1069.7</v>
      </c>
      <c r="BO505" s="78">
        <f t="shared" si="72"/>
        <v>1.821095571095571</v>
      </c>
      <c r="BP505" s="78">
        <f t="shared" si="73"/>
        <v>1.8269230769230771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284.09090909090907</v>
      </c>
      <c r="Y509" s="43">
        <f>IFERROR(Y500/H500,"0")+IFERROR(Y501/H501,"0")+IFERROR(Y502/H502,"0")+IFERROR(Y503/H503,"0")+IFERROR(Y504/H504,"0")+IFERROR(Y505/H505,"0")+IFERROR(Y506/H506,"0")+IFERROR(Y507/H507,"0")+IFERROR(Y508/H508,"0")</f>
        <v>285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3.4086000000000003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1500</v>
      </c>
      <c r="Y510" s="43">
        <f>IFERROR(SUM(Y500:Y508),"0")</f>
        <v>1504.8000000000002</v>
      </c>
      <c r="Z510" s="42"/>
      <c r="AA510" s="67"/>
      <c r="AB510" s="67"/>
      <c r="AC510" s="67"/>
    </row>
    <row r="511" spans="1:68" ht="14.25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1000</v>
      </c>
      <c r="Y512" s="55">
        <f>IFERROR(IF(X512="",0,CEILING((X512/$H512),1)*$H512),"")</f>
        <v>1003.2</v>
      </c>
      <c r="Z512" s="41">
        <f>IFERROR(IF(Y512=0,"",ROUNDUP(Y512/H512,0)*0.01196),"")</f>
        <v>2.2724000000000002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1066.2878787878788</v>
      </c>
      <c r="BN512" s="78">
        <f>IFERROR(Y512*I512/H512,"0")</f>
        <v>1069.7</v>
      </c>
      <c r="BO512" s="78">
        <f>IFERROR(1/J512*(X512/H512),"0")</f>
        <v>1.821095571095571</v>
      </c>
      <c r="BP512" s="78">
        <f>IFERROR(1/J512*(Y512/H512),"0")</f>
        <v>1.8269230769230771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189.39393939393938</v>
      </c>
      <c r="Y515" s="43">
        <f>IFERROR(Y512/H512,"0")+IFERROR(Y513/H513,"0")+IFERROR(Y514/H514,"0")</f>
        <v>190</v>
      </c>
      <c r="Z515" s="43">
        <f>IFERROR(IF(Z512="",0,Z512),"0")+IFERROR(IF(Z513="",0,Z513),"0")+IFERROR(IF(Z514="",0,Z514),"0")</f>
        <v>2.2724000000000002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1000</v>
      </c>
      <c r="Y516" s="43">
        <f>IFERROR(SUM(Y512:Y514),"0")</f>
        <v>1003.2</v>
      </c>
      <c r="Z516" s="42"/>
      <c r="AA516" s="67"/>
      <c r="AB516" s="67"/>
      <c r="AC516" s="67"/>
    </row>
    <row r="517" spans="1:68" ht="14.25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10000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10017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10518.497474747473</v>
      </c>
      <c r="Y556" s="43">
        <f>IFERROR(SUM(BN22:BN552),"0")</f>
        <v>10536.404000000002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17</v>
      </c>
      <c r="Y557" s="44">
        <f>ROUNDUP(SUM(BP22:BP552),0)</f>
        <v>17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10943.497474747473</v>
      </c>
      <c r="Y558" s="43">
        <f>GrossWeightTotalR+PalletQtyTotalR*25</f>
        <v>10961.404000000002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1195.7070707070707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1198</v>
      </c>
      <c r="Z559" s="42"/>
      <c r="AA559" s="67"/>
      <c r="AB559" s="67"/>
      <c r="AC559" s="67"/>
    </row>
    <row r="560" spans="1:68" ht="14.25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19.866130000000002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2505</v>
      </c>
      <c r="X565" s="52">
        <f>IFERROR(Y456*1,"0")+IFERROR(Y457*1,"0")+IFERROR(Y461*1,"0")+IFERROR(Y465*1,"0")+IFERROR(Y466*1,"0")+IFERROR(Y467*1,"0")</f>
        <v>5004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2508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2026-08-14T14:36:38Z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