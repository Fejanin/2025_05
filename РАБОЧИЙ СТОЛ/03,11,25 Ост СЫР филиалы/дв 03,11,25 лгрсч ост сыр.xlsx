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3DB6BE08-5C69-4152-9E98-4349931F29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1" l="1"/>
  <c r="Q6" i="1"/>
  <c r="AE6" i="1" s="1"/>
  <c r="Q37" i="1"/>
  <c r="Q14" i="1"/>
  <c r="Q13" i="1"/>
  <c r="Q9" i="1"/>
  <c r="P45" i="1"/>
  <c r="T45" i="1" s="1"/>
  <c r="P6" i="1"/>
  <c r="P7" i="1"/>
  <c r="T7" i="1" s="1"/>
  <c r="P42" i="1"/>
  <c r="P43" i="1"/>
  <c r="T43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4" i="1"/>
  <c r="T44" i="1" s="1"/>
  <c r="L40" i="1"/>
  <c r="AE39" i="1"/>
  <c r="L39" i="1"/>
  <c r="L38" i="1"/>
  <c r="AE37" i="1"/>
  <c r="L37" i="1"/>
  <c r="L36" i="1"/>
  <c r="AE35" i="1"/>
  <c r="L35" i="1"/>
  <c r="L34" i="1"/>
  <c r="AE33" i="1"/>
  <c r="L33" i="1"/>
  <c r="L32" i="1"/>
  <c r="L31" i="1"/>
  <c r="L30" i="1"/>
  <c r="L29" i="1"/>
  <c r="L28" i="1"/>
  <c r="L27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AE17" i="1"/>
  <c r="L17" i="1"/>
  <c r="L16" i="1"/>
  <c r="L15" i="1"/>
  <c r="AE14" i="1"/>
  <c r="L14" i="1"/>
  <c r="AE13" i="1"/>
  <c r="L13" i="1"/>
  <c r="L12" i="1"/>
  <c r="L11" i="1"/>
  <c r="L10" i="1"/>
  <c r="AE9" i="1"/>
  <c r="L9" i="1"/>
  <c r="L8" i="1"/>
  <c r="AE43" i="1"/>
  <c r="L43" i="1"/>
  <c r="AE42" i="1"/>
  <c r="L42" i="1"/>
  <c r="AE7" i="1"/>
  <c r="L7" i="1"/>
  <c r="L6" i="1"/>
  <c r="L45" i="1"/>
  <c r="L44" i="1"/>
  <c r="AC5" i="1"/>
  <c r="AB5" i="1"/>
  <c r="AA5" i="1"/>
  <c r="Z5" i="1"/>
  <c r="Y5" i="1"/>
  <c r="X5" i="1"/>
  <c r="W5" i="1"/>
  <c r="V5" i="1"/>
  <c r="R5" i="1"/>
  <c r="Q5" i="1"/>
  <c r="O5" i="1"/>
  <c r="N5" i="1"/>
  <c r="M5" i="1"/>
  <c r="K5" i="1"/>
  <c r="F5" i="1"/>
  <c r="E5" i="1"/>
  <c r="T33" i="1" l="1"/>
  <c r="T6" i="1"/>
  <c r="T42" i="1"/>
  <c r="L5" i="1"/>
  <c r="U33" i="1"/>
  <c r="U17" i="1"/>
  <c r="AE5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P5" i="1"/>
  <c r="U44" i="1"/>
</calcChain>
</file>

<file path=xl/sharedStrings.xml><?xml version="1.0" encoding="utf-8"?>
<sst xmlns="http://schemas.openxmlformats.org/spreadsheetml/2006/main" count="168" uniqueCount="93">
  <si>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</si>
  <si>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</si>
  <si>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</si>
  <si>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</si>
  <si>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</si>
  <si>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</si>
  <si>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</si>
  <si>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</si>
  <si>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</si>
  <si>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</si>
  <si>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</si>
  <si>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</si>
  <si>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</si>
  <si>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</si>
  <si>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</si>
  <si>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</si>
  <si>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</si>
  <si>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</si>
  <si>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</si>
  <si>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</si>
  <si>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</si>
  <si>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</si>
  <si>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</si>
  <si>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</si>
  <si>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</si>
  <si>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</si>
  <si>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</si>
  <si>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</si>
  <si>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</si>
  <si>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</si>
  <si>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</si>
  <si>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</si>
  <si>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</si>
  <si>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</si>
  <si>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</si>
  <si>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</si>
  <si>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</si>
  <si>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</si>
  <si>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</si>
  <si>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</si>
  <si>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</si>
  <si>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</si>
  <si>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</si>
  <si>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</si>
  <si>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</si>
  <si>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</si>
  <si>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</si>
  <si>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</si>
  <si>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</si>
  <si>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</si>
  <si>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</si>
  <si>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</si>
  <si>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</si>
  <si>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</si>
  <si>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</si>
  <si>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</si>
  <si>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</si>
  <si>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</si>
  <si>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</si>
  <si>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</si>
  <si>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 02,07,25 заказываем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</si>
  <si>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</si>
  <si>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</si>
  <si>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 / с 02,07,25 заказываем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</si>
  <si>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</si>
  <si>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</si>
  <si>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</si>
  <si>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Сливочный со вкусом топленого молока 45% ти Папа Может, брус (2 шт)  Останкино</t>
  </si>
  <si>
    <t>нет потребности / 05,05,25 в уценку 71кг</t>
  </si>
  <si>
    <t>4001481 Сыр Бурмакинский со вкусом топленого молока 45%( брус)  Останкино</t>
  </si>
  <si>
    <t>перемещение из Мелитополя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</si>
  <si>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</si>
  <si>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</si>
  <si>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</si>
  <si>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</si>
  <si>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</si>
  <si>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</si>
  <si>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</si>
  <si>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</si>
  <si>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</si>
  <si>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</si>
  <si>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</si>
  <si>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</si>
  <si>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</si>
  <si>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</si>
  <si>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</si>
  <si>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</si>
  <si>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</si>
  <si>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</si>
  <si>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</si>
  <si>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</si>
  <si>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</si>
  <si>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13,08,25 заказываем для ОП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</si>
</sst>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57.140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562.54</v>
      </c>
      <c r="F5" s="4">
        <f>SUM(F6:F495)</f>
        <v>1293.7080000000001</v>
      </c>
      <c r="G5" s="7"/>
      <c r="H5" s="1"/>
      <c r="I5" s="1"/>
      <c r="J5" s="1"/>
      <c r="K5" s="4">
        <f>SUM(K6:K495)</f>
        <v>568.5</v>
      </c>
      <c r="L5" s="4">
        <f>SUM(L6:L495)</f>
        <v>-5.96</v>
      </c>
      <c r="M5" s="4">
        <f>SUM(M6:M495)</f>
        <v>0</v>
      </c>
      <c r="N5" s="4">
        <f>SUM(N6:N495)</f>
        <v>0</v>
      </c>
      <c r="O5" s="4">
        <f>SUM(O6:O495)</f>
        <v>1026</v>
      </c>
      <c r="P5" s="4">
        <f>SUM(P6:P495)</f>
        <v>112.508</v>
      </c>
      <c r="Q5" s="4">
        <f>SUM(Q6:Q495)</f>
        <v>502.40000000000003</v>
      </c>
      <c r="R5" s="4">
        <f>SUM(R6:R495)</f>
        <v>0</v>
      </c>
      <c r="S5" s="1"/>
      <c r="T5" s="1"/>
      <c r="U5" s="1"/>
      <c r="V5" s="4">
        <f>SUM(V6:V495)</f>
        <v>122.2042</v>
      </c>
      <c r="W5" s="4">
        <f>SUM(W6:W495)</f>
        <v>102.42359999999999</v>
      </c>
      <c r="X5" s="4">
        <f>SUM(X6:X495)</f>
        <v>75.769400000000005</v>
      </c>
      <c r="Y5" s="4">
        <f>SUM(Y6:Y495)</f>
        <v>129.31459999999998</v>
      </c>
      <c r="Z5" s="4">
        <f>SUM(Z6:Z495)</f>
        <v>61.685200000000002</v>
      </c>
      <c r="AA5" s="4">
        <f>SUM(AA6:AA495)</f>
        <v>116.52020000000002</v>
      </c>
      <c r="AB5" s="4">
        <f>SUM(AB6:AB495)</f>
        <v>65.2684</v>
      </c>
      <c r="AC5" s="4">
        <f>SUM(AC6:AC495)</f>
        <v>47.883400000000002</v>
      </c>
      <c r="AD5" s="1"/>
      <c r="AE5" s="4">
        <f>SUM(AE6:AE495)</f>
        <v>100.01599999999999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137</v>
      </c>
      <c r="D6" s="1"/>
      <c r="E6" s="1">
        <v>57</v>
      </c>
      <c r="F6" s="1">
        <v>80</v>
      </c>
      <c r="G6" s="7">
        <v>0.18</v>
      </c>
      <c r="H6" s="1">
        <v>270</v>
      </c>
      <c r="I6" s="1">
        <v>9988438</v>
      </c>
      <c r="J6" s="1"/>
      <c r="K6" s="1">
        <v>57</v>
      </c>
      <c r="L6" s="1">
        <f t="shared" ref="L6:L40" si="0">E6-K6</f>
        <v>0</v>
      </c>
      <c r="M6" s="1"/>
      <c r="N6" s="1"/>
      <c r="O6" s="1">
        <v>0</v>
      </c>
      <c r="P6" s="1">
        <f t="shared" ref="P6:P40" si="1">E6/5</f>
        <v>11.4</v>
      </c>
      <c r="Q6" s="9">
        <f>18*P6-O6-F6</f>
        <v>125.20000000000002</v>
      </c>
      <c r="R6" s="9"/>
      <c r="S6" s="1"/>
      <c r="T6" s="1">
        <f t="shared" ref="T6:T40" si="2">(F6+O6+Q6)/P6</f>
        <v>18</v>
      </c>
      <c r="U6" s="1">
        <f t="shared" ref="U6:U40" si="3">(F6+O6)/P6</f>
        <v>7.0175438596491224</v>
      </c>
      <c r="V6" s="1">
        <v>0.8</v>
      </c>
      <c r="W6" s="1">
        <v>3.8</v>
      </c>
      <c r="X6" s="1">
        <v>0</v>
      </c>
      <c r="Y6" s="1">
        <v>10.199999999999999</v>
      </c>
      <c r="Z6" s="1">
        <v>2.8</v>
      </c>
      <c r="AA6" s="1">
        <v>1.4</v>
      </c>
      <c r="AB6" s="1">
        <v>3.8</v>
      </c>
      <c r="AC6" s="1">
        <v>2.4</v>
      </c>
      <c r="AD6" s="1"/>
      <c r="AE6" s="1">
        <f>G6*Q6</f>
        <v>22.536000000000001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34</v>
      </c>
      <c r="C7" s="1">
        <v>25</v>
      </c>
      <c r="D7" s="1">
        <v>240</v>
      </c>
      <c r="E7" s="1">
        <v>24</v>
      </c>
      <c r="F7" s="1">
        <v>241</v>
      </c>
      <c r="G7" s="7">
        <v>0.18</v>
      </c>
      <c r="H7" s="1">
        <v>270</v>
      </c>
      <c r="I7" s="1">
        <v>9988445</v>
      </c>
      <c r="J7" s="1"/>
      <c r="K7" s="1">
        <v>24</v>
      </c>
      <c r="L7" s="1">
        <f t="shared" si="0"/>
        <v>0</v>
      </c>
      <c r="M7" s="1"/>
      <c r="N7" s="1"/>
      <c r="O7" s="1">
        <v>0</v>
      </c>
      <c r="P7" s="1">
        <f t="shared" si="1"/>
        <v>4.8</v>
      </c>
      <c r="Q7" s="9"/>
      <c r="R7" s="9"/>
      <c r="S7" s="1"/>
      <c r="T7" s="1">
        <f t="shared" si="2"/>
        <v>50.208333333333336</v>
      </c>
      <c r="U7" s="1">
        <f t="shared" si="3"/>
        <v>50.208333333333336</v>
      </c>
      <c r="V7" s="1">
        <v>7.4</v>
      </c>
      <c r="W7" s="1">
        <v>16</v>
      </c>
      <c r="X7" s="1">
        <v>0.4</v>
      </c>
      <c r="Y7" s="1">
        <v>7.6</v>
      </c>
      <c r="Z7" s="1">
        <v>3.2</v>
      </c>
      <c r="AA7" s="1">
        <v>2.6</v>
      </c>
      <c r="AB7" s="1">
        <v>3.2</v>
      </c>
      <c r="AC7" s="1">
        <v>2.4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1" t="s">
        <v>42</v>
      </c>
      <c r="B8" s="21" t="s">
        <v>34</v>
      </c>
      <c r="C8" s="21"/>
      <c r="D8" s="21"/>
      <c r="E8" s="21"/>
      <c r="F8" s="21"/>
      <c r="G8" s="22">
        <v>0</v>
      </c>
      <c r="H8" s="21">
        <v>270</v>
      </c>
      <c r="I8" s="21">
        <v>9988452</v>
      </c>
      <c r="J8" s="21"/>
      <c r="K8" s="21"/>
      <c r="L8" s="21">
        <f t="shared" si="0"/>
        <v>0</v>
      </c>
      <c r="M8" s="21"/>
      <c r="N8" s="21"/>
      <c r="O8" s="21">
        <v>0</v>
      </c>
      <c r="P8" s="21">
        <f t="shared" si="1"/>
        <v>0</v>
      </c>
      <c r="Q8" s="23"/>
      <c r="R8" s="23"/>
      <c r="S8" s="21"/>
      <c r="T8" s="21" t="e">
        <f t="shared" si="2"/>
        <v>#DIV/0!</v>
      </c>
      <c r="U8" s="21" t="e">
        <f t="shared" si="3"/>
        <v>#DIV/0!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 t="s">
        <v>43</v>
      </c>
      <c r="AE8" s="2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34</v>
      </c>
      <c r="C9" s="1">
        <v>28</v>
      </c>
      <c r="D9" s="1"/>
      <c r="E9" s="1">
        <v>11</v>
      </c>
      <c r="F9" s="1">
        <v>17</v>
      </c>
      <c r="G9" s="7">
        <v>0.4</v>
      </c>
      <c r="H9" s="1">
        <v>270</v>
      </c>
      <c r="I9" s="1">
        <v>9988476</v>
      </c>
      <c r="J9" s="1"/>
      <c r="K9" s="1">
        <v>11</v>
      </c>
      <c r="L9" s="1">
        <f t="shared" si="0"/>
        <v>0</v>
      </c>
      <c r="M9" s="1"/>
      <c r="N9" s="1"/>
      <c r="O9" s="1">
        <v>0</v>
      </c>
      <c r="P9" s="1">
        <f t="shared" si="1"/>
        <v>2.2000000000000002</v>
      </c>
      <c r="Q9" s="9">
        <f>20*P9-O9-F9</f>
        <v>27</v>
      </c>
      <c r="R9" s="9"/>
      <c r="S9" s="1"/>
      <c r="T9" s="1">
        <f t="shared" si="2"/>
        <v>20</v>
      </c>
      <c r="U9" s="1">
        <f t="shared" si="3"/>
        <v>7.7272727272727266</v>
      </c>
      <c r="V9" s="1">
        <v>0.4</v>
      </c>
      <c r="W9" s="1">
        <v>1.8</v>
      </c>
      <c r="X9" s="1">
        <v>2.4</v>
      </c>
      <c r="Y9" s="1">
        <v>0.8</v>
      </c>
      <c r="Z9" s="1">
        <v>0</v>
      </c>
      <c r="AA9" s="1">
        <v>1.2</v>
      </c>
      <c r="AB9" s="1">
        <v>2.2000000000000002</v>
      </c>
      <c r="AC9" s="1">
        <v>1</v>
      </c>
      <c r="AD9" s="1" t="s">
        <v>45</v>
      </c>
      <c r="AE9" s="1">
        <f>G9*Q9</f>
        <v>10.8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21" t="s">
        <v>46</v>
      </c>
      <c r="B10" s="21" t="s">
        <v>34</v>
      </c>
      <c r="C10" s="21"/>
      <c r="D10" s="21"/>
      <c r="E10" s="21"/>
      <c r="F10" s="21"/>
      <c r="G10" s="22">
        <v>0</v>
      </c>
      <c r="H10" s="21">
        <v>150</v>
      </c>
      <c r="I10" s="21">
        <v>5034819</v>
      </c>
      <c r="J10" s="21"/>
      <c r="K10" s="21"/>
      <c r="L10" s="21">
        <f t="shared" si="0"/>
        <v>0</v>
      </c>
      <c r="M10" s="21"/>
      <c r="N10" s="21"/>
      <c r="O10" s="21">
        <v>0</v>
      </c>
      <c r="P10" s="21">
        <f t="shared" si="1"/>
        <v>0</v>
      </c>
      <c r="Q10" s="23"/>
      <c r="R10" s="23"/>
      <c r="S10" s="21"/>
      <c r="T10" s="21" t="e">
        <f t="shared" si="2"/>
        <v>#DIV/0!</v>
      </c>
      <c r="U10" s="21" t="e">
        <f t="shared" si="3"/>
        <v>#DIV/0!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 t="s">
        <v>35</v>
      </c>
      <c r="AE10" s="2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1" t="s">
        <v>47</v>
      </c>
      <c r="B11" s="21" t="s">
        <v>48</v>
      </c>
      <c r="C11" s="21"/>
      <c r="D11" s="21"/>
      <c r="E11" s="21"/>
      <c r="F11" s="21"/>
      <c r="G11" s="22">
        <v>0</v>
      </c>
      <c r="H11" s="21">
        <v>150</v>
      </c>
      <c r="I11" s="21">
        <v>5041251</v>
      </c>
      <c r="J11" s="21"/>
      <c r="K11" s="21"/>
      <c r="L11" s="21">
        <f t="shared" si="0"/>
        <v>0</v>
      </c>
      <c r="M11" s="21"/>
      <c r="N11" s="21"/>
      <c r="O11" s="21">
        <v>0</v>
      </c>
      <c r="P11" s="21">
        <f t="shared" si="1"/>
        <v>0</v>
      </c>
      <c r="Q11" s="23"/>
      <c r="R11" s="23"/>
      <c r="S11" s="21"/>
      <c r="T11" s="21" t="e">
        <f t="shared" si="2"/>
        <v>#DIV/0!</v>
      </c>
      <c r="U11" s="21" t="e">
        <f t="shared" si="3"/>
        <v>#DIV/0!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 t="s">
        <v>35</v>
      </c>
      <c r="AE11" s="2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21" t="s">
        <v>49</v>
      </c>
      <c r="B12" s="21" t="s">
        <v>34</v>
      </c>
      <c r="C12" s="21"/>
      <c r="D12" s="21"/>
      <c r="E12" s="21"/>
      <c r="F12" s="21"/>
      <c r="G12" s="22">
        <v>0</v>
      </c>
      <c r="H12" s="21">
        <v>90</v>
      </c>
      <c r="I12" s="21">
        <v>8444163</v>
      </c>
      <c r="J12" s="21"/>
      <c r="K12" s="21"/>
      <c r="L12" s="21">
        <f t="shared" si="0"/>
        <v>0</v>
      </c>
      <c r="M12" s="21"/>
      <c r="N12" s="21"/>
      <c r="O12" s="21">
        <v>0</v>
      </c>
      <c r="P12" s="21">
        <f t="shared" si="1"/>
        <v>0</v>
      </c>
      <c r="Q12" s="23"/>
      <c r="R12" s="23"/>
      <c r="S12" s="21"/>
      <c r="T12" s="21" t="e">
        <f t="shared" si="2"/>
        <v>#DIV/0!</v>
      </c>
      <c r="U12" s="21" t="e">
        <f t="shared" si="3"/>
        <v>#DIV/0!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 t="s">
        <v>35</v>
      </c>
      <c r="AE12" s="2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34</v>
      </c>
      <c r="C13" s="1">
        <v>52</v>
      </c>
      <c r="D13" s="1">
        <v>30</v>
      </c>
      <c r="E13" s="1">
        <v>60</v>
      </c>
      <c r="F13" s="1">
        <v>18</v>
      </c>
      <c r="G13" s="7">
        <v>0.18</v>
      </c>
      <c r="H13" s="1">
        <v>150</v>
      </c>
      <c r="I13" s="1">
        <v>5038411</v>
      </c>
      <c r="J13" s="1"/>
      <c r="K13" s="1">
        <v>61</v>
      </c>
      <c r="L13" s="1">
        <f t="shared" si="0"/>
        <v>-1</v>
      </c>
      <c r="M13" s="1"/>
      <c r="N13" s="1"/>
      <c r="O13" s="1">
        <v>170</v>
      </c>
      <c r="P13" s="1">
        <f t="shared" si="1"/>
        <v>12</v>
      </c>
      <c r="Q13" s="9">
        <f t="shared" ref="Q13:Q14" si="4">20*P13-O13-F13</f>
        <v>52</v>
      </c>
      <c r="R13" s="9"/>
      <c r="S13" s="1"/>
      <c r="T13" s="1">
        <f t="shared" si="2"/>
        <v>20</v>
      </c>
      <c r="U13" s="1">
        <f t="shared" si="3"/>
        <v>15.666666666666666</v>
      </c>
      <c r="V13" s="1">
        <v>14</v>
      </c>
      <c r="W13" s="1">
        <v>7.8</v>
      </c>
      <c r="X13" s="1">
        <v>7.2</v>
      </c>
      <c r="Y13" s="1">
        <v>10.199999999999999</v>
      </c>
      <c r="Z13" s="1">
        <v>2.6</v>
      </c>
      <c r="AA13" s="1">
        <v>14.6</v>
      </c>
      <c r="AB13" s="1">
        <v>3.6</v>
      </c>
      <c r="AC13" s="1">
        <v>4.5999999999999996</v>
      </c>
      <c r="AD13" s="1"/>
      <c r="AE13" s="1">
        <f>G13*Q13</f>
        <v>9.36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34</v>
      </c>
      <c r="C14" s="1">
        <v>100</v>
      </c>
      <c r="D14" s="1"/>
      <c r="E14" s="1">
        <v>89</v>
      </c>
      <c r="F14" s="1">
        <v>10</v>
      </c>
      <c r="G14" s="7">
        <v>0.18</v>
      </c>
      <c r="H14" s="1">
        <v>150</v>
      </c>
      <c r="I14" s="1">
        <v>5038459</v>
      </c>
      <c r="J14" s="1"/>
      <c r="K14" s="1">
        <v>90</v>
      </c>
      <c r="L14" s="1">
        <f t="shared" si="0"/>
        <v>-1</v>
      </c>
      <c r="M14" s="1"/>
      <c r="N14" s="1"/>
      <c r="O14" s="1">
        <v>230</v>
      </c>
      <c r="P14" s="1">
        <f t="shared" si="1"/>
        <v>17.8</v>
      </c>
      <c r="Q14" s="9">
        <f t="shared" si="4"/>
        <v>116</v>
      </c>
      <c r="R14" s="9"/>
      <c r="S14" s="1"/>
      <c r="T14" s="1">
        <f t="shared" si="2"/>
        <v>20</v>
      </c>
      <c r="U14" s="1">
        <f t="shared" si="3"/>
        <v>13.48314606741573</v>
      </c>
      <c r="V14" s="1">
        <v>18.399999999999999</v>
      </c>
      <c r="W14" s="1">
        <v>8.8000000000000007</v>
      </c>
      <c r="X14" s="1">
        <v>9.6</v>
      </c>
      <c r="Y14" s="1">
        <v>14.4</v>
      </c>
      <c r="Z14" s="1">
        <v>7.4</v>
      </c>
      <c r="AA14" s="1">
        <v>19.399999999999999</v>
      </c>
      <c r="AB14" s="1">
        <v>5.8</v>
      </c>
      <c r="AC14" s="1">
        <v>8</v>
      </c>
      <c r="AD14" s="1"/>
      <c r="AE14" s="1">
        <f>G14*Q14</f>
        <v>20.88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1" t="s">
        <v>52</v>
      </c>
      <c r="B15" s="21" t="s">
        <v>34</v>
      </c>
      <c r="C15" s="21"/>
      <c r="D15" s="21"/>
      <c r="E15" s="21"/>
      <c r="F15" s="21"/>
      <c r="G15" s="22">
        <v>0</v>
      </c>
      <c r="H15" s="21">
        <v>150</v>
      </c>
      <c r="I15" s="21">
        <v>5038831</v>
      </c>
      <c r="J15" s="21"/>
      <c r="K15" s="21"/>
      <c r="L15" s="21">
        <f t="shared" si="0"/>
        <v>0</v>
      </c>
      <c r="M15" s="21"/>
      <c r="N15" s="21"/>
      <c r="O15" s="21">
        <v>0</v>
      </c>
      <c r="P15" s="21">
        <f t="shared" si="1"/>
        <v>0</v>
      </c>
      <c r="Q15" s="23"/>
      <c r="R15" s="23"/>
      <c r="S15" s="21"/>
      <c r="T15" s="21" t="e">
        <f t="shared" si="2"/>
        <v>#DIV/0!</v>
      </c>
      <c r="U15" s="21" t="e">
        <f t="shared" si="3"/>
        <v>#DIV/0!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 t="s">
        <v>35</v>
      </c>
      <c r="AE15" s="2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1" t="s">
        <v>53</v>
      </c>
      <c r="B16" s="21" t="s">
        <v>34</v>
      </c>
      <c r="C16" s="21"/>
      <c r="D16" s="21"/>
      <c r="E16" s="21"/>
      <c r="F16" s="21"/>
      <c r="G16" s="22">
        <v>0</v>
      </c>
      <c r="H16" s="21">
        <v>120</v>
      </c>
      <c r="I16" s="21">
        <v>5038855</v>
      </c>
      <c r="J16" s="21"/>
      <c r="K16" s="21"/>
      <c r="L16" s="21">
        <f t="shared" si="0"/>
        <v>0</v>
      </c>
      <c r="M16" s="21"/>
      <c r="N16" s="21"/>
      <c r="O16" s="21">
        <v>0</v>
      </c>
      <c r="P16" s="21">
        <f t="shared" si="1"/>
        <v>0</v>
      </c>
      <c r="Q16" s="23"/>
      <c r="R16" s="23"/>
      <c r="S16" s="21"/>
      <c r="T16" s="21" t="e">
        <f t="shared" si="2"/>
        <v>#DIV/0!</v>
      </c>
      <c r="U16" s="21" t="e">
        <f t="shared" si="3"/>
        <v>#DIV/0!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 t="s">
        <v>35</v>
      </c>
      <c r="AE16" s="2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34</v>
      </c>
      <c r="C17" s="1">
        <v>209</v>
      </c>
      <c r="D17" s="1"/>
      <c r="E17" s="1">
        <v>75</v>
      </c>
      <c r="F17" s="1">
        <v>122</v>
      </c>
      <c r="G17" s="7">
        <v>0.18</v>
      </c>
      <c r="H17" s="1">
        <v>150</v>
      </c>
      <c r="I17" s="1">
        <v>5038435</v>
      </c>
      <c r="J17" s="1"/>
      <c r="K17" s="1">
        <v>76</v>
      </c>
      <c r="L17" s="1">
        <f t="shared" si="0"/>
        <v>-1</v>
      </c>
      <c r="M17" s="1"/>
      <c r="N17" s="1"/>
      <c r="O17" s="1">
        <v>210</v>
      </c>
      <c r="P17" s="1">
        <f t="shared" si="1"/>
        <v>15</v>
      </c>
      <c r="Q17" s="9"/>
      <c r="R17" s="9"/>
      <c r="S17" s="1"/>
      <c r="T17" s="1">
        <f t="shared" si="2"/>
        <v>22.133333333333333</v>
      </c>
      <c r="U17" s="1">
        <f t="shared" si="3"/>
        <v>22.133333333333333</v>
      </c>
      <c r="V17" s="1">
        <v>20.399999999999999</v>
      </c>
      <c r="W17" s="1">
        <v>11</v>
      </c>
      <c r="X17" s="1">
        <v>7.4</v>
      </c>
      <c r="Y17" s="1">
        <v>7</v>
      </c>
      <c r="Z17" s="1">
        <v>6.4</v>
      </c>
      <c r="AA17" s="1">
        <v>23.6</v>
      </c>
      <c r="AB17" s="1">
        <v>6.8</v>
      </c>
      <c r="AC17" s="1">
        <v>4.8</v>
      </c>
      <c r="AD17" s="1"/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55</v>
      </c>
      <c r="B18" s="1" t="s">
        <v>34</v>
      </c>
      <c r="C18" s="1">
        <v>141</v>
      </c>
      <c r="D18" s="1"/>
      <c r="E18" s="1">
        <v>63</v>
      </c>
      <c r="F18" s="1">
        <v>70</v>
      </c>
      <c r="G18" s="7">
        <v>0.18</v>
      </c>
      <c r="H18" s="1">
        <v>120</v>
      </c>
      <c r="I18" s="1">
        <v>5038398</v>
      </c>
      <c r="J18" s="1"/>
      <c r="K18" s="1">
        <v>64</v>
      </c>
      <c r="L18" s="1">
        <f t="shared" si="0"/>
        <v>-1</v>
      </c>
      <c r="M18" s="1"/>
      <c r="N18" s="1"/>
      <c r="O18" s="1">
        <v>280</v>
      </c>
      <c r="P18" s="1">
        <f t="shared" si="1"/>
        <v>12.6</v>
      </c>
      <c r="Q18" s="9"/>
      <c r="R18" s="9"/>
      <c r="S18" s="1"/>
      <c r="T18" s="1">
        <f t="shared" si="2"/>
        <v>27.777777777777779</v>
      </c>
      <c r="U18" s="1">
        <f t="shared" si="3"/>
        <v>27.777777777777779</v>
      </c>
      <c r="V18" s="1">
        <v>21.2</v>
      </c>
      <c r="W18" s="1">
        <v>11.8</v>
      </c>
      <c r="X18" s="1">
        <v>7.8</v>
      </c>
      <c r="Y18" s="1">
        <v>17.2</v>
      </c>
      <c r="Z18" s="1">
        <v>0.8</v>
      </c>
      <c r="AA18" s="1">
        <v>8</v>
      </c>
      <c r="AB18" s="1">
        <v>11.2</v>
      </c>
      <c r="AC18" s="1">
        <v>4.2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56</v>
      </c>
      <c r="B19" s="11" t="s">
        <v>48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0"/>
        <v>0</v>
      </c>
      <c r="M19" s="1"/>
      <c r="N19" s="1"/>
      <c r="O19" s="1">
        <v>0</v>
      </c>
      <c r="P19" s="1">
        <f t="shared" si="1"/>
        <v>0</v>
      </c>
      <c r="Q19" s="9"/>
      <c r="R19" s="9"/>
      <c r="S19" s="1"/>
      <c r="T19" s="1" t="e">
        <f t="shared" si="2"/>
        <v>#DIV/0!</v>
      </c>
      <c r="U19" s="1" t="e">
        <f t="shared" si="3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57</v>
      </c>
      <c r="B20" s="16" t="s">
        <v>48</v>
      </c>
      <c r="C20" s="16">
        <v>42.39</v>
      </c>
      <c r="D20" s="16"/>
      <c r="E20" s="16"/>
      <c r="F20" s="17">
        <v>42.39</v>
      </c>
      <c r="G20" s="18">
        <v>0</v>
      </c>
      <c r="H20" s="19" t="e">
        <v>#N/A</v>
      </c>
      <c r="I20" s="19" t="s">
        <v>58</v>
      </c>
      <c r="J20" s="19" t="s">
        <v>56</v>
      </c>
      <c r="K20" s="19"/>
      <c r="L20" s="19">
        <f t="shared" si="0"/>
        <v>0</v>
      </c>
      <c r="M20" s="19"/>
      <c r="N20" s="19"/>
      <c r="O20" s="19">
        <v>0</v>
      </c>
      <c r="P20" s="19">
        <f t="shared" si="1"/>
        <v>0</v>
      </c>
      <c r="Q20" s="20"/>
      <c r="R20" s="20"/>
      <c r="S20" s="19"/>
      <c r="T20" s="19" t="e">
        <f t="shared" si="2"/>
        <v>#DIV/0!</v>
      </c>
      <c r="U20" s="19" t="e">
        <f t="shared" si="3"/>
        <v>#DIV/0!</v>
      </c>
      <c r="V20" s="19">
        <v>0</v>
      </c>
      <c r="W20" s="19">
        <v>1.3088</v>
      </c>
      <c r="X20" s="19">
        <v>0</v>
      </c>
      <c r="Y20" s="19">
        <v>3.4451999999999998</v>
      </c>
      <c r="Z20" s="19">
        <v>1.3460000000000001</v>
      </c>
      <c r="AA20" s="19">
        <v>1.1572</v>
      </c>
      <c r="AB20" s="19">
        <v>1.3251999999999999</v>
      </c>
      <c r="AC20" s="19">
        <v>0.67120000000000002</v>
      </c>
      <c r="AD20" s="27" t="s">
        <v>38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59</v>
      </c>
      <c r="B21" s="11" t="s">
        <v>48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0"/>
        <v>0</v>
      </c>
      <c r="M21" s="1"/>
      <c r="N21" s="1"/>
      <c r="O21" s="1">
        <v>0</v>
      </c>
      <c r="P21" s="1">
        <f t="shared" si="1"/>
        <v>0</v>
      </c>
      <c r="Q21" s="9"/>
      <c r="R21" s="9"/>
      <c r="S21" s="1"/>
      <c r="T21" s="1" t="e">
        <f t="shared" si="2"/>
        <v>#DIV/0!</v>
      </c>
      <c r="U21" s="1" t="e">
        <f t="shared" si="3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60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61</v>
      </c>
      <c r="B22" s="16" t="s">
        <v>48</v>
      </c>
      <c r="C22" s="16">
        <v>47.99</v>
      </c>
      <c r="D22" s="16"/>
      <c r="E22" s="16">
        <v>3.61</v>
      </c>
      <c r="F22" s="17">
        <v>44.38</v>
      </c>
      <c r="G22" s="18">
        <v>0</v>
      </c>
      <c r="H22" s="19" t="e">
        <v>#N/A</v>
      </c>
      <c r="I22" s="19" t="s">
        <v>58</v>
      </c>
      <c r="J22" s="19" t="s">
        <v>59</v>
      </c>
      <c r="K22" s="19">
        <v>3.5</v>
      </c>
      <c r="L22" s="19">
        <f t="shared" si="0"/>
        <v>0.10999999999999988</v>
      </c>
      <c r="M22" s="19"/>
      <c r="N22" s="19"/>
      <c r="O22" s="19">
        <v>0</v>
      </c>
      <c r="P22" s="19">
        <f t="shared" si="1"/>
        <v>0.72199999999999998</v>
      </c>
      <c r="Q22" s="20"/>
      <c r="R22" s="20"/>
      <c r="S22" s="19"/>
      <c r="T22" s="19">
        <f t="shared" si="2"/>
        <v>61.468144044321335</v>
      </c>
      <c r="U22" s="19">
        <f t="shared" si="3"/>
        <v>61.468144044321335</v>
      </c>
      <c r="V22" s="19">
        <v>0.68499999999999994</v>
      </c>
      <c r="W22" s="19">
        <v>0.64900000000000002</v>
      </c>
      <c r="X22" s="19">
        <v>2.78</v>
      </c>
      <c r="Y22" s="19">
        <v>4.0991999999999997</v>
      </c>
      <c r="Z22" s="19">
        <v>2.0716000000000001</v>
      </c>
      <c r="AA22" s="19">
        <v>1.4436</v>
      </c>
      <c r="AB22" s="19">
        <v>1.3220000000000001</v>
      </c>
      <c r="AC22" s="19">
        <v>0</v>
      </c>
      <c r="AD22" s="27" t="s">
        <v>38</v>
      </c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62</v>
      </c>
      <c r="B23" s="11" t="s">
        <v>48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0"/>
        <v>0</v>
      </c>
      <c r="M23" s="1"/>
      <c r="N23" s="1"/>
      <c r="O23" s="1">
        <v>16</v>
      </c>
      <c r="P23" s="1">
        <f t="shared" si="1"/>
        <v>0</v>
      </c>
      <c r="Q23" s="9"/>
      <c r="R23" s="9"/>
      <c r="S23" s="1"/>
      <c r="T23" s="1" t="e">
        <f t="shared" si="2"/>
        <v>#DIV/0!</v>
      </c>
      <c r="U23" s="1" t="e">
        <f t="shared" si="3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63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64</v>
      </c>
      <c r="B24" s="16" t="s">
        <v>48</v>
      </c>
      <c r="C24" s="16">
        <v>51.718000000000004</v>
      </c>
      <c r="D24" s="16"/>
      <c r="E24" s="16"/>
      <c r="F24" s="17">
        <v>51.718000000000004</v>
      </c>
      <c r="G24" s="18">
        <v>0</v>
      </c>
      <c r="H24" s="19" t="e">
        <v>#N/A</v>
      </c>
      <c r="I24" s="19" t="s">
        <v>58</v>
      </c>
      <c r="J24" s="19" t="s">
        <v>62</v>
      </c>
      <c r="K24" s="19"/>
      <c r="L24" s="19">
        <f t="shared" si="0"/>
        <v>0</v>
      </c>
      <c r="M24" s="19"/>
      <c r="N24" s="19"/>
      <c r="O24" s="19">
        <v>0</v>
      </c>
      <c r="P24" s="19">
        <f t="shared" si="1"/>
        <v>0</v>
      </c>
      <c r="Q24" s="20"/>
      <c r="R24" s="20"/>
      <c r="S24" s="19"/>
      <c r="T24" s="19" t="e">
        <f t="shared" si="2"/>
        <v>#DIV/0!</v>
      </c>
      <c r="U24" s="19" t="e">
        <f t="shared" si="3"/>
        <v>#DIV/0!</v>
      </c>
      <c r="V24" s="19">
        <v>2.6534</v>
      </c>
      <c r="W24" s="19">
        <v>0.64200000000000002</v>
      </c>
      <c r="X24" s="19">
        <v>1.24</v>
      </c>
      <c r="Y24" s="19">
        <v>4.3559999999999999</v>
      </c>
      <c r="Z24" s="19">
        <v>0</v>
      </c>
      <c r="AA24" s="19">
        <v>0</v>
      </c>
      <c r="AB24" s="19">
        <v>1.9656</v>
      </c>
      <c r="AC24" s="19">
        <v>0.63919999999999999</v>
      </c>
      <c r="AD24" s="27" t="s">
        <v>38</v>
      </c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21" t="s">
        <v>65</v>
      </c>
      <c r="B25" s="21" t="s">
        <v>34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0"/>
        <v>0</v>
      </c>
      <c r="M25" s="21"/>
      <c r="N25" s="21"/>
      <c r="O25" s="21">
        <v>0</v>
      </c>
      <c r="P25" s="21">
        <f t="shared" si="1"/>
        <v>0</v>
      </c>
      <c r="Q25" s="23"/>
      <c r="R25" s="23"/>
      <c r="S25" s="21"/>
      <c r="T25" s="21" t="e">
        <f t="shared" si="2"/>
        <v>#DIV/0!</v>
      </c>
      <c r="U25" s="21" t="e">
        <f t="shared" si="3"/>
        <v>#DIV/0!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 t="s">
        <v>66</v>
      </c>
      <c r="AE25" s="2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4" t="s">
        <v>67</v>
      </c>
      <c r="B26" s="25" t="s">
        <v>48</v>
      </c>
      <c r="C26" s="25"/>
      <c r="D26" s="25"/>
      <c r="E26" s="25"/>
      <c r="F26" s="26"/>
      <c r="G26" s="22">
        <v>0</v>
      </c>
      <c r="H26" s="21">
        <v>120</v>
      </c>
      <c r="I26" s="21">
        <v>5522704</v>
      </c>
      <c r="J26" s="21"/>
      <c r="K26" s="21"/>
      <c r="L26" s="21">
        <f t="shared" si="0"/>
        <v>0</v>
      </c>
      <c r="M26" s="21"/>
      <c r="N26" s="21"/>
      <c r="O26" s="21">
        <v>0</v>
      </c>
      <c r="P26" s="21">
        <f t="shared" si="1"/>
        <v>0</v>
      </c>
      <c r="Q26" s="23"/>
      <c r="R26" s="23"/>
      <c r="S26" s="21"/>
      <c r="T26" s="21" t="e">
        <f t="shared" si="2"/>
        <v>#DIV/0!</v>
      </c>
      <c r="U26" s="21" t="e">
        <f t="shared" si="3"/>
        <v>#DIV/0!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 t="s">
        <v>68</v>
      </c>
      <c r="AE26" s="2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thickBot="1" x14ac:dyDescent="0.3">
      <c r="A27" s="15" t="s">
        <v>69</v>
      </c>
      <c r="B27" s="16" t="s">
        <v>48</v>
      </c>
      <c r="C27" s="16">
        <v>59.218000000000004</v>
      </c>
      <c r="D27" s="16"/>
      <c r="E27" s="16">
        <v>3.3820000000000001</v>
      </c>
      <c r="F27" s="17"/>
      <c r="G27" s="18">
        <v>0</v>
      </c>
      <c r="H27" s="19" t="e">
        <v>#N/A</v>
      </c>
      <c r="I27" s="19" t="s">
        <v>58</v>
      </c>
      <c r="J27" s="19" t="s">
        <v>67</v>
      </c>
      <c r="K27" s="19">
        <v>3.5</v>
      </c>
      <c r="L27" s="19">
        <f t="shared" si="0"/>
        <v>-0.11799999999999988</v>
      </c>
      <c r="M27" s="19"/>
      <c r="N27" s="19"/>
      <c r="O27" s="19">
        <v>0</v>
      </c>
      <c r="P27" s="19">
        <f t="shared" si="1"/>
        <v>0.6764</v>
      </c>
      <c r="Q27" s="20"/>
      <c r="R27" s="20"/>
      <c r="S27" s="19"/>
      <c r="T27" s="19">
        <f t="shared" si="2"/>
        <v>0</v>
      </c>
      <c r="U27" s="19">
        <f t="shared" si="3"/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 t="s">
        <v>70</v>
      </c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1" t="s">
        <v>71</v>
      </c>
      <c r="B28" s="21" t="s">
        <v>34</v>
      </c>
      <c r="C28" s="21"/>
      <c r="D28" s="21"/>
      <c r="E28" s="21"/>
      <c r="F28" s="21"/>
      <c r="G28" s="22">
        <v>0</v>
      </c>
      <c r="H28" s="21">
        <v>180</v>
      </c>
      <c r="I28" s="21">
        <v>9988391</v>
      </c>
      <c r="J28" s="21"/>
      <c r="K28" s="21"/>
      <c r="L28" s="21">
        <f t="shared" si="0"/>
        <v>0</v>
      </c>
      <c r="M28" s="21"/>
      <c r="N28" s="21"/>
      <c r="O28" s="21">
        <v>0</v>
      </c>
      <c r="P28" s="21">
        <f t="shared" si="1"/>
        <v>0</v>
      </c>
      <c r="Q28" s="23"/>
      <c r="R28" s="23"/>
      <c r="S28" s="21"/>
      <c r="T28" s="21" t="e">
        <f t="shared" si="2"/>
        <v>#DIV/0!</v>
      </c>
      <c r="U28" s="21" t="e">
        <f t="shared" si="3"/>
        <v>#DIV/0!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 t="s">
        <v>35</v>
      </c>
      <c r="AE28" s="2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1" t="s">
        <v>72</v>
      </c>
      <c r="B29" s="21" t="s">
        <v>34</v>
      </c>
      <c r="C29" s="21"/>
      <c r="D29" s="21"/>
      <c r="E29" s="21"/>
      <c r="F29" s="21"/>
      <c r="G29" s="22">
        <v>0</v>
      </c>
      <c r="H29" s="21">
        <v>270</v>
      </c>
      <c r="I29" s="21">
        <v>9988681</v>
      </c>
      <c r="J29" s="21"/>
      <c r="K29" s="21"/>
      <c r="L29" s="21">
        <f t="shared" si="0"/>
        <v>0</v>
      </c>
      <c r="M29" s="21"/>
      <c r="N29" s="21"/>
      <c r="O29" s="21">
        <v>0</v>
      </c>
      <c r="P29" s="21">
        <f t="shared" si="1"/>
        <v>0</v>
      </c>
      <c r="Q29" s="23"/>
      <c r="R29" s="23"/>
      <c r="S29" s="21"/>
      <c r="T29" s="21" t="e">
        <f t="shared" si="2"/>
        <v>#DIV/0!</v>
      </c>
      <c r="U29" s="21" t="e">
        <f t="shared" si="3"/>
        <v>#DIV/0!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 t="s">
        <v>35</v>
      </c>
      <c r="AE29" s="2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1" t="s">
        <v>73</v>
      </c>
      <c r="B30" s="21" t="s">
        <v>48</v>
      </c>
      <c r="C30" s="21"/>
      <c r="D30" s="21"/>
      <c r="E30" s="21"/>
      <c r="F30" s="21"/>
      <c r="G30" s="22">
        <v>0</v>
      </c>
      <c r="H30" s="21">
        <v>120</v>
      </c>
      <c r="I30" s="21">
        <v>8785198</v>
      </c>
      <c r="J30" s="21"/>
      <c r="K30" s="21"/>
      <c r="L30" s="21">
        <f t="shared" si="0"/>
        <v>0</v>
      </c>
      <c r="M30" s="21"/>
      <c r="N30" s="21"/>
      <c r="O30" s="21">
        <v>0</v>
      </c>
      <c r="P30" s="21">
        <f t="shared" si="1"/>
        <v>0</v>
      </c>
      <c r="Q30" s="23"/>
      <c r="R30" s="23"/>
      <c r="S30" s="21"/>
      <c r="T30" s="21" t="e">
        <f t="shared" si="2"/>
        <v>#DIV/0!</v>
      </c>
      <c r="U30" s="21" t="e">
        <f t="shared" si="3"/>
        <v>#DIV/0!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 t="s">
        <v>35</v>
      </c>
      <c r="AE30" s="2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1" t="s">
        <v>74</v>
      </c>
      <c r="B31" s="21" t="s">
        <v>34</v>
      </c>
      <c r="C31" s="21"/>
      <c r="D31" s="21"/>
      <c r="E31" s="21"/>
      <c r="F31" s="21"/>
      <c r="G31" s="22">
        <v>0</v>
      </c>
      <c r="H31" s="21">
        <v>60</v>
      </c>
      <c r="I31" s="21">
        <v>8444187</v>
      </c>
      <c r="J31" s="21"/>
      <c r="K31" s="21"/>
      <c r="L31" s="21">
        <f t="shared" si="0"/>
        <v>0</v>
      </c>
      <c r="M31" s="21"/>
      <c r="N31" s="21"/>
      <c r="O31" s="21">
        <v>0</v>
      </c>
      <c r="P31" s="21">
        <f t="shared" si="1"/>
        <v>0</v>
      </c>
      <c r="Q31" s="23"/>
      <c r="R31" s="23"/>
      <c r="S31" s="21"/>
      <c r="T31" s="21" t="e">
        <f t="shared" si="2"/>
        <v>#DIV/0!</v>
      </c>
      <c r="U31" s="21" t="e">
        <f t="shared" si="3"/>
        <v>#DIV/0!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 t="s">
        <v>35</v>
      </c>
      <c r="AE31" s="2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21" t="s">
        <v>75</v>
      </c>
      <c r="B32" s="21" t="s">
        <v>34</v>
      </c>
      <c r="C32" s="21"/>
      <c r="D32" s="21"/>
      <c r="E32" s="21"/>
      <c r="F32" s="21"/>
      <c r="G32" s="22">
        <v>0</v>
      </c>
      <c r="H32" s="21">
        <v>90</v>
      </c>
      <c r="I32" s="21">
        <v>8444194</v>
      </c>
      <c r="J32" s="21"/>
      <c r="K32" s="21"/>
      <c r="L32" s="21">
        <f t="shared" si="0"/>
        <v>0</v>
      </c>
      <c r="M32" s="21"/>
      <c r="N32" s="21"/>
      <c r="O32" s="21">
        <v>0</v>
      </c>
      <c r="P32" s="21">
        <f t="shared" si="1"/>
        <v>0</v>
      </c>
      <c r="Q32" s="23"/>
      <c r="R32" s="23"/>
      <c r="S32" s="21"/>
      <c r="T32" s="21" t="e">
        <f t="shared" si="2"/>
        <v>#DIV/0!</v>
      </c>
      <c r="U32" s="21" t="e">
        <f t="shared" si="3"/>
        <v>#DIV/0!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 t="s">
        <v>35</v>
      </c>
      <c r="AE32" s="2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76</v>
      </c>
      <c r="B33" s="11" t="s">
        <v>34</v>
      </c>
      <c r="C33" s="11"/>
      <c r="D33" s="11"/>
      <c r="E33" s="11"/>
      <c r="F33" s="12"/>
      <c r="G33" s="7">
        <v>0.2</v>
      </c>
      <c r="H33" s="1">
        <v>120</v>
      </c>
      <c r="I33" s="1" t="s">
        <v>77</v>
      </c>
      <c r="J33" s="1"/>
      <c r="K33" s="1"/>
      <c r="L33" s="1">
        <f t="shared" si="0"/>
        <v>0</v>
      </c>
      <c r="M33" s="1"/>
      <c r="N33" s="1"/>
      <c r="O33" s="1">
        <v>0</v>
      </c>
      <c r="P33" s="1">
        <f t="shared" si="1"/>
        <v>0</v>
      </c>
      <c r="Q33" s="9">
        <f>18*(P33+P34)-O33-O34-F33-F34</f>
        <v>145.19999999999999</v>
      </c>
      <c r="R33" s="9"/>
      <c r="S33" s="1"/>
      <c r="T33" s="1" t="e">
        <f t="shared" si="2"/>
        <v>#DIV/0!</v>
      </c>
      <c r="U33" s="1" t="e">
        <f t="shared" si="3"/>
        <v>#DIV/0!</v>
      </c>
      <c r="V33" s="1">
        <v>-0.2</v>
      </c>
      <c r="W33" s="1">
        <v>0</v>
      </c>
      <c r="X33" s="1">
        <v>0</v>
      </c>
      <c r="Y33" s="1">
        <v>0</v>
      </c>
      <c r="Z33" s="1">
        <v>0</v>
      </c>
      <c r="AA33" s="1">
        <v>4.5999999999999996</v>
      </c>
      <c r="AB33" s="1">
        <v>3.4</v>
      </c>
      <c r="AC33" s="1">
        <v>7.4</v>
      </c>
      <c r="AD33" s="1" t="s">
        <v>78</v>
      </c>
      <c r="AE33" s="1">
        <f>G33*Q33</f>
        <v>29.04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79</v>
      </c>
      <c r="B34" s="16" t="s">
        <v>34</v>
      </c>
      <c r="C34" s="16">
        <v>171</v>
      </c>
      <c r="D34" s="16">
        <v>130</v>
      </c>
      <c r="E34" s="16">
        <v>97</v>
      </c>
      <c r="F34" s="17">
        <v>204</v>
      </c>
      <c r="G34" s="18">
        <v>0</v>
      </c>
      <c r="H34" s="19" t="e">
        <v>#N/A</v>
      </c>
      <c r="I34" s="19" t="s">
        <v>58</v>
      </c>
      <c r="J34" s="19" t="s">
        <v>76</v>
      </c>
      <c r="K34" s="19">
        <v>97</v>
      </c>
      <c r="L34" s="19">
        <f t="shared" si="0"/>
        <v>0</v>
      </c>
      <c r="M34" s="19"/>
      <c r="N34" s="19"/>
      <c r="O34" s="19">
        <v>0</v>
      </c>
      <c r="P34" s="19">
        <f t="shared" si="1"/>
        <v>19.399999999999999</v>
      </c>
      <c r="Q34" s="20"/>
      <c r="R34" s="20"/>
      <c r="S34" s="19"/>
      <c r="T34" s="19">
        <f t="shared" si="2"/>
        <v>10.515463917525773</v>
      </c>
      <c r="U34" s="19">
        <f t="shared" si="3"/>
        <v>10.515463917525773</v>
      </c>
      <c r="V34" s="19">
        <v>12.2</v>
      </c>
      <c r="W34" s="19">
        <v>17.2</v>
      </c>
      <c r="X34" s="19">
        <v>14.6</v>
      </c>
      <c r="Y34" s="19">
        <v>17</v>
      </c>
      <c r="Z34" s="19">
        <v>14.6</v>
      </c>
      <c r="AA34" s="19">
        <v>6.2</v>
      </c>
      <c r="AB34" s="19">
        <v>5.4</v>
      </c>
      <c r="AC34" s="19">
        <v>1.2</v>
      </c>
      <c r="AD34" s="19"/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80</v>
      </c>
      <c r="B35" s="11" t="s">
        <v>48</v>
      </c>
      <c r="C35" s="11"/>
      <c r="D35" s="11"/>
      <c r="E35" s="11"/>
      <c r="F35" s="12"/>
      <c r="G35" s="7">
        <v>1</v>
      </c>
      <c r="H35" s="1">
        <v>120</v>
      </c>
      <c r="I35" s="1" t="s">
        <v>81</v>
      </c>
      <c r="J35" s="1"/>
      <c r="K35" s="1"/>
      <c r="L35" s="1">
        <f t="shared" si="0"/>
        <v>0</v>
      </c>
      <c r="M35" s="1"/>
      <c r="N35" s="1"/>
      <c r="O35" s="1">
        <v>0</v>
      </c>
      <c r="P35" s="1">
        <f t="shared" si="1"/>
        <v>0</v>
      </c>
      <c r="Q35" s="9"/>
      <c r="R35" s="9"/>
      <c r="S35" s="1"/>
      <c r="T35" s="1" t="e">
        <f t="shared" si="2"/>
        <v>#DIV/0!</v>
      </c>
      <c r="U35" s="1" t="e">
        <f t="shared" si="3"/>
        <v>#DIV/0!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82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83</v>
      </c>
      <c r="B36" s="16" t="s">
        <v>48</v>
      </c>
      <c r="C36" s="16">
        <v>38.82</v>
      </c>
      <c r="D36" s="16">
        <v>15.76</v>
      </c>
      <c r="E36" s="16"/>
      <c r="F36" s="17">
        <v>54.58</v>
      </c>
      <c r="G36" s="18">
        <v>0</v>
      </c>
      <c r="H36" s="19" t="e">
        <v>#N/A</v>
      </c>
      <c r="I36" s="19" t="s">
        <v>58</v>
      </c>
      <c r="J36" s="19" t="s">
        <v>80</v>
      </c>
      <c r="K36" s="19"/>
      <c r="L36" s="19">
        <f t="shared" si="0"/>
        <v>0</v>
      </c>
      <c r="M36" s="19"/>
      <c r="N36" s="19"/>
      <c r="O36" s="19">
        <v>0</v>
      </c>
      <c r="P36" s="19">
        <f t="shared" si="1"/>
        <v>0</v>
      </c>
      <c r="Q36" s="20"/>
      <c r="R36" s="20"/>
      <c r="S36" s="19"/>
      <c r="T36" s="19" t="e">
        <f t="shared" si="2"/>
        <v>#DIV/0!</v>
      </c>
      <c r="U36" s="19" t="e">
        <f t="shared" si="3"/>
        <v>#DIV/0!</v>
      </c>
      <c r="V36" s="19">
        <v>1.2889999999999999</v>
      </c>
      <c r="W36" s="19">
        <v>3.0950000000000002</v>
      </c>
      <c r="X36" s="19">
        <v>3.0209999999999999</v>
      </c>
      <c r="Y36" s="19">
        <v>3.681</v>
      </c>
      <c r="Z36" s="19">
        <v>1.2</v>
      </c>
      <c r="AA36" s="19">
        <v>1.887</v>
      </c>
      <c r="AB36" s="19">
        <v>0</v>
      </c>
      <c r="AC36" s="19">
        <v>2.573</v>
      </c>
      <c r="AD36" s="27" t="s">
        <v>38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84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85</v>
      </c>
      <c r="J37" s="1"/>
      <c r="K37" s="1"/>
      <c r="L37" s="1">
        <f t="shared" si="0"/>
        <v>0</v>
      </c>
      <c r="M37" s="1"/>
      <c r="N37" s="1"/>
      <c r="O37" s="1">
        <v>70</v>
      </c>
      <c r="P37" s="1">
        <f t="shared" si="1"/>
        <v>0</v>
      </c>
      <c r="Q37" s="9">
        <f>20*(P37+P38)-O37-O38-F37-F38</f>
        <v>37</v>
      </c>
      <c r="R37" s="9"/>
      <c r="S37" s="1"/>
      <c r="T37" s="1" t="e">
        <f t="shared" si="2"/>
        <v>#DIV/0!</v>
      </c>
      <c r="U37" s="1" t="e">
        <f t="shared" si="3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0.4</v>
      </c>
      <c r="AD37" s="1" t="s">
        <v>86</v>
      </c>
      <c r="AE37" s="1">
        <f>G37*Q37</f>
        <v>7.4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87</v>
      </c>
      <c r="B38" s="16" t="s">
        <v>34</v>
      </c>
      <c r="C38" s="16">
        <v>173</v>
      </c>
      <c r="D38" s="16">
        <v>10</v>
      </c>
      <c r="E38" s="16">
        <v>58</v>
      </c>
      <c r="F38" s="17">
        <v>125</v>
      </c>
      <c r="G38" s="18">
        <v>0</v>
      </c>
      <c r="H38" s="19" t="e">
        <v>#N/A</v>
      </c>
      <c r="I38" s="19" t="s">
        <v>58</v>
      </c>
      <c r="J38" s="19" t="s">
        <v>84</v>
      </c>
      <c r="K38" s="19">
        <v>58</v>
      </c>
      <c r="L38" s="19">
        <f t="shared" si="0"/>
        <v>0</v>
      </c>
      <c r="M38" s="19"/>
      <c r="N38" s="19"/>
      <c r="O38" s="19">
        <v>0</v>
      </c>
      <c r="P38" s="19">
        <f t="shared" si="1"/>
        <v>11.6</v>
      </c>
      <c r="Q38" s="20"/>
      <c r="R38" s="20"/>
      <c r="S38" s="19"/>
      <c r="T38" s="19">
        <f t="shared" si="2"/>
        <v>10.775862068965518</v>
      </c>
      <c r="U38" s="19">
        <f t="shared" si="3"/>
        <v>10.775862068965518</v>
      </c>
      <c r="V38" s="19">
        <v>11.2</v>
      </c>
      <c r="W38" s="19">
        <v>11.8</v>
      </c>
      <c r="X38" s="19">
        <v>8.4</v>
      </c>
      <c r="Y38" s="19">
        <v>15.6</v>
      </c>
      <c r="Z38" s="19">
        <v>12.6</v>
      </c>
      <c r="AA38" s="19">
        <v>17.600000000000001</v>
      </c>
      <c r="AB38" s="19">
        <v>6</v>
      </c>
      <c r="AC38" s="19">
        <v>6.2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88</v>
      </c>
      <c r="B39" s="11" t="s">
        <v>48</v>
      </c>
      <c r="C39" s="11">
        <v>10.592000000000001</v>
      </c>
      <c r="D39" s="11"/>
      <c r="E39" s="11">
        <v>3.5720000000000001</v>
      </c>
      <c r="F39" s="12"/>
      <c r="G39" s="7">
        <v>1</v>
      </c>
      <c r="H39" s="1">
        <v>120</v>
      </c>
      <c r="I39" s="1" t="s">
        <v>89</v>
      </c>
      <c r="J39" s="1"/>
      <c r="K39" s="1">
        <v>3.5</v>
      </c>
      <c r="L39" s="1">
        <f t="shared" si="0"/>
        <v>7.2000000000000064E-2</v>
      </c>
      <c r="M39" s="1"/>
      <c r="N39" s="1"/>
      <c r="O39" s="1">
        <v>0</v>
      </c>
      <c r="P39" s="1">
        <f t="shared" si="1"/>
        <v>0.71440000000000003</v>
      </c>
      <c r="Q39" s="9"/>
      <c r="R39" s="9"/>
      <c r="S39" s="1"/>
      <c r="T39" s="1">
        <f t="shared" si="2"/>
        <v>0</v>
      </c>
      <c r="U39" s="1">
        <f t="shared" si="3"/>
        <v>0</v>
      </c>
      <c r="V39" s="1">
        <v>0.72240000000000004</v>
      </c>
      <c r="W39" s="1">
        <v>2.2132000000000001</v>
      </c>
      <c r="X39" s="1">
        <v>4.3284000000000002</v>
      </c>
      <c r="Y39" s="1">
        <v>0</v>
      </c>
      <c r="Z39" s="1">
        <v>3.4676</v>
      </c>
      <c r="AA39" s="1">
        <v>0.83240000000000003</v>
      </c>
      <c r="AB39" s="1">
        <v>0</v>
      </c>
      <c r="AC39" s="1">
        <v>0</v>
      </c>
      <c r="AD39" s="1" t="s">
        <v>90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5" t="s">
        <v>91</v>
      </c>
      <c r="B40" s="16" t="s">
        <v>48</v>
      </c>
      <c r="C40" s="16">
        <v>42.04</v>
      </c>
      <c r="D40" s="16">
        <v>6.5759999999999996</v>
      </c>
      <c r="E40" s="16">
        <v>6.976</v>
      </c>
      <c r="F40" s="17">
        <v>41.64</v>
      </c>
      <c r="G40" s="18">
        <v>0</v>
      </c>
      <c r="H40" s="19" t="e">
        <v>#N/A</v>
      </c>
      <c r="I40" s="19" t="s">
        <v>58</v>
      </c>
      <c r="J40" s="19" t="s">
        <v>88</v>
      </c>
      <c r="K40" s="19">
        <v>7</v>
      </c>
      <c r="L40" s="19">
        <f t="shared" si="0"/>
        <v>-2.4000000000000021E-2</v>
      </c>
      <c r="M40" s="19"/>
      <c r="N40" s="19"/>
      <c r="O40" s="19">
        <v>0</v>
      </c>
      <c r="P40" s="19">
        <f t="shared" si="1"/>
        <v>1.3952</v>
      </c>
      <c r="Q40" s="20"/>
      <c r="R40" s="20"/>
      <c r="S40" s="19"/>
      <c r="T40" s="19">
        <f t="shared" si="2"/>
        <v>29.845183486238533</v>
      </c>
      <c r="U40" s="19">
        <f t="shared" si="3"/>
        <v>29.845183486238533</v>
      </c>
      <c r="V40" s="19">
        <v>1.4543999999999999</v>
      </c>
      <c r="W40" s="19">
        <v>0.71560000000000001</v>
      </c>
      <c r="X40" s="19">
        <v>0</v>
      </c>
      <c r="Y40" s="19">
        <v>0.73319999999999996</v>
      </c>
      <c r="Z40" s="19">
        <v>0</v>
      </c>
      <c r="AA40" s="19">
        <v>0</v>
      </c>
      <c r="AB40" s="19">
        <v>4.8555999999999999</v>
      </c>
      <c r="AC40" s="19">
        <v>0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40</v>
      </c>
      <c r="B42" s="1" t="s">
        <v>34</v>
      </c>
      <c r="C42" s="1">
        <v>77</v>
      </c>
      <c r="D42" s="1"/>
      <c r="E42" s="1">
        <v>7</v>
      </c>
      <c r="F42" s="1">
        <v>70</v>
      </c>
      <c r="G42" s="7">
        <v>0.18</v>
      </c>
      <c r="H42" s="1">
        <v>120</v>
      </c>
      <c r="I42" s="1"/>
      <c r="J42" s="1"/>
      <c r="K42" s="1">
        <v>7</v>
      </c>
      <c r="L42" s="1">
        <f>E42-K42</f>
        <v>0</v>
      </c>
      <c r="M42" s="1"/>
      <c r="N42" s="1"/>
      <c r="O42" s="1">
        <v>50</v>
      </c>
      <c r="P42" s="1">
        <f>E42/5</f>
        <v>1.4</v>
      </c>
      <c r="Q42" s="9"/>
      <c r="R42" s="9"/>
      <c r="S42" s="1"/>
      <c r="T42" s="1">
        <f>(F42+O42+Q42)/P42</f>
        <v>85.714285714285722</v>
      </c>
      <c r="U42" s="1">
        <f>(F42+O42)/P42</f>
        <v>85.714285714285722</v>
      </c>
      <c r="V42" s="1">
        <v>5.6</v>
      </c>
      <c r="W42" s="1">
        <v>1.2</v>
      </c>
      <c r="X42" s="1">
        <v>2.8</v>
      </c>
      <c r="Y42" s="1">
        <v>5.2</v>
      </c>
      <c r="Z42" s="1">
        <v>1.6</v>
      </c>
      <c r="AA42" s="1">
        <v>6.6</v>
      </c>
      <c r="AB42" s="1">
        <v>1.2</v>
      </c>
      <c r="AC42" s="1">
        <v>0.6</v>
      </c>
      <c r="AD42" s="28" t="s">
        <v>92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41</v>
      </c>
      <c r="B43" s="1" t="s">
        <v>34</v>
      </c>
      <c r="C43" s="1">
        <v>108</v>
      </c>
      <c r="D43" s="1"/>
      <c r="E43" s="1">
        <v>4</v>
      </c>
      <c r="F43" s="1">
        <v>102</v>
      </c>
      <c r="G43" s="7">
        <v>0.18</v>
      </c>
      <c r="H43" s="1">
        <v>120</v>
      </c>
      <c r="I43" s="1"/>
      <c r="J43" s="1"/>
      <c r="K43" s="1">
        <v>6</v>
      </c>
      <c r="L43" s="1">
        <f>E43-K43</f>
        <v>-2</v>
      </c>
      <c r="M43" s="1"/>
      <c r="N43" s="1"/>
      <c r="O43" s="1"/>
      <c r="P43" s="1">
        <f>E43/5</f>
        <v>0.8</v>
      </c>
      <c r="Q43" s="9"/>
      <c r="R43" s="9"/>
      <c r="S43" s="1"/>
      <c r="T43" s="1">
        <f>(F43+O43+Q43)/P43</f>
        <v>127.5</v>
      </c>
      <c r="U43" s="1">
        <f>(F43+O43)/P43</f>
        <v>127.5</v>
      </c>
      <c r="V43" s="1">
        <v>4</v>
      </c>
      <c r="W43" s="1">
        <v>2.6</v>
      </c>
      <c r="X43" s="1">
        <v>3.8</v>
      </c>
      <c r="Y43" s="1">
        <v>7.8</v>
      </c>
      <c r="Z43" s="1">
        <v>1.6</v>
      </c>
      <c r="AA43" s="1">
        <v>5.4</v>
      </c>
      <c r="AB43" s="1">
        <v>3.2</v>
      </c>
      <c r="AC43" s="1">
        <v>0.8</v>
      </c>
      <c r="AD43" s="28" t="s">
        <v>92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1" t="s">
        <v>33</v>
      </c>
      <c r="B44" s="21" t="s">
        <v>34</v>
      </c>
      <c r="C44" s="21"/>
      <c r="D44" s="21"/>
      <c r="E44" s="21"/>
      <c r="F44" s="21"/>
      <c r="G44" s="22">
        <v>0</v>
      </c>
      <c r="H44" s="21"/>
      <c r="I44" s="21">
        <v>4421577</v>
      </c>
      <c r="J44" s="21"/>
      <c r="K44" s="21"/>
      <c r="L44" s="21">
        <f>E44-K44</f>
        <v>0</v>
      </c>
      <c r="M44" s="21"/>
      <c r="N44" s="21"/>
      <c r="O44" s="21"/>
      <c r="P44" s="21">
        <f>E44/5</f>
        <v>0</v>
      </c>
      <c r="Q44" s="23"/>
      <c r="R44" s="23"/>
      <c r="S44" s="21"/>
      <c r="T44" s="21" t="e">
        <f>(F44+O44+Q44)/P44</f>
        <v>#DIV/0!</v>
      </c>
      <c r="U44" s="21" t="e">
        <f>(F44+O44)/P44</f>
        <v>#DIV/0!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 t="s">
        <v>35</v>
      </c>
      <c r="AE44" s="2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1" t="s">
        <v>36</v>
      </c>
      <c r="B45" s="21" t="s">
        <v>34</v>
      </c>
      <c r="C45" s="21"/>
      <c r="D45" s="21"/>
      <c r="E45" s="21"/>
      <c r="F45" s="21"/>
      <c r="G45" s="22">
        <v>0</v>
      </c>
      <c r="H45" s="21"/>
      <c r="I45" s="21">
        <v>4421584</v>
      </c>
      <c r="J45" s="21"/>
      <c r="K45" s="21"/>
      <c r="L45" s="21">
        <f>E45-K45</f>
        <v>0</v>
      </c>
      <c r="M45" s="21"/>
      <c r="N45" s="21"/>
      <c r="O45" s="21"/>
      <c r="P45" s="21">
        <f>E45/5</f>
        <v>0</v>
      </c>
      <c r="Q45" s="23"/>
      <c r="R45" s="23"/>
      <c r="S45" s="21"/>
      <c r="T45" s="21" t="e">
        <f>(F45+O45+Q45)/P45</f>
        <v>#DIV/0!</v>
      </c>
      <c r="U45" s="21" t="e">
        <f>(F45+O45)/P45</f>
        <v>#DIV/0!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 t="s">
        <v>35</v>
      </c>
      <c r="AE45" s="2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</sheetData>
  <autoFilter ref="A3:AE40" xr:uid="{502D4DD2-64B5-4D9D-95BD-353BDE3D2FD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2025-11-03T09:59:32Z</dcterms:created>
  <dcterms:modified xsi:type="dcterms:W3CDTF">2025-11-03T10:11:20Z</dcterms:modified>
</cp:coreProperties>
</file>