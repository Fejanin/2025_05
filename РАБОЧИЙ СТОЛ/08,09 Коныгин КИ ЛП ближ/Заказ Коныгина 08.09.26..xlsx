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08,09 Коныгин КИ ЛП ближ\"/>
    </mc:Choice>
  </mc:AlternateContent>
  <xr:revisionPtr revIDLastSave="0" documentId="13_ncr:1_{4C22B252-851D-4874-B5CE-07F0AE6BEC8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Z250" i="2" l="1"/>
  <c r="BN250" i="2"/>
  <c r="BP40" i="2"/>
  <c r="Z429" i="2"/>
  <c r="BN429" i="2"/>
  <c r="Y137" i="2"/>
  <c r="BP161" i="2"/>
  <c r="Z191" i="2"/>
  <c r="BN191" i="2"/>
  <c r="Z195" i="2"/>
  <c r="BN195" i="2"/>
  <c r="Z205" i="2"/>
  <c r="Z206" i="2" s="1"/>
  <c r="Z396" i="2"/>
  <c r="Z455" i="2"/>
  <c r="Z104" i="2"/>
  <c r="Z230" i="2"/>
  <c r="Z297" i="2"/>
  <c r="BN297" i="2"/>
  <c r="Z405" i="2"/>
  <c r="BN405" i="2"/>
  <c r="Z441" i="2"/>
  <c r="BN441" i="2"/>
  <c r="Z466" i="2"/>
  <c r="BN466" i="2"/>
  <c r="Y61" i="2"/>
  <c r="Y227" i="2"/>
  <c r="Z27" i="2"/>
  <c r="Z64" i="2"/>
  <c r="Z86" i="2"/>
  <c r="BN86" i="2"/>
  <c r="Z93" i="2"/>
  <c r="BP184" i="2"/>
  <c r="Z185" i="2"/>
  <c r="BN185" i="2"/>
  <c r="Z233" i="2"/>
  <c r="BN233" i="2"/>
  <c r="Z267" i="2"/>
  <c r="BN267" i="2"/>
  <c r="Z397" i="2"/>
  <c r="Y400" i="2"/>
  <c r="Z411" i="2"/>
  <c r="Z439" i="2"/>
  <c r="Z449" i="2"/>
  <c r="Z465" i="2"/>
  <c r="BP539" i="2"/>
  <c r="BP41" i="2"/>
  <c r="BN41" i="2"/>
  <c r="Z41" i="2"/>
  <c r="BN60" i="2"/>
  <c r="Z60" i="2"/>
  <c r="BP78" i="2"/>
  <c r="BN78" i="2"/>
  <c r="Z78" i="2"/>
  <c r="BP85" i="2"/>
  <c r="Z85" i="2"/>
  <c r="BP95" i="2"/>
  <c r="BN95" i="2"/>
  <c r="Z95" i="2"/>
  <c r="BN106" i="2"/>
  <c r="Z106" i="2"/>
  <c r="BP29" i="2"/>
  <c r="BN29" i="2"/>
  <c r="Z29" i="2"/>
  <c r="BN39" i="2"/>
  <c r="Z39" i="2"/>
  <c r="BN77" i="2"/>
  <c r="Z77" i="2"/>
  <c r="Z81" i="2" s="1"/>
  <c r="BN99" i="2"/>
  <c r="BN105" i="2"/>
  <c r="Z105" i="2"/>
  <c r="BP106" i="2"/>
  <c r="BN115" i="2"/>
  <c r="Y202" i="2"/>
  <c r="BN352" i="2"/>
  <c r="BN389" i="2"/>
  <c r="BP409" i="2"/>
  <c r="Y412" i="2"/>
  <c r="BN422" i="2"/>
  <c r="BN430" i="2"/>
  <c r="BN442" i="2"/>
  <c r="BN492" i="2"/>
  <c r="BN510" i="2"/>
  <c r="BN515" i="2"/>
  <c r="BN530" i="2"/>
  <c r="BN556" i="2"/>
  <c r="BN107" i="2"/>
  <c r="BN123" i="2"/>
  <c r="BN128" i="2"/>
  <c r="BN160" i="2"/>
  <c r="BN215" i="2"/>
  <c r="BN231" i="2"/>
  <c r="BN234" i="2"/>
  <c r="BN249" i="2"/>
  <c r="BN256" i="2"/>
  <c r="BN282" i="2"/>
  <c r="BN287" i="2"/>
  <c r="BN293" i="2"/>
  <c r="BN314" i="2"/>
  <c r="BN326" i="2"/>
  <c r="BN343" i="2"/>
  <c r="B574" i="2"/>
  <c r="BN23" i="2"/>
  <c r="BN30" i="2"/>
  <c r="BN80" i="2"/>
  <c r="BP93" i="2"/>
  <c r="BN119" i="2"/>
  <c r="Z124" i="2"/>
  <c r="Z127" i="2"/>
  <c r="BN145" i="2"/>
  <c r="Z190" i="2"/>
  <c r="BN201" i="2"/>
  <c r="BN226" i="2"/>
  <c r="BN236" i="2"/>
  <c r="Y258" i="2"/>
  <c r="Z277" i="2"/>
  <c r="BN277" i="2"/>
  <c r="BN278" i="2"/>
  <c r="BN283" i="2"/>
  <c r="BN289" i="2"/>
  <c r="BP298" i="2"/>
  <c r="BN303" i="2"/>
  <c r="BN310" i="2"/>
  <c r="BN318" i="2"/>
  <c r="BN336" i="2"/>
  <c r="BN351" i="2"/>
  <c r="Y367" i="2"/>
  <c r="BN372" i="2"/>
  <c r="Z373" i="2"/>
  <c r="BN379" i="2"/>
  <c r="Z383" i="2"/>
  <c r="BN383" i="2"/>
  <c r="BP396" i="2"/>
  <c r="Z403" i="2"/>
  <c r="Z409" i="2"/>
  <c r="BP410" i="2"/>
  <c r="BN415" i="2"/>
  <c r="Z454" i="2"/>
  <c r="BP455" i="2"/>
  <c r="BP465" i="2"/>
  <c r="Y493" i="2"/>
  <c r="Z497" i="2"/>
  <c r="Z498" i="2" s="1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56" i="2" l="1"/>
  <c r="Z467" i="2"/>
  <c r="Z273" i="2"/>
  <c r="Z406" i="2"/>
  <c r="Z100" i="2"/>
  <c r="Z366" i="2"/>
  <c r="Z461" i="2"/>
  <c r="Z524" i="2"/>
  <c r="Z412" i="2"/>
  <c r="Z258" i="2"/>
  <c r="Z329" i="2"/>
  <c r="Z112" i="2"/>
  <c r="Z244" i="2"/>
  <c r="Z74" i="2"/>
  <c r="Z32" i="2"/>
  <c r="Z504" i="2"/>
  <c r="Z90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<sst xmlns="http://schemas.openxmlformats.org/spreadsheetml/2006/main" count="4373" uniqueCount="914">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</sst>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topLeftCell="A504" zoomScaleNormal="100" zoomScaleSheetLayoutView="100" workbookViewId="0">
      <selection activeCell="AA570" sqref="AA5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/>
      <c r="I5" s="667"/>
      <c r="J5" s="667"/>
      <c r="K5" s="667"/>
      <c r="L5" s="667"/>
      <c r="M5" s="667"/>
      <c r="N5" s="72"/>
      <c r="P5" s="27" t="s">
        <v>4</v>
      </c>
      <c r="Q5" s="669">
        <v>46275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Четверг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0.41666666666666669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40</v>
      </c>
      <c r="Y47" s="55">
        <f>IFERROR(IF(X47="",0,CEILING((X47/$H47),1)*$H47),"")</f>
        <v>43.2</v>
      </c>
      <c r="Z47" s="41">
        <f>IFERROR(IF(Y47=0,"",ROUNDUP(Y47/H47,0)*0.01898),"")</f>
        <v>7.5920000000000001E-2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41.518518518518519</v>
      </c>
      <c r="BN47" s="78">
        <f>IFERROR(Y47*I47/H47,"0")</f>
        <v>44.84</v>
      </c>
      <c r="BO47" s="78">
        <f>IFERROR(1/J47*(X47/H47),"0")</f>
        <v>5.7870370370370364E-2</v>
      </c>
      <c r="BP47" s="78">
        <f>IFERROR(1/J47*(Y47/H47),"0")</f>
        <v>6.25E-2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3.7037037037037033</v>
      </c>
      <c r="Y51" s="43">
        <f>IFERROR(Y47/H47,"0")+IFERROR(Y48/H48,"0")+IFERROR(Y49/H49,"0")+IFERROR(Y50/H50,"0")</f>
        <v>4</v>
      </c>
      <c r="Z51" s="43">
        <f>IFERROR(IF(Z47="",0,Z47),"0")+IFERROR(IF(Z48="",0,Z48),"0")+IFERROR(IF(Z49="",0,Z49),"0")+IFERROR(IF(Z50="",0,Z50),"0")</f>
        <v>7.5920000000000001E-2</v>
      </c>
      <c r="AA51" s="67"/>
      <c r="AB51" s="67"/>
      <c r="AC51" s="67"/>
    </row>
    <row r="52" spans="1:68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40</v>
      </c>
      <c r="Y52" s="43">
        <f>IFERROR(SUM(Y47:Y50),"0")</f>
        <v>43.2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40</v>
      </c>
      <c r="Y64" s="55">
        <f>IFERROR(IF(X64="",0,CEILING((X64/$H64),1)*$H64),"")</f>
        <v>43.2</v>
      </c>
      <c r="Z64" s="41">
        <f>IFERROR(IF(Y64=0,"",ROUNDUP(Y64/H64,0)*0.01898),"")</f>
        <v>7.5920000000000001E-2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41.518518518518519</v>
      </c>
      <c r="BN64" s="78">
        <f>IFERROR(Y64*I64/H64,"0")</f>
        <v>44.84</v>
      </c>
      <c r="BO64" s="78">
        <f>IFERROR(1/J64*(X64/H64),"0")</f>
        <v>5.7870370370370364E-2</v>
      </c>
      <c r="BP64" s="78">
        <f>IFERROR(1/J64*(Y64/H64),"0")</f>
        <v>6.25E-2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3.7037037037037033</v>
      </c>
      <c r="Y68" s="43">
        <f>IFERROR(Y64/H64,"0")+IFERROR(Y65/H65,"0")+IFERROR(Y66/H66,"0")+IFERROR(Y67/H67,"0")</f>
        <v>4</v>
      </c>
      <c r="Z68" s="43">
        <f>IFERROR(IF(Z64="",0,Z64),"0")+IFERROR(IF(Z65="",0,Z65),"0")+IFERROR(IF(Z66="",0,Z66),"0")+IFERROR(IF(Z67="",0,Z67),"0")</f>
        <v>7.5920000000000001E-2</v>
      </c>
      <c r="AA68" s="67"/>
      <c r="AB68" s="67"/>
      <c r="AC68" s="67"/>
    </row>
    <row r="69" spans="1:68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40</v>
      </c>
      <c r="Y69" s="43">
        <f>IFERROR(SUM(Y64:Y67),"0")</f>
        <v>43.2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50</v>
      </c>
      <c r="Y93" s="55">
        <f t="shared" ref="Y93:Y99" si="5">IFERROR(IF(X93="",0,CEILING((X93/$H93),1)*$H93),"")</f>
        <v>56.699999999999996</v>
      </c>
      <c r="Z93" s="41">
        <f>IFERROR(IF(Y93=0,"",ROUNDUP(Y93/H93,0)*0.01898),"")</f>
        <v>0.13286000000000001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53.049382716049386</v>
      </c>
      <c r="BN93" s="78">
        <f t="shared" ref="BN93:BN99" si="7">IFERROR(Y93*I93/H93,"0")</f>
        <v>60.157999999999994</v>
      </c>
      <c r="BO93" s="78">
        <f t="shared" ref="BO93:BO99" si="8">IFERROR(1/J93*(X93/H93),"0")</f>
        <v>9.6450617283950615E-2</v>
      </c>
      <c r="BP93" s="78">
        <f t="shared" ref="BP93:BP99" si="9">IFERROR(1/J93*(Y93/H93),"0")</f>
        <v>0.109375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6.1728395061728394</v>
      </c>
      <c r="Y100" s="43">
        <f>IFERROR(Y93/H93,"0")+IFERROR(Y94/H94,"0")+IFERROR(Y95/H95,"0")+IFERROR(Y96/H96,"0")+IFERROR(Y97/H97,"0")+IFERROR(Y98/H98,"0")+IFERROR(Y99/H99,"0")</f>
        <v>7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0.13286000000000001</v>
      </c>
      <c r="AA100" s="67"/>
      <c r="AB100" s="67"/>
      <c r="AC100" s="67"/>
    </row>
    <row r="101" spans="1:68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50</v>
      </c>
      <c r="Y101" s="43">
        <f>IFERROR(SUM(Y93:Y99),"0")</f>
        <v>56.699999999999996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130</v>
      </c>
      <c r="Y232" s="55">
        <f t="shared" si="39"/>
        <v>130.20000000000002</v>
      </c>
      <c r="Z232" s="41">
        <f>IFERROR(IF(Y232=0,"",ROUNDUP(Y232/H232,0)*0.00902),"")</f>
        <v>0.27961999999999998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135.88095238095235</v>
      </c>
      <c r="BN232" s="78">
        <f t="shared" si="41"/>
        <v>136.09</v>
      </c>
      <c r="BO232" s="78">
        <f t="shared" si="42"/>
        <v>0.23448773448773449</v>
      </c>
      <c r="BP232" s="78">
        <f t="shared" si="43"/>
        <v>0.23484848484848489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30.952380952380953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31.000000000000004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0.27961999999999998</v>
      </c>
      <c r="AA244" s="67"/>
      <c r="AB244" s="67"/>
      <c r="AC244" s="67"/>
    </row>
    <row r="245" spans="1:68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130</v>
      </c>
      <c r="Y245" s="43">
        <f>IFERROR(SUM(Y230:Y243),"0")</f>
        <v>130.20000000000002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si="45"/>
        <v>205.20000000000002</v>
      </c>
      <c r="Z278" s="41">
        <f>IFERROR(IF(Y278=0,"",ROUNDUP(Y278/H278,0)*0.00902),"")</f>
        <v>0.34276000000000001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207.03703703703701</v>
      </c>
      <c r="BN278" s="78">
        <f t="shared" si="47"/>
        <v>212.42</v>
      </c>
      <c r="BO278" s="78">
        <f t="shared" si="48"/>
        <v>0.28058361391694725</v>
      </c>
      <c r="BP278" s="78">
        <f t="shared" si="49"/>
        <v>0.2878787878787879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46.296296296296298</v>
      </c>
      <c r="Y284" s="43">
        <f>IFERROR(Y276/H276,"0")+IFERROR(Y277/H277,"0")+IFERROR(Y278/H278,"0")+IFERROR(Y279/H279,"0")+IFERROR(Y280/H280,"0")+IFERROR(Y281/H281,"0")+IFERROR(Y282/H282,"0")+IFERROR(Y283/H283,"0")</f>
        <v>48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0.43296000000000001</v>
      </c>
      <c r="AA284" s="67"/>
      <c r="AB284" s="67"/>
      <c r="AC284" s="67"/>
    </row>
    <row r="285" spans="1:68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250</v>
      </c>
      <c r="Y285" s="43">
        <f>IFERROR(SUM(Y276:Y283),"0")</f>
        <v>259.20000000000005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900</v>
      </c>
      <c r="Y380" s="55">
        <f t="shared" si="65"/>
        <v>903</v>
      </c>
      <c r="Z380" s="41">
        <f>IFERROR(IF(Y380=0,"",ROUNDUP(Y380/H380,0)*0.00902),"")</f>
        <v>1.9393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953.57142857142856</v>
      </c>
      <c r="BN380" s="78">
        <f t="shared" si="67"/>
        <v>956.75</v>
      </c>
      <c r="BO380" s="78">
        <f t="shared" si="68"/>
        <v>1.6233766233766234</v>
      </c>
      <c r="BP380" s="78">
        <f t="shared" si="69"/>
        <v>1.6287878787878789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214.28571428571428</v>
      </c>
      <c r="Y386" s="43">
        <f>IFERROR(Y379/H379,"0")+IFERROR(Y380/H380,"0")+IFERROR(Y381/H381,"0")+IFERROR(Y382/H382,"0")+IFERROR(Y383/H383,"0")+IFERROR(Y384/H384,"0")+IFERROR(Y385/H385,"0")</f>
        <v>215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1.9393</v>
      </c>
      <c r="AA386" s="67"/>
      <c r="AB386" s="67"/>
      <c r="AC386" s="67"/>
    </row>
    <row r="387" spans="1:68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900</v>
      </c>
      <c r="Y387" s="43">
        <f>IFERROR(SUM(Y379:Y385),"0")</f>
        <v>903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50</v>
      </c>
      <c r="Y397" s="55">
        <f>IFERROR(IF(X397="",0,CEILING((X397/$H397),1)*$H397),"")</f>
        <v>54.6</v>
      </c>
      <c r="Z397" s="41">
        <f>IFERROR(IF(Y397=0,"",ROUNDUP(Y397/H397,0)*0.01898),"")</f>
        <v>0.13286000000000001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53.166666666666671</v>
      </c>
      <c r="BN397" s="78">
        <f>IFERROR(Y397*I397/H397,"0")</f>
        <v>58.058000000000007</v>
      </c>
      <c r="BO397" s="78">
        <f>IFERROR(1/J397*(X397/H397),"0")</f>
        <v>0.10016025641025642</v>
      </c>
      <c r="BP397" s="78">
        <f>IFERROR(1/J397*(Y397/H397),"0")</f>
        <v>0.109375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6.4102564102564106</v>
      </c>
      <c r="Y399" s="43">
        <f>IFERROR(Y396/H396,"0")+IFERROR(Y397/H397,"0")+IFERROR(Y398/H398,"0")</f>
        <v>7</v>
      </c>
      <c r="Z399" s="43">
        <f>IFERROR(IF(Z396="",0,Z396),"0")+IFERROR(IF(Z397="",0,Z397),"0")+IFERROR(IF(Z398="",0,Z398),"0")</f>
        <v>0.13286000000000001</v>
      </c>
      <c r="AA399" s="67"/>
      <c r="AB399" s="67"/>
      <c r="AC399" s="67"/>
    </row>
    <row r="400" spans="1:68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50</v>
      </c>
      <c r="Y400" s="43">
        <f>IFERROR(SUM(Y396:Y398),"0")</f>
        <v>54.6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200</v>
      </c>
      <c r="Y422" s="55">
        <f>IFERROR(IF(X422="",0,CEILING((X422/$H422),1)*$H422),"")</f>
        <v>202.79999999999998</v>
      </c>
      <c r="Z422" s="41">
        <f>IFERROR(IF(Y422=0,"",ROUNDUP(Y422/H422,0)*0.01898),"")</f>
        <v>0.49348000000000003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210.51282051282055</v>
      </c>
      <c r="BN422" s="78">
        <f>IFERROR(Y422*I422/H422,"0")</f>
        <v>213.46</v>
      </c>
      <c r="BO422" s="78">
        <f>IFERROR(1/J422*(X422/H422),"0")</f>
        <v>0.40064102564102566</v>
      </c>
      <c r="BP422" s="78">
        <f>IFERROR(1/J422*(Y422/H422),"0")</f>
        <v>0.40625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300</v>
      </c>
      <c r="Y423" s="55">
        <f>IFERROR(IF(X423="",0,CEILING((X423/$H423),1)*$H423),"")</f>
        <v>304.2</v>
      </c>
      <c r="Z423" s="41">
        <f>IFERROR(IF(Y423=0,"",ROUNDUP(Y423/H423,0)*0.01898),"")</f>
        <v>0.74021999999999999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315.76923076923083</v>
      </c>
      <c r="BN423" s="78">
        <f>IFERROR(Y423*I423/H423,"0")</f>
        <v>320.19</v>
      </c>
      <c r="BO423" s="78">
        <f>IFERROR(1/J423*(X423/H423),"0")</f>
        <v>0.60096153846153844</v>
      </c>
      <c r="BP423" s="78">
        <f>IFERROR(1/J423*(Y423/H423),"0")</f>
        <v>0.609375</v>
      </c>
    </row>
    <row r="424" spans="1:68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64.102564102564102</v>
      </c>
      <c r="Y424" s="43">
        <f>IFERROR(Y422/H422,"0")+IFERROR(Y423/H423,"0")</f>
        <v>65</v>
      </c>
      <c r="Z424" s="43">
        <f>IFERROR(IF(Z422="",0,Z422),"0")+IFERROR(IF(Z423="",0,Z423),"0")</f>
        <v>1.2337</v>
      </c>
      <c r="AA424" s="67"/>
      <c r="AB424" s="67"/>
      <c r="AC424" s="67"/>
    </row>
    <row r="425" spans="1:68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500</v>
      </c>
      <c r="Y425" s="43">
        <f>IFERROR(SUM(Y422:Y423),"0")</f>
        <v>507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50</v>
      </c>
      <c r="Y428" s="55">
        <f>IFERROR(IF(X428="",0,CEILING((X428/$H428),1)*$H428),"")</f>
        <v>56.699999999999996</v>
      </c>
      <c r="Z428" s="41">
        <f>IFERROR(IF(Y428=0,"",ROUNDUP(Y428/H428,0)*0.01898),"")</f>
        <v>0.13286000000000001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53.049382716049386</v>
      </c>
      <c r="BN428" s="78">
        <f>IFERROR(Y428*I428/H428,"0")</f>
        <v>60.157999999999994</v>
      </c>
      <c r="BO428" s="78">
        <f>IFERROR(1/J428*(X428/H428),"0")</f>
        <v>9.6450617283950615E-2</v>
      </c>
      <c r="BP428" s="78">
        <f>IFERROR(1/J428*(Y428/H428),"0")</f>
        <v>0.109375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6.1728395061728394</v>
      </c>
      <c r="Y431" s="43">
        <f>IFERROR(Y428/H428,"0")+IFERROR(Y429/H429,"0")+IFERROR(Y430/H430,"0")</f>
        <v>7</v>
      </c>
      <c r="Z431" s="43">
        <f>IFERROR(IF(Z428="",0,Z428),"0")+IFERROR(IF(Z429="",0,Z429),"0")+IFERROR(IF(Z430="",0,Z430),"0")</f>
        <v>0.13286000000000001</v>
      </c>
      <c r="AA431" s="67"/>
      <c r="AB431" s="67"/>
      <c r="AC431" s="67"/>
    </row>
    <row r="432" spans="1:68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50</v>
      </c>
      <c r="Y432" s="43">
        <f>IFERROR(SUM(Y428:Y430),"0")</f>
        <v>56.699999999999996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150</v>
      </c>
      <c r="Y437" s="55">
        <f t="shared" si="70"/>
        <v>150</v>
      </c>
      <c r="Z437" s="41">
        <f>IFERROR(IF(Y437=0,"",ROUNDUP(Y437/H437,0)*0.02175),"")</f>
        <v>0.21749999999999997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154.69999999999999</v>
      </c>
      <c r="BN437" s="78">
        <f t="shared" si="72"/>
        <v>154.69999999999999</v>
      </c>
      <c r="BO437" s="78">
        <f t="shared" si="73"/>
        <v>0.20833333333333331</v>
      </c>
      <c r="BP437" s="78">
        <f t="shared" si="74"/>
        <v>0.20833333333333331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60</v>
      </c>
      <c r="Y438" s="55">
        <f t="shared" si="70"/>
        <v>60</v>
      </c>
      <c r="Z438" s="41">
        <f>IFERROR(IF(Y438=0,"",ROUNDUP(Y438/H438,0)*0.02175),"")</f>
        <v>8.6999999999999994E-2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61.88</v>
      </c>
      <c r="BN438" s="78">
        <f t="shared" si="72"/>
        <v>61.88</v>
      </c>
      <c r="BO438" s="78">
        <f t="shared" si="73"/>
        <v>8.3333333333333329E-2</v>
      </c>
      <c r="BP438" s="78">
        <f t="shared" si="74"/>
        <v>8.3333333333333329E-2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70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515.66666666666663</v>
      </c>
      <c r="BN439" s="78">
        <f t="shared" si="72"/>
        <v>525.98</v>
      </c>
      <c r="BO439" s="78">
        <f t="shared" si="73"/>
        <v>0.69444444444444442</v>
      </c>
      <c r="BP439" s="78">
        <f t="shared" si="74"/>
        <v>0.70833333333333326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47.333333333333336</v>
      </c>
      <c r="Y444" s="43">
        <f>IFERROR(Y436/H436,"0")+IFERROR(Y437/H437,"0")+IFERROR(Y438/H438,"0")+IFERROR(Y439/H439,"0")+IFERROR(Y440/H440,"0")+IFERROR(Y441/H441,"0")+IFERROR(Y442/H442,"0")+IFERROR(Y443/H443,"0")</f>
        <v>48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1.044</v>
      </c>
      <c r="AA444" s="67"/>
      <c r="AB444" s="67"/>
      <c r="AC444" s="67"/>
    </row>
    <row r="445" spans="1:68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710</v>
      </c>
      <c r="Y445" s="43">
        <f>IFERROR(SUM(Y436:Y443),"0")</f>
        <v>720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600</v>
      </c>
      <c r="Y447" s="55">
        <f>IFERROR(IF(X447="",0,CEILING((X447/$H447),1)*$H447),"")</f>
        <v>600</v>
      </c>
      <c r="Z447" s="41">
        <f>IFERROR(IF(Y447=0,"",ROUNDUP(Y447/H447,0)*0.02175),"")</f>
        <v>0.86999999999999988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618.79999999999995</v>
      </c>
      <c r="BN447" s="78">
        <f>IFERROR(Y447*I447/H447,"0")</f>
        <v>618.79999999999995</v>
      </c>
      <c r="BO447" s="78">
        <f>IFERROR(1/J447*(X447/H447),"0")</f>
        <v>0.83333333333333326</v>
      </c>
      <c r="BP447" s="78">
        <f>IFERROR(1/J447*(Y447/H447),"0")</f>
        <v>0.83333333333333326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40</v>
      </c>
      <c r="Y450" s="43">
        <f>IFERROR(Y447/H447,"0")+IFERROR(Y448/H448,"0")+IFERROR(Y449/H449,"0")</f>
        <v>40</v>
      </c>
      <c r="Z450" s="43">
        <f>IFERROR(IF(Z447="",0,Z447),"0")+IFERROR(IF(Z448="",0,Z448),"0")+IFERROR(IF(Z449="",0,Z449),"0")</f>
        <v>0.86999999999999988</v>
      </c>
      <c r="AA450" s="67"/>
      <c r="AB450" s="67"/>
      <c r="AC450" s="67"/>
    </row>
    <row r="451" spans="1:68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600</v>
      </c>
      <c r="Y451" s="43">
        <f>IFERROR(SUM(Y447:Y449),"0")</f>
        <v>600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30</v>
      </c>
      <c r="Y482" s="55">
        <f t="shared" ref="Y482:Y487" si="75">IFERROR(IF(X482="",0,CEILING((X482/$H482),1)*$H482),"")</f>
        <v>32.400000000000006</v>
      </c>
      <c r="Z482" s="41">
        <f>IFERROR(IF(Y482=0,"",ROUNDUP(Y482/H482,0)*0.00902),"")</f>
        <v>5.4120000000000001E-2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31.05555555555555</v>
      </c>
      <c r="BN482" s="78">
        <f t="shared" ref="BN482:BN487" si="77">IFERROR(Y482*I482/H482,"0")</f>
        <v>33.54</v>
      </c>
      <c r="BO482" s="78">
        <f t="shared" ref="BO482:BO487" si="78">IFERROR(1/J482*(X482/H482),"0")</f>
        <v>4.208754208754209E-2</v>
      </c>
      <c r="BP482" s="78">
        <f t="shared" ref="BP482:BP487" si="79">IFERROR(1/J482*(Y482/H482),"0")</f>
        <v>4.5454545454545463E-2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5.5555555555555554</v>
      </c>
      <c r="Y488" s="43">
        <f>IFERROR(Y482/H482,"0")+IFERROR(Y483/H483,"0")+IFERROR(Y484/H484,"0")+IFERROR(Y485/H485,"0")+IFERROR(Y486/H486,"0")+IFERROR(Y487/H487,"0")</f>
        <v>6.0000000000000009</v>
      </c>
      <c r="Z488" s="43">
        <f>IFERROR(IF(Z482="",0,Z482),"0")+IFERROR(IF(Z483="",0,Z483),"0")+IFERROR(IF(Z484="",0,Z484),"0")+IFERROR(IF(Z485="",0,Z485),"0")+IFERROR(IF(Z486="",0,Z486),"0")+IFERROR(IF(Z487="",0,Z487),"0")</f>
        <v>5.4120000000000001E-2</v>
      </c>
      <c r="AA488" s="67"/>
      <c r="AB488" s="67"/>
      <c r="AC488" s="67"/>
    </row>
    <row r="489" spans="1:68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30</v>
      </c>
      <c r="Y489" s="43">
        <f>IFERROR(SUM(Y482:Y487),"0")</f>
        <v>32.400000000000006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25</v>
      </c>
      <c r="Y501" s="55">
        <f>IFERROR(IF(X501="",0,CEILING((X501/$H501),1)*$H501),"")</f>
        <v>27</v>
      </c>
      <c r="Z501" s="41">
        <f>IFERROR(IF(Y501=0,"",ROUNDUP(Y501/H501,0)*0.00902),"")</f>
        <v>4.5100000000000001E-2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25.879629629629626</v>
      </c>
      <c r="BN501" s="78">
        <f>IFERROR(Y501*I501/H501,"0")</f>
        <v>27.95</v>
      </c>
      <c r="BO501" s="78">
        <f>IFERROR(1/J501*(X501/H501),"0")</f>
        <v>3.5072951739618406E-2</v>
      </c>
      <c r="BP501" s="78">
        <f>IFERROR(1/J501*(Y501/H501),"0")</f>
        <v>3.787878787878788E-2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4.6296296296296298</v>
      </c>
      <c r="Y504" s="43">
        <f>IFERROR(Y501/H501,"0")+IFERROR(Y502/H502,"0")+IFERROR(Y503/H503,"0")</f>
        <v>5</v>
      </c>
      <c r="Z504" s="43">
        <f>IFERROR(IF(Z501="",0,Z501),"0")+IFERROR(IF(Z502="",0,Z502),"0")+IFERROR(IF(Z503="",0,Z503),"0")</f>
        <v>4.5100000000000001E-2</v>
      </c>
      <c r="AA504" s="67"/>
      <c r="AB504" s="67"/>
      <c r="AC504" s="67"/>
    </row>
    <row r="505" spans="1:68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25</v>
      </c>
      <c r="Y505" s="43">
        <f>IFERROR(SUM(Y501:Y503),"0")</f>
        <v>27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30</v>
      </c>
      <c r="Y512" s="55">
        <f t="shared" si="80"/>
        <v>31.68</v>
      </c>
      <c r="Z512" s="41">
        <f t="shared" si="81"/>
        <v>7.1760000000000004E-2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31.988636363636363</v>
      </c>
      <c r="BN512" s="78">
        <f t="shared" si="83"/>
        <v>33.779999999999994</v>
      </c>
      <c r="BO512" s="78">
        <f t="shared" si="84"/>
        <v>5.4632867132867136E-2</v>
      </c>
      <c r="BP512" s="78">
        <f t="shared" si="85"/>
        <v>5.7692307692307696E-2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80"/>
        <v>52.800000000000004</v>
      </c>
      <c r="Z514" s="41">
        <f t="shared" si="81"/>
        <v>0.1196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53.314393939393938</v>
      </c>
      <c r="BN514" s="78">
        <f t="shared" si="83"/>
        <v>56.3</v>
      </c>
      <c r="BO514" s="78">
        <f t="shared" si="84"/>
        <v>9.1054778554778545E-2</v>
      </c>
      <c r="BP514" s="78">
        <f t="shared" si="85"/>
        <v>9.6153846153846159E-2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15.15151515151515</v>
      </c>
      <c r="Y518" s="43">
        <f>IFERROR(Y509/H509,"0")+IFERROR(Y510/H510,"0")+IFERROR(Y511/H511,"0")+IFERROR(Y512/H512,"0")+IFERROR(Y513/H513,"0")+IFERROR(Y514/H514,"0")+IFERROR(Y515/H515,"0")+IFERROR(Y516/H516,"0")+IFERROR(Y517/H517,"0")</f>
        <v>16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0.19136</v>
      </c>
      <c r="AA518" s="67"/>
      <c r="AB518" s="67"/>
      <c r="AC518" s="67"/>
    </row>
    <row r="519" spans="1:68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80</v>
      </c>
      <c r="Y519" s="43">
        <f>IFERROR(SUM(Y509:Y517),"0")</f>
        <v>84.48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50</v>
      </c>
      <c r="Y521" s="55">
        <f>IFERROR(IF(X521="",0,CEILING((X521/$H521),1)*$H521),"")</f>
        <v>52.800000000000004</v>
      </c>
      <c r="Z521" s="41">
        <f>IFERROR(IF(Y521=0,"",ROUNDUP(Y521/H521,0)*0.01196),"")</f>
        <v>0.1196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53.314393939393938</v>
      </c>
      <c r="BN521" s="78">
        <f>IFERROR(Y521*I521/H521,"0")</f>
        <v>56.3</v>
      </c>
      <c r="BO521" s="78">
        <f>IFERROR(1/J521*(X521/H521),"0")</f>
        <v>9.1054778554778545E-2</v>
      </c>
      <c r="BP521" s="78">
        <f>IFERROR(1/J521*(Y521/H521),"0")</f>
        <v>9.6153846153846159E-2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9.4696969696969688</v>
      </c>
      <c r="Y524" s="43">
        <f>IFERROR(Y521/H521,"0")+IFERROR(Y522/H522,"0")+IFERROR(Y523/H523,"0")</f>
        <v>10</v>
      </c>
      <c r="Z524" s="43">
        <f>IFERROR(IF(Z521="",0,Z521),"0")+IFERROR(IF(Z522="",0,Z522),"0")+IFERROR(IF(Z523="",0,Z523),"0")</f>
        <v>0.1196</v>
      </c>
      <c r="AA524" s="67"/>
      <c r="AB524" s="67"/>
      <c r="AC524" s="67"/>
    </row>
    <row r="525" spans="1:68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50</v>
      </c>
      <c r="Y525" s="43">
        <f>IFERROR(SUM(Y521:Y523),"0")</f>
        <v>52.800000000000004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50</v>
      </c>
      <c r="Y527" s="55">
        <f t="shared" ref="Y527:Y533" si="86">IFERROR(IF(X527="",0,CEILING((X527/$H527),1)*$H527),"")</f>
        <v>52.800000000000004</v>
      </c>
      <c r="Z527" s="41">
        <f>IFERROR(IF(Y527=0,"",ROUNDUP(Y527/H527,0)*0.01196),"")</f>
        <v>0.1196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53.314393939393938</v>
      </c>
      <c r="BN527" s="78">
        <f t="shared" ref="BN527:BN533" si="88">IFERROR(Y527*I527/H527,"0")</f>
        <v>56.3</v>
      </c>
      <c r="BO527" s="78">
        <f t="shared" ref="BO527:BO533" si="89">IFERROR(1/J527*(X527/H527),"0")</f>
        <v>9.1054778554778545E-2</v>
      </c>
      <c r="BP527" s="78">
        <f t="shared" ref="BP527:BP533" si="90">IFERROR(1/J527*(Y527/H527),"0")</f>
        <v>9.6153846153846159E-2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60</v>
      </c>
      <c r="Y528" s="55">
        <f t="shared" si="86"/>
        <v>63.36</v>
      </c>
      <c r="Z528" s="41">
        <f>IFERROR(IF(Y528=0,"",ROUNDUP(Y528/H528,0)*0.01196),"")</f>
        <v>0.14352000000000001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63.977272727272727</v>
      </c>
      <c r="BN528" s="78">
        <f t="shared" si="88"/>
        <v>67.559999999999988</v>
      </c>
      <c r="BO528" s="78">
        <f t="shared" si="89"/>
        <v>0.10926573426573427</v>
      </c>
      <c r="BP528" s="78">
        <f t="shared" si="90"/>
        <v>0.11538461538461539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20.833333333333332</v>
      </c>
      <c r="Y534" s="43">
        <f>IFERROR(Y527/H527,"0")+IFERROR(Y528/H528,"0")+IFERROR(Y529/H529,"0")+IFERROR(Y530/H530,"0")+IFERROR(Y531/H531,"0")+IFERROR(Y532/H532,"0")+IFERROR(Y533/H533,"0")</f>
        <v>22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0.26312000000000002</v>
      </c>
      <c r="AA534" s="67"/>
      <c r="AB534" s="67"/>
      <c r="AC534" s="67"/>
    </row>
    <row r="535" spans="1:68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110</v>
      </c>
      <c r="Y535" s="43">
        <f>IFERROR(SUM(Y527:Y533),"0")</f>
        <v>116.16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70</v>
      </c>
      <c r="Y539" s="55">
        <f>IFERROR(IF(X539="",0,CEILING((X539/$H539),1)*$H539),"")</f>
        <v>72</v>
      </c>
      <c r="Z539" s="41">
        <f>IFERROR(IF(Y539=0,"",ROUNDUP(Y539/H539,0)*0.01898),"")</f>
        <v>0.11388000000000001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72.391666666666666</v>
      </c>
      <c r="BN539" s="78">
        <f>IFERROR(Y539*I539/H539,"0")</f>
        <v>74.459999999999994</v>
      </c>
      <c r="BO539" s="78">
        <f>IFERROR(1/J539*(X539/H539),"0")</f>
        <v>9.1145833333333329E-2</v>
      </c>
      <c r="BP539" s="78">
        <f>IFERROR(1/J539*(Y539/H539),"0")</f>
        <v>9.375E-2</v>
      </c>
    </row>
    <row r="540" spans="1:68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5.833333333333333</v>
      </c>
      <c r="Y540" s="43">
        <f>IFERROR(Y539/H539,"0")</f>
        <v>6</v>
      </c>
      <c r="Z540" s="43">
        <f>IFERROR(IF(Z539="",0,Z539),"0")</f>
        <v>0.11388000000000001</v>
      </c>
      <c r="AA540" s="67"/>
      <c r="AB540" s="67"/>
      <c r="AC540" s="67"/>
    </row>
    <row r="541" spans="1:68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70</v>
      </c>
      <c r="Y541" s="43">
        <f>IFERROR(SUM(Y539:Y539),"0")</f>
        <v>72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100</v>
      </c>
      <c r="Y547" s="55">
        <f>IFERROR(IF(X547="",0,CEILING((X547/$H547),1)*$H547),"")</f>
        <v>100.80000000000001</v>
      </c>
      <c r="Z547" s="41">
        <f>IFERROR(IF(Y547=0,"",ROUNDUP(Y547/H547,0)*0.00902),"")</f>
        <v>0.21648000000000001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105.95238095238095</v>
      </c>
      <c r="BN547" s="78">
        <f>IFERROR(Y547*I547/H547,"0")</f>
        <v>106.80000000000001</v>
      </c>
      <c r="BO547" s="78">
        <f>IFERROR(1/J547*(X547/H547),"0")</f>
        <v>0.18037518037518038</v>
      </c>
      <c r="BP547" s="78">
        <f>IFERROR(1/J547*(Y547/H547),"0")</f>
        <v>0.18181818181818182</v>
      </c>
    </row>
    <row r="548" spans="1:68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23.80952380952381</v>
      </c>
      <c r="Y548" s="43">
        <f>IFERROR(Y547/H547,"0")</f>
        <v>24</v>
      </c>
      <c r="Z548" s="43">
        <f>IFERROR(IF(Z547="",0,Z547),"0")</f>
        <v>0.21648000000000001</v>
      </c>
      <c r="AA548" s="67"/>
      <c r="AB548" s="67"/>
      <c r="AC548" s="67"/>
    </row>
    <row r="549" spans="1:68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100</v>
      </c>
      <c r="Y549" s="43">
        <f>IFERROR(SUM(Y547:Y547),"0")</f>
        <v>100.80000000000001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3785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3859.44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3959.0681880465213</v>
      </c>
      <c r="Y565" s="43">
        <f>IFERROR(SUM(BN22:BN561),"0")</f>
        <v>4037.2140000000009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7</v>
      </c>
      <c r="Y566" s="44">
        <f>ROUNDUP(SUM(BP22:BP561),0)</f>
        <v>7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4134.0681880465218</v>
      </c>
      <c r="Y567" s="43">
        <f>GrossWeightTotalR+PalletQtyTotalR*25</f>
        <v>4212.2140000000009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554.41621958288624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565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7.3536600000000005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43.2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43.2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56.699999999999996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130.20000000000002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259.20000000000005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957.6</v>
      </c>
      <c r="U574" s="52">
        <f>IFERROR(Y422*1,"0")+IFERROR(Y423*1,"0")</f>
        <v>507</v>
      </c>
      <c r="V574" s="52">
        <f>IFERROR(Y428*1,"0")+IFERROR(Y429*1,"0")+IFERROR(Y430*1,"0")</f>
        <v>56.699999999999996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1320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32.400000000000006</v>
      </c>
      <c r="Z574" s="52">
        <f>IFERROR(Y497*1,"0")+IFERROR(Y501*1,"0")+IFERROR(Y502*1,"0")+IFERROR(Y503*1,"0")</f>
        <v>27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253.44</v>
      </c>
      <c r="AB574" s="52">
        <f>IFERROR(Y539*1,"0")+IFERROR(Y543*1,"0")+IFERROR(Y547*1,"0")+IFERROR(Y551*1,"0")+IFERROR(Y555*1,"0")+IFERROR(Y556*1,"0")</f>
        <v>172.8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10,00"/>
        <filter val="130,00"/>
        <filter val="15,15"/>
        <filter val="150,00"/>
        <filter val="20,83"/>
        <filter val="200,00"/>
        <filter val="214,29"/>
        <filter val="23,81"/>
        <filter val="25,00"/>
        <filter val="250,00"/>
        <filter val="3 785,00"/>
        <filter val="3 959,07"/>
        <filter val="3,70"/>
        <filter val="30,00"/>
        <filter val="30,95"/>
        <filter val="300,00"/>
        <filter val="4 134,07"/>
        <filter val="4,63"/>
        <filter val="40,00"/>
        <filter val="46,30"/>
        <filter val="47,33"/>
        <filter val="5,56"/>
        <filter val="5,83"/>
        <filter val="50,00"/>
        <filter val="500,00"/>
        <filter val="554,42"/>
        <filter val="6,17"/>
        <filter val="6,41"/>
        <filter val="60,00"/>
        <filter val="600,00"/>
        <filter val="64,10"/>
        <filter val="7"/>
        <filter val="70,00"/>
        <filter val="710,00"/>
        <filter val="80,00"/>
        <filter val="9,47"/>
        <filter val="900,0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