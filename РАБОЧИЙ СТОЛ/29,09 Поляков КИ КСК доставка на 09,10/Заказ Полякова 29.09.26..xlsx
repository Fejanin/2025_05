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A6E2DCA-B77F-48BC-B77B-5971978EAC2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Z524" i="2" s="1"/>
  <c r="P524" i="2"/>
  <c r="BO523" i="2"/>
  <c r="BM523" i="2"/>
  <c r="Y523" i="2"/>
  <c r="Z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BP504" i="2" s="1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P477" i="2"/>
  <c r="X473" i="2"/>
  <c r="X472" i="2"/>
  <c r="BO471" i="2"/>
  <c r="BM471" i="2"/>
  <c r="Y471" i="2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BN418" i="2" s="1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Z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X372" i="2"/>
  <c r="X371" i="2"/>
  <c r="BO370" i="2"/>
  <c r="BM370" i="2"/>
  <c r="Y370" i="2"/>
  <c r="Z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BN358" i="2" s="1"/>
  <c r="P358" i="2"/>
  <c r="BO357" i="2"/>
  <c r="BM357" i="2"/>
  <c r="Y357" i="2"/>
  <c r="P357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M336" i="2"/>
  <c r="Y336" i="2"/>
  <c r="BP336" i="2" s="1"/>
  <c r="P336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BN326" i="2" s="1"/>
  <c r="P326" i="2"/>
  <c r="X323" i="2"/>
  <c r="X322" i="2"/>
  <c r="BO321" i="2"/>
  <c r="BM321" i="2"/>
  <c r="Y321" i="2"/>
  <c r="Y323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BN313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N303" i="2" s="1"/>
  <c r="P303" i="2"/>
  <c r="X300" i="2"/>
  <c r="X299" i="2"/>
  <c r="BO298" i="2"/>
  <c r="BM298" i="2"/>
  <c r="Y298" i="2"/>
  <c r="BP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N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BN266" i="2" s="1"/>
  <c r="P266" i="2"/>
  <c r="X264" i="2"/>
  <c r="X263" i="2"/>
  <c r="BO262" i="2"/>
  <c r="BM262" i="2"/>
  <c r="Y262" i="2"/>
  <c r="BN262" i="2" s="1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N252" i="2" s="1"/>
  <c r="P252" i="2"/>
  <c r="BO251" i="2"/>
  <c r="BM251" i="2"/>
  <c r="Y251" i="2"/>
  <c r="P251" i="2"/>
  <c r="BO250" i="2"/>
  <c r="BM250" i="2"/>
  <c r="Y250" i="2"/>
  <c r="Y254" i="2" s="1"/>
  <c r="P250" i="2"/>
  <c r="X248" i="2"/>
  <c r="X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N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BN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X218" i="2"/>
  <c r="X217" i="2"/>
  <c r="BO216" i="2"/>
  <c r="BM216" i="2"/>
  <c r="Y216" i="2"/>
  <c r="BP216" i="2" s="1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X201" i="2"/>
  <c r="X200" i="2"/>
  <c r="BO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I569" i="2" s="1"/>
  <c r="P149" i="2"/>
  <c r="X146" i="2"/>
  <c r="X145" i="2"/>
  <c r="BO144" i="2"/>
  <c r="BM144" i="2"/>
  <c r="Y144" i="2"/>
  <c r="BP144" i="2" s="1"/>
  <c r="P144" i="2"/>
  <c r="BO143" i="2"/>
  <c r="BM143" i="2"/>
  <c r="Y143" i="2"/>
  <c r="Y145" i="2" s="1"/>
  <c r="P143" i="2"/>
  <c r="X141" i="2"/>
  <c r="X140" i="2"/>
  <c r="BO139" i="2"/>
  <c r="BM139" i="2"/>
  <c r="Y139" i="2"/>
  <c r="P139" i="2"/>
  <c r="BO138" i="2"/>
  <c r="BM138" i="2"/>
  <c r="Y138" i="2"/>
  <c r="BN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30" i="2" s="1"/>
  <c r="P128" i="2"/>
  <c r="X126" i="2"/>
  <c r="X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BP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X100" i="2"/>
  <c r="X99" i="2"/>
  <c r="BO98" i="2"/>
  <c r="BM98" i="2"/>
  <c r="Y98" i="2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X73" i="2"/>
  <c r="X72" i="2"/>
  <c r="BO71" i="2"/>
  <c r="BM71" i="2"/>
  <c r="Y71" i="2"/>
  <c r="BN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Z387" i="2" l="1"/>
  <c r="BP276" i="2"/>
  <c r="BP478" i="2"/>
  <c r="Z90" i="2"/>
  <c r="BN90" i="2"/>
  <c r="BP233" i="2"/>
  <c r="Z309" i="2"/>
  <c r="BN309" i="2"/>
  <c r="BP330" i="2"/>
  <c r="BP418" i="2"/>
  <c r="Z534" i="2"/>
  <c r="Z535" i="2" s="1"/>
  <c r="Z246" i="2"/>
  <c r="Z288" i="2"/>
  <c r="BN288" i="2"/>
  <c r="BP291" i="2"/>
  <c r="Z397" i="2"/>
  <c r="BN397" i="2"/>
  <c r="Z436" i="2"/>
  <c r="BN436" i="2"/>
  <c r="BP542" i="2"/>
  <c r="Z48" i="2"/>
  <c r="BN48" i="2"/>
  <c r="Z50" i="2"/>
  <c r="BN50" i="2"/>
  <c r="Z68" i="2"/>
  <c r="BN68" i="2"/>
  <c r="Y84" i="2"/>
  <c r="Z111" i="2"/>
  <c r="BN111" i="2"/>
  <c r="BP128" i="2"/>
  <c r="BP152" i="2"/>
  <c r="BP229" i="2"/>
  <c r="BP266" i="2"/>
  <c r="BP285" i="2"/>
  <c r="BP306" i="2"/>
  <c r="Z347" i="2"/>
  <c r="BN347" i="2"/>
  <c r="BP365" i="2"/>
  <c r="Z378" i="2"/>
  <c r="BN378" i="2"/>
  <c r="BP385" i="2"/>
  <c r="Y402" i="2"/>
  <c r="BP412" i="2"/>
  <c r="Z450" i="2"/>
  <c r="Z487" i="2"/>
  <c r="BN487" i="2"/>
  <c r="BP496" i="2"/>
  <c r="BN534" i="2"/>
  <c r="X563" i="2"/>
  <c r="BP38" i="2"/>
  <c r="BN116" i="2"/>
  <c r="BN199" i="2"/>
  <c r="BN223" i="2"/>
  <c r="BN278" i="2"/>
  <c r="BN298" i="2"/>
  <c r="BN417" i="2"/>
  <c r="BN424" i="2"/>
  <c r="BN437" i="2"/>
  <c r="BP512" i="2"/>
  <c r="BN524" i="2"/>
  <c r="BN546" i="2"/>
  <c r="BN39" i="2"/>
  <c r="BN57" i="2"/>
  <c r="BN122" i="2"/>
  <c r="BN151" i="2"/>
  <c r="BN178" i="2"/>
  <c r="Y201" i="2"/>
  <c r="BN227" i="2"/>
  <c r="BN232" i="2"/>
  <c r="BN234" i="2"/>
  <c r="BN368" i="2"/>
  <c r="BN391" i="2"/>
  <c r="BN400" i="2"/>
  <c r="BN406" i="2"/>
  <c r="BN432" i="2"/>
  <c r="BN28" i="2"/>
  <c r="Z38" i="2"/>
  <c r="BP63" i="2"/>
  <c r="BN80" i="2"/>
  <c r="Z82" i="2"/>
  <c r="Z89" i="2"/>
  <c r="BP96" i="2"/>
  <c r="BN103" i="2"/>
  <c r="Z105" i="2"/>
  <c r="BN105" i="2"/>
  <c r="BN106" i="2"/>
  <c r="BP107" i="2"/>
  <c r="Z134" i="2"/>
  <c r="BN134" i="2"/>
  <c r="BP164" i="2"/>
  <c r="BP184" i="2"/>
  <c r="BN189" i="2"/>
  <c r="Z207" i="2"/>
  <c r="BN207" i="2"/>
  <c r="BP208" i="2"/>
  <c r="BN211" i="2"/>
  <c r="BN224" i="2"/>
  <c r="BN238" i="2"/>
  <c r="BP239" i="2"/>
  <c r="BP243" i="2"/>
  <c r="BP252" i="2"/>
  <c r="BP275" i="2"/>
  <c r="BP286" i="2"/>
  <c r="BN293" i="2"/>
  <c r="BP307" i="2"/>
  <c r="BN321" i="2"/>
  <c r="BP329" i="2"/>
  <c r="Z336" i="2"/>
  <c r="BN336" i="2"/>
  <c r="BP376" i="2"/>
  <c r="BP386" i="2"/>
  <c r="BN410" i="2"/>
  <c r="BN425" i="2"/>
  <c r="BN442" i="2"/>
  <c r="BP448" i="2"/>
  <c r="Z460" i="2"/>
  <c r="BP479" i="2"/>
  <c r="Y483" i="2"/>
  <c r="Z498" i="2"/>
  <c r="Z506" i="2"/>
  <c r="BN511" i="2"/>
  <c r="Z512" i="2"/>
  <c r="Z522" i="2"/>
  <c r="BN522" i="2"/>
  <c r="BN526" i="2"/>
  <c r="BP527" i="2"/>
  <c r="BP31" i="2"/>
  <c r="BP40" i="2"/>
  <c r="BN58" i="2"/>
  <c r="BP59" i="2"/>
  <c r="BN59" i="2"/>
  <c r="Y119" i="2"/>
  <c r="BN115" i="2"/>
  <c r="BP115" i="2"/>
  <c r="BP123" i="2"/>
  <c r="Z123" i="2"/>
  <c r="BP150" i="2"/>
  <c r="BP153" i="2"/>
  <c r="Z158" i="2"/>
  <c r="Z159" i="2" s="1"/>
  <c r="BN158" i="2"/>
  <c r="Y159" i="2"/>
  <c r="BN261" i="2"/>
  <c r="BP261" i="2"/>
  <c r="BN346" i="2"/>
  <c r="BP346" i="2"/>
  <c r="Z346" i="2"/>
  <c r="S569" i="2"/>
  <c r="BN357" i="2"/>
  <c r="Z357" i="2"/>
  <c r="Y360" i="2"/>
  <c r="BN366" i="2"/>
  <c r="BP366" i="2"/>
  <c r="BN375" i="2"/>
  <c r="BP375" i="2"/>
  <c r="BP469" i="2"/>
  <c r="BN469" i="2"/>
  <c r="Y472" i="2"/>
  <c r="Z469" i="2"/>
  <c r="Z471" i="2"/>
  <c r="BP471" i="2"/>
  <c r="BP481" i="2"/>
  <c r="BN481" i="2"/>
  <c r="Z481" i="2"/>
  <c r="Y520" i="2"/>
  <c r="BN516" i="2"/>
  <c r="Z516" i="2"/>
  <c r="Z518" i="2"/>
  <c r="BP518" i="2"/>
  <c r="D569" i="2"/>
  <c r="Y52" i="2"/>
  <c r="BP47" i="2"/>
  <c r="BP61" i="2"/>
  <c r="Z61" i="2"/>
  <c r="Z67" i="2"/>
  <c r="BN67" i="2"/>
  <c r="BP69" i="2"/>
  <c r="Z69" i="2"/>
  <c r="Y73" i="2"/>
  <c r="BP110" i="2"/>
  <c r="Z115" i="2"/>
  <c r="Z144" i="2"/>
  <c r="BN144" i="2"/>
  <c r="Z150" i="2"/>
  <c r="Z153" i="2"/>
  <c r="Y187" i="2"/>
  <c r="Y186" i="2"/>
  <c r="BP175" i="2"/>
  <c r="BN176" i="2"/>
  <c r="Z176" i="2"/>
  <c r="Z180" i="2"/>
  <c r="BP182" i="2"/>
  <c r="Z182" i="2"/>
  <c r="Y197" i="2"/>
  <c r="BP195" i="2"/>
  <c r="BP225" i="2"/>
  <c r="Z225" i="2"/>
  <c r="Y280" i="2"/>
  <c r="BN271" i="2"/>
  <c r="Z271" i="2"/>
  <c r="BN331" i="2"/>
  <c r="Z331" i="2"/>
  <c r="Z352" i="2"/>
  <c r="BN352" i="2"/>
  <c r="BN369" i="2"/>
  <c r="Z369" i="2"/>
  <c r="BN411" i="2"/>
  <c r="Z411" i="2"/>
  <c r="BN443" i="2"/>
  <c r="BP443" i="2"/>
  <c r="Z443" i="2"/>
  <c r="Y466" i="2"/>
  <c r="BN465" i="2"/>
  <c r="B569" i="2"/>
  <c r="X561" i="2"/>
  <c r="Y24" i="2"/>
  <c r="BP28" i="2"/>
  <c r="BN31" i="2"/>
  <c r="BN40" i="2"/>
  <c r="Y42" i="2"/>
  <c r="Z47" i="2"/>
  <c r="BP55" i="2"/>
  <c r="Z58" i="2"/>
  <c r="BP62" i="2"/>
  <c r="BN62" i="2"/>
  <c r="BP71" i="2"/>
  <c r="BN91" i="2"/>
  <c r="Z110" i="2"/>
  <c r="Z121" i="2"/>
  <c r="BN121" i="2"/>
  <c r="BN123" i="2"/>
  <c r="H569" i="2"/>
  <c r="BN133" i="2"/>
  <c r="Y135" i="2"/>
  <c r="BP133" i="2"/>
  <c r="BP170" i="2"/>
  <c r="BN170" i="2"/>
  <c r="BP183" i="2"/>
  <c r="BN183" i="2"/>
  <c r="BP228" i="2"/>
  <c r="BN228" i="2"/>
  <c r="Z228" i="2"/>
  <c r="Z242" i="2"/>
  <c r="BN242" i="2"/>
  <c r="BN433" i="2"/>
  <c r="BP433" i="2"/>
  <c r="Z433" i="2"/>
  <c r="BP477" i="2"/>
  <c r="BN477" i="2"/>
  <c r="Z477" i="2"/>
  <c r="BN510" i="2"/>
  <c r="Z510" i="2"/>
  <c r="J9" i="2"/>
  <c r="Z22" i="2"/>
  <c r="Z24" i="2" s="1"/>
  <c r="BP22" i="2"/>
  <c r="BN23" i="2"/>
  <c r="BN27" i="2"/>
  <c r="Z55" i="2"/>
  <c r="BN61" i="2"/>
  <c r="BN69" i="2"/>
  <c r="Z71" i="2"/>
  <c r="BN75" i="2"/>
  <c r="Z75" i="2"/>
  <c r="Z77" i="2" s="1"/>
  <c r="BP89" i="2"/>
  <c r="BN117" i="2"/>
  <c r="BP117" i="2"/>
  <c r="Y118" i="2"/>
  <c r="Z133" i="2"/>
  <c r="Y140" i="2"/>
  <c r="BN139" i="2"/>
  <c r="J569" i="2"/>
  <c r="BN163" i="2"/>
  <c r="Z170" i="2"/>
  <c r="BP179" i="2"/>
  <c r="Z179" i="2"/>
  <c r="BN182" i="2"/>
  <c r="Z183" i="2"/>
  <c r="BP190" i="2"/>
  <c r="Z190" i="2"/>
  <c r="BN206" i="2"/>
  <c r="BP206" i="2"/>
  <c r="Z206" i="2"/>
  <c r="BN220" i="2"/>
  <c r="BP220" i="2"/>
  <c r="Z277" i="2"/>
  <c r="BN277" i="2"/>
  <c r="BN292" i="2"/>
  <c r="Z292" i="2"/>
  <c r="R569" i="2"/>
  <c r="BN343" i="2"/>
  <c r="BP343" i="2"/>
  <c r="Z343" i="2"/>
  <c r="Y394" i="2"/>
  <c r="BN454" i="2"/>
  <c r="BP454" i="2"/>
  <c r="Z528" i="2"/>
  <c r="BP528" i="2"/>
  <c r="BP221" i="2"/>
  <c r="BP262" i="2"/>
  <c r="BP289" i="2"/>
  <c r="BP317" i="2"/>
  <c r="Y339" i="2"/>
  <c r="BP379" i="2"/>
  <c r="W569" i="2"/>
  <c r="Y462" i="2"/>
  <c r="BP507" i="2"/>
  <c r="BP523" i="2"/>
  <c r="Y141" i="2"/>
  <c r="Y156" i="2"/>
  <c r="BP211" i="2"/>
  <c r="Z221" i="2"/>
  <c r="Z224" i="2"/>
  <c r="Z227" i="2"/>
  <c r="Z238" i="2"/>
  <c r="Z262" i="2"/>
  <c r="Z278" i="2"/>
  <c r="Z289" i="2"/>
  <c r="Z298" i="2"/>
  <c r="Z321" i="2"/>
  <c r="Z322" i="2" s="1"/>
  <c r="BP358" i="2"/>
  <c r="Z367" i="2"/>
  <c r="Z379" i="2"/>
  <c r="BP406" i="2"/>
  <c r="Z417" i="2"/>
  <c r="Y427" i="2"/>
  <c r="Z425" i="2"/>
  <c r="BP432" i="2"/>
  <c r="BP442" i="2"/>
  <c r="Y452" i="2"/>
  <c r="BP470" i="2"/>
  <c r="BP482" i="2"/>
  <c r="Z569" i="2"/>
  <c r="Y493" i="2"/>
  <c r="BP498" i="2"/>
  <c r="AA569" i="2"/>
  <c r="BN506" i="2"/>
  <c r="Z507" i="2"/>
  <c r="BP508" i="2"/>
  <c r="BP517" i="2"/>
  <c r="Z526" i="2"/>
  <c r="Z546" i="2"/>
  <c r="Z547" i="2" s="1"/>
  <c r="Y65" i="2"/>
  <c r="BP57" i="2"/>
  <c r="Y83" i="2"/>
  <c r="BP82" i="2"/>
  <c r="Z122" i="2"/>
  <c r="Z138" i="2"/>
  <c r="BP138" i="2"/>
  <c r="BP178" i="2"/>
  <c r="Z189" i="2"/>
  <c r="BP199" i="2"/>
  <c r="BP223" i="2"/>
  <c r="BP232" i="2"/>
  <c r="BP246" i="2"/>
  <c r="BN317" i="2"/>
  <c r="Y349" i="2"/>
  <c r="Y353" i="2"/>
  <c r="Z358" i="2"/>
  <c r="Z360" i="2" s="1"/>
  <c r="Z368" i="2"/>
  <c r="Z377" i="2"/>
  <c r="Z391" i="2"/>
  <c r="Z400" i="2"/>
  <c r="Y407" i="2"/>
  <c r="BP404" i="2"/>
  <c r="BN405" i="2"/>
  <c r="Z410" i="2"/>
  <c r="Z413" i="2" s="1"/>
  <c r="Z424" i="2"/>
  <c r="BN431" i="2"/>
  <c r="Z437" i="2"/>
  <c r="Y446" i="2"/>
  <c r="Y445" i="2"/>
  <c r="BP450" i="2"/>
  <c r="X569" i="2"/>
  <c r="Z470" i="2"/>
  <c r="Z482" i="2"/>
  <c r="Z517" i="2"/>
  <c r="BN523" i="2"/>
  <c r="BP524" i="2"/>
  <c r="Y539" i="2"/>
  <c r="X560" i="2"/>
  <c r="BP98" i="2"/>
  <c r="BN98" i="2"/>
  <c r="Y100" i="2"/>
  <c r="Z98" i="2"/>
  <c r="BP109" i="2"/>
  <c r="BN109" i="2"/>
  <c r="Z109" i="2"/>
  <c r="BP88" i="2"/>
  <c r="BN88" i="2"/>
  <c r="Z88" i="2"/>
  <c r="Y92" i="2"/>
  <c r="Y99" i="2"/>
  <c r="BP210" i="2"/>
  <c r="BN210" i="2"/>
  <c r="Z210" i="2"/>
  <c r="BP30" i="2"/>
  <c r="BN30" i="2"/>
  <c r="Z30" i="2"/>
  <c r="G569" i="2"/>
  <c r="BP231" i="2"/>
  <c r="BN231" i="2"/>
  <c r="Z231" i="2"/>
  <c r="BP251" i="2"/>
  <c r="BN251" i="2"/>
  <c r="Z251" i="2"/>
  <c r="X559" i="2"/>
  <c r="BP166" i="2"/>
  <c r="BN166" i="2"/>
  <c r="Z166" i="2"/>
  <c r="Y168" i="2"/>
  <c r="F569" i="2"/>
  <c r="Y247" i="2"/>
  <c r="BP241" i="2"/>
  <c r="BN241" i="2"/>
  <c r="Z241" i="2"/>
  <c r="Y78" i="2"/>
  <c r="BP37" i="2"/>
  <c r="BP70" i="2"/>
  <c r="Y113" i="2"/>
  <c r="BP171" i="2"/>
  <c r="BP226" i="2"/>
  <c r="H9" i="2"/>
  <c r="BP23" i="2"/>
  <c r="BP80" i="2"/>
  <c r="BP91" i="2"/>
  <c r="Y125" i="2"/>
  <c r="Y146" i="2"/>
  <c r="BP158" i="2"/>
  <c r="Y172" i="2"/>
  <c r="Y192" i="2"/>
  <c r="Z199" i="2"/>
  <c r="Z200" i="2" s="1"/>
  <c r="Y217" i="2"/>
  <c r="BP234" i="2"/>
  <c r="BP244" i="2"/>
  <c r="Z252" i="2"/>
  <c r="Y257" i="2"/>
  <c r="BP267" i="2"/>
  <c r="Z275" i="2"/>
  <c r="BP277" i="2"/>
  <c r="Z285" i="2"/>
  <c r="BP287" i="2"/>
  <c r="BP297" i="2"/>
  <c r="Z306" i="2"/>
  <c r="BP308" i="2"/>
  <c r="Y319" i="2"/>
  <c r="Z329" i="2"/>
  <c r="BP331" i="2"/>
  <c r="Y354" i="2"/>
  <c r="Z365" i="2"/>
  <c r="BP367" i="2"/>
  <c r="Z375" i="2"/>
  <c r="BP377" i="2"/>
  <c r="Z385" i="2"/>
  <c r="BP387" i="2"/>
  <c r="Y408" i="2"/>
  <c r="Z418" i="2"/>
  <c r="Z419" i="2" s="1"/>
  <c r="BP455" i="2"/>
  <c r="Y467" i="2"/>
  <c r="Z478" i="2"/>
  <c r="BP480" i="2"/>
  <c r="BP505" i="2"/>
  <c r="Y514" i="2"/>
  <c r="BP525" i="2"/>
  <c r="Y552" i="2"/>
  <c r="K569" i="2"/>
  <c r="Y248" i="2"/>
  <c r="Y263" i="2"/>
  <c r="BP272" i="2"/>
  <c r="BP282" i="2"/>
  <c r="BN290" i="2"/>
  <c r="BP303" i="2"/>
  <c r="BP313" i="2"/>
  <c r="BP326" i="2"/>
  <c r="BP337" i="2"/>
  <c r="BN359" i="2"/>
  <c r="BN370" i="2"/>
  <c r="BN380" i="2"/>
  <c r="BP392" i="2"/>
  <c r="BN412" i="2"/>
  <c r="BP438" i="2"/>
  <c r="BN448" i="2"/>
  <c r="Y451" i="2"/>
  <c r="BP461" i="2"/>
  <c r="BN471" i="2"/>
  <c r="Y484" i="2"/>
  <c r="BN496" i="2"/>
  <c r="Y499" i="2"/>
  <c r="BN508" i="2"/>
  <c r="BN518" i="2"/>
  <c r="BN528" i="2"/>
  <c r="BN542" i="2"/>
  <c r="L569" i="2"/>
  <c r="Z56" i="2"/>
  <c r="Z143" i="2"/>
  <c r="Z145" i="2" s="1"/>
  <c r="Z154" i="2"/>
  <c r="Z177" i="2"/>
  <c r="Z222" i="2"/>
  <c r="Y235" i="2"/>
  <c r="Y268" i="2"/>
  <c r="Z293" i="2"/>
  <c r="Y332" i="2"/>
  <c r="Z351" i="2"/>
  <c r="Y388" i="2"/>
  <c r="Z405" i="2"/>
  <c r="Z407" i="2" s="1"/>
  <c r="Z431" i="2"/>
  <c r="Y456" i="2"/>
  <c r="Y489" i="2"/>
  <c r="Z511" i="2"/>
  <c r="Y536" i="2"/>
  <c r="Y548" i="2"/>
  <c r="M569" i="2"/>
  <c r="F10" i="2"/>
  <c r="Y126" i="2"/>
  <c r="Z149" i="2"/>
  <c r="BP151" i="2"/>
  <c r="Y173" i="2"/>
  <c r="Y193" i="2"/>
  <c r="Y218" i="2"/>
  <c r="Z245" i="2"/>
  <c r="Y258" i="2"/>
  <c r="BP290" i="2"/>
  <c r="Y314" i="2"/>
  <c r="BP359" i="2"/>
  <c r="BP370" i="2"/>
  <c r="BP380" i="2"/>
  <c r="Y439" i="2"/>
  <c r="Y553" i="2"/>
  <c r="O569" i="2"/>
  <c r="Y64" i="2"/>
  <c r="Z29" i="2"/>
  <c r="Z41" i="2"/>
  <c r="BN56" i="2"/>
  <c r="BN76" i="2"/>
  <c r="Z87" i="2"/>
  <c r="Z97" i="2"/>
  <c r="Z108" i="2"/>
  <c r="BN143" i="2"/>
  <c r="BN154" i="2"/>
  <c r="Z165" i="2"/>
  <c r="BN177" i="2"/>
  <c r="Z185" i="2"/>
  <c r="Z209" i="2"/>
  <c r="BN222" i="2"/>
  <c r="Z230" i="2"/>
  <c r="Z240" i="2"/>
  <c r="Z250" i="2"/>
  <c r="Y264" i="2"/>
  <c r="Z273" i="2"/>
  <c r="Z283" i="2"/>
  <c r="Z304" i="2"/>
  <c r="Z327" i="2"/>
  <c r="Z338" i="2"/>
  <c r="Z393" i="2"/>
  <c r="Z486" i="2"/>
  <c r="Z488" i="2" s="1"/>
  <c r="Y500" i="2"/>
  <c r="P569" i="2"/>
  <c r="A10" i="2"/>
  <c r="Y160" i="2"/>
  <c r="Y371" i="2"/>
  <c r="Y381" i="2"/>
  <c r="Y389" i="2"/>
  <c r="Z398" i="2"/>
  <c r="Y413" i="2"/>
  <c r="Z434" i="2"/>
  <c r="Z444" i="2"/>
  <c r="Z445" i="2" s="1"/>
  <c r="Y457" i="2"/>
  <c r="Z492" i="2"/>
  <c r="Z493" i="2" s="1"/>
  <c r="Y519" i="2"/>
  <c r="Y529" i="2"/>
  <c r="Z538" i="2"/>
  <c r="Z539" i="2" s="1"/>
  <c r="Y543" i="2"/>
  <c r="Z550" i="2"/>
  <c r="Q569" i="2"/>
  <c r="BN149" i="2"/>
  <c r="Y236" i="2"/>
  <c r="BN245" i="2"/>
  <c r="Y269" i="2"/>
  <c r="Y333" i="2"/>
  <c r="BN29" i="2"/>
  <c r="Y32" i="2"/>
  <c r="BN41" i="2"/>
  <c r="BP56" i="2"/>
  <c r="BP76" i="2"/>
  <c r="BN87" i="2"/>
  <c r="BN97" i="2"/>
  <c r="BN108" i="2"/>
  <c r="Z128" i="2"/>
  <c r="Z129" i="2" s="1"/>
  <c r="BP143" i="2"/>
  <c r="Z152" i="2"/>
  <c r="BP154" i="2"/>
  <c r="BN165" i="2"/>
  <c r="Z175" i="2"/>
  <c r="BN185" i="2"/>
  <c r="Z195" i="2"/>
  <c r="Z196" i="2" s="1"/>
  <c r="BN209" i="2"/>
  <c r="Y212" i="2"/>
  <c r="Z220" i="2"/>
  <c r="BN230" i="2"/>
  <c r="BN240" i="2"/>
  <c r="BN250" i="2"/>
  <c r="Y253" i="2"/>
  <c r="Z261" i="2"/>
  <c r="BN273" i="2"/>
  <c r="BN283" i="2"/>
  <c r="Z291" i="2"/>
  <c r="BN304" i="2"/>
  <c r="Y315" i="2"/>
  <c r="BN327" i="2"/>
  <c r="BN338" i="2"/>
  <c r="BP351" i="2"/>
  <c r="BN393" i="2"/>
  <c r="Y419" i="2"/>
  <c r="BP431" i="2"/>
  <c r="Y440" i="2"/>
  <c r="Z449" i="2"/>
  <c r="Z451" i="2" s="1"/>
  <c r="Y463" i="2"/>
  <c r="BN486" i="2"/>
  <c r="Z497" i="2"/>
  <c r="Z499" i="2" s="1"/>
  <c r="Z509" i="2"/>
  <c r="Z556" i="2"/>
  <c r="Z557" i="2" s="1"/>
  <c r="BN180" i="2"/>
  <c r="BN190" i="2"/>
  <c r="BN225" i="2"/>
  <c r="Z233" i="2"/>
  <c r="Z243" i="2"/>
  <c r="Z266" i="2"/>
  <c r="Z276" i="2"/>
  <c r="Z286" i="2"/>
  <c r="Z307" i="2"/>
  <c r="BP321" i="2"/>
  <c r="Z330" i="2"/>
  <c r="BN344" i="2"/>
  <c r="BP357" i="2"/>
  <c r="Z366" i="2"/>
  <c r="Z376" i="2"/>
  <c r="Z386" i="2"/>
  <c r="BN398" i="2"/>
  <c r="Y401" i="2"/>
  <c r="BN434" i="2"/>
  <c r="BN444" i="2"/>
  <c r="Z454" i="2"/>
  <c r="Z479" i="2"/>
  <c r="BN492" i="2"/>
  <c r="Z504" i="2"/>
  <c r="BP516" i="2"/>
  <c r="BN538" i="2"/>
  <c r="BN550" i="2"/>
  <c r="BN81" i="2"/>
  <c r="Y93" i="2"/>
  <c r="BP81" i="2"/>
  <c r="Z62" i="2"/>
  <c r="Y77" i="2"/>
  <c r="BP87" i="2"/>
  <c r="Z95" i="2"/>
  <c r="Z106" i="2"/>
  <c r="Z116" i="2"/>
  <c r="BN128" i="2"/>
  <c r="Z139" i="2"/>
  <c r="Y155" i="2"/>
  <c r="Z163" i="2"/>
  <c r="BN175" i="2"/>
  <c r="BN195" i="2"/>
  <c r="BP250" i="2"/>
  <c r="Y294" i="2"/>
  <c r="Y361" i="2"/>
  <c r="Y372" i="2"/>
  <c r="Y382" i="2"/>
  <c r="Y414" i="2"/>
  <c r="BN449" i="2"/>
  <c r="Y473" i="2"/>
  <c r="BP486" i="2"/>
  <c r="BN497" i="2"/>
  <c r="BN509" i="2"/>
  <c r="Y530" i="2"/>
  <c r="Y544" i="2"/>
  <c r="BN556" i="2"/>
  <c r="T569" i="2"/>
  <c r="Z81" i="2"/>
  <c r="Y25" i="2"/>
  <c r="Y51" i="2"/>
  <c r="Y72" i="2"/>
  <c r="BP149" i="2"/>
  <c r="Z27" i="2"/>
  <c r="Z39" i="2"/>
  <c r="Y33" i="2"/>
  <c r="BP103" i="2"/>
  <c r="Y213" i="2"/>
  <c r="Y279" i="2"/>
  <c r="Y299" i="2"/>
  <c r="Y310" i="2"/>
  <c r="Z317" i="2"/>
  <c r="Z318" i="2" s="1"/>
  <c r="Y322" i="2"/>
  <c r="BP344" i="2"/>
  <c r="BP398" i="2"/>
  <c r="Y420" i="2"/>
  <c r="BP444" i="2"/>
  <c r="Z465" i="2"/>
  <c r="Z466" i="2" s="1"/>
  <c r="BP492" i="2"/>
  <c r="BN504" i="2"/>
  <c r="BP538" i="2"/>
  <c r="U569" i="2"/>
  <c r="Z527" i="2"/>
  <c r="BP556" i="2"/>
  <c r="C569" i="2"/>
  <c r="V569" i="2"/>
  <c r="Z328" i="2"/>
  <c r="Z274" i="2"/>
  <c r="Z284" i="2"/>
  <c r="Y295" i="2"/>
  <c r="Z305" i="2"/>
  <c r="Z364" i="2"/>
  <c r="Z374" i="2"/>
  <c r="Z384" i="2"/>
  <c r="Z37" i="2"/>
  <c r="Z49" i="2"/>
  <c r="Z60" i="2"/>
  <c r="Z70" i="2"/>
  <c r="BP95" i="2"/>
  <c r="Z104" i="2"/>
  <c r="Z124" i="2"/>
  <c r="Y129" i="2"/>
  <c r="BP139" i="2"/>
  <c r="BP163" i="2"/>
  <c r="Z171" i="2"/>
  <c r="Z181" i="2"/>
  <c r="Z191" i="2"/>
  <c r="Y196" i="2"/>
  <c r="Z205" i="2"/>
  <c r="Z216" i="2"/>
  <c r="Z217" i="2" s="1"/>
  <c r="Z226" i="2"/>
  <c r="Z256" i="2"/>
  <c r="Z257" i="2" s="1"/>
  <c r="BP271" i="2"/>
  <c r="Y300" i="2"/>
  <c r="Y311" i="2"/>
  <c r="Z345" i="2"/>
  <c r="Z399" i="2"/>
  <c r="Z423" i="2"/>
  <c r="Z435" i="2"/>
  <c r="BP460" i="2"/>
  <c r="Z551" i="2"/>
  <c r="Y557" i="2"/>
  <c r="E569" i="2"/>
  <c r="Y43" i="2"/>
  <c r="BN274" i="2"/>
  <c r="BN284" i="2"/>
  <c r="BN305" i="2"/>
  <c r="BN328" i="2"/>
  <c r="Y340" i="2"/>
  <c r="BN364" i="2"/>
  <c r="BN374" i="2"/>
  <c r="BN384" i="2"/>
  <c r="Y395" i="2"/>
  <c r="Y569" i="2"/>
  <c r="Y112" i="2"/>
  <c r="BN49" i="2"/>
  <c r="BN60" i="2"/>
  <c r="BN181" i="2"/>
  <c r="BN191" i="2"/>
  <c r="BN205" i="2"/>
  <c r="BN216" i="2"/>
  <c r="Z244" i="2"/>
  <c r="BN256" i="2"/>
  <c r="Z267" i="2"/>
  <c r="Z287" i="2"/>
  <c r="Z297" i="2"/>
  <c r="Z308" i="2"/>
  <c r="BN345" i="2"/>
  <c r="Y348" i="2"/>
  <c r="BN399" i="2"/>
  <c r="BN423" i="2"/>
  <c r="Y426" i="2"/>
  <c r="BN435" i="2"/>
  <c r="Z455" i="2"/>
  <c r="Z480" i="2"/>
  <c r="Y494" i="2"/>
  <c r="Z505" i="2"/>
  <c r="Z525" i="2"/>
  <c r="BN551" i="2"/>
  <c r="BN104" i="2"/>
  <c r="BN124" i="2"/>
  <c r="Z63" i="2"/>
  <c r="Z96" i="2"/>
  <c r="Z107" i="2"/>
  <c r="Z117" i="2"/>
  <c r="Z164" i="2"/>
  <c r="Z184" i="2"/>
  <c r="Z208" i="2"/>
  <c r="Z229" i="2"/>
  <c r="Z239" i="2"/>
  <c r="Z272" i="2"/>
  <c r="Z282" i="2"/>
  <c r="Z303" i="2"/>
  <c r="Z313" i="2"/>
  <c r="Z314" i="2" s="1"/>
  <c r="Z326" i="2"/>
  <c r="Z337" i="2"/>
  <c r="Z392" i="2"/>
  <c r="BN404" i="2"/>
  <c r="Z438" i="2"/>
  <c r="Z461" i="2"/>
  <c r="Z462" i="2" s="1"/>
  <c r="Y513" i="2"/>
  <c r="BP534" i="2"/>
  <c r="BP546" i="2"/>
  <c r="Y558" i="2"/>
  <c r="BP423" i="2"/>
  <c r="BN480" i="2"/>
  <c r="AB569" i="2"/>
  <c r="Y167" i="2"/>
  <c r="Z92" i="2" l="1"/>
  <c r="Z51" i="2"/>
  <c r="Z394" i="2"/>
  <c r="Z192" i="2"/>
  <c r="Z172" i="2"/>
  <c r="Z125" i="2"/>
  <c r="Z42" i="2"/>
  <c r="Z381" i="2"/>
  <c r="Z83" i="2"/>
  <c r="Z140" i="2"/>
  <c r="Z263" i="2"/>
  <c r="Z253" i="2"/>
  <c r="Z353" i="2"/>
  <c r="Z472" i="2"/>
  <c r="Z135" i="2"/>
  <c r="X562" i="2"/>
  <c r="Z247" i="2"/>
  <c r="Z529" i="2"/>
  <c r="Z299" i="2"/>
  <c r="Z426" i="2"/>
  <c r="Z348" i="2"/>
  <c r="Z72" i="2"/>
  <c r="Z388" i="2"/>
  <c r="Z371" i="2"/>
  <c r="Y561" i="2"/>
  <c r="Z401" i="2"/>
  <c r="Z519" i="2"/>
  <c r="Z456" i="2"/>
  <c r="Z64" i="2"/>
  <c r="Z167" i="2"/>
  <c r="Z118" i="2"/>
  <c r="Y563" i="2"/>
  <c r="Z112" i="2"/>
  <c r="Y560" i="2"/>
  <c r="Z483" i="2"/>
  <c r="Y559" i="2"/>
  <c r="Z155" i="2"/>
  <c r="Z212" i="2"/>
  <c r="Z339" i="2"/>
  <c r="Z235" i="2"/>
  <c r="Z332" i="2"/>
  <c r="Z439" i="2"/>
  <c r="Z310" i="2"/>
  <c r="Z294" i="2"/>
  <c r="Z32" i="2"/>
  <c r="Z186" i="2"/>
  <c r="Z99" i="2"/>
  <c r="Z279" i="2"/>
  <c r="Z513" i="2"/>
  <c r="Z268" i="2"/>
  <c r="Z552" i="2"/>
  <c r="Y562" i="2" l="1"/>
  <c r="Z564" i="2"/>
</calcChain>
</file>

<file path=xl/sharedStrings.xml><?xml version="1.0" encoding="utf-8"?>
<sst xmlns="http://schemas.openxmlformats.org/spreadsheetml/2006/main" count="4286" uniqueCount="892">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</sst>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/>
      <c r="I5" s="998"/>
      <c r="J5" s="998"/>
      <c r="K5" s="998"/>
      <c r="L5" s="998"/>
      <c r="M5" s="998"/>
      <c r="N5" s="72"/>
      <c r="P5" s="27" t="s">
        <v>4</v>
      </c>
      <c r="Q5" s="1000">
        <v>46293</v>
      </c>
      <c r="R5" s="1000"/>
      <c r="T5" s="1001" t="s">
        <v>3</v>
      </c>
      <c r="U5" s="1002"/>
      <c r="V5" s="1003" t="s">
        <v>873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 t="s">
        <v>874</v>
      </c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 t="str">
        <f>IFERROR(VLOOKUP(DeliveryAddress,Table,3,0),1)</f>
        <v>1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4.1666666666666664E-2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250</v>
      </c>
      <c r="Y47" s="55">
        <f>IFERROR(IF(X47="",0,CEILING((X47/$H47),1)*$H47),"")</f>
        <v>259.20000000000005</v>
      </c>
      <c r="Z47" s="41">
        <f>IFERROR(IF(Y47=0,"",ROUNDUP(Y47/H47,0)*0.01898),"")</f>
        <v>0.45552000000000004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259.4907407407407</v>
      </c>
      <c r="BN47" s="78">
        <f>IFERROR(Y47*I47/H47,"0")</f>
        <v>269.04000000000002</v>
      </c>
      <c r="BO47" s="78">
        <f>IFERROR(1/J47*(X47/H47),"0")</f>
        <v>0.36168981481481477</v>
      </c>
      <c r="BP47" s="78">
        <f>IFERROR(1/J47*(Y47/H47),"0")</f>
        <v>0.37500000000000006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23.148148148148145</v>
      </c>
      <c r="Y51" s="43">
        <f>IFERROR(Y47/H47,"0")+IFERROR(Y48/H48,"0")+IFERROR(Y49/H49,"0")+IFERROR(Y50/H50,"0")</f>
        <v>24.000000000000004</v>
      </c>
      <c r="Z51" s="43">
        <f>IFERROR(IF(Z47="",0,Z47),"0")+IFERROR(IF(Z48="",0,Z48),"0")+IFERROR(IF(Z49="",0,Z49),"0")+IFERROR(IF(Z50="",0,Z50),"0")</f>
        <v>0.45552000000000004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250</v>
      </c>
      <c r="Y52" s="43">
        <f>IFERROR(SUM(Y47:Y50),"0")</f>
        <v>259.20000000000005</v>
      </c>
      <c r="Z52" s="42"/>
      <c r="AA52" s="67"/>
      <c r="AB52" s="67"/>
      <c r="AC52" s="67"/>
    </row>
    <row r="53" spans="1:68" ht="16.5" hidden="1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300</v>
      </c>
      <c r="Y56" s="55">
        <f t="shared" si="0"/>
        <v>302.40000000000003</v>
      </c>
      <c r="Z56" s="41">
        <f>IFERROR(IF(Y56=0,"",ROUNDUP(Y56/H56,0)*0.01898),"")</f>
        <v>0.53144000000000002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311.38888888888891</v>
      </c>
      <c r="BN56" s="78">
        <f t="shared" si="2"/>
        <v>313.88</v>
      </c>
      <c r="BO56" s="78">
        <f t="shared" si="3"/>
        <v>0.43402777777777773</v>
      </c>
      <c r="BP56" s="78">
        <f t="shared" si="4"/>
        <v>0.4375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6">
        <v>4680115881426</v>
      </c>
      <c r="E57" s="666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6">
        <v>4680115880283</v>
      </c>
      <c r="E58" s="666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6">
        <v>4680115881525</v>
      </c>
      <c r="E59" s="666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6">
        <v>4680115881525</v>
      </c>
      <c r="E60" s="666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6">
        <v>4680115885899</v>
      </c>
      <c r="E61" s="666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8"/>
      <c r="R61" s="668"/>
      <c r="S61" s="668"/>
      <c r="T61" s="669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66">
        <v>4680115881419</v>
      </c>
      <c r="E62" s="666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8"/>
      <c r="R62" s="668"/>
      <c r="S62" s="668"/>
      <c r="T62" s="669"/>
      <c r="U62" s="39" t="s">
        <v>46</v>
      </c>
      <c r="V62" s="39" t="s">
        <v>46</v>
      </c>
      <c r="W62" s="40" t="s">
        <v>0</v>
      </c>
      <c r="X62" s="58">
        <v>171</v>
      </c>
      <c r="Y62" s="55">
        <f t="shared" si="0"/>
        <v>171</v>
      </c>
      <c r="Z62" s="41">
        <f>IFERROR(IF(Y62=0,"",ROUNDUP(Y62/H62,0)*0.00902),"")</f>
        <v>0.34276000000000001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178.22000000000003</v>
      </c>
      <c r="BN62" s="78">
        <f t="shared" si="2"/>
        <v>178.22000000000003</v>
      </c>
      <c r="BO62" s="78">
        <f t="shared" si="3"/>
        <v>0.2878787878787879</v>
      </c>
      <c r="BP62" s="78">
        <f t="shared" si="4"/>
        <v>0.2878787878787879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6">
        <v>4680115881419</v>
      </c>
      <c r="E63" s="666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8"/>
      <c r="R63" s="668"/>
      <c r="S63" s="668"/>
      <c r="T63" s="669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65.777777777777771</v>
      </c>
      <c r="Y64" s="43">
        <f>IFERROR(Y55/H55,"0")+IFERROR(Y56/H56,"0")+IFERROR(Y57/H57,"0")+IFERROR(Y58/H58,"0")+IFERROR(Y59/H59,"0")+IFERROR(Y60/H60,"0")+IFERROR(Y61/H61,"0")+IFERROR(Y62/H62,"0")+IFERROR(Y63/H63,"0")</f>
        <v>66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0.87420000000000009</v>
      </c>
      <c r="AA64" s="67"/>
      <c r="AB64" s="67"/>
      <c r="AC64" s="67"/>
    </row>
    <row r="65" spans="1:68" x14ac:dyDescent="0.2">
      <c r="A65" s="656"/>
      <c r="B65" s="656"/>
      <c r="C65" s="656"/>
      <c r="D65" s="656"/>
      <c r="E65" s="656"/>
      <c r="F65" s="656"/>
      <c r="G65" s="656"/>
      <c r="H65" s="656"/>
      <c r="I65" s="656"/>
      <c r="J65" s="656"/>
      <c r="K65" s="656"/>
      <c r="L65" s="656"/>
      <c r="M65" s="656"/>
      <c r="N65" s="656"/>
      <c r="O65" s="657"/>
      <c r="P65" s="653" t="s">
        <v>40</v>
      </c>
      <c r="Q65" s="654"/>
      <c r="R65" s="654"/>
      <c r="S65" s="654"/>
      <c r="T65" s="654"/>
      <c r="U65" s="654"/>
      <c r="V65" s="655"/>
      <c r="W65" s="42" t="s">
        <v>0</v>
      </c>
      <c r="X65" s="43">
        <f>IFERROR(SUM(X55:X63),"0")</f>
        <v>471</v>
      </c>
      <c r="Y65" s="43">
        <f>IFERROR(SUM(Y55:Y63),"0")</f>
        <v>473.40000000000003</v>
      </c>
      <c r="Z65" s="42"/>
      <c r="AA65" s="67"/>
      <c r="AB65" s="67"/>
      <c r="AC65" s="67"/>
    </row>
    <row r="66" spans="1:68" ht="14.25" hidden="1" customHeight="1" x14ac:dyDescent="0.25">
      <c r="A66" s="665" t="s">
        <v>159</v>
      </c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6">
        <v>4680115881440</v>
      </c>
      <c r="E67" s="666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100</v>
      </c>
      <c r="Y67" s="55">
        <f>IFERROR(IF(X67="",0,CEILING((X67/$H67),1)*$H67),"")</f>
        <v>108</v>
      </c>
      <c r="Z67" s="41">
        <f>IFERROR(IF(Y67=0,"",ROUNDUP(Y67/H67,0)*0.01898),"")</f>
        <v>0.1898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103.79629629629629</v>
      </c>
      <c r="BN67" s="78">
        <f>IFERROR(Y67*I67/H67,"0")</f>
        <v>112.1</v>
      </c>
      <c r="BO67" s="78">
        <f>IFERROR(1/J67*(X67/H67),"0")</f>
        <v>0.14467592592592593</v>
      </c>
      <c r="BP67" s="78">
        <f>IFERROR(1/J67*(Y67/H67),"0")</f>
        <v>0.15625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6">
        <v>4680115881440</v>
      </c>
      <c r="E68" s="666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8"/>
      <c r="R68" s="668"/>
      <c r="S68" s="668"/>
      <c r="T68" s="669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6">
        <v>4680115885950</v>
      </c>
      <c r="E69" s="666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8"/>
      <c r="R69" s="668"/>
      <c r="S69" s="668"/>
      <c r="T69" s="669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6">
        <v>4680115887688</v>
      </c>
      <c r="E70" s="666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8"/>
      <c r="R70" s="668"/>
      <c r="S70" s="668"/>
      <c r="T70" s="669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666">
        <v>4680115881433</v>
      </c>
      <c r="E71" s="666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656"/>
      <c r="B72" s="656"/>
      <c r="C72" s="656"/>
      <c r="D72" s="656"/>
      <c r="E72" s="656"/>
      <c r="F72" s="656"/>
      <c r="G72" s="656"/>
      <c r="H72" s="656"/>
      <c r="I72" s="656"/>
      <c r="J72" s="656"/>
      <c r="K72" s="656"/>
      <c r="L72" s="656"/>
      <c r="M72" s="656"/>
      <c r="N72" s="656"/>
      <c r="O72" s="657"/>
      <c r="P72" s="653" t="s">
        <v>40</v>
      </c>
      <c r="Q72" s="654"/>
      <c r="R72" s="654"/>
      <c r="S72" s="654"/>
      <c r="T72" s="654"/>
      <c r="U72" s="654"/>
      <c r="V72" s="655"/>
      <c r="W72" s="42" t="s">
        <v>39</v>
      </c>
      <c r="X72" s="43">
        <f>IFERROR(X67/H67,"0")+IFERROR(X68/H68,"0")+IFERROR(X69/H69,"0")+IFERROR(X70/H70,"0")+IFERROR(X71/H71,"0")</f>
        <v>9.2592592592592595</v>
      </c>
      <c r="Y72" s="43">
        <f>IFERROR(Y67/H67,"0")+IFERROR(Y68/H68,"0")+IFERROR(Y69/H69,"0")+IFERROR(Y70/H70,"0")+IFERROR(Y71/H71,"0")</f>
        <v>10</v>
      </c>
      <c r="Z72" s="43">
        <f>IFERROR(IF(Z67="",0,Z67),"0")+IFERROR(IF(Z68="",0,Z68),"0")+IFERROR(IF(Z69="",0,Z69),"0")+IFERROR(IF(Z70="",0,Z70),"0")+IFERROR(IF(Z71="",0,Z71),"0")</f>
        <v>0.1898</v>
      </c>
      <c r="AA72" s="67"/>
      <c r="AB72" s="67"/>
      <c r="AC72" s="67"/>
    </row>
    <row r="73" spans="1:68" x14ac:dyDescent="0.2">
      <c r="A73" s="656"/>
      <c r="B73" s="656"/>
      <c r="C73" s="656"/>
      <c r="D73" s="656"/>
      <c r="E73" s="656"/>
      <c r="F73" s="656"/>
      <c r="G73" s="656"/>
      <c r="H73" s="656"/>
      <c r="I73" s="656"/>
      <c r="J73" s="656"/>
      <c r="K73" s="656"/>
      <c r="L73" s="656"/>
      <c r="M73" s="656"/>
      <c r="N73" s="656"/>
      <c r="O73" s="657"/>
      <c r="P73" s="653" t="s">
        <v>40</v>
      </c>
      <c r="Q73" s="654"/>
      <c r="R73" s="654"/>
      <c r="S73" s="654"/>
      <c r="T73" s="654"/>
      <c r="U73" s="654"/>
      <c r="V73" s="655"/>
      <c r="W73" s="42" t="s">
        <v>0</v>
      </c>
      <c r="X73" s="43">
        <f>IFERROR(SUM(X67:X71),"0")</f>
        <v>100</v>
      </c>
      <c r="Y73" s="43">
        <f>IFERROR(SUM(Y67:Y71),"0")</f>
        <v>108</v>
      </c>
      <c r="Z73" s="42"/>
      <c r="AA73" s="67"/>
      <c r="AB73" s="67"/>
      <c r="AC73" s="67"/>
    </row>
    <row r="74" spans="1:68" ht="14.25" hidden="1" customHeight="1" x14ac:dyDescent="0.25">
      <c r="A74" s="665" t="s">
        <v>86</v>
      </c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6">
        <v>4680115884311</v>
      </c>
      <c r="E75" s="666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8"/>
      <c r="R75" s="668"/>
      <c r="S75" s="668"/>
      <c r="T75" s="669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6">
        <v>4680115884403</v>
      </c>
      <c r="E76" s="666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8"/>
      <c r="R76" s="668"/>
      <c r="S76" s="668"/>
      <c r="T76" s="669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56"/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7"/>
      <c r="P77" s="653" t="s">
        <v>40</v>
      </c>
      <c r="Q77" s="654"/>
      <c r="R77" s="654"/>
      <c r="S77" s="654"/>
      <c r="T77" s="654"/>
      <c r="U77" s="654"/>
      <c r="V77" s="655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56"/>
      <c r="B78" s="656"/>
      <c r="C78" s="656"/>
      <c r="D78" s="656"/>
      <c r="E78" s="656"/>
      <c r="F78" s="656"/>
      <c r="G78" s="656"/>
      <c r="H78" s="656"/>
      <c r="I78" s="656"/>
      <c r="J78" s="656"/>
      <c r="K78" s="656"/>
      <c r="L78" s="656"/>
      <c r="M78" s="656"/>
      <c r="N78" s="656"/>
      <c r="O78" s="657"/>
      <c r="P78" s="653" t="s">
        <v>40</v>
      </c>
      <c r="Q78" s="654"/>
      <c r="R78" s="654"/>
      <c r="S78" s="654"/>
      <c r="T78" s="654"/>
      <c r="U78" s="654"/>
      <c r="V78" s="655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5" t="s">
        <v>178</v>
      </c>
      <c r="B79" s="665"/>
      <c r="C79" s="665"/>
      <c r="D79" s="665"/>
      <c r="E79" s="665"/>
      <c r="F79" s="665"/>
      <c r="G79" s="665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6">
        <v>4680115881532</v>
      </c>
      <c r="E80" s="666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6">
        <v>4680115881532</v>
      </c>
      <c r="E81" s="666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1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8"/>
      <c r="R81" s="668"/>
      <c r="S81" s="668"/>
      <c r="T81" s="669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6">
        <v>4680115881464</v>
      </c>
      <c r="E82" s="666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56"/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7"/>
      <c r="P83" s="653" t="s">
        <v>40</v>
      </c>
      <c r="Q83" s="654"/>
      <c r="R83" s="654"/>
      <c r="S83" s="654"/>
      <c r="T83" s="654"/>
      <c r="U83" s="654"/>
      <c r="V83" s="655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56"/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7"/>
      <c r="P84" s="653" t="s">
        <v>40</v>
      </c>
      <c r="Q84" s="654"/>
      <c r="R84" s="654"/>
      <c r="S84" s="654"/>
      <c r="T84" s="654"/>
      <c r="U84" s="654"/>
      <c r="V84" s="655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72" t="s">
        <v>186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"/>
      <c r="AB85" s="65"/>
      <c r="AC85" s="79"/>
    </row>
    <row r="86" spans="1:68" ht="14.25" hidden="1" customHeight="1" x14ac:dyDescent="0.25">
      <c r="A86" s="665" t="s">
        <v>122</v>
      </c>
      <c r="B86" s="665"/>
      <c r="C86" s="665"/>
      <c r="D86" s="665"/>
      <c r="E86" s="66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6">
        <v>4680115881327</v>
      </c>
      <c r="E87" s="666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200</v>
      </c>
      <c r="Y87" s="55">
        <f>IFERROR(IF(X87="",0,CEILING((X87/$H87),1)*$H87),"")</f>
        <v>205.20000000000002</v>
      </c>
      <c r="Z87" s="41">
        <f>IFERROR(IF(Y87=0,"",ROUNDUP(Y87/H87,0)*0.01898),"")</f>
        <v>0.36062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207.59259259259258</v>
      </c>
      <c r="BN87" s="78">
        <f>IFERROR(Y87*I87/H87,"0")</f>
        <v>212.99</v>
      </c>
      <c r="BO87" s="78">
        <f>IFERROR(1/J87*(X87/H87),"0")</f>
        <v>0.28935185185185186</v>
      </c>
      <c r="BP87" s="78">
        <f>IFERROR(1/J87*(Y87/H87),"0")</f>
        <v>0.296875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666">
        <v>4680115887732</v>
      </c>
      <c r="E88" s="666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9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666">
        <v>4680115881518</v>
      </c>
      <c r="E89" s="666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9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666">
        <v>4680115881518</v>
      </c>
      <c r="E90" s="666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1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8"/>
      <c r="R90" s="668"/>
      <c r="S90" s="668"/>
      <c r="T90" s="669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4301012250</v>
      </c>
      <c r="D91" s="666">
        <v>4680115881303</v>
      </c>
      <c r="E91" s="666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8"/>
      <c r="R91" s="668"/>
      <c r="S91" s="668"/>
      <c r="T91" s="669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39</v>
      </c>
      <c r="X92" s="43">
        <f>IFERROR(X87/H87,"0")+IFERROR(X88/H88,"0")+IFERROR(X89/H89,"0")+IFERROR(X90/H90,"0")+IFERROR(X91/H91,"0")</f>
        <v>18.518518518518519</v>
      </c>
      <c r="Y92" s="43">
        <f>IFERROR(Y87/H87,"0")+IFERROR(Y88/H88,"0")+IFERROR(Y89/H89,"0")+IFERROR(Y90/H90,"0")+IFERROR(Y91/H91,"0")</f>
        <v>19</v>
      </c>
      <c r="Z92" s="43">
        <f>IFERROR(IF(Z87="",0,Z87),"0")+IFERROR(IF(Z88="",0,Z88),"0")+IFERROR(IF(Z89="",0,Z89),"0")+IFERROR(IF(Z90="",0,Z90),"0")+IFERROR(IF(Z91="",0,Z91),"0")</f>
        <v>0.36062</v>
      </c>
      <c r="AA92" s="67"/>
      <c r="AB92" s="67"/>
      <c r="AC92" s="67"/>
    </row>
    <row r="93" spans="1:68" x14ac:dyDescent="0.2">
      <c r="A93" s="656"/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7"/>
      <c r="P93" s="653" t="s">
        <v>40</v>
      </c>
      <c r="Q93" s="654"/>
      <c r="R93" s="654"/>
      <c r="S93" s="654"/>
      <c r="T93" s="654"/>
      <c r="U93" s="654"/>
      <c r="V93" s="655"/>
      <c r="W93" s="42" t="s">
        <v>0</v>
      </c>
      <c r="X93" s="43">
        <f>IFERROR(SUM(X87:X91),"0")</f>
        <v>200</v>
      </c>
      <c r="Y93" s="43">
        <f>IFERROR(SUM(Y87:Y91),"0")</f>
        <v>205.20000000000002</v>
      </c>
      <c r="Z93" s="42"/>
      <c r="AA93" s="67"/>
      <c r="AB93" s="67"/>
      <c r="AC93" s="67"/>
    </row>
    <row r="94" spans="1:68" ht="14.25" hidden="1" customHeight="1" x14ac:dyDescent="0.25">
      <c r="A94" s="665" t="s">
        <v>86</v>
      </c>
      <c r="B94" s="665"/>
      <c r="C94" s="665"/>
      <c r="D94" s="665"/>
      <c r="E94" s="665"/>
      <c r="F94" s="665"/>
      <c r="G94" s="665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"/>
      <c r="AB94" s="66"/>
      <c r="AC94" s="80"/>
    </row>
    <row r="95" spans="1:68" ht="27" customHeight="1" x14ac:dyDescent="0.25">
      <c r="A95" s="63" t="s">
        <v>198</v>
      </c>
      <c r="B95" s="63" t="s">
        <v>199</v>
      </c>
      <c r="C95" s="36">
        <v>4301052101</v>
      </c>
      <c r="D95" s="666">
        <v>4607091386967</v>
      </c>
      <c r="E95" s="666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400</v>
      </c>
      <c r="Y95" s="55">
        <f>IFERROR(IF(X95="",0,CEILING((X95/$H95),1)*$H95),"")</f>
        <v>405</v>
      </c>
      <c r="Z95" s="41">
        <f>IFERROR(IF(Y95=0,"",ROUNDUP(Y95/H95,0)*0.01898),"")</f>
        <v>0.94900000000000007</v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424.39506172839509</v>
      </c>
      <c r="BN95" s="78">
        <f>IFERROR(Y95*I95/H95,"0")</f>
        <v>429.7</v>
      </c>
      <c r="BO95" s="78">
        <f>IFERROR(1/J95*(X95/H95),"0")</f>
        <v>0.77160493827160492</v>
      </c>
      <c r="BP95" s="78">
        <f>IFERROR(1/J95*(Y95/H95),"0")</f>
        <v>0.78125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666">
        <v>4680115884953</v>
      </c>
      <c r="E96" s="666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IFERROR(X95/H95,"0")+IFERROR(X96/H96,"0")+IFERROR(X97/H97,"0")+IFERROR(X98/H98,"0")</f>
        <v>49.382716049382715</v>
      </c>
      <c r="Y99" s="43">
        <f>IFERROR(Y95/H95,"0")+IFERROR(Y96/H96,"0")+IFERROR(Y97/H97,"0")+IFERROR(Y98/H98,"0")</f>
        <v>50</v>
      </c>
      <c r="Z99" s="43">
        <f>IFERROR(IF(Z95="",0,Z95),"0")+IFERROR(IF(Z96="",0,Z96),"0")+IFERROR(IF(Z97="",0,Z97),"0")+IFERROR(IF(Z98="",0,Z98),"0")</f>
        <v>0.94900000000000007</v>
      </c>
      <c r="AA99" s="67"/>
      <c r="AB99" s="67"/>
      <c r="AC99" s="67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IFERROR(SUM(X95:X98),"0")</f>
        <v>400</v>
      </c>
      <c r="Y100" s="43">
        <f>IFERROR(SUM(Y95:Y98),"0")</f>
        <v>405</v>
      </c>
      <c r="Z100" s="42"/>
      <c r="AA100" s="67"/>
      <c r="AB100" s="67"/>
      <c r="AC100" s="67"/>
    </row>
    <row r="101" spans="1:68" ht="16.5" hidden="1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100</v>
      </c>
      <c r="Y103" s="55">
        <f t="shared" ref="Y103:Y111" si="5">IFERROR(IF(X103="",0,CEILING((X103/$H103),1)*$H103),"")</f>
        <v>108</v>
      </c>
      <c r="Z103" s="41">
        <f>IFERROR(IF(Y103=0,"",ROUNDUP(Y103/H103,0)*0.01898),"")</f>
        <v>0.1898</v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103.79629629629629</v>
      </c>
      <c r="BN103" s="78">
        <f t="shared" ref="BN103:BN111" si="7">IFERROR(Y103*I103/H103,"0")</f>
        <v>112.1</v>
      </c>
      <c r="BO103" s="78">
        <f t="shared" ref="BO103:BO111" si="8">IFERROR(1/J103*(X103/H103),"0")</f>
        <v>0.14467592592592593</v>
      </c>
      <c r="BP103" s="78">
        <f t="shared" ref="BP103:BP111" si="9">IFERROR(1/J103*(Y103/H103),"0")</f>
        <v>0.15625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666">
        <v>4680115882133</v>
      </c>
      <c r="E104" s="666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666">
        <v>4680115887718</v>
      </c>
      <c r="E105" s="666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66">
        <v>4680115880269</v>
      </c>
      <c r="E106" s="666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4301012254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113</v>
      </c>
      <c r="Y108" s="55">
        <f t="shared" si="5"/>
        <v>117</v>
      </c>
      <c r="Z108" s="41">
        <f>IFERROR(IF(Y108=0,"",ROUNDUP(Y108/H108,0)*0.00902),"")</f>
        <v>0.23452000000000001</v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117.77111111111111</v>
      </c>
      <c r="BN108" s="78">
        <f t="shared" si="7"/>
        <v>121.94</v>
      </c>
      <c r="BO108" s="78">
        <f t="shared" si="8"/>
        <v>0.19023569023569023</v>
      </c>
      <c r="BP108" s="78">
        <f t="shared" si="9"/>
        <v>0.19696969696969696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666">
        <v>4680115881457</v>
      </c>
      <c r="E109" s="666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0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666">
        <v>4680115889477</v>
      </c>
      <c r="E111" s="666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89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8"/>
      <c r="R111" s="668"/>
      <c r="S111" s="668"/>
      <c r="T111" s="669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34.370370370370367</v>
      </c>
      <c r="Y112" s="43">
        <f>IFERROR(Y103/H103,"0")+IFERROR(Y104/H104,"0")+IFERROR(Y105/H105,"0")+IFERROR(Y106/H106,"0")+IFERROR(Y107/H107,"0")+IFERROR(Y108/H108,"0")+IFERROR(Y109/H109,"0")+IFERROR(Y110/H110,"0")+IFERROR(Y111/H111,"0")</f>
        <v>36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0.42432000000000003</v>
      </c>
      <c r="AA112" s="67"/>
      <c r="AB112" s="67"/>
      <c r="AC112" s="67"/>
    </row>
    <row r="113" spans="1:68" x14ac:dyDescent="0.2">
      <c r="A113" s="656"/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7"/>
      <c r="P113" s="653" t="s">
        <v>40</v>
      </c>
      <c r="Q113" s="654"/>
      <c r="R113" s="654"/>
      <c r="S113" s="654"/>
      <c r="T113" s="654"/>
      <c r="U113" s="654"/>
      <c r="V113" s="655"/>
      <c r="W113" s="42" t="s">
        <v>0</v>
      </c>
      <c r="X113" s="43">
        <f>IFERROR(SUM(X103:X111),"0")</f>
        <v>213</v>
      </c>
      <c r="Y113" s="43">
        <f>IFERROR(SUM(Y103:Y111),"0")</f>
        <v>225</v>
      </c>
      <c r="Z113" s="42"/>
      <c r="AA113" s="67"/>
      <c r="AB113" s="67"/>
      <c r="AC113" s="67"/>
    </row>
    <row r="114" spans="1:68" ht="14.25" hidden="1" customHeight="1" x14ac:dyDescent="0.25">
      <c r="A114" s="665" t="s">
        <v>159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666">
        <v>4680115881488</v>
      </c>
      <c r="E115" s="666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89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666">
        <v>4680115882775</v>
      </c>
      <c r="E116" s="666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234</v>
      </c>
      <c r="B117" s="63" t="s">
        <v>235</v>
      </c>
      <c r="C117" s="36">
        <v>4301020392</v>
      </c>
      <c r="D117" s="666">
        <v>4680115880658</v>
      </c>
      <c r="E117" s="666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32</v>
      </c>
      <c r="Y117" s="55">
        <f>IFERROR(IF(X117="",0,CEILING((X117/$H117),1)*$H117),"")</f>
        <v>33.6</v>
      </c>
      <c r="Z117" s="41">
        <f>IFERROR(IF(Y117=0,"",ROUNDUP(Y117/H117,0)*0.00651),"")</f>
        <v>9.1139999999999999E-2</v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34.400000000000006</v>
      </c>
      <c r="BN117" s="78">
        <f>IFERROR(Y117*I117/H117,"0")</f>
        <v>36.120000000000005</v>
      </c>
      <c r="BO117" s="78">
        <f>IFERROR(1/J117*(X117/H117),"0")</f>
        <v>7.3260073260073263E-2</v>
      </c>
      <c r="BP117" s="78">
        <f>IFERROR(1/J117*(Y117/H117),"0")</f>
        <v>7.6923076923076941E-2</v>
      </c>
    </row>
    <row r="118" spans="1:68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2" t="s">
        <v>39</v>
      </c>
      <c r="X118" s="43">
        <f>IFERROR(X115/H115,"0")+IFERROR(X116/H116,"0")+IFERROR(X117/H117,"0")</f>
        <v>13.333333333333334</v>
      </c>
      <c r="Y118" s="43">
        <f>IFERROR(Y115/H115,"0")+IFERROR(Y116/H116,"0")+IFERROR(Y117/H117,"0")</f>
        <v>14.000000000000002</v>
      </c>
      <c r="Z118" s="43">
        <f>IFERROR(IF(Z115="",0,Z115),"0")+IFERROR(IF(Z116="",0,Z116),"0")+IFERROR(IF(Z117="",0,Z117),"0")</f>
        <v>9.1139999999999999E-2</v>
      </c>
      <c r="AA118" s="67"/>
      <c r="AB118" s="67"/>
      <c r="AC118" s="67"/>
    </row>
    <row r="119" spans="1:68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0</v>
      </c>
      <c r="X119" s="43">
        <f>IFERROR(SUM(X115:X117),"0")</f>
        <v>32</v>
      </c>
      <c r="Y119" s="43">
        <f>IFERROR(SUM(Y115:Y117),"0")</f>
        <v>33.6</v>
      </c>
      <c r="Z119" s="42"/>
      <c r="AA119" s="67"/>
      <c r="AB119" s="67"/>
      <c r="AC119" s="67"/>
    </row>
    <row r="120" spans="1:68" ht="14.25" hidden="1" customHeight="1" x14ac:dyDescent="0.25">
      <c r="A120" s="665" t="s">
        <v>86</v>
      </c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666">
        <v>4607091385168</v>
      </c>
      <c r="E121" s="666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8"/>
      <c r="R121" s="668"/>
      <c r="S121" s="668"/>
      <c r="T121" s="669"/>
      <c r="U121" s="39" t="s">
        <v>46</v>
      </c>
      <c r="V121" s="39" t="s">
        <v>46</v>
      </c>
      <c r="W121" s="40" t="s">
        <v>0</v>
      </c>
      <c r="X121" s="58">
        <v>1000</v>
      </c>
      <c r="Y121" s="55">
        <f>IFERROR(IF(X121="",0,CEILING((X121/$H121),1)*$H121),"")</f>
        <v>1004.4</v>
      </c>
      <c r="Z121" s="41">
        <f>IFERROR(IF(Y121=0,"",ROUNDUP(Y121/H121,0)*0.01898),"")</f>
        <v>2.3535200000000001</v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1060.2469135802469</v>
      </c>
      <c r="BN121" s="78">
        <f>IFERROR(Y121*I121/H121,"0")</f>
        <v>1064.9119999999998</v>
      </c>
      <c r="BO121" s="78">
        <f>IFERROR(1/J121*(X121/H121),"0")</f>
        <v>1.9290123456790125</v>
      </c>
      <c r="BP121" s="78">
        <f>IFERROR(1/J121*(Y121/H121),"0")</f>
        <v>1.9375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666">
        <v>4607091383256</v>
      </c>
      <c r="E122" s="666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4301052086</v>
      </c>
      <c r="D123" s="666">
        <v>4607091385748</v>
      </c>
      <c r="E123" s="666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hidden="1" customHeight="1" x14ac:dyDescent="0.25">
      <c r="A124" s="63" t="s">
        <v>243</v>
      </c>
      <c r="B124" s="63" t="s">
        <v>244</v>
      </c>
      <c r="C124" s="36">
        <v>4301052085</v>
      </c>
      <c r="D124" s="666">
        <v>4680115884533</v>
      </c>
      <c r="E124" s="666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2" t="s">
        <v>39</v>
      </c>
      <c r="X125" s="43">
        <f>IFERROR(X121/H121,"0")+IFERROR(X122/H122,"0")+IFERROR(X123/H123,"0")+IFERROR(X124/H124,"0")</f>
        <v>123.4567901234568</v>
      </c>
      <c r="Y125" s="43">
        <f>IFERROR(Y121/H121,"0")+IFERROR(Y122/H122,"0")+IFERROR(Y123/H123,"0")+IFERROR(Y124/H124,"0")</f>
        <v>124</v>
      </c>
      <c r="Z125" s="43">
        <f>IFERROR(IF(Z121="",0,Z121),"0")+IFERROR(IF(Z122="",0,Z122),"0")+IFERROR(IF(Z123="",0,Z123),"0")+IFERROR(IF(Z124="",0,Z124),"0")</f>
        <v>2.3535200000000001</v>
      </c>
      <c r="AA125" s="67"/>
      <c r="AB125" s="67"/>
      <c r="AC125" s="67"/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0</v>
      </c>
      <c r="X126" s="43">
        <f>IFERROR(SUM(X121:X124),"0")</f>
        <v>1000</v>
      </c>
      <c r="Y126" s="43">
        <f>IFERROR(SUM(Y121:Y124),"0")</f>
        <v>1004.4</v>
      </c>
      <c r="Z126" s="42"/>
      <c r="AA126" s="67"/>
      <c r="AB126" s="67"/>
      <c r="AC126" s="67"/>
    </row>
    <row r="127" spans="1:68" ht="14.25" hidden="1" customHeight="1" x14ac:dyDescent="0.25">
      <c r="A127" s="665" t="s">
        <v>178</v>
      </c>
      <c r="B127" s="665"/>
      <c r="C127" s="665"/>
      <c r="D127" s="665"/>
      <c r="E127" s="66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"/>
      <c r="AB127" s="66"/>
      <c r="AC127" s="80"/>
    </row>
    <row r="128" spans="1:68" ht="16.5" hidden="1" customHeight="1" x14ac:dyDescent="0.25">
      <c r="A128" s="63" t="s">
        <v>246</v>
      </c>
      <c r="B128" s="63" t="s">
        <v>247</v>
      </c>
      <c r="C128" s="36">
        <v>4301060525</v>
      </c>
      <c r="D128" s="666">
        <v>4680115880238</v>
      </c>
      <c r="E128" s="666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8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hidden="1" customHeight="1" x14ac:dyDescent="0.25">
      <c r="A131" s="672" t="s">
        <v>249</v>
      </c>
      <c r="B131" s="672"/>
      <c r="C131" s="672"/>
      <c r="D131" s="672"/>
      <c r="E131" s="672"/>
      <c r="F131" s="672"/>
      <c r="G131" s="672"/>
      <c r="H131" s="672"/>
      <c r="I131" s="672"/>
      <c r="J131" s="672"/>
      <c r="K131" s="672"/>
      <c r="L131" s="672"/>
      <c r="M131" s="672"/>
      <c r="N131" s="672"/>
      <c r="O131" s="672"/>
      <c r="P131" s="672"/>
      <c r="Q131" s="672"/>
      <c r="R131" s="672"/>
      <c r="S131" s="672"/>
      <c r="T131" s="672"/>
      <c r="U131" s="672"/>
      <c r="V131" s="672"/>
      <c r="W131" s="672"/>
      <c r="X131" s="672"/>
      <c r="Y131" s="672"/>
      <c r="Z131" s="672"/>
      <c r="AA131" s="65"/>
      <c r="AB131" s="65"/>
      <c r="AC131" s="79"/>
    </row>
    <row r="132" spans="1:68" ht="14.25" hidden="1" customHeight="1" x14ac:dyDescent="0.25">
      <c r="A132" s="665" t="s">
        <v>122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666">
        <v>4680115882577</v>
      </c>
      <c r="E133" s="666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250</v>
      </c>
      <c r="B134" s="63" t="s">
        <v>254</v>
      </c>
      <c r="C134" s="36">
        <v>4301011564</v>
      </c>
      <c r="D134" s="666">
        <v>4680115882577</v>
      </c>
      <c r="E134" s="666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8"/>
      <c r="R134" s="668"/>
      <c r="S134" s="668"/>
      <c r="T134" s="669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56"/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7"/>
      <c r="P136" s="653" t="s">
        <v>40</v>
      </c>
      <c r="Q136" s="654"/>
      <c r="R136" s="654"/>
      <c r="S136" s="654"/>
      <c r="T136" s="654"/>
      <c r="U136" s="654"/>
      <c r="V136" s="655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65" t="s">
        <v>77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hidden="1" customHeight="1" x14ac:dyDescent="0.25">
      <c r="A138" s="63" t="s">
        <v>255</v>
      </c>
      <c r="B138" s="63" t="s">
        <v>256</v>
      </c>
      <c r="C138" s="36">
        <v>4301031234</v>
      </c>
      <c r="D138" s="666">
        <v>4680115883444</v>
      </c>
      <c r="E138" s="666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8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666">
        <v>4680115883444</v>
      </c>
      <c r="E139" s="666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5" t="s">
        <v>86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16.5" hidden="1" customHeight="1" x14ac:dyDescent="0.25">
      <c r="A143" s="63" t="s">
        <v>259</v>
      </c>
      <c r="B143" s="63" t="s">
        <v>260</v>
      </c>
      <c r="C143" s="36">
        <v>4301051476</v>
      </c>
      <c r="D143" s="666">
        <v>4680115882584</v>
      </c>
      <c r="E143" s="666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8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666">
        <v>4680115882584</v>
      </c>
      <c r="E144" s="666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72" t="s">
        <v>262</v>
      </c>
      <c r="B147" s="672"/>
      <c r="C147" s="672"/>
      <c r="D147" s="672"/>
      <c r="E147" s="672"/>
      <c r="F147" s="672"/>
      <c r="G147" s="672"/>
      <c r="H147" s="672"/>
      <c r="I147" s="672"/>
      <c r="J147" s="672"/>
      <c r="K147" s="672"/>
      <c r="L147" s="672"/>
      <c r="M147" s="672"/>
      <c r="N147" s="672"/>
      <c r="O147" s="672"/>
      <c r="P147" s="672"/>
      <c r="Q147" s="672"/>
      <c r="R147" s="672"/>
      <c r="S147" s="672"/>
      <c r="T147" s="672"/>
      <c r="U147" s="672"/>
      <c r="V147" s="672"/>
      <c r="W147" s="672"/>
      <c r="X147" s="672"/>
      <c r="Y147" s="672"/>
      <c r="Z147" s="672"/>
      <c r="AA147" s="65"/>
      <c r="AB147" s="65"/>
      <c r="AC147" s="79"/>
    </row>
    <row r="148" spans="1:68" ht="14.25" hidden="1" customHeight="1" x14ac:dyDescent="0.25">
      <c r="A148" s="665" t="s">
        <v>86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666">
        <v>4680115888203</v>
      </c>
      <c r="E149" s="666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666">
        <v>4680115888180</v>
      </c>
      <c r="E150" s="666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8"/>
      <c r="R150" s="668"/>
      <c r="S150" s="668"/>
      <c r="T150" s="669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666">
        <v>4680115888180</v>
      </c>
      <c r="E151" s="666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8"/>
      <c r="R151" s="668"/>
      <c r="S151" s="668"/>
      <c r="T151" s="669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666">
        <v>4680115888197</v>
      </c>
      <c r="E152" s="666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8"/>
      <c r="R152" s="668"/>
      <c r="S152" s="668"/>
      <c r="T152" s="669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666">
        <v>4680115888210</v>
      </c>
      <c r="E153" s="666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8"/>
      <c r="R153" s="668"/>
      <c r="S153" s="668"/>
      <c r="T153" s="669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666">
        <v>4680115888210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56"/>
      <c r="B156" s="656"/>
      <c r="C156" s="656"/>
      <c r="D156" s="656"/>
      <c r="E156" s="656"/>
      <c r="F156" s="656"/>
      <c r="G156" s="656"/>
      <c r="H156" s="656"/>
      <c r="I156" s="656"/>
      <c r="J156" s="656"/>
      <c r="K156" s="656"/>
      <c r="L156" s="656"/>
      <c r="M156" s="656"/>
      <c r="N156" s="656"/>
      <c r="O156" s="657"/>
      <c r="P156" s="653" t="s">
        <v>40</v>
      </c>
      <c r="Q156" s="654"/>
      <c r="R156" s="654"/>
      <c r="S156" s="654"/>
      <c r="T156" s="654"/>
      <c r="U156" s="654"/>
      <c r="V156" s="655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65" t="s">
        <v>277</v>
      </c>
      <c r="B157" s="665"/>
      <c r="C157" s="665"/>
      <c r="D157" s="665"/>
      <c r="E157" s="665"/>
      <c r="F157" s="665"/>
      <c r="G157" s="665"/>
      <c r="H157" s="665"/>
      <c r="I157" s="665"/>
      <c r="J157" s="665"/>
      <c r="K157" s="665"/>
      <c r="L157" s="665"/>
      <c r="M157" s="665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666">
        <v>4680115889132</v>
      </c>
      <c r="E158" s="666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7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56"/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7"/>
      <c r="P160" s="653" t="s">
        <v>40</v>
      </c>
      <c r="Q160" s="654"/>
      <c r="R160" s="654"/>
      <c r="S160" s="654"/>
      <c r="T160" s="654"/>
      <c r="U160" s="654"/>
      <c r="V160" s="65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72" t="s">
        <v>120</v>
      </c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72"/>
      <c r="P161" s="672"/>
      <c r="Q161" s="672"/>
      <c r="R161" s="672"/>
      <c r="S161" s="672"/>
      <c r="T161" s="672"/>
      <c r="U161" s="672"/>
      <c r="V161" s="672"/>
      <c r="W161" s="672"/>
      <c r="X161" s="672"/>
      <c r="Y161" s="672"/>
      <c r="Z161" s="672"/>
      <c r="AA161" s="65"/>
      <c r="AB161" s="65"/>
      <c r="AC161" s="79"/>
    </row>
    <row r="162" spans="1:68" ht="14.25" hidden="1" customHeight="1" x14ac:dyDescent="0.25">
      <c r="A162" s="665" t="s">
        <v>122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666">
        <v>4680115887374</v>
      </c>
      <c r="E163" s="666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8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8"/>
      <c r="R163" s="668"/>
      <c r="S163" s="668"/>
      <c r="T163" s="669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666">
        <v>4607091384604</v>
      </c>
      <c r="E164" s="666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666">
        <v>4607091384604</v>
      </c>
      <c r="E165" s="666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8"/>
      <c r="R165" s="668"/>
      <c r="S165" s="668"/>
      <c r="T165" s="669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666">
        <v>4680115888876</v>
      </c>
      <c r="E166" s="666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8"/>
      <c r="R166" s="668"/>
      <c r="S166" s="668"/>
      <c r="T166" s="669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5" t="s">
        <v>159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"/>
      <c r="AB169" s="66"/>
      <c r="AC169" s="80"/>
    </row>
    <row r="170" spans="1:68" ht="16.5" hidden="1" customHeight="1" x14ac:dyDescent="0.25">
      <c r="A170" s="63" t="s">
        <v>294</v>
      </c>
      <c r="B170" s="63" t="s">
        <v>295</v>
      </c>
      <c r="C170" s="36">
        <v>4301020410</v>
      </c>
      <c r="D170" s="666">
        <v>4680115887695</v>
      </c>
      <c r="E170" s="666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666">
        <v>4680115889491</v>
      </c>
      <c r="E171" s="666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5" t="s">
        <v>77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27" customHeight="1" x14ac:dyDescent="0.25">
      <c r="A175" s="63" t="s">
        <v>300</v>
      </c>
      <c r="B175" s="63" t="s">
        <v>301</v>
      </c>
      <c r="C175" s="36">
        <v>4301031496</v>
      </c>
      <c r="D175" s="666">
        <v>4680115887428</v>
      </c>
      <c r="E175" s="666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7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100</v>
      </c>
      <c r="Y175" s="55">
        <f t="shared" ref="Y175:Y185" si="16">IFERROR(IF(X175="",0,CEILING((X175/$H175),1)*$H175),"")</f>
        <v>101.5</v>
      </c>
      <c r="Z175" s="41">
        <f>IFERROR(IF(Y175=0,"",ROUNDUP(Y175/H175,0)*0.00902),"")</f>
        <v>0.26158000000000003</v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105.42857142857143</v>
      </c>
      <c r="BN175" s="78">
        <f t="shared" ref="BN175:BN185" si="18">IFERROR(Y175*I175/H175,"0")</f>
        <v>107.00999999999999</v>
      </c>
      <c r="BO175" s="78">
        <f t="shared" ref="BO175:BO185" si="19">IFERROR(1/J175*(X175/H175),"0")</f>
        <v>0.21645021645021648</v>
      </c>
      <c r="BP175" s="78">
        <f t="shared" ref="BP175:BP185" si="20">IFERROR(1/J175*(Y175/H175),"0")</f>
        <v>0.2196969696969697</v>
      </c>
    </row>
    <row r="176" spans="1:68" ht="27" hidden="1" customHeight="1" x14ac:dyDescent="0.25">
      <c r="A176" s="63" t="s">
        <v>303</v>
      </c>
      <c r="B176" s="63" t="s">
        <v>304</v>
      </c>
      <c r="C176" s="36">
        <v>4301031509</v>
      </c>
      <c r="D176" s="666">
        <v>4680115889170</v>
      </c>
      <c r="E176" s="666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4301031522</v>
      </c>
      <c r="D177" s="666">
        <v>4680115887398</v>
      </c>
      <c r="E177" s="666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8"/>
      <c r="R177" s="668"/>
      <c r="S177" s="668"/>
      <c r="T177" s="669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4301031520</v>
      </c>
      <c r="D178" s="666">
        <v>4680115887336</v>
      </c>
      <c r="E178" s="666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8"/>
      <c r="R178" s="668"/>
      <c r="S178" s="668"/>
      <c r="T178" s="669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312</v>
      </c>
      <c r="B179" s="63" t="s">
        <v>313</v>
      </c>
      <c r="C179" s="36">
        <v>4301032049</v>
      </c>
      <c r="D179" s="666">
        <v>4680115887787</v>
      </c>
      <c r="E179" s="666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8"/>
      <c r="R179" s="668"/>
      <c r="S179" s="668"/>
      <c r="T179" s="669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666">
        <v>4680115887787</v>
      </c>
      <c r="E180" s="666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316</v>
      </c>
      <c r="B181" s="63" t="s">
        <v>317</v>
      </c>
      <c r="C181" s="36">
        <v>4301031448</v>
      </c>
      <c r="D181" s="666">
        <v>4680115887503</v>
      </c>
      <c r="E181" s="666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318</v>
      </c>
      <c r="B182" s="63" t="s">
        <v>319</v>
      </c>
      <c r="C182" s="36">
        <v>4301031389</v>
      </c>
      <c r="D182" s="666">
        <v>4680115887763</v>
      </c>
      <c r="E182" s="666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4301031521</v>
      </c>
      <c r="D183" s="666">
        <v>4680115887480</v>
      </c>
      <c r="E183" s="666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7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666">
        <v>4680115888067</v>
      </c>
      <c r="E184" s="666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7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4301031519</v>
      </c>
      <c r="D185" s="666">
        <v>4680115887435</v>
      </c>
      <c r="E185" s="666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28.571428571428573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29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0.26158000000000003</v>
      </c>
      <c r="AA186" s="67"/>
      <c r="AB186" s="67"/>
      <c r="AC186" s="67"/>
    </row>
    <row r="187" spans="1:68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IFERROR(SUM(X175:X185),"0")</f>
        <v>100</v>
      </c>
      <c r="Y187" s="43">
        <f>IFERROR(SUM(Y175:Y185),"0")</f>
        <v>101.5</v>
      </c>
      <c r="Z187" s="42"/>
      <c r="AA187" s="67"/>
      <c r="AB187" s="67"/>
      <c r="AC187" s="67"/>
    </row>
    <row r="188" spans="1:68" ht="14.25" hidden="1" customHeight="1" x14ac:dyDescent="0.25">
      <c r="A188" s="665" t="s">
        <v>86</v>
      </c>
      <c r="B188" s="665"/>
      <c r="C188" s="665"/>
      <c r="D188" s="665"/>
      <c r="E188" s="665"/>
      <c r="F188" s="665"/>
      <c r="G188" s="665"/>
      <c r="H188" s="665"/>
      <c r="I188" s="665"/>
      <c r="J188" s="665"/>
      <c r="K188" s="665"/>
      <c r="L188" s="665"/>
      <c r="M188" s="665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666">
        <v>4680115888395</v>
      </c>
      <c r="E189" s="666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6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666">
        <v>4680115888371</v>
      </c>
      <c r="E190" s="666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666">
        <v>4680115887459</v>
      </c>
      <c r="E191" s="666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277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666">
        <v>4680115889026</v>
      </c>
      <c r="E195" s="666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56"/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7"/>
      <c r="P197" s="653" t="s">
        <v>40</v>
      </c>
      <c r="Q197" s="654"/>
      <c r="R197" s="654"/>
      <c r="S197" s="654"/>
      <c r="T197" s="654"/>
      <c r="U197" s="654"/>
      <c r="V197" s="655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65" t="s">
        <v>341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666">
        <v>4680115889033</v>
      </c>
      <c r="E199" s="666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8"/>
      <c r="R199" s="668"/>
      <c r="S199" s="668"/>
      <c r="T199" s="669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56"/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7"/>
      <c r="P200" s="653" t="s">
        <v>40</v>
      </c>
      <c r="Q200" s="654"/>
      <c r="R200" s="654"/>
      <c r="S200" s="654"/>
      <c r="T200" s="654"/>
      <c r="U200" s="654"/>
      <c r="V200" s="655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56"/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7"/>
      <c r="P201" s="653" t="s">
        <v>40</v>
      </c>
      <c r="Q201" s="654"/>
      <c r="R201" s="654"/>
      <c r="S201" s="654"/>
      <c r="T201" s="654"/>
      <c r="U201" s="654"/>
      <c r="V201" s="655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83" t="s">
        <v>345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54"/>
      <c r="AB202" s="54"/>
      <c r="AC202" s="54"/>
    </row>
    <row r="203" spans="1:68" ht="16.5" hidden="1" customHeight="1" x14ac:dyDescent="0.25">
      <c r="A203" s="672" t="s">
        <v>346</v>
      </c>
      <c r="B203" s="672"/>
      <c r="C203" s="672"/>
      <c r="D203" s="672"/>
      <c r="E203" s="672"/>
      <c r="F203" s="672"/>
      <c r="G203" s="672"/>
      <c r="H203" s="672"/>
      <c r="I203" s="672"/>
      <c r="J203" s="672"/>
      <c r="K203" s="672"/>
      <c r="L203" s="672"/>
      <c r="M203" s="672"/>
      <c r="N203" s="672"/>
      <c r="O203" s="672"/>
      <c r="P203" s="672"/>
      <c r="Q203" s="672"/>
      <c r="R203" s="672"/>
      <c r="S203" s="672"/>
      <c r="T203" s="672"/>
      <c r="U203" s="672"/>
      <c r="V203" s="672"/>
      <c r="W203" s="672"/>
      <c r="X203" s="672"/>
      <c r="Y203" s="672"/>
      <c r="Z203" s="672"/>
      <c r="AA203" s="65"/>
      <c r="AB203" s="65"/>
      <c r="AC203" s="79"/>
    </row>
    <row r="204" spans="1:68" ht="14.25" hidden="1" customHeight="1" x14ac:dyDescent="0.25">
      <c r="A204" s="665" t="s">
        <v>122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666">
        <v>4607091383423</v>
      </c>
      <c r="E205" s="666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666">
        <v>4680115888760</v>
      </c>
      <c r="E206" s="666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8"/>
      <c r="R206" s="668"/>
      <c r="S206" s="668"/>
      <c r="T206" s="669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666">
        <v>4680115888807</v>
      </c>
      <c r="E207" s="666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8"/>
      <c r="R207" s="668"/>
      <c r="S207" s="668"/>
      <c r="T207" s="669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666">
        <v>4680115888852</v>
      </c>
      <c r="E208" s="666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8"/>
      <c r="R208" s="668"/>
      <c r="S208" s="668"/>
      <c r="T208" s="669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666">
        <v>4680115886957</v>
      </c>
      <c r="E209" s="666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8"/>
      <c r="R209" s="668"/>
      <c r="S209" s="668"/>
      <c r="T209" s="669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666">
        <v>4680115885660</v>
      </c>
      <c r="E210" s="666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8"/>
      <c r="R210" s="668"/>
      <c r="S210" s="668"/>
      <c r="T210" s="669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666">
        <v>4680115886773</v>
      </c>
      <c r="E211" s="666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72" t="s">
        <v>367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5"/>
      <c r="AB214" s="65"/>
      <c r="AC214" s="79"/>
    </row>
    <row r="215" spans="1:68" ht="14.25" hidden="1" customHeight="1" x14ac:dyDescent="0.25">
      <c r="A215" s="665" t="s">
        <v>159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666">
        <v>4680115886223</v>
      </c>
      <c r="E216" s="666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56"/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7"/>
      <c r="P217" s="653" t="s">
        <v>40</v>
      </c>
      <c r="Q217" s="654"/>
      <c r="R217" s="654"/>
      <c r="S217" s="654"/>
      <c r="T217" s="654"/>
      <c r="U217" s="654"/>
      <c r="V217" s="655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65" t="s">
        <v>77</v>
      </c>
      <c r="B219" s="665"/>
      <c r="C219" s="665"/>
      <c r="D219" s="665"/>
      <c r="E219" s="665"/>
      <c r="F219" s="665"/>
      <c r="G219" s="665"/>
      <c r="H219" s="665"/>
      <c r="I219" s="665"/>
      <c r="J219" s="665"/>
      <c r="K219" s="665"/>
      <c r="L219" s="665"/>
      <c r="M219" s="665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"/>
      <c r="AB219" s="66"/>
      <c r="AC219" s="80"/>
    </row>
    <row r="220" spans="1:68" ht="27" customHeight="1" x14ac:dyDescent="0.25">
      <c r="A220" s="63" t="s">
        <v>371</v>
      </c>
      <c r="B220" s="63" t="s">
        <v>372</v>
      </c>
      <c r="C220" s="36">
        <v>4301031191</v>
      </c>
      <c r="D220" s="666">
        <v>4680115880993</v>
      </c>
      <c r="E220" s="666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8"/>
      <c r="R220" s="668"/>
      <c r="S220" s="668"/>
      <c r="T220" s="669"/>
      <c r="U220" s="39" t="s">
        <v>46</v>
      </c>
      <c r="V220" s="39" t="s">
        <v>46</v>
      </c>
      <c r="W220" s="40" t="s">
        <v>0</v>
      </c>
      <c r="X220" s="58">
        <v>150</v>
      </c>
      <c r="Y220" s="55">
        <f t="shared" ref="Y220:Y234" si="27">IFERROR(IF(X220="",0,CEILING((X220/$H220),1)*$H220),"")</f>
        <v>151.20000000000002</v>
      </c>
      <c r="Z220" s="41">
        <f>IFERROR(IF(Y220=0,"",ROUNDUP(Y220/H220,0)*0.00902),"")</f>
        <v>0.32472000000000001</v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158.92857142857142</v>
      </c>
      <c r="BN220" s="78">
        <f t="shared" ref="BN220:BN234" si="29">IFERROR(Y220*I220/H220,"0")</f>
        <v>160.20000000000002</v>
      </c>
      <c r="BO220" s="78">
        <f t="shared" ref="BO220:BO234" si="30">IFERROR(1/J220*(X220/H220),"0")</f>
        <v>0.27056277056277056</v>
      </c>
      <c r="BP220" s="78">
        <f t="shared" ref="BP220:BP234" si="31">IFERROR(1/J220*(Y220/H220),"0")</f>
        <v>0.27272727272727271</v>
      </c>
    </row>
    <row r="221" spans="1:68" ht="27" hidden="1" customHeight="1" x14ac:dyDescent="0.25">
      <c r="A221" s="63" t="s">
        <v>374</v>
      </c>
      <c r="B221" s="63" t="s">
        <v>375</v>
      </c>
      <c r="C221" s="36">
        <v>4301031204</v>
      </c>
      <c r="D221" s="666">
        <v>4680115881761</v>
      </c>
      <c r="E221" s="666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8"/>
      <c r="R221" s="668"/>
      <c r="S221" s="668"/>
      <c r="T221" s="669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4301031201</v>
      </c>
      <c r="D222" s="666">
        <v>4680115881563</v>
      </c>
      <c r="E222" s="666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37.5" hidden="1" customHeight="1" x14ac:dyDescent="0.25">
      <c r="A223" s="63" t="s">
        <v>380</v>
      </c>
      <c r="B223" s="63" t="s">
        <v>381</v>
      </c>
      <c r="C223" s="36">
        <v>4301031447</v>
      </c>
      <c r="D223" s="666">
        <v>4680115887565</v>
      </c>
      <c r="E223" s="666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8"/>
      <c r="R223" s="668"/>
      <c r="S223" s="668"/>
      <c r="T223" s="669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4301031199</v>
      </c>
      <c r="D224" s="666">
        <v>4680115880986</v>
      </c>
      <c r="E224" s="666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8"/>
      <c r="R224" s="668"/>
      <c r="S224" s="668"/>
      <c r="T224" s="669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666">
        <v>4680115887213</v>
      </c>
      <c r="E225" s="666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8"/>
      <c r="R225" s="668"/>
      <c r="S225" s="668"/>
      <c r="T225" s="669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4301031205</v>
      </c>
      <c r="D226" s="666">
        <v>4680115881785</v>
      </c>
      <c r="E226" s="666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666">
        <v>4680115888432</v>
      </c>
      <c r="E227" s="666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666">
        <v>4680115888104</v>
      </c>
      <c r="E228" s="666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666">
        <v>4680115886537</v>
      </c>
      <c r="E229" s="666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4301031279</v>
      </c>
      <c r="D230" s="666">
        <v>4680115887596</v>
      </c>
      <c r="E230" s="666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3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hidden="1" customHeight="1" x14ac:dyDescent="0.25">
      <c r="A231" s="63" t="s">
        <v>402</v>
      </c>
      <c r="B231" s="63" t="s">
        <v>403</v>
      </c>
      <c r="C231" s="36">
        <v>4301031530</v>
      </c>
      <c r="D231" s="666">
        <v>4680115881679</v>
      </c>
      <c r="E231" s="666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666">
        <v>4680115880191</v>
      </c>
      <c r="E232" s="666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666">
        <v>4680115880191</v>
      </c>
      <c r="E233" s="666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666">
        <v>4680115883963</v>
      </c>
      <c r="E234" s="666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35.714285714285715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36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0.32472000000000001</v>
      </c>
      <c r="AA235" s="67"/>
      <c r="AB235" s="67"/>
      <c r="AC235" s="67"/>
    </row>
    <row r="236" spans="1:68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IFERROR(SUM(X220:X234),"0")</f>
        <v>150</v>
      </c>
      <c r="Y236" s="43">
        <f>IFERROR(SUM(Y220:Y234),"0")</f>
        <v>151.20000000000002</v>
      </c>
      <c r="Z236" s="42"/>
      <c r="AA236" s="67"/>
      <c r="AB236" s="67"/>
      <c r="AC236" s="67"/>
    </row>
    <row r="237" spans="1:68" ht="14.25" hidden="1" customHeight="1" x14ac:dyDescent="0.25">
      <c r="A237" s="665" t="s">
        <v>86</v>
      </c>
      <c r="B237" s="665"/>
      <c r="C237" s="665"/>
      <c r="D237" s="665"/>
      <c r="E237" s="665"/>
      <c r="F237" s="665"/>
      <c r="G237" s="665"/>
      <c r="H237" s="665"/>
      <c r="I237" s="665"/>
      <c r="J237" s="665"/>
      <c r="K237" s="665"/>
      <c r="L237" s="665"/>
      <c r="M237" s="665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666">
        <v>4680115888692</v>
      </c>
      <c r="E238" s="666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666">
        <v>4680115888692</v>
      </c>
      <c r="E239" s="666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666">
        <v>4680115888722</v>
      </c>
      <c r="E240" s="666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8"/>
      <c r="R240" s="668"/>
      <c r="S240" s="668"/>
      <c r="T240" s="669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666">
        <v>4680115888722</v>
      </c>
      <c r="E241" s="666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3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8"/>
      <c r="R241" s="668"/>
      <c r="S241" s="668"/>
      <c r="T241" s="669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666">
        <v>4680115888951</v>
      </c>
      <c r="E242" s="666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8"/>
      <c r="R242" s="668"/>
      <c r="S242" s="668"/>
      <c r="T242" s="669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666">
        <v>4680115888951</v>
      </c>
      <c r="E243" s="666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666">
        <v>4680115888975</v>
      </c>
      <c r="E244" s="666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666">
        <v>4680115888982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666">
        <v>4680115888982</v>
      </c>
      <c r="E246" s="666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656"/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7"/>
      <c r="P247" s="653" t="s">
        <v>40</v>
      </c>
      <c r="Q247" s="654"/>
      <c r="R247" s="654"/>
      <c r="S247" s="654"/>
      <c r="T247" s="654"/>
      <c r="U247" s="654"/>
      <c r="V247" s="655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65" t="s">
        <v>277</v>
      </c>
      <c r="B249" s="665"/>
      <c r="C249" s="665"/>
      <c r="D249" s="665"/>
      <c r="E249" s="665"/>
      <c r="F249" s="665"/>
      <c r="G249" s="665"/>
      <c r="H249" s="665"/>
      <c r="I249" s="665"/>
      <c r="J249" s="665"/>
      <c r="K249" s="665"/>
      <c r="L249" s="665"/>
      <c r="M249" s="665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4301032053</v>
      </c>
      <c r="D250" s="666">
        <v>4680115886780</v>
      </c>
      <c r="E250" s="666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8"/>
      <c r="R250" s="668"/>
      <c r="S250" s="668"/>
      <c r="T250" s="669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433</v>
      </c>
      <c r="B251" s="63" t="s">
        <v>434</v>
      </c>
      <c r="C251" s="36">
        <v>4301032051</v>
      </c>
      <c r="D251" s="666">
        <v>4680115886742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2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436</v>
      </c>
      <c r="B252" s="63" t="s">
        <v>437</v>
      </c>
      <c r="C252" s="36">
        <v>4301032052</v>
      </c>
      <c r="D252" s="666">
        <v>4680115886766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665" t="s">
        <v>438</v>
      </c>
      <c r="B255" s="665"/>
      <c r="C255" s="665"/>
      <c r="D255" s="665"/>
      <c r="E255" s="665"/>
      <c r="F255" s="665"/>
      <c r="G255" s="665"/>
      <c r="H255" s="665"/>
      <c r="I255" s="665"/>
      <c r="J255" s="665"/>
      <c r="K255" s="665"/>
      <c r="L255" s="665"/>
      <c r="M255" s="665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666">
        <v>4680115886797</v>
      </c>
      <c r="E256" s="666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8"/>
      <c r="R256" s="668"/>
      <c r="S256" s="668"/>
      <c r="T256" s="669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672" t="s">
        <v>441</v>
      </c>
      <c r="B259" s="672"/>
      <c r="C259" s="672"/>
      <c r="D259" s="672"/>
      <c r="E259" s="672"/>
      <c r="F259" s="672"/>
      <c r="G259" s="672"/>
      <c r="H259" s="672"/>
      <c r="I259" s="672"/>
      <c r="J259" s="672"/>
      <c r="K259" s="672"/>
      <c r="L259" s="672"/>
      <c r="M259" s="672"/>
      <c r="N259" s="672"/>
      <c r="O259" s="672"/>
      <c r="P259" s="672"/>
      <c r="Q259" s="672"/>
      <c r="R259" s="672"/>
      <c r="S259" s="672"/>
      <c r="T259" s="672"/>
      <c r="U259" s="672"/>
      <c r="V259" s="672"/>
      <c r="W259" s="672"/>
      <c r="X259" s="672"/>
      <c r="Y259" s="672"/>
      <c r="Z259" s="672"/>
      <c r="AA259" s="65"/>
      <c r="AB259" s="65"/>
      <c r="AC259" s="79"/>
    </row>
    <row r="260" spans="1:68" ht="14.25" hidden="1" customHeight="1" x14ac:dyDescent="0.25">
      <c r="A260" s="665" t="s">
        <v>122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666">
        <v>4680115881402</v>
      </c>
      <c r="E261" s="66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8"/>
      <c r="R261" s="668"/>
      <c r="S261" s="668"/>
      <c r="T261" s="669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666">
        <v>4680115881396</v>
      </c>
      <c r="E262" s="666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65" t="s">
        <v>159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666">
        <v>4680115882935</v>
      </c>
      <c r="E266" s="666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8"/>
      <c r="R266" s="668"/>
      <c r="S266" s="668"/>
      <c r="T266" s="669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666">
        <v>4680115880764</v>
      </c>
      <c r="E267" s="666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65" t="s">
        <v>77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"/>
      <c r="AB270" s="66"/>
      <c r="AC270" s="80"/>
    </row>
    <row r="271" spans="1:68" ht="27" customHeight="1" x14ac:dyDescent="0.25">
      <c r="A271" s="63" t="s">
        <v>452</v>
      </c>
      <c r="B271" s="63" t="s">
        <v>453</v>
      </c>
      <c r="C271" s="36">
        <v>4301031224</v>
      </c>
      <c r="D271" s="666">
        <v>4680115882683</v>
      </c>
      <c r="E271" s="666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8"/>
      <c r="R271" s="668"/>
      <c r="S271" s="668"/>
      <c r="T271" s="669"/>
      <c r="U271" s="39" t="s">
        <v>46</v>
      </c>
      <c r="V271" s="39" t="s">
        <v>46</v>
      </c>
      <c r="W271" s="40" t="s">
        <v>0</v>
      </c>
      <c r="X271" s="58">
        <v>150</v>
      </c>
      <c r="Y271" s="55">
        <f t="shared" ref="Y271:Y278" si="38">IFERROR(IF(X271="",0,CEILING((X271/$H271),1)*$H271),"")</f>
        <v>151.20000000000002</v>
      </c>
      <c r="Z271" s="41">
        <f>IFERROR(IF(Y271=0,"",ROUNDUP(Y271/H271,0)*0.00902),"")</f>
        <v>0.25256000000000001</v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155.27777777777777</v>
      </c>
      <c r="BN271" s="78">
        <f t="shared" ref="BN271:BN278" si="40">IFERROR(Y271*I271/H271,"0")</f>
        <v>156.52000000000001</v>
      </c>
      <c r="BO271" s="78">
        <f t="shared" ref="BO271:BO278" si="41">IFERROR(1/J271*(X271/H271),"0")</f>
        <v>0.21043771043771042</v>
      </c>
      <c r="BP271" s="78">
        <f t="shared" ref="BP271:BP278" si="42">IFERROR(1/J271*(Y271/H271),"0")</f>
        <v>0.21212121212121213</v>
      </c>
    </row>
    <row r="272" spans="1:68" ht="27" customHeight="1" x14ac:dyDescent="0.25">
      <c r="A272" s="63" t="s">
        <v>455</v>
      </c>
      <c r="B272" s="63" t="s">
        <v>456</v>
      </c>
      <c r="C272" s="36">
        <v>4301031230</v>
      </c>
      <c r="D272" s="666">
        <v>4680115882690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250</v>
      </c>
      <c r="Y272" s="55">
        <f t="shared" si="38"/>
        <v>253.8</v>
      </c>
      <c r="Z272" s="41">
        <f>IFERROR(IF(Y272=0,"",ROUNDUP(Y272/H272,0)*0.00902),"")</f>
        <v>0.42393999999999998</v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258.7962962962963</v>
      </c>
      <c r="BN272" s="78">
        <f t="shared" si="40"/>
        <v>262.72999999999996</v>
      </c>
      <c r="BO272" s="78">
        <f t="shared" si="41"/>
        <v>0.35072951739618402</v>
      </c>
      <c r="BP272" s="78">
        <f t="shared" si="42"/>
        <v>0.35606060606060608</v>
      </c>
    </row>
    <row r="273" spans="1:68" ht="27" customHeight="1" x14ac:dyDescent="0.25">
      <c r="A273" s="63" t="s">
        <v>458</v>
      </c>
      <c r="B273" s="63" t="s">
        <v>459</v>
      </c>
      <c r="C273" s="36">
        <v>4301031220</v>
      </c>
      <c r="D273" s="666">
        <v>4680115882669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250</v>
      </c>
      <c r="Y273" s="55">
        <f t="shared" si="38"/>
        <v>253.8</v>
      </c>
      <c r="Z273" s="41">
        <f>IFERROR(IF(Y273=0,"",ROUNDUP(Y273/H273,0)*0.00902),"")</f>
        <v>0.42393999999999998</v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258.7962962962963</v>
      </c>
      <c r="BN273" s="78">
        <f t="shared" si="40"/>
        <v>262.72999999999996</v>
      </c>
      <c r="BO273" s="78">
        <f t="shared" si="41"/>
        <v>0.35072951739618402</v>
      </c>
      <c r="BP273" s="78">
        <f t="shared" si="42"/>
        <v>0.35606060606060608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4301031221</v>
      </c>
      <c r="D274" s="666">
        <v>4680115882676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4301031223</v>
      </c>
      <c r="D275" s="666">
        <v>4680115884014</v>
      </c>
      <c r="E275" s="666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4301031222</v>
      </c>
      <c r="D276" s="666">
        <v>4680115884007</v>
      </c>
      <c r="E276" s="666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4301031229</v>
      </c>
      <c r="D277" s="666">
        <v>4680115884038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4301031225</v>
      </c>
      <c r="D278" s="666">
        <v>4680115884021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x14ac:dyDescent="0.2">
      <c r="A279" s="656"/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7"/>
      <c r="P279" s="653" t="s">
        <v>40</v>
      </c>
      <c r="Q279" s="654"/>
      <c r="R279" s="654"/>
      <c r="S279" s="654"/>
      <c r="T279" s="654"/>
      <c r="U279" s="654"/>
      <c r="V279" s="655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120.37037037037035</v>
      </c>
      <c r="Y279" s="43">
        <f>IFERROR(Y271/H271,"0")+IFERROR(Y272/H272,"0")+IFERROR(Y273/H273,"0")+IFERROR(Y274/H274,"0")+IFERROR(Y275/H275,"0")+IFERROR(Y276/H276,"0")+IFERROR(Y277/H277,"0")+IFERROR(Y278/H278,"0")</f>
        <v>122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1.1004399999999999</v>
      </c>
      <c r="AA279" s="67"/>
      <c r="AB279" s="67"/>
      <c r="AC279" s="67"/>
    </row>
    <row r="280" spans="1:68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0</v>
      </c>
      <c r="X280" s="43">
        <f>IFERROR(SUM(X271:X278),"0")</f>
        <v>650</v>
      </c>
      <c r="Y280" s="43">
        <f>IFERROR(SUM(Y271:Y278),"0")</f>
        <v>658.8</v>
      </c>
      <c r="Z280" s="42"/>
      <c r="AA280" s="67"/>
      <c r="AB280" s="67"/>
      <c r="AC280" s="67"/>
    </row>
    <row r="281" spans="1:68" ht="14.25" hidden="1" customHeight="1" x14ac:dyDescent="0.25">
      <c r="A281" s="665" t="s">
        <v>86</v>
      </c>
      <c r="B281" s="665"/>
      <c r="C281" s="665"/>
      <c r="D281" s="665"/>
      <c r="E281" s="665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666">
        <v>4680115881594</v>
      </c>
      <c r="E282" s="666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8"/>
      <c r="R282" s="668"/>
      <c r="S282" s="668"/>
      <c r="T282" s="669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hidden="1" customHeight="1" x14ac:dyDescent="0.25">
      <c r="A283" s="63" t="s">
        <v>475</v>
      </c>
      <c r="B283" s="63" t="s">
        <v>476</v>
      </c>
      <c r="C283" s="36">
        <v>4301051411</v>
      </c>
      <c r="D283" s="666">
        <v>4680115881617</v>
      </c>
      <c r="E283" s="666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478</v>
      </c>
      <c r="B284" s="63" t="s">
        <v>479</v>
      </c>
      <c r="C284" s="36">
        <v>4301051656</v>
      </c>
      <c r="D284" s="666">
        <v>4680115880573</v>
      </c>
      <c r="E284" s="666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4301051407</v>
      </c>
      <c r="D285" s="666">
        <v>4680115882195</v>
      </c>
      <c r="E285" s="666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666">
        <v>4680115882607</v>
      </c>
      <c r="E286" s="666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1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4301051666</v>
      </c>
      <c r="D288" s="666">
        <v>4680115880092</v>
      </c>
      <c r="E288" s="666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666">
        <v>4680115889064</v>
      </c>
      <c r="E289" s="666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4301051668</v>
      </c>
      <c r="D290" s="666">
        <v>4680115880221</v>
      </c>
      <c r="E290" s="666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4301051945</v>
      </c>
      <c r="D291" s="666">
        <v>4680115880504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4301051410</v>
      </c>
      <c r="D292" s="666">
        <v>4680115882164</v>
      </c>
      <c r="E292" s="666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666">
        <v>4680115888340</v>
      </c>
      <c r="E293" s="666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65" t="s">
        <v>178</v>
      </c>
      <c r="B296" s="665"/>
      <c r="C296" s="665"/>
      <c r="D296" s="665"/>
      <c r="E296" s="665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666">
        <v>4680115880818</v>
      </c>
      <c r="E297" s="666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8"/>
      <c r="R297" s="668"/>
      <c r="S297" s="668"/>
      <c r="T297" s="669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4301060389</v>
      </c>
      <c r="D298" s="666">
        <v>4680115880801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672" t="s">
        <v>509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5"/>
      <c r="AB301" s="65"/>
      <c r="AC301" s="79"/>
    </row>
    <row r="302" spans="1:68" ht="14.25" hidden="1" customHeight="1" x14ac:dyDescent="0.25">
      <c r="A302" s="665" t="s">
        <v>122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666">
        <v>4680115884137</v>
      </c>
      <c r="E303" s="666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8"/>
      <c r="R303" s="668"/>
      <c r="S303" s="668"/>
      <c r="T303" s="669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666">
        <v>4680115884236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666">
        <v>4680115884175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4301011824</v>
      </c>
      <c r="D306" s="666">
        <v>4680115884144</v>
      </c>
      <c r="E306" s="666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666">
        <v>4680115886551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666">
        <v>4680115887282</v>
      </c>
      <c r="E308" s="666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4301011722</v>
      </c>
      <c r="D309" s="666">
        <v>4680115884205</v>
      </c>
      <c r="E309" s="666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5" t="s">
        <v>159</v>
      </c>
      <c r="B312" s="665"/>
      <c r="C312" s="665"/>
      <c r="D312" s="665"/>
      <c r="E312" s="665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666">
        <v>4680115885981</v>
      </c>
      <c r="E313" s="666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8"/>
      <c r="R313" s="668"/>
      <c r="S313" s="668"/>
      <c r="T313" s="669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5" t="s">
        <v>531</v>
      </c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"/>
      <c r="AB316" s="66"/>
      <c r="AC316" s="80"/>
    </row>
    <row r="317" spans="1:68" ht="27" hidden="1" customHeight="1" x14ac:dyDescent="0.25">
      <c r="A317" s="63" t="s">
        <v>532</v>
      </c>
      <c r="B317" s="63" t="s">
        <v>533</v>
      </c>
      <c r="C317" s="36">
        <v>4301040362</v>
      </c>
      <c r="D317" s="666">
        <v>4680115886803</v>
      </c>
      <c r="E317" s="666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8"/>
      <c r="R317" s="668"/>
      <c r="S317" s="668"/>
      <c r="T317" s="669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665" t="s">
        <v>341</v>
      </c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"/>
      <c r="AB320" s="66"/>
      <c r="AC320" s="80"/>
    </row>
    <row r="321" spans="1:68" ht="27" hidden="1" customHeight="1" x14ac:dyDescent="0.25">
      <c r="A321" s="63" t="s">
        <v>535</v>
      </c>
      <c r="B321" s="63" t="s">
        <v>536</v>
      </c>
      <c r="C321" s="36">
        <v>4301041008</v>
      </c>
      <c r="D321" s="666">
        <v>4680115886681</v>
      </c>
      <c r="E321" s="666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8"/>
      <c r="R321" s="668"/>
      <c r="S321" s="668"/>
      <c r="T321" s="669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56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53" t="s">
        <v>40</v>
      </c>
      <c r="Q322" s="654"/>
      <c r="R322" s="654"/>
      <c r="S322" s="654"/>
      <c r="T322" s="654"/>
      <c r="U322" s="654"/>
      <c r="V322" s="655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53" t="s">
        <v>40</v>
      </c>
      <c r="Q323" s="654"/>
      <c r="R323" s="654"/>
      <c r="S323" s="654"/>
      <c r="T323" s="654"/>
      <c r="U323" s="654"/>
      <c r="V323" s="655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2" t="s">
        <v>538</v>
      </c>
      <c r="B324" s="672"/>
      <c r="C324" s="672"/>
      <c r="D324" s="672"/>
      <c r="E324" s="672"/>
      <c r="F324" s="672"/>
      <c r="G324" s="672"/>
      <c r="H324" s="672"/>
      <c r="I324" s="672"/>
      <c r="J324" s="672"/>
      <c r="K324" s="672"/>
      <c r="L324" s="672"/>
      <c r="M324" s="672"/>
      <c r="N324" s="672"/>
      <c r="O324" s="672"/>
      <c r="P324" s="672"/>
      <c r="Q324" s="672"/>
      <c r="R324" s="672"/>
      <c r="S324" s="672"/>
      <c r="T324" s="672"/>
      <c r="U324" s="672"/>
      <c r="V324" s="672"/>
      <c r="W324" s="672"/>
      <c r="X324" s="672"/>
      <c r="Y324" s="672"/>
      <c r="Z324" s="672"/>
      <c r="AA324" s="65"/>
      <c r="AB324" s="65"/>
      <c r="AC324" s="79"/>
    </row>
    <row r="325" spans="1:68" ht="14.25" hidden="1" customHeight="1" x14ac:dyDescent="0.25">
      <c r="A325" s="665" t="s">
        <v>122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666">
        <v>4680115889637</v>
      </c>
      <c r="E326" s="666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8"/>
      <c r="R326" s="668"/>
      <c r="S326" s="668"/>
      <c r="T326" s="669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666">
        <v>4680115885837</v>
      </c>
      <c r="E327" s="666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8"/>
      <c r="R327" s="668"/>
      <c r="S327" s="668"/>
      <c r="T327" s="669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666">
        <v>4680115887237</v>
      </c>
      <c r="E328" s="666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8"/>
      <c r="R328" s="668"/>
      <c r="S328" s="668"/>
      <c r="T328" s="669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4301011850</v>
      </c>
      <c r="D329" s="666">
        <v>4680115885806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666">
        <v>4680115885844</v>
      </c>
      <c r="E330" s="666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666">
        <v>4680115885820</v>
      </c>
      <c r="E331" s="666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53" t="s">
        <v>40</v>
      </c>
      <c r="Q332" s="654"/>
      <c r="R332" s="654"/>
      <c r="S332" s="654"/>
      <c r="T332" s="654"/>
      <c r="U332" s="654"/>
      <c r="V332" s="655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672" t="s">
        <v>558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"/>
      <c r="AB334" s="65"/>
      <c r="AC334" s="79"/>
    </row>
    <row r="335" spans="1:68" ht="14.25" hidden="1" customHeight="1" x14ac:dyDescent="0.25">
      <c r="A335" s="665" t="s">
        <v>86</v>
      </c>
      <c r="B335" s="665"/>
      <c r="C335" s="665"/>
      <c r="D335" s="665"/>
      <c r="E335" s="665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666">
        <v>4680115886186</v>
      </c>
      <c r="E336" s="666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8"/>
      <c r="R336" s="668"/>
      <c r="S336" s="668"/>
      <c r="T336" s="669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562</v>
      </c>
      <c r="B337" s="63" t="s">
        <v>563</v>
      </c>
      <c r="C337" s="36">
        <v>4301051795</v>
      </c>
      <c r="D337" s="666">
        <v>4680115881228</v>
      </c>
      <c r="E337" s="666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8"/>
      <c r="R337" s="668"/>
      <c r="S337" s="668"/>
      <c r="T337" s="669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565</v>
      </c>
      <c r="B338" s="63" t="s">
        <v>566</v>
      </c>
      <c r="C338" s="36">
        <v>4301051388</v>
      </c>
      <c r="D338" s="666">
        <v>4680115881211</v>
      </c>
      <c r="E338" s="666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idden="1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53" t="s">
        <v>40</v>
      </c>
      <c r="Q339" s="654"/>
      <c r="R339" s="654"/>
      <c r="S339" s="654"/>
      <c r="T339" s="654"/>
      <c r="U339" s="654"/>
      <c r="V339" s="655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hidden="1" x14ac:dyDescent="0.2">
      <c r="A340" s="656"/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7"/>
      <c r="P340" s="653" t="s">
        <v>40</v>
      </c>
      <c r="Q340" s="654"/>
      <c r="R340" s="654"/>
      <c r="S340" s="654"/>
      <c r="T340" s="654"/>
      <c r="U340" s="654"/>
      <c r="V340" s="655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hidden="1" customHeight="1" x14ac:dyDescent="0.25">
      <c r="A341" s="672" t="s">
        <v>567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5"/>
      <c r="AB341" s="65"/>
      <c r="AC341" s="79"/>
    </row>
    <row r="342" spans="1:68" ht="14.25" hidden="1" customHeight="1" x14ac:dyDescent="0.25">
      <c r="A342" s="665" t="s">
        <v>77</v>
      </c>
      <c r="B342" s="665"/>
      <c r="C342" s="665"/>
      <c r="D342" s="665"/>
      <c r="E342" s="665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666">
        <v>4680115888319</v>
      </c>
      <c r="E343" s="666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8"/>
      <c r="R343" s="668"/>
      <c r="S343" s="668"/>
      <c r="T343" s="669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666">
        <v>4680115884700</v>
      </c>
      <c r="E344" s="666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8"/>
      <c r="R344" s="668"/>
      <c r="S344" s="668"/>
      <c r="T344" s="669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666">
        <v>4680115880344</v>
      </c>
      <c r="E345" s="666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666">
        <v>4680115886919</v>
      </c>
      <c r="E346" s="666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666">
        <v>4680115883970</v>
      </c>
      <c r="E347" s="666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665" t="s">
        <v>86</v>
      </c>
      <c r="B350" s="665"/>
      <c r="C350" s="665"/>
      <c r="D350" s="665"/>
      <c r="E350" s="665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"/>
      <c r="AB350" s="66"/>
      <c r="AC350" s="80"/>
    </row>
    <row r="351" spans="1:68" ht="27" hidden="1" customHeight="1" x14ac:dyDescent="0.25">
      <c r="A351" s="63" t="s">
        <v>582</v>
      </c>
      <c r="B351" s="63" t="s">
        <v>583</v>
      </c>
      <c r="C351" s="36">
        <v>4301051782</v>
      </c>
      <c r="D351" s="666">
        <v>4680115884618</v>
      </c>
      <c r="E351" s="666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8"/>
      <c r="R351" s="668"/>
      <c r="S351" s="668"/>
      <c r="T351" s="669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666">
        <v>4680115887114</v>
      </c>
      <c r="E352" s="666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8"/>
      <c r="R352" s="668"/>
      <c r="S352" s="668"/>
      <c r="T352" s="669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hidden="1" x14ac:dyDescent="0.2">
      <c r="A354" s="656"/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7"/>
      <c r="P354" s="653" t="s">
        <v>40</v>
      </c>
      <c r="Q354" s="654"/>
      <c r="R354" s="654"/>
      <c r="S354" s="654"/>
      <c r="T354" s="654"/>
      <c r="U354" s="654"/>
      <c r="V354" s="655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hidden="1" customHeight="1" x14ac:dyDescent="0.25">
      <c r="A355" s="672" t="s">
        <v>588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"/>
      <c r="AB355" s="65"/>
      <c r="AC355" s="79"/>
    </row>
    <row r="356" spans="1:68" ht="14.25" hidden="1" customHeight="1" x14ac:dyDescent="0.25">
      <c r="A356" s="665" t="s">
        <v>122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"/>
      <c r="AB356" s="66"/>
      <c r="AC356" s="80"/>
    </row>
    <row r="357" spans="1:68" ht="27" hidden="1" customHeight="1" x14ac:dyDescent="0.25">
      <c r="A357" s="63" t="s">
        <v>589</v>
      </c>
      <c r="B357" s="63" t="s">
        <v>590</v>
      </c>
      <c r="C357" s="36">
        <v>4301012324</v>
      </c>
      <c r="D357" s="666">
        <v>4680115887947</v>
      </c>
      <c r="E357" s="666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8"/>
      <c r="R357" s="668"/>
      <c r="S357" s="668"/>
      <c r="T357" s="669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4301012325</v>
      </c>
      <c r="D358" s="666">
        <v>4680115887978</v>
      </c>
      <c r="E358" s="666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8"/>
      <c r="R358" s="668"/>
      <c r="S358" s="668"/>
      <c r="T358" s="669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4301012327</v>
      </c>
      <c r="D359" s="666">
        <v>4680115887992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53" t="s">
        <v>40</v>
      </c>
      <c r="Q360" s="654"/>
      <c r="R360" s="654"/>
      <c r="S360" s="654"/>
      <c r="T360" s="654"/>
      <c r="U360" s="654"/>
      <c r="V360" s="655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656"/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7"/>
      <c r="P361" s="653" t="s">
        <v>40</v>
      </c>
      <c r="Q361" s="654"/>
      <c r="R361" s="654"/>
      <c r="S361" s="654"/>
      <c r="T361" s="654"/>
      <c r="U361" s="654"/>
      <c r="V361" s="655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72" t="s">
        <v>597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"/>
      <c r="AB362" s="65"/>
      <c r="AC362" s="79"/>
    </row>
    <row r="363" spans="1:68" ht="14.25" hidden="1" customHeight="1" x14ac:dyDescent="0.25">
      <c r="A363" s="665" t="s">
        <v>122</v>
      </c>
      <c r="B363" s="665"/>
      <c r="C363" s="665"/>
      <c r="D363" s="665"/>
      <c r="E363" s="66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666">
        <v>4680115889880</v>
      </c>
      <c r="E364" s="666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8"/>
      <c r="R364" s="668"/>
      <c r="S364" s="668"/>
      <c r="T364" s="669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4301012360</v>
      </c>
      <c r="D365" s="666">
        <v>4680115889293</v>
      </c>
      <c r="E365" s="666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8"/>
      <c r="R365" s="668"/>
      <c r="S365" s="668"/>
      <c r="T365" s="669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idden="1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IFERROR(X364/H364,"0")+IFERROR(X365/H365,"0")+IFERROR(X366/H366,"0")+IFERROR(X367/H367,"0")+IFERROR(X368/H368,"0")+IFERROR(X369/H369,"0")+IFERROR(X370/H370,"0")</f>
        <v>0</v>
      </c>
      <c r="Y371" s="43">
        <f>IFERROR(Y364/H364,"0")+IFERROR(Y365/H365,"0")+IFERROR(Y366/H366,"0")+IFERROR(Y367/H367,"0")+IFERROR(Y368/H368,"0")+IFERROR(Y369/H369,"0")+IFERROR(Y370/H370,"0")</f>
        <v>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IFERROR(SUM(X364:X370),"0")</f>
        <v>0</v>
      </c>
      <c r="Y372" s="43">
        <f>IFERROR(SUM(Y364:Y370),"0")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customHeight="1" x14ac:dyDescent="0.25">
      <c r="A374" s="63" t="s">
        <v>617</v>
      </c>
      <c r="B374" s="63" t="s">
        <v>618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150</v>
      </c>
      <c r="Y374" s="55">
        <f t="shared" ref="Y374:Y380" si="63">IFERROR(IF(X374="",0,CEILING((X374/$H374),1)*$H374),"")</f>
        <v>151.20000000000002</v>
      </c>
      <c r="Z374" s="41">
        <f>IFERROR(IF(Y374=0,"",ROUNDUP(Y374/H374,0)*0.00902),"")</f>
        <v>0.32472000000000001</v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158.92857142857142</v>
      </c>
      <c r="BN374" s="78">
        <f t="shared" ref="BN374:BN380" si="65">IFERROR(Y374*I374/H374,"0")</f>
        <v>160.20000000000002</v>
      </c>
      <c r="BO374" s="78">
        <f t="shared" ref="BO374:BO380" si="66">IFERROR(1/J374*(X374/H374),"0")</f>
        <v>0.27056277056277056</v>
      </c>
      <c r="BP374" s="78">
        <f t="shared" ref="BP374:BP380" si="67">IFERROR(1/J374*(Y374/H374),"0")</f>
        <v>0.27272727272727271</v>
      </c>
    </row>
    <row r="375" spans="1:68" ht="27" customHeight="1" x14ac:dyDescent="0.25">
      <c r="A375" s="63" t="s">
        <v>620</v>
      </c>
      <c r="B375" s="63" t="s">
        <v>621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100</v>
      </c>
      <c r="Y375" s="55">
        <f t="shared" si="63"/>
        <v>100.80000000000001</v>
      </c>
      <c r="Z375" s="41">
        <f>IFERROR(IF(Y375=0,"",ROUNDUP(Y375/H375,0)*0.00902),"")</f>
        <v>0.21648000000000001</v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105.95238095238095</v>
      </c>
      <c r="BN375" s="78">
        <f t="shared" si="65"/>
        <v>106.80000000000001</v>
      </c>
      <c r="BO375" s="78">
        <f t="shared" si="66"/>
        <v>0.18037518037518038</v>
      </c>
      <c r="BP375" s="78">
        <f t="shared" si="67"/>
        <v>0.18181818181818182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59.523809523809526</v>
      </c>
      <c r="Y381" s="43">
        <f>IFERROR(Y374/H374,"0")+IFERROR(Y375/H375,"0")+IFERROR(Y376/H376,"0")+IFERROR(Y377/H377,"0")+IFERROR(Y378/H378,"0")+IFERROR(Y379/H379,"0")+IFERROR(Y380/H380,"0")</f>
        <v>60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0.54120000000000001</v>
      </c>
      <c r="AA381" s="67"/>
      <c r="AB381" s="67"/>
      <c r="AC381" s="67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250</v>
      </c>
      <c r="Y382" s="43">
        <f>IFERROR(SUM(Y374:Y380),"0")</f>
        <v>252.00000000000003</v>
      </c>
      <c r="Z382" s="42"/>
      <c r="AA382" s="67"/>
      <c r="AB382" s="67"/>
      <c r="AC382" s="67"/>
    </row>
    <row r="383" spans="1:68" ht="14.25" hidden="1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hidden="1" customHeight="1" x14ac:dyDescent="0.25">
      <c r="A384" s="63" t="s">
        <v>636</v>
      </c>
      <c r="B384" s="63" t="s">
        <v>637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65" t="s">
        <v>178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hidden="1" customHeight="1" x14ac:dyDescent="0.25">
      <c r="A391" s="63" t="s">
        <v>647</v>
      </c>
      <c r="B391" s="63" t="s">
        <v>648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650</v>
      </c>
      <c r="B392" s="63" t="s">
        <v>651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65" t="s">
        <v>277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663</v>
      </c>
      <c r="B400" s="63" t="s">
        <v>664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27</v>
      </c>
      <c r="Y400" s="55">
        <f>IFERROR(IF(X400="",0,CEILING((X400/$H400),1)*$H400),"")</f>
        <v>28.049999999999997</v>
      </c>
      <c r="Z400" s="41">
        <f>IFERROR(IF(Y400=0,"",ROUNDUP(Y400/H400,0)*0.00651),"")</f>
        <v>7.1610000000000007E-2</v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30.494117647058822</v>
      </c>
      <c r="BN400" s="78">
        <f>IFERROR(Y400*I400/H400,"0")</f>
        <v>31.68</v>
      </c>
      <c r="BO400" s="78">
        <f>IFERROR(1/J400*(X400/H400),"0")</f>
        <v>5.8177117000646428E-2</v>
      </c>
      <c r="BP400" s="78">
        <f>IFERROR(1/J400*(Y400/H400),"0")</f>
        <v>6.0439560439560447E-2</v>
      </c>
    </row>
    <row r="401" spans="1:68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10.588235294117649</v>
      </c>
      <c r="Y401" s="43">
        <f>IFERROR(Y397/H397,"0")+IFERROR(Y398/H398,"0")+IFERROR(Y399/H399,"0")+IFERROR(Y400/H400,"0")</f>
        <v>11</v>
      </c>
      <c r="Z401" s="43">
        <f>IFERROR(IF(Z397="",0,Z397),"0")+IFERROR(IF(Z398="",0,Z398),"0")+IFERROR(IF(Z399="",0,Z399),"0")+IFERROR(IF(Z400="",0,Z400),"0")</f>
        <v>7.1610000000000007E-2</v>
      </c>
      <c r="AA401" s="67"/>
      <c r="AB401" s="67"/>
      <c r="AC401" s="67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27</v>
      </c>
      <c r="Y402" s="43">
        <f>IFERROR(SUM(Y397:Y400),"0")</f>
        <v>28.049999999999997</v>
      </c>
      <c r="Z402" s="42"/>
      <c r="AA402" s="67"/>
      <c r="AB402" s="67"/>
      <c r="AC402" s="67"/>
    </row>
    <row r="403" spans="1:68" ht="14.25" hidden="1" customHeight="1" x14ac:dyDescent="0.25">
      <c r="A403" s="665" t="s">
        <v>665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672</v>
      </c>
      <c r="B406" s="63" t="s">
        <v>673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665" t="s">
        <v>674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690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hidden="1" customHeight="1" x14ac:dyDescent="0.25">
      <c r="A423" s="63" t="s">
        <v>691</v>
      </c>
      <c r="B423" s="63" t="s">
        <v>692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694</v>
      </c>
      <c r="B424" s="63" t="s">
        <v>695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697</v>
      </c>
      <c r="B425" s="63" t="s">
        <v>698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683" t="s">
        <v>700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701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customHeight="1" x14ac:dyDescent="0.25">
      <c r="A431" s="63" t="s">
        <v>702</v>
      </c>
      <c r="B431" s="63" t="s">
        <v>703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200</v>
      </c>
      <c r="Y431" s="55">
        <f t="shared" ref="Y431:Y438" si="68">IFERROR(IF(X431="",0,CEILING((X431/$H431),1)*$H431),"")</f>
        <v>210</v>
      </c>
      <c r="Z431" s="41">
        <f>IFERROR(IF(Y431=0,"",ROUNDUP(Y431/H431,0)*0.02175),"")</f>
        <v>0.30449999999999999</v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206.26666666666668</v>
      </c>
      <c r="BN431" s="78">
        <f t="shared" ref="BN431:BN438" si="70">IFERROR(Y431*I431/H431,"0")</f>
        <v>216.58</v>
      </c>
      <c r="BO431" s="78">
        <f t="shared" ref="BO431:BO438" si="71">IFERROR(1/J431*(X431/H431),"0")</f>
        <v>0.27777777777777779</v>
      </c>
      <c r="BP431" s="78">
        <f t="shared" ref="BP431:BP438" si="72">IFERROR(1/J431*(Y431/H431),"0")</f>
        <v>0.29166666666666663</v>
      </c>
    </row>
    <row r="432" spans="1:68" ht="37.5" customHeight="1" x14ac:dyDescent="0.25">
      <c r="A432" s="63" t="s">
        <v>705</v>
      </c>
      <c r="B432" s="63" t="s">
        <v>706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2000</v>
      </c>
      <c r="Y432" s="55">
        <f t="shared" si="68"/>
        <v>2010</v>
      </c>
      <c r="Z432" s="41">
        <f>IFERROR(IF(Y432=0,"",ROUNDUP(Y432/H432,0)*0.02175),"")</f>
        <v>2.9144999999999999</v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2062.6666666666665</v>
      </c>
      <c r="BN432" s="78">
        <f t="shared" si="70"/>
        <v>2072.98</v>
      </c>
      <c r="BO432" s="78">
        <f t="shared" si="71"/>
        <v>2.7777777777777777</v>
      </c>
      <c r="BP432" s="78">
        <f t="shared" si="72"/>
        <v>2.7916666666666665</v>
      </c>
    </row>
    <row r="433" spans="1:68" ht="27" customHeight="1" x14ac:dyDescent="0.25">
      <c r="A433" s="63" t="s">
        <v>708</v>
      </c>
      <c r="B433" s="63" t="s">
        <v>709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1500</v>
      </c>
      <c r="Y433" s="55">
        <f t="shared" si="68"/>
        <v>1500</v>
      </c>
      <c r="Z433" s="41">
        <f>IFERROR(IF(Y433=0,"",ROUNDUP(Y433/H433,0)*0.02175),"")</f>
        <v>2.1749999999999998</v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1547</v>
      </c>
      <c r="BN433" s="78">
        <f t="shared" si="70"/>
        <v>1547</v>
      </c>
      <c r="BO433" s="78">
        <f t="shared" si="71"/>
        <v>2.083333333333333</v>
      </c>
      <c r="BP433" s="78">
        <f t="shared" si="72"/>
        <v>2.083333333333333</v>
      </c>
    </row>
    <row r="434" spans="1:68" ht="27" customHeight="1" x14ac:dyDescent="0.25">
      <c r="A434" s="63" t="s">
        <v>711</v>
      </c>
      <c r="B434" s="63" t="s">
        <v>712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2000</v>
      </c>
      <c r="Y434" s="55">
        <f t="shared" si="68"/>
        <v>2010</v>
      </c>
      <c r="Z434" s="41">
        <f>IFERROR(IF(Y434=0,"",ROUNDUP(Y434/H434,0)*0.02175),"")</f>
        <v>2.9144999999999999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2062.6666666666665</v>
      </c>
      <c r="BN434" s="78">
        <f t="shared" si="70"/>
        <v>2072.98</v>
      </c>
      <c r="BO434" s="78">
        <f t="shared" si="71"/>
        <v>2.7777777777777777</v>
      </c>
      <c r="BP434" s="78">
        <f t="shared" si="72"/>
        <v>2.7916666666666665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hidden="1" customHeight="1" x14ac:dyDescent="0.25">
      <c r="A438" s="63" t="s">
        <v>723</v>
      </c>
      <c r="B438" s="63" t="s">
        <v>724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380</v>
      </c>
      <c r="Y439" s="43">
        <f>IFERROR(Y431/H431,"0")+IFERROR(Y432/H432,"0")+IFERROR(Y433/H433,"0")+IFERROR(Y434/H434,"0")+IFERROR(Y435/H435,"0")+IFERROR(Y436/H436,"0")+IFERROR(Y437/H437,"0")+IFERROR(Y438/H438,"0")</f>
        <v>382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8.3085000000000004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5700</v>
      </c>
      <c r="Y440" s="43">
        <f>IFERROR(SUM(Y431:Y438),"0")</f>
        <v>5730</v>
      </c>
      <c r="Z440" s="42"/>
      <c r="AA440" s="67"/>
      <c r="AB440" s="67"/>
      <c r="AC440" s="67"/>
    </row>
    <row r="441" spans="1:68" ht="14.25" hidden="1" customHeight="1" x14ac:dyDescent="0.25">
      <c r="A441" s="665" t="s">
        <v>159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customHeight="1" x14ac:dyDescent="0.25">
      <c r="A442" s="63" t="s">
        <v>726</v>
      </c>
      <c r="B442" s="63" t="s">
        <v>727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2500</v>
      </c>
      <c r="Y442" s="55">
        <f>IFERROR(IF(X442="",0,CEILING((X442/$H442),1)*$H442),"")</f>
        <v>2505</v>
      </c>
      <c r="Z442" s="41">
        <f>IFERROR(IF(Y442=0,"",ROUNDUP(Y442/H442,0)*0.02175),"")</f>
        <v>3.6322499999999995</v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2578.3333333333335</v>
      </c>
      <c r="BN442" s="78">
        <f>IFERROR(Y442*I442/H442,"0")</f>
        <v>2583.4899999999998</v>
      </c>
      <c r="BO442" s="78">
        <f>IFERROR(1/J442*(X442/H442),"0")</f>
        <v>3.4722222222222219</v>
      </c>
      <c r="BP442" s="78">
        <f>IFERROR(1/J442*(Y442/H442),"0")</f>
        <v>3.4791666666666665</v>
      </c>
    </row>
    <row r="443" spans="1:68" ht="27" hidden="1" customHeight="1" x14ac:dyDescent="0.25">
      <c r="A443" s="63" t="s">
        <v>729</v>
      </c>
      <c r="B443" s="63" t="s">
        <v>730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732</v>
      </c>
      <c r="B444" s="63" t="s">
        <v>733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166.66666666666666</v>
      </c>
      <c r="Y445" s="43">
        <f>IFERROR(Y442/H442,"0")+IFERROR(Y443/H443,"0")+IFERROR(Y444/H444,"0")</f>
        <v>167</v>
      </c>
      <c r="Z445" s="43">
        <f>IFERROR(IF(Z442="",0,Z442),"0")+IFERROR(IF(Z443="",0,Z443),"0")+IFERROR(IF(Z444="",0,Z444),"0")</f>
        <v>3.6322499999999995</v>
      </c>
      <c r="AA445" s="67"/>
      <c r="AB445" s="67"/>
      <c r="AC445" s="67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2500</v>
      </c>
      <c r="Y446" s="43">
        <f>IFERROR(SUM(Y442:Y444),"0")</f>
        <v>2505</v>
      </c>
      <c r="Z446" s="42"/>
      <c r="AA446" s="67"/>
      <c r="AB446" s="67"/>
      <c r="AC446" s="67"/>
    </row>
    <row r="447" spans="1:68" ht="14.25" hidden="1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hidden="1" customHeight="1" x14ac:dyDescent="0.25">
      <c r="A448" s="63" t="s">
        <v>735</v>
      </c>
      <c r="B448" s="63" t="s">
        <v>736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738</v>
      </c>
      <c r="B449" s="63" t="s">
        <v>739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500</v>
      </c>
      <c r="Y449" s="55">
        <f>IFERROR(IF(X449="",0,CEILING((X449/$H449),1)*$H449),"")</f>
        <v>504</v>
      </c>
      <c r="Z449" s="41">
        <f>IFERROR(IF(Y449=0,"",ROUNDUP(Y449/H449,0)*0.01898),"")</f>
        <v>1.06288</v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527.44444444444446</v>
      </c>
      <c r="BN449" s="78">
        <f>IFERROR(Y449*I449/H449,"0")</f>
        <v>531.66399999999999</v>
      </c>
      <c r="BO449" s="78">
        <f>IFERROR(1/J449*(X449/H449),"0")</f>
        <v>0.86805555555555558</v>
      </c>
      <c r="BP449" s="78">
        <f>IFERROR(1/J449*(Y449/H449),"0")</f>
        <v>0.875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55.555555555555557</v>
      </c>
      <c r="Y451" s="43">
        <f>IFERROR(Y448/H448,"0")+IFERROR(Y449/H449,"0")+IFERROR(Y450/H450,"0")</f>
        <v>56</v>
      </c>
      <c r="Z451" s="43">
        <f>IFERROR(IF(Z448="",0,Z448),"0")+IFERROR(IF(Z449="",0,Z449),"0")+IFERROR(IF(Z450="",0,Z450),"0")</f>
        <v>1.06288</v>
      </c>
      <c r="AA451" s="67"/>
      <c r="AB451" s="67"/>
      <c r="AC451" s="67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500</v>
      </c>
      <c r="Y452" s="43">
        <f>IFERROR(SUM(Y448:Y450),"0")</f>
        <v>504</v>
      </c>
      <c r="Z452" s="42"/>
      <c r="AA452" s="67"/>
      <c r="AB452" s="67"/>
      <c r="AC452" s="67"/>
    </row>
    <row r="453" spans="1:68" ht="14.25" hidden="1" customHeight="1" x14ac:dyDescent="0.25">
      <c r="A453" s="665" t="s">
        <v>178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747</v>
      </c>
      <c r="B455" s="63" t="s">
        <v>748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672" t="s">
        <v>750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hidden="1" customHeight="1" x14ac:dyDescent="0.25">
      <c r="A460" s="63" t="s">
        <v>751</v>
      </c>
      <c r="B460" s="63" t="s">
        <v>752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customHeight="1" x14ac:dyDescent="0.25">
      <c r="A469" s="63" t="s">
        <v>759</v>
      </c>
      <c r="B469" s="63" t="s">
        <v>760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800</v>
      </c>
      <c r="Y469" s="55">
        <f>IFERROR(IF(X469="",0,CEILING((X469/$H469),1)*$H469),"")</f>
        <v>801</v>
      </c>
      <c r="Z469" s="41">
        <f>IFERROR(IF(Y469=0,"",ROUNDUP(Y469/H469,0)*0.01898),"")</f>
        <v>1.6892199999999999</v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843.91111111111104</v>
      </c>
      <c r="BN469" s="78">
        <f>IFERROR(Y469*I469/H469,"0")</f>
        <v>844.96599999999989</v>
      </c>
      <c r="BO469" s="78">
        <f>IFERROR(1/J469*(X469/H469),"0")</f>
        <v>1.3888888888888888</v>
      </c>
      <c r="BP469" s="78">
        <f>IFERROR(1/J469*(Y469/H469),"0")</f>
        <v>1.390625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88.888888888888886</v>
      </c>
      <c r="Y472" s="43">
        <f>IFERROR(Y469/H469,"0")+IFERROR(Y470/H470,"0")+IFERROR(Y471/H471,"0")</f>
        <v>89</v>
      </c>
      <c r="Z472" s="43">
        <f>IFERROR(IF(Z469="",0,Z469),"0")+IFERROR(IF(Z470="",0,Z470),"0")+IFERROR(IF(Z471="",0,Z471),"0")</f>
        <v>1.6892199999999999</v>
      </c>
      <c r="AA472" s="67"/>
      <c r="AB472" s="67"/>
      <c r="AC472" s="67"/>
    </row>
    <row r="473" spans="1:68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800</v>
      </c>
      <c r="Y473" s="43">
        <f>IFERROR(SUM(Y469:Y471),"0")</f>
        <v>801</v>
      </c>
      <c r="Z473" s="42"/>
      <c r="AA473" s="67"/>
      <c r="AB473" s="67"/>
      <c r="AC473" s="67"/>
    </row>
    <row r="474" spans="1:68" ht="27.75" hidden="1" customHeight="1" x14ac:dyDescent="0.2">
      <c r="A474" s="683" t="s">
        <v>766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767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customHeight="1" x14ac:dyDescent="0.25">
      <c r="A477" s="63" t="s">
        <v>768</v>
      </c>
      <c r="B477" s="63" t="s">
        <v>769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300</v>
      </c>
      <c r="Y477" s="55">
        <f t="shared" ref="Y477:Y482" si="73">IFERROR(IF(X477="",0,CEILING((X477/$H477),1)*$H477),"")</f>
        <v>302.40000000000003</v>
      </c>
      <c r="Z477" s="41">
        <f>IFERROR(IF(Y477=0,"",ROUNDUP(Y477/H477,0)*0.00902),"")</f>
        <v>0.50512000000000001</v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310.55555555555554</v>
      </c>
      <c r="BN477" s="78">
        <f t="shared" ref="BN477:BN482" si="75">IFERROR(Y477*I477/H477,"0")</f>
        <v>313.04000000000002</v>
      </c>
      <c r="BO477" s="78">
        <f t="shared" ref="BO477:BO482" si="76">IFERROR(1/J477*(X477/H477),"0")</f>
        <v>0.42087542087542085</v>
      </c>
      <c r="BP477" s="78">
        <f t="shared" ref="BP477:BP482" si="77">IFERROR(1/J477*(Y477/H477),"0")</f>
        <v>0.42424242424242425</v>
      </c>
    </row>
    <row r="478" spans="1:68" ht="27" customHeight="1" x14ac:dyDescent="0.25">
      <c r="A478" s="63" t="s">
        <v>771</v>
      </c>
      <c r="B478" s="63" t="s">
        <v>772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250</v>
      </c>
      <c r="Y478" s="55">
        <f t="shared" si="73"/>
        <v>253.8</v>
      </c>
      <c r="Z478" s="41">
        <f>IFERROR(IF(Y478=0,"",ROUNDUP(Y478/H478,0)*0.00902),"")</f>
        <v>0.42393999999999998</v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258.7962962962963</v>
      </c>
      <c r="BN478" s="78">
        <f t="shared" si="75"/>
        <v>262.72999999999996</v>
      </c>
      <c r="BO478" s="78">
        <f t="shared" si="76"/>
        <v>0.35072951739618402</v>
      </c>
      <c r="BP478" s="78">
        <f t="shared" si="77"/>
        <v>0.35606060606060608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hidden="1" customHeight="1" x14ac:dyDescent="0.25">
      <c r="A482" s="63" t="s">
        <v>782</v>
      </c>
      <c r="B482" s="63" t="s">
        <v>783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101.85185185185185</v>
      </c>
      <c r="Y483" s="43">
        <f>IFERROR(Y477/H477,"0")+IFERROR(Y478/H478,"0")+IFERROR(Y479/H479,"0")+IFERROR(Y480/H480,"0")+IFERROR(Y481/H481,"0")+IFERROR(Y482/H482,"0")</f>
        <v>103</v>
      </c>
      <c r="Z483" s="43">
        <f>IFERROR(IF(Z477="",0,Z477),"0")+IFERROR(IF(Z478="",0,Z478),"0")+IFERROR(IF(Z479="",0,Z479),"0")+IFERROR(IF(Z480="",0,Z480),"0")+IFERROR(IF(Z481="",0,Z481),"0")+IFERROR(IF(Z482="",0,Z482),"0")</f>
        <v>0.92906</v>
      </c>
      <c r="AA483" s="67"/>
      <c r="AB483" s="67"/>
      <c r="AC483" s="67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550</v>
      </c>
      <c r="Y484" s="43">
        <f>IFERROR(SUM(Y477:Y482),"0")</f>
        <v>556.20000000000005</v>
      </c>
      <c r="Z484" s="42"/>
      <c r="AA484" s="67"/>
      <c r="AB484" s="67"/>
      <c r="AC484" s="67"/>
    </row>
    <row r="485" spans="1:68" ht="14.25" hidden="1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790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159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customHeight="1" x14ac:dyDescent="0.25">
      <c r="A496" s="63" t="s">
        <v>794</v>
      </c>
      <c r="B496" s="63" t="s">
        <v>795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500</v>
      </c>
      <c r="Y496" s="55">
        <f>IFERROR(IF(X496="",0,CEILING((X496/$H496),1)*$H496),"")</f>
        <v>502.20000000000005</v>
      </c>
      <c r="Z496" s="41">
        <f>IFERROR(IF(Y496=0,"",ROUNDUP(Y496/H496,0)*0.00902),"")</f>
        <v>0.83886000000000005</v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517.59259259259261</v>
      </c>
      <c r="BN496" s="78">
        <f>IFERROR(Y496*I496/H496,"0")</f>
        <v>519.87</v>
      </c>
      <c r="BO496" s="78">
        <f>IFERROR(1/J496*(X496/H496),"0")</f>
        <v>0.70145903479236804</v>
      </c>
      <c r="BP496" s="78">
        <f>IFERROR(1/J496*(Y496/H496),"0")</f>
        <v>0.70454545454545459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92.592592592592581</v>
      </c>
      <c r="Y499" s="43">
        <f>IFERROR(Y496/H496,"0")+IFERROR(Y497/H497,"0")+IFERROR(Y498/H498,"0")</f>
        <v>93</v>
      </c>
      <c r="Z499" s="43">
        <f>IFERROR(IF(Z496="",0,Z496),"0")+IFERROR(IF(Z497="",0,Z497),"0")+IFERROR(IF(Z498="",0,Z498),"0")</f>
        <v>0.83886000000000005</v>
      </c>
      <c r="AA499" s="67"/>
      <c r="AB499" s="67"/>
      <c r="AC499" s="67"/>
    </row>
    <row r="500" spans="1:68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500</v>
      </c>
      <c r="Y500" s="43">
        <f>IFERROR(SUM(Y496:Y498),"0")</f>
        <v>502.20000000000005</v>
      </c>
      <c r="Z500" s="42"/>
      <c r="AA500" s="67"/>
      <c r="AB500" s="67"/>
      <c r="AC500" s="67"/>
    </row>
    <row r="501" spans="1:68" ht="27.75" hidden="1" customHeight="1" x14ac:dyDescent="0.2">
      <c r="A501" s="683" t="s">
        <v>802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802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300</v>
      </c>
      <c r="Y507" s="55">
        <f t="shared" si="78"/>
        <v>300.96000000000004</v>
      </c>
      <c r="Z507" s="41">
        <f t="shared" si="79"/>
        <v>0.68171999999999999</v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319.88636363636363</v>
      </c>
      <c r="BN507" s="78">
        <f t="shared" si="81"/>
        <v>320.91000000000003</v>
      </c>
      <c r="BO507" s="78">
        <f t="shared" si="82"/>
        <v>0.54632867132867136</v>
      </c>
      <c r="BP507" s="78">
        <f t="shared" si="83"/>
        <v>0.54807692307692313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650</v>
      </c>
      <c r="Y509" s="55">
        <f t="shared" si="78"/>
        <v>654.72</v>
      </c>
      <c r="Z509" s="41">
        <f t="shared" si="79"/>
        <v>1.4830399999999999</v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693.08712121212113</v>
      </c>
      <c r="BN509" s="78">
        <f t="shared" si="81"/>
        <v>698.12</v>
      </c>
      <c r="BO509" s="78">
        <f t="shared" si="82"/>
        <v>1.1837121212121211</v>
      </c>
      <c r="BP509" s="78">
        <f t="shared" si="83"/>
        <v>1.1923076923076923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179.92424242424241</v>
      </c>
      <c r="Y513" s="43">
        <f>IFERROR(Y504/H504,"0")+IFERROR(Y505/H505,"0")+IFERROR(Y506/H506,"0")+IFERROR(Y507/H507,"0")+IFERROR(Y508/H508,"0")+IFERROR(Y509/H509,"0")+IFERROR(Y510/H510,"0")+IFERROR(Y511/H511,"0")+IFERROR(Y512/H512,"0")</f>
        <v>181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2.1647599999999998</v>
      </c>
      <c r="AA513" s="67"/>
      <c r="AB513" s="67"/>
      <c r="AC513" s="67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950</v>
      </c>
      <c r="Y514" s="43">
        <f>IFERROR(SUM(Y504:Y512),"0")</f>
        <v>955.68000000000006</v>
      </c>
      <c r="Z514" s="42"/>
      <c r="AA514" s="67"/>
      <c r="AB514" s="67"/>
      <c r="AC514" s="67"/>
    </row>
    <row r="515" spans="1:68" ht="14.25" hidden="1" customHeight="1" x14ac:dyDescent="0.25">
      <c r="A515" s="665" t="s">
        <v>159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600</v>
      </c>
      <c r="Y516" s="55">
        <f>IFERROR(IF(X516="",0,CEILING((X516/$H516),1)*$H516),"")</f>
        <v>601.92000000000007</v>
      </c>
      <c r="Z516" s="41">
        <f>IFERROR(IF(Y516=0,"",ROUNDUP(Y516/H516,0)*0.01196),"")</f>
        <v>1.36344</v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639.77272727272725</v>
      </c>
      <c r="BN516" s="78">
        <f>IFERROR(Y516*I516/H516,"0")</f>
        <v>641.82000000000005</v>
      </c>
      <c r="BO516" s="78">
        <f>IFERROR(1/J516*(X516/H516),"0")</f>
        <v>1.0926573426573427</v>
      </c>
      <c r="BP516" s="78">
        <f>IFERROR(1/J516*(Y516/H516),"0")</f>
        <v>1.0961538461538463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831</v>
      </c>
      <c r="B518" s="63" t="s">
        <v>832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113.63636363636363</v>
      </c>
      <c r="Y519" s="43">
        <f>IFERROR(Y516/H516,"0")+IFERROR(Y517/H517,"0")+IFERROR(Y518/H518,"0")</f>
        <v>114.00000000000001</v>
      </c>
      <c r="Z519" s="43">
        <f>IFERROR(IF(Z516="",0,Z516),"0")+IFERROR(IF(Z517="",0,Z517),"0")+IFERROR(IF(Z518="",0,Z518),"0")</f>
        <v>1.36344</v>
      </c>
      <c r="AA519" s="67"/>
      <c r="AB519" s="67"/>
      <c r="AC519" s="67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600</v>
      </c>
      <c r="Y520" s="43">
        <f>IFERROR(SUM(Y516:Y518),"0")</f>
        <v>601.92000000000007</v>
      </c>
      <c r="Z520" s="42"/>
      <c r="AA520" s="67"/>
      <c r="AB520" s="67"/>
      <c r="AC520" s="67"/>
    </row>
    <row r="521" spans="1:68" ht="14.25" hidden="1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customHeight="1" x14ac:dyDescent="0.25">
      <c r="A522" s="63" t="s">
        <v>833</v>
      </c>
      <c r="B522" s="63" t="s">
        <v>834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250</v>
      </c>
      <c r="Y522" s="55">
        <f t="shared" ref="Y522:Y528" si="84">IFERROR(IF(X522="",0,CEILING((X522/$H522),1)*$H522),"")</f>
        <v>253.44</v>
      </c>
      <c r="Z522" s="41">
        <f>IFERROR(IF(Y522=0,"",ROUNDUP(Y522/H522,0)*0.01196),"")</f>
        <v>0.57408000000000003</v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266.57196969696969</v>
      </c>
      <c r="BN522" s="78">
        <f t="shared" ref="BN522:BN528" si="86">IFERROR(Y522*I522/H522,"0")</f>
        <v>270.23999999999995</v>
      </c>
      <c r="BO522" s="78">
        <f t="shared" ref="BO522:BO528" si="87">IFERROR(1/J522*(X522/H522),"0")</f>
        <v>0.45527389277389274</v>
      </c>
      <c r="BP522" s="78">
        <f t="shared" ref="BP522:BP528" si="88">IFERROR(1/J522*(Y522/H522),"0")</f>
        <v>0.46153846153846156</v>
      </c>
    </row>
    <row r="523" spans="1:68" ht="27" customHeight="1" x14ac:dyDescent="0.25">
      <c r="A523" s="63" t="s">
        <v>836</v>
      </c>
      <c r="B523" s="63" t="s">
        <v>837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250</v>
      </c>
      <c r="Y523" s="55">
        <f t="shared" si="84"/>
        <v>253.44</v>
      </c>
      <c r="Z523" s="41">
        <f>IFERROR(IF(Y523=0,"",ROUNDUP(Y523/H523,0)*0.01196),"")</f>
        <v>0.57408000000000003</v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266.57196969696969</v>
      </c>
      <c r="BN523" s="78">
        <f t="shared" si="86"/>
        <v>270.23999999999995</v>
      </c>
      <c r="BO523" s="78">
        <f t="shared" si="87"/>
        <v>0.45527389277389274</v>
      </c>
      <c r="BP523" s="78">
        <f t="shared" si="88"/>
        <v>0.46153846153846156</v>
      </c>
    </row>
    <row r="524" spans="1:68" ht="27" customHeight="1" x14ac:dyDescent="0.25">
      <c r="A524" s="63" t="s">
        <v>839</v>
      </c>
      <c r="B524" s="63" t="s">
        <v>840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150</v>
      </c>
      <c r="Y524" s="55">
        <f t="shared" si="84"/>
        <v>153.12</v>
      </c>
      <c r="Z524" s="41">
        <f>IFERROR(IF(Y524=0,"",ROUNDUP(Y524/H524,0)*0.01196),"")</f>
        <v>0.34683999999999998</v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159.94318181818181</v>
      </c>
      <c r="BN524" s="78">
        <f t="shared" si="86"/>
        <v>163.26999999999998</v>
      </c>
      <c r="BO524" s="78">
        <f t="shared" si="87"/>
        <v>0.27316433566433568</v>
      </c>
      <c r="BP524" s="78">
        <f t="shared" si="88"/>
        <v>0.27884615384615385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123.10606060606059</v>
      </c>
      <c r="Y529" s="43">
        <f>IFERROR(Y522/H522,"0")+IFERROR(Y523/H523,"0")+IFERROR(Y524/H524,"0")+IFERROR(Y525/H525,"0")+IFERROR(Y526/H526,"0")+IFERROR(Y527/H527,"0")+IFERROR(Y528/H528,"0")</f>
        <v>125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1.4950000000000001</v>
      </c>
      <c r="AA529" s="67"/>
      <c r="AB529" s="67"/>
      <c r="AC529" s="67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650</v>
      </c>
      <c r="Y530" s="43">
        <f>IFERROR(SUM(Y522:Y528),"0")</f>
        <v>660</v>
      </c>
      <c r="Z530" s="42"/>
      <c r="AA530" s="67"/>
      <c r="AB530" s="67"/>
      <c r="AC530" s="67"/>
    </row>
    <row r="531" spans="1:68" ht="27.75" hidden="1" customHeight="1" x14ac:dyDescent="0.2">
      <c r="A531" s="683" t="s">
        <v>849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849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hidden="1" customHeight="1" x14ac:dyDescent="0.25">
      <c r="A534" s="63" t="s">
        <v>850</v>
      </c>
      <c r="B534" s="63" t="s">
        <v>851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5" t="s">
        <v>159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666">
        <v>4680115889781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customHeight="1" x14ac:dyDescent="0.25">
      <c r="A542" s="63" t="s">
        <v>855</v>
      </c>
      <c r="B542" s="63" t="s">
        <v>856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300</v>
      </c>
      <c r="Y542" s="55">
        <f>IFERROR(IF(X542="",0,CEILING((X542/$H542),1)*$H542),"")</f>
        <v>302.40000000000003</v>
      </c>
      <c r="Z542" s="41">
        <f>IFERROR(IF(Y542=0,"",ROUNDUP(Y542/H542,0)*0.00902),"")</f>
        <v>0.64944000000000002</v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317.85714285714283</v>
      </c>
      <c r="BN542" s="78">
        <f>IFERROR(Y542*I542/H542,"0")</f>
        <v>320.40000000000003</v>
      </c>
      <c r="BO542" s="78">
        <f>IFERROR(1/J542*(X542/H542),"0")</f>
        <v>0.54112554112554112</v>
      </c>
      <c r="BP542" s="78">
        <f>IFERROR(1/J542*(Y542/H542),"0")</f>
        <v>0.54545454545454541</v>
      </c>
    </row>
    <row r="543" spans="1:68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71.428571428571431</v>
      </c>
      <c r="Y543" s="43">
        <f>IFERROR(Y542/H542,"0")</f>
        <v>72</v>
      </c>
      <c r="Z543" s="43">
        <f>IFERROR(IF(Z542="",0,Z542),"0")</f>
        <v>0.64944000000000002</v>
      </c>
      <c r="AA543" s="67"/>
      <c r="AB543" s="67"/>
      <c r="AC543" s="67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300</v>
      </c>
      <c r="Y544" s="43">
        <f>IFERROR(SUM(Y542:Y542),"0")</f>
        <v>302.40000000000003</v>
      </c>
      <c r="Z544" s="42"/>
      <c r="AA544" s="67"/>
      <c r="AB544" s="67"/>
      <c r="AC544" s="67"/>
    </row>
    <row r="545" spans="1:68" ht="14.25" hidden="1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hidden="1" customHeight="1" x14ac:dyDescent="0.25">
      <c r="A546" s="63" t="s">
        <v>858</v>
      </c>
      <c r="B546" s="63" t="s">
        <v>859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65" t="s">
        <v>178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867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159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666">
        <v>4680115889798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16893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17023.750000000004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17612.624294013895</v>
      </c>
      <c r="Y560" s="43">
        <f>IFERROR(SUM(BN22:BN556),"0")</f>
        <v>17749.172000000006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27</v>
      </c>
      <c r="Y561" s="44">
        <f>ROUNDUP(SUM(BP22:BP556),0)</f>
        <v>27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18287.624294013895</v>
      </c>
      <c r="Y562" s="43">
        <f>GrossWeightTotalR+PalletQtyTotalR*25</f>
        <v>18424.172000000006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1965.6658367050525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1983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30.131080000000001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345</v>
      </c>
      <c r="L566" s="652" t="s">
        <v>345</v>
      </c>
      <c r="M566" s="652" t="s">
        <v>345</v>
      </c>
      <c r="N566" s="662"/>
      <c r="O566" s="652" t="s">
        <v>345</v>
      </c>
      <c r="P566" s="652" t="s">
        <v>345</v>
      </c>
      <c r="Q566" s="652" t="s">
        <v>345</v>
      </c>
      <c r="R566" s="652" t="s">
        <v>345</v>
      </c>
      <c r="S566" s="652" t="s">
        <v>345</v>
      </c>
      <c r="T566" s="652" t="s">
        <v>345</v>
      </c>
      <c r="U566" s="652" t="s">
        <v>345</v>
      </c>
      <c r="V566" s="652" t="s">
        <v>345</v>
      </c>
      <c r="W566" s="652" t="s">
        <v>700</v>
      </c>
      <c r="X566" s="652" t="s">
        <v>700</v>
      </c>
      <c r="Y566" s="652" t="s">
        <v>766</v>
      </c>
      <c r="Z566" s="652" t="s">
        <v>766</v>
      </c>
      <c r="AA566" s="85" t="s">
        <v>802</v>
      </c>
      <c r="AB566" s="652" t="s">
        <v>849</v>
      </c>
      <c r="AC566" s="652" t="s">
        <v>849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186</v>
      </c>
      <c r="G567" s="652" t="s">
        <v>209</v>
      </c>
      <c r="H567" s="652" t="s">
        <v>249</v>
      </c>
      <c r="I567" s="652" t="s">
        <v>262</v>
      </c>
      <c r="J567" s="652" t="s">
        <v>120</v>
      </c>
      <c r="K567" s="652" t="s">
        <v>346</v>
      </c>
      <c r="L567" s="652" t="s">
        <v>367</v>
      </c>
      <c r="M567" s="652" t="s">
        <v>441</v>
      </c>
      <c r="N567" s="1"/>
      <c r="O567" s="652" t="s">
        <v>509</v>
      </c>
      <c r="P567" s="652" t="s">
        <v>538</v>
      </c>
      <c r="Q567" s="652" t="s">
        <v>558</v>
      </c>
      <c r="R567" s="652" t="s">
        <v>567</v>
      </c>
      <c r="S567" s="652" t="s">
        <v>588</v>
      </c>
      <c r="T567" s="652" t="s">
        <v>597</v>
      </c>
      <c r="U567" s="652" t="s">
        <v>683</v>
      </c>
      <c r="V567" s="652" t="s">
        <v>690</v>
      </c>
      <c r="W567" s="652" t="s">
        <v>701</v>
      </c>
      <c r="X567" s="652" t="s">
        <v>750</v>
      </c>
      <c r="Y567" s="652" t="s">
        <v>767</v>
      </c>
      <c r="Z567" s="652" t="s">
        <v>790</v>
      </c>
      <c r="AA567" s="652" t="s">
        <v>802</v>
      </c>
      <c r="AB567" s="652" t="s">
        <v>849</v>
      </c>
      <c r="AC567" s="652" t="s">
        <v>867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259.20000000000005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581.40000000000009</v>
      </c>
      <c r="F569" s="52">
        <f>IFERROR(Y87*1,"0")+IFERROR(Y88*1,"0")+IFERROR(Y89*1,"0")+IFERROR(Y90*1,"0")+IFERROR(Y91*1,"0")+IFERROR(Y95*1,"0")+IFERROR(Y96*1,"0")+IFERROR(Y97*1,"0")+IFERROR(Y98*1,"0")</f>
        <v>610.20000000000005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1263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101.5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151.20000000000002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658.8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280.05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8739</v>
      </c>
      <c r="X569" s="52">
        <f>IFERROR(Y460*1,"0")+IFERROR(Y461*1,"0")+IFERROR(Y465*1,"0")+IFERROR(Y469*1,"0")+IFERROR(Y470*1,"0")+IFERROR(Y471*1,"0")</f>
        <v>801</v>
      </c>
      <c r="Y569" s="52">
        <f>IFERROR(Y477*1,"0")+IFERROR(Y478*1,"0")+IFERROR(Y479*1,"0")+IFERROR(Y480*1,"0")+IFERROR(Y481*1,"0")+IFERROR(Y482*1,"0")+IFERROR(Y486*1,"0")+IFERROR(Y487*1,"0")</f>
        <v>556.20000000000005</v>
      </c>
      <c r="Z569" s="52">
        <f>IFERROR(Y492*1,"0")+IFERROR(Y496*1,"0")+IFERROR(Y497*1,"0")+IFERROR(Y498*1,"0")</f>
        <v>502.20000000000005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2217.6</v>
      </c>
      <c r="AB569" s="52">
        <f>IFERROR(Y534*1,"0")+IFERROR(Y538*1,"0")+IFERROR(Y542*1,"0")+IFERROR(Y546*1,"0")+IFERROR(Y550*1,"0")+IFERROR(Y551*1,"0")</f>
        <v>302.40000000000003</v>
      </c>
      <c r="AC569" s="52">
        <f>IFERROR(Y556*1,"0")</f>
        <v>0</v>
      </c>
      <c r="AF569" s="1"/>
    </row>
  </sheetData>
  <sheetProtection algorithmName="SHA-512" hashValue="3QKH/sBY8NNmPjmzKcq4eNHTWkOzAp+It7IYiXZcJMAAeU2U5qMOXxQsEKK3wW7Vv+zC9zWY1LDRVeb+zI+WfQ==" saltValue="Jjxic9A2r6MQm3WOaqSse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 965,67"/>
        <filter val="10,59"/>
        <filter val="100,00"/>
        <filter val="101,85"/>
        <filter val="113,00"/>
        <filter val="113,64"/>
        <filter val="120,37"/>
        <filter val="123,11"/>
        <filter val="123,46"/>
        <filter val="13,33"/>
        <filter val="150,00"/>
        <filter val="16 893,00"/>
        <filter val="166,67"/>
        <filter val="17 612,62"/>
        <filter val="171,00"/>
        <filter val="179,92"/>
        <filter val="18 287,62"/>
        <filter val="18,52"/>
        <filter val="2 000,00"/>
        <filter val="2 500,00"/>
        <filter val="200,00"/>
        <filter val="213,00"/>
        <filter val="23,15"/>
        <filter val="250,00"/>
        <filter val="27"/>
        <filter val="27,00"/>
        <filter val="28,57"/>
        <filter val="300,00"/>
        <filter val="32,00"/>
        <filter val="34,37"/>
        <filter val="35,71"/>
        <filter val="380,00"/>
        <filter val="400,00"/>
        <filter val="471,00"/>
        <filter val="49,38"/>
        <filter val="5 700,00"/>
        <filter val="500,00"/>
        <filter val="55,56"/>
        <filter val="550,00"/>
        <filter val="59,52"/>
        <filter val="600,00"/>
        <filter val="65,78"/>
        <filter val="650,00"/>
        <filter val="71,43"/>
        <filter val="800,00"/>
        <filter val="88,89"/>
        <filter val="9,26"/>
        <filter val="92,59"/>
        <filter val="950,0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9" spans="2:8" x14ac:dyDescent="0.2">
      <c r="B9" s="53" t="s">
        <v>880</v>
      </c>
      <c r="C9" s="53" t="s">
        <v>875</v>
      </c>
      <c r="D9" s="53" t="s">
        <v>46</v>
      </c>
      <c r="E9" s="53" t="s">
        <v>46</v>
      </c>
    </row>
    <row r="11" spans="2:8" x14ac:dyDescent="0.2">
      <c r="B11" s="53" t="s">
        <v>880</v>
      </c>
      <c r="C11" s="53" t="s">
        <v>878</v>
      </c>
      <c r="D11" s="53" t="s">
        <v>46</v>
      </c>
      <c r="E11" s="53" t="s">
        <v>46</v>
      </c>
    </row>
    <row r="13" spans="2:8" x14ac:dyDescent="0.2">
      <c r="B13" s="53" t="s">
        <v>881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</sheetData>
  <sheetProtection algorithmName="SHA-512" hashValue="JCzn1MkBdaQ4B9Rs6Q0SF77h6/Ym/6eNybDux8B/kAAzAtxxSkT9f80ON8T9QXBP3yRLHKjOF2a4HhKNOhbAeQ==" saltValue="TmSVFg03Mu6e/InbyBDCi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2026-09-29T08:07:31Z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