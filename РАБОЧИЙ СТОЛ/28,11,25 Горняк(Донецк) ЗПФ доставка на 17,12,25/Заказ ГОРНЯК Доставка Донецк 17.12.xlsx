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:\Новая папка\старадворье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<sst xmlns="http://schemas.openxmlformats.org/spreadsheetml/2006/main" count="165" uniqueCount="72">
  <si>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</si>
  <si>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</si>
  <si>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</si>
  <si>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</si>
  <si>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</si>
  <si>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</si>
  <si>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</si>
  <si>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</si>
  <si>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</si>
  <si>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</si>
  <si>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</si>
  <si>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</si>
  <si>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</si>
  <si>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</si>
  <si>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</si>
  <si>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</si>
  <si>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</si>
  <si>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</si>
  <si>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</si>
  <si>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</si>
  <si>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</si>
  <si>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</si>
  <si>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</si>
  <si>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</si>
  <si>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</si>
  <si>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</si>
  <si>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</si>
  <si>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</si>
  <si>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</si>
  <si>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</si>
  <si>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</si>
  <si>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</si>
  <si>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</si>
  <si>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</si>
  <si>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</si>
  <si>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</si>
  <si>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</si>
  <si>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</si>
  <si>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</si>
  <si>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</si>
  <si>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</si>
  <si>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</si>
  <si>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</si>
  <si>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</si>
  <si>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</si>
  <si>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</si>
  <si>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</si>
  <si>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</si>
  <si>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</si>
  <si>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</si>
  <si>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</si>
  <si>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</si>
  <si>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</si>
  <si>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</si>
  <si>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</si>
  <si>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</si>
  <si>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</si>
  <si>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</si>
  <si>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</si>
  <si>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</si>
  <si>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</si>
  <si>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</si>
  <si>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</si>
  <si>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</si>
  <si>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</si>
  <si>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</si>
  <si>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</si>
  <si>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</si>
  <si>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</si>
  <si>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</si>
  <si>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</si>
  <si>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17.12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</si>
</sst>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P12" sqref="P12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56</v>
      </c>
      <c r="J9" s="77">
        <f t="shared" si="0"/>
        <v>84</v>
      </c>
      <c r="K9" s="48">
        <f t="shared" si="1"/>
        <v>107.6208</v>
      </c>
      <c r="L9" s="48">
        <f t="shared" si="2"/>
        <v>0.4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48</v>
      </c>
      <c r="J10" s="77">
        <f t="shared" si="0"/>
        <v>268.79999999999995</v>
      </c>
      <c r="K10" s="48">
        <f t="shared" si="1"/>
        <v>281.76</v>
      </c>
      <c r="L10" s="48">
        <f t="shared" si="2"/>
        <v>0.5714285714285714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108</v>
      </c>
      <c r="J12" s="77">
        <f t="shared" si="0"/>
        <v>604.79999999999995</v>
      </c>
      <c r="K12" s="48">
        <f t="shared" si="1"/>
        <v>633.96</v>
      </c>
      <c r="L12" s="48">
        <f t="shared" si="2"/>
        <v>1.2857142857142858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12</v>
      </c>
      <c r="J16" s="77">
        <f t="shared" si="0"/>
        <v>84</v>
      </c>
      <c r="K16" s="48">
        <f t="shared" si="1"/>
        <v>87.431999999999988</v>
      </c>
      <c r="L16" s="48">
        <f t="shared" si="2"/>
        <v>0.14285714285714285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24</v>
      </c>
      <c r="J17" s="77">
        <f t="shared" si="0"/>
        <v>153.60000000000002</v>
      </c>
      <c r="K17" s="48">
        <f t="shared" si="1"/>
        <v>161.2704</v>
      </c>
      <c r="L17" s="48">
        <f t="shared" si="2"/>
        <v>0.2857142857142857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48</v>
      </c>
      <c r="J18" s="77">
        <f t="shared" si="0"/>
        <v>336</v>
      </c>
      <c r="K18" s="48">
        <f t="shared" si="1"/>
        <v>350.4</v>
      </c>
      <c r="L18" s="48">
        <f t="shared" si="2"/>
        <v>0.5714285714285714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234</v>
      </c>
      <c r="J19" s="77">
        <f t="shared" si="0"/>
        <v>631.80000000000007</v>
      </c>
      <c r="K19" s="48">
        <f t="shared" si="1"/>
        <v>658.28880000000004</v>
      </c>
      <c r="L19" s="48">
        <f t="shared" si="2"/>
        <v>1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60</v>
      </c>
      <c r="J20" s="77">
        <f t="shared" si="0"/>
        <v>300</v>
      </c>
      <c r="K20" s="48">
        <f t="shared" si="1"/>
        <v>312.79199999999997</v>
      </c>
      <c r="L20" s="48">
        <f t="shared" si="2"/>
        <v>0.41666666666666669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56</v>
      </c>
      <c r="J21" s="77">
        <f t="shared" si="0"/>
        <v>201.6</v>
      </c>
      <c r="K21" s="48">
        <f t="shared" si="1"/>
        <v>241.00160000000002</v>
      </c>
      <c r="L21" s="48">
        <f t="shared" si="2"/>
        <v>0.8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182</v>
      </c>
      <c r="J22" s="77">
        <f t="shared" si="0"/>
        <v>655.20000000000005</v>
      </c>
      <c r="K22" s="48">
        <f t="shared" si="1"/>
        <v>783.25520000000006</v>
      </c>
      <c r="L22" s="48">
        <f t="shared" si="2"/>
        <v>2.6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56</v>
      </c>
      <c r="J23" s="77">
        <f t="shared" si="0"/>
        <v>201.6</v>
      </c>
      <c r="K23" s="48">
        <f t="shared" si="1"/>
        <v>241.00160000000002</v>
      </c>
      <c r="L23" s="48">
        <f t="shared" si="2"/>
        <v>0.8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98</v>
      </c>
      <c r="J25" s="77">
        <f t="shared" si="0"/>
        <v>282.24</v>
      </c>
      <c r="K25" s="48">
        <f t="shared" si="1"/>
        <v>351.19280000000003</v>
      </c>
      <c r="L25" s="48">
        <f t="shared" si="2"/>
        <v>1.4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14</v>
      </c>
      <c r="J26" s="77">
        <f t="shared" si="0"/>
        <v>40.32</v>
      </c>
      <c r="K26" s="48">
        <f t="shared" si="1"/>
        <v>50.170400000000001</v>
      </c>
      <c r="L26" s="48">
        <f t="shared" si="2"/>
        <v>0.2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126</v>
      </c>
      <c r="J27" s="77">
        <f t="shared" si="0"/>
        <v>362.88</v>
      </c>
      <c r="K27" s="48">
        <f t="shared" si="1"/>
        <v>451.53360000000004</v>
      </c>
      <c r="L27" s="48">
        <f t="shared" si="2"/>
        <v>1.8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56</v>
      </c>
      <c r="J28" s="77">
        <f t="shared" si="0"/>
        <v>215.04</v>
      </c>
      <c r="K28" s="48">
        <f t="shared" si="1"/>
        <v>249.13280000000003</v>
      </c>
      <c r="L28" s="48">
        <f t="shared" si="2"/>
        <v>0.8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0</v>
      </c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84</v>
      </c>
      <c r="J31" s="77">
        <f t="shared" si="0"/>
        <v>588</v>
      </c>
      <c r="K31" s="48">
        <f t="shared" si="1"/>
        <v>613.19999999999993</v>
      </c>
      <c r="L31" s="48">
        <f t="shared" si="2"/>
        <v>1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48</v>
      </c>
      <c r="J32" s="77">
        <f t="shared" si="0"/>
        <v>307.20000000000005</v>
      </c>
      <c r="K32" s="48">
        <f t="shared" si="1"/>
        <v>322.54079999999999</v>
      </c>
      <c r="L32" s="48">
        <f t="shared" si="2"/>
        <v>0.5714285714285714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168</v>
      </c>
      <c r="J33" s="77">
        <f t="shared" si="0"/>
        <v>1176</v>
      </c>
      <c r="K33" s="48">
        <f t="shared" si="1"/>
        <v>1226.3999999999999</v>
      </c>
      <c r="L33" s="48">
        <f t="shared" si="2"/>
        <v>2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238</v>
      </c>
      <c r="J34" s="77">
        <f t="shared" si="0"/>
        <v>714</v>
      </c>
      <c r="K34" s="48">
        <f t="shared" si="1"/>
        <v>881.45679999999993</v>
      </c>
      <c r="L34" s="48">
        <f t="shared" si="2"/>
        <v>3.4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182</v>
      </c>
      <c r="J35" s="77">
        <f t="shared" si="0"/>
        <v>546</v>
      </c>
      <c r="K35" s="48">
        <f t="shared" si="1"/>
        <v>674.05520000000001</v>
      </c>
      <c r="L35" s="48">
        <f t="shared" si="2"/>
        <v>2.6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42</v>
      </c>
      <c r="J37" s="77">
        <f t="shared" si="0"/>
        <v>126</v>
      </c>
      <c r="K37" s="48">
        <f t="shared" si="1"/>
        <v>155.55119999999999</v>
      </c>
      <c r="L37" s="48">
        <f t="shared" si="2"/>
        <v>0.6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56</v>
      </c>
      <c r="J38" s="77">
        <f t="shared" ref="J38:J58" si="3">I38*$D38</f>
        <v>134.4</v>
      </c>
      <c r="K38" s="48">
        <f t="shared" ref="K38:K58" si="4">I38*$E38</f>
        <v>150.08000000000001</v>
      </c>
      <c r="L38" s="48">
        <f t="shared" ref="L38:L58" si="5">I38/$F38</f>
        <v>0.8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42</v>
      </c>
      <c r="J39" s="77">
        <f t="shared" si="3"/>
        <v>100.8</v>
      </c>
      <c r="K39" s="48">
        <f t="shared" si="4"/>
        <v>112.56</v>
      </c>
      <c r="L39" s="48">
        <f t="shared" si="5"/>
        <v>0.6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28</v>
      </c>
      <c r="J40" s="77">
        <f t="shared" si="3"/>
        <v>84</v>
      </c>
      <c r="K40" s="48">
        <f t="shared" si="4"/>
        <v>103.70079999999999</v>
      </c>
      <c r="L40" s="48">
        <f t="shared" si="5"/>
        <v>0.4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42</v>
      </c>
      <c r="J43" s="77">
        <f t="shared" si="3"/>
        <v>70.56</v>
      </c>
      <c r="K43" s="48">
        <f t="shared" si="4"/>
        <v>88.275599999999997</v>
      </c>
      <c r="L43" s="48">
        <f t="shared" si="5"/>
        <v>0.3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70</v>
      </c>
      <c r="J44" s="77">
        <f t="shared" si="3"/>
        <v>210</v>
      </c>
      <c r="K44" s="48">
        <f t="shared" si="4"/>
        <v>237.16</v>
      </c>
      <c r="L44" s="48">
        <f t="shared" si="5"/>
        <v>1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84</v>
      </c>
      <c r="J45" s="77">
        <f t="shared" si="3"/>
        <v>252</v>
      </c>
      <c r="K45" s="48">
        <f t="shared" si="4"/>
        <v>284.59199999999998</v>
      </c>
      <c r="L45" s="48">
        <f t="shared" si="5"/>
        <v>1.2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132</v>
      </c>
      <c r="J51" s="77">
        <f t="shared" si="3"/>
        <v>792</v>
      </c>
      <c r="K51" s="48">
        <f t="shared" si="4"/>
        <v>826.31999999999994</v>
      </c>
      <c r="L51" s="48">
        <f t="shared" si="5"/>
        <v>1.5714285714285714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2652</v>
      </c>
      <c r="J59" s="30">
        <f>SUM(J8:J58)</f>
        <v>10232.039999999997</v>
      </c>
      <c r="K59" s="30">
        <f>SUM(K8:K58)</f>
        <v>11468.954</v>
      </c>
      <c r="L59" s="49">
        <f>SUM(L8:L58)</f>
        <v>31.688095238095247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12102.715904761904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</cp:lastModifiedBy>
  <cp:lastPrinted>2024-07-25T10:24:37Z</cp:lastPrinted>
  <dcterms:created xsi:type="dcterms:W3CDTF">2022-04-04T13:38:25Z</dcterms:created>
  <dcterms:modified xsi:type="dcterms:W3CDTF">2025-11-28T11:54:24Z</dcterms:modified>
</cp:coreProperties>
</file>