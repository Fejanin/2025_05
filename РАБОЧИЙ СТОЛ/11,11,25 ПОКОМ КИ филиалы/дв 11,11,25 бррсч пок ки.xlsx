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1,25 ПОКОМ КИ филиалы\"/>
    </mc:Choice>
  </mc:AlternateContent>
  <xr:revisionPtr revIDLastSave="0" documentId="13_ncr:1_{63803F7A-CE5B-4AA1-AADB-3B06E58C5F6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Sheet!$A$3:$AF$96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88" i="1" l="1"/>
  <c r="AF56" i="1"/>
  <c r="AF52" i="1"/>
  <c r="AF47" i="1"/>
  <c r="Q7" i="1"/>
  <c r="R7" i="1" s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U25" i="1" s="1"/>
  <c r="Q26" i="1"/>
  <c r="R26" i="1" s="1"/>
  <c r="AF26" i="1" s="1"/>
  <c r="Q27" i="1"/>
  <c r="Q28" i="1"/>
  <c r="U28" i="1" s="1"/>
  <c r="Q29" i="1"/>
  <c r="Q30" i="1"/>
  <c r="Q31" i="1"/>
  <c r="Q32" i="1"/>
  <c r="Q33" i="1"/>
  <c r="Q34" i="1"/>
  <c r="R34" i="1" s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U47" i="1" s="1"/>
  <c r="Q48" i="1"/>
  <c r="R48" i="1" s="1"/>
  <c r="Q49" i="1"/>
  <c r="Q50" i="1"/>
  <c r="Q51" i="1"/>
  <c r="U51" i="1" s="1"/>
  <c r="Q52" i="1"/>
  <c r="Q53" i="1"/>
  <c r="R53" i="1" s="1"/>
  <c r="Q54" i="1"/>
  <c r="R54" i="1" s="1"/>
  <c r="AF54" i="1" s="1"/>
  <c r="Q55" i="1"/>
  <c r="Q56" i="1"/>
  <c r="Q57" i="1"/>
  <c r="Q58" i="1"/>
  <c r="R58" i="1" s="1"/>
  <c r="AF58" i="1" s="1"/>
  <c r="Q59" i="1"/>
  <c r="Q60" i="1"/>
  <c r="R60" i="1" s="1"/>
  <c r="AF60" i="1" s="1"/>
  <c r="Q61" i="1"/>
  <c r="Q62" i="1"/>
  <c r="U62" i="1" s="1"/>
  <c r="Q63" i="1"/>
  <c r="Q64" i="1"/>
  <c r="Q65" i="1"/>
  <c r="U65" i="1" s="1"/>
  <c r="Q66" i="1"/>
  <c r="Q67" i="1"/>
  <c r="U67" i="1" s="1"/>
  <c r="Q68" i="1"/>
  <c r="Q69" i="1"/>
  <c r="U69" i="1" s="1"/>
  <c r="Q70" i="1"/>
  <c r="U70" i="1" s="1"/>
  <c r="Q71" i="1"/>
  <c r="Q72" i="1"/>
  <c r="Q73" i="1"/>
  <c r="Q74" i="1"/>
  <c r="Q75" i="1"/>
  <c r="U75" i="1" s="1"/>
  <c r="Q76" i="1"/>
  <c r="U76" i="1" s="1"/>
  <c r="Q77" i="1"/>
  <c r="Q78" i="1"/>
  <c r="Q79" i="1"/>
  <c r="Q80" i="1"/>
  <c r="Q81" i="1"/>
  <c r="Q82" i="1"/>
  <c r="Q83" i="1"/>
  <c r="Q84" i="1"/>
  <c r="U84" i="1" s="1"/>
  <c r="Q85" i="1"/>
  <c r="Q86" i="1"/>
  <c r="Q87" i="1"/>
  <c r="Q88" i="1"/>
  <c r="Q89" i="1"/>
  <c r="Q90" i="1"/>
  <c r="Q91" i="1"/>
  <c r="R91" i="1" s="1"/>
  <c r="Q92" i="1"/>
  <c r="U92" i="1" s="1"/>
  <c r="Q93" i="1"/>
  <c r="Q94" i="1"/>
  <c r="Q95" i="1"/>
  <c r="Q96" i="1"/>
  <c r="Q6" i="1"/>
  <c r="L96" i="1"/>
  <c r="L95" i="1"/>
  <c r="L94" i="1"/>
  <c r="L93" i="1"/>
  <c r="L92" i="1"/>
  <c r="L91" i="1"/>
  <c r="AF90" i="1"/>
  <c r="L90" i="1"/>
  <c r="L89" i="1"/>
  <c r="L88" i="1"/>
  <c r="L87" i="1"/>
  <c r="AF86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AF66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AF6" i="1"/>
  <c r="L6" i="1"/>
  <c r="AD5" i="1"/>
  <c r="AC5" i="1"/>
  <c r="AB5" i="1"/>
  <c r="AA5" i="1"/>
  <c r="Z5" i="1"/>
  <c r="Y5" i="1"/>
  <c r="X5" i="1"/>
  <c r="W5" i="1"/>
  <c r="S5" i="1"/>
  <c r="P5" i="1"/>
  <c r="O5" i="1"/>
  <c r="N5" i="1"/>
  <c r="M5" i="1"/>
  <c r="K5" i="1"/>
  <c r="F5" i="1"/>
  <c r="E5" i="1"/>
  <c r="AF91" i="1" l="1"/>
  <c r="AF89" i="1"/>
  <c r="AF87" i="1"/>
  <c r="R85" i="1"/>
  <c r="AF85" i="1" s="1"/>
  <c r="R61" i="1"/>
  <c r="AF61" i="1" s="1"/>
  <c r="R59" i="1"/>
  <c r="AF59" i="1" s="1"/>
  <c r="R57" i="1"/>
  <c r="AF57" i="1" s="1"/>
  <c r="U55" i="1"/>
  <c r="AF55" i="1"/>
  <c r="AF53" i="1"/>
  <c r="U49" i="1"/>
  <c r="U39" i="1"/>
  <c r="R27" i="1"/>
  <c r="AF27" i="1" s="1"/>
  <c r="U23" i="1"/>
  <c r="AF9" i="1"/>
  <c r="AF13" i="1"/>
  <c r="R17" i="1"/>
  <c r="AF17" i="1" s="1"/>
  <c r="R21" i="1"/>
  <c r="AF21" i="1" s="1"/>
  <c r="R31" i="1"/>
  <c r="AF31" i="1" s="1"/>
  <c r="R35" i="1"/>
  <c r="AF35" i="1" s="1"/>
  <c r="AF39" i="1"/>
  <c r="R43" i="1"/>
  <c r="AF43" i="1" s="1"/>
  <c r="R73" i="1"/>
  <c r="AF73" i="1" s="1"/>
  <c r="R79" i="1"/>
  <c r="AF79" i="1" s="1"/>
  <c r="R83" i="1"/>
  <c r="AF83" i="1" s="1"/>
  <c r="R93" i="1"/>
  <c r="AF93" i="1" s="1"/>
  <c r="AF7" i="1"/>
  <c r="AF11" i="1"/>
  <c r="R15" i="1"/>
  <c r="AF15" i="1" s="1"/>
  <c r="AF19" i="1"/>
  <c r="AF23" i="1"/>
  <c r="AF29" i="1"/>
  <c r="R33" i="1"/>
  <c r="AF33" i="1" s="1"/>
  <c r="AF37" i="1"/>
  <c r="AF41" i="1"/>
  <c r="R45" i="1"/>
  <c r="AF45" i="1" s="1"/>
  <c r="AF49" i="1"/>
  <c r="AF63" i="1"/>
  <c r="R71" i="1"/>
  <c r="AF71" i="1" s="1"/>
  <c r="AF77" i="1"/>
  <c r="R81" i="1"/>
  <c r="AF81" i="1" s="1"/>
  <c r="AF95" i="1"/>
  <c r="U94" i="1"/>
  <c r="U38" i="1"/>
  <c r="U30" i="1"/>
  <c r="R8" i="1"/>
  <c r="AF8" i="1" s="1"/>
  <c r="R10" i="1"/>
  <c r="AF10" i="1" s="1"/>
  <c r="R12" i="1"/>
  <c r="AF12" i="1" s="1"/>
  <c r="R14" i="1"/>
  <c r="AF14" i="1" s="1"/>
  <c r="AF16" i="1"/>
  <c r="R18" i="1"/>
  <c r="AF18" i="1" s="1"/>
  <c r="R20" i="1"/>
  <c r="AF20" i="1" s="1"/>
  <c r="R22" i="1"/>
  <c r="AF22" i="1" s="1"/>
  <c r="AF24" i="1"/>
  <c r="AF30" i="1"/>
  <c r="AF32" i="1"/>
  <c r="AF34" i="1"/>
  <c r="R36" i="1"/>
  <c r="AF36" i="1" s="1"/>
  <c r="AF38" i="1"/>
  <c r="AF40" i="1"/>
  <c r="R42" i="1"/>
  <c r="AF42" i="1" s="1"/>
  <c r="R44" i="1"/>
  <c r="AF44" i="1" s="1"/>
  <c r="R46" i="1"/>
  <c r="AF46" i="1" s="1"/>
  <c r="AF48" i="1"/>
  <c r="R50" i="1"/>
  <c r="AF50" i="1" s="1"/>
  <c r="R64" i="1"/>
  <c r="AF64" i="1" s="1"/>
  <c r="R68" i="1"/>
  <c r="AF68" i="1" s="1"/>
  <c r="R72" i="1"/>
  <c r="AF72" i="1" s="1"/>
  <c r="R74" i="1"/>
  <c r="AF74" i="1" s="1"/>
  <c r="AF78" i="1"/>
  <c r="R80" i="1"/>
  <c r="AF80" i="1" s="1"/>
  <c r="R82" i="1"/>
  <c r="AF82" i="1" s="1"/>
  <c r="AF94" i="1"/>
  <c r="AF96" i="1"/>
  <c r="U90" i="1"/>
  <c r="U88" i="1"/>
  <c r="U86" i="1"/>
  <c r="U66" i="1"/>
  <c r="U60" i="1"/>
  <c r="U58" i="1"/>
  <c r="U56" i="1"/>
  <c r="U54" i="1"/>
  <c r="U52" i="1"/>
  <c r="U26" i="1"/>
  <c r="V92" i="1"/>
  <c r="V84" i="1"/>
  <c r="V76" i="1"/>
  <c r="V68" i="1"/>
  <c r="V60" i="1"/>
  <c r="V52" i="1"/>
  <c r="V45" i="1"/>
  <c r="V37" i="1"/>
  <c r="V29" i="1"/>
  <c r="V21" i="1"/>
  <c r="V13" i="1"/>
  <c r="L5" i="1"/>
  <c r="Q5" i="1"/>
  <c r="V96" i="1"/>
  <c r="V88" i="1"/>
  <c r="V80" i="1"/>
  <c r="V72" i="1"/>
  <c r="V64" i="1"/>
  <c r="V56" i="1"/>
  <c r="V48" i="1"/>
  <c r="V41" i="1"/>
  <c r="V33" i="1"/>
  <c r="V25" i="1"/>
  <c r="V17" i="1"/>
  <c r="V9" i="1"/>
  <c r="V94" i="1"/>
  <c r="V90" i="1"/>
  <c r="V86" i="1"/>
  <c r="V82" i="1"/>
  <c r="V78" i="1"/>
  <c r="V74" i="1"/>
  <c r="V70" i="1"/>
  <c r="V66" i="1"/>
  <c r="V62" i="1"/>
  <c r="V58" i="1"/>
  <c r="V54" i="1"/>
  <c r="V50" i="1"/>
  <c r="V47" i="1"/>
  <c r="V43" i="1"/>
  <c r="V39" i="1"/>
  <c r="V35" i="1"/>
  <c r="V31" i="1"/>
  <c r="V27" i="1"/>
  <c r="V23" i="1"/>
  <c r="V19" i="1"/>
  <c r="V15" i="1"/>
  <c r="V11" i="1"/>
  <c r="V7" i="1"/>
  <c r="U6" i="1"/>
  <c r="V95" i="1"/>
  <c r="V93" i="1"/>
  <c r="V91" i="1"/>
  <c r="V6" i="1"/>
  <c r="V89" i="1"/>
  <c r="V87" i="1"/>
  <c r="V85" i="1"/>
  <c r="V83" i="1"/>
  <c r="V81" i="1"/>
  <c r="V79" i="1"/>
  <c r="V77" i="1"/>
  <c r="V75" i="1"/>
  <c r="V73" i="1"/>
  <c r="V71" i="1"/>
  <c r="V69" i="1"/>
  <c r="V67" i="1"/>
  <c r="V65" i="1"/>
  <c r="V63" i="1"/>
  <c r="V61" i="1"/>
  <c r="V59" i="1"/>
  <c r="V57" i="1"/>
  <c r="V55" i="1"/>
  <c r="V53" i="1"/>
  <c r="V51" i="1"/>
  <c r="V49" i="1"/>
  <c r="V46" i="1"/>
  <c r="V44" i="1"/>
  <c r="V42" i="1"/>
  <c r="V40" i="1"/>
  <c r="V38" i="1"/>
  <c r="V36" i="1"/>
  <c r="V34" i="1"/>
  <c r="V32" i="1"/>
  <c r="V30" i="1"/>
  <c r="V28" i="1"/>
  <c r="V26" i="1"/>
  <c r="V24" i="1"/>
  <c r="V22" i="1"/>
  <c r="V20" i="1"/>
  <c r="V18" i="1"/>
  <c r="V16" i="1"/>
  <c r="V14" i="1"/>
  <c r="V12" i="1"/>
  <c r="V10" i="1"/>
  <c r="V8" i="1"/>
  <c r="U53" i="1" l="1"/>
  <c r="U57" i="1"/>
  <c r="U59" i="1"/>
  <c r="U61" i="1"/>
  <c r="U14" i="1"/>
  <c r="U50" i="1"/>
  <c r="U22" i="1"/>
  <c r="U34" i="1"/>
  <c r="U42" i="1"/>
  <c r="U74" i="1"/>
  <c r="AF5" i="1"/>
  <c r="U15" i="1"/>
  <c r="U31" i="1"/>
  <c r="U81" i="1"/>
  <c r="U10" i="1"/>
  <c r="U18" i="1"/>
  <c r="U46" i="1"/>
  <c r="U68" i="1"/>
  <c r="U80" i="1"/>
  <c r="U7" i="1"/>
  <c r="U27" i="1"/>
  <c r="U71" i="1"/>
  <c r="U11" i="1"/>
  <c r="U19" i="1"/>
  <c r="U35" i="1"/>
  <c r="U43" i="1"/>
  <c r="U77" i="1"/>
  <c r="U93" i="1"/>
  <c r="R5" i="1"/>
  <c r="U8" i="1"/>
  <c r="U12" i="1"/>
  <c r="U16" i="1"/>
  <c r="U20" i="1"/>
  <c r="U24" i="1"/>
  <c r="U32" i="1"/>
  <c r="U36" i="1"/>
  <c r="U40" i="1"/>
  <c r="U44" i="1"/>
  <c r="U48" i="1"/>
  <c r="U64" i="1"/>
  <c r="U72" i="1"/>
  <c r="U78" i="1"/>
  <c r="U82" i="1"/>
  <c r="U96" i="1"/>
  <c r="U9" i="1"/>
  <c r="U13" i="1"/>
  <c r="U17" i="1"/>
  <c r="U21" i="1"/>
  <c r="U29" i="1"/>
  <c r="U33" i="1"/>
  <c r="U37" i="1"/>
  <c r="U41" i="1"/>
  <c r="U45" i="1"/>
  <c r="U63" i="1"/>
  <c r="U73" i="1"/>
  <c r="U79" i="1"/>
  <c r="U83" i="1"/>
  <c r="U85" i="1"/>
  <c r="U87" i="1"/>
  <c r="U89" i="1"/>
  <c r="U91" i="1"/>
  <c r="U95" i="1"/>
</calcChain>
</file>

<file path=xl/sharedStrings.xml><?xml version="1.0" encoding="utf-8"?>
<sst xmlns="http://schemas.openxmlformats.org/spreadsheetml/2006/main" count="366" uniqueCount="156">
  <si>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</si>
  <si>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</si>
  <si>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</si>
  <si>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</si>
  <si>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</si>
  <si>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</si>
  <si>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</si>
  <si>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</si>
  <si>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</si>
  <si>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</si>
  <si>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</si>
  <si>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</si>
  <si>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</si>
  <si>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</si>
  <si>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</si>
  <si>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</si>
  <si>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</si>
  <si>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</si>
  <si>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</si>
  <si>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</si>
  <si>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</si>
  <si>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</si>
  <si>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</si>
  <si>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</si>
  <si>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08,11,</t>
  </si>
  <si>
    <t>10,11,</t>
  </si>
  <si>
    <t>11,11,</t>
  </si>
  <si>
    <t>06,11,</t>
  </si>
  <si>
    <t>04,11,</t>
  </si>
  <si>
    <t>30,10,</t>
  </si>
  <si>
    <t>28,10,</t>
  </si>
  <si>
    <t>23,10,</t>
  </si>
  <si>
    <t>21,10,</t>
  </si>
  <si>
    <t>16,10,</t>
  </si>
  <si>
    <t>14,10,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</si>
  <si>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</si>
  <si>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</si>
  <si>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</si>
  <si>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</si>
  <si>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</si>
  <si>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</si>
  <si>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</si>
  <si>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</si>
  <si>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</si>
  <si>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</si>
  <si>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нужно увеличить продажи</t>
  </si>
  <si>
    <t xml:space="preserve"> 062  Колбаса Кракушка пряная с сальцем, 0.3кг в/у п/к, БАВАРУШКА ПОКОМ</t>
  </si>
  <si>
    <t>нужно увеличить продажи!!!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</si>
  <si>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</si>
  <si>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</si>
  <si>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октябрь_ноябрь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</si>
  <si>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</si>
  <si>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</si>
  <si>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</si>
  <si>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ТМА октябрь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</si>
  <si>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</si>
  <si>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</si>
  <si>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>новинка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</si>
  <si>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</si>
  <si>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</si>
  <si>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</si>
  <si>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</si>
  <si>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</si>
  <si>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</si>
  <si>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>нет потребности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</si>
  <si>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</si>
  <si>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</si>
  <si>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</si>
  <si>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</si>
  <si>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</si>
  <si>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</si>
  <si>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</si>
  <si>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</si>
  <si>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Мера / ТМА ноябрь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</si>
  <si>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</si>
  <si>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</si>
  <si>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</si>
  <si>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</si>
  <si>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</si>
  <si>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</si>
  <si>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</si>
  <si>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</si>
  <si>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</si>
  <si>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</si>
  <si>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</si>
  <si>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</si>
  <si>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</si>
  <si>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</si>
  <si>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</si>
  <si>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ВНИМАНИЕ!!! / матрица</t>
  </si>
  <si>
    <t>ОП договор со школами (заказ ~раз в мес.)</t>
  </si>
  <si>
    <t>не в матрице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</si>
  <si>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</si>
  <si>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</si>
  <si>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>11,12,24 в уценку 10 шт. / 26,11,24 в уценку 178 шт.</t>
  </si>
  <si>
    <t xml:space="preserve"> 329  Сардельки Сочинки с сыром Стародворье ТМ, 0,4 кг. ПОКОМ</t>
  </si>
  <si>
    <t>ТМА ноябрь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</si>
  <si>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</si>
  <si>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</si>
  <si>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</si>
  <si>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</si>
  <si>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</si>
  <si>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</si>
  <si>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</si>
  <si>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</si>
  <si>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</si>
  <si>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</si>
  <si>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</si>
  <si>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</si>
  <si>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</si>
  <si>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>с 29,10,25 заказываем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</si>
  <si>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</si>
  <si>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</si>
  <si>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</si>
  <si>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</si>
  <si>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</si>
  <si>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</si>
  <si>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</si>
  <si>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нет потребности / 02,04,25 в уценку 51кг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</si>
  <si>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</si>
  <si>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</si>
  <si>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</si>
  <si>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</si>
  <si>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463  Колбаса Молочная Традиционнаяв оболочке полиамид.ТМ Стародворье. ВЕС ПОКОМ</t>
  </si>
  <si>
    <t>20,03,25 в уценку 11кг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</si>
  <si>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</si>
  <si>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</si>
  <si>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</si>
  <si>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>нужно увеличить продажи / новинка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</si>
  <si>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</si>
  <si>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</si>
  <si>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</si>
  <si>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</si>
  <si>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>новинка / с 03,10,25 снова в бланке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</si>
  <si>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</si>
  <si>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</si>
  <si>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</si>
  <si>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255  Сосиски Молочные для завтрака ТМ Особый рецепт, п/а МГС, ВЕС, ТМ Стародворье  ПОКОМ</t>
  </si>
  <si>
    <t>281  Сосиски «Молочные для завтрака» Фикс.вес 0,4 П/а мгс ТМ «Особый рецепт»</t>
  </si>
  <si>
    <t>НАЗВАНИЕ может быть другим в 1С</t>
  </si>
  <si>
    <t>340 Сосиски «Сочинки Молочные» Весовой п/а мгс ТМ «Стародворье»</t>
  </si>
  <si>
    <t>341 Сосиски «Сочинки Сливочные» Весовые ТМ «Стародворье»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</si>
  <si>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</si>
  <si>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</si>
  <si>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</si>
  <si>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</si>
  <si>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</si>
  <si>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09,01,25 списание 27кг (плесень)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</si>
  <si>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</si>
  <si>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</si>
  <si>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</si>
  <si>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522  Колбаса Гвардейская с/к ТМ Стародворье 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</si>
  <si>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12,09,25 списание 14шт. (недостача)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</si>
  <si>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новинка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</si>
  <si>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20,03,25 в уценку 19кг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</si>
  <si>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Мера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</si>
</sst>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5" fillId="8" borderId="1" xfId="1" applyNumberFormat="1" applyFont="1" applyFill="1"/>
    <xf numFmtId="164" fontId="1" fillId="9" borderId="1" xfId="1" applyNumberFormat="1" applyFill="1"/>
    <xf numFmtId="2" fontId="1" fillId="9" borderId="1" xfId="1" applyNumberFormat="1" applyFill="1"/>
    <xf numFmtId="164" fontId="1" fillId="9" borderId="2" xfId="1" applyNumberFormat="1" applyFill="1" applyBorder="1"/>
    <xf numFmtId="164" fontId="1" fillId="6" borderId="2" xfId="1" applyNumberFormat="1" applyFill="1" applyBorder="1"/>
    <xf numFmtId="164" fontId="1" fillId="0" borderId="1" xfId="1" applyNumberFormat="1" applyFill="1"/>
    <xf numFmtId="164" fontId="1" fillId="8" borderId="1" xfId="1" applyNumberFormat="1" applyFill="1"/>
    <xf numFmtId="164" fontId="6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9" width="7" customWidth="1"/>
    <col min="20" max="20" width="21" customWidth="1"/>
    <col min="21" max="22" width="5" customWidth="1"/>
    <col min="23" max="30" width="6" customWidth="1"/>
    <col min="31" max="31" width="49.85546875" customWidth="1"/>
    <col min="32" max="32" width="7" customWidth="1"/>
    <col min="33" max="50" width="3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7" t="s">
        <v>17</v>
      </c>
      <c r="T3" s="7" t="s">
        <v>18</v>
      </c>
      <c r="U3" s="2" t="s">
        <v>19</v>
      </c>
      <c r="V3" s="2" t="s">
        <v>20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22</v>
      </c>
      <c r="AF3" s="2" t="s">
        <v>23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/>
      <c r="V4" s="1"/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SUM(E6:E499)</f>
        <v>10443.925999999999</v>
      </c>
      <c r="F5" s="4">
        <f>SUM(F6:F499)</f>
        <v>9488.2719999999972</v>
      </c>
      <c r="G5" s="8"/>
      <c r="H5" s="1"/>
      <c r="I5" s="1"/>
      <c r="J5" s="1"/>
      <c r="K5" s="4">
        <f>SUM(K6:K499)</f>
        <v>10636.54</v>
      </c>
      <c r="L5" s="4">
        <f>SUM(L6:L499)</f>
        <v>-192.61400000000006</v>
      </c>
      <c r="M5" s="4">
        <f>SUM(M6:M499)</f>
        <v>0</v>
      </c>
      <c r="N5" s="4">
        <f>SUM(N6:N499)</f>
        <v>0</v>
      </c>
      <c r="O5" s="4">
        <f>SUM(O6:O499)</f>
        <v>4816.2363599999999</v>
      </c>
      <c r="P5" s="4">
        <f>SUM(P6:P499)</f>
        <v>3292.7749400000012</v>
      </c>
      <c r="Q5" s="4">
        <f>SUM(Q6:Q499)</f>
        <v>2088.7852000000007</v>
      </c>
      <c r="R5" s="4">
        <f>SUM(R6:R499)</f>
        <v>6516.2534999999962</v>
      </c>
      <c r="S5" s="4">
        <f>SUM(S6:S499)</f>
        <v>0</v>
      </c>
      <c r="T5" s="1"/>
      <c r="U5" s="1"/>
      <c r="V5" s="1"/>
      <c r="W5" s="4">
        <f>SUM(W6:W499)</f>
        <v>1927.2731999999994</v>
      </c>
      <c r="X5" s="4">
        <f>SUM(X6:X499)</f>
        <v>1931.2177999999999</v>
      </c>
      <c r="Y5" s="4">
        <f>SUM(Y6:Y499)</f>
        <v>2321.7342000000003</v>
      </c>
      <c r="Z5" s="4">
        <f>SUM(Z6:Z499)</f>
        <v>2193.2891999999993</v>
      </c>
      <c r="AA5" s="4">
        <f>SUM(AA6:AA499)</f>
        <v>2061.5051999999996</v>
      </c>
      <c r="AB5" s="4">
        <f>SUM(AB6:AB499)</f>
        <v>2114.7403999999997</v>
      </c>
      <c r="AC5" s="4">
        <f>SUM(AC6:AC499)</f>
        <v>1903.0482000000002</v>
      </c>
      <c r="AD5" s="4">
        <f>SUM(AD6:AD499)</f>
        <v>1964.2582000000002</v>
      </c>
      <c r="AE5" s="1"/>
      <c r="AF5" s="4">
        <f>SUM(AF6:AF499)</f>
        <v>5003.9034999999976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35</v>
      </c>
      <c r="B6" s="1" t="s">
        <v>36</v>
      </c>
      <c r="C6" s="1">
        <v>66.671999999999997</v>
      </c>
      <c r="D6" s="1">
        <v>241.39400000000001</v>
      </c>
      <c r="E6" s="1">
        <v>88.257999999999996</v>
      </c>
      <c r="F6" s="1">
        <v>201.36699999999999</v>
      </c>
      <c r="G6" s="8">
        <v>1</v>
      </c>
      <c r="H6" s="1">
        <v>50</v>
      </c>
      <c r="I6" s="1" t="s">
        <v>37</v>
      </c>
      <c r="J6" s="1"/>
      <c r="K6" s="1">
        <v>85.5</v>
      </c>
      <c r="L6" s="1">
        <f t="shared" ref="L6:L37" si="0">E6-K6</f>
        <v>2.7579999999999956</v>
      </c>
      <c r="M6" s="1"/>
      <c r="N6" s="1"/>
      <c r="O6" s="1">
        <v>0</v>
      </c>
      <c r="P6" s="1">
        <v>0</v>
      </c>
      <c r="Q6" s="1">
        <f>E6/5</f>
        <v>17.651599999999998</v>
      </c>
      <c r="R6" s="5"/>
      <c r="S6" s="5"/>
      <c r="T6" s="1"/>
      <c r="U6" s="1">
        <f>(F6+O6+P6+R6)/Q6</f>
        <v>11.407861043758073</v>
      </c>
      <c r="V6" s="1">
        <f>(F6+O6+P6)/Q6</f>
        <v>11.407861043758073</v>
      </c>
      <c r="W6" s="1">
        <v>19.516400000000001</v>
      </c>
      <c r="X6" s="1">
        <v>14.5044</v>
      </c>
      <c r="Y6" s="1">
        <v>22.097799999999999</v>
      </c>
      <c r="Z6" s="1">
        <v>26.941400000000002</v>
      </c>
      <c r="AA6" s="1">
        <v>20.011399999999998</v>
      </c>
      <c r="AB6" s="1">
        <v>17.285</v>
      </c>
      <c r="AC6" s="1">
        <v>9.7355999999999998</v>
      </c>
      <c r="AD6" s="1">
        <v>15.4092</v>
      </c>
      <c r="AE6" s="1"/>
      <c r="AF6" s="1">
        <f>G6*R6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38</v>
      </c>
      <c r="B7" s="1" t="s">
        <v>36</v>
      </c>
      <c r="C7" s="1">
        <v>59.031999999999996</v>
      </c>
      <c r="D7" s="1">
        <v>89.825999999999993</v>
      </c>
      <c r="E7" s="1">
        <v>90.99</v>
      </c>
      <c r="F7" s="1">
        <v>57.868000000000002</v>
      </c>
      <c r="G7" s="8">
        <v>1</v>
      </c>
      <c r="H7" s="1">
        <v>45</v>
      </c>
      <c r="I7" s="1" t="s">
        <v>37</v>
      </c>
      <c r="J7" s="1"/>
      <c r="K7" s="1">
        <v>87.15</v>
      </c>
      <c r="L7" s="1">
        <f t="shared" si="0"/>
        <v>3.8399999999999892</v>
      </c>
      <c r="M7" s="1"/>
      <c r="N7" s="1"/>
      <c r="O7" s="1">
        <v>14.375999999999999</v>
      </c>
      <c r="P7" s="1">
        <v>8.8100000000000023</v>
      </c>
      <c r="Q7" s="1">
        <f t="shared" ref="Q7:Q69" si="1">E7/5</f>
        <v>18.198</v>
      </c>
      <c r="R7" s="5">
        <f>10*Q7-P7-O7-F7</f>
        <v>100.92600000000002</v>
      </c>
      <c r="S7" s="5"/>
      <c r="T7" s="1"/>
      <c r="U7" s="1">
        <f t="shared" ref="U7:U69" si="2">(F7+O7+P7+R7)/Q7</f>
        <v>10</v>
      </c>
      <c r="V7" s="1">
        <f t="shared" ref="V7:V69" si="3">(F7+O7+P7)/Q7</f>
        <v>4.4540059347181007</v>
      </c>
      <c r="W7" s="1">
        <v>11.243600000000001</v>
      </c>
      <c r="X7" s="1">
        <v>14.307600000000001</v>
      </c>
      <c r="Y7" s="1">
        <v>13.9976</v>
      </c>
      <c r="Z7" s="1">
        <v>2.9958</v>
      </c>
      <c r="AA7" s="1">
        <v>12.664999999999999</v>
      </c>
      <c r="AB7" s="1">
        <v>15.3398</v>
      </c>
      <c r="AC7" s="1">
        <v>10.092599999999999</v>
      </c>
      <c r="AD7" s="1">
        <v>11.389200000000001</v>
      </c>
      <c r="AE7" s="1" t="s">
        <v>39</v>
      </c>
      <c r="AF7" s="1">
        <f>G7*R7</f>
        <v>100.92600000000002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40</v>
      </c>
      <c r="B8" s="1" t="s">
        <v>36</v>
      </c>
      <c r="C8" s="1">
        <v>10.878</v>
      </c>
      <c r="D8" s="1">
        <v>185.99799999999999</v>
      </c>
      <c r="E8" s="1">
        <v>52.238</v>
      </c>
      <c r="F8" s="1">
        <v>82.040999999999997</v>
      </c>
      <c r="G8" s="8">
        <v>1</v>
      </c>
      <c r="H8" s="1">
        <v>45</v>
      </c>
      <c r="I8" s="1" t="s">
        <v>37</v>
      </c>
      <c r="J8" s="1"/>
      <c r="K8" s="1">
        <v>46.95</v>
      </c>
      <c r="L8" s="1">
        <f t="shared" si="0"/>
        <v>5.2879999999999967</v>
      </c>
      <c r="M8" s="1"/>
      <c r="N8" s="1"/>
      <c r="O8" s="1">
        <v>0</v>
      </c>
      <c r="P8" s="1">
        <v>23.667000000000019</v>
      </c>
      <c r="Q8" s="1">
        <f t="shared" si="1"/>
        <v>10.4476</v>
      </c>
      <c r="R8" s="5">
        <f t="shared" ref="R7:R24" si="4">11*Q8-P8-O8-F8</f>
        <v>9.2155999999999807</v>
      </c>
      <c r="S8" s="5"/>
      <c r="T8" s="1"/>
      <c r="U8" s="1">
        <f t="shared" si="2"/>
        <v>11</v>
      </c>
      <c r="V8" s="1">
        <f t="shared" si="3"/>
        <v>10.117921819365215</v>
      </c>
      <c r="W8" s="1">
        <v>11.976800000000001</v>
      </c>
      <c r="X8" s="1">
        <v>9.2382000000000009</v>
      </c>
      <c r="Y8" s="1">
        <v>14.6676</v>
      </c>
      <c r="Z8" s="1">
        <v>14.117599999999999</v>
      </c>
      <c r="AA8" s="1">
        <v>8.4833999999999996</v>
      </c>
      <c r="AB8" s="1">
        <v>10.9948</v>
      </c>
      <c r="AC8" s="1">
        <v>5.8263999999999996</v>
      </c>
      <c r="AD8" s="1">
        <v>5.2451999999999996</v>
      </c>
      <c r="AE8" s="1"/>
      <c r="AF8" s="1">
        <f>G8*R8</f>
        <v>9.2155999999999807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41</v>
      </c>
      <c r="B9" s="1" t="s">
        <v>42</v>
      </c>
      <c r="C9" s="1">
        <v>32</v>
      </c>
      <c r="D9" s="1">
        <v>388</v>
      </c>
      <c r="E9" s="1">
        <v>74</v>
      </c>
      <c r="F9" s="1">
        <v>292</v>
      </c>
      <c r="G9" s="8">
        <v>0.45</v>
      </c>
      <c r="H9" s="1">
        <v>45</v>
      </c>
      <c r="I9" s="1" t="s">
        <v>37</v>
      </c>
      <c r="J9" s="1"/>
      <c r="K9" s="1">
        <v>124</v>
      </c>
      <c r="L9" s="1">
        <f t="shared" si="0"/>
        <v>-50</v>
      </c>
      <c r="M9" s="1"/>
      <c r="N9" s="1"/>
      <c r="O9" s="1">
        <v>0</v>
      </c>
      <c r="P9" s="1">
        <v>0</v>
      </c>
      <c r="Q9" s="1">
        <f t="shared" si="1"/>
        <v>14.8</v>
      </c>
      <c r="R9" s="5"/>
      <c r="S9" s="5"/>
      <c r="T9" s="1"/>
      <c r="U9" s="1">
        <f t="shared" si="2"/>
        <v>19.72972972972973</v>
      </c>
      <c r="V9" s="1">
        <f t="shared" si="3"/>
        <v>19.72972972972973</v>
      </c>
      <c r="W9" s="1">
        <v>18.2</v>
      </c>
      <c r="X9" s="1">
        <v>23.8</v>
      </c>
      <c r="Y9" s="1">
        <v>36</v>
      </c>
      <c r="Z9" s="1">
        <v>36.200000000000003</v>
      </c>
      <c r="AA9" s="1">
        <v>27.2</v>
      </c>
      <c r="AB9" s="1">
        <v>26.2</v>
      </c>
      <c r="AC9" s="1">
        <v>24</v>
      </c>
      <c r="AD9" s="1">
        <v>31</v>
      </c>
      <c r="AE9" s="1" t="s">
        <v>39</v>
      </c>
      <c r="AF9" s="1">
        <f>G9*R9</f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43</v>
      </c>
      <c r="B10" s="1" t="s">
        <v>42</v>
      </c>
      <c r="C10" s="1">
        <v>118</v>
      </c>
      <c r="D10" s="1">
        <v>741</v>
      </c>
      <c r="E10" s="1">
        <v>189</v>
      </c>
      <c r="F10" s="1">
        <v>353</v>
      </c>
      <c r="G10" s="8">
        <v>0.45</v>
      </c>
      <c r="H10" s="1">
        <v>45</v>
      </c>
      <c r="I10" s="1" t="s">
        <v>37</v>
      </c>
      <c r="J10" s="1"/>
      <c r="K10" s="1">
        <v>193</v>
      </c>
      <c r="L10" s="1">
        <f t="shared" si="0"/>
        <v>-4</v>
      </c>
      <c r="M10" s="1"/>
      <c r="N10" s="1"/>
      <c r="O10" s="1">
        <v>0</v>
      </c>
      <c r="P10" s="1">
        <v>0</v>
      </c>
      <c r="Q10" s="1">
        <f t="shared" si="1"/>
        <v>37.799999999999997</v>
      </c>
      <c r="R10" s="5">
        <f t="shared" si="4"/>
        <v>62.799999999999955</v>
      </c>
      <c r="S10" s="5"/>
      <c r="T10" s="1"/>
      <c r="U10" s="1">
        <f t="shared" si="2"/>
        <v>11</v>
      </c>
      <c r="V10" s="1">
        <f t="shared" si="3"/>
        <v>9.3386243386243386</v>
      </c>
      <c r="W10" s="1">
        <v>33.799999999999997</v>
      </c>
      <c r="X10" s="1">
        <v>17.8</v>
      </c>
      <c r="Y10" s="1">
        <v>42</v>
      </c>
      <c r="Z10" s="1">
        <v>46.6</v>
      </c>
      <c r="AA10" s="1">
        <v>34.4</v>
      </c>
      <c r="AB10" s="1">
        <v>28.4</v>
      </c>
      <c r="AC10" s="1">
        <v>27</v>
      </c>
      <c r="AD10" s="1">
        <v>37.6</v>
      </c>
      <c r="AE10" s="1"/>
      <c r="AF10" s="1">
        <f>G10*R10</f>
        <v>28.25999999999998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44</v>
      </c>
      <c r="B11" s="1" t="s">
        <v>42</v>
      </c>
      <c r="C11" s="1">
        <v>67</v>
      </c>
      <c r="D11" s="1">
        <v>15</v>
      </c>
      <c r="E11" s="1">
        <v>13</v>
      </c>
      <c r="F11" s="1">
        <v>69</v>
      </c>
      <c r="G11" s="8">
        <v>0.17</v>
      </c>
      <c r="H11" s="1">
        <v>180</v>
      </c>
      <c r="I11" s="1" t="s">
        <v>37</v>
      </c>
      <c r="J11" s="1"/>
      <c r="K11" s="1">
        <v>13</v>
      </c>
      <c r="L11" s="1">
        <f t="shared" si="0"/>
        <v>0</v>
      </c>
      <c r="M11" s="1"/>
      <c r="N11" s="1"/>
      <c r="O11" s="1">
        <v>0</v>
      </c>
      <c r="P11" s="1">
        <v>0</v>
      </c>
      <c r="Q11" s="1">
        <f t="shared" si="1"/>
        <v>2.6</v>
      </c>
      <c r="R11" s="5"/>
      <c r="S11" s="5"/>
      <c r="T11" s="1"/>
      <c r="U11" s="1">
        <f t="shared" si="2"/>
        <v>26.538461538461537</v>
      </c>
      <c r="V11" s="1">
        <f t="shared" si="3"/>
        <v>26.538461538461537</v>
      </c>
      <c r="W11" s="1">
        <v>2.6</v>
      </c>
      <c r="X11" s="1">
        <v>1.8</v>
      </c>
      <c r="Y11" s="1">
        <v>2.6</v>
      </c>
      <c r="Z11" s="1">
        <v>7.6</v>
      </c>
      <c r="AA11" s="1">
        <v>7.6</v>
      </c>
      <c r="AB11" s="1">
        <v>4.2</v>
      </c>
      <c r="AC11" s="1">
        <v>3.6</v>
      </c>
      <c r="AD11" s="1">
        <v>4.2</v>
      </c>
      <c r="AE11" s="21" t="s">
        <v>45</v>
      </c>
      <c r="AF11" s="1">
        <f>G11*R11</f>
        <v>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46</v>
      </c>
      <c r="B12" s="1" t="s">
        <v>42</v>
      </c>
      <c r="C12" s="1">
        <v>46</v>
      </c>
      <c r="D12" s="1"/>
      <c r="E12" s="1">
        <v>21</v>
      </c>
      <c r="F12" s="1">
        <v>21</v>
      </c>
      <c r="G12" s="8">
        <v>0.3</v>
      </c>
      <c r="H12" s="1">
        <v>40</v>
      </c>
      <c r="I12" s="1" t="s">
        <v>37</v>
      </c>
      <c r="J12" s="1"/>
      <c r="K12" s="1">
        <v>20</v>
      </c>
      <c r="L12" s="1">
        <f t="shared" si="0"/>
        <v>1</v>
      </c>
      <c r="M12" s="1"/>
      <c r="N12" s="1"/>
      <c r="O12" s="1">
        <v>13.400000000000009</v>
      </c>
      <c r="P12" s="1">
        <v>0</v>
      </c>
      <c r="Q12" s="1">
        <f t="shared" si="1"/>
        <v>4.2</v>
      </c>
      <c r="R12" s="5">
        <f t="shared" si="4"/>
        <v>11.799999999999997</v>
      </c>
      <c r="S12" s="5"/>
      <c r="T12" s="1"/>
      <c r="U12" s="1">
        <f t="shared" si="2"/>
        <v>11</v>
      </c>
      <c r="V12" s="1">
        <f t="shared" si="3"/>
        <v>8.1904761904761916</v>
      </c>
      <c r="W12" s="1">
        <v>2.2000000000000002</v>
      </c>
      <c r="X12" s="1">
        <v>5.4</v>
      </c>
      <c r="Y12" s="1">
        <v>4.8</v>
      </c>
      <c r="Z12" s="1">
        <v>1</v>
      </c>
      <c r="AA12" s="1">
        <v>4.5999999999999996</v>
      </c>
      <c r="AB12" s="1">
        <v>6.4</v>
      </c>
      <c r="AC12" s="1">
        <v>6.4</v>
      </c>
      <c r="AD12" s="1">
        <v>6.2</v>
      </c>
      <c r="AE12" s="1"/>
      <c r="AF12" s="1">
        <f>G12*R12</f>
        <v>3.5399999999999991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48</v>
      </c>
      <c r="B13" s="1" t="s">
        <v>42</v>
      </c>
      <c r="C13" s="1">
        <v>81</v>
      </c>
      <c r="D13" s="1"/>
      <c r="E13" s="1">
        <v>8</v>
      </c>
      <c r="F13" s="1">
        <v>73</v>
      </c>
      <c r="G13" s="8">
        <v>0.17</v>
      </c>
      <c r="H13" s="1">
        <v>180</v>
      </c>
      <c r="I13" s="1" t="s">
        <v>37</v>
      </c>
      <c r="J13" s="1"/>
      <c r="K13" s="1">
        <v>8</v>
      </c>
      <c r="L13" s="1">
        <f t="shared" si="0"/>
        <v>0</v>
      </c>
      <c r="M13" s="1"/>
      <c r="N13" s="1"/>
      <c r="O13" s="1">
        <v>0</v>
      </c>
      <c r="P13" s="1">
        <v>0</v>
      </c>
      <c r="Q13" s="1">
        <f t="shared" si="1"/>
        <v>1.6</v>
      </c>
      <c r="R13" s="5"/>
      <c r="S13" s="5"/>
      <c r="T13" s="1"/>
      <c r="U13" s="1">
        <f t="shared" si="2"/>
        <v>45.625</v>
      </c>
      <c r="V13" s="1">
        <f t="shared" si="3"/>
        <v>45.625</v>
      </c>
      <c r="W13" s="1">
        <v>1.2</v>
      </c>
      <c r="X13" s="1">
        <v>1.8</v>
      </c>
      <c r="Y13" s="1">
        <v>2.4</v>
      </c>
      <c r="Z13" s="1">
        <v>7</v>
      </c>
      <c r="AA13" s="1">
        <v>8</v>
      </c>
      <c r="AB13" s="1">
        <v>3</v>
      </c>
      <c r="AC13" s="1">
        <v>1.4</v>
      </c>
      <c r="AD13" s="1">
        <v>5</v>
      </c>
      <c r="AE13" s="22" t="s">
        <v>47</v>
      </c>
      <c r="AF13" s="1">
        <f>G13*R13</f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49</v>
      </c>
      <c r="B14" s="1" t="s">
        <v>36</v>
      </c>
      <c r="C14" s="1">
        <v>123.824</v>
      </c>
      <c r="D14" s="1">
        <v>96.302000000000007</v>
      </c>
      <c r="E14" s="1">
        <v>115.84</v>
      </c>
      <c r="F14" s="1">
        <v>86.138999999999996</v>
      </c>
      <c r="G14" s="8">
        <v>1</v>
      </c>
      <c r="H14" s="1">
        <v>55</v>
      </c>
      <c r="I14" s="1" t="s">
        <v>37</v>
      </c>
      <c r="J14" s="1"/>
      <c r="K14" s="1">
        <v>115.66</v>
      </c>
      <c r="L14" s="1">
        <f t="shared" si="0"/>
        <v>0.18000000000000682</v>
      </c>
      <c r="M14" s="1"/>
      <c r="N14" s="1"/>
      <c r="O14" s="1">
        <v>126.99809999999999</v>
      </c>
      <c r="P14" s="1">
        <v>0</v>
      </c>
      <c r="Q14" s="1">
        <f t="shared" si="1"/>
        <v>23.167999999999999</v>
      </c>
      <c r="R14" s="5">
        <f t="shared" si="4"/>
        <v>41.710899999999995</v>
      </c>
      <c r="S14" s="5"/>
      <c r="T14" s="1"/>
      <c r="U14" s="1">
        <f t="shared" si="2"/>
        <v>10.999999999999998</v>
      </c>
      <c r="V14" s="1">
        <f t="shared" si="3"/>
        <v>9.1996331146408838</v>
      </c>
      <c r="W14" s="1">
        <v>24.0124</v>
      </c>
      <c r="X14" s="1">
        <v>25.2178</v>
      </c>
      <c r="Y14" s="1">
        <v>20.227799999999998</v>
      </c>
      <c r="Z14" s="1">
        <v>21.452999999999999</v>
      </c>
      <c r="AA14" s="1">
        <v>27.3232</v>
      </c>
      <c r="AB14" s="1">
        <v>30.912800000000001</v>
      </c>
      <c r="AC14" s="1">
        <v>30.262</v>
      </c>
      <c r="AD14" s="1">
        <v>26.893000000000001</v>
      </c>
      <c r="AE14" s="1" t="s">
        <v>50</v>
      </c>
      <c r="AF14" s="1">
        <f>G14*R14</f>
        <v>41.710899999999995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51</v>
      </c>
      <c r="B15" s="1" t="s">
        <v>36</v>
      </c>
      <c r="C15" s="1">
        <v>697.60299999999995</v>
      </c>
      <c r="D15" s="1">
        <v>1081.8810000000001</v>
      </c>
      <c r="E15" s="1">
        <v>921.14200000000005</v>
      </c>
      <c r="F15" s="1">
        <v>822.41399999999999</v>
      </c>
      <c r="G15" s="8">
        <v>1</v>
      </c>
      <c r="H15" s="1">
        <v>50</v>
      </c>
      <c r="I15" s="1" t="s">
        <v>37</v>
      </c>
      <c r="J15" s="1"/>
      <c r="K15" s="1">
        <v>914</v>
      </c>
      <c r="L15" s="1">
        <f t="shared" si="0"/>
        <v>7.1420000000000528</v>
      </c>
      <c r="M15" s="1"/>
      <c r="N15" s="1"/>
      <c r="O15" s="1">
        <v>493.86788000000013</v>
      </c>
      <c r="P15" s="1">
        <v>335.84432000000061</v>
      </c>
      <c r="Q15" s="1">
        <f t="shared" si="1"/>
        <v>184.22840000000002</v>
      </c>
      <c r="R15" s="5">
        <f t="shared" si="4"/>
        <v>374.38619999999969</v>
      </c>
      <c r="S15" s="5"/>
      <c r="T15" s="1"/>
      <c r="U15" s="1">
        <f t="shared" si="2"/>
        <v>11</v>
      </c>
      <c r="V15" s="1">
        <f t="shared" si="3"/>
        <v>8.9678149514407135</v>
      </c>
      <c r="W15" s="1">
        <v>179.7842</v>
      </c>
      <c r="X15" s="1">
        <v>171.54060000000001</v>
      </c>
      <c r="Y15" s="1">
        <v>174.85659999999999</v>
      </c>
      <c r="Z15" s="1">
        <v>171.99199999999999</v>
      </c>
      <c r="AA15" s="1">
        <v>164.13579999999999</v>
      </c>
      <c r="AB15" s="1">
        <v>168.1472</v>
      </c>
      <c r="AC15" s="1">
        <v>166.18039999999999</v>
      </c>
      <c r="AD15" s="1">
        <v>184.19220000000001</v>
      </c>
      <c r="AE15" s="1" t="s">
        <v>50</v>
      </c>
      <c r="AF15" s="1">
        <f>G15*R15</f>
        <v>374.38619999999969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52</v>
      </c>
      <c r="B16" s="1" t="s">
        <v>36</v>
      </c>
      <c r="C16" s="1">
        <v>9.7010000000000005</v>
      </c>
      <c r="D16" s="1">
        <v>15.872</v>
      </c>
      <c r="E16" s="1">
        <v>17.699000000000002</v>
      </c>
      <c r="F16" s="1">
        <v>3.1E-2</v>
      </c>
      <c r="G16" s="8">
        <v>1</v>
      </c>
      <c r="H16" s="1">
        <v>60</v>
      </c>
      <c r="I16" s="1" t="s">
        <v>37</v>
      </c>
      <c r="J16" s="1"/>
      <c r="K16" s="1">
        <v>17.600000000000001</v>
      </c>
      <c r="L16" s="1">
        <f t="shared" si="0"/>
        <v>9.9000000000000199E-2</v>
      </c>
      <c r="M16" s="1"/>
      <c r="N16" s="1"/>
      <c r="O16" s="1">
        <v>50.699599999999997</v>
      </c>
      <c r="P16" s="1">
        <v>0</v>
      </c>
      <c r="Q16" s="1">
        <f t="shared" si="1"/>
        <v>3.5398000000000005</v>
      </c>
      <c r="R16" s="5"/>
      <c r="S16" s="5"/>
      <c r="T16" s="1"/>
      <c r="U16" s="1">
        <f t="shared" si="2"/>
        <v>14.331487654669752</v>
      </c>
      <c r="V16" s="1">
        <f t="shared" si="3"/>
        <v>14.331487654669752</v>
      </c>
      <c r="W16" s="1">
        <v>5.7923999999999998</v>
      </c>
      <c r="X16" s="1">
        <v>7.8696000000000002</v>
      </c>
      <c r="Y16" s="1">
        <v>4.8920000000000003</v>
      </c>
      <c r="Z16" s="1">
        <v>2.7936000000000001</v>
      </c>
      <c r="AA16" s="1">
        <v>5.9802</v>
      </c>
      <c r="AB16" s="1">
        <v>5.4619999999999997</v>
      </c>
      <c r="AC16" s="1">
        <v>2.1322000000000001</v>
      </c>
      <c r="AD16" s="1">
        <v>2.1332</v>
      </c>
      <c r="AE16" s="1"/>
      <c r="AF16" s="1">
        <f>G16*R16</f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53</v>
      </c>
      <c r="B17" s="1" t="s">
        <v>36</v>
      </c>
      <c r="C17" s="1">
        <v>530.96500000000003</v>
      </c>
      <c r="D17" s="1">
        <v>235.321</v>
      </c>
      <c r="E17" s="1">
        <v>621.62099999999998</v>
      </c>
      <c r="F17" s="1">
        <v>134.209</v>
      </c>
      <c r="G17" s="8">
        <v>1</v>
      </c>
      <c r="H17" s="1">
        <v>60</v>
      </c>
      <c r="I17" s="1" t="s">
        <v>37</v>
      </c>
      <c r="J17" s="1"/>
      <c r="K17" s="1">
        <v>622.5</v>
      </c>
      <c r="L17" s="1">
        <f t="shared" si="0"/>
        <v>-0.8790000000000191</v>
      </c>
      <c r="M17" s="1"/>
      <c r="N17" s="1"/>
      <c r="O17" s="1">
        <v>289.5488399999997</v>
      </c>
      <c r="P17" s="1">
        <v>274.34859999999998</v>
      </c>
      <c r="Q17" s="1">
        <f t="shared" si="1"/>
        <v>124.32419999999999</v>
      </c>
      <c r="R17" s="5">
        <f t="shared" si="4"/>
        <v>669.45976000000019</v>
      </c>
      <c r="S17" s="5"/>
      <c r="T17" s="1"/>
      <c r="U17" s="1">
        <f t="shared" si="2"/>
        <v>10.999999999999998</v>
      </c>
      <c r="V17" s="1">
        <f t="shared" si="3"/>
        <v>5.6152095891226308</v>
      </c>
      <c r="W17" s="1">
        <v>117.9644</v>
      </c>
      <c r="X17" s="1">
        <v>115.432</v>
      </c>
      <c r="Y17" s="1">
        <v>115.8438</v>
      </c>
      <c r="Z17" s="1">
        <v>111.2306</v>
      </c>
      <c r="AA17" s="1">
        <v>111.19499999999999</v>
      </c>
      <c r="AB17" s="1">
        <v>121.8302</v>
      </c>
      <c r="AC17" s="1">
        <v>120.0022</v>
      </c>
      <c r="AD17" s="1">
        <v>113.0682</v>
      </c>
      <c r="AE17" s="1" t="s">
        <v>54</v>
      </c>
      <c r="AF17" s="1">
        <f>G17*R17</f>
        <v>669.45976000000019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55</v>
      </c>
      <c r="B18" s="1" t="s">
        <v>36</v>
      </c>
      <c r="C18" s="1">
        <v>24.559000000000001</v>
      </c>
      <c r="D18" s="1">
        <v>7.7160000000000002</v>
      </c>
      <c r="E18" s="1">
        <v>17.526</v>
      </c>
      <c r="F18" s="1">
        <v>12.185</v>
      </c>
      <c r="G18" s="8">
        <v>1</v>
      </c>
      <c r="H18" s="1">
        <v>60</v>
      </c>
      <c r="I18" s="1" t="s">
        <v>37</v>
      </c>
      <c r="J18" s="1"/>
      <c r="K18" s="1">
        <v>15.6</v>
      </c>
      <c r="L18" s="1">
        <f t="shared" si="0"/>
        <v>1.9260000000000002</v>
      </c>
      <c r="M18" s="1"/>
      <c r="N18" s="1"/>
      <c r="O18" s="1">
        <v>4.9073999999999991</v>
      </c>
      <c r="P18" s="1">
        <v>7.414200000000001</v>
      </c>
      <c r="Q18" s="1">
        <f t="shared" si="1"/>
        <v>3.5051999999999999</v>
      </c>
      <c r="R18" s="5">
        <f t="shared" si="4"/>
        <v>14.050600000000001</v>
      </c>
      <c r="S18" s="5"/>
      <c r="T18" s="1"/>
      <c r="U18" s="1">
        <f t="shared" si="2"/>
        <v>11</v>
      </c>
      <c r="V18" s="1">
        <f t="shared" si="3"/>
        <v>6.9914983453155308</v>
      </c>
      <c r="W18" s="1">
        <v>3.0005999999999999</v>
      </c>
      <c r="X18" s="1">
        <v>3.0424000000000002</v>
      </c>
      <c r="Y18" s="1">
        <v>3.0691999999999999</v>
      </c>
      <c r="Z18" s="1">
        <v>1.63</v>
      </c>
      <c r="AA18" s="1">
        <v>2.4922</v>
      </c>
      <c r="AB18" s="1">
        <v>3.5506000000000002</v>
      </c>
      <c r="AC18" s="1">
        <v>3.3130000000000002</v>
      </c>
      <c r="AD18" s="1">
        <v>3.6785999999999999</v>
      </c>
      <c r="AE18" s="1"/>
      <c r="AF18" s="1">
        <f>G18*R18</f>
        <v>14.050600000000001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56</v>
      </c>
      <c r="B19" s="1" t="s">
        <v>36</v>
      </c>
      <c r="C19" s="1">
        <v>8.67</v>
      </c>
      <c r="D19" s="1"/>
      <c r="E19" s="1">
        <v>5.3529999999999998</v>
      </c>
      <c r="F19" s="1">
        <v>3.3170000000000002</v>
      </c>
      <c r="G19" s="8">
        <v>1</v>
      </c>
      <c r="H19" s="1">
        <v>180</v>
      </c>
      <c r="I19" s="1" t="s">
        <v>37</v>
      </c>
      <c r="J19" s="1"/>
      <c r="K19" s="1">
        <v>4.8</v>
      </c>
      <c r="L19" s="1">
        <f t="shared" si="0"/>
        <v>0.55299999999999994</v>
      </c>
      <c r="M19" s="1"/>
      <c r="N19" s="1"/>
      <c r="O19" s="1">
        <v>10.861599999999999</v>
      </c>
      <c r="P19" s="1">
        <v>0</v>
      </c>
      <c r="Q19" s="1">
        <f t="shared" si="1"/>
        <v>1.0706</v>
      </c>
      <c r="R19" s="5"/>
      <c r="S19" s="5"/>
      <c r="T19" s="1"/>
      <c r="U19" s="1">
        <f t="shared" si="2"/>
        <v>13.243601718662433</v>
      </c>
      <c r="V19" s="1">
        <f t="shared" si="3"/>
        <v>13.243601718662433</v>
      </c>
      <c r="W19" s="1">
        <v>1.5446</v>
      </c>
      <c r="X19" s="1">
        <v>1.7756000000000001</v>
      </c>
      <c r="Y19" s="1">
        <v>0.63480000000000003</v>
      </c>
      <c r="Z19" s="1">
        <v>8.2400000000000001E-2</v>
      </c>
      <c r="AA19" s="1">
        <v>0</v>
      </c>
      <c r="AB19" s="1">
        <v>0.39739999999999998</v>
      </c>
      <c r="AC19" s="1">
        <v>0.55940000000000001</v>
      </c>
      <c r="AD19" s="1">
        <v>0.24340000000000001</v>
      </c>
      <c r="AE19" s="1" t="s">
        <v>57</v>
      </c>
      <c r="AF19" s="1">
        <f>G19*R19</f>
        <v>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58</v>
      </c>
      <c r="B20" s="1" t="s">
        <v>36</v>
      </c>
      <c r="C20" s="1">
        <v>65.162999999999997</v>
      </c>
      <c r="D20" s="1">
        <v>274.69200000000001</v>
      </c>
      <c r="E20" s="1">
        <v>159.185</v>
      </c>
      <c r="F20" s="1">
        <v>161.345</v>
      </c>
      <c r="G20" s="8">
        <v>1</v>
      </c>
      <c r="H20" s="1">
        <v>60</v>
      </c>
      <c r="I20" s="1" t="s">
        <v>37</v>
      </c>
      <c r="J20" s="1"/>
      <c r="K20" s="1">
        <v>147.80000000000001</v>
      </c>
      <c r="L20" s="1">
        <f t="shared" si="0"/>
        <v>11.384999999999991</v>
      </c>
      <c r="M20" s="1"/>
      <c r="N20" s="1"/>
      <c r="O20" s="1">
        <v>0</v>
      </c>
      <c r="P20" s="1">
        <v>112.34834000000011</v>
      </c>
      <c r="Q20" s="1">
        <f t="shared" si="1"/>
        <v>31.837</v>
      </c>
      <c r="R20" s="5">
        <f t="shared" si="4"/>
        <v>76.513659999999874</v>
      </c>
      <c r="S20" s="5"/>
      <c r="T20" s="1"/>
      <c r="U20" s="1">
        <f t="shared" si="2"/>
        <v>11</v>
      </c>
      <c r="V20" s="1">
        <f t="shared" si="3"/>
        <v>8.5967063479599233</v>
      </c>
      <c r="W20" s="1">
        <v>29.66</v>
      </c>
      <c r="X20" s="1">
        <v>25.259399999999999</v>
      </c>
      <c r="Y20" s="1">
        <v>32.289400000000001</v>
      </c>
      <c r="Z20" s="1">
        <v>29.106200000000001</v>
      </c>
      <c r="AA20" s="1">
        <v>26.0564</v>
      </c>
      <c r="AB20" s="1">
        <v>30.162800000000001</v>
      </c>
      <c r="AC20" s="1">
        <v>25.957799999999999</v>
      </c>
      <c r="AD20" s="1">
        <v>25.0364</v>
      </c>
      <c r="AE20" s="1" t="s">
        <v>50</v>
      </c>
      <c r="AF20" s="1">
        <f>G20*R20</f>
        <v>76.513659999999874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59</v>
      </c>
      <c r="B21" s="1" t="s">
        <v>36</v>
      </c>
      <c r="C21" s="1">
        <v>7.0590000000000002</v>
      </c>
      <c r="D21" s="1">
        <v>99.444000000000003</v>
      </c>
      <c r="E21" s="1">
        <v>59.591000000000001</v>
      </c>
      <c r="F21" s="1">
        <v>37.207000000000001</v>
      </c>
      <c r="G21" s="8">
        <v>1</v>
      </c>
      <c r="H21" s="1">
        <v>60</v>
      </c>
      <c r="I21" s="1" t="s">
        <v>37</v>
      </c>
      <c r="J21" s="1"/>
      <c r="K21" s="1">
        <v>66.28</v>
      </c>
      <c r="L21" s="1">
        <f t="shared" si="0"/>
        <v>-6.6890000000000001</v>
      </c>
      <c r="M21" s="1"/>
      <c r="N21" s="1"/>
      <c r="O21" s="1">
        <v>54.62639999999999</v>
      </c>
      <c r="P21" s="1">
        <v>0</v>
      </c>
      <c r="Q21" s="1">
        <f t="shared" si="1"/>
        <v>11.918200000000001</v>
      </c>
      <c r="R21" s="5">
        <f t="shared" si="4"/>
        <v>39.266800000000011</v>
      </c>
      <c r="S21" s="5"/>
      <c r="T21" s="1"/>
      <c r="U21" s="1">
        <f t="shared" si="2"/>
        <v>11</v>
      </c>
      <c r="V21" s="1">
        <f t="shared" si="3"/>
        <v>7.7053078485006106</v>
      </c>
      <c r="W21" s="1">
        <v>11.257</v>
      </c>
      <c r="X21" s="1">
        <v>12.854200000000001</v>
      </c>
      <c r="Y21" s="1">
        <v>11.2568</v>
      </c>
      <c r="Z21" s="1">
        <v>7.0384000000000002</v>
      </c>
      <c r="AA21" s="1">
        <v>6.5153999999999996</v>
      </c>
      <c r="AB21" s="1">
        <v>8.7924000000000007</v>
      </c>
      <c r="AC21" s="1">
        <v>11.0518</v>
      </c>
      <c r="AD21" s="1">
        <v>10.8804</v>
      </c>
      <c r="AE21" s="1"/>
      <c r="AF21" s="1">
        <f>G21*R21</f>
        <v>39.266800000000011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60</v>
      </c>
      <c r="B22" s="1" t="s">
        <v>36</v>
      </c>
      <c r="C22" s="1">
        <v>44.645000000000003</v>
      </c>
      <c r="D22" s="1">
        <v>19.268999999999998</v>
      </c>
      <c r="E22" s="1">
        <v>36.694000000000003</v>
      </c>
      <c r="F22" s="1">
        <v>1.7929999999999999</v>
      </c>
      <c r="G22" s="8">
        <v>1</v>
      </c>
      <c r="H22" s="1">
        <v>60</v>
      </c>
      <c r="I22" s="1" t="s">
        <v>37</v>
      </c>
      <c r="J22" s="1"/>
      <c r="K22" s="1">
        <v>36.6</v>
      </c>
      <c r="L22" s="1">
        <f t="shared" si="0"/>
        <v>9.4000000000001194E-2</v>
      </c>
      <c r="M22" s="1"/>
      <c r="N22" s="1"/>
      <c r="O22" s="1">
        <v>23.268799999999999</v>
      </c>
      <c r="P22" s="1">
        <v>19.460799999999999</v>
      </c>
      <c r="Q22" s="1">
        <f t="shared" si="1"/>
        <v>7.3388000000000009</v>
      </c>
      <c r="R22" s="5">
        <f t="shared" si="4"/>
        <v>36.204200000000014</v>
      </c>
      <c r="S22" s="5"/>
      <c r="T22" s="1"/>
      <c r="U22" s="1">
        <f t="shared" si="2"/>
        <v>11</v>
      </c>
      <c r="V22" s="1">
        <f t="shared" si="3"/>
        <v>6.0667411565923572</v>
      </c>
      <c r="W22" s="1">
        <v>6.8285999999999998</v>
      </c>
      <c r="X22" s="1">
        <v>6.6537999999999986</v>
      </c>
      <c r="Y22" s="1">
        <v>5.9564000000000004</v>
      </c>
      <c r="Z22" s="1">
        <v>5.9729999999999999</v>
      </c>
      <c r="AA22" s="1">
        <v>8.6075999999999997</v>
      </c>
      <c r="AB22" s="1">
        <v>10.868600000000001</v>
      </c>
      <c r="AC22" s="1">
        <v>6.4852000000000007</v>
      </c>
      <c r="AD22" s="1">
        <v>2.9853999999999998</v>
      </c>
      <c r="AE22" s="1"/>
      <c r="AF22" s="1">
        <f>G22*R22</f>
        <v>36.204200000000014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61</v>
      </c>
      <c r="B23" s="1" t="s">
        <v>36</v>
      </c>
      <c r="C23" s="1">
        <v>16.073</v>
      </c>
      <c r="D23" s="1"/>
      <c r="E23" s="1">
        <v>1.4019999999999999</v>
      </c>
      <c r="F23" s="1">
        <v>14.670999999999999</v>
      </c>
      <c r="G23" s="8">
        <v>1</v>
      </c>
      <c r="H23" s="1">
        <v>180</v>
      </c>
      <c r="I23" s="1" t="s">
        <v>37</v>
      </c>
      <c r="J23" s="1"/>
      <c r="K23" s="1">
        <v>1.3</v>
      </c>
      <c r="L23" s="1">
        <f t="shared" si="0"/>
        <v>0.10199999999999987</v>
      </c>
      <c r="M23" s="1"/>
      <c r="N23" s="1"/>
      <c r="O23" s="1">
        <v>0</v>
      </c>
      <c r="P23" s="1">
        <v>0</v>
      </c>
      <c r="Q23" s="1">
        <f t="shared" si="1"/>
        <v>0.28039999999999998</v>
      </c>
      <c r="R23" s="5"/>
      <c r="S23" s="5"/>
      <c r="T23" s="1"/>
      <c r="U23" s="1">
        <f t="shared" si="2"/>
        <v>52.321683309557777</v>
      </c>
      <c r="V23" s="1">
        <f t="shared" si="3"/>
        <v>52.321683309557777</v>
      </c>
      <c r="W23" s="1">
        <v>0.86240000000000006</v>
      </c>
      <c r="X23" s="1">
        <v>0.85839999999999994</v>
      </c>
      <c r="Y23" s="1">
        <v>0.20799999999999999</v>
      </c>
      <c r="Z23" s="1">
        <v>7.0599999999999996E-2</v>
      </c>
      <c r="AA23" s="1">
        <v>0.28460000000000002</v>
      </c>
      <c r="AB23" s="1">
        <v>0.35439999999999999</v>
      </c>
      <c r="AC23" s="1">
        <v>0.1404</v>
      </c>
      <c r="AD23" s="1">
        <v>0</v>
      </c>
      <c r="AE23" s="15" t="s">
        <v>153</v>
      </c>
      <c r="AF23" s="1">
        <f>G23*R23</f>
        <v>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62</v>
      </c>
      <c r="B24" s="1" t="s">
        <v>36</v>
      </c>
      <c r="C24" s="1">
        <v>53.747999999999998</v>
      </c>
      <c r="D24" s="1">
        <v>77.275000000000006</v>
      </c>
      <c r="E24" s="1">
        <v>89.674000000000007</v>
      </c>
      <c r="F24" s="1">
        <v>30.887</v>
      </c>
      <c r="G24" s="8">
        <v>1</v>
      </c>
      <c r="H24" s="1">
        <v>60</v>
      </c>
      <c r="I24" s="1" t="s">
        <v>37</v>
      </c>
      <c r="J24" s="1"/>
      <c r="K24" s="1">
        <v>89.08</v>
      </c>
      <c r="L24" s="1">
        <f t="shared" si="0"/>
        <v>0.5940000000000083</v>
      </c>
      <c r="M24" s="1"/>
      <c r="N24" s="1"/>
      <c r="O24" s="1">
        <v>95.52920000000006</v>
      </c>
      <c r="P24" s="1">
        <v>75.155799999999957</v>
      </c>
      <c r="Q24" s="1">
        <f t="shared" si="1"/>
        <v>17.934800000000003</v>
      </c>
      <c r="R24" s="5"/>
      <c r="S24" s="5"/>
      <c r="T24" s="1"/>
      <c r="U24" s="1">
        <f t="shared" si="2"/>
        <v>11.239155162031356</v>
      </c>
      <c r="V24" s="1">
        <f t="shared" si="3"/>
        <v>11.239155162031356</v>
      </c>
      <c r="W24" s="1">
        <v>20.0534</v>
      </c>
      <c r="X24" s="1">
        <v>17.748999999999999</v>
      </c>
      <c r="Y24" s="1">
        <v>14.2624</v>
      </c>
      <c r="Z24" s="1">
        <v>9.2530000000000001</v>
      </c>
      <c r="AA24" s="1">
        <v>13.704000000000001</v>
      </c>
      <c r="AB24" s="1">
        <v>16.781199999999998</v>
      </c>
      <c r="AC24" s="1">
        <v>14.0768</v>
      </c>
      <c r="AD24" s="1">
        <v>13.010999999999999</v>
      </c>
      <c r="AE24" s="1" t="s">
        <v>50</v>
      </c>
      <c r="AF24" s="1">
        <f>G24*R24</f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6" t="s">
        <v>63</v>
      </c>
      <c r="B25" s="16" t="s">
        <v>36</v>
      </c>
      <c r="C25" s="16"/>
      <c r="D25" s="16"/>
      <c r="E25" s="16"/>
      <c r="F25" s="16"/>
      <c r="G25" s="17">
        <v>0</v>
      </c>
      <c r="H25" s="16">
        <v>30</v>
      </c>
      <c r="I25" s="16" t="s">
        <v>37</v>
      </c>
      <c r="J25" s="16"/>
      <c r="K25" s="16"/>
      <c r="L25" s="16">
        <f t="shared" si="0"/>
        <v>0</v>
      </c>
      <c r="M25" s="16"/>
      <c r="N25" s="16"/>
      <c r="O25" s="16">
        <v>0</v>
      </c>
      <c r="P25" s="16">
        <v>0</v>
      </c>
      <c r="Q25" s="16">
        <f t="shared" si="1"/>
        <v>0</v>
      </c>
      <c r="R25" s="18"/>
      <c r="S25" s="18"/>
      <c r="T25" s="16"/>
      <c r="U25" s="16" t="e">
        <f t="shared" si="2"/>
        <v>#DIV/0!</v>
      </c>
      <c r="V25" s="16" t="e">
        <f t="shared" si="3"/>
        <v>#DIV/0!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 t="s">
        <v>64</v>
      </c>
      <c r="AF25" s="16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65</v>
      </c>
      <c r="B26" s="1" t="s">
        <v>36</v>
      </c>
      <c r="C26" s="1">
        <v>171.63900000000001</v>
      </c>
      <c r="D26" s="1"/>
      <c r="E26" s="1">
        <v>105.968</v>
      </c>
      <c r="F26" s="1">
        <v>60.734000000000002</v>
      </c>
      <c r="G26" s="8">
        <v>1</v>
      </c>
      <c r="H26" s="1">
        <v>30</v>
      </c>
      <c r="I26" s="1" t="s">
        <v>37</v>
      </c>
      <c r="J26" s="1"/>
      <c r="K26" s="1">
        <v>95</v>
      </c>
      <c r="L26" s="1">
        <f t="shared" si="0"/>
        <v>10.968000000000004</v>
      </c>
      <c r="M26" s="1"/>
      <c r="N26" s="1"/>
      <c r="O26" s="1">
        <v>0</v>
      </c>
      <c r="P26" s="1">
        <v>109.3946</v>
      </c>
      <c r="Q26" s="1">
        <f t="shared" si="1"/>
        <v>21.1936</v>
      </c>
      <c r="R26" s="5">
        <f t="shared" ref="R26:R27" si="5">11*Q26-P26-O26-F26</f>
        <v>63.001000000000012</v>
      </c>
      <c r="S26" s="5"/>
      <c r="T26" s="1"/>
      <c r="U26" s="1">
        <f t="shared" si="2"/>
        <v>11</v>
      </c>
      <c r="V26" s="1">
        <f t="shared" si="3"/>
        <v>8.0273573154159745</v>
      </c>
      <c r="W26" s="1">
        <v>19.5396</v>
      </c>
      <c r="X26" s="1">
        <v>15.5586</v>
      </c>
      <c r="Y26" s="1">
        <v>16.598800000000001</v>
      </c>
      <c r="Z26" s="1">
        <v>20.352799999999998</v>
      </c>
      <c r="AA26" s="1">
        <v>24.895399999999999</v>
      </c>
      <c r="AB26" s="1">
        <v>20.646599999999999</v>
      </c>
      <c r="AC26" s="1">
        <v>17.0426</v>
      </c>
      <c r="AD26" s="1">
        <v>17.977399999999999</v>
      </c>
      <c r="AE26" s="1"/>
      <c r="AF26" s="1">
        <f>G26*R26</f>
        <v>63.001000000000012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66</v>
      </c>
      <c r="B27" s="1" t="s">
        <v>36</v>
      </c>
      <c r="C27" s="1">
        <v>204.54499999999999</v>
      </c>
      <c r="D27" s="1">
        <v>74.768000000000001</v>
      </c>
      <c r="E27" s="1">
        <v>137.15799999999999</v>
      </c>
      <c r="F27" s="1">
        <v>87.8</v>
      </c>
      <c r="G27" s="8">
        <v>1</v>
      </c>
      <c r="H27" s="1">
        <v>30</v>
      </c>
      <c r="I27" s="1" t="s">
        <v>37</v>
      </c>
      <c r="J27" s="1"/>
      <c r="K27" s="1">
        <v>139.6</v>
      </c>
      <c r="L27" s="1">
        <f t="shared" si="0"/>
        <v>-2.4420000000000073</v>
      </c>
      <c r="M27" s="1"/>
      <c r="N27" s="1"/>
      <c r="O27" s="1">
        <v>48.541799999999988</v>
      </c>
      <c r="P27" s="1">
        <v>0</v>
      </c>
      <c r="Q27" s="1">
        <f t="shared" si="1"/>
        <v>27.431599999999996</v>
      </c>
      <c r="R27" s="5">
        <f t="shared" si="5"/>
        <v>165.4058</v>
      </c>
      <c r="S27" s="5"/>
      <c r="T27" s="1"/>
      <c r="U27" s="1">
        <f t="shared" si="2"/>
        <v>11</v>
      </c>
      <c r="V27" s="1">
        <f t="shared" si="3"/>
        <v>4.970245993671532</v>
      </c>
      <c r="W27" s="1">
        <v>18.855</v>
      </c>
      <c r="X27" s="1">
        <v>23.1294</v>
      </c>
      <c r="Y27" s="1">
        <v>13.593999999999999</v>
      </c>
      <c r="Z27" s="1">
        <v>9.507200000000001</v>
      </c>
      <c r="AA27" s="1">
        <v>20.807200000000002</v>
      </c>
      <c r="AB27" s="1">
        <v>32.642200000000003</v>
      </c>
      <c r="AC27" s="1">
        <v>31.583200000000001</v>
      </c>
      <c r="AD27" s="1">
        <v>27.43</v>
      </c>
      <c r="AE27" s="1" t="s">
        <v>50</v>
      </c>
      <c r="AF27" s="1">
        <f>G27*R27</f>
        <v>165.4058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6" t="s">
        <v>67</v>
      </c>
      <c r="B28" s="16" t="s">
        <v>36</v>
      </c>
      <c r="C28" s="16"/>
      <c r="D28" s="16"/>
      <c r="E28" s="16"/>
      <c r="F28" s="16"/>
      <c r="G28" s="17">
        <v>0</v>
      </c>
      <c r="H28" s="16">
        <v>45</v>
      </c>
      <c r="I28" s="16" t="s">
        <v>37</v>
      </c>
      <c r="J28" s="16"/>
      <c r="K28" s="16"/>
      <c r="L28" s="16">
        <f t="shared" si="0"/>
        <v>0</v>
      </c>
      <c r="M28" s="16"/>
      <c r="N28" s="16"/>
      <c r="O28" s="16">
        <v>0</v>
      </c>
      <c r="P28" s="16">
        <v>0</v>
      </c>
      <c r="Q28" s="16">
        <f t="shared" si="1"/>
        <v>0</v>
      </c>
      <c r="R28" s="18"/>
      <c r="S28" s="18"/>
      <c r="T28" s="16"/>
      <c r="U28" s="16" t="e">
        <f t="shared" si="2"/>
        <v>#DIV/0!</v>
      </c>
      <c r="V28" s="16" t="e">
        <f t="shared" si="3"/>
        <v>#DIV/0!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 t="s">
        <v>64</v>
      </c>
      <c r="AF28" s="16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68</v>
      </c>
      <c r="B29" s="1" t="s">
        <v>36</v>
      </c>
      <c r="C29" s="1">
        <v>52.042000000000002</v>
      </c>
      <c r="D29" s="1"/>
      <c r="E29" s="1">
        <v>16.096</v>
      </c>
      <c r="F29" s="1">
        <v>35.945999999999998</v>
      </c>
      <c r="G29" s="8">
        <v>1</v>
      </c>
      <c r="H29" s="1">
        <v>40</v>
      </c>
      <c r="I29" s="1" t="s">
        <v>37</v>
      </c>
      <c r="J29" s="1"/>
      <c r="K29" s="1">
        <v>14.3</v>
      </c>
      <c r="L29" s="1">
        <f t="shared" si="0"/>
        <v>1.7959999999999994</v>
      </c>
      <c r="M29" s="1"/>
      <c r="N29" s="1"/>
      <c r="O29" s="1">
        <v>0</v>
      </c>
      <c r="P29" s="1">
        <v>0</v>
      </c>
      <c r="Q29" s="1">
        <f t="shared" si="1"/>
        <v>3.2191999999999998</v>
      </c>
      <c r="R29" s="5"/>
      <c r="S29" s="5"/>
      <c r="T29" s="1"/>
      <c r="U29" s="1">
        <f t="shared" si="2"/>
        <v>11.166128230616302</v>
      </c>
      <c r="V29" s="1">
        <f t="shared" si="3"/>
        <v>11.166128230616302</v>
      </c>
      <c r="W29" s="1">
        <v>2.1379999999999999</v>
      </c>
      <c r="X29" s="1">
        <v>3.278</v>
      </c>
      <c r="Y29" s="1">
        <v>2.0179999999999998</v>
      </c>
      <c r="Z29" s="1">
        <v>0.8859999999999999</v>
      </c>
      <c r="AA29" s="1">
        <v>3.0939999999999999</v>
      </c>
      <c r="AB29" s="1">
        <v>4.6726000000000001</v>
      </c>
      <c r="AC29" s="1">
        <v>3.9376000000000002</v>
      </c>
      <c r="AD29" s="1">
        <v>2.6749999999999998</v>
      </c>
      <c r="AE29" s="21" t="s">
        <v>45</v>
      </c>
      <c r="AF29" s="1">
        <f>G29*R29</f>
        <v>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69</v>
      </c>
      <c r="B30" s="1" t="s">
        <v>36</v>
      </c>
      <c r="C30" s="1">
        <v>53.456000000000003</v>
      </c>
      <c r="D30" s="1">
        <v>34.874000000000002</v>
      </c>
      <c r="E30" s="1">
        <v>16.995999999999999</v>
      </c>
      <c r="F30" s="1">
        <v>69.257999999999996</v>
      </c>
      <c r="G30" s="8">
        <v>1</v>
      </c>
      <c r="H30" s="1">
        <v>30</v>
      </c>
      <c r="I30" s="1" t="s">
        <v>37</v>
      </c>
      <c r="J30" s="1"/>
      <c r="K30" s="1">
        <v>17</v>
      </c>
      <c r="L30" s="1">
        <f t="shared" si="0"/>
        <v>-4.0000000000013358E-3</v>
      </c>
      <c r="M30" s="1"/>
      <c r="N30" s="1"/>
      <c r="O30" s="1">
        <v>0</v>
      </c>
      <c r="P30" s="1">
        <v>0</v>
      </c>
      <c r="Q30" s="1">
        <f t="shared" si="1"/>
        <v>3.3991999999999996</v>
      </c>
      <c r="R30" s="5"/>
      <c r="S30" s="5"/>
      <c r="T30" s="1"/>
      <c r="U30" s="1">
        <f t="shared" si="2"/>
        <v>20.374794069192752</v>
      </c>
      <c r="V30" s="1">
        <f t="shared" si="3"/>
        <v>20.374794069192752</v>
      </c>
      <c r="W30" s="1">
        <v>2.3052000000000001</v>
      </c>
      <c r="X30" s="1">
        <v>5.8220000000000001</v>
      </c>
      <c r="Y30" s="1">
        <v>7.8620000000000001</v>
      </c>
      <c r="Z30" s="1">
        <v>8.7485999999999997</v>
      </c>
      <c r="AA30" s="1">
        <v>8.5774000000000008</v>
      </c>
      <c r="AB30" s="1">
        <v>8.3343999999999987</v>
      </c>
      <c r="AC30" s="1">
        <v>5.32</v>
      </c>
      <c r="AD30" s="1">
        <v>3.2284000000000002</v>
      </c>
      <c r="AE30" s="15" t="s">
        <v>154</v>
      </c>
      <c r="AF30" s="1">
        <f>G30*R30</f>
        <v>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70</v>
      </c>
      <c r="B31" s="1" t="s">
        <v>36</v>
      </c>
      <c r="C31" s="1"/>
      <c r="D31" s="1">
        <v>245.36500000000001</v>
      </c>
      <c r="E31" s="1">
        <v>85.533000000000001</v>
      </c>
      <c r="F31" s="1">
        <v>157.09200000000001</v>
      </c>
      <c r="G31" s="8">
        <v>1</v>
      </c>
      <c r="H31" s="1">
        <v>50</v>
      </c>
      <c r="I31" s="1" t="s">
        <v>37</v>
      </c>
      <c r="J31" s="1"/>
      <c r="K31" s="1">
        <v>76.400000000000006</v>
      </c>
      <c r="L31" s="1">
        <f t="shared" si="0"/>
        <v>9.1329999999999956</v>
      </c>
      <c r="M31" s="1"/>
      <c r="N31" s="1"/>
      <c r="O31" s="1">
        <v>0</v>
      </c>
      <c r="P31" s="1">
        <v>0</v>
      </c>
      <c r="Q31" s="1">
        <f t="shared" si="1"/>
        <v>17.1066</v>
      </c>
      <c r="R31" s="5">
        <f t="shared" ref="R29:R50" si="6">11*Q31-P31-O31-F31</f>
        <v>31.080599999999976</v>
      </c>
      <c r="S31" s="5"/>
      <c r="T31" s="1"/>
      <c r="U31" s="1">
        <f t="shared" si="2"/>
        <v>11</v>
      </c>
      <c r="V31" s="1">
        <f t="shared" si="3"/>
        <v>9.1831223036722669</v>
      </c>
      <c r="W31" s="1">
        <v>10.542999999999999</v>
      </c>
      <c r="X31" s="1">
        <v>16.421800000000001</v>
      </c>
      <c r="Y31" s="1">
        <v>22.9648</v>
      </c>
      <c r="Z31" s="1">
        <v>14.008800000000001</v>
      </c>
      <c r="AA31" s="1">
        <v>9.5858000000000008</v>
      </c>
      <c r="AB31" s="1">
        <v>8.8778000000000006</v>
      </c>
      <c r="AC31" s="1">
        <v>17.2226</v>
      </c>
      <c r="AD31" s="1">
        <v>21.361799999999999</v>
      </c>
      <c r="AE31" s="1"/>
      <c r="AF31" s="1">
        <f>G31*R31</f>
        <v>31.080599999999976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71</v>
      </c>
      <c r="B32" s="1" t="s">
        <v>36</v>
      </c>
      <c r="C32" s="1">
        <v>1.726</v>
      </c>
      <c r="D32" s="1">
        <v>134.17599999999999</v>
      </c>
      <c r="E32" s="1">
        <v>31.341999999999999</v>
      </c>
      <c r="F32" s="1">
        <v>103.655</v>
      </c>
      <c r="G32" s="8">
        <v>1</v>
      </c>
      <c r="H32" s="1">
        <v>50</v>
      </c>
      <c r="I32" s="1" t="s">
        <v>37</v>
      </c>
      <c r="J32" s="1"/>
      <c r="K32" s="1">
        <v>32.799999999999997</v>
      </c>
      <c r="L32" s="1">
        <f t="shared" si="0"/>
        <v>-1.4579999999999984</v>
      </c>
      <c r="M32" s="1"/>
      <c r="N32" s="1"/>
      <c r="O32" s="1">
        <v>41.275400000000012</v>
      </c>
      <c r="P32" s="1">
        <v>0</v>
      </c>
      <c r="Q32" s="1">
        <f t="shared" si="1"/>
        <v>6.2683999999999997</v>
      </c>
      <c r="R32" s="5"/>
      <c r="S32" s="5"/>
      <c r="T32" s="1"/>
      <c r="U32" s="1">
        <f t="shared" si="2"/>
        <v>23.120796375470619</v>
      </c>
      <c r="V32" s="1">
        <f t="shared" si="3"/>
        <v>23.120796375470619</v>
      </c>
      <c r="W32" s="1">
        <v>10.7212</v>
      </c>
      <c r="X32" s="1">
        <v>15.5512</v>
      </c>
      <c r="Y32" s="1">
        <v>13.703200000000001</v>
      </c>
      <c r="Z32" s="1">
        <v>8.5586000000000002</v>
      </c>
      <c r="AA32" s="1">
        <v>9.5584000000000007</v>
      </c>
      <c r="AB32" s="1">
        <v>6.4896000000000003</v>
      </c>
      <c r="AC32" s="1">
        <v>8.3272000000000013</v>
      </c>
      <c r="AD32" s="1">
        <v>11.951000000000001</v>
      </c>
      <c r="AE32" s="1"/>
      <c r="AF32" s="1">
        <f>G32*R32</f>
        <v>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72</v>
      </c>
      <c r="B33" s="1" t="s">
        <v>42</v>
      </c>
      <c r="C33" s="1">
        <v>328</v>
      </c>
      <c r="D33" s="1">
        <v>707</v>
      </c>
      <c r="E33" s="1">
        <v>468</v>
      </c>
      <c r="F33" s="1">
        <v>434</v>
      </c>
      <c r="G33" s="8">
        <v>0.4</v>
      </c>
      <c r="H33" s="1">
        <v>45</v>
      </c>
      <c r="I33" s="1" t="s">
        <v>37</v>
      </c>
      <c r="J33" s="1"/>
      <c r="K33" s="1">
        <v>491</v>
      </c>
      <c r="L33" s="1">
        <f t="shared" si="0"/>
        <v>-23</v>
      </c>
      <c r="M33" s="1"/>
      <c r="N33" s="1"/>
      <c r="O33" s="1">
        <v>197.43999999999991</v>
      </c>
      <c r="P33" s="1">
        <v>0</v>
      </c>
      <c r="Q33" s="1">
        <f t="shared" si="1"/>
        <v>93.6</v>
      </c>
      <c r="R33" s="5">
        <f t="shared" si="6"/>
        <v>398.15999999999997</v>
      </c>
      <c r="S33" s="5"/>
      <c r="T33" s="1"/>
      <c r="U33" s="1">
        <f t="shared" si="2"/>
        <v>11</v>
      </c>
      <c r="V33" s="1">
        <f t="shared" si="3"/>
        <v>6.7461538461538462</v>
      </c>
      <c r="W33" s="1">
        <v>79.8</v>
      </c>
      <c r="X33" s="1">
        <v>88.6</v>
      </c>
      <c r="Y33" s="1">
        <v>99.2</v>
      </c>
      <c r="Z33" s="1">
        <v>89.8</v>
      </c>
      <c r="AA33" s="1">
        <v>86.6</v>
      </c>
      <c r="AB33" s="1">
        <v>86.8</v>
      </c>
      <c r="AC33" s="1">
        <v>72.400000000000006</v>
      </c>
      <c r="AD33" s="1">
        <v>79.2</v>
      </c>
      <c r="AE33" s="1" t="s">
        <v>73</v>
      </c>
      <c r="AF33" s="1">
        <f>G33*R33</f>
        <v>159.26400000000001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74</v>
      </c>
      <c r="B34" s="1" t="s">
        <v>42</v>
      </c>
      <c r="C34" s="1">
        <v>218</v>
      </c>
      <c r="D34" s="1">
        <v>23</v>
      </c>
      <c r="E34" s="1">
        <v>155</v>
      </c>
      <c r="F34" s="1">
        <v>78</v>
      </c>
      <c r="G34" s="8">
        <v>0.45</v>
      </c>
      <c r="H34" s="1">
        <v>50</v>
      </c>
      <c r="I34" s="11" t="s">
        <v>75</v>
      </c>
      <c r="J34" s="1"/>
      <c r="K34" s="1">
        <v>160</v>
      </c>
      <c r="L34" s="1">
        <f t="shared" si="0"/>
        <v>-5</v>
      </c>
      <c r="M34" s="1"/>
      <c r="N34" s="1"/>
      <c r="O34" s="1">
        <v>16</v>
      </c>
      <c r="P34" s="1">
        <v>50</v>
      </c>
      <c r="Q34" s="1">
        <f t="shared" si="1"/>
        <v>31</v>
      </c>
      <c r="R34" s="5">
        <f>10*Q34-P34-O34-F34</f>
        <v>166</v>
      </c>
      <c r="S34" s="5"/>
      <c r="T34" s="1"/>
      <c r="U34" s="1">
        <f t="shared" si="2"/>
        <v>10</v>
      </c>
      <c r="V34" s="1">
        <f t="shared" si="3"/>
        <v>4.645161290322581</v>
      </c>
      <c r="W34" s="1">
        <v>21</v>
      </c>
      <c r="X34" s="1">
        <v>24.8</v>
      </c>
      <c r="Y34" s="1">
        <v>26.6</v>
      </c>
      <c r="Z34" s="1">
        <v>9.6</v>
      </c>
      <c r="AA34" s="1">
        <v>10.4</v>
      </c>
      <c r="AB34" s="1">
        <v>23.6</v>
      </c>
      <c r="AC34" s="1">
        <v>38.6</v>
      </c>
      <c r="AD34" s="1">
        <v>35.200000000000003</v>
      </c>
      <c r="AE34" s="1" t="s">
        <v>39</v>
      </c>
      <c r="AF34" s="1">
        <f>G34*R34</f>
        <v>74.7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76</v>
      </c>
      <c r="B35" s="1" t="s">
        <v>42</v>
      </c>
      <c r="C35" s="1">
        <v>156</v>
      </c>
      <c r="D35" s="1">
        <v>1357</v>
      </c>
      <c r="E35" s="1">
        <v>408</v>
      </c>
      <c r="F35" s="1">
        <v>462</v>
      </c>
      <c r="G35" s="8">
        <v>0.4</v>
      </c>
      <c r="H35" s="1">
        <v>45</v>
      </c>
      <c r="I35" s="1" t="s">
        <v>37</v>
      </c>
      <c r="J35" s="1"/>
      <c r="K35" s="1">
        <v>415</v>
      </c>
      <c r="L35" s="1">
        <f t="shared" si="0"/>
        <v>-7</v>
      </c>
      <c r="M35" s="1"/>
      <c r="N35" s="1"/>
      <c r="O35" s="1">
        <v>0</v>
      </c>
      <c r="P35" s="1">
        <v>136.46</v>
      </c>
      <c r="Q35" s="1">
        <f t="shared" si="1"/>
        <v>81.599999999999994</v>
      </c>
      <c r="R35" s="5">
        <f t="shared" si="6"/>
        <v>299.13999999999987</v>
      </c>
      <c r="S35" s="5"/>
      <c r="T35" s="1"/>
      <c r="U35" s="1">
        <f t="shared" si="2"/>
        <v>11</v>
      </c>
      <c r="V35" s="1">
        <f t="shared" si="3"/>
        <v>7.3340686274509812</v>
      </c>
      <c r="W35" s="1">
        <v>77.2</v>
      </c>
      <c r="X35" s="1">
        <v>74.2</v>
      </c>
      <c r="Y35" s="1">
        <v>94</v>
      </c>
      <c r="Z35" s="1">
        <v>89.8</v>
      </c>
      <c r="AA35" s="1">
        <v>65.8</v>
      </c>
      <c r="AB35" s="1">
        <v>70</v>
      </c>
      <c r="AC35" s="1">
        <v>78.8</v>
      </c>
      <c r="AD35" s="1">
        <v>87.4</v>
      </c>
      <c r="AE35" s="1"/>
      <c r="AF35" s="1">
        <f>G35*R35</f>
        <v>119.65599999999995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77</v>
      </c>
      <c r="B36" s="1" t="s">
        <v>36</v>
      </c>
      <c r="C36" s="1">
        <v>90.084000000000003</v>
      </c>
      <c r="D36" s="1"/>
      <c r="E36" s="1">
        <v>58.744999999999997</v>
      </c>
      <c r="F36" s="1">
        <v>31.338999999999999</v>
      </c>
      <c r="G36" s="8">
        <v>1</v>
      </c>
      <c r="H36" s="1">
        <v>45</v>
      </c>
      <c r="I36" s="1" t="s">
        <v>37</v>
      </c>
      <c r="J36" s="1"/>
      <c r="K36" s="1">
        <v>55.1</v>
      </c>
      <c r="L36" s="1">
        <f t="shared" si="0"/>
        <v>3.644999999999996</v>
      </c>
      <c r="M36" s="1"/>
      <c r="N36" s="1"/>
      <c r="O36" s="1">
        <v>0</v>
      </c>
      <c r="P36" s="1">
        <v>53.636800000000008</v>
      </c>
      <c r="Q36" s="1">
        <f t="shared" si="1"/>
        <v>11.748999999999999</v>
      </c>
      <c r="R36" s="5">
        <f t="shared" si="6"/>
        <v>44.263199999999969</v>
      </c>
      <c r="S36" s="5"/>
      <c r="T36" s="1"/>
      <c r="U36" s="1">
        <f t="shared" si="2"/>
        <v>10.999999999999998</v>
      </c>
      <c r="V36" s="1">
        <f t="shared" si="3"/>
        <v>7.232598519022897</v>
      </c>
      <c r="W36" s="1">
        <v>9.9488000000000003</v>
      </c>
      <c r="X36" s="1">
        <v>4.2332000000000001</v>
      </c>
      <c r="Y36" s="1">
        <v>3.1520000000000001</v>
      </c>
      <c r="Z36" s="1">
        <v>8.6180000000000003</v>
      </c>
      <c r="AA36" s="1">
        <v>10.551600000000001</v>
      </c>
      <c r="AB36" s="1">
        <v>7.0959999999999992</v>
      </c>
      <c r="AC36" s="1">
        <v>4.3066000000000004</v>
      </c>
      <c r="AD36" s="1">
        <v>2.6002000000000001</v>
      </c>
      <c r="AE36" s="1"/>
      <c r="AF36" s="1">
        <f>G36*R36</f>
        <v>44.263199999999969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78</v>
      </c>
      <c r="B37" s="1" t="s">
        <v>42</v>
      </c>
      <c r="C37" s="1">
        <v>144</v>
      </c>
      <c r="D37" s="1"/>
      <c r="E37" s="1">
        <v>58</v>
      </c>
      <c r="F37" s="1">
        <v>86</v>
      </c>
      <c r="G37" s="8">
        <v>0.1</v>
      </c>
      <c r="H37" s="1">
        <v>730</v>
      </c>
      <c r="I37" s="1" t="s">
        <v>37</v>
      </c>
      <c r="J37" s="1"/>
      <c r="K37" s="1">
        <v>58</v>
      </c>
      <c r="L37" s="1">
        <f t="shared" si="0"/>
        <v>0</v>
      </c>
      <c r="M37" s="1"/>
      <c r="N37" s="1"/>
      <c r="O37" s="1">
        <v>0</v>
      </c>
      <c r="P37" s="1">
        <v>48.599999999999987</v>
      </c>
      <c r="Q37" s="1">
        <f t="shared" si="1"/>
        <v>11.6</v>
      </c>
      <c r="R37" s="5"/>
      <c r="S37" s="5"/>
      <c r="T37" s="1"/>
      <c r="U37" s="1">
        <f t="shared" si="2"/>
        <v>11.603448275862069</v>
      </c>
      <c r="V37" s="1">
        <f t="shared" si="3"/>
        <v>11.603448275862069</v>
      </c>
      <c r="W37" s="1">
        <v>14.6</v>
      </c>
      <c r="X37" s="1">
        <v>11.6</v>
      </c>
      <c r="Y37" s="1">
        <v>6.6</v>
      </c>
      <c r="Z37" s="1">
        <v>11</v>
      </c>
      <c r="AA37" s="1">
        <v>19.8</v>
      </c>
      <c r="AB37" s="1">
        <v>12.6</v>
      </c>
      <c r="AC37" s="1">
        <v>3.6</v>
      </c>
      <c r="AD37" s="1">
        <v>3.6</v>
      </c>
      <c r="AE37" s="1"/>
      <c r="AF37" s="1">
        <f>G37*R37</f>
        <v>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79</v>
      </c>
      <c r="B38" s="1" t="s">
        <v>42</v>
      </c>
      <c r="C38" s="1">
        <v>43</v>
      </c>
      <c r="D38" s="1">
        <v>70</v>
      </c>
      <c r="E38" s="1">
        <v>91</v>
      </c>
      <c r="F38" s="1"/>
      <c r="G38" s="8">
        <v>0.35</v>
      </c>
      <c r="H38" s="1">
        <v>40</v>
      </c>
      <c r="I38" s="1" t="s">
        <v>37</v>
      </c>
      <c r="J38" s="1"/>
      <c r="K38" s="1">
        <v>129</v>
      </c>
      <c r="L38" s="1">
        <f t="shared" ref="L38:L68" si="7">E38-K38</f>
        <v>-38</v>
      </c>
      <c r="M38" s="1"/>
      <c r="N38" s="1"/>
      <c r="O38" s="1">
        <v>131.99999999999989</v>
      </c>
      <c r="P38" s="1">
        <v>93.400000000000119</v>
      </c>
      <c r="Q38" s="1">
        <f t="shared" si="1"/>
        <v>18.2</v>
      </c>
      <c r="R38" s="5"/>
      <c r="S38" s="5"/>
      <c r="T38" s="1"/>
      <c r="U38" s="1">
        <f t="shared" si="2"/>
        <v>12.384615384615385</v>
      </c>
      <c r="V38" s="1">
        <f t="shared" si="3"/>
        <v>12.384615384615385</v>
      </c>
      <c r="W38" s="1">
        <v>24.6</v>
      </c>
      <c r="X38" s="1">
        <v>20.399999999999999</v>
      </c>
      <c r="Y38" s="1">
        <v>14.6</v>
      </c>
      <c r="Z38" s="1">
        <v>13.6</v>
      </c>
      <c r="AA38" s="1">
        <v>17.2</v>
      </c>
      <c r="AB38" s="1">
        <v>21</v>
      </c>
      <c r="AC38" s="1">
        <v>12.8</v>
      </c>
      <c r="AD38" s="1">
        <v>6.4</v>
      </c>
      <c r="AE38" s="1" t="s">
        <v>39</v>
      </c>
      <c r="AF38" s="1">
        <f>G38*R38</f>
        <v>0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80</v>
      </c>
      <c r="B39" s="1" t="s">
        <v>36</v>
      </c>
      <c r="C39" s="1">
        <v>97.424999999999997</v>
      </c>
      <c r="D39" s="1"/>
      <c r="E39" s="1">
        <v>113.58799999999999</v>
      </c>
      <c r="F39" s="1">
        <v>-16.870999999999999</v>
      </c>
      <c r="G39" s="8">
        <v>1</v>
      </c>
      <c r="H39" s="1">
        <v>40</v>
      </c>
      <c r="I39" s="1" t="s">
        <v>37</v>
      </c>
      <c r="J39" s="1"/>
      <c r="K39" s="1">
        <v>110.57</v>
      </c>
      <c r="L39" s="1">
        <f t="shared" si="7"/>
        <v>3.0180000000000007</v>
      </c>
      <c r="M39" s="1"/>
      <c r="N39" s="1"/>
      <c r="O39" s="1">
        <v>84.116800000000026</v>
      </c>
      <c r="P39" s="1">
        <v>206.38720000000001</v>
      </c>
      <c r="Q39" s="1">
        <f t="shared" si="1"/>
        <v>22.717599999999997</v>
      </c>
      <c r="R39" s="5"/>
      <c r="S39" s="5"/>
      <c r="T39" s="1"/>
      <c r="U39" s="1">
        <f t="shared" si="2"/>
        <v>12.044978342782692</v>
      </c>
      <c r="V39" s="1">
        <f t="shared" si="3"/>
        <v>12.044978342782692</v>
      </c>
      <c r="W39" s="1">
        <v>26.006</v>
      </c>
      <c r="X39" s="1">
        <v>16.503799999999998</v>
      </c>
      <c r="Y39" s="1">
        <v>20.4678</v>
      </c>
      <c r="Z39" s="1">
        <v>21.206800000000001</v>
      </c>
      <c r="AA39" s="1">
        <v>30.023199999999999</v>
      </c>
      <c r="AB39" s="1">
        <v>27.058599999999998</v>
      </c>
      <c r="AC39" s="1">
        <v>10.096399999999999</v>
      </c>
      <c r="AD39" s="1">
        <v>14.3514</v>
      </c>
      <c r="AE39" s="1"/>
      <c r="AF39" s="1">
        <f>G39*R39</f>
        <v>0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81</v>
      </c>
      <c r="B40" s="1" t="s">
        <v>42</v>
      </c>
      <c r="C40" s="1">
        <v>24</v>
      </c>
      <c r="D40" s="1">
        <v>129</v>
      </c>
      <c r="E40" s="1">
        <v>44</v>
      </c>
      <c r="F40" s="1">
        <v>66</v>
      </c>
      <c r="G40" s="8">
        <v>0.4</v>
      </c>
      <c r="H40" s="1">
        <v>40</v>
      </c>
      <c r="I40" s="1" t="s">
        <v>37</v>
      </c>
      <c r="J40" s="1"/>
      <c r="K40" s="1">
        <v>75</v>
      </c>
      <c r="L40" s="1">
        <f t="shared" si="7"/>
        <v>-31</v>
      </c>
      <c r="M40" s="1"/>
      <c r="N40" s="1"/>
      <c r="O40" s="1">
        <v>0</v>
      </c>
      <c r="P40" s="1">
        <v>37.800000000000011</v>
      </c>
      <c r="Q40" s="1">
        <f t="shared" si="1"/>
        <v>8.8000000000000007</v>
      </c>
      <c r="R40" s="5"/>
      <c r="S40" s="5"/>
      <c r="T40" s="1"/>
      <c r="U40" s="1">
        <f t="shared" si="2"/>
        <v>11.795454545454545</v>
      </c>
      <c r="V40" s="1">
        <f t="shared" si="3"/>
        <v>11.795454545454545</v>
      </c>
      <c r="W40" s="1">
        <v>11.4</v>
      </c>
      <c r="X40" s="1">
        <v>10.8</v>
      </c>
      <c r="Y40" s="1">
        <v>13</v>
      </c>
      <c r="Z40" s="1">
        <v>9.4</v>
      </c>
      <c r="AA40" s="1">
        <v>10.6</v>
      </c>
      <c r="AB40" s="1">
        <v>13.8</v>
      </c>
      <c r="AC40" s="1">
        <v>7.2</v>
      </c>
      <c r="AD40" s="1">
        <v>8</v>
      </c>
      <c r="AE40" s="1"/>
      <c r="AF40" s="1">
        <f>G40*R40</f>
        <v>0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82</v>
      </c>
      <c r="B41" s="1" t="s">
        <v>42</v>
      </c>
      <c r="C41" s="1">
        <v>345</v>
      </c>
      <c r="D41" s="1">
        <v>225</v>
      </c>
      <c r="E41" s="1">
        <v>87</v>
      </c>
      <c r="F41" s="1">
        <v>477</v>
      </c>
      <c r="G41" s="8">
        <v>0.4</v>
      </c>
      <c r="H41" s="1">
        <v>45</v>
      </c>
      <c r="I41" s="1" t="s">
        <v>37</v>
      </c>
      <c r="J41" s="1"/>
      <c r="K41" s="1">
        <v>91</v>
      </c>
      <c r="L41" s="1">
        <f t="shared" si="7"/>
        <v>-4</v>
      </c>
      <c r="M41" s="1"/>
      <c r="N41" s="1"/>
      <c r="O41" s="1">
        <v>0</v>
      </c>
      <c r="P41" s="1">
        <v>0</v>
      </c>
      <c r="Q41" s="1">
        <f t="shared" si="1"/>
        <v>17.399999999999999</v>
      </c>
      <c r="R41" s="5"/>
      <c r="S41" s="5"/>
      <c r="T41" s="1"/>
      <c r="U41" s="1">
        <f t="shared" si="2"/>
        <v>27.413793103448278</v>
      </c>
      <c r="V41" s="1">
        <f t="shared" si="3"/>
        <v>27.413793103448278</v>
      </c>
      <c r="W41" s="1">
        <v>9.8000000000000007</v>
      </c>
      <c r="X41" s="1">
        <v>34.6</v>
      </c>
      <c r="Y41" s="1">
        <v>53.8</v>
      </c>
      <c r="Z41" s="1">
        <v>22.8</v>
      </c>
      <c r="AA41" s="1">
        <v>41</v>
      </c>
      <c r="AB41" s="1">
        <v>57.4</v>
      </c>
      <c r="AC41" s="1">
        <v>58.8</v>
      </c>
      <c r="AD41" s="1">
        <v>61.8</v>
      </c>
      <c r="AE41" s="15" t="s">
        <v>155</v>
      </c>
      <c r="AF41" s="1">
        <f>G41*R41</f>
        <v>0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83</v>
      </c>
      <c r="B42" s="1" t="s">
        <v>36</v>
      </c>
      <c r="C42" s="1">
        <v>70.906000000000006</v>
      </c>
      <c r="D42" s="1">
        <v>175.96299999999999</v>
      </c>
      <c r="E42" s="1">
        <v>154.66999999999999</v>
      </c>
      <c r="F42" s="1">
        <v>87.734999999999999</v>
      </c>
      <c r="G42" s="8">
        <v>1</v>
      </c>
      <c r="H42" s="1">
        <v>40</v>
      </c>
      <c r="I42" s="1" t="s">
        <v>37</v>
      </c>
      <c r="J42" s="1"/>
      <c r="K42" s="1">
        <v>152.37</v>
      </c>
      <c r="L42" s="1">
        <f t="shared" si="7"/>
        <v>2.2999999999999829</v>
      </c>
      <c r="M42" s="1"/>
      <c r="N42" s="1"/>
      <c r="O42" s="1">
        <v>23.770599999999931</v>
      </c>
      <c r="P42" s="1">
        <v>180.78620000000009</v>
      </c>
      <c r="Q42" s="1">
        <f t="shared" si="1"/>
        <v>30.933999999999997</v>
      </c>
      <c r="R42" s="5">
        <f t="shared" si="6"/>
        <v>47.982199999999992</v>
      </c>
      <c r="S42" s="5"/>
      <c r="T42" s="1"/>
      <c r="U42" s="1">
        <f t="shared" si="2"/>
        <v>11.000000000000002</v>
      </c>
      <c r="V42" s="1">
        <f t="shared" si="3"/>
        <v>9.4488847223120214</v>
      </c>
      <c r="W42" s="1">
        <v>32.066400000000002</v>
      </c>
      <c r="X42" s="1">
        <v>23.393000000000001</v>
      </c>
      <c r="Y42" s="1">
        <v>26.324400000000001</v>
      </c>
      <c r="Z42" s="1">
        <v>27.927800000000001</v>
      </c>
      <c r="AA42" s="1">
        <v>18.489000000000001</v>
      </c>
      <c r="AB42" s="1">
        <v>6.6821999999999999</v>
      </c>
      <c r="AC42" s="1">
        <v>19.757400000000001</v>
      </c>
      <c r="AD42" s="1">
        <v>33.061599999999999</v>
      </c>
      <c r="AE42" s="1"/>
      <c r="AF42" s="1">
        <f>G42*R42</f>
        <v>47.982199999999992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84</v>
      </c>
      <c r="B43" s="1" t="s">
        <v>42</v>
      </c>
      <c r="C43" s="1">
        <v>116</v>
      </c>
      <c r="D43" s="1">
        <v>198</v>
      </c>
      <c r="E43" s="1">
        <v>163</v>
      </c>
      <c r="F43" s="1">
        <v>142</v>
      </c>
      <c r="G43" s="8">
        <v>0.35</v>
      </c>
      <c r="H43" s="1">
        <v>40</v>
      </c>
      <c r="I43" s="1" t="s">
        <v>37</v>
      </c>
      <c r="J43" s="1"/>
      <c r="K43" s="1">
        <v>191</v>
      </c>
      <c r="L43" s="1">
        <f t="shared" si="7"/>
        <v>-28</v>
      </c>
      <c r="M43" s="1"/>
      <c r="N43" s="1"/>
      <c r="O43" s="1">
        <v>52</v>
      </c>
      <c r="P43" s="1">
        <v>124.2</v>
      </c>
      <c r="Q43" s="1">
        <f t="shared" si="1"/>
        <v>32.6</v>
      </c>
      <c r="R43" s="5">
        <f t="shared" si="6"/>
        <v>40.400000000000034</v>
      </c>
      <c r="S43" s="5"/>
      <c r="T43" s="1"/>
      <c r="U43" s="1">
        <f t="shared" si="2"/>
        <v>11</v>
      </c>
      <c r="V43" s="1">
        <f t="shared" si="3"/>
        <v>9.7607361963190176</v>
      </c>
      <c r="W43" s="1">
        <v>32.6</v>
      </c>
      <c r="X43" s="1">
        <v>30</v>
      </c>
      <c r="Y43" s="1">
        <v>32</v>
      </c>
      <c r="Z43" s="1">
        <v>16.600000000000001</v>
      </c>
      <c r="AA43" s="1">
        <v>15</v>
      </c>
      <c r="AB43" s="1">
        <v>32.4</v>
      </c>
      <c r="AC43" s="1">
        <v>33</v>
      </c>
      <c r="AD43" s="1">
        <v>17</v>
      </c>
      <c r="AE43" s="1" t="s">
        <v>50</v>
      </c>
      <c r="AF43" s="1">
        <f>G43*R43</f>
        <v>14.140000000000011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85</v>
      </c>
      <c r="B44" s="1" t="s">
        <v>42</v>
      </c>
      <c r="C44" s="1">
        <v>214</v>
      </c>
      <c r="D44" s="1">
        <v>330</v>
      </c>
      <c r="E44" s="1">
        <v>277</v>
      </c>
      <c r="F44" s="1">
        <v>209</v>
      </c>
      <c r="G44" s="8">
        <v>0.4</v>
      </c>
      <c r="H44" s="1">
        <v>40</v>
      </c>
      <c r="I44" s="11" t="s">
        <v>75</v>
      </c>
      <c r="J44" s="1"/>
      <c r="K44" s="1">
        <v>286</v>
      </c>
      <c r="L44" s="1">
        <f t="shared" si="7"/>
        <v>-9</v>
      </c>
      <c r="M44" s="1"/>
      <c r="N44" s="1"/>
      <c r="O44" s="1">
        <v>140.6</v>
      </c>
      <c r="P44" s="1">
        <v>20.600000000000019</v>
      </c>
      <c r="Q44" s="1">
        <f t="shared" si="1"/>
        <v>55.4</v>
      </c>
      <c r="R44" s="5">
        <f t="shared" si="6"/>
        <v>239.19999999999993</v>
      </c>
      <c r="S44" s="5"/>
      <c r="T44" s="1"/>
      <c r="U44" s="1">
        <f t="shared" si="2"/>
        <v>11</v>
      </c>
      <c r="V44" s="1">
        <f t="shared" si="3"/>
        <v>6.6823104693140802</v>
      </c>
      <c r="W44" s="1">
        <v>50.6</v>
      </c>
      <c r="X44" s="1">
        <v>63.6</v>
      </c>
      <c r="Y44" s="1">
        <v>56.4</v>
      </c>
      <c r="Z44" s="1">
        <v>50</v>
      </c>
      <c r="AA44" s="1">
        <v>66</v>
      </c>
      <c r="AB44" s="1">
        <v>42.8</v>
      </c>
      <c r="AC44" s="1">
        <v>27</v>
      </c>
      <c r="AD44" s="1">
        <v>59</v>
      </c>
      <c r="AE44" s="1" t="s">
        <v>39</v>
      </c>
      <c r="AF44" s="1">
        <f>G44*R44</f>
        <v>95.679999999999978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86</v>
      </c>
      <c r="B45" s="1" t="s">
        <v>36</v>
      </c>
      <c r="C45" s="1">
        <v>107.825</v>
      </c>
      <c r="D45" s="1">
        <v>50.503</v>
      </c>
      <c r="E45" s="1">
        <v>49.582000000000001</v>
      </c>
      <c r="F45" s="1">
        <v>100.279</v>
      </c>
      <c r="G45" s="8">
        <v>1</v>
      </c>
      <c r="H45" s="1">
        <v>50</v>
      </c>
      <c r="I45" s="1" t="s">
        <v>37</v>
      </c>
      <c r="J45" s="1"/>
      <c r="K45" s="1">
        <v>49.6</v>
      </c>
      <c r="L45" s="1">
        <f t="shared" si="7"/>
        <v>-1.8000000000000682E-2</v>
      </c>
      <c r="M45" s="1"/>
      <c r="N45" s="1"/>
      <c r="O45" s="1">
        <v>0</v>
      </c>
      <c r="P45" s="1">
        <v>0</v>
      </c>
      <c r="Q45" s="1">
        <f t="shared" si="1"/>
        <v>9.9163999999999994</v>
      </c>
      <c r="R45" s="5">
        <f t="shared" si="6"/>
        <v>8.801400000000001</v>
      </c>
      <c r="S45" s="5"/>
      <c r="T45" s="1"/>
      <c r="U45" s="1">
        <f t="shared" si="2"/>
        <v>11</v>
      </c>
      <c r="V45" s="1">
        <f t="shared" si="3"/>
        <v>10.112439998386511</v>
      </c>
      <c r="W45" s="1">
        <v>9.9561999999999991</v>
      </c>
      <c r="X45" s="1">
        <v>12.7616</v>
      </c>
      <c r="Y45" s="1">
        <v>15.2072</v>
      </c>
      <c r="Z45" s="1">
        <v>14.938800000000001</v>
      </c>
      <c r="AA45" s="1">
        <v>18.617799999999999</v>
      </c>
      <c r="AB45" s="1">
        <v>15.881399999999999</v>
      </c>
      <c r="AC45" s="1">
        <v>11.2342</v>
      </c>
      <c r="AD45" s="1">
        <v>16.060600000000001</v>
      </c>
      <c r="AE45" s="1"/>
      <c r="AF45" s="1">
        <f>G45*R45</f>
        <v>8.801400000000001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87</v>
      </c>
      <c r="B46" s="1" t="s">
        <v>36</v>
      </c>
      <c r="C46" s="1">
        <v>151.965</v>
      </c>
      <c r="D46" s="1">
        <v>213.40199999999999</v>
      </c>
      <c r="E46" s="1">
        <v>129.99700000000001</v>
      </c>
      <c r="F46" s="1">
        <v>150.196</v>
      </c>
      <c r="G46" s="8">
        <v>1</v>
      </c>
      <c r="H46" s="1">
        <v>50</v>
      </c>
      <c r="I46" s="1" t="s">
        <v>37</v>
      </c>
      <c r="J46" s="1"/>
      <c r="K46" s="1">
        <v>127.6</v>
      </c>
      <c r="L46" s="1">
        <f t="shared" si="7"/>
        <v>2.3970000000000198</v>
      </c>
      <c r="M46" s="1"/>
      <c r="N46" s="1"/>
      <c r="O46" s="1">
        <v>0</v>
      </c>
      <c r="P46" s="1">
        <v>0</v>
      </c>
      <c r="Q46" s="1">
        <f t="shared" si="1"/>
        <v>25.999400000000001</v>
      </c>
      <c r="R46" s="5">
        <f t="shared" si="6"/>
        <v>135.79740000000001</v>
      </c>
      <c r="S46" s="5"/>
      <c r="T46" s="1"/>
      <c r="U46" s="1">
        <f t="shared" si="2"/>
        <v>11</v>
      </c>
      <c r="V46" s="1">
        <f t="shared" si="3"/>
        <v>5.7769025439048587</v>
      </c>
      <c r="W46" s="1">
        <v>20.065000000000001</v>
      </c>
      <c r="X46" s="1">
        <v>17.214600000000001</v>
      </c>
      <c r="Y46" s="1">
        <v>25.673999999999999</v>
      </c>
      <c r="Z46" s="1">
        <v>25.386800000000001</v>
      </c>
      <c r="AA46" s="1">
        <v>29.286999999999999</v>
      </c>
      <c r="AB46" s="1">
        <v>30.161799999999999</v>
      </c>
      <c r="AC46" s="1">
        <v>10.154199999999999</v>
      </c>
      <c r="AD46" s="1">
        <v>8.766</v>
      </c>
      <c r="AE46" s="1"/>
      <c r="AF46" s="1">
        <f>G46*R46</f>
        <v>135.79740000000001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88</v>
      </c>
      <c r="B47" s="1" t="s">
        <v>36</v>
      </c>
      <c r="C47" s="1"/>
      <c r="D47" s="1">
        <v>176.49199999999999</v>
      </c>
      <c r="E47" s="1">
        <v>48.055999999999997</v>
      </c>
      <c r="F47" s="1">
        <v>128.43600000000001</v>
      </c>
      <c r="G47" s="8">
        <v>1</v>
      </c>
      <c r="H47" s="1">
        <v>40</v>
      </c>
      <c r="I47" s="10" t="s">
        <v>89</v>
      </c>
      <c r="J47" s="1"/>
      <c r="K47" s="1">
        <v>46</v>
      </c>
      <c r="L47" s="1">
        <f t="shared" si="7"/>
        <v>2.0559999999999974</v>
      </c>
      <c r="M47" s="1"/>
      <c r="N47" s="1"/>
      <c r="O47" s="1">
        <v>0</v>
      </c>
      <c r="P47" s="1">
        <v>0</v>
      </c>
      <c r="Q47" s="1">
        <f t="shared" si="1"/>
        <v>9.6112000000000002</v>
      </c>
      <c r="R47" s="5">
        <v>40</v>
      </c>
      <c r="S47" s="5"/>
      <c r="T47" s="1"/>
      <c r="U47" s="1">
        <f t="shared" si="2"/>
        <v>17.524970867321457</v>
      </c>
      <c r="V47" s="1">
        <f t="shared" si="3"/>
        <v>13.363159647078408</v>
      </c>
      <c r="W47" s="1">
        <v>0</v>
      </c>
      <c r="X47" s="1">
        <v>0</v>
      </c>
      <c r="Y47" s="1">
        <v>305.3734</v>
      </c>
      <c r="Z47" s="1">
        <v>310.66680000000002</v>
      </c>
      <c r="AA47" s="1">
        <v>8.2584</v>
      </c>
      <c r="AB47" s="1">
        <v>16.9452</v>
      </c>
      <c r="AC47" s="1">
        <v>26.207599999999999</v>
      </c>
      <c r="AD47" s="1">
        <v>17.5838</v>
      </c>
      <c r="AE47" s="1" t="s">
        <v>90</v>
      </c>
      <c r="AF47" s="1">
        <f>G47*R47</f>
        <v>40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92</v>
      </c>
      <c r="B48" s="1" t="s">
        <v>42</v>
      </c>
      <c r="C48" s="1">
        <v>86</v>
      </c>
      <c r="D48" s="1">
        <v>166</v>
      </c>
      <c r="E48" s="1">
        <v>116</v>
      </c>
      <c r="F48" s="1">
        <v>80</v>
      </c>
      <c r="G48" s="8">
        <v>0.45</v>
      </c>
      <c r="H48" s="1">
        <v>50</v>
      </c>
      <c r="I48" s="1" t="s">
        <v>37</v>
      </c>
      <c r="J48" s="1"/>
      <c r="K48" s="1">
        <v>126</v>
      </c>
      <c r="L48" s="1">
        <f t="shared" si="7"/>
        <v>-10</v>
      </c>
      <c r="M48" s="1"/>
      <c r="N48" s="1"/>
      <c r="O48" s="1">
        <v>0</v>
      </c>
      <c r="P48" s="1">
        <v>0</v>
      </c>
      <c r="Q48" s="1">
        <f t="shared" si="1"/>
        <v>23.2</v>
      </c>
      <c r="R48" s="5">
        <f>9*Q48-P48-O48-F48</f>
        <v>128.79999999999998</v>
      </c>
      <c r="S48" s="5"/>
      <c r="T48" s="1"/>
      <c r="U48" s="1">
        <f t="shared" si="2"/>
        <v>9</v>
      </c>
      <c r="V48" s="1">
        <f t="shared" si="3"/>
        <v>3.4482758620689657</v>
      </c>
      <c r="W48" s="1">
        <v>12.8</v>
      </c>
      <c r="X48" s="1">
        <v>15.2</v>
      </c>
      <c r="Y48" s="1">
        <v>20.2</v>
      </c>
      <c r="Z48" s="1">
        <v>16</v>
      </c>
      <c r="AA48" s="1">
        <v>19.8</v>
      </c>
      <c r="AB48" s="1">
        <v>20.2</v>
      </c>
      <c r="AC48" s="1">
        <v>15.4</v>
      </c>
      <c r="AD48" s="1">
        <v>16.2</v>
      </c>
      <c r="AE48" s="1"/>
      <c r="AF48" s="1">
        <f>G48*R48</f>
        <v>57.959999999999994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93</v>
      </c>
      <c r="B49" s="1" t="s">
        <v>42</v>
      </c>
      <c r="C49" s="1"/>
      <c r="D49" s="1">
        <v>180</v>
      </c>
      <c r="E49" s="1">
        <v>22</v>
      </c>
      <c r="F49" s="1">
        <v>149</v>
      </c>
      <c r="G49" s="8">
        <v>0.4</v>
      </c>
      <c r="H49" s="1">
        <v>40</v>
      </c>
      <c r="I49" s="1" t="s">
        <v>37</v>
      </c>
      <c r="J49" s="1"/>
      <c r="K49" s="1">
        <v>41</v>
      </c>
      <c r="L49" s="1">
        <f t="shared" si="7"/>
        <v>-19</v>
      </c>
      <c r="M49" s="1"/>
      <c r="N49" s="1"/>
      <c r="O49" s="1">
        <v>0</v>
      </c>
      <c r="P49" s="1">
        <v>0</v>
      </c>
      <c r="Q49" s="1">
        <f t="shared" si="1"/>
        <v>4.4000000000000004</v>
      </c>
      <c r="R49" s="5"/>
      <c r="S49" s="5"/>
      <c r="T49" s="1"/>
      <c r="U49" s="1">
        <f t="shared" si="2"/>
        <v>33.86363636363636</v>
      </c>
      <c r="V49" s="1">
        <f t="shared" si="3"/>
        <v>33.86363636363636</v>
      </c>
      <c r="W49" s="1">
        <v>0.6</v>
      </c>
      <c r="X49" s="1">
        <v>10.4</v>
      </c>
      <c r="Y49" s="1">
        <v>15.8</v>
      </c>
      <c r="Z49" s="1">
        <v>7</v>
      </c>
      <c r="AA49" s="1">
        <v>5.2</v>
      </c>
      <c r="AB49" s="1">
        <v>8</v>
      </c>
      <c r="AC49" s="1">
        <v>8.4</v>
      </c>
      <c r="AD49" s="1">
        <v>10</v>
      </c>
      <c r="AE49" s="1" t="s">
        <v>94</v>
      </c>
      <c r="AF49" s="1">
        <f>G49*R49</f>
        <v>0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95</v>
      </c>
      <c r="B50" s="1" t="s">
        <v>42</v>
      </c>
      <c r="C50" s="1">
        <v>103</v>
      </c>
      <c r="D50" s="1">
        <v>17</v>
      </c>
      <c r="E50" s="1">
        <v>114</v>
      </c>
      <c r="F50" s="1">
        <v>-1</v>
      </c>
      <c r="G50" s="8">
        <v>0.4</v>
      </c>
      <c r="H50" s="1">
        <v>40</v>
      </c>
      <c r="I50" s="1" t="s">
        <v>37</v>
      </c>
      <c r="J50" s="1"/>
      <c r="K50" s="1">
        <v>124</v>
      </c>
      <c r="L50" s="1">
        <f t="shared" si="7"/>
        <v>-10</v>
      </c>
      <c r="M50" s="1"/>
      <c r="N50" s="1"/>
      <c r="O50" s="1">
        <v>0</v>
      </c>
      <c r="P50" s="1">
        <v>123.8</v>
      </c>
      <c r="Q50" s="1">
        <f t="shared" si="1"/>
        <v>22.8</v>
      </c>
      <c r="R50" s="5">
        <f t="shared" si="6"/>
        <v>128</v>
      </c>
      <c r="S50" s="5"/>
      <c r="T50" s="1"/>
      <c r="U50" s="1">
        <f t="shared" si="2"/>
        <v>11</v>
      </c>
      <c r="V50" s="1">
        <f t="shared" si="3"/>
        <v>5.3859649122807012</v>
      </c>
      <c r="W50" s="1">
        <v>14.4</v>
      </c>
      <c r="X50" s="1">
        <v>7.4</v>
      </c>
      <c r="Y50" s="1">
        <v>0.4</v>
      </c>
      <c r="Z50" s="1">
        <v>-1</v>
      </c>
      <c r="AA50" s="1">
        <v>13</v>
      </c>
      <c r="AB50" s="1">
        <v>16.8</v>
      </c>
      <c r="AC50" s="1">
        <v>5</v>
      </c>
      <c r="AD50" s="1">
        <v>7</v>
      </c>
      <c r="AE50" s="1" t="s">
        <v>96</v>
      </c>
      <c r="AF50" s="1">
        <f>G50*R50</f>
        <v>51.2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6" t="s">
        <v>97</v>
      </c>
      <c r="B51" s="16" t="s">
        <v>36</v>
      </c>
      <c r="C51" s="16"/>
      <c r="D51" s="16"/>
      <c r="E51" s="16"/>
      <c r="F51" s="16"/>
      <c r="G51" s="17">
        <v>0</v>
      </c>
      <c r="H51" s="16">
        <v>50</v>
      </c>
      <c r="I51" s="16" t="s">
        <v>37</v>
      </c>
      <c r="J51" s="16"/>
      <c r="K51" s="16"/>
      <c r="L51" s="16">
        <f t="shared" si="7"/>
        <v>0</v>
      </c>
      <c r="M51" s="16"/>
      <c r="N51" s="16"/>
      <c r="O51" s="16">
        <v>0</v>
      </c>
      <c r="P51" s="16">
        <v>0</v>
      </c>
      <c r="Q51" s="16">
        <f t="shared" si="1"/>
        <v>0</v>
      </c>
      <c r="R51" s="18"/>
      <c r="S51" s="18"/>
      <c r="T51" s="16"/>
      <c r="U51" s="16" t="e">
        <f t="shared" si="2"/>
        <v>#DIV/0!</v>
      </c>
      <c r="V51" s="16" t="e">
        <f t="shared" si="3"/>
        <v>#DIV/0!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 t="s">
        <v>64</v>
      </c>
      <c r="AF51" s="16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98</v>
      </c>
      <c r="B52" s="1" t="s">
        <v>42</v>
      </c>
      <c r="C52" s="1">
        <v>130</v>
      </c>
      <c r="D52" s="1">
        <v>1</v>
      </c>
      <c r="E52" s="1">
        <v>45</v>
      </c>
      <c r="F52" s="1">
        <v>85</v>
      </c>
      <c r="G52" s="8">
        <v>0.1</v>
      </c>
      <c r="H52" s="1">
        <v>730</v>
      </c>
      <c r="I52" s="1" t="s">
        <v>37</v>
      </c>
      <c r="J52" s="1"/>
      <c r="K52" s="1">
        <v>45</v>
      </c>
      <c r="L52" s="1">
        <f t="shared" si="7"/>
        <v>0</v>
      </c>
      <c r="M52" s="1"/>
      <c r="N52" s="1"/>
      <c r="O52" s="1">
        <v>0</v>
      </c>
      <c r="P52" s="1">
        <v>49.800000000000011</v>
      </c>
      <c r="Q52" s="1">
        <f t="shared" si="1"/>
        <v>9</v>
      </c>
      <c r="R52" s="5"/>
      <c r="S52" s="5"/>
      <c r="T52" s="1"/>
      <c r="U52" s="1">
        <f t="shared" si="2"/>
        <v>14.97777777777778</v>
      </c>
      <c r="V52" s="1">
        <f t="shared" si="3"/>
        <v>14.97777777777778</v>
      </c>
      <c r="W52" s="1">
        <v>13.8</v>
      </c>
      <c r="X52" s="1">
        <v>10.8</v>
      </c>
      <c r="Y52" s="1">
        <v>7.6</v>
      </c>
      <c r="Z52" s="1">
        <v>11.2</v>
      </c>
      <c r="AA52" s="1">
        <v>18.2</v>
      </c>
      <c r="AB52" s="1">
        <v>12</v>
      </c>
      <c r="AC52" s="1">
        <v>3.6</v>
      </c>
      <c r="AD52" s="1">
        <v>4</v>
      </c>
      <c r="AE52" s="1"/>
      <c r="AF52" s="1">
        <f>G52*R52</f>
        <v>0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99</v>
      </c>
      <c r="B53" s="1" t="s">
        <v>36</v>
      </c>
      <c r="C53" s="1">
        <v>148.22200000000001</v>
      </c>
      <c r="D53" s="1">
        <v>62.793999999999997</v>
      </c>
      <c r="E53" s="1">
        <v>152.12799999999999</v>
      </c>
      <c r="F53" s="1">
        <v>28.04</v>
      </c>
      <c r="G53" s="8">
        <v>1</v>
      </c>
      <c r="H53" s="1">
        <v>50</v>
      </c>
      <c r="I53" s="1" t="s">
        <v>37</v>
      </c>
      <c r="J53" s="1"/>
      <c r="K53" s="1">
        <v>148.30000000000001</v>
      </c>
      <c r="L53" s="1">
        <f t="shared" si="7"/>
        <v>3.8279999999999745</v>
      </c>
      <c r="M53" s="1"/>
      <c r="N53" s="1"/>
      <c r="O53" s="1">
        <v>74.348199999999963</v>
      </c>
      <c r="P53" s="1">
        <v>31.776399999999999</v>
      </c>
      <c r="Q53" s="1">
        <f t="shared" si="1"/>
        <v>30.425599999999996</v>
      </c>
      <c r="R53" s="5">
        <f>10*Q53-P53-O53-F53</f>
        <v>170.09139999999999</v>
      </c>
      <c r="S53" s="5"/>
      <c r="T53" s="1"/>
      <c r="U53" s="1">
        <f t="shared" si="2"/>
        <v>10</v>
      </c>
      <c r="V53" s="1">
        <f t="shared" si="3"/>
        <v>4.409595866638619</v>
      </c>
      <c r="W53" s="1">
        <v>20.245799999999999</v>
      </c>
      <c r="X53" s="1">
        <v>20.403199999999998</v>
      </c>
      <c r="Y53" s="1">
        <v>21.472200000000001</v>
      </c>
      <c r="Z53" s="1">
        <v>13.821</v>
      </c>
      <c r="AA53" s="1">
        <v>22.943000000000001</v>
      </c>
      <c r="AB53" s="1">
        <v>29.7958</v>
      </c>
      <c r="AC53" s="1">
        <v>21.8368</v>
      </c>
      <c r="AD53" s="1">
        <v>22.5608</v>
      </c>
      <c r="AE53" s="1"/>
      <c r="AF53" s="1">
        <f>G53*R53</f>
        <v>170.09139999999999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100</v>
      </c>
      <c r="B54" s="1" t="s">
        <v>36</v>
      </c>
      <c r="C54" s="1">
        <v>82.340999999999994</v>
      </c>
      <c r="D54" s="1"/>
      <c r="E54" s="1">
        <v>36.347999999999999</v>
      </c>
      <c r="F54" s="1">
        <v>45.945</v>
      </c>
      <c r="G54" s="8">
        <v>1</v>
      </c>
      <c r="H54" s="1">
        <v>50</v>
      </c>
      <c r="I54" s="1" t="s">
        <v>37</v>
      </c>
      <c r="J54" s="1"/>
      <c r="K54" s="1">
        <v>34.799999999999997</v>
      </c>
      <c r="L54" s="1">
        <f t="shared" si="7"/>
        <v>1.5480000000000018</v>
      </c>
      <c r="M54" s="1"/>
      <c r="N54" s="1"/>
      <c r="O54" s="1">
        <v>0</v>
      </c>
      <c r="P54" s="1">
        <v>0</v>
      </c>
      <c r="Q54" s="1">
        <f t="shared" si="1"/>
        <v>7.2695999999999996</v>
      </c>
      <c r="R54" s="5">
        <f t="shared" ref="R52:R61" si="8">11*Q54-P54-O54-F54</f>
        <v>34.020599999999995</v>
      </c>
      <c r="S54" s="5"/>
      <c r="T54" s="1"/>
      <c r="U54" s="1">
        <f t="shared" si="2"/>
        <v>11</v>
      </c>
      <c r="V54" s="1">
        <f t="shared" si="3"/>
        <v>6.3201551667216904</v>
      </c>
      <c r="W54" s="1">
        <v>4.5891999999999999</v>
      </c>
      <c r="X54" s="1">
        <v>3.5293999999999999</v>
      </c>
      <c r="Y54" s="1">
        <v>5.4336000000000002</v>
      </c>
      <c r="Z54" s="1">
        <v>6.5145999999999997</v>
      </c>
      <c r="AA54" s="1">
        <v>10.291</v>
      </c>
      <c r="AB54" s="1">
        <v>10.0358</v>
      </c>
      <c r="AC54" s="1">
        <v>6.2233999999999998</v>
      </c>
      <c r="AD54" s="1">
        <v>4.319</v>
      </c>
      <c r="AE54" s="1"/>
      <c r="AF54" s="1">
        <f>G54*R54</f>
        <v>34.020599999999995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101</v>
      </c>
      <c r="B55" s="1" t="s">
        <v>42</v>
      </c>
      <c r="C55" s="1">
        <v>152</v>
      </c>
      <c r="D55" s="1">
        <v>1</v>
      </c>
      <c r="E55" s="1">
        <v>49</v>
      </c>
      <c r="F55" s="1">
        <v>103</v>
      </c>
      <c r="G55" s="8">
        <v>0.1</v>
      </c>
      <c r="H55" s="1">
        <v>730</v>
      </c>
      <c r="I55" s="1" t="s">
        <v>37</v>
      </c>
      <c r="J55" s="1"/>
      <c r="K55" s="1">
        <v>49</v>
      </c>
      <c r="L55" s="1">
        <f t="shared" si="7"/>
        <v>0</v>
      </c>
      <c r="M55" s="1"/>
      <c r="N55" s="1"/>
      <c r="O55" s="1">
        <v>0</v>
      </c>
      <c r="P55" s="1">
        <v>29.800000000000011</v>
      </c>
      <c r="Q55" s="1">
        <f t="shared" si="1"/>
        <v>9.8000000000000007</v>
      </c>
      <c r="R55" s="5"/>
      <c r="S55" s="5"/>
      <c r="T55" s="1"/>
      <c r="U55" s="1">
        <f t="shared" si="2"/>
        <v>13.551020408163266</v>
      </c>
      <c r="V55" s="1">
        <f t="shared" si="3"/>
        <v>13.551020408163266</v>
      </c>
      <c r="W55" s="1">
        <v>13.8</v>
      </c>
      <c r="X55" s="1">
        <v>9.8000000000000007</v>
      </c>
      <c r="Y55" s="1">
        <v>6.4</v>
      </c>
      <c r="Z55" s="1">
        <v>10.8</v>
      </c>
      <c r="AA55" s="1">
        <v>19</v>
      </c>
      <c r="AB55" s="1">
        <v>13</v>
      </c>
      <c r="AC55" s="1">
        <v>1</v>
      </c>
      <c r="AD55" s="1">
        <v>4.4000000000000004</v>
      </c>
      <c r="AE55" s="1"/>
      <c r="AF55" s="1">
        <f>G55*R55</f>
        <v>0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102</v>
      </c>
      <c r="B56" s="1" t="s">
        <v>42</v>
      </c>
      <c r="C56" s="1">
        <v>38</v>
      </c>
      <c r="D56" s="1">
        <v>84</v>
      </c>
      <c r="E56" s="1">
        <v>29</v>
      </c>
      <c r="F56" s="1">
        <v>85</v>
      </c>
      <c r="G56" s="8">
        <v>0.4</v>
      </c>
      <c r="H56" s="1">
        <v>50</v>
      </c>
      <c r="I56" s="1" t="s">
        <v>37</v>
      </c>
      <c r="J56" s="1"/>
      <c r="K56" s="1">
        <v>34</v>
      </c>
      <c r="L56" s="1">
        <f t="shared" si="7"/>
        <v>-5</v>
      </c>
      <c r="M56" s="1"/>
      <c r="N56" s="1"/>
      <c r="O56" s="1">
        <v>19.599999999999991</v>
      </c>
      <c r="P56" s="1">
        <v>0</v>
      </c>
      <c r="Q56" s="1">
        <f t="shared" si="1"/>
        <v>5.8</v>
      </c>
      <c r="R56" s="5"/>
      <c r="S56" s="5"/>
      <c r="T56" s="1"/>
      <c r="U56" s="1">
        <f t="shared" si="2"/>
        <v>18.03448275862069</v>
      </c>
      <c r="V56" s="1">
        <f t="shared" si="3"/>
        <v>18.03448275862069</v>
      </c>
      <c r="W56" s="1">
        <v>6.4</v>
      </c>
      <c r="X56" s="1">
        <v>12.4</v>
      </c>
      <c r="Y56" s="1">
        <v>12.8</v>
      </c>
      <c r="Z56" s="1">
        <v>6.2</v>
      </c>
      <c r="AA56" s="1">
        <v>2</v>
      </c>
      <c r="AB56" s="1">
        <v>0.8</v>
      </c>
      <c r="AC56" s="1">
        <v>11.4</v>
      </c>
      <c r="AD56" s="1">
        <v>15.6</v>
      </c>
      <c r="AE56" s="1"/>
      <c r="AF56" s="1">
        <f>G56*R56</f>
        <v>0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103</v>
      </c>
      <c r="B57" s="1" t="s">
        <v>42</v>
      </c>
      <c r="C57" s="1">
        <v>357</v>
      </c>
      <c r="D57" s="1">
        <v>481</v>
      </c>
      <c r="E57" s="1">
        <v>408</v>
      </c>
      <c r="F57" s="1">
        <v>330</v>
      </c>
      <c r="G57" s="8">
        <v>0.4</v>
      </c>
      <c r="H57" s="1">
        <v>40</v>
      </c>
      <c r="I57" s="1" t="s">
        <v>37</v>
      </c>
      <c r="J57" s="1"/>
      <c r="K57" s="1">
        <v>414</v>
      </c>
      <c r="L57" s="1">
        <f t="shared" si="7"/>
        <v>-6</v>
      </c>
      <c r="M57" s="1"/>
      <c r="N57" s="1"/>
      <c r="O57" s="1">
        <v>142.11999999999969</v>
      </c>
      <c r="P57" s="1">
        <v>112.60000000000041</v>
      </c>
      <c r="Q57" s="1">
        <f t="shared" si="1"/>
        <v>81.599999999999994</v>
      </c>
      <c r="R57" s="5">
        <f t="shared" si="8"/>
        <v>312.87999999999988</v>
      </c>
      <c r="S57" s="5"/>
      <c r="T57" s="1"/>
      <c r="U57" s="1">
        <f t="shared" si="2"/>
        <v>11</v>
      </c>
      <c r="V57" s="1">
        <f t="shared" si="3"/>
        <v>7.1656862745098051</v>
      </c>
      <c r="W57" s="1">
        <v>74.8</v>
      </c>
      <c r="X57" s="1">
        <v>80.599999999999994</v>
      </c>
      <c r="Y57" s="1">
        <v>86.8</v>
      </c>
      <c r="Z57" s="1">
        <v>77</v>
      </c>
      <c r="AA57" s="1">
        <v>92.2</v>
      </c>
      <c r="AB57" s="1">
        <v>92</v>
      </c>
      <c r="AC57" s="1">
        <v>85</v>
      </c>
      <c r="AD57" s="1">
        <v>91</v>
      </c>
      <c r="AE57" s="1"/>
      <c r="AF57" s="1">
        <f>G57*R57</f>
        <v>125.15199999999996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104</v>
      </c>
      <c r="B58" s="1" t="s">
        <v>42</v>
      </c>
      <c r="C58" s="1">
        <v>226</v>
      </c>
      <c r="D58" s="1">
        <v>390</v>
      </c>
      <c r="E58" s="1">
        <v>275</v>
      </c>
      <c r="F58" s="1">
        <v>264</v>
      </c>
      <c r="G58" s="8">
        <v>0.4</v>
      </c>
      <c r="H58" s="1">
        <v>40</v>
      </c>
      <c r="I58" s="1" t="s">
        <v>37</v>
      </c>
      <c r="J58" s="1"/>
      <c r="K58" s="1">
        <v>282</v>
      </c>
      <c r="L58" s="1">
        <f t="shared" si="7"/>
        <v>-7</v>
      </c>
      <c r="M58" s="1"/>
      <c r="N58" s="1"/>
      <c r="O58" s="1">
        <v>75.239999999999895</v>
      </c>
      <c r="P58" s="1">
        <v>28.600000000000019</v>
      </c>
      <c r="Q58" s="1">
        <f t="shared" si="1"/>
        <v>55</v>
      </c>
      <c r="R58" s="5">
        <f t="shared" si="8"/>
        <v>237.16000000000008</v>
      </c>
      <c r="S58" s="5"/>
      <c r="T58" s="1"/>
      <c r="U58" s="1">
        <f t="shared" si="2"/>
        <v>11</v>
      </c>
      <c r="V58" s="1">
        <f t="shared" si="3"/>
        <v>6.6879999999999988</v>
      </c>
      <c r="W58" s="1">
        <v>48.8</v>
      </c>
      <c r="X58" s="1">
        <v>55.6</v>
      </c>
      <c r="Y58" s="1">
        <v>62.6</v>
      </c>
      <c r="Z58" s="1">
        <v>61.2</v>
      </c>
      <c r="AA58" s="1">
        <v>62.8</v>
      </c>
      <c r="AB58" s="1">
        <v>61.6</v>
      </c>
      <c r="AC58" s="1">
        <v>74.599999999999994</v>
      </c>
      <c r="AD58" s="1">
        <v>86.8</v>
      </c>
      <c r="AE58" s="1" t="s">
        <v>39</v>
      </c>
      <c r="AF58" s="1">
        <f>G58*R58</f>
        <v>94.864000000000033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105</v>
      </c>
      <c r="B59" s="1" t="s">
        <v>36</v>
      </c>
      <c r="C59" s="1">
        <v>106.47</v>
      </c>
      <c r="D59" s="1">
        <v>236.07900000000001</v>
      </c>
      <c r="E59" s="1">
        <v>186.239</v>
      </c>
      <c r="F59" s="1">
        <v>150.88499999999999</v>
      </c>
      <c r="G59" s="8">
        <v>1</v>
      </c>
      <c r="H59" s="1">
        <v>40</v>
      </c>
      <c r="I59" s="1" t="s">
        <v>37</v>
      </c>
      <c r="J59" s="1"/>
      <c r="K59" s="1">
        <v>158.69999999999999</v>
      </c>
      <c r="L59" s="1">
        <f t="shared" si="7"/>
        <v>27.539000000000016</v>
      </c>
      <c r="M59" s="1"/>
      <c r="N59" s="1"/>
      <c r="O59" s="1">
        <v>0</v>
      </c>
      <c r="P59" s="1">
        <v>107.869</v>
      </c>
      <c r="Q59" s="1">
        <f t="shared" si="1"/>
        <v>37.247799999999998</v>
      </c>
      <c r="R59" s="5">
        <f t="shared" si="8"/>
        <v>150.97180000000003</v>
      </c>
      <c r="S59" s="5"/>
      <c r="T59" s="1"/>
      <c r="U59" s="1">
        <f t="shared" si="2"/>
        <v>11.000000000000002</v>
      </c>
      <c r="V59" s="1">
        <f t="shared" si="3"/>
        <v>6.9468263897465095</v>
      </c>
      <c r="W59" s="1">
        <v>32.560400000000001</v>
      </c>
      <c r="X59" s="1">
        <v>30.3734</v>
      </c>
      <c r="Y59" s="1">
        <v>33.2044</v>
      </c>
      <c r="Z59" s="1">
        <v>33.904000000000003</v>
      </c>
      <c r="AA59" s="1">
        <v>31.360199999999999</v>
      </c>
      <c r="AB59" s="1">
        <v>14.381399999999999</v>
      </c>
      <c r="AC59" s="1">
        <v>7.1659999999999986</v>
      </c>
      <c r="AD59" s="1">
        <v>32.423999999999999</v>
      </c>
      <c r="AE59" s="1"/>
      <c r="AF59" s="1">
        <f>G59*R59</f>
        <v>150.97180000000003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106</v>
      </c>
      <c r="B60" s="1" t="s">
        <v>36</v>
      </c>
      <c r="C60" s="1">
        <v>139.83000000000001</v>
      </c>
      <c r="D60" s="1">
        <v>100.271</v>
      </c>
      <c r="E60" s="1">
        <v>193.36699999999999</v>
      </c>
      <c r="F60" s="1">
        <v>40.412999999999997</v>
      </c>
      <c r="G60" s="8">
        <v>1</v>
      </c>
      <c r="H60" s="1">
        <v>40</v>
      </c>
      <c r="I60" s="1" t="s">
        <v>37</v>
      </c>
      <c r="J60" s="1"/>
      <c r="K60" s="1">
        <v>163.69999999999999</v>
      </c>
      <c r="L60" s="1">
        <f t="shared" si="7"/>
        <v>29.667000000000002</v>
      </c>
      <c r="M60" s="1"/>
      <c r="N60" s="1"/>
      <c r="O60" s="1">
        <v>179.77879999999999</v>
      </c>
      <c r="P60" s="1">
        <v>161.20359999999999</v>
      </c>
      <c r="Q60" s="1">
        <f t="shared" si="1"/>
        <v>38.673400000000001</v>
      </c>
      <c r="R60" s="5">
        <f t="shared" si="8"/>
        <v>44.012000000000015</v>
      </c>
      <c r="S60" s="5"/>
      <c r="T60" s="1"/>
      <c r="U60" s="1">
        <f t="shared" si="2"/>
        <v>11</v>
      </c>
      <c r="V60" s="1">
        <f t="shared" si="3"/>
        <v>9.8619567971784221</v>
      </c>
      <c r="W60" s="1">
        <v>43.221400000000003</v>
      </c>
      <c r="X60" s="1">
        <v>37.890799999999999</v>
      </c>
      <c r="Y60" s="1">
        <v>33.007800000000003</v>
      </c>
      <c r="Z60" s="1">
        <v>32.519599999999997</v>
      </c>
      <c r="AA60" s="1">
        <v>42.004399999999997</v>
      </c>
      <c r="AB60" s="1">
        <v>44.985599999999998</v>
      </c>
      <c r="AC60" s="1">
        <v>19.814599999999999</v>
      </c>
      <c r="AD60" s="1">
        <v>17.128599999999999</v>
      </c>
      <c r="AE60" s="1"/>
      <c r="AF60" s="1">
        <f>G60*R60</f>
        <v>44.012000000000015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107</v>
      </c>
      <c r="B61" s="1" t="s">
        <v>36</v>
      </c>
      <c r="C61" s="1">
        <v>25.196000000000002</v>
      </c>
      <c r="D61" s="1">
        <v>519.70500000000004</v>
      </c>
      <c r="E61" s="1">
        <v>295.97399999999999</v>
      </c>
      <c r="F61" s="1">
        <v>65.790999999999997</v>
      </c>
      <c r="G61" s="8">
        <v>1</v>
      </c>
      <c r="H61" s="1">
        <v>40</v>
      </c>
      <c r="I61" s="1" t="s">
        <v>37</v>
      </c>
      <c r="J61" s="1"/>
      <c r="K61" s="1">
        <v>291.2</v>
      </c>
      <c r="L61" s="1">
        <f t="shared" si="7"/>
        <v>4.7740000000000009</v>
      </c>
      <c r="M61" s="1"/>
      <c r="N61" s="1"/>
      <c r="O61" s="1">
        <v>195.03128000000009</v>
      </c>
      <c r="P61" s="1">
        <v>65.072399999999845</v>
      </c>
      <c r="Q61" s="1">
        <f t="shared" si="1"/>
        <v>59.194800000000001</v>
      </c>
      <c r="R61" s="5">
        <f t="shared" si="8"/>
        <v>325.24811999999997</v>
      </c>
      <c r="S61" s="5"/>
      <c r="T61" s="1"/>
      <c r="U61" s="1">
        <f t="shared" si="2"/>
        <v>10.999999999999998</v>
      </c>
      <c r="V61" s="1">
        <f t="shared" si="3"/>
        <v>5.5054612905187605</v>
      </c>
      <c r="W61" s="1">
        <v>51.930399999999999</v>
      </c>
      <c r="X61" s="1">
        <v>58.971400000000003</v>
      </c>
      <c r="Y61" s="1">
        <v>49.595199999999998</v>
      </c>
      <c r="Z61" s="1">
        <v>48.216799999999999</v>
      </c>
      <c r="AA61" s="1">
        <v>40.866599999999998</v>
      </c>
      <c r="AB61" s="1">
        <v>50.620600000000003</v>
      </c>
      <c r="AC61" s="1">
        <v>54.732999999999997</v>
      </c>
      <c r="AD61" s="1">
        <v>51.353599999999993</v>
      </c>
      <c r="AE61" s="1"/>
      <c r="AF61" s="1">
        <f>G61*R61</f>
        <v>325.24811999999997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6" t="s">
        <v>108</v>
      </c>
      <c r="B62" s="16" t="s">
        <v>36</v>
      </c>
      <c r="C62" s="16"/>
      <c r="D62" s="16"/>
      <c r="E62" s="16"/>
      <c r="F62" s="16"/>
      <c r="G62" s="17">
        <v>0</v>
      </c>
      <c r="H62" s="16">
        <v>30</v>
      </c>
      <c r="I62" s="16" t="s">
        <v>37</v>
      </c>
      <c r="J62" s="16"/>
      <c r="K62" s="16"/>
      <c r="L62" s="16">
        <f t="shared" si="7"/>
        <v>0</v>
      </c>
      <c r="M62" s="16"/>
      <c r="N62" s="16"/>
      <c r="O62" s="16">
        <v>0</v>
      </c>
      <c r="P62" s="16">
        <v>0</v>
      </c>
      <c r="Q62" s="16">
        <f t="shared" si="1"/>
        <v>0</v>
      </c>
      <c r="R62" s="18"/>
      <c r="S62" s="18"/>
      <c r="T62" s="16"/>
      <c r="U62" s="16" t="e">
        <f t="shared" si="2"/>
        <v>#DIV/0!</v>
      </c>
      <c r="V62" s="16" t="e">
        <f t="shared" si="3"/>
        <v>#DIV/0!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 t="s">
        <v>64</v>
      </c>
      <c r="AF62" s="16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109</v>
      </c>
      <c r="B63" s="1" t="s">
        <v>42</v>
      </c>
      <c r="C63" s="1"/>
      <c r="D63" s="1">
        <v>32</v>
      </c>
      <c r="E63" s="1">
        <v>5</v>
      </c>
      <c r="F63" s="1">
        <v>27</v>
      </c>
      <c r="G63" s="8">
        <v>0.6</v>
      </c>
      <c r="H63" s="1">
        <v>60</v>
      </c>
      <c r="I63" s="1" t="s">
        <v>37</v>
      </c>
      <c r="J63" s="1"/>
      <c r="K63" s="1">
        <v>5</v>
      </c>
      <c r="L63" s="1">
        <f t="shared" si="7"/>
        <v>0</v>
      </c>
      <c r="M63" s="1"/>
      <c r="N63" s="1"/>
      <c r="O63" s="1">
        <v>0</v>
      </c>
      <c r="P63" s="1">
        <v>0</v>
      </c>
      <c r="Q63" s="1">
        <f t="shared" si="1"/>
        <v>1</v>
      </c>
      <c r="R63" s="5"/>
      <c r="S63" s="5"/>
      <c r="T63" s="1"/>
      <c r="U63" s="1">
        <f t="shared" si="2"/>
        <v>27</v>
      </c>
      <c r="V63" s="1">
        <f t="shared" si="3"/>
        <v>27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 t="s">
        <v>110</v>
      </c>
      <c r="AF63" s="1">
        <f>G63*R63</f>
        <v>0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111</v>
      </c>
      <c r="B64" s="1" t="s">
        <v>42</v>
      </c>
      <c r="C64" s="1">
        <v>106</v>
      </c>
      <c r="D64" s="1">
        <v>4</v>
      </c>
      <c r="E64" s="1">
        <v>80</v>
      </c>
      <c r="F64" s="1">
        <v>25</v>
      </c>
      <c r="G64" s="8">
        <v>0.37</v>
      </c>
      <c r="H64" s="1">
        <v>50</v>
      </c>
      <c r="I64" s="1" t="s">
        <v>37</v>
      </c>
      <c r="J64" s="1"/>
      <c r="K64" s="1">
        <v>91</v>
      </c>
      <c r="L64" s="1">
        <f t="shared" si="7"/>
        <v>-11</v>
      </c>
      <c r="M64" s="1"/>
      <c r="N64" s="1"/>
      <c r="O64" s="1">
        <v>45.800000000000011</v>
      </c>
      <c r="P64" s="1">
        <v>6.1999999999999886</v>
      </c>
      <c r="Q64" s="1">
        <f t="shared" si="1"/>
        <v>16</v>
      </c>
      <c r="R64" s="5">
        <f t="shared" ref="R63:R64" si="9">11*Q64-P64-O64-F64</f>
        <v>99</v>
      </c>
      <c r="S64" s="5"/>
      <c r="T64" s="1"/>
      <c r="U64" s="1">
        <f t="shared" si="2"/>
        <v>11</v>
      </c>
      <c r="V64" s="1">
        <f t="shared" si="3"/>
        <v>4.8125</v>
      </c>
      <c r="W64" s="1">
        <v>12</v>
      </c>
      <c r="X64" s="1">
        <v>13.8</v>
      </c>
      <c r="Y64" s="1">
        <v>7.4</v>
      </c>
      <c r="Z64" s="1">
        <v>2</v>
      </c>
      <c r="AA64" s="1">
        <v>14.4</v>
      </c>
      <c r="AB64" s="1">
        <v>15.6</v>
      </c>
      <c r="AC64" s="1">
        <v>23.4</v>
      </c>
      <c r="AD64" s="1">
        <v>21</v>
      </c>
      <c r="AE64" s="1" t="s">
        <v>39</v>
      </c>
      <c r="AF64" s="1">
        <f>G64*R64</f>
        <v>36.630000000000003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6" t="s">
        <v>112</v>
      </c>
      <c r="B65" s="16" t="s">
        <v>42</v>
      </c>
      <c r="C65" s="16"/>
      <c r="D65" s="16"/>
      <c r="E65" s="16"/>
      <c r="F65" s="16"/>
      <c r="G65" s="17">
        <v>0</v>
      </c>
      <c r="H65" s="16">
        <v>30</v>
      </c>
      <c r="I65" s="16" t="s">
        <v>37</v>
      </c>
      <c r="J65" s="16"/>
      <c r="K65" s="16"/>
      <c r="L65" s="16">
        <f t="shared" si="7"/>
        <v>0</v>
      </c>
      <c r="M65" s="16"/>
      <c r="N65" s="16"/>
      <c r="O65" s="16">
        <v>0</v>
      </c>
      <c r="P65" s="16">
        <v>0</v>
      </c>
      <c r="Q65" s="16">
        <f t="shared" si="1"/>
        <v>0</v>
      </c>
      <c r="R65" s="18"/>
      <c r="S65" s="18"/>
      <c r="T65" s="16"/>
      <c r="U65" s="16" t="e">
        <f t="shared" si="2"/>
        <v>#DIV/0!</v>
      </c>
      <c r="V65" s="16" t="e">
        <f t="shared" si="3"/>
        <v>#DIV/0!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 t="s">
        <v>64</v>
      </c>
      <c r="AF65" s="16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113</v>
      </c>
      <c r="B66" s="1" t="s">
        <v>42</v>
      </c>
      <c r="C66" s="1"/>
      <c r="D66" s="1">
        <v>33</v>
      </c>
      <c r="E66" s="1"/>
      <c r="F66" s="1">
        <v>32</v>
      </c>
      <c r="G66" s="8">
        <v>0.6</v>
      </c>
      <c r="H66" s="1">
        <v>55</v>
      </c>
      <c r="I66" s="1" t="s">
        <v>37</v>
      </c>
      <c r="J66" s="1"/>
      <c r="K66" s="1"/>
      <c r="L66" s="1">
        <f t="shared" si="7"/>
        <v>0</v>
      </c>
      <c r="M66" s="1"/>
      <c r="N66" s="1"/>
      <c r="O66" s="1">
        <v>0</v>
      </c>
      <c r="P66" s="1">
        <v>0</v>
      </c>
      <c r="Q66" s="1">
        <f t="shared" si="1"/>
        <v>0</v>
      </c>
      <c r="R66" s="5"/>
      <c r="S66" s="5"/>
      <c r="T66" s="1"/>
      <c r="U66" s="1" t="e">
        <f t="shared" si="2"/>
        <v>#DIV/0!</v>
      </c>
      <c r="V66" s="1" t="e">
        <f t="shared" si="3"/>
        <v>#DIV/0!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 t="s">
        <v>110</v>
      </c>
      <c r="AF66" s="1">
        <f>G66*R66</f>
        <v>0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6" t="s">
        <v>114</v>
      </c>
      <c r="B67" s="16" t="s">
        <v>42</v>
      </c>
      <c r="C67" s="16"/>
      <c r="D67" s="16"/>
      <c r="E67" s="16"/>
      <c r="F67" s="16"/>
      <c r="G67" s="17">
        <v>0</v>
      </c>
      <c r="H67" s="16">
        <v>40</v>
      </c>
      <c r="I67" s="16" t="s">
        <v>37</v>
      </c>
      <c r="J67" s="16"/>
      <c r="K67" s="16"/>
      <c r="L67" s="16">
        <f t="shared" si="7"/>
        <v>0</v>
      </c>
      <c r="M67" s="16"/>
      <c r="N67" s="16"/>
      <c r="O67" s="16">
        <v>0</v>
      </c>
      <c r="P67" s="16">
        <v>0</v>
      </c>
      <c r="Q67" s="16">
        <f t="shared" si="1"/>
        <v>0</v>
      </c>
      <c r="R67" s="18"/>
      <c r="S67" s="18"/>
      <c r="T67" s="16"/>
      <c r="U67" s="16" t="e">
        <f t="shared" si="2"/>
        <v>#DIV/0!</v>
      </c>
      <c r="V67" s="16" t="e">
        <f t="shared" si="3"/>
        <v>#DIV/0!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 t="s">
        <v>64</v>
      </c>
      <c r="AF67" s="16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115</v>
      </c>
      <c r="B68" s="1" t="s">
        <v>42</v>
      </c>
      <c r="C68" s="1">
        <v>34</v>
      </c>
      <c r="D68" s="1">
        <v>15</v>
      </c>
      <c r="E68" s="1">
        <v>39</v>
      </c>
      <c r="F68" s="1">
        <v>2</v>
      </c>
      <c r="G68" s="8">
        <v>0.4</v>
      </c>
      <c r="H68" s="1">
        <v>50</v>
      </c>
      <c r="I68" s="1" t="s">
        <v>37</v>
      </c>
      <c r="J68" s="1"/>
      <c r="K68" s="1">
        <v>44</v>
      </c>
      <c r="L68" s="1">
        <f t="shared" si="7"/>
        <v>-5</v>
      </c>
      <c r="M68" s="1"/>
      <c r="N68" s="1"/>
      <c r="O68" s="1">
        <v>55</v>
      </c>
      <c r="P68" s="1">
        <v>9.1999999999999815</v>
      </c>
      <c r="Q68" s="1">
        <f t="shared" si="1"/>
        <v>7.8</v>
      </c>
      <c r="R68" s="5">
        <f>11*Q68-P68-O68-F68</f>
        <v>19.600000000000023</v>
      </c>
      <c r="S68" s="5"/>
      <c r="T68" s="1"/>
      <c r="U68" s="1">
        <f t="shared" si="2"/>
        <v>11.000000000000002</v>
      </c>
      <c r="V68" s="1">
        <f t="shared" si="3"/>
        <v>8.4871794871794854</v>
      </c>
      <c r="W68" s="1">
        <v>8</v>
      </c>
      <c r="X68" s="1">
        <v>8.8000000000000007</v>
      </c>
      <c r="Y68" s="1">
        <v>5.4</v>
      </c>
      <c r="Z68" s="1">
        <v>3.6</v>
      </c>
      <c r="AA68" s="1">
        <v>7.6</v>
      </c>
      <c r="AB68" s="1">
        <v>4.4000000000000004</v>
      </c>
      <c r="AC68" s="1">
        <v>5.4</v>
      </c>
      <c r="AD68" s="1">
        <v>7.4</v>
      </c>
      <c r="AE68" s="1"/>
      <c r="AF68" s="1">
        <f>G68*R68</f>
        <v>7.8400000000000096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6" t="s">
        <v>116</v>
      </c>
      <c r="B69" s="16" t="s">
        <v>42</v>
      </c>
      <c r="C69" s="16"/>
      <c r="D69" s="16"/>
      <c r="E69" s="16"/>
      <c r="F69" s="16"/>
      <c r="G69" s="17">
        <v>0</v>
      </c>
      <c r="H69" s="16">
        <v>55</v>
      </c>
      <c r="I69" s="16" t="s">
        <v>37</v>
      </c>
      <c r="J69" s="16"/>
      <c r="K69" s="16">
        <v>10</v>
      </c>
      <c r="L69" s="16">
        <f t="shared" ref="L69:L96" si="10">E69-K69</f>
        <v>-10</v>
      </c>
      <c r="M69" s="16"/>
      <c r="N69" s="16"/>
      <c r="O69" s="16">
        <v>0</v>
      </c>
      <c r="P69" s="16">
        <v>0</v>
      </c>
      <c r="Q69" s="16">
        <f t="shared" si="1"/>
        <v>0</v>
      </c>
      <c r="R69" s="18"/>
      <c r="S69" s="18"/>
      <c r="T69" s="16"/>
      <c r="U69" s="16" t="e">
        <f t="shared" si="2"/>
        <v>#DIV/0!</v>
      </c>
      <c r="V69" s="16" t="e">
        <f t="shared" si="3"/>
        <v>#DIV/0!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 t="s">
        <v>64</v>
      </c>
      <c r="AF69" s="16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6" t="s">
        <v>117</v>
      </c>
      <c r="B70" s="16" t="s">
        <v>36</v>
      </c>
      <c r="C70" s="16"/>
      <c r="D70" s="16"/>
      <c r="E70" s="16"/>
      <c r="F70" s="16"/>
      <c r="G70" s="17">
        <v>0</v>
      </c>
      <c r="H70" s="16">
        <v>55</v>
      </c>
      <c r="I70" s="16" t="s">
        <v>37</v>
      </c>
      <c r="J70" s="16"/>
      <c r="K70" s="16"/>
      <c r="L70" s="16">
        <f t="shared" si="10"/>
        <v>0</v>
      </c>
      <c r="M70" s="16"/>
      <c r="N70" s="16"/>
      <c r="O70" s="16">
        <v>0</v>
      </c>
      <c r="P70" s="16">
        <v>0</v>
      </c>
      <c r="Q70" s="16">
        <f t="shared" ref="Q70:Q96" si="11">E70/5</f>
        <v>0</v>
      </c>
      <c r="R70" s="18"/>
      <c r="S70" s="18"/>
      <c r="T70" s="16"/>
      <c r="U70" s="16" t="e">
        <f t="shared" ref="U70:U96" si="12">(F70+O70+P70+R70)/Q70</f>
        <v>#DIV/0!</v>
      </c>
      <c r="V70" s="16" t="e">
        <f t="shared" ref="V70:V96" si="13">(F70+O70+P70)/Q70</f>
        <v>#DIV/0!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 t="s">
        <v>118</v>
      </c>
      <c r="AF70" s="16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119</v>
      </c>
      <c r="B71" s="1" t="s">
        <v>36</v>
      </c>
      <c r="C71" s="1">
        <v>45.502000000000002</v>
      </c>
      <c r="D71" s="1">
        <v>99.804000000000002</v>
      </c>
      <c r="E71" s="1">
        <v>78.096000000000004</v>
      </c>
      <c r="F71" s="1">
        <v>57.843000000000004</v>
      </c>
      <c r="G71" s="8">
        <v>1</v>
      </c>
      <c r="H71" s="1">
        <v>60</v>
      </c>
      <c r="I71" s="1" t="s">
        <v>37</v>
      </c>
      <c r="J71" s="1"/>
      <c r="K71" s="1">
        <v>77.48</v>
      </c>
      <c r="L71" s="1">
        <f t="shared" si="10"/>
        <v>0.61599999999999966</v>
      </c>
      <c r="M71" s="1"/>
      <c r="N71" s="1"/>
      <c r="O71" s="1">
        <v>7.0579999999999714</v>
      </c>
      <c r="P71" s="1">
        <v>50.677000000000064</v>
      </c>
      <c r="Q71" s="1">
        <f t="shared" si="11"/>
        <v>15.619200000000001</v>
      </c>
      <c r="R71" s="5">
        <f t="shared" ref="R71:R74" si="14">11*Q71-P71-O71-F71</f>
        <v>56.233199999999968</v>
      </c>
      <c r="S71" s="5"/>
      <c r="T71" s="1"/>
      <c r="U71" s="1">
        <f t="shared" si="12"/>
        <v>11</v>
      </c>
      <c r="V71" s="1">
        <f t="shared" si="13"/>
        <v>7.3997387830362653</v>
      </c>
      <c r="W71" s="1">
        <v>13.597799999999999</v>
      </c>
      <c r="X71" s="1">
        <v>12.075799999999999</v>
      </c>
      <c r="Y71" s="1">
        <v>13.6318</v>
      </c>
      <c r="Z71" s="1">
        <v>13.8058</v>
      </c>
      <c r="AA71" s="1">
        <v>13.124000000000001</v>
      </c>
      <c r="AB71" s="1">
        <v>14.51</v>
      </c>
      <c r="AC71" s="1">
        <v>14.183400000000001</v>
      </c>
      <c r="AD71" s="1">
        <v>14.013</v>
      </c>
      <c r="AE71" s="1" t="s">
        <v>50</v>
      </c>
      <c r="AF71" s="1">
        <f>G71*R71</f>
        <v>56.233199999999968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120</v>
      </c>
      <c r="B72" s="1" t="s">
        <v>36</v>
      </c>
      <c r="C72" s="1">
        <v>842.505</v>
      </c>
      <c r="D72" s="1">
        <v>81.847999999999999</v>
      </c>
      <c r="E72" s="1">
        <v>610.33699999999999</v>
      </c>
      <c r="F72" s="1">
        <v>302.98</v>
      </c>
      <c r="G72" s="8">
        <v>1</v>
      </c>
      <c r="H72" s="1">
        <v>60</v>
      </c>
      <c r="I72" s="1" t="s">
        <v>37</v>
      </c>
      <c r="J72" s="1"/>
      <c r="K72" s="1">
        <v>612</v>
      </c>
      <c r="L72" s="1">
        <f t="shared" si="10"/>
        <v>-1.6630000000000109</v>
      </c>
      <c r="M72" s="1"/>
      <c r="N72" s="1"/>
      <c r="O72" s="1">
        <v>706.67758000000049</v>
      </c>
      <c r="P72" s="1">
        <v>92.691400000000158</v>
      </c>
      <c r="Q72" s="1">
        <f t="shared" si="11"/>
        <v>122.06739999999999</v>
      </c>
      <c r="R72" s="5">
        <f t="shared" si="14"/>
        <v>240.39241999999922</v>
      </c>
      <c r="S72" s="5"/>
      <c r="T72" s="1"/>
      <c r="U72" s="1">
        <f t="shared" si="12"/>
        <v>11</v>
      </c>
      <c r="V72" s="1">
        <f t="shared" si="13"/>
        <v>9.0306583084427192</v>
      </c>
      <c r="W72" s="1">
        <v>133.33080000000001</v>
      </c>
      <c r="X72" s="1">
        <v>134.61619999999999</v>
      </c>
      <c r="Y72" s="1">
        <v>107.20399999999999</v>
      </c>
      <c r="Z72" s="1">
        <v>122.2384</v>
      </c>
      <c r="AA72" s="1">
        <v>139.4984</v>
      </c>
      <c r="AB72" s="1">
        <v>129.5598</v>
      </c>
      <c r="AC72" s="1">
        <v>114.3836</v>
      </c>
      <c r="AD72" s="1">
        <v>112.3124</v>
      </c>
      <c r="AE72" s="1"/>
      <c r="AF72" s="1">
        <f>G72*R72</f>
        <v>240.39241999999922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121</v>
      </c>
      <c r="B73" s="1" t="s">
        <v>36</v>
      </c>
      <c r="C73" s="1">
        <v>677.923</v>
      </c>
      <c r="D73" s="1">
        <v>30.323</v>
      </c>
      <c r="E73" s="1">
        <v>478.548</v>
      </c>
      <c r="F73" s="1">
        <v>195.922</v>
      </c>
      <c r="G73" s="8">
        <v>1</v>
      </c>
      <c r="H73" s="1">
        <v>60</v>
      </c>
      <c r="I73" s="1" t="s">
        <v>37</v>
      </c>
      <c r="J73" s="1"/>
      <c r="K73" s="1">
        <v>477.1</v>
      </c>
      <c r="L73" s="1">
        <f t="shared" si="10"/>
        <v>1.4479999999999791</v>
      </c>
      <c r="M73" s="1"/>
      <c r="N73" s="1"/>
      <c r="O73" s="1">
        <v>341.76040000000012</v>
      </c>
      <c r="P73" s="1">
        <v>178.14159999999981</v>
      </c>
      <c r="Q73" s="1">
        <f t="shared" si="11"/>
        <v>95.709599999999995</v>
      </c>
      <c r="R73" s="5">
        <f t="shared" si="14"/>
        <v>336.98159999999996</v>
      </c>
      <c r="S73" s="5"/>
      <c r="T73" s="1"/>
      <c r="U73" s="1">
        <f t="shared" si="12"/>
        <v>11</v>
      </c>
      <c r="V73" s="1">
        <f t="shared" si="13"/>
        <v>7.479124351162266</v>
      </c>
      <c r="W73" s="1">
        <v>84.222999999999999</v>
      </c>
      <c r="X73" s="1">
        <v>78.826800000000006</v>
      </c>
      <c r="Y73" s="1">
        <v>72.585599999999999</v>
      </c>
      <c r="Z73" s="1">
        <v>71.541799999999995</v>
      </c>
      <c r="AA73" s="1">
        <v>99.359000000000009</v>
      </c>
      <c r="AB73" s="1">
        <v>107.42700000000001</v>
      </c>
      <c r="AC73" s="1">
        <v>75.036799999999999</v>
      </c>
      <c r="AD73" s="1">
        <v>71.079800000000006</v>
      </c>
      <c r="AE73" s="1" t="s">
        <v>50</v>
      </c>
      <c r="AF73" s="1">
        <f>G73*R73</f>
        <v>336.98159999999996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122</v>
      </c>
      <c r="B74" s="1" t="s">
        <v>36</v>
      </c>
      <c r="C74" s="1">
        <v>1061.9570000000001</v>
      </c>
      <c r="D74" s="1">
        <v>487.92700000000002</v>
      </c>
      <c r="E74" s="1">
        <v>885.94299999999998</v>
      </c>
      <c r="F74" s="1">
        <v>627.16600000000005</v>
      </c>
      <c r="G74" s="8">
        <v>1</v>
      </c>
      <c r="H74" s="1">
        <v>60</v>
      </c>
      <c r="I74" s="1" t="s">
        <v>37</v>
      </c>
      <c r="J74" s="1"/>
      <c r="K74" s="1">
        <v>884</v>
      </c>
      <c r="L74" s="1">
        <f t="shared" si="10"/>
        <v>1.9429999999999836</v>
      </c>
      <c r="M74" s="1"/>
      <c r="N74" s="1"/>
      <c r="O74" s="1">
        <v>747.19368000000088</v>
      </c>
      <c r="P74" s="1">
        <v>164.96247999999969</v>
      </c>
      <c r="Q74" s="1">
        <f t="shared" si="11"/>
        <v>177.18860000000001</v>
      </c>
      <c r="R74" s="5">
        <f t="shared" si="14"/>
        <v>409.75243999999941</v>
      </c>
      <c r="S74" s="5"/>
      <c r="T74" s="1"/>
      <c r="U74" s="1">
        <f t="shared" si="12"/>
        <v>10.999999999999998</v>
      </c>
      <c r="V74" s="1">
        <f t="shared" si="13"/>
        <v>8.6874785398157695</v>
      </c>
      <c r="W74" s="1">
        <v>172.42519999999999</v>
      </c>
      <c r="X74" s="1">
        <v>173.37100000000001</v>
      </c>
      <c r="Y74" s="1">
        <v>164.77160000000001</v>
      </c>
      <c r="Z74" s="1">
        <v>155.31039999999999</v>
      </c>
      <c r="AA74" s="1">
        <v>186.62</v>
      </c>
      <c r="AB74" s="1">
        <v>207.19200000000001</v>
      </c>
      <c r="AC74" s="1">
        <v>184.09479999999999</v>
      </c>
      <c r="AD74" s="1">
        <v>157.864</v>
      </c>
      <c r="AE74" s="1" t="s">
        <v>50</v>
      </c>
      <c r="AF74" s="1">
        <f>G74*R74</f>
        <v>409.75243999999941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2" t="s">
        <v>123</v>
      </c>
      <c r="B75" s="12" t="s">
        <v>36</v>
      </c>
      <c r="C75" s="12">
        <v>2.718</v>
      </c>
      <c r="D75" s="12"/>
      <c r="E75" s="12"/>
      <c r="F75" s="12">
        <v>8.0000000000000002E-3</v>
      </c>
      <c r="G75" s="13">
        <v>0</v>
      </c>
      <c r="H75" s="12">
        <v>55</v>
      </c>
      <c r="I75" s="12" t="s">
        <v>91</v>
      </c>
      <c r="J75" s="12"/>
      <c r="K75" s="12">
        <v>2.6</v>
      </c>
      <c r="L75" s="12">
        <f t="shared" si="10"/>
        <v>-2.6</v>
      </c>
      <c r="M75" s="12"/>
      <c r="N75" s="12"/>
      <c r="O75" s="12">
        <v>0</v>
      </c>
      <c r="P75" s="12">
        <v>0</v>
      </c>
      <c r="Q75" s="12">
        <f t="shared" si="11"/>
        <v>0</v>
      </c>
      <c r="R75" s="14"/>
      <c r="S75" s="14"/>
      <c r="T75" s="12"/>
      <c r="U75" s="12" t="e">
        <f t="shared" si="12"/>
        <v>#DIV/0!</v>
      </c>
      <c r="V75" s="12" t="e">
        <f t="shared" si="13"/>
        <v>#DIV/0!</v>
      </c>
      <c r="W75" s="12">
        <v>0</v>
      </c>
      <c r="X75" s="12">
        <v>0</v>
      </c>
      <c r="Y75" s="12">
        <v>0</v>
      </c>
      <c r="Z75" s="12">
        <v>0</v>
      </c>
      <c r="AA75" s="12">
        <v>0</v>
      </c>
      <c r="AB75" s="12">
        <v>0</v>
      </c>
      <c r="AC75" s="12">
        <v>-0.7944</v>
      </c>
      <c r="AD75" s="12">
        <v>-0.53539999999999999</v>
      </c>
      <c r="AE75" s="12" t="s">
        <v>124</v>
      </c>
      <c r="AF75" s="12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6" t="s">
        <v>125</v>
      </c>
      <c r="B76" s="16" t="s">
        <v>36</v>
      </c>
      <c r="C76" s="16"/>
      <c r="D76" s="16"/>
      <c r="E76" s="16"/>
      <c r="F76" s="16"/>
      <c r="G76" s="17">
        <v>0</v>
      </c>
      <c r="H76" s="16">
        <v>60</v>
      </c>
      <c r="I76" s="16" t="s">
        <v>37</v>
      </c>
      <c r="J76" s="16"/>
      <c r="K76" s="16"/>
      <c r="L76" s="16">
        <f t="shared" si="10"/>
        <v>0</v>
      </c>
      <c r="M76" s="16"/>
      <c r="N76" s="16"/>
      <c r="O76" s="16">
        <v>0</v>
      </c>
      <c r="P76" s="16">
        <v>0</v>
      </c>
      <c r="Q76" s="16">
        <f t="shared" si="11"/>
        <v>0</v>
      </c>
      <c r="R76" s="18"/>
      <c r="S76" s="18"/>
      <c r="T76" s="16"/>
      <c r="U76" s="16" t="e">
        <f t="shared" si="12"/>
        <v>#DIV/0!</v>
      </c>
      <c r="V76" s="16" t="e">
        <f t="shared" si="13"/>
        <v>#DIV/0!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 t="s">
        <v>64</v>
      </c>
      <c r="AF76" s="16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126</v>
      </c>
      <c r="B77" s="1" t="s">
        <v>42</v>
      </c>
      <c r="C77" s="1">
        <v>1</v>
      </c>
      <c r="D77" s="1">
        <v>244</v>
      </c>
      <c r="E77" s="1">
        <v>56</v>
      </c>
      <c r="F77" s="1">
        <v>174</v>
      </c>
      <c r="G77" s="8">
        <v>0.3</v>
      </c>
      <c r="H77" s="1">
        <v>40</v>
      </c>
      <c r="I77" s="1" t="s">
        <v>37</v>
      </c>
      <c r="J77" s="1"/>
      <c r="K77" s="1">
        <v>79</v>
      </c>
      <c r="L77" s="1">
        <f t="shared" si="10"/>
        <v>-23</v>
      </c>
      <c r="M77" s="1"/>
      <c r="N77" s="1"/>
      <c r="O77" s="1">
        <v>0</v>
      </c>
      <c r="P77" s="1">
        <v>0</v>
      </c>
      <c r="Q77" s="1">
        <f t="shared" si="11"/>
        <v>11.2</v>
      </c>
      <c r="R77" s="5"/>
      <c r="S77" s="5"/>
      <c r="T77" s="1"/>
      <c r="U77" s="1">
        <f t="shared" si="12"/>
        <v>15.535714285714286</v>
      </c>
      <c r="V77" s="1">
        <f t="shared" si="13"/>
        <v>15.535714285714286</v>
      </c>
      <c r="W77" s="1">
        <v>8.1999999999999993</v>
      </c>
      <c r="X77" s="1">
        <v>14.2</v>
      </c>
      <c r="Y77" s="1">
        <v>22</v>
      </c>
      <c r="Z77" s="1">
        <v>21</v>
      </c>
      <c r="AA77" s="1">
        <v>11.4</v>
      </c>
      <c r="AB77" s="1">
        <v>14.2</v>
      </c>
      <c r="AC77" s="1">
        <v>18.600000000000001</v>
      </c>
      <c r="AD77" s="1">
        <v>15.2</v>
      </c>
      <c r="AE77" s="1"/>
      <c r="AF77" s="1">
        <f>G77*R77</f>
        <v>0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127</v>
      </c>
      <c r="B78" s="1" t="s">
        <v>42</v>
      </c>
      <c r="C78" s="1">
        <v>118</v>
      </c>
      <c r="D78" s="1"/>
      <c r="E78" s="1">
        <v>34</v>
      </c>
      <c r="F78" s="1">
        <v>84</v>
      </c>
      <c r="G78" s="8">
        <v>7.0000000000000007E-2</v>
      </c>
      <c r="H78" s="1">
        <v>90</v>
      </c>
      <c r="I78" s="1" t="s">
        <v>37</v>
      </c>
      <c r="J78" s="1"/>
      <c r="K78" s="1">
        <v>34</v>
      </c>
      <c r="L78" s="1">
        <f t="shared" si="10"/>
        <v>0</v>
      </c>
      <c r="M78" s="1"/>
      <c r="N78" s="1"/>
      <c r="O78" s="1">
        <v>0</v>
      </c>
      <c r="P78" s="1">
        <v>0</v>
      </c>
      <c r="Q78" s="1">
        <f t="shared" si="11"/>
        <v>6.8</v>
      </c>
      <c r="R78" s="5"/>
      <c r="S78" s="5"/>
      <c r="T78" s="1"/>
      <c r="U78" s="1">
        <f t="shared" si="12"/>
        <v>12.352941176470589</v>
      </c>
      <c r="V78" s="1">
        <f t="shared" si="13"/>
        <v>12.352941176470589</v>
      </c>
      <c r="W78" s="1">
        <v>7</v>
      </c>
      <c r="X78" s="1">
        <v>7</v>
      </c>
      <c r="Y78" s="1">
        <v>5</v>
      </c>
      <c r="Z78" s="1">
        <v>2</v>
      </c>
      <c r="AA78" s="1">
        <v>6.6</v>
      </c>
      <c r="AB78" s="1">
        <v>12.4</v>
      </c>
      <c r="AC78" s="1">
        <v>15.4</v>
      </c>
      <c r="AD78" s="1">
        <v>9.4</v>
      </c>
      <c r="AE78" s="1" t="s">
        <v>128</v>
      </c>
      <c r="AF78" s="1">
        <f>G78*R78</f>
        <v>0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129</v>
      </c>
      <c r="B79" s="1" t="s">
        <v>42</v>
      </c>
      <c r="C79" s="1">
        <v>96</v>
      </c>
      <c r="D79" s="1"/>
      <c r="E79" s="1">
        <v>38</v>
      </c>
      <c r="F79" s="1">
        <v>58</v>
      </c>
      <c r="G79" s="8">
        <v>7.0000000000000007E-2</v>
      </c>
      <c r="H79" s="1">
        <v>90</v>
      </c>
      <c r="I79" s="1" t="s">
        <v>37</v>
      </c>
      <c r="J79" s="1"/>
      <c r="K79" s="1">
        <v>38</v>
      </c>
      <c r="L79" s="1">
        <f t="shared" si="10"/>
        <v>0</v>
      </c>
      <c r="M79" s="1"/>
      <c r="N79" s="1"/>
      <c r="O79" s="1">
        <v>0</v>
      </c>
      <c r="P79" s="1">
        <v>10</v>
      </c>
      <c r="Q79" s="1">
        <f t="shared" si="11"/>
        <v>7.6</v>
      </c>
      <c r="R79" s="5">
        <f t="shared" ref="R77:R83" si="15">11*Q79-P79-O79-F79</f>
        <v>15.599999999999994</v>
      </c>
      <c r="S79" s="5"/>
      <c r="T79" s="1"/>
      <c r="U79" s="1">
        <f t="shared" si="12"/>
        <v>11</v>
      </c>
      <c r="V79" s="1">
        <f t="shared" si="13"/>
        <v>8.9473684210526319</v>
      </c>
      <c r="W79" s="1">
        <v>8</v>
      </c>
      <c r="X79" s="1">
        <v>8.4</v>
      </c>
      <c r="Y79" s="1">
        <v>5</v>
      </c>
      <c r="Z79" s="1">
        <v>3.2</v>
      </c>
      <c r="AA79" s="1">
        <v>8.4</v>
      </c>
      <c r="AB79" s="1">
        <v>13.2</v>
      </c>
      <c r="AC79" s="1">
        <v>13.2</v>
      </c>
      <c r="AD79" s="1">
        <v>6.4</v>
      </c>
      <c r="AE79" s="1"/>
      <c r="AF79" s="1">
        <f>G79*R79</f>
        <v>1.0919999999999996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130</v>
      </c>
      <c r="B80" s="1" t="s">
        <v>42</v>
      </c>
      <c r="C80" s="1">
        <v>48</v>
      </c>
      <c r="D80" s="1"/>
      <c r="E80" s="1">
        <v>29</v>
      </c>
      <c r="F80" s="1">
        <v>19</v>
      </c>
      <c r="G80" s="8">
        <v>7.0000000000000007E-2</v>
      </c>
      <c r="H80" s="1">
        <v>90</v>
      </c>
      <c r="I80" s="1" t="s">
        <v>37</v>
      </c>
      <c r="J80" s="1"/>
      <c r="K80" s="1">
        <v>29</v>
      </c>
      <c r="L80" s="1">
        <f t="shared" si="10"/>
        <v>0</v>
      </c>
      <c r="M80" s="1"/>
      <c r="N80" s="1"/>
      <c r="O80" s="1">
        <v>0</v>
      </c>
      <c r="P80" s="1">
        <v>14.400000000000009</v>
      </c>
      <c r="Q80" s="1">
        <f t="shared" si="11"/>
        <v>5.8</v>
      </c>
      <c r="R80" s="5">
        <f t="shared" si="15"/>
        <v>30.399999999999991</v>
      </c>
      <c r="S80" s="5"/>
      <c r="T80" s="1"/>
      <c r="U80" s="1">
        <f t="shared" si="12"/>
        <v>11</v>
      </c>
      <c r="V80" s="1">
        <f t="shared" si="13"/>
        <v>5.7586206896551735</v>
      </c>
      <c r="W80" s="1">
        <v>4.4000000000000004</v>
      </c>
      <c r="X80" s="1">
        <v>2.8</v>
      </c>
      <c r="Y80" s="1">
        <v>3.6</v>
      </c>
      <c r="Z80" s="1">
        <v>5.6</v>
      </c>
      <c r="AA80" s="1">
        <v>6.6</v>
      </c>
      <c r="AB80" s="1">
        <v>3.8</v>
      </c>
      <c r="AC80" s="1">
        <v>3.4</v>
      </c>
      <c r="AD80" s="1">
        <v>4.2</v>
      </c>
      <c r="AE80" s="1"/>
      <c r="AF80" s="1">
        <f>G80*R80</f>
        <v>2.1279999999999997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131</v>
      </c>
      <c r="B81" s="1" t="s">
        <v>42</v>
      </c>
      <c r="C81" s="1">
        <v>56</v>
      </c>
      <c r="D81" s="1">
        <v>9</v>
      </c>
      <c r="E81" s="1">
        <v>47</v>
      </c>
      <c r="F81" s="1">
        <v>9</v>
      </c>
      <c r="G81" s="8">
        <v>0.05</v>
      </c>
      <c r="H81" s="1">
        <v>90</v>
      </c>
      <c r="I81" s="1" t="s">
        <v>37</v>
      </c>
      <c r="J81" s="1"/>
      <c r="K81" s="1">
        <v>47</v>
      </c>
      <c r="L81" s="1">
        <f t="shared" si="10"/>
        <v>0</v>
      </c>
      <c r="M81" s="1"/>
      <c r="N81" s="1"/>
      <c r="O81" s="1">
        <v>35.399999999999991</v>
      </c>
      <c r="P81" s="1">
        <v>41.000000000000028</v>
      </c>
      <c r="Q81" s="1">
        <f t="shared" si="11"/>
        <v>9.4</v>
      </c>
      <c r="R81" s="5">
        <f t="shared" si="15"/>
        <v>17.999999999999986</v>
      </c>
      <c r="S81" s="5"/>
      <c r="T81" s="1"/>
      <c r="U81" s="1">
        <f t="shared" si="12"/>
        <v>11</v>
      </c>
      <c r="V81" s="1">
        <f t="shared" si="13"/>
        <v>9.0851063829787257</v>
      </c>
      <c r="W81" s="1">
        <v>10.8</v>
      </c>
      <c r="X81" s="1">
        <v>9.6</v>
      </c>
      <c r="Y81" s="1">
        <v>6.8</v>
      </c>
      <c r="Z81" s="1">
        <v>9.4</v>
      </c>
      <c r="AA81" s="1">
        <v>10.6</v>
      </c>
      <c r="AB81" s="1">
        <v>6.2</v>
      </c>
      <c r="AC81" s="1">
        <v>0</v>
      </c>
      <c r="AD81" s="1">
        <v>1.4</v>
      </c>
      <c r="AE81" s="1"/>
      <c r="AF81" s="1">
        <f>G81*R81</f>
        <v>0.89999999999999936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 t="s">
        <v>132</v>
      </c>
      <c r="B82" s="1" t="s">
        <v>42</v>
      </c>
      <c r="C82" s="1">
        <v>72</v>
      </c>
      <c r="D82" s="1"/>
      <c r="E82" s="1">
        <v>52</v>
      </c>
      <c r="F82" s="1">
        <v>20</v>
      </c>
      <c r="G82" s="8">
        <v>0.05</v>
      </c>
      <c r="H82" s="1">
        <v>90</v>
      </c>
      <c r="I82" s="1" t="s">
        <v>37</v>
      </c>
      <c r="J82" s="1"/>
      <c r="K82" s="1">
        <v>52</v>
      </c>
      <c r="L82" s="1">
        <f t="shared" si="10"/>
        <v>0</v>
      </c>
      <c r="M82" s="1"/>
      <c r="N82" s="1"/>
      <c r="O82" s="1">
        <v>7.2000000000000028</v>
      </c>
      <c r="P82" s="1">
        <v>36.799999999999997</v>
      </c>
      <c r="Q82" s="1">
        <f t="shared" si="11"/>
        <v>10.4</v>
      </c>
      <c r="R82" s="5">
        <f t="shared" si="15"/>
        <v>50.400000000000006</v>
      </c>
      <c r="S82" s="5"/>
      <c r="T82" s="1"/>
      <c r="U82" s="1">
        <f t="shared" si="12"/>
        <v>11</v>
      </c>
      <c r="V82" s="1">
        <f t="shared" si="13"/>
        <v>6.1538461538461533</v>
      </c>
      <c r="W82" s="1">
        <v>9</v>
      </c>
      <c r="X82" s="1">
        <v>7.2</v>
      </c>
      <c r="Y82" s="1">
        <v>3</v>
      </c>
      <c r="Z82" s="1">
        <v>6.4</v>
      </c>
      <c r="AA82" s="1">
        <v>9</v>
      </c>
      <c r="AB82" s="1">
        <v>4.8</v>
      </c>
      <c r="AC82" s="1">
        <v>0</v>
      </c>
      <c r="AD82" s="1">
        <v>0</v>
      </c>
      <c r="AE82" s="1" t="s">
        <v>133</v>
      </c>
      <c r="AF82" s="1">
        <f>G82*R82</f>
        <v>2.5200000000000005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 t="s">
        <v>134</v>
      </c>
      <c r="B83" s="1" t="s">
        <v>42</v>
      </c>
      <c r="C83" s="1">
        <v>92</v>
      </c>
      <c r="D83" s="1"/>
      <c r="E83" s="1">
        <v>57</v>
      </c>
      <c r="F83" s="1">
        <v>35</v>
      </c>
      <c r="G83" s="8">
        <v>5.5E-2</v>
      </c>
      <c r="H83" s="1">
        <v>90</v>
      </c>
      <c r="I83" s="1" t="s">
        <v>37</v>
      </c>
      <c r="J83" s="1"/>
      <c r="K83" s="1">
        <v>57</v>
      </c>
      <c r="L83" s="1">
        <f t="shared" si="10"/>
        <v>0</v>
      </c>
      <c r="M83" s="1"/>
      <c r="N83" s="1"/>
      <c r="O83" s="1">
        <v>31.199999999999989</v>
      </c>
      <c r="P83" s="1">
        <v>38.400000000000013</v>
      </c>
      <c r="Q83" s="1">
        <f t="shared" si="11"/>
        <v>11.4</v>
      </c>
      <c r="R83" s="5">
        <f t="shared" si="15"/>
        <v>20.800000000000011</v>
      </c>
      <c r="S83" s="5"/>
      <c r="T83" s="1"/>
      <c r="U83" s="1">
        <f t="shared" si="12"/>
        <v>11</v>
      </c>
      <c r="V83" s="1">
        <f t="shared" si="13"/>
        <v>9.1754385964912277</v>
      </c>
      <c r="W83" s="1">
        <v>12.6</v>
      </c>
      <c r="X83" s="1">
        <v>11.2</v>
      </c>
      <c r="Y83" s="1">
        <v>5.6</v>
      </c>
      <c r="Z83" s="1">
        <v>2.8</v>
      </c>
      <c r="AA83" s="1">
        <v>4.8</v>
      </c>
      <c r="AB83" s="1">
        <v>9.1999999999999993</v>
      </c>
      <c r="AC83" s="1">
        <v>13.2</v>
      </c>
      <c r="AD83" s="1">
        <v>8.8000000000000007</v>
      </c>
      <c r="AE83" s="1"/>
      <c r="AF83" s="1">
        <f>G83*R83</f>
        <v>1.1440000000000006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2" t="s">
        <v>135</v>
      </c>
      <c r="B84" s="12" t="s">
        <v>42</v>
      </c>
      <c r="C84" s="12">
        <v>35</v>
      </c>
      <c r="D84" s="12"/>
      <c r="E84" s="12">
        <v>2</v>
      </c>
      <c r="F84" s="12">
        <v>33</v>
      </c>
      <c r="G84" s="13">
        <v>0</v>
      </c>
      <c r="H84" s="12">
        <v>120</v>
      </c>
      <c r="I84" s="12" t="s">
        <v>136</v>
      </c>
      <c r="J84" s="12"/>
      <c r="K84" s="12">
        <v>2</v>
      </c>
      <c r="L84" s="12">
        <f t="shared" si="10"/>
        <v>0</v>
      </c>
      <c r="M84" s="12"/>
      <c r="N84" s="12"/>
      <c r="O84" s="12">
        <v>0</v>
      </c>
      <c r="P84" s="12">
        <v>0</v>
      </c>
      <c r="Q84" s="12">
        <f t="shared" si="11"/>
        <v>0.4</v>
      </c>
      <c r="R84" s="14"/>
      <c r="S84" s="14"/>
      <c r="T84" s="12"/>
      <c r="U84" s="12">
        <f t="shared" si="12"/>
        <v>82.5</v>
      </c>
      <c r="V84" s="12">
        <f t="shared" si="13"/>
        <v>82.5</v>
      </c>
      <c r="W84" s="12">
        <v>1.2</v>
      </c>
      <c r="X84" s="12">
        <v>1.2</v>
      </c>
      <c r="Y84" s="12">
        <v>0.4</v>
      </c>
      <c r="Z84" s="12">
        <v>0.8</v>
      </c>
      <c r="AA84" s="12">
        <v>0.8</v>
      </c>
      <c r="AB84" s="12">
        <v>1.4</v>
      </c>
      <c r="AC84" s="12">
        <v>1.4</v>
      </c>
      <c r="AD84" s="12">
        <v>1</v>
      </c>
      <c r="AE84" s="15" t="s">
        <v>152</v>
      </c>
      <c r="AF84" s="12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 t="s">
        <v>137</v>
      </c>
      <c r="B85" s="1" t="s">
        <v>36</v>
      </c>
      <c r="C85" s="1">
        <v>518.66999999999996</v>
      </c>
      <c r="D85" s="1">
        <v>404.76799999999997</v>
      </c>
      <c r="E85" s="1">
        <v>408.46800000000002</v>
      </c>
      <c r="F85" s="1">
        <v>492.99599999999998</v>
      </c>
      <c r="G85" s="8">
        <v>1</v>
      </c>
      <c r="H85" s="1">
        <v>40</v>
      </c>
      <c r="I85" s="1" t="s">
        <v>37</v>
      </c>
      <c r="J85" s="1"/>
      <c r="K85" s="1">
        <v>354.3</v>
      </c>
      <c r="L85" s="1">
        <f t="shared" si="10"/>
        <v>54.168000000000006</v>
      </c>
      <c r="M85" s="1"/>
      <c r="N85" s="1"/>
      <c r="O85" s="1">
        <v>0</v>
      </c>
      <c r="P85" s="1">
        <v>17.467200000000052</v>
      </c>
      <c r="Q85" s="1">
        <f t="shared" si="11"/>
        <v>81.693600000000004</v>
      </c>
      <c r="R85" s="5">
        <f t="shared" ref="R85:R91" si="16">11*Q85-P85-O85-F85</f>
        <v>388.16639999999995</v>
      </c>
      <c r="S85" s="5"/>
      <c r="T85" s="1"/>
      <c r="U85" s="1">
        <f t="shared" si="12"/>
        <v>11</v>
      </c>
      <c r="V85" s="1">
        <f t="shared" si="13"/>
        <v>6.248509063133465</v>
      </c>
      <c r="W85" s="1">
        <v>62.6126</v>
      </c>
      <c r="X85" s="1">
        <v>51.185199999999988</v>
      </c>
      <c r="Y85" s="1">
        <v>81.7744</v>
      </c>
      <c r="Z85" s="1">
        <v>93.961600000000004</v>
      </c>
      <c r="AA85" s="1">
        <v>95.412199999999999</v>
      </c>
      <c r="AB85" s="1">
        <v>92.9482</v>
      </c>
      <c r="AC85" s="1">
        <v>80.853200000000001</v>
      </c>
      <c r="AD85" s="1">
        <v>76.528400000000005</v>
      </c>
      <c r="AE85" s="1" t="s">
        <v>50</v>
      </c>
      <c r="AF85" s="1">
        <f>G85*R85</f>
        <v>388.16639999999995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20" t="s">
        <v>138</v>
      </c>
      <c r="B86" s="1" t="s">
        <v>42</v>
      </c>
      <c r="C86" s="1"/>
      <c r="D86" s="1"/>
      <c r="E86" s="1"/>
      <c r="F86" s="1"/>
      <c r="G86" s="8">
        <v>0.4</v>
      </c>
      <c r="H86" s="1">
        <v>40</v>
      </c>
      <c r="I86" s="1" t="s">
        <v>37</v>
      </c>
      <c r="J86" s="1"/>
      <c r="K86" s="1"/>
      <c r="L86" s="1">
        <f t="shared" si="10"/>
        <v>0</v>
      </c>
      <c r="M86" s="1"/>
      <c r="N86" s="1"/>
      <c r="O86" s="1">
        <v>120</v>
      </c>
      <c r="P86" s="1">
        <v>0</v>
      </c>
      <c r="Q86" s="1">
        <f t="shared" si="11"/>
        <v>0</v>
      </c>
      <c r="R86" s="5"/>
      <c r="S86" s="5"/>
      <c r="T86" s="1"/>
      <c r="U86" s="1" t="e">
        <f t="shared" si="12"/>
        <v>#DIV/0!</v>
      </c>
      <c r="V86" s="1" t="e">
        <f t="shared" si="13"/>
        <v>#DIV/0!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 t="s">
        <v>139</v>
      </c>
      <c r="AF86" s="1">
        <f>G86*R86</f>
        <v>0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20" t="s">
        <v>140</v>
      </c>
      <c r="B87" s="1" t="s">
        <v>36</v>
      </c>
      <c r="C87" s="1"/>
      <c r="D87" s="1"/>
      <c r="E87" s="1"/>
      <c r="F87" s="1"/>
      <c r="G87" s="8">
        <v>1</v>
      </c>
      <c r="H87" s="1">
        <v>40</v>
      </c>
      <c r="I87" s="1" t="s">
        <v>37</v>
      </c>
      <c r="J87" s="1"/>
      <c r="K87" s="1"/>
      <c r="L87" s="1">
        <f t="shared" si="10"/>
        <v>0</v>
      </c>
      <c r="M87" s="1"/>
      <c r="N87" s="1"/>
      <c r="O87" s="1">
        <v>30</v>
      </c>
      <c r="P87" s="1">
        <v>0</v>
      </c>
      <c r="Q87" s="1">
        <f t="shared" si="11"/>
        <v>0</v>
      </c>
      <c r="R87" s="5"/>
      <c r="S87" s="5"/>
      <c r="T87" s="1"/>
      <c r="U87" s="1" t="e">
        <f t="shared" si="12"/>
        <v>#DIV/0!</v>
      </c>
      <c r="V87" s="1" t="e">
        <f t="shared" si="13"/>
        <v>#DIV/0!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 t="s">
        <v>139</v>
      </c>
      <c r="AF87" s="1">
        <f>G87*R87</f>
        <v>0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20" t="s">
        <v>141</v>
      </c>
      <c r="B88" s="1" t="s">
        <v>36</v>
      </c>
      <c r="C88" s="1"/>
      <c r="D88" s="1"/>
      <c r="E88" s="1"/>
      <c r="F88" s="1"/>
      <c r="G88" s="8">
        <v>1</v>
      </c>
      <c r="H88" s="1">
        <v>40</v>
      </c>
      <c r="I88" s="1" t="s">
        <v>37</v>
      </c>
      <c r="J88" s="1"/>
      <c r="K88" s="1"/>
      <c r="L88" s="1">
        <f t="shared" si="10"/>
        <v>0</v>
      </c>
      <c r="M88" s="1"/>
      <c r="N88" s="1"/>
      <c r="O88" s="1">
        <v>30</v>
      </c>
      <c r="P88" s="1">
        <v>0</v>
      </c>
      <c r="Q88" s="1">
        <f t="shared" si="11"/>
        <v>0</v>
      </c>
      <c r="R88" s="5"/>
      <c r="S88" s="5"/>
      <c r="T88" s="1"/>
      <c r="U88" s="1" t="e">
        <f t="shared" si="12"/>
        <v>#DIV/0!</v>
      </c>
      <c r="V88" s="1" t="e">
        <f t="shared" si="13"/>
        <v>#DIV/0!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 t="s">
        <v>139</v>
      </c>
      <c r="AF88" s="1">
        <f>G88*R88</f>
        <v>0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1" t="s">
        <v>142</v>
      </c>
      <c r="B89" s="1" t="s">
        <v>36</v>
      </c>
      <c r="C89" s="1">
        <v>18.010000000000002</v>
      </c>
      <c r="D89" s="1"/>
      <c r="E89" s="1">
        <v>18.033999999999999</v>
      </c>
      <c r="F89" s="1">
        <v>-2.4E-2</v>
      </c>
      <c r="G89" s="8">
        <v>1</v>
      </c>
      <c r="H89" s="1">
        <v>60</v>
      </c>
      <c r="I89" s="1" t="s">
        <v>37</v>
      </c>
      <c r="J89" s="1"/>
      <c r="K89" s="1">
        <v>20.100000000000001</v>
      </c>
      <c r="L89" s="1">
        <f t="shared" si="10"/>
        <v>-2.0660000000000025</v>
      </c>
      <c r="M89" s="1"/>
      <c r="N89" s="1"/>
      <c r="O89" s="1"/>
      <c r="P89" s="11"/>
      <c r="Q89" s="1">
        <f t="shared" si="11"/>
        <v>3.6067999999999998</v>
      </c>
      <c r="R89" s="19">
        <v>4</v>
      </c>
      <c r="S89" s="5"/>
      <c r="T89" s="1"/>
      <c r="U89" s="1">
        <f t="shared" si="12"/>
        <v>1.1023622047244095</v>
      </c>
      <c r="V89" s="1">
        <f t="shared" si="13"/>
        <v>-6.6540978152378845E-3</v>
      </c>
      <c r="W89" s="1">
        <v>8.7484000000000002</v>
      </c>
      <c r="X89" s="1">
        <v>9.1348000000000003</v>
      </c>
      <c r="Y89" s="1">
        <v>5.3834</v>
      </c>
      <c r="Z89" s="1">
        <v>2.8464</v>
      </c>
      <c r="AA89" s="1">
        <v>1.8295999999999999</v>
      </c>
      <c r="AB89" s="1">
        <v>2.1934</v>
      </c>
      <c r="AC89" s="1">
        <v>2.9329999999999998</v>
      </c>
      <c r="AD89" s="1">
        <v>5.8407999999999998</v>
      </c>
      <c r="AE89" s="11" t="s">
        <v>143</v>
      </c>
      <c r="AF89" s="1">
        <f>G89*R89</f>
        <v>4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 t="s">
        <v>144</v>
      </c>
      <c r="B90" s="1" t="s">
        <v>42</v>
      </c>
      <c r="C90" s="1">
        <v>12</v>
      </c>
      <c r="D90" s="1">
        <v>278</v>
      </c>
      <c r="E90" s="1">
        <v>66</v>
      </c>
      <c r="F90" s="1">
        <v>212</v>
      </c>
      <c r="G90" s="8">
        <v>0.3</v>
      </c>
      <c r="H90" s="1">
        <v>40</v>
      </c>
      <c r="I90" s="1" t="s">
        <v>37</v>
      </c>
      <c r="J90" s="1"/>
      <c r="K90" s="1">
        <v>92</v>
      </c>
      <c r="L90" s="1">
        <f t="shared" si="10"/>
        <v>-26</v>
      </c>
      <c r="M90" s="1"/>
      <c r="N90" s="1"/>
      <c r="O90" s="1">
        <v>0</v>
      </c>
      <c r="P90" s="1">
        <v>0</v>
      </c>
      <c r="Q90" s="1">
        <f t="shared" si="11"/>
        <v>13.2</v>
      </c>
      <c r="R90" s="5"/>
      <c r="S90" s="5"/>
      <c r="T90" s="1"/>
      <c r="U90" s="1">
        <f t="shared" si="12"/>
        <v>16.060606060606062</v>
      </c>
      <c r="V90" s="1">
        <f t="shared" si="13"/>
        <v>16.060606060606062</v>
      </c>
      <c r="W90" s="1">
        <v>9</v>
      </c>
      <c r="X90" s="1">
        <v>16</v>
      </c>
      <c r="Y90" s="1">
        <v>26.4</v>
      </c>
      <c r="Z90" s="1">
        <v>27</v>
      </c>
      <c r="AA90" s="1">
        <v>15.8</v>
      </c>
      <c r="AB90" s="1">
        <v>12</v>
      </c>
      <c r="AC90" s="1">
        <v>21.2</v>
      </c>
      <c r="AD90" s="1">
        <v>20.399999999999999</v>
      </c>
      <c r="AE90" s="1"/>
      <c r="AF90" s="1">
        <f>G90*R90</f>
        <v>0</v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 t="s">
        <v>145</v>
      </c>
      <c r="B91" s="1" t="s">
        <v>42</v>
      </c>
      <c r="C91" s="1">
        <v>123</v>
      </c>
      <c r="D91" s="1">
        <v>166</v>
      </c>
      <c r="E91" s="1">
        <v>143</v>
      </c>
      <c r="F91" s="1">
        <v>99</v>
      </c>
      <c r="G91" s="8">
        <v>0.3</v>
      </c>
      <c r="H91" s="1">
        <v>40</v>
      </c>
      <c r="I91" s="1" t="s">
        <v>37</v>
      </c>
      <c r="J91" s="1"/>
      <c r="K91" s="1">
        <v>164</v>
      </c>
      <c r="L91" s="1">
        <f t="shared" si="10"/>
        <v>-21</v>
      </c>
      <c r="M91" s="1"/>
      <c r="N91" s="1"/>
      <c r="O91" s="1">
        <v>0</v>
      </c>
      <c r="P91" s="1">
        <v>0</v>
      </c>
      <c r="Q91" s="1">
        <f t="shared" si="11"/>
        <v>28.6</v>
      </c>
      <c r="R91" s="5">
        <f>9*Q91-P91-O91-F91</f>
        <v>158.40000000000003</v>
      </c>
      <c r="S91" s="5"/>
      <c r="T91" s="1"/>
      <c r="U91" s="1">
        <f t="shared" si="12"/>
        <v>9</v>
      </c>
      <c r="V91" s="1">
        <f t="shared" si="13"/>
        <v>3.4615384615384612</v>
      </c>
      <c r="W91" s="1">
        <v>15.6</v>
      </c>
      <c r="X91" s="1">
        <v>3.6</v>
      </c>
      <c r="Y91" s="1">
        <v>13.2</v>
      </c>
      <c r="Z91" s="1">
        <v>23.2</v>
      </c>
      <c r="AA91" s="1">
        <v>21.6</v>
      </c>
      <c r="AB91" s="1">
        <v>11.4</v>
      </c>
      <c r="AC91" s="1">
        <v>11</v>
      </c>
      <c r="AD91" s="1">
        <v>15.8</v>
      </c>
      <c r="AE91" s="1"/>
      <c r="AF91" s="1">
        <f>G91*R91</f>
        <v>47.52000000000001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2" t="s">
        <v>146</v>
      </c>
      <c r="B92" s="12" t="s">
        <v>36</v>
      </c>
      <c r="C92" s="12">
        <v>32.918999999999997</v>
      </c>
      <c r="D92" s="12">
        <v>0.13100000000000001</v>
      </c>
      <c r="E92" s="12">
        <v>33.024000000000001</v>
      </c>
      <c r="F92" s="12">
        <v>2.5999999999999999E-2</v>
      </c>
      <c r="G92" s="13">
        <v>0</v>
      </c>
      <c r="H92" s="12">
        <v>45</v>
      </c>
      <c r="I92" s="12" t="s">
        <v>136</v>
      </c>
      <c r="J92" s="12"/>
      <c r="K92" s="12">
        <v>31.4</v>
      </c>
      <c r="L92" s="12">
        <f t="shared" si="10"/>
        <v>1.6240000000000023</v>
      </c>
      <c r="M92" s="12"/>
      <c r="N92" s="12"/>
      <c r="O92" s="12">
        <v>0</v>
      </c>
      <c r="P92" s="12">
        <v>0</v>
      </c>
      <c r="Q92" s="12">
        <f t="shared" si="11"/>
        <v>6.6048</v>
      </c>
      <c r="R92" s="14"/>
      <c r="S92" s="14"/>
      <c r="T92" s="12"/>
      <c r="U92" s="12">
        <f t="shared" si="12"/>
        <v>3.936531007751938E-3</v>
      </c>
      <c r="V92" s="12">
        <f t="shared" si="13"/>
        <v>3.936531007751938E-3</v>
      </c>
      <c r="W92" s="12">
        <v>4.1173999999999999</v>
      </c>
      <c r="X92" s="12">
        <v>1.8859999999999999</v>
      </c>
      <c r="Y92" s="12">
        <v>1.8844000000000001</v>
      </c>
      <c r="Z92" s="12">
        <v>0.53680000000000005</v>
      </c>
      <c r="AA92" s="12">
        <v>3.2551999999999999</v>
      </c>
      <c r="AB92" s="12">
        <v>3.5238</v>
      </c>
      <c r="AC92" s="12">
        <v>-0.223</v>
      </c>
      <c r="AD92" s="12">
        <v>-0.27760000000000001</v>
      </c>
      <c r="AE92" s="12" t="s">
        <v>147</v>
      </c>
      <c r="AF92" s="12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 t="s">
        <v>148</v>
      </c>
      <c r="B93" s="1" t="s">
        <v>36</v>
      </c>
      <c r="C93" s="1">
        <v>40.625</v>
      </c>
      <c r="D93" s="1">
        <v>12.1</v>
      </c>
      <c r="E93" s="1">
        <v>19.081</v>
      </c>
      <c r="F93" s="1">
        <v>20.2</v>
      </c>
      <c r="G93" s="8">
        <v>1</v>
      </c>
      <c r="H93" s="1">
        <v>50</v>
      </c>
      <c r="I93" s="1" t="s">
        <v>37</v>
      </c>
      <c r="J93" s="1"/>
      <c r="K93" s="1">
        <v>18.2</v>
      </c>
      <c r="L93" s="1">
        <f t="shared" si="10"/>
        <v>0.88100000000000023</v>
      </c>
      <c r="M93" s="1"/>
      <c r="N93" s="1"/>
      <c r="O93" s="1">
        <v>0</v>
      </c>
      <c r="P93" s="1">
        <v>4</v>
      </c>
      <c r="Q93" s="1">
        <f t="shared" si="11"/>
        <v>3.8161999999999998</v>
      </c>
      <c r="R93" s="5">
        <f t="shared" ref="R93:R96" si="17">11*Q93-P93-O93-F93</f>
        <v>17.778200000000002</v>
      </c>
      <c r="S93" s="5"/>
      <c r="T93" s="1"/>
      <c r="U93" s="1">
        <f t="shared" si="12"/>
        <v>11</v>
      </c>
      <c r="V93" s="1">
        <f t="shared" si="13"/>
        <v>6.3413867197735971</v>
      </c>
      <c r="W93" s="1">
        <v>3.0022000000000002</v>
      </c>
      <c r="X93" s="1">
        <v>2.1861999999999999</v>
      </c>
      <c r="Y93" s="1">
        <v>3.8862000000000001</v>
      </c>
      <c r="Z93" s="1">
        <v>4.1335999999999986</v>
      </c>
      <c r="AA93" s="1">
        <v>5.8692000000000002</v>
      </c>
      <c r="AB93" s="1">
        <v>4.7039999999999997</v>
      </c>
      <c r="AC93" s="1">
        <v>4.7792000000000003</v>
      </c>
      <c r="AD93" s="1">
        <v>6.4109999999999996</v>
      </c>
      <c r="AE93" s="1"/>
      <c r="AF93" s="1">
        <f>G93*R93</f>
        <v>17.778200000000002</v>
      </c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 t="s">
        <v>149</v>
      </c>
      <c r="B94" s="1" t="s">
        <v>42</v>
      </c>
      <c r="C94" s="1">
        <v>1</v>
      </c>
      <c r="D94" s="1">
        <v>122</v>
      </c>
      <c r="E94" s="1">
        <v>42</v>
      </c>
      <c r="F94" s="1">
        <v>79</v>
      </c>
      <c r="G94" s="8">
        <v>0.3</v>
      </c>
      <c r="H94" s="1">
        <v>40</v>
      </c>
      <c r="I94" s="1" t="s">
        <v>37</v>
      </c>
      <c r="J94" s="1"/>
      <c r="K94" s="1">
        <v>59</v>
      </c>
      <c r="L94" s="1">
        <f t="shared" si="10"/>
        <v>-17</v>
      </c>
      <c r="M94" s="1"/>
      <c r="N94" s="1"/>
      <c r="O94" s="1">
        <v>58.999999999999972</v>
      </c>
      <c r="P94" s="1">
        <v>0</v>
      </c>
      <c r="Q94" s="1">
        <f t="shared" si="11"/>
        <v>8.4</v>
      </c>
      <c r="R94" s="5"/>
      <c r="S94" s="5"/>
      <c r="T94" s="1"/>
      <c r="U94" s="1">
        <f t="shared" si="12"/>
        <v>16.428571428571423</v>
      </c>
      <c r="V94" s="1">
        <f t="shared" si="13"/>
        <v>16.428571428571423</v>
      </c>
      <c r="W94" s="1">
        <v>11.8</v>
      </c>
      <c r="X94" s="1">
        <v>16.399999999999999</v>
      </c>
      <c r="Y94" s="1">
        <v>15.4</v>
      </c>
      <c r="Z94" s="1">
        <v>10.4</v>
      </c>
      <c r="AA94" s="1">
        <v>2.6</v>
      </c>
      <c r="AB94" s="1">
        <v>7</v>
      </c>
      <c r="AC94" s="1">
        <v>13.6</v>
      </c>
      <c r="AD94" s="1">
        <v>10</v>
      </c>
      <c r="AE94" s="1"/>
      <c r="AF94" s="1">
        <f>G94*R94</f>
        <v>0</v>
      </c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 t="s">
        <v>150</v>
      </c>
      <c r="B95" s="1" t="s">
        <v>42</v>
      </c>
      <c r="C95" s="1">
        <v>76</v>
      </c>
      <c r="D95" s="1">
        <v>1</v>
      </c>
      <c r="E95" s="1">
        <v>19</v>
      </c>
      <c r="F95" s="1">
        <v>54</v>
      </c>
      <c r="G95" s="8">
        <v>0.12</v>
      </c>
      <c r="H95" s="1">
        <v>45</v>
      </c>
      <c r="I95" s="1" t="s">
        <v>37</v>
      </c>
      <c r="J95" s="1"/>
      <c r="K95" s="1">
        <v>22</v>
      </c>
      <c r="L95" s="1">
        <f t="shared" si="10"/>
        <v>-3</v>
      </c>
      <c r="M95" s="1"/>
      <c r="N95" s="1"/>
      <c r="O95" s="1">
        <v>0</v>
      </c>
      <c r="P95" s="1">
        <v>0</v>
      </c>
      <c r="Q95" s="1">
        <f t="shared" si="11"/>
        <v>3.8</v>
      </c>
      <c r="R95" s="5"/>
      <c r="S95" s="5"/>
      <c r="T95" s="1"/>
      <c r="U95" s="1">
        <f t="shared" si="12"/>
        <v>14.210526315789474</v>
      </c>
      <c r="V95" s="1">
        <f t="shared" si="13"/>
        <v>14.210526315789474</v>
      </c>
      <c r="W95" s="1">
        <v>4.2</v>
      </c>
      <c r="X95" s="1">
        <v>4.4000000000000004</v>
      </c>
      <c r="Y95" s="1">
        <v>4</v>
      </c>
      <c r="Z95" s="1">
        <v>1.2</v>
      </c>
      <c r="AA95" s="1">
        <v>3.2</v>
      </c>
      <c r="AB95" s="1">
        <v>7.6</v>
      </c>
      <c r="AC95" s="1">
        <v>8</v>
      </c>
      <c r="AD95" s="1">
        <v>4.2</v>
      </c>
      <c r="AE95" s="1"/>
      <c r="AF95" s="1">
        <f>G95*R95</f>
        <v>0</v>
      </c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1" t="s">
        <v>151</v>
      </c>
      <c r="B96" s="1" t="s">
        <v>36</v>
      </c>
      <c r="C96" s="1">
        <v>0.75600000000000001</v>
      </c>
      <c r="D96" s="1"/>
      <c r="E96" s="1">
        <v>0.39500000000000002</v>
      </c>
      <c r="F96" s="1">
        <v>8.0000000000000002E-3</v>
      </c>
      <c r="G96" s="8">
        <v>1</v>
      </c>
      <c r="H96" s="1">
        <v>180</v>
      </c>
      <c r="I96" s="1" t="s">
        <v>37</v>
      </c>
      <c r="J96" s="1"/>
      <c r="K96" s="1">
        <v>1.5</v>
      </c>
      <c r="L96" s="1">
        <f t="shared" si="10"/>
        <v>-1.105</v>
      </c>
      <c r="M96" s="1"/>
      <c r="N96" s="1"/>
      <c r="O96" s="1"/>
      <c r="P96" s="11"/>
      <c r="Q96" s="1">
        <f t="shared" si="11"/>
        <v>7.9000000000000001E-2</v>
      </c>
      <c r="R96" s="19">
        <v>4</v>
      </c>
      <c r="S96" s="5"/>
      <c r="T96" s="1"/>
      <c r="U96" s="1">
        <f t="shared" si="12"/>
        <v>50.734177215189874</v>
      </c>
      <c r="V96" s="1">
        <f t="shared" si="13"/>
        <v>0.10126582278481013</v>
      </c>
      <c r="W96" s="1">
        <v>0.22739999999999999</v>
      </c>
      <c r="X96" s="1">
        <v>0.59740000000000004</v>
      </c>
      <c r="Y96" s="1">
        <v>0.89979999999999993</v>
      </c>
      <c r="Z96" s="1">
        <v>0.45379999999999998</v>
      </c>
      <c r="AA96" s="1">
        <v>7.2999999999999995E-2</v>
      </c>
      <c r="AB96" s="1">
        <v>0.2954</v>
      </c>
      <c r="AC96" s="1">
        <v>0.22239999999999999</v>
      </c>
      <c r="AD96" s="1">
        <v>0.22320000000000001</v>
      </c>
      <c r="AE96" s="11" t="s">
        <v>143</v>
      </c>
      <c r="AF96" s="1">
        <f>G96*R96</f>
        <v>4</v>
      </c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</sheetData>
  <autoFilter ref="A3:AF96" xr:uid="{0AD67D2D-17B5-4955-AB1A-E975A07F4FF5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2025-11-11T07:12:51Z</dcterms:created>
  <dcterms:modified xsi:type="dcterms:W3CDTF">2025-11-11T07:26:06Z</dcterms:modified>
</cp:coreProperties>
</file>