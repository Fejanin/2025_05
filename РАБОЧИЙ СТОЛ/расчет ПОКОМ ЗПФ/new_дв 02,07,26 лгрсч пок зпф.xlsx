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openpyxl\стили\ЗПФ\"/>
    </mc:Choice>
  </mc:AlternateContent>
  <xr:revisionPtr revIDLastSave="0" documentId="13_ncr:1_{B9AD1DB5-AE67-4B27-A183-DC04E68B6A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9" i="1" l="1"/>
  <c r="AF68" i="1"/>
  <c r="AG68" i="1" s="1"/>
  <c r="AD68" i="1"/>
  <c r="R68" i="1"/>
  <c r="L68" i="1"/>
  <c r="AF67" i="1"/>
  <c r="AG67" i="1" s="1"/>
  <c r="AD67" i="1"/>
  <c r="R67" i="1"/>
  <c r="L67" i="1"/>
  <c r="AF66" i="1"/>
  <c r="AG66" i="1" s="1"/>
  <c r="AD66" i="1"/>
  <c r="R66" i="1"/>
  <c r="L66" i="1"/>
  <c r="AF65" i="1"/>
  <c r="AG65" i="1" s="1"/>
  <c r="AD65" i="1"/>
  <c r="R65" i="1"/>
  <c r="L65" i="1"/>
  <c r="AF64" i="1"/>
  <c r="AG64" i="1" s="1"/>
  <c r="AD64" i="1"/>
  <c r="R64" i="1"/>
  <c r="L64" i="1"/>
  <c r="AF63" i="1"/>
  <c r="AG63" i="1" s="1"/>
  <c r="AD63" i="1"/>
  <c r="R63" i="1"/>
  <c r="L63" i="1"/>
  <c r="AF62" i="1"/>
  <c r="AG62" i="1" s="1"/>
  <c r="AD62" i="1"/>
  <c r="R62" i="1"/>
  <c r="L62" i="1"/>
  <c r="AF61" i="1"/>
  <c r="AG61" i="1" s="1"/>
  <c r="AD61" i="1"/>
  <c r="R61" i="1"/>
  <c r="L61" i="1"/>
  <c r="AF60" i="1"/>
  <c r="AG60" i="1" s="1"/>
  <c r="AD60" i="1"/>
  <c r="R60" i="1"/>
  <c r="L60" i="1"/>
  <c r="AF59" i="1"/>
  <c r="AG59" i="1" s="1"/>
  <c r="AD59" i="1"/>
  <c r="R59" i="1"/>
  <c r="L59" i="1"/>
  <c r="AF58" i="1"/>
  <c r="AG58" i="1" s="1"/>
  <c r="AD58" i="1"/>
  <c r="R58" i="1"/>
  <c r="L58" i="1"/>
  <c r="AF57" i="1"/>
  <c r="AG57" i="1" s="1"/>
  <c r="AD57" i="1"/>
  <c r="R57" i="1"/>
  <c r="L57" i="1"/>
  <c r="AF56" i="1"/>
  <c r="AG56" i="1" s="1"/>
  <c r="AD56" i="1"/>
  <c r="R56" i="1"/>
  <c r="L56" i="1"/>
  <c r="AF55" i="1"/>
  <c r="AG55" i="1" s="1"/>
  <c r="AD55" i="1"/>
  <c r="R55" i="1"/>
  <c r="L55" i="1"/>
  <c r="AF54" i="1"/>
  <c r="AG54" i="1" s="1"/>
  <c r="AD54" i="1"/>
  <c r="R54" i="1"/>
  <c r="L54" i="1"/>
  <c r="AF53" i="1"/>
  <c r="AG53" i="1" s="1"/>
  <c r="AD53" i="1"/>
  <c r="R53" i="1"/>
  <c r="L53" i="1"/>
  <c r="AF52" i="1"/>
  <c r="AG52" i="1" s="1"/>
  <c r="AD52" i="1"/>
  <c r="R52" i="1"/>
  <c r="L52" i="1"/>
  <c r="AF51" i="1"/>
  <c r="AG51" i="1" s="1"/>
  <c r="AD51" i="1"/>
  <c r="R51" i="1"/>
  <c r="L51" i="1"/>
  <c r="AF50" i="1"/>
  <c r="AG50" i="1" s="1"/>
  <c r="AD50" i="1"/>
  <c r="R50" i="1"/>
  <c r="L50" i="1"/>
  <c r="AF49" i="1"/>
  <c r="AG49" i="1" s="1"/>
  <c r="AD49" i="1"/>
  <c r="R49" i="1"/>
  <c r="L49" i="1"/>
  <c r="AF48" i="1"/>
  <c r="AG48" i="1" s="1"/>
  <c r="AD48" i="1"/>
  <c r="R48" i="1"/>
  <c r="L48" i="1"/>
  <c r="AF47" i="1"/>
  <c r="AG47" i="1" s="1"/>
  <c r="AD47" i="1"/>
  <c r="R47" i="1"/>
  <c r="L47" i="1"/>
  <c r="AF46" i="1"/>
  <c r="AG46" i="1" s="1"/>
  <c r="AD46" i="1"/>
  <c r="R46" i="1"/>
  <c r="L46" i="1"/>
  <c r="L45" i="1"/>
  <c r="AG44" i="1"/>
  <c r="AF44" i="1"/>
  <c r="AJ44" i="1" s="1"/>
  <c r="AD44" i="1"/>
  <c r="R44" i="1"/>
  <c r="L44" i="1"/>
  <c r="AG43" i="1"/>
  <c r="AF43" i="1"/>
  <c r="AJ43" i="1" s="1"/>
  <c r="AD43" i="1"/>
  <c r="R43" i="1"/>
  <c r="L43" i="1"/>
  <c r="AG42" i="1"/>
  <c r="AF42" i="1"/>
  <c r="AJ42" i="1" s="1"/>
  <c r="AD42" i="1"/>
  <c r="R42" i="1"/>
  <c r="L42" i="1"/>
  <c r="AG41" i="1"/>
  <c r="AF41" i="1"/>
  <c r="AJ41" i="1" s="1"/>
  <c r="AD41" i="1"/>
  <c r="R41" i="1"/>
  <c r="L41" i="1"/>
  <c r="AG40" i="1"/>
  <c r="AF40" i="1"/>
  <c r="AJ40" i="1" s="1"/>
  <c r="AD40" i="1"/>
  <c r="R40" i="1"/>
  <c r="L40" i="1"/>
  <c r="AG39" i="1"/>
  <c r="AF39" i="1"/>
  <c r="AJ39" i="1" s="1"/>
  <c r="AD39" i="1"/>
  <c r="R39" i="1"/>
  <c r="L39" i="1"/>
  <c r="AG38" i="1"/>
  <c r="AF38" i="1"/>
  <c r="AJ38" i="1" s="1"/>
  <c r="AD38" i="1"/>
  <c r="R38" i="1"/>
  <c r="L38" i="1"/>
  <c r="AG37" i="1"/>
  <c r="AF37" i="1"/>
  <c r="AJ37" i="1" s="1"/>
  <c r="AD37" i="1"/>
  <c r="R37" i="1"/>
  <c r="L37" i="1"/>
  <c r="AG36" i="1"/>
  <c r="AF36" i="1"/>
  <c r="AJ36" i="1" s="1"/>
  <c r="AD36" i="1"/>
  <c r="R36" i="1"/>
  <c r="L36" i="1"/>
  <c r="AG35" i="1"/>
  <c r="AF35" i="1"/>
  <c r="AJ35" i="1" s="1"/>
  <c r="AD35" i="1"/>
  <c r="R35" i="1"/>
  <c r="L35" i="1"/>
  <c r="AG34" i="1"/>
  <c r="AF34" i="1"/>
  <c r="AJ34" i="1" s="1"/>
  <c r="AD34" i="1"/>
  <c r="R34" i="1"/>
  <c r="L34" i="1"/>
  <c r="AG33" i="1"/>
  <c r="AF33" i="1"/>
  <c r="AJ33" i="1" s="1"/>
  <c r="AD33" i="1"/>
  <c r="R33" i="1"/>
  <c r="L33" i="1"/>
  <c r="L32" i="1"/>
  <c r="AF31" i="1"/>
  <c r="AG31" i="1" s="1"/>
  <c r="AD31" i="1"/>
  <c r="R31" i="1"/>
  <c r="L31" i="1"/>
  <c r="AF30" i="1"/>
  <c r="AG30" i="1" s="1"/>
  <c r="AD30" i="1"/>
  <c r="R30" i="1"/>
  <c r="L30" i="1"/>
  <c r="AF29" i="1"/>
  <c r="AG29" i="1" s="1"/>
  <c r="AD29" i="1"/>
  <c r="R29" i="1"/>
  <c r="L29" i="1"/>
  <c r="AF28" i="1"/>
  <c r="AD28" i="1"/>
  <c r="R28" i="1"/>
  <c r="L28" i="1"/>
  <c r="AF27" i="1"/>
  <c r="AG27" i="1" s="1"/>
  <c r="AD27" i="1"/>
  <c r="R27" i="1"/>
  <c r="L27" i="1"/>
  <c r="L26" i="1"/>
  <c r="AG25" i="1"/>
  <c r="AF25" i="1"/>
  <c r="AJ25" i="1" s="1"/>
  <c r="AD25" i="1"/>
  <c r="R25" i="1"/>
  <c r="L25" i="1"/>
  <c r="AG24" i="1"/>
  <c r="AF24" i="1"/>
  <c r="AJ24" i="1" s="1"/>
  <c r="AD24" i="1"/>
  <c r="R24" i="1"/>
  <c r="L24" i="1"/>
  <c r="AG23" i="1"/>
  <c r="AF23" i="1"/>
  <c r="AJ23" i="1" s="1"/>
  <c r="AD23" i="1"/>
  <c r="R23" i="1"/>
  <c r="L23" i="1"/>
  <c r="AG22" i="1"/>
  <c r="AF22" i="1"/>
  <c r="AJ22" i="1" s="1"/>
  <c r="AD22" i="1"/>
  <c r="R22" i="1"/>
  <c r="L22" i="1"/>
  <c r="AG21" i="1"/>
  <c r="AF21" i="1"/>
  <c r="AJ21" i="1" s="1"/>
  <c r="AD21" i="1"/>
  <c r="R21" i="1"/>
  <c r="L21" i="1"/>
  <c r="AG20" i="1"/>
  <c r="AF20" i="1"/>
  <c r="AJ20" i="1" s="1"/>
  <c r="AD20" i="1"/>
  <c r="R20" i="1"/>
  <c r="L20" i="1"/>
  <c r="L19" i="1"/>
  <c r="AJ18" i="1"/>
  <c r="AF18" i="1"/>
  <c r="AG18" i="1" s="1"/>
  <c r="AD18" i="1"/>
  <c r="R18" i="1"/>
  <c r="L18" i="1"/>
  <c r="AF17" i="1"/>
  <c r="AG17" i="1" s="1"/>
  <c r="AD17" i="1"/>
  <c r="R17" i="1"/>
  <c r="L17" i="1"/>
  <c r="AJ16" i="1"/>
  <c r="AF16" i="1"/>
  <c r="AG16" i="1" s="1"/>
  <c r="AD16" i="1"/>
  <c r="R16" i="1"/>
  <c r="L16" i="1"/>
  <c r="AF15" i="1"/>
  <c r="AG15" i="1" s="1"/>
  <c r="AD15" i="1"/>
  <c r="R15" i="1"/>
  <c r="L15" i="1"/>
  <c r="AJ14" i="1"/>
  <c r="AF14" i="1"/>
  <c r="AG14" i="1" s="1"/>
  <c r="AD14" i="1"/>
  <c r="R14" i="1"/>
  <c r="L14" i="1"/>
  <c r="AF13" i="1"/>
  <c r="AG13" i="1" s="1"/>
  <c r="AD13" i="1"/>
  <c r="R13" i="1"/>
  <c r="L13" i="1"/>
  <c r="AJ12" i="1"/>
  <c r="AF12" i="1"/>
  <c r="AG12" i="1" s="1"/>
  <c r="AD12" i="1"/>
  <c r="R12" i="1"/>
  <c r="L12" i="1"/>
  <c r="AF11" i="1"/>
  <c r="AG11" i="1" s="1"/>
  <c r="AD11" i="1"/>
  <c r="R11" i="1"/>
  <c r="L11" i="1"/>
  <c r="AJ10" i="1"/>
  <c r="AF10" i="1"/>
  <c r="AG10" i="1" s="1"/>
  <c r="AD10" i="1"/>
  <c r="R10" i="1"/>
  <c r="L10" i="1"/>
  <c r="AF9" i="1"/>
  <c r="AD9" i="1"/>
  <c r="R9" i="1"/>
  <c r="L9" i="1"/>
  <c r="L8" i="1"/>
  <c r="L7" i="1"/>
  <c r="L6" i="1"/>
  <c r="AD5" i="1"/>
  <c r="AB5" i="1"/>
  <c r="AA5" i="1"/>
  <c r="Z5" i="1"/>
  <c r="Y5" i="1"/>
  <c r="X5" i="1"/>
  <c r="W5" i="1"/>
  <c r="S5" i="1"/>
  <c r="R5" i="1"/>
  <c r="Q5" i="1"/>
  <c r="P5" i="1"/>
  <c r="O5" i="1"/>
  <c r="N5" i="1"/>
  <c r="M5" i="1"/>
  <c r="L5" i="1"/>
  <c r="K5" i="1"/>
  <c r="F5" i="1"/>
  <c r="E5" i="1"/>
  <c r="AG9" i="1" l="1"/>
  <c r="AF5" i="1"/>
  <c r="AJ9" i="1"/>
  <c r="AJ11" i="1"/>
  <c r="AJ13" i="1"/>
  <c r="AJ15" i="1"/>
  <c r="AJ17" i="1"/>
  <c r="AJ27" i="1"/>
  <c r="AG28" i="1"/>
  <c r="AJ28" i="1"/>
  <c r="AJ29" i="1"/>
  <c r="AJ30" i="1"/>
  <c r="AJ31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5" i="1" l="1"/>
  <c r="AG5" i="1"/>
</calcChain>
</file>

<file path=xl/sharedStrings.xml><?xml version="1.0" encoding="utf-8"?>
<sst xmlns="http://schemas.openxmlformats.org/spreadsheetml/2006/main" count="265" uniqueCount="167">
  <si>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</si>
  <si>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</si>
  <si>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</si>
  <si>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</si>
  <si>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</si>
  <si>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</si>
  <si>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</si>
  <si>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</si>
  <si>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</si>
  <si>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</si>
  <si>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</si>
  <si>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</si>
  <si>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</si>
  <si>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</si>
  <si>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</si>
  <si>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</si>
  <si>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</si>
  <si>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</si>
  <si>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</si>
  <si>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</si>
  <si>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</si>
  <si>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</si>
  <si>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</si>
  <si>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</si>
  <si>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</si>
  <si>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</si>
  <si>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</si>
  <si>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</si>
  <si>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</si>
  <si>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</si>
  <si>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</si>
  <si>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</si>
  <si>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</si>
  <si>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</si>
  <si>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</si>
  <si>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</si>
  <si>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</si>
  <si>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</si>
  <si>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</si>
  <si>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</si>
  <si>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</si>
  <si>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</si>
  <si>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</si>
  <si>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</si>
  <si>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</si>
  <si>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</si>
  <si>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</si>
  <si>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</si>
  <si>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</si>
  <si>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</si>
  <si>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</si>
  <si>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сети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</si>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</sst>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rgb="FF13E22E"/>
        <bgColor rgb="FF13E2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 applyBorder="1"/>
    <xf numFmtId="164" fontId="2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6" width="6" customWidth="1"/>
    <col min="17" max="19" width="7" customWidth="1"/>
    <col min="20" max="20" width="15" customWidth="1"/>
    <col min="21" max="22" width="5" customWidth="1"/>
    <col min="23" max="28" width="6" customWidth="1"/>
    <col min="29" max="29" width="20" customWidth="1"/>
    <col min="30" max="31" width="6" customWidth="1"/>
    <col min="32" max="32" width="7" customWidth="1"/>
    <col min="33" max="33" width="6" customWidth="1"/>
    <col min="34" max="35" width="5" customWidth="1"/>
    <col min="36" max="36" width="6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8" t="s">
        <v>18</v>
      </c>
      <c r="T3" s="8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23</v>
      </c>
      <c r="AD3" s="2" t="s">
        <v>24</v>
      </c>
      <c r="AE3" s="2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17525.900000000001</v>
      </c>
      <c r="F5" s="4">
        <f>SUM(F6:F500)</f>
        <v>13898.5</v>
      </c>
      <c r="G5" s="1"/>
      <c r="H5" s="1"/>
      <c r="I5" s="1"/>
      <c r="J5" s="1"/>
      <c r="K5" s="4">
        <f t="shared" ref="K5:S5" si="0">SUM(K6:K500)</f>
        <v>20334.7</v>
      </c>
      <c r="L5" s="4">
        <f t="shared" si="0"/>
        <v>-2808.7999999999997</v>
      </c>
      <c r="M5" s="4">
        <f t="shared" si="0"/>
        <v>0</v>
      </c>
      <c r="N5" s="4">
        <f t="shared" si="0"/>
        <v>0</v>
      </c>
      <c r="O5" s="4">
        <f t="shared" si="0"/>
        <v>21937.200000000001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1"/>
      <c r="U5" s="1"/>
      <c r="V5" s="1"/>
      <c r="W5" s="4">
        <f t="shared" ref="W5:AB5" si="1">SUM(W6:W500)</f>
        <v>4220.5200000000004</v>
      </c>
      <c r="X5" s="4">
        <f t="shared" si="1"/>
        <v>4481.7599999999993</v>
      </c>
      <c r="Y5" s="4">
        <f t="shared" si="1"/>
        <v>3678.24</v>
      </c>
      <c r="Z5" s="4">
        <f t="shared" si="1"/>
        <v>4036.4</v>
      </c>
      <c r="AA5" s="4">
        <f t="shared" si="1"/>
        <v>3487.1</v>
      </c>
      <c r="AB5" s="4">
        <f t="shared" si="1"/>
        <v>4419.0399999999981</v>
      </c>
      <c r="AC5" s="1"/>
      <c r="AD5" s="4">
        <f>SUM(AD6:AD500)</f>
        <v>0</v>
      </c>
      <c r="AE5" s="1"/>
      <c r="AF5" s="4">
        <f>SUM(AF6:AF500)</f>
        <v>0</v>
      </c>
      <c r="AG5" s="4">
        <f>SUM(AG6:AG500)</f>
        <v>0</v>
      </c>
      <c r="AH5" s="1"/>
      <c r="AI5" s="1"/>
      <c r="AJ5" s="4">
        <f>SUM(AJ6:AJ500)</f>
        <v>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39</v>
      </c>
      <c r="B6" s="1" t="s">
        <v>40</v>
      </c>
      <c r="C6" s="1">
        <v>135</v>
      </c>
      <c r="D6" s="1">
        <v>300</v>
      </c>
      <c r="E6" s="1">
        <v>247</v>
      </c>
      <c r="F6" s="1">
        <v>186</v>
      </c>
      <c r="G6" s="1">
        <v>0</v>
      </c>
      <c r="H6" s="1"/>
      <c r="I6" s="1" t="s">
        <v>41</v>
      </c>
      <c r="J6" s="1" t="s">
        <v>42</v>
      </c>
      <c r="K6" s="1">
        <v>268</v>
      </c>
      <c r="L6" s="1">
        <f t="shared" ref="L6:L37" si="2">E6-K6</f>
        <v>-21</v>
      </c>
      <c r="M6" s="1"/>
      <c r="N6" s="1"/>
      <c r="O6" s="1"/>
      <c r="P6" s="1"/>
      <c r="Q6" s="5"/>
      <c r="R6" s="5"/>
      <c r="S6" s="5"/>
      <c r="T6" s="1"/>
      <c r="U6" s="1"/>
      <c r="V6" s="1"/>
      <c r="W6" s="1">
        <v>50</v>
      </c>
      <c r="X6" s="1">
        <v>69.400000000000006</v>
      </c>
      <c r="Y6" s="1">
        <v>54</v>
      </c>
      <c r="Z6" s="1">
        <v>52</v>
      </c>
      <c r="AA6" s="1">
        <v>51.2</v>
      </c>
      <c r="AB6" s="1">
        <v>41.8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43</v>
      </c>
      <c r="B7" s="1" t="s">
        <v>40</v>
      </c>
      <c r="C7" s="1">
        <v>251</v>
      </c>
      <c r="D7" s="1"/>
      <c r="E7" s="1">
        <v>77</v>
      </c>
      <c r="F7" s="1">
        <v>174</v>
      </c>
      <c r="G7" s="1">
        <v>0</v>
      </c>
      <c r="H7" s="1"/>
      <c r="I7" s="1" t="s">
        <v>41</v>
      </c>
      <c r="J7" s="1" t="s">
        <v>44</v>
      </c>
      <c r="K7" s="1">
        <v>83</v>
      </c>
      <c r="L7" s="1">
        <f t="shared" si="2"/>
        <v>-6</v>
      </c>
      <c r="M7" s="1"/>
      <c r="N7" s="1"/>
      <c r="O7" s="1"/>
      <c r="P7" s="1"/>
      <c r="Q7" s="5"/>
      <c r="R7" s="5"/>
      <c r="S7" s="5"/>
      <c r="T7" s="1"/>
      <c r="U7" s="1"/>
      <c r="V7" s="1"/>
      <c r="W7" s="1">
        <v>17</v>
      </c>
      <c r="X7" s="1">
        <v>25.2</v>
      </c>
      <c r="Y7" s="1">
        <v>18.399999999999999</v>
      </c>
      <c r="Z7" s="1">
        <v>17.2</v>
      </c>
      <c r="AA7" s="1">
        <v>10.8</v>
      </c>
      <c r="AB7" s="1">
        <v>19.8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45</v>
      </c>
      <c r="B8" s="1" t="s">
        <v>40</v>
      </c>
      <c r="C8" s="1">
        <v>458</v>
      </c>
      <c r="D8" s="1"/>
      <c r="E8" s="1">
        <v>111</v>
      </c>
      <c r="F8" s="1">
        <v>347</v>
      </c>
      <c r="G8" s="1">
        <v>0</v>
      </c>
      <c r="H8" s="1"/>
      <c r="I8" s="1" t="s">
        <v>41</v>
      </c>
      <c r="J8" s="1" t="s">
        <v>46</v>
      </c>
      <c r="K8" s="1">
        <v>117</v>
      </c>
      <c r="L8" s="1">
        <f t="shared" si="2"/>
        <v>-6</v>
      </c>
      <c r="M8" s="1"/>
      <c r="N8" s="1"/>
      <c r="O8" s="1"/>
      <c r="P8" s="1"/>
      <c r="Q8" s="5"/>
      <c r="R8" s="5"/>
      <c r="S8" s="5"/>
      <c r="T8" s="1"/>
      <c r="U8" s="1"/>
      <c r="V8" s="1"/>
      <c r="W8" s="1">
        <v>21.6</v>
      </c>
      <c r="X8" s="1">
        <v>12.6</v>
      </c>
      <c r="Y8" s="1">
        <v>8.1999999999999993</v>
      </c>
      <c r="Z8" s="1">
        <v>5.6</v>
      </c>
      <c r="AA8" s="1">
        <v>4.4000000000000004</v>
      </c>
      <c r="AB8" s="1">
        <v>10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47</v>
      </c>
      <c r="B9" s="1" t="s">
        <v>40</v>
      </c>
      <c r="C9" s="1">
        <v>5</v>
      </c>
      <c r="D9" s="1"/>
      <c r="E9" s="1">
        <v>5</v>
      </c>
      <c r="F9" s="1"/>
      <c r="G9" s="1">
        <v>0.22</v>
      </c>
      <c r="H9" s="1">
        <v>180</v>
      </c>
      <c r="I9" s="1" t="s">
        <v>48</v>
      </c>
      <c r="J9" s="1"/>
      <c r="K9" s="1">
        <v>21</v>
      </c>
      <c r="L9" s="1">
        <f t="shared" si="2"/>
        <v>-16</v>
      </c>
      <c r="M9" s="1"/>
      <c r="N9" s="1"/>
      <c r="O9" s="1">
        <v>0</v>
      </c>
      <c r="P9" s="1"/>
      <c r="Q9" s="5"/>
      <c r="R9" s="5">
        <f t="shared" ref="R9:R18" si="3">AE9*AF9</f>
        <v>0</v>
      </c>
      <c r="S9" s="5"/>
      <c r="T9" s="1"/>
      <c r="U9" s="1"/>
      <c r="V9" s="1"/>
      <c r="W9" s="1">
        <v>5.2</v>
      </c>
      <c r="X9" s="1">
        <v>6.4</v>
      </c>
      <c r="Y9" s="1">
        <v>4.5999999999999996</v>
      </c>
      <c r="Z9" s="1">
        <v>4.8</v>
      </c>
      <c r="AA9" s="1">
        <v>8.6</v>
      </c>
      <c r="AB9" s="1">
        <v>5.6</v>
      </c>
      <c r="AC9" s="1"/>
      <c r="AD9" s="1">
        <f t="shared" ref="AD9:AD18" si="4">G9*Q9</f>
        <v>0</v>
      </c>
      <c r="AE9" s="1">
        <v>12</v>
      </c>
      <c r="AF9" s="1">
        <f t="shared" ref="AF9:AF18" si="5">MROUND(Q9, AE9*AH9)/AE9</f>
        <v>0</v>
      </c>
      <c r="AG9" s="1">
        <f t="shared" ref="AG9:AG18" si="6">AF9*AE9*G9</f>
        <v>0</v>
      </c>
      <c r="AH9" s="1">
        <v>14</v>
      </c>
      <c r="AI9" s="1">
        <v>70</v>
      </c>
      <c r="AJ9" s="1">
        <f t="shared" ref="AJ9:AJ18" si="7">AF9/AI9</f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49</v>
      </c>
      <c r="B10" s="1" t="s">
        <v>40</v>
      </c>
      <c r="C10" s="1">
        <v>158</v>
      </c>
      <c r="D10" s="1"/>
      <c r="E10" s="1">
        <v>92</v>
      </c>
      <c r="F10" s="1">
        <v>66</v>
      </c>
      <c r="G10" s="1">
        <v>0.3</v>
      </c>
      <c r="H10" s="1">
        <v>180</v>
      </c>
      <c r="I10" s="1" t="s">
        <v>50</v>
      </c>
      <c r="J10" s="1"/>
      <c r="K10" s="1">
        <v>92</v>
      </c>
      <c r="L10" s="1">
        <f t="shared" si="2"/>
        <v>0</v>
      </c>
      <c r="M10" s="1"/>
      <c r="N10" s="1"/>
      <c r="O10" s="1">
        <v>168</v>
      </c>
      <c r="P10" s="1"/>
      <c r="Q10" s="5"/>
      <c r="R10" s="5">
        <f t="shared" si="3"/>
        <v>0</v>
      </c>
      <c r="S10" s="5"/>
      <c r="T10" s="1"/>
      <c r="U10" s="1"/>
      <c r="V10" s="1"/>
      <c r="W10" s="1">
        <v>22.4</v>
      </c>
      <c r="X10" s="1">
        <v>23</v>
      </c>
      <c r="Y10" s="1">
        <v>10.199999999999999</v>
      </c>
      <c r="Z10" s="1">
        <v>14.8</v>
      </c>
      <c r="AA10" s="1">
        <v>11.6</v>
      </c>
      <c r="AB10" s="1">
        <v>14.8</v>
      </c>
      <c r="AC10" s="1" t="s">
        <v>51</v>
      </c>
      <c r="AD10" s="1">
        <f t="shared" si="4"/>
        <v>0</v>
      </c>
      <c r="AE10" s="1">
        <v>12</v>
      </c>
      <c r="AF10" s="1">
        <f t="shared" si="5"/>
        <v>0</v>
      </c>
      <c r="AG10" s="1">
        <f t="shared" si="6"/>
        <v>0</v>
      </c>
      <c r="AH10" s="1">
        <v>14</v>
      </c>
      <c r="AI10" s="1">
        <v>70</v>
      </c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52</v>
      </c>
      <c r="B11" s="1" t="s">
        <v>40</v>
      </c>
      <c r="C11" s="1">
        <v>1613</v>
      </c>
      <c r="D11" s="1"/>
      <c r="E11" s="1">
        <v>670</v>
      </c>
      <c r="F11" s="1">
        <v>943</v>
      </c>
      <c r="G11" s="1">
        <v>0.28000000000000003</v>
      </c>
      <c r="H11" s="1">
        <v>180</v>
      </c>
      <c r="I11" s="1" t="s">
        <v>53</v>
      </c>
      <c r="J11" s="1"/>
      <c r="K11" s="1">
        <v>677</v>
      </c>
      <c r="L11" s="1">
        <f t="shared" si="2"/>
        <v>-7</v>
      </c>
      <c r="M11" s="1"/>
      <c r="N11" s="1"/>
      <c r="O11" s="1">
        <v>84</v>
      </c>
      <c r="P11" s="1"/>
      <c r="Q11" s="5"/>
      <c r="R11" s="5">
        <f t="shared" si="3"/>
        <v>0</v>
      </c>
      <c r="S11" s="5"/>
      <c r="T11" s="1"/>
      <c r="U11" s="1"/>
      <c r="V11" s="1"/>
      <c r="W11" s="1">
        <v>119</v>
      </c>
      <c r="X11" s="1">
        <v>172.6</v>
      </c>
      <c r="Y11" s="1">
        <v>118</v>
      </c>
      <c r="Z11" s="1">
        <v>143</v>
      </c>
      <c r="AA11" s="1">
        <v>111.4</v>
      </c>
      <c r="AB11" s="1">
        <v>189.6</v>
      </c>
      <c r="AC11" s="1"/>
      <c r="AD11" s="1">
        <f t="shared" si="4"/>
        <v>0</v>
      </c>
      <c r="AE11" s="1">
        <v>6</v>
      </c>
      <c r="AF11" s="1">
        <f t="shared" si="5"/>
        <v>0</v>
      </c>
      <c r="AG11" s="1">
        <f t="shared" si="6"/>
        <v>0</v>
      </c>
      <c r="AH11" s="1">
        <v>14</v>
      </c>
      <c r="AI11" s="1">
        <v>140</v>
      </c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54</v>
      </c>
      <c r="B12" s="1" t="s">
        <v>40</v>
      </c>
      <c r="C12" s="1">
        <v>399</v>
      </c>
      <c r="D12" s="1"/>
      <c r="E12" s="1">
        <v>358</v>
      </c>
      <c r="F12" s="1">
        <v>41</v>
      </c>
      <c r="G12" s="1">
        <v>0.24</v>
      </c>
      <c r="H12" s="1">
        <v>180</v>
      </c>
      <c r="I12" s="1" t="s">
        <v>55</v>
      </c>
      <c r="J12" s="1"/>
      <c r="K12" s="1">
        <v>390</v>
      </c>
      <c r="L12" s="1">
        <f t="shared" si="2"/>
        <v>-32</v>
      </c>
      <c r="M12" s="1"/>
      <c r="N12" s="1"/>
      <c r="O12" s="1">
        <v>672</v>
      </c>
      <c r="P12" s="1"/>
      <c r="Q12" s="5"/>
      <c r="R12" s="5">
        <f t="shared" si="3"/>
        <v>0</v>
      </c>
      <c r="S12" s="5"/>
      <c r="T12" s="1"/>
      <c r="U12" s="1"/>
      <c r="V12" s="1"/>
      <c r="W12" s="1">
        <v>87.2</v>
      </c>
      <c r="X12" s="1">
        <v>87</v>
      </c>
      <c r="Y12" s="1">
        <v>75</v>
      </c>
      <c r="Z12" s="1">
        <v>115.2</v>
      </c>
      <c r="AA12" s="1">
        <v>116.4</v>
      </c>
      <c r="AB12" s="1">
        <v>102.4</v>
      </c>
      <c r="AC12" s="1"/>
      <c r="AD12" s="1">
        <f t="shared" si="4"/>
        <v>0</v>
      </c>
      <c r="AE12" s="1">
        <v>12</v>
      </c>
      <c r="AF12" s="1">
        <f t="shared" si="5"/>
        <v>0</v>
      </c>
      <c r="AG12" s="1">
        <f t="shared" si="6"/>
        <v>0</v>
      </c>
      <c r="AH12" s="1">
        <v>14</v>
      </c>
      <c r="AI12" s="1">
        <v>70</v>
      </c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56</v>
      </c>
      <c r="B13" s="1" t="s">
        <v>40</v>
      </c>
      <c r="C13" s="1">
        <v>328</v>
      </c>
      <c r="D13" s="1"/>
      <c r="E13" s="1">
        <v>311</v>
      </c>
      <c r="F13" s="1">
        <v>17</v>
      </c>
      <c r="G13" s="1">
        <v>0.24</v>
      </c>
      <c r="H13" s="1">
        <v>180</v>
      </c>
      <c r="I13" s="1" t="s">
        <v>57</v>
      </c>
      <c r="J13" s="1"/>
      <c r="K13" s="1">
        <v>791</v>
      </c>
      <c r="L13" s="1">
        <f t="shared" si="2"/>
        <v>-480</v>
      </c>
      <c r="M13" s="1"/>
      <c r="N13" s="1"/>
      <c r="O13" s="1">
        <v>1344</v>
      </c>
      <c r="P13" s="1"/>
      <c r="Q13" s="5"/>
      <c r="R13" s="5">
        <f t="shared" si="3"/>
        <v>0</v>
      </c>
      <c r="S13" s="5"/>
      <c r="T13" s="1"/>
      <c r="U13" s="1"/>
      <c r="V13" s="1"/>
      <c r="W13" s="1">
        <v>187</v>
      </c>
      <c r="X13" s="1">
        <v>186.6</v>
      </c>
      <c r="Y13" s="1">
        <v>97.8</v>
      </c>
      <c r="Z13" s="1">
        <v>195.2</v>
      </c>
      <c r="AA13" s="1">
        <v>107.6</v>
      </c>
      <c r="AB13" s="1">
        <v>118</v>
      </c>
      <c r="AC13" s="1"/>
      <c r="AD13" s="1">
        <f t="shared" si="4"/>
        <v>0</v>
      </c>
      <c r="AE13" s="1">
        <v>12</v>
      </c>
      <c r="AF13" s="1">
        <f t="shared" si="5"/>
        <v>0</v>
      </c>
      <c r="AG13" s="1">
        <f t="shared" si="6"/>
        <v>0</v>
      </c>
      <c r="AH13" s="1">
        <v>14</v>
      </c>
      <c r="AI13" s="1">
        <v>70</v>
      </c>
      <c r="AJ13" s="1">
        <f t="shared" si="7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58</v>
      </c>
      <c r="B14" s="1" t="s">
        <v>40</v>
      </c>
      <c r="C14" s="1">
        <v>336</v>
      </c>
      <c r="D14" s="1"/>
      <c r="E14" s="1">
        <v>314</v>
      </c>
      <c r="F14" s="1">
        <v>22</v>
      </c>
      <c r="G14" s="1">
        <v>0.24</v>
      </c>
      <c r="H14" s="1">
        <v>180</v>
      </c>
      <c r="I14" s="1" t="s">
        <v>59</v>
      </c>
      <c r="J14" s="1"/>
      <c r="K14" s="1">
        <v>522</v>
      </c>
      <c r="L14" s="1">
        <f t="shared" si="2"/>
        <v>-208</v>
      </c>
      <c r="M14" s="1"/>
      <c r="N14" s="1"/>
      <c r="O14" s="1">
        <v>672</v>
      </c>
      <c r="P14" s="1"/>
      <c r="Q14" s="5"/>
      <c r="R14" s="5">
        <f t="shared" si="3"/>
        <v>0</v>
      </c>
      <c r="S14" s="5"/>
      <c r="T14" s="1"/>
      <c r="U14" s="1"/>
      <c r="V14" s="1"/>
      <c r="W14" s="1">
        <v>95.8</v>
      </c>
      <c r="X14" s="1">
        <v>113</v>
      </c>
      <c r="Y14" s="1">
        <v>95.6</v>
      </c>
      <c r="Z14" s="1">
        <v>123.8</v>
      </c>
      <c r="AA14" s="1">
        <v>94.6</v>
      </c>
      <c r="AB14" s="1">
        <v>147.6</v>
      </c>
      <c r="AC14" s="1"/>
      <c r="AD14" s="1">
        <f t="shared" si="4"/>
        <v>0</v>
      </c>
      <c r="AE14" s="1">
        <v>12</v>
      </c>
      <c r="AF14" s="1">
        <f t="shared" si="5"/>
        <v>0</v>
      </c>
      <c r="AG14" s="1">
        <f t="shared" si="6"/>
        <v>0</v>
      </c>
      <c r="AH14" s="1">
        <v>14</v>
      </c>
      <c r="AI14" s="1">
        <v>70</v>
      </c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42</v>
      </c>
      <c r="B15" s="1" t="s">
        <v>40</v>
      </c>
      <c r="C15" s="1">
        <v>1285</v>
      </c>
      <c r="D15" s="1">
        <v>45</v>
      </c>
      <c r="E15" s="1">
        <v>838</v>
      </c>
      <c r="F15" s="1">
        <v>147</v>
      </c>
      <c r="G15" s="1">
        <v>0.24</v>
      </c>
      <c r="H15" s="1">
        <v>180</v>
      </c>
      <c r="I15" s="1" t="s">
        <v>60</v>
      </c>
      <c r="J15" s="1"/>
      <c r="K15" s="1">
        <v>898</v>
      </c>
      <c r="L15" s="1">
        <f t="shared" si="2"/>
        <v>-60</v>
      </c>
      <c r="M15" s="1"/>
      <c r="N15" s="1"/>
      <c r="O15" s="1">
        <v>1344</v>
      </c>
      <c r="P15" s="1"/>
      <c r="Q15" s="5"/>
      <c r="R15" s="5">
        <f t="shared" si="3"/>
        <v>0</v>
      </c>
      <c r="S15" s="5"/>
      <c r="T15" s="1"/>
      <c r="U15" s="1"/>
      <c r="V15" s="1"/>
      <c r="W15" s="1">
        <v>243.8</v>
      </c>
      <c r="X15" s="1">
        <v>228.6</v>
      </c>
      <c r="Y15" s="1">
        <v>194.2</v>
      </c>
      <c r="Z15" s="1">
        <v>212.6</v>
      </c>
      <c r="AA15" s="1">
        <v>137.19999999999999</v>
      </c>
      <c r="AB15" s="1">
        <v>167.2</v>
      </c>
      <c r="AC15" s="1"/>
      <c r="AD15" s="1">
        <f t="shared" si="4"/>
        <v>0</v>
      </c>
      <c r="AE15" s="1">
        <v>12</v>
      </c>
      <c r="AF15" s="1">
        <f t="shared" si="5"/>
        <v>0</v>
      </c>
      <c r="AG15" s="1">
        <f t="shared" si="6"/>
        <v>0</v>
      </c>
      <c r="AH15" s="1">
        <v>14</v>
      </c>
      <c r="AI15" s="1">
        <v>70</v>
      </c>
      <c r="AJ15" s="1">
        <f t="shared" si="7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61</v>
      </c>
      <c r="B16" s="1" t="s">
        <v>40</v>
      </c>
      <c r="C16" s="1">
        <v>409</v>
      </c>
      <c r="D16" s="1"/>
      <c r="E16" s="1">
        <v>102</v>
      </c>
      <c r="F16" s="1">
        <v>307</v>
      </c>
      <c r="G16" s="1">
        <v>0.48</v>
      </c>
      <c r="H16" s="1">
        <v>180</v>
      </c>
      <c r="I16" s="1" t="s">
        <v>62</v>
      </c>
      <c r="J16" s="1"/>
      <c r="K16" s="1">
        <v>116</v>
      </c>
      <c r="L16" s="1">
        <f t="shared" si="2"/>
        <v>-14</v>
      </c>
      <c r="M16" s="1"/>
      <c r="N16" s="1"/>
      <c r="O16" s="1">
        <v>0</v>
      </c>
      <c r="P16" s="1"/>
      <c r="Q16" s="5"/>
      <c r="R16" s="5">
        <f t="shared" si="3"/>
        <v>0</v>
      </c>
      <c r="S16" s="5"/>
      <c r="T16" s="1"/>
      <c r="U16" s="1"/>
      <c r="V16" s="1"/>
      <c r="W16" s="1">
        <v>31.4</v>
      </c>
      <c r="X16" s="1">
        <v>39.4</v>
      </c>
      <c r="Y16" s="1">
        <v>13.8</v>
      </c>
      <c r="Z16" s="1">
        <v>14.6</v>
      </c>
      <c r="AA16" s="1">
        <v>35.200000000000003</v>
      </c>
      <c r="AB16" s="1">
        <v>34</v>
      </c>
      <c r="AC16" s="1" t="s">
        <v>63</v>
      </c>
      <c r="AD16" s="1">
        <f t="shared" si="4"/>
        <v>0</v>
      </c>
      <c r="AE16" s="1">
        <v>8</v>
      </c>
      <c r="AF16" s="1">
        <f t="shared" si="5"/>
        <v>0</v>
      </c>
      <c r="AG16" s="1">
        <f t="shared" si="6"/>
        <v>0</v>
      </c>
      <c r="AH16" s="1">
        <v>14</v>
      </c>
      <c r="AI16" s="1">
        <v>70</v>
      </c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64</v>
      </c>
      <c r="B17" s="1" t="s">
        <v>40</v>
      </c>
      <c r="C17" s="1">
        <v>519</v>
      </c>
      <c r="D17" s="1"/>
      <c r="E17" s="1">
        <v>576</v>
      </c>
      <c r="F17" s="1">
        <v>-57</v>
      </c>
      <c r="G17" s="1">
        <v>0.09</v>
      </c>
      <c r="H17" s="1">
        <v>180</v>
      </c>
      <c r="I17" s="1" t="s">
        <v>65</v>
      </c>
      <c r="J17" s="1"/>
      <c r="K17" s="1">
        <v>605</v>
      </c>
      <c r="L17" s="1">
        <f t="shared" si="2"/>
        <v>-29</v>
      </c>
      <c r="M17" s="1"/>
      <c r="N17" s="1"/>
      <c r="O17" s="1">
        <v>672</v>
      </c>
      <c r="P17" s="1"/>
      <c r="Q17" s="5"/>
      <c r="R17" s="5">
        <f t="shared" si="3"/>
        <v>0</v>
      </c>
      <c r="S17" s="5"/>
      <c r="T17" s="1"/>
      <c r="U17" s="1"/>
      <c r="V17" s="1"/>
      <c r="W17" s="1">
        <v>73</v>
      </c>
      <c r="X17" s="1">
        <v>127.2</v>
      </c>
      <c r="Y17" s="1">
        <v>93.6</v>
      </c>
      <c r="Z17" s="1">
        <v>105.6</v>
      </c>
      <c r="AA17" s="1">
        <v>78.8</v>
      </c>
      <c r="AB17" s="1">
        <v>72.400000000000006</v>
      </c>
      <c r="AC17" s="1" t="s">
        <v>51</v>
      </c>
      <c r="AD17" s="1">
        <f t="shared" si="4"/>
        <v>0</v>
      </c>
      <c r="AE17" s="1">
        <v>24</v>
      </c>
      <c r="AF17" s="1">
        <f t="shared" si="5"/>
        <v>0</v>
      </c>
      <c r="AG17" s="1">
        <f t="shared" si="6"/>
        <v>0</v>
      </c>
      <c r="AH17" s="1">
        <v>14</v>
      </c>
      <c r="AI17" s="1">
        <v>126</v>
      </c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66</v>
      </c>
      <c r="B18" s="1" t="s">
        <v>40</v>
      </c>
      <c r="C18" s="1">
        <v>813</v>
      </c>
      <c r="D18" s="1"/>
      <c r="E18" s="1">
        <v>463</v>
      </c>
      <c r="F18" s="1">
        <v>348</v>
      </c>
      <c r="G18" s="1">
        <v>0.36</v>
      </c>
      <c r="H18" s="1">
        <v>180</v>
      </c>
      <c r="I18" s="1" t="s">
        <v>67</v>
      </c>
      <c r="J18" s="1"/>
      <c r="K18" s="1">
        <v>497</v>
      </c>
      <c r="L18" s="1">
        <f t="shared" si="2"/>
        <v>-34</v>
      </c>
      <c r="M18" s="1"/>
      <c r="N18" s="1"/>
      <c r="O18" s="1">
        <v>560</v>
      </c>
      <c r="P18" s="1"/>
      <c r="Q18" s="5"/>
      <c r="R18" s="5">
        <f t="shared" si="3"/>
        <v>0</v>
      </c>
      <c r="S18" s="5"/>
      <c r="T18" s="1"/>
      <c r="U18" s="1"/>
      <c r="V18" s="1"/>
      <c r="W18" s="1">
        <v>104</v>
      </c>
      <c r="X18" s="1">
        <v>85</v>
      </c>
      <c r="Y18" s="1">
        <v>93.2</v>
      </c>
      <c r="Z18" s="1">
        <v>110</v>
      </c>
      <c r="AA18" s="1">
        <v>98.8</v>
      </c>
      <c r="AB18" s="1">
        <v>132.19999999999999</v>
      </c>
      <c r="AC18" s="1" t="s">
        <v>51</v>
      </c>
      <c r="AD18" s="1">
        <f t="shared" si="4"/>
        <v>0</v>
      </c>
      <c r="AE18" s="1">
        <v>10</v>
      </c>
      <c r="AF18" s="1">
        <f t="shared" si="5"/>
        <v>0</v>
      </c>
      <c r="AG18" s="1">
        <f t="shared" si="6"/>
        <v>0</v>
      </c>
      <c r="AH18" s="1">
        <v>14</v>
      </c>
      <c r="AI18" s="1">
        <v>70</v>
      </c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68</v>
      </c>
      <c r="B19" s="1" t="s">
        <v>40</v>
      </c>
      <c r="C19" s="1">
        <v>832</v>
      </c>
      <c r="D19" s="1"/>
      <c r="E19" s="1"/>
      <c r="F19" s="1">
        <v>831</v>
      </c>
      <c r="G19" s="1">
        <v>0</v>
      </c>
      <c r="H19" s="1"/>
      <c r="I19" s="1" t="s">
        <v>69</v>
      </c>
      <c r="J19" s="1" t="s">
        <v>70</v>
      </c>
      <c r="K19" s="1"/>
      <c r="L19" s="1">
        <f t="shared" si="2"/>
        <v>0</v>
      </c>
      <c r="M19" s="1"/>
      <c r="N19" s="1"/>
      <c r="O19" s="1"/>
      <c r="P19" s="1"/>
      <c r="Q19" s="5"/>
      <c r="R19" s="5"/>
      <c r="S19" s="5"/>
      <c r="T19" s="1"/>
      <c r="U19" s="1"/>
      <c r="V19" s="1"/>
      <c r="W19" s="1">
        <v>0.2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70</v>
      </c>
      <c r="B20" s="1" t="s">
        <v>40</v>
      </c>
      <c r="C20" s="1">
        <v>536</v>
      </c>
      <c r="D20" s="1"/>
      <c r="E20" s="1">
        <v>284</v>
      </c>
      <c r="F20" s="1">
        <v>252</v>
      </c>
      <c r="G20" s="1">
        <v>0.2</v>
      </c>
      <c r="H20" s="1">
        <v>180</v>
      </c>
      <c r="I20" s="1" t="s">
        <v>71</v>
      </c>
      <c r="J20" s="1"/>
      <c r="K20" s="1">
        <v>300</v>
      </c>
      <c r="L20" s="1">
        <f t="shared" si="2"/>
        <v>-16</v>
      </c>
      <c r="M20" s="1"/>
      <c r="N20" s="1"/>
      <c r="O20" s="1">
        <v>0</v>
      </c>
      <c r="P20" s="1"/>
      <c r="Q20" s="5"/>
      <c r="R20" s="5">
        <f t="shared" ref="R20:R25" si="8">AE20*AF20</f>
        <v>0</v>
      </c>
      <c r="S20" s="5"/>
      <c r="T20" s="1"/>
      <c r="U20" s="1"/>
      <c r="V20" s="1"/>
      <c r="W20" s="1">
        <v>38.4</v>
      </c>
      <c r="X20" s="1">
        <v>47.4</v>
      </c>
      <c r="Y20" s="1">
        <v>35.799999999999997</v>
      </c>
      <c r="Z20" s="1">
        <v>42.8</v>
      </c>
      <c r="AA20" s="1">
        <v>25.8</v>
      </c>
      <c r="AB20" s="1">
        <v>42</v>
      </c>
      <c r="AC20" s="1" t="s">
        <v>72</v>
      </c>
      <c r="AD20" s="1">
        <f t="shared" ref="AD20:AD25" si="9">G20*Q20</f>
        <v>0</v>
      </c>
      <c r="AE20" s="1">
        <v>12</v>
      </c>
      <c r="AF20" s="1">
        <f t="shared" ref="AF20:AF25" si="10">MROUND(Q20, AE20*AH20)/AE20</f>
        <v>0</v>
      </c>
      <c r="AG20" s="1">
        <f t="shared" ref="AG20:AG25" si="11">AF20*AE20*G20</f>
        <v>0</v>
      </c>
      <c r="AH20" s="1">
        <v>14</v>
      </c>
      <c r="AI20" s="1">
        <v>70</v>
      </c>
      <c r="AJ20" s="1">
        <f t="shared" ref="AJ20:AJ25" si="12">AF20/AI20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73</v>
      </c>
      <c r="B21" s="1" t="s">
        <v>40</v>
      </c>
      <c r="C21" s="1">
        <v>1037</v>
      </c>
      <c r="D21" s="1"/>
      <c r="E21" s="1">
        <v>409</v>
      </c>
      <c r="F21" s="1">
        <v>628</v>
      </c>
      <c r="G21" s="1">
        <v>0.2</v>
      </c>
      <c r="H21" s="1">
        <v>180</v>
      </c>
      <c r="I21" s="1" t="s">
        <v>74</v>
      </c>
      <c r="J21" s="1"/>
      <c r="K21" s="1">
        <v>447</v>
      </c>
      <c r="L21" s="1">
        <f t="shared" si="2"/>
        <v>-38</v>
      </c>
      <c r="M21" s="1"/>
      <c r="N21" s="1"/>
      <c r="O21" s="1">
        <v>168</v>
      </c>
      <c r="P21" s="1"/>
      <c r="Q21" s="5"/>
      <c r="R21" s="5">
        <f t="shared" si="8"/>
        <v>0</v>
      </c>
      <c r="S21" s="5"/>
      <c r="T21" s="1"/>
      <c r="U21" s="1"/>
      <c r="V21" s="1"/>
      <c r="W21" s="1">
        <v>83</v>
      </c>
      <c r="X21" s="1">
        <v>118.4</v>
      </c>
      <c r="Y21" s="1">
        <v>99.8</v>
      </c>
      <c r="Z21" s="1">
        <v>75</v>
      </c>
      <c r="AA21" s="1">
        <v>106</v>
      </c>
      <c r="AB21" s="1">
        <v>159.6</v>
      </c>
      <c r="AC21" s="1"/>
      <c r="AD21" s="1">
        <f t="shared" si="9"/>
        <v>0</v>
      </c>
      <c r="AE21" s="1">
        <v>12</v>
      </c>
      <c r="AF21" s="1">
        <f t="shared" si="10"/>
        <v>0</v>
      </c>
      <c r="AG21" s="1">
        <f t="shared" si="11"/>
        <v>0</v>
      </c>
      <c r="AH21" s="1">
        <v>14</v>
      </c>
      <c r="AI21" s="1">
        <v>70</v>
      </c>
      <c r="AJ21" s="1">
        <f t="shared" si="12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75</v>
      </c>
      <c r="B22" s="1" t="s">
        <v>76</v>
      </c>
      <c r="C22" s="1">
        <v>155</v>
      </c>
      <c r="D22" s="1"/>
      <c r="E22" s="1">
        <v>198.7</v>
      </c>
      <c r="F22" s="1">
        <v>-43.7</v>
      </c>
      <c r="G22" s="1">
        <v>1</v>
      </c>
      <c r="H22" s="1"/>
      <c r="I22" s="1" t="s">
        <v>77</v>
      </c>
      <c r="J22" s="1"/>
      <c r="K22" s="1">
        <v>193.5</v>
      </c>
      <c r="L22" s="1">
        <f t="shared" si="2"/>
        <v>5.1999999999999886</v>
      </c>
      <c r="M22" s="1"/>
      <c r="N22" s="1"/>
      <c r="O22" s="1">
        <v>180</v>
      </c>
      <c r="P22" s="1"/>
      <c r="Q22" s="5"/>
      <c r="R22" s="5">
        <f t="shared" si="8"/>
        <v>0</v>
      </c>
      <c r="S22" s="5"/>
      <c r="T22" s="1"/>
      <c r="U22" s="1"/>
      <c r="V22" s="1"/>
      <c r="W22" s="1">
        <v>24</v>
      </c>
      <c r="X22" s="1">
        <v>54</v>
      </c>
      <c r="Y22" s="1">
        <v>32</v>
      </c>
      <c r="Z22" s="1">
        <v>54</v>
      </c>
      <c r="AA22" s="1">
        <v>57</v>
      </c>
      <c r="AB22" s="1">
        <v>0</v>
      </c>
      <c r="AC22" s="1"/>
      <c r="AD22" s="1">
        <f t="shared" si="9"/>
        <v>0</v>
      </c>
      <c r="AE22" s="1">
        <v>5</v>
      </c>
      <c r="AF22" s="1">
        <f t="shared" si="10"/>
        <v>0</v>
      </c>
      <c r="AG22" s="1">
        <f t="shared" si="11"/>
        <v>0</v>
      </c>
      <c r="AH22" s="1">
        <v>12</v>
      </c>
      <c r="AI22" s="1">
        <v>84</v>
      </c>
      <c r="AJ22" s="1">
        <f t="shared" si="12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78</v>
      </c>
      <c r="B23" s="1" t="s">
        <v>76</v>
      </c>
      <c r="C23" s="1">
        <v>286.5</v>
      </c>
      <c r="D23" s="1"/>
      <c r="E23" s="1">
        <v>142.5</v>
      </c>
      <c r="F23" s="1">
        <v>144</v>
      </c>
      <c r="G23" s="1">
        <v>1</v>
      </c>
      <c r="H23" s="1">
        <v>180</v>
      </c>
      <c r="I23" s="1" t="s">
        <v>79</v>
      </c>
      <c r="J23" s="1"/>
      <c r="K23" s="1">
        <v>142.5</v>
      </c>
      <c r="L23" s="1">
        <f t="shared" si="2"/>
        <v>0</v>
      </c>
      <c r="M23" s="1"/>
      <c r="N23" s="1"/>
      <c r="O23" s="1">
        <v>198</v>
      </c>
      <c r="P23" s="1"/>
      <c r="Q23" s="5"/>
      <c r="R23" s="5">
        <f t="shared" si="8"/>
        <v>0</v>
      </c>
      <c r="S23" s="5"/>
      <c r="T23" s="1"/>
      <c r="U23" s="1"/>
      <c r="V23" s="1"/>
      <c r="W23" s="1">
        <v>32.9</v>
      </c>
      <c r="X23" s="1">
        <v>31.8</v>
      </c>
      <c r="Y23" s="1">
        <v>28.6</v>
      </c>
      <c r="Z23" s="1">
        <v>28.4</v>
      </c>
      <c r="AA23" s="1">
        <v>26.4</v>
      </c>
      <c r="AB23" s="1">
        <v>33.9</v>
      </c>
      <c r="AC23" s="1"/>
      <c r="AD23" s="1">
        <f t="shared" si="9"/>
        <v>0</v>
      </c>
      <c r="AE23" s="1">
        <v>5.5</v>
      </c>
      <c r="AF23" s="1">
        <f t="shared" si="10"/>
        <v>0</v>
      </c>
      <c r="AG23" s="1">
        <f t="shared" si="11"/>
        <v>0</v>
      </c>
      <c r="AH23" s="1">
        <v>12</v>
      </c>
      <c r="AI23" s="1">
        <v>84</v>
      </c>
      <c r="AJ23" s="1">
        <f t="shared" si="12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80</v>
      </c>
      <c r="B24" s="1" t="s">
        <v>76</v>
      </c>
      <c r="C24" s="1">
        <v>267</v>
      </c>
      <c r="D24" s="1">
        <v>3</v>
      </c>
      <c r="E24" s="1">
        <v>159</v>
      </c>
      <c r="F24" s="1">
        <v>111</v>
      </c>
      <c r="G24" s="1">
        <v>1</v>
      </c>
      <c r="H24" s="1">
        <v>180</v>
      </c>
      <c r="I24" s="1" t="s">
        <v>81</v>
      </c>
      <c r="J24" s="1"/>
      <c r="K24" s="1">
        <v>162</v>
      </c>
      <c r="L24" s="1">
        <f t="shared" si="2"/>
        <v>-3</v>
      </c>
      <c r="M24" s="1"/>
      <c r="N24" s="1"/>
      <c r="O24" s="1">
        <v>336</v>
      </c>
      <c r="P24" s="1"/>
      <c r="Q24" s="5"/>
      <c r="R24" s="5">
        <f t="shared" si="8"/>
        <v>0</v>
      </c>
      <c r="S24" s="5"/>
      <c r="T24" s="1"/>
      <c r="U24" s="1"/>
      <c r="V24" s="1"/>
      <c r="W24" s="1">
        <v>40.799999999999997</v>
      </c>
      <c r="X24" s="1">
        <v>37.200000000000003</v>
      </c>
      <c r="Y24" s="1">
        <v>26.4</v>
      </c>
      <c r="Z24" s="1">
        <v>34.200000000000003</v>
      </c>
      <c r="AA24" s="1">
        <v>28.8</v>
      </c>
      <c r="AB24" s="1">
        <v>42.6</v>
      </c>
      <c r="AC24" s="1"/>
      <c r="AD24" s="1">
        <f t="shared" si="9"/>
        <v>0</v>
      </c>
      <c r="AE24" s="1">
        <v>3</v>
      </c>
      <c r="AF24" s="1">
        <f t="shared" si="10"/>
        <v>0</v>
      </c>
      <c r="AG24" s="1">
        <f t="shared" si="11"/>
        <v>0</v>
      </c>
      <c r="AH24" s="1">
        <v>14</v>
      </c>
      <c r="AI24" s="1">
        <v>126</v>
      </c>
      <c r="AJ24" s="1">
        <f t="shared" si="12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82</v>
      </c>
      <c r="B25" s="1" t="s">
        <v>40</v>
      </c>
      <c r="C25" s="1">
        <v>183</v>
      </c>
      <c r="D25" s="1"/>
      <c r="E25" s="1">
        <v>183</v>
      </c>
      <c r="F25" s="1"/>
      <c r="G25" s="1">
        <v>0.25</v>
      </c>
      <c r="H25" s="1">
        <v>180</v>
      </c>
      <c r="I25" s="1" t="s">
        <v>83</v>
      </c>
      <c r="J25" s="1"/>
      <c r="K25" s="1">
        <v>257</v>
      </c>
      <c r="L25" s="1">
        <f t="shared" si="2"/>
        <v>-74</v>
      </c>
      <c r="M25" s="1"/>
      <c r="N25" s="1"/>
      <c r="O25" s="1">
        <v>420</v>
      </c>
      <c r="P25" s="1"/>
      <c r="Q25" s="5"/>
      <c r="R25" s="5">
        <f t="shared" si="8"/>
        <v>0</v>
      </c>
      <c r="S25" s="5"/>
      <c r="T25" s="1"/>
      <c r="U25" s="1"/>
      <c r="V25" s="1"/>
      <c r="W25" s="1">
        <v>65.8</v>
      </c>
      <c r="X25" s="1">
        <v>54.6</v>
      </c>
      <c r="Y25" s="1">
        <v>39.200000000000003</v>
      </c>
      <c r="Z25" s="1">
        <v>46.2</v>
      </c>
      <c r="AA25" s="1">
        <v>50</v>
      </c>
      <c r="AB25" s="1">
        <v>103.8</v>
      </c>
      <c r="AC25" s="1" t="s">
        <v>51</v>
      </c>
      <c r="AD25" s="1">
        <f t="shared" si="9"/>
        <v>0</v>
      </c>
      <c r="AE25" s="1">
        <v>6</v>
      </c>
      <c r="AF25" s="1">
        <f t="shared" si="10"/>
        <v>0</v>
      </c>
      <c r="AG25" s="1">
        <f t="shared" si="11"/>
        <v>0</v>
      </c>
      <c r="AH25" s="1">
        <v>14</v>
      </c>
      <c r="AI25" s="1">
        <v>140</v>
      </c>
      <c r="AJ25" s="1">
        <f t="shared" si="12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6" t="s">
        <v>84</v>
      </c>
      <c r="B26" s="1" t="s">
        <v>40</v>
      </c>
      <c r="C26" s="1"/>
      <c r="D26" s="1"/>
      <c r="E26" s="1"/>
      <c r="F26" s="1"/>
      <c r="G26" s="1">
        <v>0</v>
      </c>
      <c r="H26" s="1"/>
      <c r="I26" s="1" t="s">
        <v>69</v>
      </c>
      <c r="J26" s="1" t="s">
        <v>82</v>
      </c>
      <c r="K26" s="1"/>
      <c r="L26" s="1">
        <f t="shared" si="2"/>
        <v>0</v>
      </c>
      <c r="M26" s="1"/>
      <c r="N26" s="1"/>
      <c r="O26" s="1"/>
      <c r="P26" s="1"/>
      <c r="Q26" s="5"/>
      <c r="R26" s="5"/>
      <c r="S26" s="5"/>
      <c r="T26" s="1"/>
      <c r="U26" s="1"/>
      <c r="V26" s="1"/>
      <c r="W26" s="1">
        <v>0</v>
      </c>
      <c r="X26" s="1">
        <v>0</v>
      </c>
      <c r="Y26" s="1">
        <v>0.6</v>
      </c>
      <c r="Z26" s="1">
        <v>0</v>
      </c>
      <c r="AA26" s="1">
        <v>0</v>
      </c>
      <c r="AB26" s="1"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85</v>
      </c>
      <c r="B27" s="1" t="s">
        <v>40</v>
      </c>
      <c r="C27" s="1">
        <v>1103</v>
      </c>
      <c r="D27" s="1"/>
      <c r="E27" s="1">
        <v>271</v>
      </c>
      <c r="F27" s="1">
        <v>832</v>
      </c>
      <c r="G27" s="1">
        <v>0.25</v>
      </c>
      <c r="H27" s="1">
        <v>180</v>
      </c>
      <c r="I27" s="1" t="s">
        <v>86</v>
      </c>
      <c r="J27" s="1"/>
      <c r="K27" s="1">
        <v>300</v>
      </c>
      <c r="L27" s="1">
        <f t="shared" si="2"/>
        <v>-29</v>
      </c>
      <c r="M27" s="1"/>
      <c r="N27" s="1"/>
      <c r="O27" s="1">
        <v>0</v>
      </c>
      <c r="P27" s="1"/>
      <c r="Q27" s="5"/>
      <c r="R27" s="5">
        <f>AE27*AF27</f>
        <v>0</v>
      </c>
      <c r="S27" s="5"/>
      <c r="T27" s="1"/>
      <c r="U27" s="1"/>
      <c r="V27" s="1"/>
      <c r="W27" s="1">
        <v>51.4</v>
      </c>
      <c r="X27" s="1">
        <v>48</v>
      </c>
      <c r="Y27" s="1">
        <v>38.200000000000003</v>
      </c>
      <c r="Z27" s="1">
        <v>63.6</v>
      </c>
      <c r="AA27" s="1">
        <v>36.200000000000003</v>
      </c>
      <c r="AB27" s="1">
        <v>47.2</v>
      </c>
      <c r="AC27" s="1" t="s">
        <v>51</v>
      </c>
      <c r="AD27" s="1">
        <f>G27*Q27</f>
        <v>0</v>
      </c>
      <c r="AE27" s="1">
        <v>6</v>
      </c>
      <c r="AF27" s="1">
        <f>MROUND(Q27, AE27*AH27)/AE27</f>
        <v>0</v>
      </c>
      <c r="AG27" s="1">
        <f>AF27*AE27*G27</f>
        <v>0</v>
      </c>
      <c r="AH27" s="1">
        <v>14</v>
      </c>
      <c r="AI27" s="1">
        <v>140</v>
      </c>
      <c r="AJ27" s="1">
        <f>AF27/AI27</f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87</v>
      </c>
      <c r="B28" s="1" t="s">
        <v>76</v>
      </c>
      <c r="C28" s="1">
        <v>690</v>
      </c>
      <c r="D28" s="1"/>
      <c r="E28" s="1">
        <v>395</v>
      </c>
      <c r="F28" s="1">
        <v>295</v>
      </c>
      <c r="G28" s="1">
        <v>1</v>
      </c>
      <c r="H28" s="1">
        <v>180</v>
      </c>
      <c r="I28" s="1" t="s">
        <v>88</v>
      </c>
      <c r="J28" s="1"/>
      <c r="K28" s="1">
        <v>400</v>
      </c>
      <c r="L28" s="1">
        <f t="shared" si="2"/>
        <v>-5</v>
      </c>
      <c r="M28" s="1"/>
      <c r="N28" s="1"/>
      <c r="O28" s="1">
        <v>576</v>
      </c>
      <c r="P28" s="1"/>
      <c r="Q28" s="5"/>
      <c r="R28" s="5">
        <f>AE28*AF28</f>
        <v>0</v>
      </c>
      <c r="S28" s="5"/>
      <c r="T28" s="1"/>
      <c r="U28" s="1"/>
      <c r="V28" s="1"/>
      <c r="W28" s="1">
        <v>100.6</v>
      </c>
      <c r="X28" s="1">
        <v>96</v>
      </c>
      <c r="Y28" s="1">
        <v>93.8</v>
      </c>
      <c r="Z28" s="1">
        <v>87.6</v>
      </c>
      <c r="AA28" s="1">
        <v>76.8</v>
      </c>
      <c r="AB28" s="1">
        <v>80</v>
      </c>
      <c r="AC28" s="1"/>
      <c r="AD28" s="1">
        <f>G28*Q28</f>
        <v>0</v>
      </c>
      <c r="AE28" s="1">
        <v>6</v>
      </c>
      <c r="AF28" s="1">
        <f>MROUND(Q28, AE28*AH28)/AE28</f>
        <v>0</v>
      </c>
      <c r="AG28" s="1">
        <f>AF28*AE28*G28</f>
        <v>0</v>
      </c>
      <c r="AH28" s="1">
        <v>12</v>
      </c>
      <c r="AI28" s="1">
        <v>84</v>
      </c>
      <c r="AJ28" s="1">
        <f>AF28/AI28</f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89</v>
      </c>
      <c r="B29" s="1" t="s">
        <v>40</v>
      </c>
      <c r="C29" s="1">
        <v>578</v>
      </c>
      <c r="D29" s="1">
        <v>5</v>
      </c>
      <c r="E29" s="1">
        <v>114</v>
      </c>
      <c r="F29" s="1">
        <v>464</v>
      </c>
      <c r="G29" s="1">
        <v>0.23</v>
      </c>
      <c r="H29" s="1">
        <v>180</v>
      </c>
      <c r="I29" s="1" t="s">
        <v>90</v>
      </c>
      <c r="J29" s="1"/>
      <c r="K29" s="1">
        <v>121</v>
      </c>
      <c r="L29" s="1">
        <f t="shared" si="2"/>
        <v>-7</v>
      </c>
      <c r="M29" s="1"/>
      <c r="N29" s="1"/>
      <c r="O29" s="1">
        <v>0</v>
      </c>
      <c r="P29" s="1"/>
      <c r="Q29" s="5"/>
      <c r="R29" s="5">
        <f>AE29*AF29</f>
        <v>0</v>
      </c>
      <c r="S29" s="5"/>
      <c r="T29" s="1"/>
      <c r="U29" s="1"/>
      <c r="V29" s="1"/>
      <c r="W29" s="1">
        <v>43.4</v>
      </c>
      <c r="X29" s="1">
        <v>23.6</v>
      </c>
      <c r="Y29" s="1">
        <v>60.6</v>
      </c>
      <c r="Z29" s="1">
        <v>14.8</v>
      </c>
      <c r="AA29" s="1">
        <v>17.399999999999999</v>
      </c>
      <c r="AB29" s="1">
        <v>37.799999999999997</v>
      </c>
      <c r="AC29" s="1"/>
      <c r="AD29" s="1">
        <f>G29*Q29</f>
        <v>0</v>
      </c>
      <c r="AE29" s="1">
        <v>12</v>
      </c>
      <c r="AF29" s="1">
        <f>MROUND(Q29, AE29*AH29)/AE29</f>
        <v>0</v>
      </c>
      <c r="AG29" s="1">
        <f>AF29*AE29*G29</f>
        <v>0</v>
      </c>
      <c r="AH29" s="1">
        <v>14</v>
      </c>
      <c r="AI29" s="1">
        <v>70</v>
      </c>
      <c r="AJ29" s="1">
        <f>AF29/AI29</f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91</v>
      </c>
      <c r="B30" s="1" t="s">
        <v>40</v>
      </c>
      <c r="C30" s="1">
        <v>922</v>
      </c>
      <c r="D30" s="1"/>
      <c r="E30" s="1">
        <v>509</v>
      </c>
      <c r="F30" s="1">
        <v>412</v>
      </c>
      <c r="G30" s="1">
        <v>0.25</v>
      </c>
      <c r="H30" s="1">
        <v>365</v>
      </c>
      <c r="I30" s="1" t="s">
        <v>92</v>
      </c>
      <c r="J30" s="1"/>
      <c r="K30" s="1">
        <v>548</v>
      </c>
      <c r="L30" s="1">
        <f t="shared" si="2"/>
        <v>-39</v>
      </c>
      <c r="M30" s="1"/>
      <c r="N30" s="1"/>
      <c r="O30" s="1">
        <v>504</v>
      </c>
      <c r="P30" s="1"/>
      <c r="Q30" s="5"/>
      <c r="R30" s="5">
        <f>AE30*AF30</f>
        <v>0</v>
      </c>
      <c r="S30" s="5"/>
      <c r="T30" s="1"/>
      <c r="U30" s="1"/>
      <c r="V30" s="1"/>
      <c r="W30" s="1">
        <v>111.8</v>
      </c>
      <c r="X30" s="1">
        <v>103.2</v>
      </c>
      <c r="Y30" s="1">
        <v>81.2</v>
      </c>
      <c r="Z30" s="1">
        <v>79.400000000000006</v>
      </c>
      <c r="AA30" s="1">
        <v>116</v>
      </c>
      <c r="AB30" s="1">
        <v>127.4</v>
      </c>
      <c r="AC30" s="1" t="s">
        <v>51</v>
      </c>
      <c r="AD30" s="1">
        <f>G30*Q30</f>
        <v>0</v>
      </c>
      <c r="AE30" s="1">
        <v>12</v>
      </c>
      <c r="AF30" s="1">
        <f>MROUND(Q30, AE30*AH30)/AE30</f>
        <v>0</v>
      </c>
      <c r="AG30" s="1">
        <f>AF30*AE30*G30</f>
        <v>0</v>
      </c>
      <c r="AH30" s="1">
        <v>14</v>
      </c>
      <c r="AI30" s="1">
        <v>70</v>
      </c>
      <c r="AJ30" s="1">
        <f>AF30/AI30</f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93</v>
      </c>
      <c r="B31" s="1" t="s">
        <v>40</v>
      </c>
      <c r="C31" s="1">
        <v>533</v>
      </c>
      <c r="D31" s="1"/>
      <c r="E31" s="1">
        <v>378</v>
      </c>
      <c r="F31" s="1">
        <v>155</v>
      </c>
      <c r="G31" s="1">
        <v>0.25</v>
      </c>
      <c r="H31" s="1">
        <v>365</v>
      </c>
      <c r="I31" s="1" t="s">
        <v>94</v>
      </c>
      <c r="J31" s="1"/>
      <c r="K31" s="1">
        <v>404</v>
      </c>
      <c r="L31" s="1">
        <f t="shared" si="2"/>
        <v>-26</v>
      </c>
      <c r="M31" s="1"/>
      <c r="N31" s="1"/>
      <c r="O31" s="1">
        <v>840</v>
      </c>
      <c r="P31" s="1"/>
      <c r="Q31" s="5"/>
      <c r="R31" s="5">
        <f>AE31*AF31</f>
        <v>0</v>
      </c>
      <c r="S31" s="5"/>
      <c r="T31" s="1"/>
      <c r="U31" s="1"/>
      <c r="V31" s="1"/>
      <c r="W31" s="1">
        <v>120.8</v>
      </c>
      <c r="X31" s="1">
        <v>101.2</v>
      </c>
      <c r="Y31" s="1">
        <v>66.8</v>
      </c>
      <c r="Z31" s="1">
        <v>73.599999999999994</v>
      </c>
      <c r="AA31" s="1">
        <v>38.6</v>
      </c>
      <c r="AB31" s="1">
        <v>46.4</v>
      </c>
      <c r="AC31" s="1"/>
      <c r="AD31" s="1">
        <f>G31*Q31</f>
        <v>0</v>
      </c>
      <c r="AE31" s="1">
        <v>12</v>
      </c>
      <c r="AF31" s="1">
        <f>MROUND(Q31, AE31*AH31)/AE31</f>
        <v>0</v>
      </c>
      <c r="AG31" s="1">
        <f>AF31*AE31*G31</f>
        <v>0</v>
      </c>
      <c r="AH31" s="1">
        <v>14</v>
      </c>
      <c r="AI31" s="1">
        <v>70</v>
      </c>
      <c r="AJ31" s="1">
        <f>AF31/AI31</f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6" t="s">
        <v>95</v>
      </c>
      <c r="B32" s="1" t="s">
        <v>40</v>
      </c>
      <c r="C32" s="1"/>
      <c r="D32" s="1"/>
      <c r="E32" s="1"/>
      <c r="F32" s="1"/>
      <c r="G32" s="1">
        <v>0</v>
      </c>
      <c r="H32" s="1"/>
      <c r="I32" s="1" t="s">
        <v>69</v>
      </c>
      <c r="J32" s="1" t="s">
        <v>93</v>
      </c>
      <c r="K32" s="1"/>
      <c r="L32" s="1">
        <f t="shared" si="2"/>
        <v>0</v>
      </c>
      <c r="M32" s="1"/>
      <c r="N32" s="1"/>
      <c r="O32" s="1"/>
      <c r="P32" s="1"/>
      <c r="Q32" s="5"/>
      <c r="R32" s="5"/>
      <c r="S32" s="5"/>
      <c r="T32" s="1"/>
      <c r="U32" s="1"/>
      <c r="V32" s="1"/>
      <c r="W32" s="1">
        <v>0</v>
      </c>
      <c r="X32" s="1">
        <v>7.6</v>
      </c>
      <c r="Y32" s="1">
        <v>8</v>
      </c>
      <c r="Z32" s="1">
        <v>18.8</v>
      </c>
      <c r="AA32" s="1">
        <v>8.6</v>
      </c>
      <c r="AB32" s="1">
        <v>11.8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96</v>
      </c>
      <c r="B33" s="1" t="s">
        <v>40</v>
      </c>
      <c r="C33" s="1">
        <v>442</v>
      </c>
      <c r="D33" s="1">
        <v>1</v>
      </c>
      <c r="E33" s="1">
        <v>358</v>
      </c>
      <c r="F33" s="1">
        <v>85</v>
      </c>
      <c r="G33" s="1">
        <v>0.25</v>
      </c>
      <c r="H33" s="1">
        <v>180</v>
      </c>
      <c r="I33" s="1" t="s">
        <v>97</v>
      </c>
      <c r="J33" s="1"/>
      <c r="K33" s="1">
        <v>387</v>
      </c>
      <c r="L33" s="1">
        <f t="shared" si="2"/>
        <v>-29</v>
      </c>
      <c r="M33" s="1"/>
      <c r="N33" s="1"/>
      <c r="O33" s="1">
        <v>0</v>
      </c>
      <c r="P33" s="1"/>
      <c r="Q33" s="5"/>
      <c r="R33" s="5">
        <f t="shared" ref="R33:R44" si="13">AE33*AF33</f>
        <v>0</v>
      </c>
      <c r="S33" s="5"/>
      <c r="T33" s="1"/>
      <c r="U33" s="1"/>
      <c r="V33" s="1"/>
      <c r="W33" s="1">
        <v>30.4</v>
      </c>
      <c r="X33" s="1">
        <v>63</v>
      </c>
      <c r="Y33" s="1">
        <v>48.8</v>
      </c>
      <c r="Z33" s="1">
        <v>50</v>
      </c>
      <c r="AA33" s="1">
        <v>46</v>
      </c>
      <c r="AB33" s="1">
        <v>47.6</v>
      </c>
      <c r="AC33" s="1"/>
      <c r="AD33" s="1">
        <f t="shared" ref="AD33:AD44" si="14">G33*Q33</f>
        <v>0</v>
      </c>
      <c r="AE33" s="1">
        <v>12</v>
      </c>
      <c r="AF33" s="1">
        <f t="shared" ref="AF33:AF44" si="15">MROUND(Q33, AE33*AH33)/AE33</f>
        <v>0</v>
      </c>
      <c r="AG33" s="1">
        <f t="shared" ref="AG33:AG44" si="16">AF33*AE33*G33</f>
        <v>0</v>
      </c>
      <c r="AH33" s="1">
        <v>14</v>
      </c>
      <c r="AI33" s="1">
        <v>70</v>
      </c>
      <c r="AJ33" s="1">
        <f t="shared" ref="AJ33:AJ44" si="17">AF33/AI33</f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98</v>
      </c>
      <c r="B34" s="1" t="s">
        <v>40</v>
      </c>
      <c r="C34" s="1">
        <v>-6</v>
      </c>
      <c r="D34" s="1"/>
      <c r="E34" s="1">
        <v>13</v>
      </c>
      <c r="F34" s="1">
        <v>-19</v>
      </c>
      <c r="G34" s="1">
        <v>0.25</v>
      </c>
      <c r="H34" s="1">
        <v>180</v>
      </c>
      <c r="I34" s="1" t="s">
        <v>99</v>
      </c>
      <c r="J34" s="1"/>
      <c r="K34" s="1">
        <v>13</v>
      </c>
      <c r="L34" s="1">
        <f t="shared" si="2"/>
        <v>0</v>
      </c>
      <c r="M34" s="1"/>
      <c r="N34" s="1"/>
      <c r="O34" s="1">
        <v>168</v>
      </c>
      <c r="P34" s="1"/>
      <c r="Q34" s="5"/>
      <c r="R34" s="5">
        <f t="shared" si="13"/>
        <v>0</v>
      </c>
      <c r="S34" s="5"/>
      <c r="T34" s="1"/>
      <c r="U34" s="1"/>
      <c r="V34" s="1"/>
      <c r="W34" s="1">
        <v>12.4</v>
      </c>
      <c r="X34" s="1">
        <v>9</v>
      </c>
      <c r="Y34" s="1">
        <v>8.4</v>
      </c>
      <c r="Z34" s="1">
        <v>10.4</v>
      </c>
      <c r="AA34" s="1">
        <v>14.8</v>
      </c>
      <c r="AB34" s="1">
        <v>10.8</v>
      </c>
      <c r="AC34" s="1" t="s">
        <v>51</v>
      </c>
      <c r="AD34" s="1">
        <f t="shared" si="14"/>
        <v>0</v>
      </c>
      <c r="AE34" s="1">
        <v>12</v>
      </c>
      <c r="AF34" s="1">
        <f t="shared" si="15"/>
        <v>0</v>
      </c>
      <c r="AG34" s="1">
        <f t="shared" si="16"/>
        <v>0</v>
      </c>
      <c r="AH34" s="1">
        <v>14</v>
      </c>
      <c r="AI34" s="1">
        <v>70</v>
      </c>
      <c r="AJ34" s="1">
        <f t="shared" si="17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100</v>
      </c>
      <c r="B35" s="1" t="s">
        <v>40</v>
      </c>
      <c r="C35" s="1">
        <v>254</v>
      </c>
      <c r="D35" s="1"/>
      <c r="E35" s="1">
        <v>182</v>
      </c>
      <c r="F35" s="1">
        <v>72</v>
      </c>
      <c r="G35" s="1">
        <v>0.7</v>
      </c>
      <c r="H35" s="1">
        <v>180</v>
      </c>
      <c r="I35" s="1" t="s">
        <v>101</v>
      </c>
      <c r="J35" s="1"/>
      <c r="K35" s="1">
        <v>187</v>
      </c>
      <c r="L35" s="1">
        <f t="shared" si="2"/>
        <v>-5</v>
      </c>
      <c r="M35" s="1"/>
      <c r="N35" s="1"/>
      <c r="O35" s="1">
        <v>192</v>
      </c>
      <c r="P35" s="1"/>
      <c r="Q35" s="5"/>
      <c r="R35" s="5">
        <f t="shared" si="13"/>
        <v>0</v>
      </c>
      <c r="S35" s="5"/>
      <c r="T35" s="1"/>
      <c r="U35" s="1"/>
      <c r="V35" s="1"/>
      <c r="W35" s="1">
        <v>29.6</v>
      </c>
      <c r="X35" s="1">
        <v>28.6</v>
      </c>
      <c r="Y35" s="1">
        <v>22.8</v>
      </c>
      <c r="Z35" s="1">
        <v>23.4</v>
      </c>
      <c r="AA35" s="1">
        <v>19</v>
      </c>
      <c r="AB35" s="1">
        <v>37.6</v>
      </c>
      <c r="AC35" s="1"/>
      <c r="AD35" s="1">
        <f t="shared" si="14"/>
        <v>0</v>
      </c>
      <c r="AE35" s="1">
        <v>8</v>
      </c>
      <c r="AF35" s="1">
        <f t="shared" si="15"/>
        <v>0</v>
      </c>
      <c r="AG35" s="1">
        <f t="shared" si="16"/>
        <v>0</v>
      </c>
      <c r="AH35" s="1">
        <v>12</v>
      </c>
      <c r="AI35" s="1">
        <v>84</v>
      </c>
      <c r="AJ35" s="1">
        <f t="shared" si="17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102</v>
      </c>
      <c r="B36" s="1" t="s">
        <v>40</v>
      </c>
      <c r="C36" s="1">
        <v>213</v>
      </c>
      <c r="D36" s="1"/>
      <c r="E36" s="1">
        <v>118</v>
      </c>
      <c r="F36" s="1">
        <v>93</v>
      </c>
      <c r="G36" s="1">
        <v>0.7</v>
      </c>
      <c r="H36" s="1">
        <v>180</v>
      </c>
      <c r="I36" s="1" t="s">
        <v>103</v>
      </c>
      <c r="J36" s="1"/>
      <c r="K36" s="1">
        <v>133</v>
      </c>
      <c r="L36" s="1">
        <f t="shared" si="2"/>
        <v>-15</v>
      </c>
      <c r="M36" s="1"/>
      <c r="N36" s="1"/>
      <c r="O36" s="1">
        <v>192</v>
      </c>
      <c r="P36" s="1"/>
      <c r="Q36" s="5"/>
      <c r="R36" s="5">
        <f t="shared" si="13"/>
        <v>0</v>
      </c>
      <c r="S36" s="5"/>
      <c r="T36" s="1"/>
      <c r="U36" s="1"/>
      <c r="V36" s="1"/>
      <c r="W36" s="1">
        <v>27.4</v>
      </c>
      <c r="X36" s="1">
        <v>29.6</v>
      </c>
      <c r="Y36" s="1">
        <v>20.8</v>
      </c>
      <c r="Z36" s="1">
        <v>25.2</v>
      </c>
      <c r="AA36" s="1">
        <v>18.8</v>
      </c>
      <c r="AB36" s="1">
        <v>22.8</v>
      </c>
      <c r="AC36" s="1"/>
      <c r="AD36" s="1">
        <f t="shared" si="14"/>
        <v>0</v>
      </c>
      <c r="AE36" s="1">
        <v>8</v>
      </c>
      <c r="AF36" s="1">
        <f t="shared" si="15"/>
        <v>0</v>
      </c>
      <c r="AG36" s="1">
        <f t="shared" si="16"/>
        <v>0</v>
      </c>
      <c r="AH36" s="1">
        <v>12</v>
      </c>
      <c r="AI36" s="1">
        <v>84</v>
      </c>
      <c r="AJ36" s="1">
        <f t="shared" si="1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104</v>
      </c>
      <c r="B37" s="1" t="s">
        <v>40</v>
      </c>
      <c r="C37" s="1">
        <v>156</v>
      </c>
      <c r="D37" s="1"/>
      <c r="E37" s="1">
        <v>87</v>
      </c>
      <c r="F37" s="1">
        <v>69</v>
      </c>
      <c r="G37" s="1">
        <v>0.7</v>
      </c>
      <c r="H37" s="1">
        <v>180</v>
      </c>
      <c r="I37" s="1" t="s">
        <v>105</v>
      </c>
      <c r="J37" s="1"/>
      <c r="K37" s="1">
        <v>141</v>
      </c>
      <c r="L37" s="1">
        <f t="shared" si="2"/>
        <v>-54</v>
      </c>
      <c r="M37" s="1"/>
      <c r="N37" s="1"/>
      <c r="O37" s="1">
        <v>288</v>
      </c>
      <c r="P37" s="1"/>
      <c r="Q37" s="5"/>
      <c r="R37" s="5">
        <f t="shared" si="13"/>
        <v>0</v>
      </c>
      <c r="S37" s="5"/>
      <c r="T37" s="1"/>
      <c r="U37" s="1"/>
      <c r="V37" s="1"/>
      <c r="W37" s="1">
        <v>29.2</v>
      </c>
      <c r="X37" s="1">
        <v>23.6</v>
      </c>
      <c r="Y37" s="1">
        <v>17.600000000000001</v>
      </c>
      <c r="Z37" s="1">
        <v>22.4</v>
      </c>
      <c r="AA37" s="1">
        <v>29</v>
      </c>
      <c r="AB37" s="1">
        <v>28.6</v>
      </c>
      <c r="AC37" s="1"/>
      <c r="AD37" s="1">
        <f t="shared" si="14"/>
        <v>0</v>
      </c>
      <c r="AE37" s="1">
        <v>8</v>
      </c>
      <c r="AF37" s="1">
        <f t="shared" si="15"/>
        <v>0</v>
      </c>
      <c r="AG37" s="1">
        <f t="shared" si="16"/>
        <v>0</v>
      </c>
      <c r="AH37" s="1">
        <v>12</v>
      </c>
      <c r="AI37" s="1">
        <v>84</v>
      </c>
      <c r="AJ37" s="1">
        <f t="shared" si="1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106</v>
      </c>
      <c r="B38" s="1" t="s">
        <v>40</v>
      </c>
      <c r="C38" s="1">
        <v>350</v>
      </c>
      <c r="D38" s="1">
        <v>3</v>
      </c>
      <c r="E38" s="1">
        <v>48</v>
      </c>
      <c r="F38" s="1">
        <v>303</v>
      </c>
      <c r="G38" s="1">
        <v>0.7</v>
      </c>
      <c r="H38" s="1">
        <v>180</v>
      </c>
      <c r="I38" s="1" t="s">
        <v>107</v>
      </c>
      <c r="J38" s="1"/>
      <c r="K38" s="1">
        <v>50</v>
      </c>
      <c r="L38" s="1">
        <f t="shared" ref="L38:L69" si="18">E38-K38</f>
        <v>-2</v>
      </c>
      <c r="M38" s="1"/>
      <c r="N38" s="1"/>
      <c r="O38" s="1">
        <v>0</v>
      </c>
      <c r="P38" s="1"/>
      <c r="Q38" s="5"/>
      <c r="R38" s="5">
        <f t="shared" si="13"/>
        <v>0</v>
      </c>
      <c r="S38" s="5"/>
      <c r="T38" s="1"/>
      <c r="U38" s="1"/>
      <c r="V38" s="1"/>
      <c r="W38" s="1">
        <v>23.4</v>
      </c>
      <c r="X38" s="1">
        <v>8</v>
      </c>
      <c r="Y38" s="1">
        <v>30.6</v>
      </c>
      <c r="Z38" s="1">
        <v>11.4</v>
      </c>
      <c r="AA38" s="1">
        <v>13.2</v>
      </c>
      <c r="AB38" s="1">
        <v>33.6</v>
      </c>
      <c r="AC38" s="1"/>
      <c r="AD38" s="1">
        <f t="shared" si="14"/>
        <v>0</v>
      </c>
      <c r="AE38" s="1">
        <v>10</v>
      </c>
      <c r="AF38" s="1">
        <f t="shared" si="15"/>
        <v>0</v>
      </c>
      <c r="AG38" s="1">
        <f t="shared" si="16"/>
        <v>0</v>
      </c>
      <c r="AH38" s="1">
        <v>12</v>
      </c>
      <c r="AI38" s="1">
        <v>84</v>
      </c>
      <c r="AJ38" s="1">
        <f t="shared" si="1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108</v>
      </c>
      <c r="B39" s="1" t="s">
        <v>40</v>
      </c>
      <c r="C39" s="1">
        <v>122</v>
      </c>
      <c r="D39" s="1">
        <v>3</v>
      </c>
      <c r="E39" s="1">
        <v>73</v>
      </c>
      <c r="F39" s="1">
        <v>50</v>
      </c>
      <c r="G39" s="1">
        <v>0.7</v>
      </c>
      <c r="H39" s="1">
        <v>180</v>
      </c>
      <c r="I39" s="1" t="s">
        <v>109</v>
      </c>
      <c r="J39" s="1"/>
      <c r="K39" s="1">
        <v>131</v>
      </c>
      <c r="L39" s="1">
        <f t="shared" si="18"/>
        <v>-58</v>
      </c>
      <c r="M39" s="1"/>
      <c r="N39" s="1"/>
      <c r="O39" s="1">
        <v>120</v>
      </c>
      <c r="P39" s="1"/>
      <c r="Q39" s="5"/>
      <c r="R39" s="5">
        <f t="shared" si="13"/>
        <v>0</v>
      </c>
      <c r="S39" s="5"/>
      <c r="T39" s="1"/>
      <c r="U39" s="1"/>
      <c r="V39" s="1"/>
      <c r="W39" s="1">
        <v>19.600000000000001</v>
      </c>
      <c r="X39" s="1">
        <v>21.4</v>
      </c>
      <c r="Y39" s="1">
        <v>12.8</v>
      </c>
      <c r="Z39" s="1">
        <v>26</v>
      </c>
      <c r="AA39" s="1">
        <v>0.2</v>
      </c>
      <c r="AB39" s="1">
        <v>20.8</v>
      </c>
      <c r="AC39" s="1"/>
      <c r="AD39" s="1">
        <f t="shared" si="14"/>
        <v>0</v>
      </c>
      <c r="AE39" s="1">
        <v>10</v>
      </c>
      <c r="AF39" s="1">
        <f t="shared" si="15"/>
        <v>0</v>
      </c>
      <c r="AG39" s="1">
        <f t="shared" si="16"/>
        <v>0</v>
      </c>
      <c r="AH39" s="1">
        <v>12</v>
      </c>
      <c r="AI39" s="1">
        <v>84</v>
      </c>
      <c r="AJ39" s="1">
        <f t="shared" si="17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110</v>
      </c>
      <c r="B40" s="1" t="s">
        <v>40</v>
      </c>
      <c r="C40" s="1">
        <v>214</v>
      </c>
      <c r="D40" s="1">
        <v>3</v>
      </c>
      <c r="E40" s="1">
        <v>190</v>
      </c>
      <c r="F40" s="1">
        <v>27</v>
      </c>
      <c r="G40" s="1">
        <v>0.7</v>
      </c>
      <c r="H40" s="1">
        <v>180</v>
      </c>
      <c r="I40" s="1" t="s">
        <v>111</v>
      </c>
      <c r="J40" s="1"/>
      <c r="K40" s="1">
        <v>198</v>
      </c>
      <c r="L40" s="1">
        <f t="shared" si="18"/>
        <v>-8</v>
      </c>
      <c r="M40" s="1"/>
      <c r="N40" s="1"/>
      <c r="O40" s="1">
        <v>360</v>
      </c>
      <c r="P40" s="1"/>
      <c r="Q40" s="5"/>
      <c r="R40" s="5">
        <f t="shared" si="13"/>
        <v>0</v>
      </c>
      <c r="S40" s="5"/>
      <c r="T40" s="1"/>
      <c r="U40" s="1"/>
      <c r="V40" s="1"/>
      <c r="W40" s="1">
        <v>42.6</v>
      </c>
      <c r="X40" s="1">
        <v>32.6</v>
      </c>
      <c r="Y40" s="1">
        <v>33</v>
      </c>
      <c r="Z40" s="1">
        <v>35.4</v>
      </c>
      <c r="AA40" s="1">
        <v>38</v>
      </c>
      <c r="AB40" s="1">
        <v>56.2</v>
      </c>
      <c r="AC40" s="1" t="s">
        <v>51</v>
      </c>
      <c r="AD40" s="1">
        <f t="shared" si="14"/>
        <v>0</v>
      </c>
      <c r="AE40" s="1">
        <v>10</v>
      </c>
      <c r="AF40" s="1">
        <f t="shared" si="15"/>
        <v>0</v>
      </c>
      <c r="AG40" s="1">
        <f t="shared" si="16"/>
        <v>0</v>
      </c>
      <c r="AH40" s="1">
        <v>12</v>
      </c>
      <c r="AI40" s="1">
        <v>84</v>
      </c>
      <c r="AJ40" s="1">
        <f t="shared" si="1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112</v>
      </c>
      <c r="B41" s="1" t="s">
        <v>40</v>
      </c>
      <c r="C41" s="1">
        <v>133</v>
      </c>
      <c r="D41" s="1"/>
      <c r="E41" s="1">
        <v>75</v>
      </c>
      <c r="F41" s="1">
        <v>58</v>
      </c>
      <c r="G41" s="1">
        <v>0.7</v>
      </c>
      <c r="H41" s="1">
        <v>180</v>
      </c>
      <c r="I41" s="1" t="s">
        <v>113</v>
      </c>
      <c r="J41" s="1"/>
      <c r="K41" s="1">
        <v>75</v>
      </c>
      <c r="L41" s="1">
        <f t="shared" si="18"/>
        <v>0</v>
      </c>
      <c r="M41" s="1"/>
      <c r="N41" s="1"/>
      <c r="O41" s="1">
        <v>120</v>
      </c>
      <c r="P41" s="1"/>
      <c r="Q41" s="5"/>
      <c r="R41" s="5">
        <f t="shared" si="13"/>
        <v>0</v>
      </c>
      <c r="S41" s="5"/>
      <c r="T41" s="1"/>
      <c r="U41" s="1"/>
      <c r="V41" s="1"/>
      <c r="W41" s="1">
        <v>18.8</v>
      </c>
      <c r="X41" s="1">
        <v>9.6</v>
      </c>
      <c r="Y41" s="1">
        <v>10.8</v>
      </c>
      <c r="Z41" s="1">
        <v>14.2</v>
      </c>
      <c r="AA41" s="1">
        <v>14.8</v>
      </c>
      <c r="AB41" s="1">
        <v>13.8</v>
      </c>
      <c r="AC41" s="1"/>
      <c r="AD41" s="1">
        <f t="shared" si="14"/>
        <v>0</v>
      </c>
      <c r="AE41" s="1">
        <v>10</v>
      </c>
      <c r="AF41" s="1">
        <f t="shared" si="15"/>
        <v>0</v>
      </c>
      <c r="AG41" s="1">
        <f t="shared" si="16"/>
        <v>0</v>
      </c>
      <c r="AH41" s="1">
        <v>12</v>
      </c>
      <c r="AI41" s="1">
        <v>84</v>
      </c>
      <c r="AJ41" s="1">
        <f t="shared" si="17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114</v>
      </c>
      <c r="B42" s="1" t="s">
        <v>76</v>
      </c>
      <c r="C42" s="1">
        <v>720</v>
      </c>
      <c r="D42" s="1">
        <v>5</v>
      </c>
      <c r="E42" s="1">
        <v>460</v>
      </c>
      <c r="F42" s="1">
        <v>260</v>
      </c>
      <c r="G42" s="1">
        <v>1</v>
      </c>
      <c r="H42" s="1">
        <v>180</v>
      </c>
      <c r="I42" s="1" t="s">
        <v>115</v>
      </c>
      <c r="J42" s="1"/>
      <c r="K42" s="1">
        <v>466.4</v>
      </c>
      <c r="L42" s="1">
        <f t="shared" si="18"/>
        <v>-6.3999999999999773</v>
      </c>
      <c r="M42" s="1"/>
      <c r="N42" s="1"/>
      <c r="O42" s="1">
        <v>360</v>
      </c>
      <c r="P42" s="1"/>
      <c r="Q42" s="5"/>
      <c r="R42" s="5">
        <f t="shared" si="13"/>
        <v>0</v>
      </c>
      <c r="S42" s="5"/>
      <c r="T42" s="1"/>
      <c r="U42" s="1"/>
      <c r="V42" s="1"/>
      <c r="W42" s="1">
        <v>72</v>
      </c>
      <c r="X42" s="1">
        <v>86</v>
      </c>
      <c r="Y42" s="1">
        <v>87</v>
      </c>
      <c r="Z42" s="1">
        <v>92</v>
      </c>
      <c r="AA42" s="1">
        <v>65</v>
      </c>
      <c r="AB42" s="1">
        <v>102</v>
      </c>
      <c r="AC42" s="1" t="s">
        <v>51</v>
      </c>
      <c r="AD42" s="1">
        <f t="shared" si="14"/>
        <v>0</v>
      </c>
      <c r="AE42" s="1">
        <v>5</v>
      </c>
      <c r="AF42" s="1">
        <f t="shared" si="15"/>
        <v>0</v>
      </c>
      <c r="AG42" s="1">
        <f t="shared" si="16"/>
        <v>0</v>
      </c>
      <c r="AH42" s="1">
        <v>12</v>
      </c>
      <c r="AI42" s="1">
        <v>144</v>
      </c>
      <c r="AJ42" s="1">
        <f t="shared" si="1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116</v>
      </c>
      <c r="B43" s="1" t="s">
        <v>40</v>
      </c>
      <c r="C43" s="1">
        <v>290</v>
      </c>
      <c r="D43" s="1"/>
      <c r="E43" s="1">
        <v>161</v>
      </c>
      <c r="F43" s="1">
        <v>129</v>
      </c>
      <c r="G43" s="1">
        <v>0.4</v>
      </c>
      <c r="H43" s="1"/>
      <c r="I43" s="1" t="s">
        <v>117</v>
      </c>
      <c r="J43" s="1"/>
      <c r="K43" s="1">
        <v>186</v>
      </c>
      <c r="L43" s="1">
        <f t="shared" si="18"/>
        <v>-25</v>
      </c>
      <c r="M43" s="1"/>
      <c r="N43" s="1"/>
      <c r="O43" s="1">
        <v>384</v>
      </c>
      <c r="P43" s="1"/>
      <c r="Q43" s="5"/>
      <c r="R43" s="5">
        <f t="shared" si="13"/>
        <v>0</v>
      </c>
      <c r="S43" s="5"/>
      <c r="T43" s="1"/>
      <c r="U43" s="1"/>
      <c r="V43" s="1"/>
      <c r="W43" s="1">
        <v>61.8</v>
      </c>
      <c r="X43" s="1">
        <v>37</v>
      </c>
      <c r="Y43" s="1">
        <v>8.6</v>
      </c>
      <c r="Z43" s="1">
        <v>55.2</v>
      </c>
      <c r="AA43" s="1">
        <v>23.8</v>
      </c>
      <c r="AB43" s="1">
        <v>24.8</v>
      </c>
      <c r="AC43" s="1"/>
      <c r="AD43" s="1">
        <f t="shared" si="14"/>
        <v>0</v>
      </c>
      <c r="AE43" s="1">
        <v>16</v>
      </c>
      <c r="AF43" s="1">
        <f t="shared" si="15"/>
        <v>0</v>
      </c>
      <c r="AG43" s="1">
        <f t="shared" si="16"/>
        <v>0</v>
      </c>
      <c r="AH43" s="1">
        <v>12</v>
      </c>
      <c r="AI43" s="1">
        <v>84</v>
      </c>
      <c r="AJ43" s="1">
        <f t="shared" si="1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118</v>
      </c>
      <c r="B44" s="1" t="s">
        <v>40</v>
      </c>
      <c r="C44" s="1">
        <v>486</v>
      </c>
      <c r="D44" s="1">
        <v>3</v>
      </c>
      <c r="E44" s="1">
        <v>266</v>
      </c>
      <c r="F44" s="1">
        <v>223</v>
      </c>
      <c r="G44" s="1">
        <v>0.7</v>
      </c>
      <c r="H44" s="1">
        <v>180</v>
      </c>
      <c r="I44" s="1" t="s">
        <v>119</v>
      </c>
      <c r="J44" s="1"/>
      <c r="K44" s="1">
        <v>266</v>
      </c>
      <c r="L44" s="1">
        <f t="shared" si="18"/>
        <v>0</v>
      </c>
      <c r="M44" s="1"/>
      <c r="N44" s="1"/>
      <c r="O44" s="1">
        <v>480</v>
      </c>
      <c r="P44" s="1"/>
      <c r="Q44" s="5"/>
      <c r="R44" s="5">
        <f t="shared" si="13"/>
        <v>0</v>
      </c>
      <c r="S44" s="5"/>
      <c r="T44" s="1"/>
      <c r="U44" s="1"/>
      <c r="V44" s="1"/>
      <c r="W44" s="1">
        <v>65.400000000000006</v>
      </c>
      <c r="X44" s="1">
        <v>75.8</v>
      </c>
      <c r="Y44" s="1">
        <v>69.599999999999994</v>
      </c>
      <c r="Z44" s="1">
        <v>82.8</v>
      </c>
      <c r="AA44" s="1">
        <v>56</v>
      </c>
      <c r="AB44" s="1">
        <v>87.2</v>
      </c>
      <c r="AC44" s="1" t="s">
        <v>51</v>
      </c>
      <c r="AD44" s="1">
        <f t="shared" si="14"/>
        <v>0</v>
      </c>
      <c r="AE44" s="1">
        <v>10</v>
      </c>
      <c r="AF44" s="1">
        <f t="shared" si="15"/>
        <v>0</v>
      </c>
      <c r="AG44" s="1">
        <f t="shared" si="16"/>
        <v>0</v>
      </c>
      <c r="AH44" s="1">
        <v>12</v>
      </c>
      <c r="AI44" s="1">
        <v>84</v>
      </c>
      <c r="AJ44" s="1">
        <f t="shared" si="17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120</v>
      </c>
      <c r="B45" s="1" t="s">
        <v>40</v>
      </c>
      <c r="C45" s="1"/>
      <c r="D45" s="1"/>
      <c r="E45" s="1">
        <v>1</v>
      </c>
      <c r="F45" s="1">
        <v>-2</v>
      </c>
      <c r="G45" s="1">
        <v>0</v>
      </c>
      <c r="H45" s="1"/>
      <c r="I45" s="1" t="s">
        <v>69</v>
      </c>
      <c r="J45" s="1" t="s">
        <v>121</v>
      </c>
      <c r="K45" s="1">
        <v>1</v>
      </c>
      <c r="L45" s="1">
        <f t="shared" si="18"/>
        <v>0</v>
      </c>
      <c r="M45" s="1"/>
      <c r="N45" s="1"/>
      <c r="O45" s="1"/>
      <c r="P45" s="1"/>
      <c r="Q45" s="5"/>
      <c r="R45" s="5"/>
      <c r="S45" s="5"/>
      <c r="T45" s="1"/>
      <c r="U45" s="1"/>
      <c r="V45" s="1"/>
      <c r="W45" s="1">
        <v>0.2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121</v>
      </c>
      <c r="B46" s="1" t="s">
        <v>40</v>
      </c>
      <c r="C46" s="1">
        <v>321</v>
      </c>
      <c r="D46" s="1"/>
      <c r="E46" s="1">
        <v>191</v>
      </c>
      <c r="F46" s="1">
        <v>130</v>
      </c>
      <c r="G46" s="1">
        <v>0.4</v>
      </c>
      <c r="H46" s="1">
        <v>180</v>
      </c>
      <c r="I46" s="1" t="s">
        <v>122</v>
      </c>
      <c r="J46" s="1"/>
      <c r="K46" s="1">
        <v>215</v>
      </c>
      <c r="L46" s="1">
        <f t="shared" si="18"/>
        <v>-24</v>
      </c>
      <c r="M46" s="1"/>
      <c r="N46" s="1"/>
      <c r="O46" s="1">
        <v>192</v>
      </c>
      <c r="P46" s="1"/>
      <c r="Q46" s="5"/>
      <c r="R46" s="5">
        <f t="shared" ref="R46:R68" si="19">AE46*AF46</f>
        <v>0</v>
      </c>
      <c r="S46" s="5"/>
      <c r="T46" s="1"/>
      <c r="U46" s="1"/>
      <c r="V46" s="1"/>
      <c r="W46" s="1">
        <v>33.799999999999997</v>
      </c>
      <c r="X46" s="1">
        <v>30.8</v>
      </c>
      <c r="Y46" s="1">
        <v>39.200000000000003</v>
      </c>
      <c r="Z46" s="1">
        <v>39.4</v>
      </c>
      <c r="AA46" s="1">
        <v>34.4</v>
      </c>
      <c r="AB46" s="1">
        <v>71</v>
      </c>
      <c r="AC46" s="1"/>
      <c r="AD46" s="1">
        <f t="shared" ref="AD46:AD68" si="20">G46*Q46</f>
        <v>0</v>
      </c>
      <c r="AE46" s="1">
        <v>16</v>
      </c>
      <c r="AF46" s="1">
        <f t="shared" ref="AF46:AF68" si="21">MROUND(Q46, AE46*AH46)/AE46</f>
        <v>0</v>
      </c>
      <c r="AG46" s="1">
        <f t="shared" ref="AG46:AG68" si="22">AF46*AE46*G46</f>
        <v>0</v>
      </c>
      <c r="AH46" s="1">
        <v>12</v>
      </c>
      <c r="AI46" s="1">
        <v>84</v>
      </c>
      <c r="AJ46" s="1">
        <f t="shared" ref="AJ46:AJ68" si="23">AF46/AI46</f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44</v>
      </c>
      <c r="B47" s="1" t="s">
        <v>40</v>
      </c>
      <c r="C47" s="1">
        <v>622</v>
      </c>
      <c r="D47" s="1">
        <v>3</v>
      </c>
      <c r="E47" s="1">
        <v>317</v>
      </c>
      <c r="F47" s="1">
        <v>308</v>
      </c>
      <c r="G47" s="1">
        <v>0.7</v>
      </c>
      <c r="H47" s="1">
        <v>180</v>
      </c>
      <c r="I47" s="1" t="s">
        <v>123</v>
      </c>
      <c r="J47" s="1"/>
      <c r="K47" s="1">
        <v>325</v>
      </c>
      <c r="L47" s="1">
        <f t="shared" si="18"/>
        <v>-8</v>
      </c>
      <c r="M47" s="1"/>
      <c r="N47" s="1"/>
      <c r="O47" s="1">
        <v>480</v>
      </c>
      <c r="P47" s="1"/>
      <c r="Q47" s="5"/>
      <c r="R47" s="5">
        <f t="shared" si="19"/>
        <v>0</v>
      </c>
      <c r="S47" s="5"/>
      <c r="T47" s="1"/>
      <c r="U47" s="1"/>
      <c r="V47" s="1"/>
      <c r="W47" s="1">
        <v>97.4</v>
      </c>
      <c r="X47" s="1">
        <v>111.8</v>
      </c>
      <c r="Y47" s="1">
        <v>102.2</v>
      </c>
      <c r="Z47" s="1">
        <v>96.2</v>
      </c>
      <c r="AA47" s="1">
        <v>54.2</v>
      </c>
      <c r="AB47" s="1">
        <v>65.8</v>
      </c>
      <c r="AC47" s="1"/>
      <c r="AD47" s="1">
        <f t="shared" si="20"/>
        <v>0</v>
      </c>
      <c r="AE47" s="1">
        <v>10</v>
      </c>
      <c r="AF47" s="1">
        <f t="shared" si="21"/>
        <v>0</v>
      </c>
      <c r="AG47" s="1">
        <f t="shared" si="22"/>
        <v>0</v>
      </c>
      <c r="AH47" s="1">
        <v>12</v>
      </c>
      <c r="AI47" s="1">
        <v>84</v>
      </c>
      <c r="AJ47" s="1">
        <f t="shared" si="23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124</v>
      </c>
      <c r="B48" s="1" t="s">
        <v>40</v>
      </c>
      <c r="C48" s="1">
        <v>74</v>
      </c>
      <c r="D48" s="1"/>
      <c r="E48" s="1">
        <v>76</v>
      </c>
      <c r="F48" s="1">
        <v>-2</v>
      </c>
      <c r="G48" s="1">
        <v>0.7</v>
      </c>
      <c r="H48" s="1">
        <v>180</v>
      </c>
      <c r="I48" s="1" t="s">
        <v>125</v>
      </c>
      <c r="J48" s="1"/>
      <c r="K48" s="1">
        <v>100</v>
      </c>
      <c r="L48" s="1">
        <f t="shared" si="18"/>
        <v>-24</v>
      </c>
      <c r="M48" s="1"/>
      <c r="N48" s="1"/>
      <c r="O48" s="1">
        <v>240</v>
      </c>
      <c r="P48" s="1"/>
      <c r="Q48" s="5"/>
      <c r="R48" s="5">
        <f t="shared" si="19"/>
        <v>0</v>
      </c>
      <c r="S48" s="5"/>
      <c r="T48" s="1"/>
      <c r="U48" s="1"/>
      <c r="V48" s="1"/>
      <c r="W48" s="1">
        <v>30.2</v>
      </c>
      <c r="X48" s="1">
        <v>21.2</v>
      </c>
      <c r="Y48" s="1">
        <v>27</v>
      </c>
      <c r="Z48" s="1">
        <v>27.4</v>
      </c>
      <c r="AA48" s="1">
        <v>23.4</v>
      </c>
      <c r="AB48" s="1">
        <v>1.2</v>
      </c>
      <c r="AC48" s="1"/>
      <c r="AD48" s="1">
        <f t="shared" si="20"/>
        <v>0</v>
      </c>
      <c r="AE48" s="1">
        <v>10</v>
      </c>
      <c r="AF48" s="1">
        <f t="shared" si="21"/>
        <v>0</v>
      </c>
      <c r="AG48" s="1">
        <f t="shared" si="22"/>
        <v>0</v>
      </c>
      <c r="AH48" s="1">
        <v>12</v>
      </c>
      <c r="AI48" s="1">
        <v>84</v>
      </c>
      <c r="AJ48" s="1">
        <f t="shared" si="23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126</v>
      </c>
      <c r="B49" s="1" t="s">
        <v>40</v>
      </c>
      <c r="C49" s="1">
        <v>1057</v>
      </c>
      <c r="D49" s="1"/>
      <c r="E49" s="1">
        <v>629</v>
      </c>
      <c r="F49" s="1">
        <v>428</v>
      </c>
      <c r="G49" s="1">
        <v>1</v>
      </c>
      <c r="H49" s="1">
        <v>180</v>
      </c>
      <c r="I49" s="1" t="s">
        <v>127</v>
      </c>
      <c r="J49" s="1"/>
      <c r="K49" s="1">
        <v>646</v>
      </c>
      <c r="L49" s="1">
        <f t="shared" si="18"/>
        <v>-17</v>
      </c>
      <c r="M49" s="1"/>
      <c r="N49" s="1"/>
      <c r="O49" s="1">
        <v>360</v>
      </c>
      <c r="P49" s="1"/>
      <c r="Q49" s="5"/>
      <c r="R49" s="5">
        <f t="shared" si="19"/>
        <v>0</v>
      </c>
      <c r="S49" s="5"/>
      <c r="T49" s="1"/>
      <c r="U49" s="1"/>
      <c r="V49" s="1"/>
      <c r="W49" s="1">
        <v>93.8</v>
      </c>
      <c r="X49" s="1">
        <v>124.8</v>
      </c>
      <c r="Y49" s="1">
        <v>107.4</v>
      </c>
      <c r="Z49" s="1">
        <v>88.2</v>
      </c>
      <c r="AA49" s="1">
        <v>102.6</v>
      </c>
      <c r="AB49" s="1">
        <v>114.6</v>
      </c>
      <c r="AC49" s="1"/>
      <c r="AD49" s="1">
        <f t="shared" si="20"/>
        <v>0</v>
      </c>
      <c r="AE49" s="1">
        <v>5</v>
      </c>
      <c r="AF49" s="1">
        <f t="shared" si="21"/>
        <v>0</v>
      </c>
      <c r="AG49" s="1">
        <f t="shared" si="22"/>
        <v>0</v>
      </c>
      <c r="AH49" s="1">
        <v>12</v>
      </c>
      <c r="AI49" s="1">
        <v>84</v>
      </c>
      <c r="AJ49" s="1">
        <f t="shared" si="23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128</v>
      </c>
      <c r="B50" s="1" t="s">
        <v>40</v>
      </c>
      <c r="C50" s="1">
        <v>276</v>
      </c>
      <c r="D50" s="1">
        <v>8</v>
      </c>
      <c r="E50" s="1">
        <v>181</v>
      </c>
      <c r="F50" s="1">
        <v>95</v>
      </c>
      <c r="G50" s="1">
        <v>0.9</v>
      </c>
      <c r="H50" s="1">
        <v>180</v>
      </c>
      <c r="I50" s="1" t="s">
        <v>129</v>
      </c>
      <c r="J50" s="1"/>
      <c r="K50" s="1">
        <v>193</v>
      </c>
      <c r="L50" s="1">
        <f t="shared" si="18"/>
        <v>-12</v>
      </c>
      <c r="M50" s="1"/>
      <c r="N50" s="1"/>
      <c r="O50" s="1">
        <v>288</v>
      </c>
      <c r="P50" s="1"/>
      <c r="Q50" s="5"/>
      <c r="R50" s="5">
        <f t="shared" si="19"/>
        <v>0</v>
      </c>
      <c r="S50" s="5"/>
      <c r="T50" s="1"/>
      <c r="U50" s="1"/>
      <c r="V50" s="1"/>
      <c r="W50" s="1">
        <v>40.200000000000003</v>
      </c>
      <c r="X50" s="1">
        <v>34.200000000000003</v>
      </c>
      <c r="Y50" s="1">
        <v>21.4</v>
      </c>
      <c r="Z50" s="1">
        <v>21.6</v>
      </c>
      <c r="AA50" s="1">
        <v>27.2</v>
      </c>
      <c r="AB50" s="1">
        <v>23</v>
      </c>
      <c r="AC50" s="1" t="s">
        <v>51</v>
      </c>
      <c r="AD50" s="1">
        <f t="shared" si="20"/>
        <v>0</v>
      </c>
      <c r="AE50" s="1">
        <v>8</v>
      </c>
      <c r="AF50" s="1">
        <f t="shared" si="21"/>
        <v>0</v>
      </c>
      <c r="AG50" s="1">
        <f t="shared" si="22"/>
        <v>0</v>
      </c>
      <c r="AH50" s="1">
        <v>12</v>
      </c>
      <c r="AI50" s="1">
        <v>84</v>
      </c>
      <c r="AJ50" s="1">
        <f t="shared" si="23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130</v>
      </c>
      <c r="B51" s="1" t="s">
        <v>40</v>
      </c>
      <c r="C51" s="1">
        <v>180</v>
      </c>
      <c r="D51" s="1"/>
      <c r="E51" s="1">
        <v>79</v>
      </c>
      <c r="F51" s="1">
        <v>101</v>
      </c>
      <c r="G51" s="1">
        <v>0.9</v>
      </c>
      <c r="H51" s="1">
        <v>180</v>
      </c>
      <c r="I51" s="1" t="s">
        <v>131</v>
      </c>
      <c r="J51" s="1"/>
      <c r="K51" s="1">
        <v>86</v>
      </c>
      <c r="L51" s="1">
        <f t="shared" si="18"/>
        <v>-7</v>
      </c>
      <c r="M51" s="1"/>
      <c r="N51" s="1"/>
      <c r="O51" s="1">
        <v>96</v>
      </c>
      <c r="P51" s="1"/>
      <c r="Q51" s="5"/>
      <c r="R51" s="5">
        <f t="shared" si="19"/>
        <v>0</v>
      </c>
      <c r="S51" s="5"/>
      <c r="T51" s="1"/>
      <c r="U51" s="1"/>
      <c r="V51" s="1"/>
      <c r="W51" s="1">
        <v>14.6</v>
      </c>
      <c r="X51" s="1">
        <v>20.8</v>
      </c>
      <c r="Y51" s="1">
        <v>8</v>
      </c>
      <c r="Z51" s="1">
        <v>8.6</v>
      </c>
      <c r="AA51" s="1">
        <v>12.8</v>
      </c>
      <c r="AB51" s="1">
        <v>17.2</v>
      </c>
      <c r="AC51" s="1" t="s">
        <v>51</v>
      </c>
      <c r="AD51" s="1">
        <f t="shared" si="20"/>
        <v>0</v>
      </c>
      <c r="AE51" s="1">
        <v>8</v>
      </c>
      <c r="AF51" s="1">
        <f t="shared" si="21"/>
        <v>0</v>
      </c>
      <c r="AG51" s="1">
        <f t="shared" si="22"/>
        <v>0</v>
      </c>
      <c r="AH51" s="1">
        <v>12</v>
      </c>
      <c r="AI51" s="1">
        <v>84</v>
      </c>
      <c r="AJ51" s="1">
        <f t="shared" si="23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132</v>
      </c>
      <c r="B52" s="1" t="s">
        <v>76</v>
      </c>
      <c r="C52" s="1">
        <v>575</v>
      </c>
      <c r="D52" s="1"/>
      <c r="E52" s="1">
        <v>330</v>
      </c>
      <c r="F52" s="1">
        <v>245</v>
      </c>
      <c r="G52" s="1">
        <v>1</v>
      </c>
      <c r="H52" s="1">
        <v>180</v>
      </c>
      <c r="I52" s="1" t="s">
        <v>133</v>
      </c>
      <c r="J52" s="1"/>
      <c r="K52" s="1">
        <v>330</v>
      </c>
      <c r="L52" s="1">
        <f t="shared" si="18"/>
        <v>0</v>
      </c>
      <c r="M52" s="1"/>
      <c r="N52" s="1"/>
      <c r="O52" s="1">
        <v>420</v>
      </c>
      <c r="P52" s="1"/>
      <c r="Q52" s="5"/>
      <c r="R52" s="5">
        <f t="shared" si="19"/>
        <v>0</v>
      </c>
      <c r="S52" s="5"/>
      <c r="T52" s="1"/>
      <c r="U52" s="1"/>
      <c r="V52" s="1"/>
      <c r="W52" s="1">
        <v>69</v>
      </c>
      <c r="X52" s="1">
        <v>69</v>
      </c>
      <c r="Y52" s="1">
        <v>65</v>
      </c>
      <c r="Z52" s="1">
        <v>61</v>
      </c>
      <c r="AA52" s="1">
        <v>52</v>
      </c>
      <c r="AB52" s="1">
        <v>72</v>
      </c>
      <c r="AC52" s="1"/>
      <c r="AD52" s="1">
        <f t="shared" si="20"/>
        <v>0</v>
      </c>
      <c r="AE52" s="1">
        <v>5</v>
      </c>
      <c r="AF52" s="1">
        <f t="shared" si="21"/>
        <v>0</v>
      </c>
      <c r="AG52" s="1">
        <f t="shared" si="22"/>
        <v>0</v>
      </c>
      <c r="AH52" s="1">
        <v>12</v>
      </c>
      <c r="AI52" s="1">
        <v>144</v>
      </c>
      <c r="AJ52" s="1">
        <f t="shared" si="23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134</v>
      </c>
      <c r="B53" s="1" t="s">
        <v>76</v>
      </c>
      <c r="C53" s="1">
        <v>206.5</v>
      </c>
      <c r="D53" s="1"/>
      <c r="E53" s="1">
        <v>288.3</v>
      </c>
      <c r="F53" s="1">
        <v>-81.8</v>
      </c>
      <c r="G53" s="1">
        <v>1</v>
      </c>
      <c r="H53" s="1">
        <v>180</v>
      </c>
      <c r="I53" s="1" t="s">
        <v>135</v>
      </c>
      <c r="J53" s="1"/>
      <c r="K53" s="1">
        <v>292</v>
      </c>
      <c r="L53" s="1">
        <f t="shared" si="18"/>
        <v>-3.6999999999999886</v>
      </c>
      <c r="M53" s="1"/>
      <c r="N53" s="1"/>
      <c r="O53" s="1">
        <v>725.2</v>
      </c>
      <c r="P53" s="1"/>
      <c r="Q53" s="5"/>
      <c r="R53" s="5">
        <f t="shared" si="19"/>
        <v>0</v>
      </c>
      <c r="S53" s="5"/>
      <c r="T53" s="1"/>
      <c r="U53" s="1"/>
      <c r="V53" s="1"/>
      <c r="W53" s="1">
        <v>94.7</v>
      </c>
      <c r="X53" s="1">
        <v>83.62</v>
      </c>
      <c r="Y53" s="1">
        <v>68.08</v>
      </c>
      <c r="Z53" s="1">
        <v>83.62</v>
      </c>
      <c r="AA53" s="1">
        <v>75.47999999999999</v>
      </c>
      <c r="AB53" s="1">
        <v>78.44</v>
      </c>
      <c r="AC53" s="1"/>
      <c r="AD53" s="1">
        <f t="shared" si="20"/>
        <v>0</v>
      </c>
      <c r="AE53" s="1">
        <v>3.7</v>
      </c>
      <c r="AF53" s="1">
        <f t="shared" si="21"/>
        <v>0</v>
      </c>
      <c r="AG53" s="1">
        <f t="shared" si="22"/>
        <v>0</v>
      </c>
      <c r="AH53" s="1">
        <v>14</v>
      </c>
      <c r="AI53" s="1">
        <v>126</v>
      </c>
      <c r="AJ53" s="1">
        <f t="shared" si="23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136</v>
      </c>
      <c r="B54" s="1" t="s">
        <v>40</v>
      </c>
      <c r="C54" s="1">
        <v>819</v>
      </c>
      <c r="D54" s="1"/>
      <c r="E54" s="1">
        <v>543</v>
      </c>
      <c r="F54" s="1">
        <v>276</v>
      </c>
      <c r="G54" s="1">
        <v>0.09</v>
      </c>
      <c r="H54" s="1">
        <v>180</v>
      </c>
      <c r="I54" s="1" t="s">
        <v>137</v>
      </c>
      <c r="J54" s="1"/>
      <c r="K54" s="1">
        <v>542</v>
      </c>
      <c r="L54" s="1">
        <f t="shared" si="18"/>
        <v>1</v>
      </c>
      <c r="M54" s="1"/>
      <c r="N54" s="1"/>
      <c r="O54" s="1">
        <v>0</v>
      </c>
      <c r="P54" s="1"/>
      <c r="Q54" s="5"/>
      <c r="R54" s="5">
        <f t="shared" si="19"/>
        <v>0</v>
      </c>
      <c r="S54" s="5"/>
      <c r="T54" s="1"/>
      <c r="U54" s="1"/>
      <c r="V54" s="1"/>
      <c r="W54" s="1">
        <v>47.8</v>
      </c>
      <c r="X54" s="1">
        <v>80</v>
      </c>
      <c r="Y54" s="1">
        <v>105.6</v>
      </c>
      <c r="Z54" s="1">
        <v>73.8</v>
      </c>
      <c r="AA54" s="1">
        <v>39</v>
      </c>
      <c r="AB54" s="1">
        <v>76.2</v>
      </c>
      <c r="AC54" s="1" t="s">
        <v>138</v>
      </c>
      <c r="AD54" s="1">
        <f t="shared" si="20"/>
        <v>0</v>
      </c>
      <c r="AE54" s="1">
        <v>30</v>
      </c>
      <c r="AF54" s="1">
        <f t="shared" si="21"/>
        <v>0</v>
      </c>
      <c r="AG54" s="1">
        <f t="shared" si="22"/>
        <v>0</v>
      </c>
      <c r="AH54" s="1">
        <v>14</v>
      </c>
      <c r="AI54" s="1">
        <v>126</v>
      </c>
      <c r="AJ54" s="1">
        <f t="shared" si="23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40</v>
      </c>
      <c r="C55" s="1">
        <v>63</v>
      </c>
      <c r="D55" s="1"/>
      <c r="E55" s="1">
        <v>74</v>
      </c>
      <c r="F55" s="1">
        <v>-11</v>
      </c>
      <c r="G55" s="1">
        <v>0.23</v>
      </c>
      <c r="H55" s="1">
        <v>0</v>
      </c>
      <c r="I55" s="1" t="s">
        <v>140</v>
      </c>
      <c r="J55" s="1"/>
      <c r="K55" s="1">
        <v>92</v>
      </c>
      <c r="L55" s="1">
        <f t="shared" si="18"/>
        <v>-18</v>
      </c>
      <c r="M55" s="1"/>
      <c r="N55" s="1"/>
      <c r="O55" s="1">
        <v>336</v>
      </c>
      <c r="P55" s="1"/>
      <c r="Q55" s="5"/>
      <c r="R55" s="5">
        <f t="shared" si="19"/>
        <v>0</v>
      </c>
      <c r="S55" s="5"/>
      <c r="T55" s="1"/>
      <c r="U55" s="1"/>
      <c r="V55" s="1"/>
      <c r="W55" s="1">
        <v>32.6</v>
      </c>
      <c r="X55" s="1">
        <v>32</v>
      </c>
      <c r="Y55" s="1">
        <v>16</v>
      </c>
      <c r="Z55" s="1">
        <v>35.6</v>
      </c>
      <c r="AA55" s="1">
        <v>21.4</v>
      </c>
      <c r="AB55" s="1">
        <v>33.6</v>
      </c>
      <c r="AC55" s="1"/>
      <c r="AD55" s="1">
        <f t="shared" si="20"/>
        <v>0</v>
      </c>
      <c r="AE55" s="1">
        <v>6</v>
      </c>
      <c r="AF55" s="1">
        <f t="shared" si="21"/>
        <v>0</v>
      </c>
      <c r="AG55" s="1">
        <f t="shared" si="22"/>
        <v>0</v>
      </c>
      <c r="AH55" s="1">
        <v>14</v>
      </c>
      <c r="AI55" s="1">
        <v>140</v>
      </c>
      <c r="AJ55" s="1">
        <f t="shared" si="23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141</v>
      </c>
      <c r="B56" s="1" t="s">
        <v>40</v>
      </c>
      <c r="C56" s="1">
        <v>1422</v>
      </c>
      <c r="D56" s="1">
        <v>1</v>
      </c>
      <c r="E56" s="1">
        <v>646</v>
      </c>
      <c r="F56" s="1">
        <v>776</v>
      </c>
      <c r="G56" s="1">
        <v>0.25</v>
      </c>
      <c r="H56" s="1">
        <v>180</v>
      </c>
      <c r="I56" s="1" t="s">
        <v>142</v>
      </c>
      <c r="J56" s="1"/>
      <c r="K56" s="1">
        <v>715</v>
      </c>
      <c r="L56" s="1">
        <f t="shared" si="18"/>
        <v>-69</v>
      </c>
      <c r="M56" s="1"/>
      <c r="N56" s="1"/>
      <c r="O56" s="1">
        <v>504</v>
      </c>
      <c r="P56" s="1"/>
      <c r="Q56" s="5"/>
      <c r="R56" s="5">
        <f t="shared" si="19"/>
        <v>0</v>
      </c>
      <c r="S56" s="5"/>
      <c r="T56" s="1"/>
      <c r="U56" s="1"/>
      <c r="V56" s="1"/>
      <c r="W56" s="1">
        <v>141</v>
      </c>
      <c r="X56" s="1">
        <v>187.4</v>
      </c>
      <c r="Y56" s="1">
        <v>146.80000000000001</v>
      </c>
      <c r="Z56" s="1">
        <v>134</v>
      </c>
      <c r="AA56" s="1">
        <v>135.80000000000001</v>
      </c>
      <c r="AB56" s="1">
        <v>168.2</v>
      </c>
      <c r="AC56" s="1" t="s">
        <v>51</v>
      </c>
      <c r="AD56" s="1">
        <f t="shared" si="20"/>
        <v>0</v>
      </c>
      <c r="AE56" s="1">
        <v>12</v>
      </c>
      <c r="AF56" s="1">
        <f t="shared" si="21"/>
        <v>0</v>
      </c>
      <c r="AG56" s="1">
        <f t="shared" si="22"/>
        <v>0</v>
      </c>
      <c r="AH56" s="1">
        <v>14</v>
      </c>
      <c r="AI56" s="1">
        <v>70</v>
      </c>
      <c r="AJ56" s="1">
        <f t="shared" si="23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143</v>
      </c>
      <c r="B57" s="1" t="s">
        <v>40</v>
      </c>
      <c r="C57" s="1">
        <v>888</v>
      </c>
      <c r="D57" s="1"/>
      <c r="E57" s="1">
        <v>420</v>
      </c>
      <c r="F57" s="1">
        <v>468</v>
      </c>
      <c r="G57" s="1">
        <v>0.25</v>
      </c>
      <c r="H57" s="1">
        <v>180</v>
      </c>
      <c r="I57" s="1" t="s">
        <v>144</v>
      </c>
      <c r="J57" s="1"/>
      <c r="K57" s="1">
        <v>440</v>
      </c>
      <c r="L57" s="1">
        <f t="shared" si="18"/>
        <v>-20</v>
      </c>
      <c r="M57" s="1"/>
      <c r="N57" s="1"/>
      <c r="O57" s="1">
        <v>168</v>
      </c>
      <c r="P57" s="1"/>
      <c r="Q57" s="5"/>
      <c r="R57" s="5">
        <f t="shared" si="19"/>
        <v>0</v>
      </c>
      <c r="S57" s="5"/>
      <c r="T57" s="1"/>
      <c r="U57" s="1"/>
      <c r="V57" s="1"/>
      <c r="W57" s="1">
        <v>70.599999999999994</v>
      </c>
      <c r="X57" s="1">
        <v>95.4</v>
      </c>
      <c r="Y57" s="1">
        <v>71.400000000000006</v>
      </c>
      <c r="Z57" s="1">
        <v>52.6</v>
      </c>
      <c r="AA57" s="1">
        <v>65.599999999999994</v>
      </c>
      <c r="AB57" s="1">
        <v>117</v>
      </c>
      <c r="AC57" s="1"/>
      <c r="AD57" s="1">
        <f t="shared" si="20"/>
        <v>0</v>
      </c>
      <c r="AE57" s="1">
        <v>12</v>
      </c>
      <c r="AF57" s="1">
        <f t="shared" si="21"/>
        <v>0</v>
      </c>
      <c r="AG57" s="1">
        <f t="shared" si="22"/>
        <v>0</v>
      </c>
      <c r="AH57" s="1">
        <v>14</v>
      </c>
      <c r="AI57" s="1">
        <v>70</v>
      </c>
      <c r="AJ57" s="1">
        <f t="shared" si="23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145</v>
      </c>
      <c r="B58" s="1" t="s">
        <v>40</v>
      </c>
      <c r="C58" s="1">
        <v>85</v>
      </c>
      <c r="D58" s="1">
        <v>1</v>
      </c>
      <c r="E58" s="1">
        <v>22</v>
      </c>
      <c r="F58" s="1">
        <v>63</v>
      </c>
      <c r="G58" s="1">
        <v>0.18</v>
      </c>
      <c r="H58" s="1"/>
      <c r="I58" s="1" t="s">
        <v>146</v>
      </c>
      <c r="J58" s="1"/>
      <c r="K58" s="1">
        <v>23</v>
      </c>
      <c r="L58" s="1">
        <f t="shared" si="18"/>
        <v>-1</v>
      </c>
      <c r="M58" s="1"/>
      <c r="N58" s="1"/>
      <c r="O58" s="1">
        <v>0</v>
      </c>
      <c r="P58" s="1"/>
      <c r="Q58" s="5"/>
      <c r="R58" s="5">
        <f t="shared" si="19"/>
        <v>0</v>
      </c>
      <c r="S58" s="5"/>
      <c r="T58" s="1"/>
      <c r="U58" s="1"/>
      <c r="V58" s="1"/>
      <c r="W58" s="1">
        <v>7.2</v>
      </c>
      <c r="X58" s="1">
        <v>2.8</v>
      </c>
      <c r="Y58" s="1">
        <v>5.8</v>
      </c>
      <c r="Z58" s="1">
        <v>7.2</v>
      </c>
      <c r="AA58" s="1">
        <v>8.8000000000000007</v>
      </c>
      <c r="AB58" s="1">
        <v>9.6</v>
      </c>
      <c r="AC58" s="1"/>
      <c r="AD58" s="1">
        <f t="shared" si="20"/>
        <v>0</v>
      </c>
      <c r="AE58" s="1">
        <v>6</v>
      </c>
      <c r="AF58" s="1">
        <f t="shared" si="21"/>
        <v>0</v>
      </c>
      <c r="AG58" s="1">
        <f t="shared" si="22"/>
        <v>0</v>
      </c>
      <c r="AH58" s="1">
        <v>14</v>
      </c>
      <c r="AI58" s="1">
        <v>140</v>
      </c>
      <c r="AJ58" s="1">
        <f t="shared" si="23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147</v>
      </c>
      <c r="B59" s="1" t="s">
        <v>40</v>
      </c>
      <c r="C59" s="1">
        <v>67</v>
      </c>
      <c r="D59" s="1"/>
      <c r="E59" s="1">
        <v>28</v>
      </c>
      <c r="F59" s="1">
        <v>39</v>
      </c>
      <c r="G59" s="1">
        <v>0.18</v>
      </c>
      <c r="H59" s="1"/>
      <c r="I59" s="1" t="s">
        <v>148</v>
      </c>
      <c r="J59" s="1"/>
      <c r="K59" s="1">
        <v>28</v>
      </c>
      <c r="L59" s="1">
        <f t="shared" si="18"/>
        <v>0</v>
      </c>
      <c r="M59" s="1"/>
      <c r="N59" s="1"/>
      <c r="O59" s="1">
        <v>84</v>
      </c>
      <c r="P59" s="1"/>
      <c r="Q59" s="5"/>
      <c r="R59" s="5">
        <f t="shared" si="19"/>
        <v>0</v>
      </c>
      <c r="S59" s="5"/>
      <c r="T59" s="1"/>
      <c r="U59" s="1"/>
      <c r="V59" s="1"/>
      <c r="W59" s="1">
        <v>9.6</v>
      </c>
      <c r="X59" s="1">
        <v>8.1999999999999993</v>
      </c>
      <c r="Y59" s="1">
        <v>7</v>
      </c>
      <c r="Z59" s="1">
        <v>11.8</v>
      </c>
      <c r="AA59" s="1">
        <v>12.4</v>
      </c>
      <c r="AB59" s="1">
        <v>14.6</v>
      </c>
      <c r="AC59" s="1"/>
      <c r="AD59" s="1">
        <f t="shared" si="20"/>
        <v>0</v>
      </c>
      <c r="AE59" s="1">
        <v>6</v>
      </c>
      <c r="AF59" s="1">
        <f t="shared" si="21"/>
        <v>0</v>
      </c>
      <c r="AG59" s="1">
        <f t="shared" si="22"/>
        <v>0</v>
      </c>
      <c r="AH59" s="1">
        <v>14</v>
      </c>
      <c r="AI59" s="1">
        <v>140</v>
      </c>
      <c r="AJ59" s="1">
        <f t="shared" si="23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6" t="s">
        <v>149</v>
      </c>
      <c r="B60" s="1" t="s">
        <v>40</v>
      </c>
      <c r="C60" s="1"/>
      <c r="D60" s="1"/>
      <c r="E60" s="1"/>
      <c r="F60" s="1"/>
      <c r="G60" s="1">
        <v>0.18</v>
      </c>
      <c r="H60" s="1"/>
      <c r="I60" s="1" t="s">
        <v>150</v>
      </c>
      <c r="J60" s="1"/>
      <c r="K60" s="1"/>
      <c r="L60" s="1">
        <f t="shared" si="18"/>
        <v>0</v>
      </c>
      <c r="M60" s="1"/>
      <c r="N60" s="1"/>
      <c r="O60" s="1">
        <v>84</v>
      </c>
      <c r="P60" s="1"/>
      <c r="Q60" s="5"/>
      <c r="R60" s="5">
        <f t="shared" si="19"/>
        <v>0</v>
      </c>
      <c r="S60" s="5"/>
      <c r="T60" s="1"/>
      <c r="U60" s="1"/>
      <c r="V60" s="1"/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/>
      <c r="AD60" s="1">
        <f t="shared" si="20"/>
        <v>0</v>
      </c>
      <c r="AE60" s="1">
        <v>6</v>
      </c>
      <c r="AF60" s="1">
        <f t="shared" si="21"/>
        <v>0</v>
      </c>
      <c r="AG60" s="1">
        <f t="shared" si="22"/>
        <v>0</v>
      </c>
      <c r="AH60" s="1">
        <v>14</v>
      </c>
      <c r="AI60" s="1">
        <v>140</v>
      </c>
      <c r="AJ60" s="1">
        <f t="shared" si="23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151</v>
      </c>
      <c r="B61" s="1" t="s">
        <v>40</v>
      </c>
      <c r="C61" s="1">
        <v>892</v>
      </c>
      <c r="D61" s="1"/>
      <c r="E61" s="1">
        <v>569</v>
      </c>
      <c r="F61" s="1">
        <v>323</v>
      </c>
      <c r="G61" s="1">
        <v>0.3</v>
      </c>
      <c r="H61" s="1">
        <v>180</v>
      </c>
      <c r="I61" s="1" t="s">
        <v>152</v>
      </c>
      <c r="J61" s="1"/>
      <c r="K61" s="1">
        <v>600</v>
      </c>
      <c r="L61" s="1">
        <f t="shared" si="18"/>
        <v>-31</v>
      </c>
      <c r="M61" s="1"/>
      <c r="N61" s="1"/>
      <c r="O61" s="1">
        <v>672</v>
      </c>
      <c r="P61" s="1"/>
      <c r="Q61" s="5"/>
      <c r="R61" s="5">
        <f t="shared" si="19"/>
        <v>0</v>
      </c>
      <c r="S61" s="5"/>
      <c r="T61" s="1"/>
      <c r="U61" s="1"/>
      <c r="V61" s="1"/>
      <c r="W61" s="1">
        <v>127.8</v>
      </c>
      <c r="X61" s="1">
        <v>153.19999999999999</v>
      </c>
      <c r="Y61" s="1">
        <v>95.4</v>
      </c>
      <c r="Z61" s="1">
        <v>99.2</v>
      </c>
      <c r="AA61" s="1">
        <v>136</v>
      </c>
      <c r="AB61" s="1">
        <v>160.4</v>
      </c>
      <c r="AC61" s="1" t="s">
        <v>51</v>
      </c>
      <c r="AD61" s="1">
        <f t="shared" si="20"/>
        <v>0</v>
      </c>
      <c r="AE61" s="1">
        <v>12</v>
      </c>
      <c r="AF61" s="1">
        <f t="shared" si="21"/>
        <v>0</v>
      </c>
      <c r="AG61" s="1">
        <f t="shared" si="22"/>
        <v>0</v>
      </c>
      <c r="AH61" s="1">
        <v>14</v>
      </c>
      <c r="AI61" s="1">
        <v>70</v>
      </c>
      <c r="AJ61" s="1">
        <f t="shared" si="23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153</v>
      </c>
      <c r="B62" s="1" t="s">
        <v>40</v>
      </c>
      <c r="C62" s="1">
        <v>1515</v>
      </c>
      <c r="D62" s="1"/>
      <c r="E62" s="1">
        <v>496</v>
      </c>
      <c r="F62" s="1">
        <v>1018</v>
      </c>
      <c r="G62" s="1">
        <v>0.3</v>
      </c>
      <c r="H62" s="1">
        <v>180</v>
      </c>
      <c r="I62" s="1" t="s">
        <v>154</v>
      </c>
      <c r="J62" s="1"/>
      <c r="K62" s="1">
        <v>535</v>
      </c>
      <c r="L62" s="1">
        <f t="shared" si="18"/>
        <v>-39</v>
      </c>
      <c r="M62" s="1"/>
      <c r="N62" s="1"/>
      <c r="O62" s="1">
        <v>0</v>
      </c>
      <c r="P62" s="1"/>
      <c r="Q62" s="5"/>
      <c r="R62" s="5">
        <f t="shared" si="19"/>
        <v>0</v>
      </c>
      <c r="S62" s="5"/>
      <c r="T62" s="1"/>
      <c r="U62" s="1"/>
      <c r="V62" s="1"/>
      <c r="W62" s="1">
        <v>84.2</v>
      </c>
      <c r="X62" s="1">
        <v>136</v>
      </c>
      <c r="Y62" s="1">
        <v>81</v>
      </c>
      <c r="Z62" s="1">
        <v>107</v>
      </c>
      <c r="AA62" s="1">
        <v>82.4</v>
      </c>
      <c r="AB62" s="1">
        <v>140</v>
      </c>
      <c r="AC62" s="1" t="s">
        <v>51</v>
      </c>
      <c r="AD62" s="1">
        <f t="shared" si="20"/>
        <v>0</v>
      </c>
      <c r="AE62" s="1">
        <v>12</v>
      </c>
      <c r="AF62" s="1">
        <f t="shared" si="21"/>
        <v>0</v>
      </c>
      <c r="AG62" s="1">
        <f t="shared" si="22"/>
        <v>0</v>
      </c>
      <c r="AH62" s="1">
        <v>14</v>
      </c>
      <c r="AI62" s="1">
        <v>70</v>
      </c>
      <c r="AJ62" s="1">
        <f t="shared" si="23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155</v>
      </c>
      <c r="B63" s="1" t="s">
        <v>40</v>
      </c>
      <c r="C63" s="1">
        <v>356</v>
      </c>
      <c r="D63" s="1"/>
      <c r="E63" s="1">
        <v>76</v>
      </c>
      <c r="F63" s="1">
        <v>280</v>
      </c>
      <c r="G63" s="1">
        <v>0.3</v>
      </c>
      <c r="H63" s="1">
        <v>180</v>
      </c>
      <c r="I63" s="1" t="s">
        <v>156</v>
      </c>
      <c r="J63" s="1"/>
      <c r="K63" s="1">
        <v>88</v>
      </c>
      <c r="L63" s="1">
        <f t="shared" si="18"/>
        <v>-12</v>
      </c>
      <c r="M63" s="1"/>
      <c r="N63" s="1"/>
      <c r="O63" s="1">
        <v>0</v>
      </c>
      <c r="P63" s="1"/>
      <c r="Q63" s="5"/>
      <c r="R63" s="5">
        <f t="shared" si="19"/>
        <v>0</v>
      </c>
      <c r="S63" s="5"/>
      <c r="T63" s="1"/>
      <c r="U63" s="1"/>
      <c r="V63" s="1"/>
      <c r="W63" s="1">
        <v>25.8</v>
      </c>
      <c r="X63" s="1">
        <v>16.2</v>
      </c>
      <c r="Y63" s="1">
        <v>35.6</v>
      </c>
      <c r="Z63" s="1">
        <v>18.399999999999999</v>
      </c>
      <c r="AA63" s="1">
        <v>12.2</v>
      </c>
      <c r="AB63" s="1">
        <v>34.200000000000003</v>
      </c>
      <c r="AC63" s="1" t="s">
        <v>51</v>
      </c>
      <c r="AD63" s="1">
        <f t="shared" si="20"/>
        <v>0</v>
      </c>
      <c r="AE63" s="1">
        <v>14</v>
      </c>
      <c r="AF63" s="1">
        <f t="shared" si="21"/>
        <v>0</v>
      </c>
      <c r="AG63" s="1">
        <f t="shared" si="22"/>
        <v>0</v>
      </c>
      <c r="AH63" s="1">
        <v>14</v>
      </c>
      <c r="AI63" s="1">
        <v>70</v>
      </c>
      <c r="AJ63" s="1">
        <f t="shared" si="23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157</v>
      </c>
      <c r="B64" s="1" t="s">
        <v>40</v>
      </c>
      <c r="C64" s="1">
        <v>1033</v>
      </c>
      <c r="D64" s="1"/>
      <c r="E64" s="1">
        <v>1050</v>
      </c>
      <c r="F64" s="1">
        <v>-17</v>
      </c>
      <c r="G64" s="1">
        <v>0.25</v>
      </c>
      <c r="H64" s="1">
        <v>180</v>
      </c>
      <c r="I64" s="1" t="s">
        <v>158</v>
      </c>
      <c r="J64" s="1"/>
      <c r="K64" s="1">
        <v>1619</v>
      </c>
      <c r="L64" s="1">
        <f t="shared" si="18"/>
        <v>-569</v>
      </c>
      <c r="M64" s="1"/>
      <c r="N64" s="1"/>
      <c r="O64" s="1">
        <v>2520</v>
      </c>
      <c r="P64" s="1"/>
      <c r="Q64" s="5"/>
      <c r="R64" s="5">
        <f t="shared" si="19"/>
        <v>0</v>
      </c>
      <c r="S64" s="5"/>
      <c r="T64" s="1"/>
      <c r="U64" s="1"/>
      <c r="V64" s="1"/>
      <c r="W64" s="1">
        <v>374.6</v>
      </c>
      <c r="X64" s="1">
        <v>318.2</v>
      </c>
      <c r="Y64" s="1">
        <v>326.39999999999998</v>
      </c>
      <c r="Z64" s="1">
        <v>306.2</v>
      </c>
      <c r="AA64" s="1">
        <v>249</v>
      </c>
      <c r="AB64" s="1">
        <v>287.39999999999998</v>
      </c>
      <c r="AC64" s="1" t="s">
        <v>51</v>
      </c>
      <c r="AD64" s="1">
        <f t="shared" si="20"/>
        <v>0</v>
      </c>
      <c r="AE64" s="1">
        <v>12</v>
      </c>
      <c r="AF64" s="1">
        <f t="shared" si="21"/>
        <v>0</v>
      </c>
      <c r="AG64" s="1">
        <f t="shared" si="22"/>
        <v>0</v>
      </c>
      <c r="AH64" s="1">
        <v>14</v>
      </c>
      <c r="AI64" s="1">
        <v>70</v>
      </c>
      <c r="AJ64" s="1">
        <f t="shared" si="23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46</v>
      </c>
      <c r="B65" s="1" t="s">
        <v>40</v>
      </c>
      <c r="C65" s="1">
        <v>3064</v>
      </c>
      <c r="D65" s="1"/>
      <c r="E65" s="1">
        <v>1567</v>
      </c>
      <c r="F65" s="1">
        <v>1497</v>
      </c>
      <c r="G65" s="1">
        <v>0.25</v>
      </c>
      <c r="H65" s="1">
        <v>180</v>
      </c>
      <c r="I65" s="1" t="s">
        <v>159</v>
      </c>
      <c r="J65" s="1"/>
      <c r="K65" s="1">
        <v>1635</v>
      </c>
      <c r="L65" s="1">
        <f t="shared" si="18"/>
        <v>-68</v>
      </c>
      <c r="M65" s="1"/>
      <c r="N65" s="1"/>
      <c r="O65" s="1">
        <v>1344</v>
      </c>
      <c r="P65" s="1"/>
      <c r="Q65" s="5"/>
      <c r="R65" s="5">
        <f t="shared" si="19"/>
        <v>0</v>
      </c>
      <c r="S65" s="5"/>
      <c r="T65" s="1"/>
      <c r="U65" s="1"/>
      <c r="V65" s="1"/>
      <c r="W65" s="1">
        <v>352</v>
      </c>
      <c r="X65" s="1">
        <v>386.2</v>
      </c>
      <c r="Y65" s="1">
        <v>273.2</v>
      </c>
      <c r="Z65" s="1">
        <v>338.6</v>
      </c>
      <c r="AA65" s="1">
        <v>325</v>
      </c>
      <c r="AB65" s="1">
        <v>395.2</v>
      </c>
      <c r="AC65" s="1" t="s">
        <v>51</v>
      </c>
      <c r="AD65" s="1">
        <f t="shared" si="20"/>
        <v>0</v>
      </c>
      <c r="AE65" s="1">
        <v>12</v>
      </c>
      <c r="AF65" s="1">
        <f t="shared" si="21"/>
        <v>0</v>
      </c>
      <c r="AG65" s="1">
        <f t="shared" si="22"/>
        <v>0</v>
      </c>
      <c r="AH65" s="1">
        <v>14</v>
      </c>
      <c r="AI65" s="1">
        <v>70</v>
      </c>
      <c r="AJ65" s="1">
        <f t="shared" si="23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160</v>
      </c>
      <c r="B66" s="1" t="s">
        <v>40</v>
      </c>
      <c r="C66" s="1">
        <v>204</v>
      </c>
      <c r="D66" s="1"/>
      <c r="E66" s="1">
        <v>205</v>
      </c>
      <c r="F66" s="1">
        <v>-1</v>
      </c>
      <c r="G66" s="1">
        <v>0.23</v>
      </c>
      <c r="H66" s="1">
        <v>0</v>
      </c>
      <c r="I66" s="1" t="s">
        <v>161</v>
      </c>
      <c r="J66" s="1"/>
      <c r="K66" s="1">
        <v>286</v>
      </c>
      <c r="L66" s="1">
        <f t="shared" si="18"/>
        <v>-81</v>
      </c>
      <c r="M66" s="1"/>
      <c r="N66" s="1"/>
      <c r="O66" s="1">
        <v>504</v>
      </c>
      <c r="P66" s="1"/>
      <c r="Q66" s="5"/>
      <c r="R66" s="5">
        <f t="shared" si="19"/>
        <v>0</v>
      </c>
      <c r="S66" s="5"/>
      <c r="T66" s="1"/>
      <c r="U66" s="1"/>
      <c r="V66" s="1"/>
      <c r="W66" s="1">
        <v>66.2</v>
      </c>
      <c r="X66" s="1">
        <v>64.2</v>
      </c>
      <c r="Y66" s="1">
        <v>53.8</v>
      </c>
      <c r="Z66" s="1">
        <v>71.8</v>
      </c>
      <c r="AA66" s="1">
        <v>70</v>
      </c>
      <c r="AB66" s="1">
        <v>97.2</v>
      </c>
      <c r="AC66" s="1"/>
      <c r="AD66" s="1">
        <f t="shared" si="20"/>
        <v>0</v>
      </c>
      <c r="AE66" s="1">
        <v>6</v>
      </c>
      <c r="AF66" s="1">
        <f t="shared" si="21"/>
        <v>0</v>
      </c>
      <c r="AG66" s="1">
        <f t="shared" si="22"/>
        <v>0</v>
      </c>
      <c r="AH66" s="1">
        <v>14</v>
      </c>
      <c r="AI66" s="1">
        <v>140</v>
      </c>
      <c r="AJ66" s="1">
        <f t="shared" si="23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162</v>
      </c>
      <c r="B67" s="1" t="s">
        <v>76</v>
      </c>
      <c r="C67" s="1">
        <v>115.3</v>
      </c>
      <c r="D67" s="1"/>
      <c r="E67" s="1">
        <v>59.4</v>
      </c>
      <c r="F67" s="1"/>
      <c r="G67" s="1">
        <v>1</v>
      </c>
      <c r="H67" s="1">
        <v>180</v>
      </c>
      <c r="I67" s="1" t="s">
        <v>163</v>
      </c>
      <c r="J67" s="1"/>
      <c r="K67" s="1">
        <v>213.3</v>
      </c>
      <c r="L67" s="1">
        <f t="shared" si="18"/>
        <v>-153.9</v>
      </c>
      <c r="M67" s="1"/>
      <c r="N67" s="1"/>
      <c r="O67" s="1">
        <v>378</v>
      </c>
      <c r="P67" s="1"/>
      <c r="Q67" s="5"/>
      <c r="R67" s="5">
        <f t="shared" si="19"/>
        <v>0</v>
      </c>
      <c r="S67" s="5"/>
      <c r="T67" s="1"/>
      <c r="U67" s="1"/>
      <c r="V67" s="1"/>
      <c r="W67" s="1">
        <v>42.12</v>
      </c>
      <c r="X67" s="1">
        <v>34.54</v>
      </c>
      <c r="Y67" s="1">
        <v>34.56</v>
      </c>
      <c r="Z67" s="1">
        <v>46.98</v>
      </c>
      <c r="AA67" s="1">
        <v>28.62</v>
      </c>
      <c r="AB67" s="1">
        <v>40.5</v>
      </c>
      <c r="AC67" s="1"/>
      <c r="AD67" s="1">
        <f t="shared" si="20"/>
        <v>0</v>
      </c>
      <c r="AE67" s="1">
        <v>2.7</v>
      </c>
      <c r="AF67" s="1">
        <f t="shared" si="21"/>
        <v>0</v>
      </c>
      <c r="AG67" s="1">
        <f t="shared" si="22"/>
        <v>0</v>
      </c>
      <c r="AH67" s="1">
        <v>14</v>
      </c>
      <c r="AI67" s="1">
        <v>126</v>
      </c>
      <c r="AJ67" s="1">
        <f t="shared" si="23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164</v>
      </c>
      <c r="B68" s="1" t="s">
        <v>76</v>
      </c>
      <c r="C68" s="1">
        <v>615</v>
      </c>
      <c r="D68" s="1">
        <v>115</v>
      </c>
      <c r="E68" s="1">
        <v>440</v>
      </c>
      <c r="F68" s="1">
        <v>-5</v>
      </c>
      <c r="G68" s="1">
        <v>1</v>
      </c>
      <c r="H68" s="1">
        <v>180</v>
      </c>
      <c r="I68" s="1" t="s">
        <v>165</v>
      </c>
      <c r="J68" s="1"/>
      <c r="K68" s="1">
        <v>745</v>
      </c>
      <c r="L68" s="1">
        <f t="shared" si="18"/>
        <v>-305</v>
      </c>
      <c r="M68" s="1"/>
      <c r="N68" s="1"/>
      <c r="O68" s="1">
        <v>1140</v>
      </c>
      <c r="P68" s="1"/>
      <c r="Q68" s="5"/>
      <c r="R68" s="5">
        <f t="shared" si="19"/>
        <v>0</v>
      </c>
      <c r="S68" s="5"/>
      <c r="T68" s="1"/>
      <c r="U68" s="1"/>
      <c r="V68" s="1"/>
      <c r="W68" s="1">
        <v>161</v>
      </c>
      <c r="X68" s="1">
        <v>132</v>
      </c>
      <c r="Y68" s="1">
        <v>128</v>
      </c>
      <c r="Z68" s="1">
        <v>122</v>
      </c>
      <c r="AA68" s="1">
        <v>116</v>
      </c>
      <c r="AB68" s="1">
        <v>115</v>
      </c>
      <c r="AC68" s="1"/>
      <c r="AD68" s="1">
        <f t="shared" si="20"/>
        <v>0</v>
      </c>
      <c r="AE68" s="1">
        <v>5</v>
      </c>
      <c r="AF68" s="1">
        <f t="shared" si="21"/>
        <v>0</v>
      </c>
      <c r="AG68" s="1">
        <f t="shared" si="22"/>
        <v>0</v>
      </c>
      <c r="AH68" s="1">
        <v>12</v>
      </c>
      <c r="AI68" s="1">
        <v>84</v>
      </c>
      <c r="AJ68" s="1">
        <f t="shared" si="23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166</v>
      </c>
      <c r="B69" s="1" t="s">
        <v>76</v>
      </c>
      <c r="C69" s="1">
        <v>-5</v>
      </c>
      <c r="D69" s="1">
        <v>5</v>
      </c>
      <c r="E69" s="1"/>
      <c r="F69" s="1"/>
      <c r="G69" s="1">
        <v>0</v>
      </c>
      <c r="H69" s="1">
        <v>0</v>
      </c>
      <c r="I69" s="1" t="s">
        <v>69</v>
      </c>
      <c r="J69" s="1" t="s">
        <v>164</v>
      </c>
      <c r="K69" s="1"/>
      <c r="L69" s="1">
        <f t="shared" si="18"/>
        <v>0</v>
      </c>
      <c r="M69" s="1"/>
      <c r="N69" s="1"/>
      <c r="O69" s="1"/>
      <c r="P69" s="1"/>
      <c r="Q69" s="5"/>
      <c r="R69" s="5"/>
      <c r="S69" s="5"/>
      <c r="T69" s="1"/>
      <c r="U69" s="1"/>
      <c r="V69" s="1"/>
      <c r="W69" s="1">
        <v>1</v>
      </c>
      <c r="X69" s="1">
        <v>16</v>
      </c>
      <c r="Y69" s="1">
        <v>1</v>
      </c>
      <c r="Z69" s="1">
        <v>4</v>
      </c>
      <c r="AA69" s="1">
        <v>10</v>
      </c>
      <c r="AB69" s="1">
        <v>13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2026-07-02T09:09:23Z</dcterms:created>
  <dcterms:modified xsi:type="dcterms:W3CDTF">2026-07-02T09:12:23Z</dcterms:modified>
</cp:coreProperties>
</file>