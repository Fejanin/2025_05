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ЗПФ\"/>
    </mc:Choice>
  </mc:AlternateContent>
  <xr:revisionPtr revIDLastSave="0" documentId="13_ncr:1_{50682E4A-CBB9-415E-BE61-11221F8BC4F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Sheet!$A$3:$AH$67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20" i="1" l="1"/>
  <c r="F20" i="1"/>
  <c r="AG66" i="1" l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1" i="1"/>
  <c r="AG50" i="1"/>
  <c r="AG49" i="1"/>
  <c r="AG48" i="1"/>
  <c r="AG47" i="1"/>
  <c r="AG46" i="1"/>
  <c r="AG45" i="1"/>
  <c r="AG44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2" i="1"/>
  <c r="AG21" i="1"/>
  <c r="AG20" i="1"/>
  <c r="AG18" i="1"/>
  <c r="AG17" i="1"/>
  <c r="AG16" i="1"/>
  <c r="AG15" i="1"/>
  <c r="AG14" i="1"/>
  <c r="AG13" i="1"/>
  <c r="AG12" i="1"/>
  <c r="AG11" i="1"/>
  <c r="AG10" i="1"/>
  <c r="AG9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1" i="1"/>
  <c r="AF50" i="1"/>
  <c r="AF49" i="1"/>
  <c r="AF48" i="1"/>
  <c r="AF47" i="1"/>
  <c r="AF46" i="1"/>
  <c r="AF45" i="1"/>
  <c r="AF44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2" i="1"/>
  <c r="AF21" i="1"/>
  <c r="AF20" i="1"/>
  <c r="AF18" i="1"/>
  <c r="AF17" i="1"/>
  <c r="AF16" i="1"/>
  <c r="AF15" i="1"/>
  <c r="AF14" i="1"/>
  <c r="AF13" i="1"/>
  <c r="AF12" i="1"/>
  <c r="AF11" i="1"/>
  <c r="AF10" i="1"/>
  <c r="AF9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1" i="1"/>
  <c r="AC50" i="1"/>
  <c r="AC49" i="1"/>
  <c r="AC48" i="1"/>
  <c r="AC47" i="1"/>
  <c r="AC46" i="1"/>
  <c r="AC45" i="1"/>
  <c r="AC44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2" i="1"/>
  <c r="AC21" i="1"/>
  <c r="AC20" i="1"/>
  <c r="AC18" i="1"/>
  <c r="AC17" i="1"/>
  <c r="AC16" i="1"/>
  <c r="AC15" i="1"/>
  <c r="AC14" i="1"/>
  <c r="AC13" i="1"/>
  <c r="AC12" i="1"/>
  <c r="AC11" i="1"/>
  <c r="AC10" i="1"/>
  <c r="AC9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1" i="1"/>
  <c r="I50" i="1"/>
  <c r="I49" i="1"/>
  <c r="I48" i="1"/>
  <c r="I47" i="1"/>
  <c r="I46" i="1"/>
  <c r="I45" i="1"/>
  <c r="I44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2" i="1"/>
  <c r="I21" i="1"/>
  <c r="I20" i="1"/>
  <c r="I18" i="1"/>
  <c r="I17" i="1"/>
  <c r="I16" i="1"/>
  <c r="I15" i="1"/>
  <c r="I14" i="1"/>
  <c r="I13" i="1"/>
  <c r="I12" i="1"/>
  <c r="I11" i="1"/>
  <c r="I10" i="1"/>
  <c r="I9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1" i="1"/>
  <c r="H50" i="1"/>
  <c r="H49" i="1"/>
  <c r="H48" i="1"/>
  <c r="H47" i="1"/>
  <c r="H46" i="1"/>
  <c r="H45" i="1"/>
  <c r="H44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2" i="1"/>
  <c r="H21" i="1"/>
  <c r="H20" i="1"/>
  <c r="H18" i="1"/>
  <c r="H17" i="1"/>
  <c r="H16" i="1"/>
  <c r="H15" i="1"/>
  <c r="H14" i="1"/>
  <c r="H13" i="1"/>
  <c r="H12" i="1"/>
  <c r="H11" i="1"/>
  <c r="H10" i="1"/>
  <c r="H9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1" i="1"/>
  <c r="G50" i="1"/>
  <c r="G49" i="1"/>
  <c r="G48" i="1"/>
  <c r="G47" i="1"/>
  <c r="G46" i="1"/>
  <c r="G45" i="1"/>
  <c r="G44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2" i="1"/>
  <c r="G21" i="1"/>
  <c r="G20" i="1"/>
  <c r="G18" i="1"/>
  <c r="G17" i="1"/>
  <c r="G16" i="1"/>
  <c r="G15" i="1"/>
  <c r="G14" i="1"/>
  <c r="G13" i="1"/>
  <c r="G12" i="1"/>
  <c r="G11" i="1"/>
  <c r="G10" i="1"/>
  <c r="G9" i="1"/>
  <c r="AD28" i="1" l="1"/>
  <c r="AD26" i="1"/>
  <c r="AD24" i="1"/>
  <c r="AH24" i="1" s="1"/>
  <c r="AD20" i="1"/>
  <c r="AH20" i="1" s="1"/>
  <c r="AD13" i="1"/>
  <c r="AD9" i="1"/>
  <c r="P67" i="1"/>
  <c r="T67" i="1" s="1"/>
  <c r="L67" i="1"/>
  <c r="P66" i="1"/>
  <c r="T66" i="1" s="1"/>
  <c r="L66" i="1"/>
  <c r="P65" i="1"/>
  <c r="L65" i="1"/>
  <c r="P64" i="1"/>
  <c r="T64" i="1" s="1"/>
  <c r="L64" i="1"/>
  <c r="F63" i="1"/>
  <c r="E63" i="1"/>
  <c r="L63" i="1" s="1"/>
  <c r="P62" i="1"/>
  <c r="L62" i="1"/>
  <c r="P61" i="1"/>
  <c r="L61" i="1"/>
  <c r="P60" i="1"/>
  <c r="T60" i="1" s="1"/>
  <c r="L60" i="1"/>
  <c r="P59" i="1"/>
  <c r="T59" i="1" s="1"/>
  <c r="L59" i="1"/>
  <c r="P58" i="1"/>
  <c r="L58" i="1"/>
  <c r="P57" i="1"/>
  <c r="T57" i="1" s="1"/>
  <c r="L57" i="1"/>
  <c r="P56" i="1"/>
  <c r="T56" i="1" s="1"/>
  <c r="L56" i="1"/>
  <c r="P55" i="1"/>
  <c r="T55" i="1" s="1"/>
  <c r="L55" i="1"/>
  <c r="P54" i="1"/>
  <c r="L54" i="1"/>
  <c r="P53" i="1"/>
  <c r="T53" i="1" s="1"/>
  <c r="L53" i="1"/>
  <c r="P52" i="1"/>
  <c r="T52" i="1" s="1"/>
  <c r="L52" i="1"/>
  <c r="P51" i="1"/>
  <c r="T51" i="1" s="1"/>
  <c r="L51" i="1"/>
  <c r="P50" i="1"/>
  <c r="L50" i="1"/>
  <c r="P49" i="1"/>
  <c r="T49" i="1" s="1"/>
  <c r="L49" i="1"/>
  <c r="P48" i="1"/>
  <c r="T48" i="1" s="1"/>
  <c r="L48" i="1"/>
  <c r="P47" i="1"/>
  <c r="T47" i="1" s="1"/>
  <c r="L47" i="1"/>
  <c r="P46" i="1"/>
  <c r="L46" i="1"/>
  <c r="F45" i="1"/>
  <c r="E45" i="1"/>
  <c r="P45" i="1" s="1"/>
  <c r="F44" i="1"/>
  <c r="E44" i="1"/>
  <c r="L44" i="1" s="1"/>
  <c r="P43" i="1"/>
  <c r="L43" i="1"/>
  <c r="P42" i="1"/>
  <c r="L42" i="1"/>
  <c r="P41" i="1"/>
  <c r="L41" i="1"/>
  <c r="P40" i="1"/>
  <c r="T40" i="1" s="1"/>
  <c r="L40" i="1"/>
  <c r="P39" i="1"/>
  <c r="Q39" i="1" s="1"/>
  <c r="L39" i="1"/>
  <c r="P38" i="1"/>
  <c r="T38" i="1" s="1"/>
  <c r="L38" i="1"/>
  <c r="P37" i="1"/>
  <c r="Q37" i="1" s="1"/>
  <c r="L37" i="1"/>
  <c r="P36" i="1"/>
  <c r="L36" i="1"/>
  <c r="P35" i="1"/>
  <c r="L35" i="1"/>
  <c r="P34" i="1"/>
  <c r="Q34" i="1" s="1"/>
  <c r="L34" i="1"/>
  <c r="P33" i="1"/>
  <c r="L33" i="1"/>
  <c r="P32" i="1"/>
  <c r="L32" i="1"/>
  <c r="P31" i="1"/>
  <c r="Q31" i="1" s="1"/>
  <c r="L31" i="1"/>
  <c r="P30" i="1"/>
  <c r="Q30" i="1" s="1"/>
  <c r="L30" i="1"/>
  <c r="P29" i="1"/>
  <c r="L29" i="1"/>
  <c r="AB28" i="1"/>
  <c r="P28" i="1"/>
  <c r="T28" i="1" s="1"/>
  <c r="L28" i="1"/>
  <c r="P27" i="1"/>
  <c r="L27" i="1"/>
  <c r="P26" i="1"/>
  <c r="T26" i="1" s="1"/>
  <c r="L26" i="1"/>
  <c r="P25" i="1"/>
  <c r="L25" i="1"/>
  <c r="AB24" i="1"/>
  <c r="P24" i="1"/>
  <c r="T24" i="1" s="1"/>
  <c r="L24" i="1"/>
  <c r="P23" i="1"/>
  <c r="Q23" i="1" s="1"/>
  <c r="AD23" i="1" s="1"/>
  <c r="L23" i="1"/>
  <c r="P22" i="1"/>
  <c r="T22" i="1" s="1"/>
  <c r="L22" i="1"/>
  <c r="P21" i="1"/>
  <c r="Q21" i="1" s="1"/>
  <c r="AD21" i="1" s="1"/>
  <c r="L21" i="1"/>
  <c r="AB20" i="1"/>
  <c r="P20" i="1"/>
  <c r="L20" i="1"/>
  <c r="P19" i="1"/>
  <c r="T19" i="1" s="1"/>
  <c r="L19" i="1"/>
  <c r="P18" i="1"/>
  <c r="T18" i="1" s="1"/>
  <c r="L18" i="1"/>
  <c r="P17" i="1"/>
  <c r="Q17" i="1" s="1"/>
  <c r="L17" i="1"/>
  <c r="P16" i="1"/>
  <c r="T16" i="1" s="1"/>
  <c r="L16" i="1"/>
  <c r="F15" i="1"/>
  <c r="E15" i="1"/>
  <c r="L15" i="1" s="1"/>
  <c r="P14" i="1"/>
  <c r="L14" i="1"/>
  <c r="AB13" i="1"/>
  <c r="P13" i="1"/>
  <c r="L13" i="1"/>
  <c r="P12" i="1"/>
  <c r="L12" i="1"/>
  <c r="P11" i="1"/>
  <c r="Q11" i="1" s="1"/>
  <c r="L11" i="1"/>
  <c r="P10" i="1"/>
  <c r="Q10" i="1" s="1"/>
  <c r="L10" i="1"/>
  <c r="AB9" i="1"/>
  <c r="P9" i="1"/>
  <c r="L9" i="1"/>
  <c r="P8" i="1"/>
  <c r="T8" i="1" s="1"/>
  <c r="L8" i="1"/>
  <c r="P7" i="1"/>
  <c r="T7" i="1" s="1"/>
  <c r="L7" i="1"/>
  <c r="P6" i="1"/>
  <c r="T6" i="1" s="1"/>
  <c r="L6" i="1"/>
  <c r="Z5" i="1"/>
  <c r="Y5" i="1"/>
  <c r="X5" i="1"/>
  <c r="W5" i="1"/>
  <c r="V5" i="1"/>
  <c r="U5" i="1"/>
  <c r="O5" i="1"/>
  <c r="N5" i="1"/>
  <c r="M5" i="1"/>
  <c r="K5" i="1"/>
  <c r="E5" i="1"/>
  <c r="Q22" i="1" l="1"/>
  <c r="Q52" i="1"/>
  <c r="Q49" i="1"/>
  <c r="Q45" i="1"/>
  <c r="AB45" i="1" s="1"/>
  <c r="Q42" i="1"/>
  <c r="AD42" i="1" s="1"/>
  <c r="AB21" i="1"/>
  <c r="Q40" i="1"/>
  <c r="Q47" i="1"/>
  <c r="AD47" i="1" s="1"/>
  <c r="AH47" i="1" s="1"/>
  <c r="Q55" i="1"/>
  <c r="AB23" i="1"/>
  <c r="AD22" i="1"/>
  <c r="AH22" i="1" s="1"/>
  <c r="Q38" i="1"/>
  <c r="AD38" i="1" s="1"/>
  <c r="AE38" i="1" s="1"/>
  <c r="Q51" i="1"/>
  <c r="Q59" i="1"/>
  <c r="AD59" i="1" s="1"/>
  <c r="AH59" i="1" s="1"/>
  <c r="AB30" i="1"/>
  <c r="AD30" i="1"/>
  <c r="AE30" i="1" s="1"/>
  <c r="AB32" i="1"/>
  <c r="AD32" i="1"/>
  <c r="AE32" i="1" s="1"/>
  <c r="AB34" i="1"/>
  <c r="AD34" i="1"/>
  <c r="AE34" i="1" s="1"/>
  <c r="AB36" i="1"/>
  <c r="AD36" i="1"/>
  <c r="AD11" i="1"/>
  <c r="AH11" i="1" s="1"/>
  <c r="AB11" i="1"/>
  <c r="AD45" i="1"/>
  <c r="AB61" i="1"/>
  <c r="AD61" i="1"/>
  <c r="AE61" i="1" s="1"/>
  <c r="T12" i="1"/>
  <c r="Q12" i="1"/>
  <c r="T14" i="1"/>
  <c r="Q14" i="1"/>
  <c r="T46" i="1"/>
  <c r="T54" i="1"/>
  <c r="Q54" i="1"/>
  <c r="T62" i="1"/>
  <c r="Q62" i="1"/>
  <c r="AD17" i="1"/>
  <c r="AH17" i="1" s="1"/>
  <c r="AB17" i="1"/>
  <c r="AB47" i="1"/>
  <c r="AB51" i="1"/>
  <c r="AD51" i="1"/>
  <c r="AB55" i="1"/>
  <c r="AD55" i="1"/>
  <c r="T10" i="1"/>
  <c r="AH21" i="1"/>
  <c r="R21" i="1"/>
  <c r="S21" i="1" s="1"/>
  <c r="AB22" i="1"/>
  <c r="AH23" i="1"/>
  <c r="R23" i="1"/>
  <c r="S23" i="1" s="1"/>
  <c r="T25" i="1"/>
  <c r="Q25" i="1"/>
  <c r="AB26" i="1"/>
  <c r="T27" i="1"/>
  <c r="Q27" i="1"/>
  <c r="T29" i="1"/>
  <c r="Q29" i="1"/>
  <c r="T31" i="1"/>
  <c r="T33" i="1"/>
  <c r="Q33" i="1"/>
  <c r="T35" i="1"/>
  <c r="T37" i="1"/>
  <c r="T39" i="1"/>
  <c r="T41" i="1"/>
  <c r="AB42" i="1"/>
  <c r="T43" i="1"/>
  <c r="S43" i="1"/>
  <c r="T50" i="1"/>
  <c r="Q50" i="1"/>
  <c r="T58" i="1"/>
  <c r="AB65" i="1"/>
  <c r="AD65" i="1"/>
  <c r="AE65" i="1" s="1"/>
  <c r="Q18" i="1"/>
  <c r="Q48" i="1"/>
  <c r="Q60" i="1"/>
  <c r="Q64" i="1"/>
  <c r="Q66" i="1"/>
  <c r="R11" i="1"/>
  <c r="S11" i="1" s="1"/>
  <c r="AH13" i="1"/>
  <c r="R13" i="1"/>
  <c r="AE13" i="1"/>
  <c r="AE26" i="1"/>
  <c r="R26" i="1"/>
  <c r="S26" i="1" s="1"/>
  <c r="AE28" i="1"/>
  <c r="R28" i="1"/>
  <c r="S28" i="1" s="1"/>
  <c r="R38" i="1"/>
  <c r="S38" i="1" s="1"/>
  <c r="S13" i="1"/>
  <c r="AE21" i="1"/>
  <c r="AE23" i="1"/>
  <c r="AE36" i="1"/>
  <c r="AH9" i="1"/>
  <c r="AE9" i="1"/>
  <c r="R9" i="1"/>
  <c r="S9" i="1" s="1"/>
  <c r="T20" i="1"/>
  <c r="P63" i="1"/>
  <c r="F5" i="1"/>
  <c r="P15" i="1"/>
  <c r="Q15" i="1" s="1"/>
  <c r="R20" i="1"/>
  <c r="S20" i="1" s="1"/>
  <c r="R24" i="1"/>
  <c r="S24" i="1" s="1"/>
  <c r="S67" i="1"/>
  <c r="S6" i="1"/>
  <c r="S7" i="1"/>
  <c r="S8" i="1"/>
  <c r="T9" i="1"/>
  <c r="T11" i="1"/>
  <c r="T13" i="1"/>
  <c r="T17" i="1"/>
  <c r="S19" i="1"/>
  <c r="AE20" i="1"/>
  <c r="T21" i="1"/>
  <c r="AE22" i="1"/>
  <c r="T23" i="1"/>
  <c r="AE24" i="1"/>
  <c r="AH26" i="1"/>
  <c r="AH28" i="1"/>
  <c r="T30" i="1"/>
  <c r="T32" i="1"/>
  <c r="T34" i="1"/>
  <c r="T36" i="1"/>
  <c r="T42" i="1"/>
  <c r="P44" i="1"/>
  <c r="Q44" i="1" s="1"/>
  <c r="L45" i="1"/>
  <c r="L5" i="1" s="1"/>
  <c r="T45" i="1"/>
  <c r="AH45" i="1"/>
  <c r="AH51" i="1"/>
  <c r="AH55" i="1"/>
  <c r="T61" i="1"/>
  <c r="T65" i="1"/>
  <c r="R22" i="1" l="1"/>
  <c r="S22" i="1" s="1"/>
  <c r="R17" i="1"/>
  <c r="S17" i="1" s="1"/>
  <c r="AB59" i="1"/>
  <c r="AH42" i="1"/>
  <c r="R42" i="1"/>
  <c r="S42" i="1" s="1"/>
  <c r="AE42" i="1"/>
  <c r="AH38" i="1"/>
  <c r="T15" i="1"/>
  <c r="AB38" i="1"/>
  <c r="AD40" i="1"/>
  <c r="AB40" i="1"/>
  <c r="AD66" i="1"/>
  <c r="AB66" i="1"/>
  <c r="AB60" i="1"/>
  <c r="AD60" i="1"/>
  <c r="AB18" i="1"/>
  <c r="AD18" i="1"/>
  <c r="AH65" i="1"/>
  <c r="R65" i="1"/>
  <c r="S65" i="1" s="1"/>
  <c r="AB57" i="1"/>
  <c r="AD57" i="1"/>
  <c r="AB49" i="1"/>
  <c r="AD49" i="1"/>
  <c r="AD41" i="1"/>
  <c r="AB41" i="1"/>
  <c r="AD25" i="1"/>
  <c r="AB25" i="1"/>
  <c r="AB44" i="1"/>
  <c r="AD44" i="1"/>
  <c r="AE17" i="1"/>
  <c r="AD15" i="1"/>
  <c r="AB15" i="1"/>
  <c r="AE11" i="1"/>
  <c r="AD64" i="1"/>
  <c r="AB64" i="1"/>
  <c r="AB56" i="1"/>
  <c r="AD56" i="1"/>
  <c r="AB48" i="1"/>
  <c r="AD48" i="1"/>
  <c r="AB16" i="1"/>
  <c r="AD16" i="1"/>
  <c r="AB53" i="1"/>
  <c r="AD53" i="1"/>
  <c r="AD58" i="1"/>
  <c r="AB58" i="1"/>
  <c r="AD50" i="1"/>
  <c r="AB50" i="1"/>
  <c r="AD37" i="1"/>
  <c r="AB37" i="1"/>
  <c r="AB35" i="1"/>
  <c r="AD35" i="1"/>
  <c r="AB33" i="1"/>
  <c r="AD33" i="1"/>
  <c r="AB31" i="1"/>
  <c r="AD31" i="1"/>
  <c r="AB29" i="1"/>
  <c r="AD29" i="1"/>
  <c r="AD27" i="1"/>
  <c r="AB27" i="1"/>
  <c r="AD10" i="1"/>
  <c r="AB10" i="1"/>
  <c r="AE59" i="1"/>
  <c r="R59" i="1"/>
  <c r="S59" i="1" s="1"/>
  <c r="AE55" i="1"/>
  <c r="R55" i="1"/>
  <c r="S55" i="1" s="1"/>
  <c r="AE51" i="1"/>
  <c r="R51" i="1"/>
  <c r="S51" i="1" s="1"/>
  <c r="AE47" i="1"/>
  <c r="R47" i="1"/>
  <c r="S47" i="1" s="1"/>
  <c r="AD62" i="1"/>
  <c r="AB62" i="1"/>
  <c r="AD54" i="1"/>
  <c r="AB54" i="1"/>
  <c r="AD46" i="1"/>
  <c r="AB46" i="1"/>
  <c r="AB14" i="1"/>
  <c r="AD14" i="1"/>
  <c r="AD12" i="1"/>
  <c r="AB12" i="1"/>
  <c r="AH61" i="1"/>
  <c r="R61" i="1"/>
  <c r="S61" i="1" s="1"/>
  <c r="AE45" i="1"/>
  <c r="R45" i="1"/>
  <c r="S45" i="1" s="1"/>
  <c r="AH36" i="1"/>
  <c r="R36" i="1"/>
  <c r="S36" i="1" s="1"/>
  <c r="AH34" i="1"/>
  <c r="R34" i="1"/>
  <c r="S34" i="1" s="1"/>
  <c r="AH32" i="1"/>
  <c r="R32" i="1"/>
  <c r="S32" i="1" s="1"/>
  <c r="AH30" i="1"/>
  <c r="R30" i="1"/>
  <c r="S30" i="1" s="1"/>
  <c r="T63" i="1"/>
  <c r="Q63" i="1"/>
  <c r="Q5" i="1" s="1"/>
  <c r="AB52" i="1"/>
  <c r="AD52" i="1"/>
  <c r="AD39" i="1"/>
  <c r="AB39" i="1"/>
  <c r="P5" i="1"/>
  <c r="T44" i="1"/>
  <c r="R40" i="1" l="1"/>
  <c r="S40" i="1" s="1"/>
  <c r="AH40" i="1"/>
  <c r="AE40" i="1"/>
  <c r="AH39" i="1"/>
  <c r="R39" i="1"/>
  <c r="S39" i="1" s="1"/>
  <c r="AE39" i="1"/>
  <c r="AH12" i="1"/>
  <c r="R12" i="1"/>
  <c r="S12" i="1" s="1"/>
  <c r="AE12" i="1"/>
  <c r="AH46" i="1"/>
  <c r="R46" i="1"/>
  <c r="S46" i="1" s="1"/>
  <c r="AE46" i="1"/>
  <c r="AH54" i="1"/>
  <c r="R54" i="1"/>
  <c r="S54" i="1" s="1"/>
  <c r="AE54" i="1"/>
  <c r="AH62" i="1"/>
  <c r="R62" i="1"/>
  <c r="S62" i="1" s="1"/>
  <c r="AE62" i="1"/>
  <c r="AH29" i="1"/>
  <c r="R29" i="1"/>
  <c r="S29" i="1" s="1"/>
  <c r="AE29" i="1"/>
  <c r="AH31" i="1"/>
  <c r="AE31" i="1"/>
  <c r="R31" i="1"/>
  <c r="S31" i="1" s="1"/>
  <c r="AH33" i="1"/>
  <c r="R33" i="1"/>
  <c r="S33" i="1" s="1"/>
  <c r="AE33" i="1"/>
  <c r="AH35" i="1"/>
  <c r="R35" i="1"/>
  <c r="S35" i="1" s="1"/>
  <c r="AE35" i="1"/>
  <c r="AE53" i="1"/>
  <c r="R53" i="1"/>
  <c r="S53" i="1" s="1"/>
  <c r="AH53" i="1"/>
  <c r="AH16" i="1"/>
  <c r="R16" i="1"/>
  <c r="S16" i="1" s="1"/>
  <c r="AE16" i="1"/>
  <c r="AH48" i="1"/>
  <c r="R48" i="1"/>
  <c r="S48" i="1" s="1"/>
  <c r="AE48" i="1"/>
  <c r="AH56" i="1"/>
  <c r="R56" i="1"/>
  <c r="S56" i="1" s="1"/>
  <c r="AE56" i="1"/>
  <c r="AH15" i="1"/>
  <c r="R15" i="1"/>
  <c r="S15" i="1" s="1"/>
  <c r="AE15" i="1"/>
  <c r="AH44" i="1"/>
  <c r="R44" i="1"/>
  <c r="S44" i="1" s="1"/>
  <c r="AE44" i="1"/>
  <c r="AE49" i="1"/>
  <c r="R49" i="1"/>
  <c r="S49" i="1" s="1"/>
  <c r="AH49" i="1"/>
  <c r="AE57" i="1"/>
  <c r="R57" i="1"/>
  <c r="S57" i="1" s="1"/>
  <c r="AH57" i="1"/>
  <c r="AH18" i="1"/>
  <c r="R18" i="1"/>
  <c r="S18" i="1" s="1"/>
  <c r="AE18" i="1"/>
  <c r="AH60" i="1"/>
  <c r="R60" i="1"/>
  <c r="S60" i="1" s="1"/>
  <c r="AE60" i="1"/>
  <c r="AH52" i="1"/>
  <c r="R52" i="1"/>
  <c r="S52" i="1" s="1"/>
  <c r="AE52" i="1"/>
  <c r="AB63" i="1"/>
  <c r="AB5" i="1" s="1"/>
  <c r="AD63" i="1"/>
  <c r="AH14" i="1"/>
  <c r="AE14" i="1"/>
  <c r="R14" i="1"/>
  <c r="S14" i="1" s="1"/>
  <c r="AH10" i="1"/>
  <c r="AD5" i="1"/>
  <c r="R10" i="1"/>
  <c r="AE10" i="1"/>
  <c r="AH27" i="1"/>
  <c r="R27" i="1"/>
  <c r="S27" i="1" s="1"/>
  <c r="AE27" i="1"/>
  <c r="AH37" i="1"/>
  <c r="R37" i="1"/>
  <c r="S37" i="1" s="1"/>
  <c r="AE37" i="1"/>
  <c r="AH50" i="1"/>
  <c r="R50" i="1"/>
  <c r="S50" i="1" s="1"/>
  <c r="AE50" i="1"/>
  <c r="AH58" i="1"/>
  <c r="R58" i="1"/>
  <c r="S58" i="1" s="1"/>
  <c r="AE58" i="1"/>
  <c r="AH64" i="1"/>
  <c r="R64" i="1"/>
  <c r="S64" i="1" s="1"/>
  <c r="AE64" i="1"/>
  <c r="AH25" i="1"/>
  <c r="R25" i="1"/>
  <c r="S25" i="1" s="1"/>
  <c r="AE25" i="1"/>
  <c r="AH41" i="1"/>
  <c r="R41" i="1"/>
  <c r="S41" i="1" s="1"/>
  <c r="AE41" i="1"/>
  <c r="AH66" i="1"/>
  <c r="AE66" i="1"/>
  <c r="R66" i="1"/>
  <c r="S66" i="1" s="1"/>
  <c r="AH63" i="1" l="1"/>
  <c r="AH5" i="1" s="1"/>
  <c r="R63" i="1"/>
  <c r="S63" i="1" s="1"/>
  <c r="AE63" i="1"/>
  <c r="AE5" i="1" s="1"/>
  <c r="R5" i="1"/>
  <c r="S10" i="1"/>
</calcChain>
</file>

<file path=xl/sharedStrings.xml><?xml version="1.0" encoding="utf-8"?>
<sst xmlns="http://schemas.openxmlformats.org/spreadsheetml/2006/main" count="183" uniqueCount="108">
  <si>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</si>
  <si>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</si>
  <si>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</si>
  <si>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</si>
  <si>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</si>
  <si>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</si>
  <si>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</si>
  <si>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</si>
  <si>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</si>
  <si>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</si>
  <si>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</si>
  <si>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</si>
  <si>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</si>
  <si>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</si>
  <si>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</si>
  <si>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</si>
  <si>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</si>
  <si>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</si>
  <si>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</si>
  <si>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</si>
  <si>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</si>
  <si>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</si>
  <si>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</si>
  <si>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</si>
  <si>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</si>
  <si>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</si>
  <si>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</si>
  <si>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</si>
  <si>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</si>
  <si>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29,06,</t>
  </si>
  <si>
    <t>02,07,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</si>
  <si>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</si>
  <si>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</si>
  <si>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</si>
  <si>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</si>
  <si>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</si>
  <si>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</si>
  <si>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</si>
  <si>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</si>
  <si>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</si>
  <si>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</si>
  <si>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</si>
  <si>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</si>
  <si>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</si>
  <si>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</si>
  <si>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</si>
  <si>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Готовые бельмеши сочные с мясом ТМ Горячая штучка 0,3кг зам  ПОКОМ</t>
  </si>
  <si>
    <t>Готовые чебуманы с говядиной ТМ горячая штучка 0,28 кг.  Поком</t>
  </si>
  <si>
    <t>Готовые чебупели острые с мясом ТМ Горячая штучка флоу-пак 0,24 кг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</si>
  <si>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</si>
  <si>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</si>
  <si>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Готовые чебупели сочные с мясом ТМ Горячая штучка флоу-пак 0,48 кг XXL  Поком</t>
  </si>
  <si>
    <t>Готовые чебуреки с мясом ТМ Горячая штучка 0,09 кг флоу-пак ПОКОМ</t>
  </si>
  <si>
    <t>Готовые чебуреки со свининой и говядиной ТМ Горячая штучка ТС Базовый ассортимент 0,36 кг  ПОКОМ</t>
  </si>
  <si>
    <t>Круггетсы с сырным соусом ТМ Горячая штучка 0,25 кг зам  ПОКОМ</t>
  </si>
  <si>
    <t>дубль</t>
  </si>
  <si>
    <t>Круггетсы с сырным соусом ТМ Горячая штучка ТС Круггетсы флоу-пак 0,2 кг  ПОКОМ</t>
  </si>
  <si>
    <t>нужно увеличить продажи!!!</t>
  </si>
  <si>
    <t>Круггетсы сочные ТМ Горячая штучка ТС Круггетсы флоу-пак  0,2 кг.  ПОКОМ</t>
  </si>
  <si>
    <t>Мини-сосиски в тесте 5кг ВЕС ТМ Зареченские  ПОКОМ</t>
  </si>
  <si>
    <t>кг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</si>
  <si>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</si>
  <si>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</si>
  <si>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</si>
  <si>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Наггетсы Нагетосы Сочная курочка ТМ Горячая штучка 0,25 кг зам  ПОКОМ</t>
  </si>
  <si>
    <t>Наггетсы Нагетосы Сочная курочка со сметаной и зеленью ТМ Горячая штучка флоу-пак 0,25 кг  Поком</t>
  </si>
  <si>
    <t>Наггетсы Хрустящие ТМ Зареченские ТС Зареченские продукты. Поком</t>
  </si>
  <si>
    <t>Наггетсы Хрустящие ТМ Стародворье с сочной курочкой 0,23 кг  ПОКОМ</t>
  </si>
  <si>
    <t>Наггетсы из печи 0,25кг ТМ Вязанка замор.  ПОКОМ</t>
  </si>
  <si>
    <t>Наггетсы с индейкой 0,25кг ТМ Вязанка ТС Из печи Сливушки ПОКОМ</t>
  </si>
  <si>
    <t>Наггетсы с куриным филе и сыром ТМ Вязанка ТС Из печи Сливушки 0,25 кг.  Поком</t>
  </si>
  <si>
    <t>Пекерсы с индейкой в сливочном соусе ТМ Горячая штучка 0,25 кг зам  ПОКОМ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</si>
  <si>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</si>
  <si>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</si>
  <si>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</si>
  <si>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</si>
  <si>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</si>
  <si>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Пельмени Бигбули со сливочным маслом  ТС Бигбули ГШ#МЕГАМАСЛИЩЕ флоу-пак сфера 0,7.  Поком</t>
  </si>
  <si>
    <t>Пельмени Бульмени мини с мясом и оливковым маслом  ТС Бульмени ГШ флоу-пак сфера 0,7кг  Поком</t>
  </si>
  <si>
    <t>Пельмени Бульмени с говядиной и свининой Наваристые Горячая штучка ВЕС  ПОКОМ</t>
  </si>
  <si>
    <t>Пельмени Бульмени с говядиной и свининой ТМ Горячая штучка  флоу-пак сфера 0,4 кг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</si>
  <si>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</si>
  <si>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шт. 0,43 кг  ПОКОМ</t>
  </si>
  <si>
    <t>Пельмени Бульмени со сливочным маслом ТМ Горячая штучка  флоу-пак сфера 0,4 кг .  Поком</t>
  </si>
  <si>
    <t>Пельмени Домашние со сливочным маслом ТМ Зареченские  продукты флоу-пак сфера 0,7 кг.  Поком</t>
  </si>
  <si>
    <t>Пельмени Мясные с говядиной ТМ Стародворье сфера флоу-пак 1 кг  ПОКОМ</t>
  </si>
  <si>
    <t>Пельмени Отборные из свинины и говядины 0,9 кг ТМ Стародворье ТС Медвежье ушко  ПОКОМ</t>
  </si>
  <si>
    <t>Пельмени Отборные с говядиной 0,9 кг НОВА ТМ Стародворье ТС Медвежье ушко  ПОКОМ</t>
  </si>
  <si>
    <t>Пельмени С говядиной и свининой, ВЕС, ТМ Славница сфера пуговки  ПОКОМ</t>
  </si>
  <si>
    <t>Пирожки с мясом 3,7кг ВЕС ТМ Зареченские  ПОКОМ</t>
  </si>
  <si>
    <t>Хот-догстер ТМ Горячая штучка ТС Хот-Догстер флоу-пак 0,09 кг.  Поком</t>
  </si>
  <si>
    <t>P004630</t>
  </si>
  <si>
    <t>минимальная кратность 420 шт.</t>
  </si>
  <si>
    <t>Хотстеры Васаби-чили ТМ Горячая штучка ТС Хотстеры 0,23кг жареные ПОКОМ</t>
  </si>
  <si>
    <t>Хотстеры ТМ Горячая штучка ТС Хотстеры 0,25 кг зам  ПОКОМ</t>
  </si>
  <si>
    <t>Хотстеры с сыром ТМ Горячая штучка ТС Хотстеры 0,25кг.  Поком</t>
  </si>
  <si>
    <t>Хрустипай апельсин имбирь ТМ Горячая штучка 0,18 кг  ПОКОМ</t>
  </si>
  <si>
    <t>Хрустипай манго маракуйя ТМ Горячая штучка 0,18 кг  ПОКОМ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</si>
  <si>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</si>
  <si>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</si>
  <si>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Хрустящие крылышки острые к пиву ТМ Горячая штучка 0,3кг зам  ПОКОМ</t>
  </si>
  <si>
    <t>Чебупели Курочка гриль Базовый ассортимент Фикс.вес 0,3 Пакет Горячая штучка  Поком</t>
  </si>
  <si>
    <t>Чебупицца Пепперони ТМ Горячая штучка ТС Чебупицца 0.25кг зам  ПОКОМ</t>
  </si>
  <si>
    <t>Чебупицца со вкусом Том ям ТМ Горячая штучка ТС Чебупицца 0,23кг жареные ПОКОМ</t>
  </si>
  <si>
    <t>Чебуреки Мясные вес 2,7 кг ТМ Зареченские ТС Зареченские продукты   Поком</t>
  </si>
  <si>
    <t>Чебуреки сочные ТМ Зареченские ТС Зареченские продукты.  Поком</t>
  </si>
  <si>
    <t>Чебуреки сочные, ВЕС, куриные жарен. зам  ПОКОМ</t>
  </si>
  <si>
    <t>на остатках 0 (инфа со склада)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</si>
</sst>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1" fillId="0" borderId="1" xfId="1" applyNumberFormat="1"/>
    <xf numFmtId="164" fontId="4" fillId="5" borderId="1" xfId="1" applyNumberFormat="1" applyFont="1" applyFill="1"/>
    <xf numFmtId="164" fontId="5" fillId="6" borderId="1" xfId="1" applyNumberFormat="1" applyFont="1" applyFill="1"/>
    <xf numFmtId="2" fontId="1" fillId="0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02,07,26%20&#1073;&#1088;&#1088;&#1089;&#1095;%20&#1087;&#1086;&#1082;%20&#1079;&#1087;&#10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 (потребность)</v>
          </cell>
          <cell r="S3" t="str">
            <v>расчет (отгрузит завод)</v>
          </cell>
          <cell r="T3" t="str">
            <v>заказ филиала</v>
          </cell>
          <cell r="U3" t="str">
            <v>Комментарии филиала</v>
          </cell>
          <cell r="V3" t="str">
            <v>кон ост</v>
          </cell>
          <cell r="W3" t="str">
            <v>факт</v>
          </cell>
          <cell r="X3" t="str">
            <v>ср</v>
          </cell>
          <cell r="Y3" t="str">
            <v>ср</v>
          </cell>
          <cell r="Z3" t="str">
            <v>ср</v>
          </cell>
          <cell r="AA3" t="str">
            <v>ср</v>
          </cell>
          <cell r="AB3" t="str">
            <v>ср</v>
          </cell>
          <cell r="AC3" t="str">
            <v>ср</v>
          </cell>
          <cell r="AD3" t="str">
            <v>комментарии</v>
          </cell>
          <cell r="AE3" t="str">
            <v>вес</v>
          </cell>
          <cell r="AF3" t="str">
            <v>крат кор</v>
          </cell>
          <cell r="AG3" t="str">
            <v>заказ кор.</v>
          </cell>
          <cell r="AH3" t="str">
            <v>ВЕС</v>
          </cell>
          <cell r="AI3" t="str">
            <v>ряд</v>
          </cell>
          <cell r="AJ3" t="str">
            <v>паллет</v>
          </cell>
        </row>
        <row r="4">
          <cell r="O4" t="str">
            <v>22,06,</v>
          </cell>
          <cell r="P4" t="str">
            <v>29,06,</v>
          </cell>
          <cell r="Q4" t="str">
            <v>02,07,</v>
          </cell>
          <cell r="X4" t="str">
            <v>25,06,</v>
          </cell>
          <cell r="Y4" t="str">
            <v>18,06,</v>
          </cell>
          <cell r="Z4" t="str">
            <v>11,06,</v>
          </cell>
          <cell r="AA4" t="str">
            <v>04,06,</v>
          </cell>
          <cell r="AB4" t="str">
            <v>28,05,</v>
          </cell>
          <cell r="AC4" t="str">
            <v>21,05,</v>
          </cell>
        </row>
        <row r="5">
          <cell r="E5">
            <v>11365</v>
          </cell>
          <cell r="F5">
            <v>5060.6000000000004</v>
          </cell>
          <cell r="K5">
            <v>11053.6</v>
          </cell>
          <cell r="L5">
            <v>311.39999999999998</v>
          </cell>
          <cell r="M5">
            <v>0</v>
          </cell>
          <cell r="N5">
            <v>0</v>
          </cell>
          <cell r="O5">
            <v>15801.2</v>
          </cell>
          <cell r="P5">
            <v>14001.8</v>
          </cell>
          <cell r="Q5">
            <v>2273.0000000000005</v>
          </cell>
          <cell r="R5">
            <v>7305.34</v>
          </cell>
          <cell r="S5">
            <v>7335.8</v>
          </cell>
          <cell r="T5">
            <v>0</v>
          </cell>
          <cell r="X5">
            <v>2385.1799999999998</v>
          </cell>
          <cell r="Y5">
            <v>2426.4199999999996</v>
          </cell>
          <cell r="Z5">
            <v>2159.9659999999994</v>
          </cell>
          <cell r="AA5">
            <v>2317.7799999999997</v>
          </cell>
          <cell r="AB5">
            <v>2162.94</v>
          </cell>
          <cell r="AC5">
            <v>2675.66</v>
          </cell>
          <cell r="AE5">
            <v>2749.1819999999998</v>
          </cell>
          <cell r="AG5">
            <v>762</v>
          </cell>
          <cell r="AH5">
            <v>2774.6000000000004</v>
          </cell>
        </row>
        <row r="6">
          <cell r="A6" t="str">
            <v>БОНУС_Готовые чебупели сочные с мясом ТМ Горячая штучка флоу-пак 0,24 кг  ПОКОМ</v>
          </cell>
          <cell r="B6" t="str">
            <v>шт</v>
          </cell>
          <cell r="C6">
            <v>-70</v>
          </cell>
          <cell r="E6">
            <v>21</v>
          </cell>
          <cell r="F6">
            <v>-82</v>
          </cell>
          <cell r="G6">
            <v>0</v>
          </cell>
          <cell r="I6" t="str">
            <v>бонус</v>
          </cell>
          <cell r="J6" t="str">
            <v>Готовые чебупели сочные с мясом ТМ Горячая штучка флоу-пак 0,24 кг  ПОКОМ</v>
          </cell>
          <cell r="K6">
            <v>27</v>
          </cell>
          <cell r="L6">
            <v>-6</v>
          </cell>
          <cell r="O6">
            <v>0</v>
          </cell>
          <cell r="Q6">
            <v>4.2</v>
          </cell>
          <cell r="V6">
            <v>-19.523809523809522</v>
          </cell>
          <cell r="W6">
            <v>-19.523809523809522</v>
          </cell>
          <cell r="X6">
            <v>9</v>
          </cell>
          <cell r="Y6">
            <v>11.2</v>
          </cell>
          <cell r="Z6">
            <v>6</v>
          </cell>
          <cell r="AA6">
            <v>10.199999999999999</v>
          </cell>
          <cell r="AB6">
            <v>9.6</v>
          </cell>
          <cell r="AC6">
            <v>37.6</v>
          </cell>
        </row>
        <row r="7">
          <cell r="A7" t="str">
            <v>БОНУС_Пельмени Бульмени со сливочным маслом ТМ Горячая штучка флоу-пак сфера 0,7 кг .  Поком</v>
          </cell>
          <cell r="B7" t="str">
            <v>шт</v>
          </cell>
          <cell r="C7">
            <v>40</v>
          </cell>
          <cell r="D7">
            <v>1</v>
          </cell>
          <cell r="E7">
            <v>63</v>
          </cell>
          <cell r="F7">
            <v>-11</v>
          </cell>
          <cell r="G7">
            <v>0</v>
          </cell>
          <cell r="I7" t="str">
            <v>бонус</v>
          </cell>
          <cell r="J7" t="str">
            <v>Пельмени Бульмени со сливочным маслом ТМ Горячая штучка флоу-пак сфера 0,7 кг .  Поком</v>
          </cell>
          <cell r="K7">
            <v>55</v>
          </cell>
          <cell r="L7">
            <v>8</v>
          </cell>
          <cell r="O7">
            <v>0</v>
          </cell>
          <cell r="Q7">
            <v>12.6</v>
          </cell>
          <cell r="V7">
            <v>-0.87301587301587302</v>
          </cell>
          <cell r="W7">
            <v>-0.87301587301587302</v>
          </cell>
          <cell r="X7">
            <v>13.8</v>
          </cell>
          <cell r="Y7">
            <v>12.6</v>
          </cell>
          <cell r="Z7">
            <v>9</v>
          </cell>
          <cell r="AA7">
            <v>10</v>
          </cell>
          <cell r="AB7">
            <v>17</v>
          </cell>
          <cell r="AC7">
            <v>36.6</v>
          </cell>
        </row>
        <row r="8">
          <cell r="A8" t="str">
            <v>БОНУС_Пирожки с мясом 3,7кг ВЕС ТМ Зареченские  ПОКОМ</v>
          </cell>
          <cell r="B8" t="str">
            <v>кг</v>
          </cell>
          <cell r="E8">
            <v>7.4</v>
          </cell>
          <cell r="F8">
            <v>-7.4</v>
          </cell>
          <cell r="G8">
            <v>0</v>
          </cell>
          <cell r="I8" t="str">
            <v>бонус</v>
          </cell>
          <cell r="J8" t="str">
            <v>Пирожки с мясом 3,7кг ВЕС ТМ Зареченские  ПОКОМ</v>
          </cell>
          <cell r="K8">
            <v>14.8</v>
          </cell>
          <cell r="L8">
            <v>-7.4</v>
          </cell>
          <cell r="Q8">
            <v>1.48</v>
          </cell>
          <cell r="V8">
            <v>-5</v>
          </cell>
          <cell r="W8">
            <v>-5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</row>
        <row r="9">
          <cell r="A9" t="str">
            <v>БОНУС_Чебупицца курочка по-итальянски Горячая штучка 0,25 кг зам  ПОКОМ</v>
          </cell>
          <cell r="B9" t="str">
            <v>шт</v>
          </cell>
          <cell r="C9">
            <v>32</v>
          </cell>
          <cell r="E9">
            <v>2</v>
          </cell>
          <cell r="F9">
            <v>32</v>
          </cell>
          <cell r="G9">
            <v>0</v>
          </cell>
          <cell r="I9" t="str">
            <v>бонус</v>
          </cell>
          <cell r="J9" t="str">
            <v>Чебупицца курочка по-итальянски Горячая штучка 0,25 кг зам  ПОКОМ</v>
          </cell>
          <cell r="K9">
            <v>15</v>
          </cell>
          <cell r="L9">
            <v>-13</v>
          </cell>
          <cell r="O9">
            <v>0</v>
          </cell>
          <cell r="Q9">
            <v>0.4</v>
          </cell>
          <cell r="V9">
            <v>80</v>
          </cell>
          <cell r="W9">
            <v>80</v>
          </cell>
          <cell r="X9">
            <v>5.2</v>
          </cell>
          <cell r="Y9">
            <v>8.4</v>
          </cell>
          <cell r="Z9">
            <v>0.2</v>
          </cell>
          <cell r="AA9">
            <v>0.8</v>
          </cell>
          <cell r="AB9">
            <v>2.6</v>
          </cell>
          <cell r="AC9">
            <v>10.4</v>
          </cell>
        </row>
        <row r="10">
          <cell r="A10" t="str">
            <v>Бульмени хрустящие с мясом ТМ Горячая штучка ТС Бульмени ГШ сфера 0,22 кг  Поком</v>
          </cell>
          <cell r="B10" t="str">
            <v>шт</v>
          </cell>
          <cell r="C10">
            <v>31</v>
          </cell>
          <cell r="E10">
            <v>26</v>
          </cell>
          <cell r="F10">
            <v>4</v>
          </cell>
          <cell r="G10">
            <v>0.22</v>
          </cell>
          <cell r="H10">
            <v>180</v>
          </cell>
          <cell r="I10" t="str">
            <v>P005065</v>
          </cell>
          <cell r="K10">
            <v>25</v>
          </cell>
          <cell r="L10">
            <v>1</v>
          </cell>
          <cell r="O10">
            <v>168</v>
          </cell>
          <cell r="P10">
            <v>168</v>
          </cell>
          <cell r="Q10">
            <v>5.2</v>
          </cell>
          <cell r="S10">
            <v>0</v>
          </cell>
          <cell r="V10">
            <v>65.384615384615387</v>
          </cell>
          <cell r="W10">
            <v>65.384615384615387</v>
          </cell>
          <cell r="X10">
            <v>11</v>
          </cell>
          <cell r="Y10">
            <v>7.6</v>
          </cell>
          <cell r="Z10">
            <v>7.6</v>
          </cell>
          <cell r="AA10">
            <v>7.6</v>
          </cell>
          <cell r="AB10">
            <v>11.2</v>
          </cell>
          <cell r="AC10">
            <v>6.2</v>
          </cell>
          <cell r="AE10">
            <v>0</v>
          </cell>
          <cell r="AF10">
            <v>12</v>
          </cell>
          <cell r="AG10">
            <v>0</v>
          </cell>
          <cell r="AH10">
            <v>0</v>
          </cell>
          <cell r="AI10">
            <v>14</v>
          </cell>
          <cell r="AJ10">
            <v>70</v>
          </cell>
        </row>
        <row r="11">
          <cell r="A11" t="str">
            <v>Готовые бельмеши сочные с мясом ТМ Горячая штучка 0,3кг зам  ПОКОМ</v>
          </cell>
          <cell r="B11" t="str">
            <v>шт</v>
          </cell>
          <cell r="C11">
            <v>274</v>
          </cell>
          <cell r="E11">
            <v>219</v>
          </cell>
          <cell r="F11">
            <v>78</v>
          </cell>
          <cell r="G11">
            <v>0.3</v>
          </cell>
          <cell r="H11">
            <v>180</v>
          </cell>
          <cell r="I11" t="str">
            <v>P004598</v>
          </cell>
          <cell r="K11">
            <v>194</v>
          </cell>
          <cell r="L11">
            <v>25</v>
          </cell>
          <cell r="O11">
            <v>168</v>
          </cell>
          <cell r="P11">
            <v>168</v>
          </cell>
          <cell r="Q11">
            <v>43.8</v>
          </cell>
          <cell r="R11">
            <v>199.19999999999993</v>
          </cell>
          <cell r="S11">
            <v>168</v>
          </cell>
          <cell r="V11">
            <v>13.287671232876713</v>
          </cell>
          <cell r="W11">
            <v>9.4520547945205493</v>
          </cell>
          <cell r="X11">
            <v>20.2</v>
          </cell>
          <cell r="Y11">
            <v>29.8</v>
          </cell>
          <cell r="Z11">
            <v>30.6</v>
          </cell>
          <cell r="AA11">
            <v>22.2</v>
          </cell>
          <cell r="AB11">
            <v>27</v>
          </cell>
          <cell r="AC11">
            <v>27.4</v>
          </cell>
          <cell r="AE11">
            <v>59.759999999999977</v>
          </cell>
          <cell r="AF11">
            <v>12</v>
          </cell>
          <cell r="AG11">
            <v>14</v>
          </cell>
          <cell r="AH11">
            <v>50.4</v>
          </cell>
          <cell r="AI11">
            <v>14</v>
          </cell>
          <cell r="AJ11">
            <v>70</v>
          </cell>
        </row>
        <row r="12">
          <cell r="A12" t="str">
            <v>Готовые чебуманы с говядиной ТМ горячая штучка 0,28 кг.  Поком</v>
          </cell>
          <cell r="B12" t="str">
            <v>шт</v>
          </cell>
          <cell r="C12">
            <v>146</v>
          </cell>
          <cell r="D12">
            <v>8</v>
          </cell>
          <cell r="E12">
            <v>159</v>
          </cell>
          <cell r="G12">
            <v>0.28000000000000003</v>
          </cell>
          <cell r="H12">
            <v>180</v>
          </cell>
          <cell r="I12" t="str">
            <v>P004597</v>
          </cell>
          <cell r="K12">
            <v>180</v>
          </cell>
          <cell r="L12">
            <v>-21</v>
          </cell>
          <cell r="O12">
            <v>84</v>
          </cell>
          <cell r="P12">
            <v>504</v>
          </cell>
          <cell r="Q12">
            <v>31.8</v>
          </cell>
          <cell r="S12">
            <v>0</v>
          </cell>
          <cell r="V12">
            <v>18.490566037735849</v>
          </cell>
          <cell r="W12">
            <v>18.490566037735849</v>
          </cell>
          <cell r="X12">
            <v>72</v>
          </cell>
          <cell r="Y12">
            <v>50.4</v>
          </cell>
          <cell r="Z12">
            <v>4.8</v>
          </cell>
          <cell r="AA12">
            <v>46.2</v>
          </cell>
          <cell r="AB12">
            <v>53</v>
          </cell>
          <cell r="AC12">
            <v>89.2</v>
          </cell>
          <cell r="AE12">
            <v>0</v>
          </cell>
          <cell r="AF12">
            <v>6</v>
          </cell>
          <cell r="AG12">
            <v>0</v>
          </cell>
          <cell r="AH12">
            <v>0</v>
          </cell>
          <cell r="AI12">
            <v>14</v>
          </cell>
          <cell r="AJ12">
            <v>140</v>
          </cell>
        </row>
        <row r="13">
          <cell r="A13" t="str">
            <v>Готовые чебупели острые с мясом ТМ Горячая штучка флоу-пак 0,24 кг  Поком</v>
          </cell>
          <cell r="B13" t="str">
            <v>шт</v>
          </cell>
          <cell r="C13">
            <v>485</v>
          </cell>
          <cell r="E13">
            <v>501</v>
          </cell>
          <cell r="F13">
            <v>15</v>
          </cell>
          <cell r="G13">
            <v>0.24</v>
          </cell>
          <cell r="H13">
            <v>180</v>
          </cell>
          <cell r="I13" t="str">
            <v>P004969</v>
          </cell>
          <cell r="K13">
            <v>468</v>
          </cell>
          <cell r="L13">
            <v>33</v>
          </cell>
          <cell r="O13">
            <v>672</v>
          </cell>
          <cell r="P13">
            <v>168</v>
          </cell>
          <cell r="Q13">
            <v>100.2</v>
          </cell>
          <cell r="R13">
            <v>547.79999999999995</v>
          </cell>
          <cell r="S13">
            <v>504</v>
          </cell>
          <cell r="V13">
            <v>13.562874251497005</v>
          </cell>
          <cell r="W13">
            <v>8.5329341317365266</v>
          </cell>
          <cell r="X13">
            <v>39</v>
          </cell>
          <cell r="Y13">
            <v>70</v>
          </cell>
          <cell r="Z13">
            <v>68.599999999999994</v>
          </cell>
          <cell r="AA13">
            <v>57</v>
          </cell>
          <cell r="AB13">
            <v>68</v>
          </cell>
          <cell r="AC13">
            <v>76.2</v>
          </cell>
          <cell r="AE13">
            <v>131.47199999999998</v>
          </cell>
          <cell r="AF13">
            <v>12</v>
          </cell>
          <cell r="AG13">
            <v>42</v>
          </cell>
          <cell r="AH13">
            <v>120.96</v>
          </cell>
          <cell r="AI13">
            <v>14</v>
          </cell>
          <cell r="AJ13">
            <v>70</v>
          </cell>
        </row>
        <row r="14">
          <cell r="A14" t="str">
            <v>Готовые чебупели с ветчиной и сыром ТМ Горячая штучка флоу-пак 0,24 кг.  ПОКОМ</v>
          </cell>
          <cell r="B14" t="str">
            <v>шт</v>
          </cell>
          <cell r="C14">
            <v>314</v>
          </cell>
          <cell r="D14">
            <v>7</v>
          </cell>
          <cell r="E14">
            <v>414</v>
          </cell>
          <cell r="F14">
            <v>-22</v>
          </cell>
          <cell r="G14">
            <v>0.24</v>
          </cell>
          <cell r="H14">
            <v>180</v>
          </cell>
          <cell r="I14" t="str">
            <v>P004971</v>
          </cell>
          <cell r="K14">
            <v>343</v>
          </cell>
          <cell r="L14">
            <v>71</v>
          </cell>
          <cell r="O14">
            <v>168</v>
          </cell>
          <cell r="P14">
            <v>336</v>
          </cell>
          <cell r="Q14">
            <v>82.8</v>
          </cell>
          <cell r="R14">
            <v>677.2</v>
          </cell>
          <cell r="S14">
            <v>672</v>
          </cell>
          <cell r="V14">
            <v>13.937198067632851</v>
          </cell>
          <cell r="W14">
            <v>5.8212560386473431</v>
          </cell>
          <cell r="X14">
            <v>80.599999999999994</v>
          </cell>
          <cell r="Y14">
            <v>94.6</v>
          </cell>
          <cell r="Z14">
            <v>67.8</v>
          </cell>
          <cell r="AA14">
            <v>77.599999999999994</v>
          </cell>
          <cell r="AB14">
            <v>50.4</v>
          </cell>
          <cell r="AC14">
            <v>75.2</v>
          </cell>
          <cell r="AE14">
            <v>162.52799999999999</v>
          </cell>
          <cell r="AF14">
            <v>12</v>
          </cell>
          <cell r="AG14">
            <v>56</v>
          </cell>
          <cell r="AH14">
            <v>161.28</v>
          </cell>
          <cell r="AI14">
            <v>14</v>
          </cell>
          <cell r="AJ14">
            <v>70</v>
          </cell>
        </row>
        <row r="15">
          <cell r="A15" t="str">
            <v>Готовые чебупели с мясом ТМ Горячая штучка 0,24 кг  ПОКОМ</v>
          </cell>
          <cell r="B15" t="str">
            <v>шт</v>
          </cell>
          <cell r="C15">
            <v>176</v>
          </cell>
          <cell r="D15">
            <v>7</v>
          </cell>
          <cell r="E15">
            <v>243</v>
          </cell>
          <cell r="F15">
            <v>2</v>
          </cell>
          <cell r="G15">
            <v>0.24</v>
          </cell>
          <cell r="H15">
            <v>180</v>
          </cell>
          <cell r="I15" t="str">
            <v>P004974</v>
          </cell>
          <cell r="K15">
            <v>197</v>
          </cell>
          <cell r="L15">
            <v>46</v>
          </cell>
          <cell r="O15">
            <v>336</v>
          </cell>
          <cell r="P15">
            <v>336</v>
          </cell>
          <cell r="Q15">
            <v>48.6</v>
          </cell>
          <cell r="S15">
            <v>0</v>
          </cell>
          <cell r="V15">
            <v>13.868312757201645</v>
          </cell>
          <cell r="W15">
            <v>13.868312757201645</v>
          </cell>
          <cell r="X15">
            <v>46.6</v>
          </cell>
          <cell r="Y15">
            <v>47.8</v>
          </cell>
          <cell r="Z15">
            <v>38.6</v>
          </cell>
          <cell r="AA15">
            <v>20.8</v>
          </cell>
          <cell r="AB15">
            <v>47.6</v>
          </cell>
          <cell r="AC15">
            <v>42</v>
          </cell>
          <cell r="AE15">
            <v>0</v>
          </cell>
          <cell r="AF15">
            <v>12</v>
          </cell>
          <cell r="AG15">
            <v>0</v>
          </cell>
          <cell r="AH15">
            <v>0</v>
          </cell>
          <cell r="AI15">
            <v>14</v>
          </cell>
          <cell r="AJ15">
            <v>70</v>
          </cell>
        </row>
        <row r="16">
          <cell r="A16" t="str">
            <v>Готовые чебупели сочные с мясом ТМ Горячая штучка флоу-пак 0,24 кг  ПОКОМ</v>
          </cell>
          <cell r="B16" t="str">
            <v>шт</v>
          </cell>
          <cell r="C16">
            <v>492</v>
          </cell>
          <cell r="D16">
            <v>2</v>
          </cell>
          <cell r="E16">
            <v>446</v>
          </cell>
          <cell r="F16">
            <v>19</v>
          </cell>
          <cell r="G16">
            <v>0.24</v>
          </cell>
          <cell r="H16">
            <v>180</v>
          </cell>
          <cell r="I16" t="str">
            <v>P004966</v>
          </cell>
          <cell r="K16">
            <v>434</v>
          </cell>
          <cell r="L16">
            <v>12</v>
          </cell>
          <cell r="O16">
            <v>336</v>
          </cell>
          <cell r="P16">
            <v>336</v>
          </cell>
          <cell r="Q16">
            <v>89.2</v>
          </cell>
          <cell r="R16">
            <v>557.79999999999995</v>
          </cell>
          <cell r="S16">
            <v>504</v>
          </cell>
          <cell r="V16">
            <v>13.396860986547084</v>
          </cell>
          <cell r="W16">
            <v>7.746636771300448</v>
          </cell>
          <cell r="X16">
            <v>81.599999999999994</v>
          </cell>
          <cell r="Y16">
            <v>46.6</v>
          </cell>
          <cell r="Z16">
            <v>53.2</v>
          </cell>
          <cell r="AA16">
            <v>82.6</v>
          </cell>
          <cell r="AB16">
            <v>50.4</v>
          </cell>
          <cell r="AC16">
            <v>78</v>
          </cell>
          <cell r="AE16">
            <v>133.87199999999999</v>
          </cell>
          <cell r="AF16">
            <v>12</v>
          </cell>
          <cell r="AG16">
            <v>42</v>
          </cell>
          <cell r="AH16">
            <v>120.96</v>
          </cell>
          <cell r="AI16">
            <v>14</v>
          </cell>
          <cell r="AJ16">
            <v>70</v>
          </cell>
        </row>
        <row r="17">
          <cell r="A17" t="str">
            <v>Готовые чебупели сочные с мясом ТМ Горячая штучка флоу-пак 0,48 кг XXL  Поком</v>
          </cell>
          <cell r="B17" t="str">
            <v>шт</v>
          </cell>
          <cell r="E17">
            <v>3</v>
          </cell>
          <cell r="G17">
            <v>0.48</v>
          </cell>
          <cell r="H17">
            <v>180</v>
          </cell>
          <cell r="I17" t="str">
            <v>P004595</v>
          </cell>
          <cell r="K17">
            <v>16</v>
          </cell>
          <cell r="L17">
            <v>-13</v>
          </cell>
          <cell r="O17">
            <v>336</v>
          </cell>
          <cell r="P17">
            <v>112</v>
          </cell>
          <cell r="Q17">
            <v>0.6</v>
          </cell>
          <cell r="S17">
            <v>0</v>
          </cell>
          <cell r="V17">
            <v>746.66666666666674</v>
          </cell>
          <cell r="W17">
            <v>746.66666666666674</v>
          </cell>
          <cell r="X17">
            <v>3.8</v>
          </cell>
          <cell r="Y17">
            <v>20.2</v>
          </cell>
          <cell r="Z17">
            <v>0</v>
          </cell>
          <cell r="AA17">
            <v>10</v>
          </cell>
          <cell r="AB17">
            <v>16.399999999999999</v>
          </cell>
          <cell r="AC17">
            <v>23.2</v>
          </cell>
          <cell r="AE17">
            <v>0</v>
          </cell>
          <cell r="AF17">
            <v>8</v>
          </cell>
          <cell r="AG17">
            <v>0</v>
          </cell>
          <cell r="AH17">
            <v>0</v>
          </cell>
          <cell r="AI17">
            <v>14</v>
          </cell>
          <cell r="AJ17">
            <v>70</v>
          </cell>
        </row>
        <row r="18">
          <cell r="A18" t="str">
            <v>Готовые чебуреки с мясом ТМ Горячая штучка 0,09 кг флоу-пак ПОКОМ</v>
          </cell>
          <cell r="B18" t="str">
            <v>шт</v>
          </cell>
          <cell r="C18">
            <v>2</v>
          </cell>
          <cell r="F18">
            <v>2</v>
          </cell>
          <cell r="G18">
            <v>0.09</v>
          </cell>
          <cell r="H18">
            <v>180</v>
          </cell>
          <cell r="I18" t="str">
            <v>P004138</v>
          </cell>
          <cell r="K18">
            <v>16</v>
          </cell>
          <cell r="L18">
            <v>-16</v>
          </cell>
          <cell r="O18">
            <v>0</v>
          </cell>
          <cell r="P18">
            <v>336</v>
          </cell>
          <cell r="Q18">
            <v>0</v>
          </cell>
          <cell r="S18">
            <v>0</v>
          </cell>
          <cell r="V18" t="e">
            <v>#DIV/0!</v>
          </cell>
          <cell r="W18" t="e">
            <v>#DIV/0!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42.2</v>
          </cell>
          <cell r="AE18">
            <v>0</v>
          </cell>
          <cell r="AF18">
            <v>24</v>
          </cell>
          <cell r="AG18">
            <v>0</v>
          </cell>
          <cell r="AH18">
            <v>0</v>
          </cell>
          <cell r="AI18">
            <v>14</v>
          </cell>
          <cell r="AJ18">
            <v>126</v>
          </cell>
        </row>
        <row r="19">
          <cell r="A19" t="str">
            <v>Готовые чебуреки со свининой и говядиной ТМ Горячая штучка ТС Базовый ассортимент 0,36 кг  ПОКОМ</v>
          </cell>
          <cell r="B19" t="str">
            <v>шт</v>
          </cell>
          <cell r="C19">
            <v>322</v>
          </cell>
          <cell r="E19">
            <v>225</v>
          </cell>
          <cell r="F19">
            <v>106</v>
          </cell>
          <cell r="G19">
            <v>0.36</v>
          </cell>
          <cell r="H19">
            <v>180</v>
          </cell>
          <cell r="I19" t="str">
            <v>P004583</v>
          </cell>
          <cell r="K19">
            <v>216</v>
          </cell>
          <cell r="L19">
            <v>9</v>
          </cell>
          <cell r="O19">
            <v>140</v>
          </cell>
          <cell r="P19">
            <v>0</v>
          </cell>
          <cell r="Q19">
            <v>45</v>
          </cell>
          <cell r="R19">
            <v>384</v>
          </cell>
          <cell r="S19">
            <v>420</v>
          </cell>
          <cell r="V19">
            <v>14.8</v>
          </cell>
          <cell r="W19">
            <v>5.4666666666666668</v>
          </cell>
          <cell r="X19">
            <v>17.2</v>
          </cell>
          <cell r="Y19">
            <v>24</v>
          </cell>
          <cell r="Z19">
            <v>36</v>
          </cell>
          <cell r="AA19">
            <v>33.4</v>
          </cell>
          <cell r="AB19">
            <v>27.2</v>
          </cell>
          <cell r="AC19">
            <v>30.8</v>
          </cell>
          <cell r="AE19">
            <v>138.24</v>
          </cell>
          <cell r="AF19">
            <v>10</v>
          </cell>
          <cell r="AG19">
            <v>42</v>
          </cell>
          <cell r="AH19">
            <v>151.19999999999999</v>
          </cell>
          <cell r="AI19">
            <v>14</v>
          </cell>
          <cell r="AJ19">
            <v>70</v>
          </cell>
        </row>
        <row r="20">
          <cell r="A20" t="str">
            <v>ЖАР-ладушки с клубникой и вишней ТМ Стародворье 0,2 кг.  Поком</v>
          </cell>
          <cell r="B20" t="str">
            <v>шт</v>
          </cell>
          <cell r="C20">
            <v>56</v>
          </cell>
          <cell r="F20">
            <v>56</v>
          </cell>
          <cell r="G20">
            <v>0</v>
          </cell>
          <cell r="I20" t="str">
            <v>завод вывел</v>
          </cell>
          <cell r="K20">
            <v>16</v>
          </cell>
          <cell r="L20">
            <v>-16</v>
          </cell>
          <cell r="O20">
            <v>0</v>
          </cell>
          <cell r="P20">
            <v>0</v>
          </cell>
          <cell r="Q20">
            <v>0</v>
          </cell>
          <cell r="V20" t="e">
            <v>#DIV/0!</v>
          </cell>
          <cell r="W20" t="e">
            <v>#DIV/0!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 t="str">
            <v>нужно увеличить продажи!!! / НЕТ В БЛАНКЕ</v>
          </cell>
        </row>
        <row r="21">
          <cell r="A21" t="str">
            <v>Жареные вареники с картофелем и беконом ТМ Стародворье 0,2 кг  ПОКОМ</v>
          </cell>
          <cell r="B21" t="str">
            <v>шт</v>
          </cell>
          <cell r="G21">
            <v>0.2</v>
          </cell>
          <cell r="H21">
            <v>180</v>
          </cell>
          <cell r="I21" t="str">
            <v>P005129</v>
          </cell>
          <cell r="K21">
            <v>16</v>
          </cell>
          <cell r="L21">
            <v>-16</v>
          </cell>
          <cell r="O21">
            <v>336</v>
          </cell>
          <cell r="P21">
            <v>168</v>
          </cell>
          <cell r="Q21">
            <v>0</v>
          </cell>
          <cell r="S21">
            <v>0</v>
          </cell>
          <cell r="V21" t="e">
            <v>#DIV/0!</v>
          </cell>
          <cell r="W21" t="e">
            <v>#DIV/0!</v>
          </cell>
          <cell r="X21">
            <v>1.6</v>
          </cell>
          <cell r="Y21">
            <v>22.8</v>
          </cell>
          <cell r="Z21">
            <v>9.1999999999999993</v>
          </cell>
          <cell r="AA21">
            <v>4.2</v>
          </cell>
          <cell r="AB21">
            <v>9</v>
          </cell>
          <cell r="AC21">
            <v>12.8</v>
          </cell>
          <cell r="AE21">
            <v>0</v>
          </cell>
          <cell r="AF21">
            <v>12</v>
          </cell>
          <cell r="AG21">
            <v>0</v>
          </cell>
          <cell r="AH21">
            <v>0</v>
          </cell>
          <cell r="AI21">
            <v>14</v>
          </cell>
          <cell r="AJ21">
            <v>70</v>
          </cell>
        </row>
        <row r="22">
          <cell r="A22" t="str">
            <v>Круггетсы с сырным соусом ТМ Горячая штучка ТС Круггетсы флоу-пак 0,2 кг  ПОКОМ</v>
          </cell>
          <cell r="B22" t="str">
            <v>шт</v>
          </cell>
          <cell r="C22">
            <v>351</v>
          </cell>
          <cell r="E22">
            <v>399</v>
          </cell>
          <cell r="F22">
            <v>-5</v>
          </cell>
          <cell r="G22">
            <v>0.2</v>
          </cell>
          <cell r="H22">
            <v>180</v>
          </cell>
          <cell r="I22" t="str">
            <v>P004956</v>
          </cell>
          <cell r="K22">
            <v>356</v>
          </cell>
          <cell r="L22">
            <v>43</v>
          </cell>
          <cell r="O22">
            <v>336</v>
          </cell>
          <cell r="P22">
            <v>168</v>
          </cell>
          <cell r="Q22">
            <v>79.8</v>
          </cell>
          <cell r="R22">
            <v>618.20000000000005</v>
          </cell>
          <cell r="S22">
            <v>672</v>
          </cell>
          <cell r="V22">
            <v>14.674185463659148</v>
          </cell>
          <cell r="W22">
            <v>6.2531328320802011</v>
          </cell>
          <cell r="X22">
            <v>28.6</v>
          </cell>
          <cell r="Y22">
            <v>48</v>
          </cell>
          <cell r="Z22">
            <v>53.4</v>
          </cell>
          <cell r="AA22">
            <v>39.4</v>
          </cell>
          <cell r="AB22">
            <v>34.200000000000003</v>
          </cell>
          <cell r="AC22">
            <v>47.2</v>
          </cell>
          <cell r="AE22">
            <v>123.64000000000001</v>
          </cell>
          <cell r="AF22">
            <v>12</v>
          </cell>
          <cell r="AG22">
            <v>56</v>
          </cell>
          <cell r="AH22">
            <v>134.4</v>
          </cell>
          <cell r="AI22">
            <v>14</v>
          </cell>
          <cell r="AJ22">
            <v>70</v>
          </cell>
        </row>
        <row r="23">
          <cell r="A23" t="str">
            <v>Круггетсы сочные ТМ Горячая штучка ТС Круггетсы флоу-пак  0,2 кг.  ПОКОМ</v>
          </cell>
          <cell r="B23" t="str">
            <v>шт</v>
          </cell>
          <cell r="C23">
            <v>209</v>
          </cell>
          <cell r="D23">
            <v>1</v>
          </cell>
          <cell r="E23">
            <v>206</v>
          </cell>
          <cell r="F23">
            <v>15</v>
          </cell>
          <cell r="G23">
            <v>0.2</v>
          </cell>
          <cell r="H23">
            <v>180</v>
          </cell>
          <cell r="I23" t="str">
            <v>P004953</v>
          </cell>
          <cell r="K23">
            <v>192</v>
          </cell>
          <cell r="L23">
            <v>14</v>
          </cell>
          <cell r="O23">
            <v>336</v>
          </cell>
          <cell r="P23">
            <v>168</v>
          </cell>
          <cell r="Q23">
            <v>41.2</v>
          </cell>
          <cell r="R23">
            <v>140.20000000000005</v>
          </cell>
          <cell r="S23">
            <v>168</v>
          </cell>
          <cell r="V23">
            <v>16.674757281553397</v>
          </cell>
          <cell r="W23">
            <v>12.597087378640776</v>
          </cell>
          <cell r="X23">
            <v>26</v>
          </cell>
          <cell r="Y23">
            <v>11.6</v>
          </cell>
          <cell r="Z23">
            <v>21</v>
          </cell>
          <cell r="AA23">
            <v>11.4</v>
          </cell>
          <cell r="AB23">
            <v>19.8</v>
          </cell>
          <cell r="AC23">
            <v>25.2</v>
          </cell>
          <cell r="AE23">
            <v>28.04000000000001</v>
          </cell>
          <cell r="AF23">
            <v>12</v>
          </cell>
          <cell r="AG23">
            <v>14</v>
          </cell>
          <cell r="AH23">
            <v>33.6</v>
          </cell>
          <cell r="AI23">
            <v>14</v>
          </cell>
          <cell r="AJ23">
            <v>70</v>
          </cell>
        </row>
        <row r="24">
          <cell r="A24" t="str">
            <v>Мини-сосиски в тесте 5кг ВЕС ТМ Зареченские  ПОКОМ</v>
          </cell>
          <cell r="B24" t="str">
            <v>кг</v>
          </cell>
          <cell r="C24">
            <v>5</v>
          </cell>
          <cell r="F24">
            <v>5</v>
          </cell>
          <cell r="G24">
            <v>1</v>
          </cell>
          <cell r="H24">
            <v>180</v>
          </cell>
          <cell r="I24" t="str">
            <v>P005235</v>
          </cell>
          <cell r="K24">
            <v>60</v>
          </cell>
          <cell r="L24">
            <v>-60</v>
          </cell>
          <cell r="O24">
            <v>0</v>
          </cell>
          <cell r="P24">
            <v>60</v>
          </cell>
          <cell r="Q24">
            <v>0</v>
          </cell>
          <cell r="S24">
            <v>0</v>
          </cell>
          <cell r="V24" t="e">
            <v>#DIV/0!</v>
          </cell>
          <cell r="W24" t="e">
            <v>#DIV/0!</v>
          </cell>
          <cell r="X24">
            <v>0</v>
          </cell>
          <cell r="Y24">
            <v>10</v>
          </cell>
          <cell r="Z24">
            <v>20</v>
          </cell>
          <cell r="AA24">
            <v>20</v>
          </cell>
          <cell r="AB24">
            <v>18</v>
          </cell>
          <cell r="AC24">
            <v>15</v>
          </cell>
          <cell r="AE24">
            <v>0</v>
          </cell>
          <cell r="AF24">
            <v>5</v>
          </cell>
          <cell r="AG24">
            <v>0</v>
          </cell>
          <cell r="AH24">
            <v>0</v>
          </cell>
          <cell r="AI24">
            <v>12</v>
          </cell>
          <cell r="AJ24">
            <v>84</v>
          </cell>
        </row>
        <row r="25">
          <cell r="A25" t="str">
            <v>Мини-шарики с курочкой и сыром ТМ Зареченские ВЕС ПОКОМ</v>
          </cell>
          <cell r="B25" t="str">
            <v>кг</v>
          </cell>
          <cell r="C25">
            <v>111</v>
          </cell>
          <cell r="E25">
            <v>42</v>
          </cell>
          <cell r="F25">
            <v>66</v>
          </cell>
          <cell r="G25">
            <v>1</v>
          </cell>
          <cell r="H25">
            <v>180</v>
          </cell>
          <cell r="I25" t="str">
            <v>P004394</v>
          </cell>
          <cell r="K25">
            <v>41.8</v>
          </cell>
          <cell r="L25">
            <v>0.20000000000000284</v>
          </cell>
          <cell r="O25">
            <v>210</v>
          </cell>
          <cell r="P25">
            <v>210</v>
          </cell>
          <cell r="Q25">
            <v>8.4</v>
          </cell>
          <cell r="S25">
            <v>0</v>
          </cell>
          <cell r="V25">
            <v>57.857142857142854</v>
          </cell>
          <cell r="W25">
            <v>57.857142857142854</v>
          </cell>
          <cell r="X25">
            <v>14.4</v>
          </cell>
          <cell r="Y25">
            <v>7.2</v>
          </cell>
          <cell r="Z25">
            <v>12.6</v>
          </cell>
          <cell r="AA25">
            <v>11.4</v>
          </cell>
          <cell r="AB25">
            <v>10.74</v>
          </cell>
          <cell r="AC25">
            <v>12.6</v>
          </cell>
          <cell r="AE25">
            <v>0</v>
          </cell>
          <cell r="AF25">
            <v>3</v>
          </cell>
          <cell r="AG25">
            <v>0</v>
          </cell>
          <cell r="AH25">
            <v>0</v>
          </cell>
          <cell r="AI25">
            <v>14</v>
          </cell>
          <cell r="AJ25">
            <v>126</v>
          </cell>
        </row>
        <row r="26">
          <cell r="A26" t="str">
            <v>Наггетсы Нагетосы Сочная курочка ТМ Горячая штучка 0,25 кг зам  ПОКОМ</v>
          </cell>
          <cell r="B26" t="str">
            <v>шт</v>
          </cell>
          <cell r="C26">
            <v>139</v>
          </cell>
          <cell r="D26">
            <v>8</v>
          </cell>
          <cell r="E26">
            <v>257</v>
          </cell>
          <cell r="F26">
            <v>-76</v>
          </cell>
          <cell r="G26">
            <v>0.25</v>
          </cell>
          <cell r="H26">
            <v>365</v>
          </cell>
          <cell r="I26" t="str">
            <v>P004602</v>
          </cell>
          <cell r="K26">
            <v>217</v>
          </cell>
          <cell r="L26">
            <v>40</v>
          </cell>
          <cell r="O26">
            <v>840</v>
          </cell>
          <cell r="P26">
            <v>336</v>
          </cell>
          <cell r="Q26">
            <v>51.4</v>
          </cell>
          <cell r="S26">
            <v>0</v>
          </cell>
          <cell r="V26">
            <v>21.400778210116734</v>
          </cell>
          <cell r="W26">
            <v>21.400778210116734</v>
          </cell>
          <cell r="X26">
            <v>75</v>
          </cell>
          <cell r="Y26">
            <v>81.2</v>
          </cell>
          <cell r="Z26">
            <v>69.599999999999994</v>
          </cell>
          <cell r="AA26">
            <v>60.6</v>
          </cell>
          <cell r="AB26">
            <v>69.8</v>
          </cell>
          <cell r="AC26">
            <v>72.8</v>
          </cell>
          <cell r="AE26">
            <v>0</v>
          </cell>
          <cell r="AF26">
            <v>6</v>
          </cell>
          <cell r="AG26">
            <v>0</v>
          </cell>
          <cell r="AH26">
            <v>0</v>
          </cell>
          <cell r="AI26">
            <v>14</v>
          </cell>
          <cell r="AJ26">
            <v>140</v>
          </cell>
        </row>
        <row r="27">
          <cell r="A27" t="str">
            <v>Наггетсы Нагетосы Сочная курочка со сметаной и зеленью ТМ Горячая штучка флоу-пак 0,25 кг  Поком</v>
          </cell>
          <cell r="B27" t="str">
            <v>шт</v>
          </cell>
          <cell r="C27">
            <v>180</v>
          </cell>
          <cell r="D27">
            <v>4</v>
          </cell>
          <cell r="E27">
            <v>207</v>
          </cell>
          <cell r="G27">
            <v>0.25</v>
          </cell>
          <cell r="H27">
            <v>365</v>
          </cell>
          <cell r="I27" t="str">
            <v>P004600</v>
          </cell>
          <cell r="K27">
            <v>185</v>
          </cell>
          <cell r="L27">
            <v>22</v>
          </cell>
          <cell r="O27">
            <v>0</v>
          </cell>
          <cell r="P27">
            <v>84</v>
          </cell>
          <cell r="Q27">
            <v>41.4</v>
          </cell>
          <cell r="R27">
            <v>495.6</v>
          </cell>
          <cell r="S27">
            <v>504</v>
          </cell>
          <cell r="V27">
            <v>14.202898550724639</v>
          </cell>
          <cell r="W27">
            <v>2.0289855072463769</v>
          </cell>
          <cell r="X27">
            <v>14.4</v>
          </cell>
          <cell r="Y27">
            <v>14.4</v>
          </cell>
          <cell r="Z27">
            <v>19.2</v>
          </cell>
          <cell r="AA27">
            <v>13.6</v>
          </cell>
          <cell r="AB27">
            <v>20.8</v>
          </cell>
          <cell r="AC27">
            <v>33.4</v>
          </cell>
          <cell r="AE27">
            <v>123.9</v>
          </cell>
          <cell r="AF27">
            <v>6</v>
          </cell>
          <cell r="AG27">
            <v>84</v>
          </cell>
          <cell r="AH27">
            <v>126</v>
          </cell>
          <cell r="AI27">
            <v>14</v>
          </cell>
          <cell r="AJ27">
            <v>140</v>
          </cell>
        </row>
        <row r="28">
          <cell r="A28" t="str">
            <v>Наггетсы Хрустящие ТМ Зареченские ТС Зареченские продукты. Поком</v>
          </cell>
          <cell r="B28" t="str">
            <v>кг</v>
          </cell>
          <cell r="G28">
            <v>1</v>
          </cell>
          <cell r="H28">
            <v>180</v>
          </cell>
          <cell r="I28" t="str">
            <v>P003486</v>
          </cell>
          <cell r="K28">
            <v>11</v>
          </cell>
          <cell r="L28">
            <v>-11</v>
          </cell>
          <cell r="O28">
            <v>0</v>
          </cell>
          <cell r="P28">
            <v>468</v>
          </cell>
          <cell r="Q28">
            <v>0</v>
          </cell>
          <cell r="S28">
            <v>0</v>
          </cell>
          <cell r="V28" t="e">
            <v>#DIV/0!</v>
          </cell>
          <cell r="W28" t="e">
            <v>#DIV/0!</v>
          </cell>
          <cell r="X28">
            <v>0</v>
          </cell>
          <cell r="Y28">
            <v>14.4</v>
          </cell>
          <cell r="Z28">
            <v>32.4</v>
          </cell>
          <cell r="AA28">
            <v>0</v>
          </cell>
          <cell r="AB28">
            <v>0</v>
          </cell>
          <cell r="AC28">
            <v>39.6</v>
          </cell>
          <cell r="AE28">
            <v>0</v>
          </cell>
          <cell r="AF28">
            <v>6</v>
          </cell>
          <cell r="AG28">
            <v>0</v>
          </cell>
          <cell r="AH28">
            <v>0</v>
          </cell>
          <cell r="AI28">
            <v>12</v>
          </cell>
          <cell r="AJ28">
            <v>84</v>
          </cell>
        </row>
        <row r="29">
          <cell r="A29" t="str">
            <v>Наггетсы Хрустящие ТМ Стародворье с сочной курочкой 0,23 кг  ПОКОМ</v>
          </cell>
          <cell r="B29" t="str">
            <v>шт</v>
          </cell>
          <cell r="C29">
            <v>13</v>
          </cell>
          <cell r="E29">
            <v>32</v>
          </cell>
          <cell r="G29">
            <v>0.23</v>
          </cell>
          <cell r="H29">
            <v>180</v>
          </cell>
          <cell r="I29" t="str">
            <v>P005043</v>
          </cell>
          <cell r="K29">
            <v>72</v>
          </cell>
          <cell r="L29">
            <v>-40</v>
          </cell>
          <cell r="O29">
            <v>168</v>
          </cell>
          <cell r="P29">
            <v>336</v>
          </cell>
          <cell r="Q29">
            <v>6.4</v>
          </cell>
          <cell r="S29">
            <v>0</v>
          </cell>
          <cell r="V29">
            <v>78.75</v>
          </cell>
          <cell r="W29">
            <v>78.75</v>
          </cell>
          <cell r="X29">
            <v>20.399999999999999</v>
          </cell>
          <cell r="Y29">
            <v>12.6</v>
          </cell>
          <cell r="Z29">
            <v>7.6</v>
          </cell>
          <cell r="AA29">
            <v>20.2</v>
          </cell>
          <cell r="AB29">
            <v>12.6</v>
          </cell>
          <cell r="AC29">
            <v>17.8</v>
          </cell>
          <cell r="AE29">
            <v>0</v>
          </cell>
          <cell r="AF29">
            <v>12</v>
          </cell>
          <cell r="AG29">
            <v>0</v>
          </cell>
          <cell r="AH29">
            <v>0</v>
          </cell>
          <cell r="AI29">
            <v>14</v>
          </cell>
          <cell r="AJ29">
            <v>70</v>
          </cell>
        </row>
        <row r="30">
          <cell r="A30" t="str">
            <v>Наггетсы из печи 0,25кг ТМ Вязанка замор.  ПОКОМ</v>
          </cell>
          <cell r="B30" t="str">
            <v>шт</v>
          </cell>
          <cell r="C30">
            <v>172</v>
          </cell>
          <cell r="D30">
            <v>3</v>
          </cell>
          <cell r="E30">
            <v>197</v>
          </cell>
          <cell r="F30">
            <v>-2</v>
          </cell>
          <cell r="G30">
            <v>0.25</v>
          </cell>
          <cell r="H30">
            <v>365</v>
          </cell>
          <cell r="I30" t="str">
            <v>P004497</v>
          </cell>
          <cell r="K30">
            <v>200</v>
          </cell>
          <cell r="L30">
            <v>-3</v>
          </cell>
          <cell r="O30">
            <v>840</v>
          </cell>
          <cell r="P30">
            <v>168</v>
          </cell>
          <cell r="Q30">
            <v>39.4</v>
          </cell>
          <cell r="S30">
            <v>0</v>
          </cell>
          <cell r="V30">
            <v>25.532994923857871</v>
          </cell>
          <cell r="W30">
            <v>25.532994923857871</v>
          </cell>
          <cell r="X30">
            <v>58.6</v>
          </cell>
          <cell r="Y30">
            <v>86.2</v>
          </cell>
          <cell r="Z30">
            <v>60.2</v>
          </cell>
          <cell r="AA30">
            <v>80</v>
          </cell>
          <cell r="AB30">
            <v>40.799999999999997</v>
          </cell>
          <cell r="AC30">
            <v>47.8</v>
          </cell>
          <cell r="AE30">
            <v>0</v>
          </cell>
          <cell r="AF30">
            <v>12</v>
          </cell>
          <cell r="AG30">
            <v>0</v>
          </cell>
          <cell r="AH30">
            <v>0</v>
          </cell>
          <cell r="AI30">
            <v>14</v>
          </cell>
          <cell r="AJ30">
            <v>70</v>
          </cell>
        </row>
        <row r="31">
          <cell r="A31" t="str">
            <v>Наггетсы с индейкой 0,25кг ТМ Вязанка ТС Из печи Сливушки ПОКОМ</v>
          </cell>
          <cell r="B31" t="str">
            <v>шт</v>
          </cell>
          <cell r="C31">
            <v>454</v>
          </cell>
          <cell r="D31">
            <v>15</v>
          </cell>
          <cell r="E31">
            <v>400</v>
          </cell>
          <cell r="F31">
            <v>97</v>
          </cell>
          <cell r="G31">
            <v>0.25</v>
          </cell>
          <cell r="H31">
            <v>365</v>
          </cell>
          <cell r="I31" t="str">
            <v>P004496</v>
          </cell>
          <cell r="K31">
            <v>358</v>
          </cell>
          <cell r="L31">
            <v>42</v>
          </cell>
          <cell r="O31">
            <v>504</v>
          </cell>
          <cell r="P31">
            <v>0</v>
          </cell>
          <cell r="Q31">
            <v>80</v>
          </cell>
          <cell r="R31">
            <v>519</v>
          </cell>
          <cell r="S31">
            <v>504</v>
          </cell>
          <cell r="V31">
            <v>13.8125</v>
          </cell>
          <cell r="W31">
            <v>7.5125000000000002</v>
          </cell>
          <cell r="X31">
            <v>62.4</v>
          </cell>
          <cell r="Y31">
            <v>38.4</v>
          </cell>
          <cell r="Z31">
            <v>48.4</v>
          </cell>
          <cell r="AA31">
            <v>47.4</v>
          </cell>
          <cell r="AB31">
            <v>42.6</v>
          </cell>
          <cell r="AC31">
            <v>62</v>
          </cell>
          <cell r="AE31">
            <v>129.75</v>
          </cell>
          <cell r="AF31">
            <v>12</v>
          </cell>
          <cell r="AG31">
            <v>42</v>
          </cell>
          <cell r="AH31">
            <v>126</v>
          </cell>
          <cell r="AI31">
            <v>14</v>
          </cell>
          <cell r="AJ31">
            <v>70</v>
          </cell>
        </row>
        <row r="32">
          <cell r="A32" t="str">
            <v>Наггетсы с индейкой 0,25кг ТМ Вязанка ТС Няняггетсы Сливушки НД2 замор.  ПОКОМ</v>
          </cell>
          <cell r="B32" t="str">
            <v>шт</v>
          </cell>
          <cell r="C32">
            <v>-1</v>
          </cell>
          <cell r="F32">
            <v>-1</v>
          </cell>
          <cell r="G32">
            <v>0</v>
          </cell>
          <cell r="I32" t="str">
            <v>дубль</v>
          </cell>
          <cell r="J32" t="str">
            <v>Наггетсы с индейкой 0,25кг ТМ Вязанка ТС Из печи Сливушки ПОКОМ</v>
          </cell>
          <cell r="L32">
            <v>0</v>
          </cell>
          <cell r="Q32">
            <v>0</v>
          </cell>
          <cell r="V32" t="e">
            <v>#DIV/0!</v>
          </cell>
          <cell r="W32" t="e">
            <v>#DIV/0!</v>
          </cell>
          <cell r="X32">
            <v>0.2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</row>
        <row r="33">
          <cell r="A33" t="str">
            <v>Наггетсы с куриным филе и сыром ТМ Вязанка ТС Из печи Сливушки 0,25 кг.  Поком</v>
          </cell>
          <cell r="B33" t="str">
            <v>шт</v>
          </cell>
          <cell r="C33">
            <v>164</v>
          </cell>
          <cell r="D33">
            <v>6</v>
          </cell>
          <cell r="E33">
            <v>193</v>
          </cell>
          <cell r="F33">
            <v>-8</v>
          </cell>
          <cell r="G33">
            <v>0.25</v>
          </cell>
          <cell r="H33">
            <v>180</v>
          </cell>
          <cell r="I33" t="str">
            <v>P004535</v>
          </cell>
          <cell r="K33">
            <v>178</v>
          </cell>
          <cell r="L33">
            <v>15</v>
          </cell>
          <cell r="O33">
            <v>336</v>
          </cell>
          <cell r="P33">
            <v>336</v>
          </cell>
          <cell r="Q33">
            <v>38.6</v>
          </cell>
          <cell r="S33">
            <v>0</v>
          </cell>
          <cell r="V33">
            <v>17.202072538860104</v>
          </cell>
          <cell r="W33">
            <v>17.202072538860104</v>
          </cell>
          <cell r="X33">
            <v>41.8</v>
          </cell>
          <cell r="Y33">
            <v>52.6</v>
          </cell>
          <cell r="Z33">
            <v>34.4</v>
          </cell>
          <cell r="AA33">
            <v>49.4</v>
          </cell>
          <cell r="AB33">
            <v>31.4</v>
          </cell>
          <cell r="AC33">
            <v>44.8</v>
          </cell>
          <cell r="AE33">
            <v>0</v>
          </cell>
          <cell r="AF33">
            <v>12</v>
          </cell>
          <cell r="AG33">
            <v>0</v>
          </cell>
          <cell r="AH33">
            <v>0</v>
          </cell>
          <cell r="AI33">
            <v>14</v>
          </cell>
          <cell r="AJ33">
            <v>70</v>
          </cell>
        </row>
        <row r="34">
          <cell r="A34" t="str">
            <v>Пекерсы с индейкой в сливочном соусе ТМ Горячая штучка 0,25 кг зам  ПОКОМ</v>
          </cell>
          <cell r="B34" t="str">
            <v>шт</v>
          </cell>
          <cell r="C34">
            <v>-4</v>
          </cell>
          <cell r="F34">
            <v>-4</v>
          </cell>
          <cell r="G34">
            <v>0.25</v>
          </cell>
          <cell r="H34">
            <v>180</v>
          </cell>
          <cell r="I34" t="str">
            <v>P004594</v>
          </cell>
          <cell r="K34">
            <v>13</v>
          </cell>
          <cell r="L34">
            <v>-13</v>
          </cell>
          <cell r="O34">
            <v>336</v>
          </cell>
          <cell r="P34">
            <v>0</v>
          </cell>
          <cell r="Q34">
            <v>0</v>
          </cell>
          <cell r="S34">
            <v>0</v>
          </cell>
          <cell r="V34" t="e">
            <v>#DIV/0!</v>
          </cell>
          <cell r="W34" t="e">
            <v>#DIV/0!</v>
          </cell>
          <cell r="X34">
            <v>4.4000000000000004</v>
          </cell>
          <cell r="Y34">
            <v>17.600000000000001</v>
          </cell>
          <cell r="Z34">
            <v>10.4</v>
          </cell>
          <cell r="AA34">
            <v>10.8</v>
          </cell>
          <cell r="AB34">
            <v>11.2</v>
          </cell>
          <cell r="AC34">
            <v>13.6</v>
          </cell>
          <cell r="AE34">
            <v>0</v>
          </cell>
          <cell r="AF34">
            <v>12</v>
          </cell>
          <cell r="AG34">
            <v>0</v>
          </cell>
          <cell r="AH34">
            <v>0</v>
          </cell>
          <cell r="AI34">
            <v>14</v>
          </cell>
          <cell r="AJ34">
            <v>70</v>
          </cell>
        </row>
        <row r="35">
          <cell r="A35" t="str">
            <v>Пельмени Grandmeni с говядиной ТМ Горячаяштучка флоу-пак сфера 0,7 кг.  Поком</v>
          </cell>
          <cell r="B35" t="str">
            <v>шт</v>
          </cell>
          <cell r="C35">
            <v>65</v>
          </cell>
          <cell r="E35">
            <v>65</v>
          </cell>
          <cell r="F35">
            <v>25</v>
          </cell>
          <cell r="G35">
            <v>0.7</v>
          </cell>
          <cell r="H35">
            <v>180</v>
          </cell>
          <cell r="I35" t="str">
            <v>P004887</v>
          </cell>
          <cell r="K35">
            <v>40</v>
          </cell>
          <cell r="L35">
            <v>25</v>
          </cell>
          <cell r="O35">
            <v>192</v>
          </cell>
          <cell r="P35">
            <v>96</v>
          </cell>
          <cell r="Q35">
            <v>13</v>
          </cell>
          <cell r="S35">
            <v>0</v>
          </cell>
          <cell r="V35">
            <v>24.076923076923077</v>
          </cell>
          <cell r="W35">
            <v>24.076923076923077</v>
          </cell>
          <cell r="X35">
            <v>17.2</v>
          </cell>
          <cell r="Y35">
            <v>16.600000000000001</v>
          </cell>
          <cell r="Z35">
            <v>11.6</v>
          </cell>
          <cell r="AA35">
            <v>14</v>
          </cell>
          <cell r="AB35">
            <v>15.4</v>
          </cell>
          <cell r="AC35">
            <v>18.600000000000001</v>
          </cell>
          <cell r="AE35">
            <v>0</v>
          </cell>
          <cell r="AF35">
            <v>8</v>
          </cell>
          <cell r="AG35">
            <v>0</v>
          </cell>
          <cell r="AH35">
            <v>0</v>
          </cell>
          <cell r="AI35">
            <v>12</v>
          </cell>
          <cell r="AJ35">
            <v>84</v>
          </cell>
        </row>
        <row r="36">
          <cell r="A36" t="str">
            <v>Пельмени Grandmeni с говядиной и свининой ТМ Горячаяштучка флоу-па классическая форма 0,7 кг.  Поком</v>
          </cell>
          <cell r="B36" t="str">
            <v>шт</v>
          </cell>
          <cell r="C36">
            <v>155</v>
          </cell>
          <cell r="D36">
            <v>3</v>
          </cell>
          <cell r="E36">
            <v>110</v>
          </cell>
          <cell r="F36">
            <v>60</v>
          </cell>
          <cell r="G36">
            <v>0.7</v>
          </cell>
          <cell r="H36">
            <v>180</v>
          </cell>
          <cell r="I36" t="str">
            <v>P004889</v>
          </cell>
          <cell r="K36">
            <v>98</v>
          </cell>
          <cell r="L36">
            <v>12</v>
          </cell>
          <cell r="O36">
            <v>192</v>
          </cell>
          <cell r="P36">
            <v>96</v>
          </cell>
          <cell r="Q36">
            <v>22</v>
          </cell>
          <cell r="S36">
            <v>0</v>
          </cell>
          <cell r="V36">
            <v>15.818181818181818</v>
          </cell>
          <cell r="W36">
            <v>15.818181818181818</v>
          </cell>
          <cell r="X36">
            <v>8.4</v>
          </cell>
          <cell r="Y36">
            <v>18.399999999999999</v>
          </cell>
          <cell r="Z36">
            <v>19</v>
          </cell>
          <cell r="AA36">
            <v>5.6</v>
          </cell>
          <cell r="AB36">
            <v>14</v>
          </cell>
          <cell r="AC36">
            <v>19.600000000000001</v>
          </cell>
          <cell r="AE36">
            <v>0</v>
          </cell>
          <cell r="AF36">
            <v>8</v>
          </cell>
          <cell r="AG36">
            <v>0</v>
          </cell>
          <cell r="AH36">
            <v>0</v>
          </cell>
          <cell r="AI36">
            <v>12</v>
          </cell>
          <cell r="AJ36">
            <v>84</v>
          </cell>
        </row>
        <row r="37">
          <cell r="A37" t="str">
            <v>Пельмени Grandmeni со сливочным маслом  ТМ Горячая штучка флоу-пак сфера 0,7 кг.  Поком</v>
          </cell>
          <cell r="B37" t="str">
            <v>шт</v>
          </cell>
          <cell r="C37">
            <v>159</v>
          </cell>
          <cell r="E37">
            <v>106</v>
          </cell>
          <cell r="F37">
            <v>56</v>
          </cell>
          <cell r="G37">
            <v>0.7</v>
          </cell>
          <cell r="H37">
            <v>180</v>
          </cell>
          <cell r="I37" t="str">
            <v>P004888</v>
          </cell>
          <cell r="K37">
            <v>103</v>
          </cell>
          <cell r="L37">
            <v>3</v>
          </cell>
          <cell r="O37">
            <v>96</v>
          </cell>
          <cell r="P37">
            <v>96</v>
          </cell>
          <cell r="Q37">
            <v>21.2</v>
          </cell>
          <cell r="R37">
            <v>48.800000000000011</v>
          </cell>
          <cell r="S37">
            <v>96</v>
          </cell>
          <cell r="V37">
            <v>16.226415094339622</v>
          </cell>
          <cell r="W37">
            <v>11.69811320754717</v>
          </cell>
          <cell r="X37">
            <v>17</v>
          </cell>
          <cell r="Y37">
            <v>18.399999999999999</v>
          </cell>
          <cell r="Z37">
            <v>15.2</v>
          </cell>
          <cell r="AA37">
            <v>22.4</v>
          </cell>
          <cell r="AB37">
            <v>18.600000000000001</v>
          </cell>
          <cell r="AC37">
            <v>17.600000000000001</v>
          </cell>
          <cell r="AE37">
            <v>34.160000000000004</v>
          </cell>
          <cell r="AF37">
            <v>8</v>
          </cell>
          <cell r="AG37">
            <v>12</v>
          </cell>
          <cell r="AH37">
            <v>67.199999999999989</v>
          </cell>
          <cell r="AI37">
            <v>12</v>
          </cell>
          <cell r="AJ37">
            <v>84</v>
          </cell>
        </row>
        <row r="38">
          <cell r="A38" t="str">
            <v>Пельмени Бигбули #МЕГАВКУСИЩЕ с сочной грудинкой  ТМ Горячая штучка  флоу-пак сфера 0,7 кг.  Поком</v>
          </cell>
          <cell r="B38" t="str">
            <v>шт</v>
          </cell>
          <cell r="C38">
            <v>546</v>
          </cell>
          <cell r="E38">
            <v>332</v>
          </cell>
          <cell r="F38">
            <v>290</v>
          </cell>
          <cell r="G38">
            <v>0.7</v>
          </cell>
          <cell r="H38">
            <v>180</v>
          </cell>
          <cell r="I38" t="str">
            <v>P004440</v>
          </cell>
          <cell r="K38">
            <v>274</v>
          </cell>
          <cell r="L38">
            <v>58</v>
          </cell>
          <cell r="O38">
            <v>120</v>
          </cell>
          <cell r="P38">
            <v>360</v>
          </cell>
          <cell r="Q38">
            <v>66.400000000000006</v>
          </cell>
          <cell r="R38">
            <v>159.60000000000014</v>
          </cell>
          <cell r="S38">
            <v>120</v>
          </cell>
          <cell r="V38">
            <v>13.403614457831324</v>
          </cell>
          <cell r="W38">
            <v>11.596385542168674</v>
          </cell>
          <cell r="X38">
            <v>55.6</v>
          </cell>
          <cell r="Y38">
            <v>27</v>
          </cell>
          <cell r="Z38">
            <v>23.8</v>
          </cell>
          <cell r="AA38">
            <v>34.6</v>
          </cell>
          <cell r="AB38">
            <v>29.8</v>
          </cell>
          <cell r="AC38">
            <v>35.6</v>
          </cell>
          <cell r="AE38">
            <v>111.72000000000008</v>
          </cell>
          <cell r="AF38">
            <v>10</v>
          </cell>
          <cell r="AG38">
            <v>12</v>
          </cell>
          <cell r="AH38">
            <v>84</v>
          </cell>
          <cell r="AI38">
            <v>12</v>
          </cell>
          <cell r="AJ38">
            <v>84</v>
          </cell>
        </row>
        <row r="39">
          <cell r="A39" t="str">
            <v>Пельмени Бигбули с мясом ТМ Горячая штучка БУЛЬМЕНИ ТС Бигбули ГШ  флоу-пак сфера 0,7.   Поком</v>
          </cell>
          <cell r="B39" t="str">
            <v>шт</v>
          </cell>
          <cell r="C39">
            <v>56</v>
          </cell>
          <cell r="D39">
            <v>3</v>
          </cell>
          <cell r="E39">
            <v>75</v>
          </cell>
          <cell r="F39">
            <v>-1</v>
          </cell>
          <cell r="G39">
            <v>0.7</v>
          </cell>
          <cell r="H39">
            <v>180</v>
          </cell>
          <cell r="I39" t="str">
            <v>P004442</v>
          </cell>
          <cell r="K39">
            <v>60</v>
          </cell>
          <cell r="L39">
            <v>15</v>
          </cell>
          <cell r="O39">
            <v>360</v>
          </cell>
          <cell r="P39">
            <v>0</v>
          </cell>
          <cell r="Q39">
            <v>15</v>
          </cell>
          <cell r="S39">
            <v>0</v>
          </cell>
          <cell r="V39">
            <v>23.933333333333334</v>
          </cell>
          <cell r="W39">
            <v>23.933333333333334</v>
          </cell>
          <cell r="X39">
            <v>10.8</v>
          </cell>
          <cell r="Y39">
            <v>24</v>
          </cell>
          <cell r="Z39">
            <v>23.8</v>
          </cell>
          <cell r="AA39">
            <v>24.6</v>
          </cell>
          <cell r="AB39">
            <v>31.4</v>
          </cell>
          <cell r="AC39">
            <v>31.2</v>
          </cell>
          <cell r="AE39">
            <v>0</v>
          </cell>
          <cell r="AF39">
            <v>10</v>
          </cell>
          <cell r="AG39">
            <v>0</v>
          </cell>
          <cell r="AH39">
            <v>0</v>
          </cell>
          <cell r="AI39">
            <v>12</v>
          </cell>
          <cell r="AJ39">
            <v>84</v>
          </cell>
        </row>
        <row r="40">
          <cell r="A40" t="str">
            <v>Пельмени Бигбули со сливочным маслом  ТС Бигбули ГШ#МЕГАМАСЛИЩЕ флоу-пак сфера 0,7.  Поком</v>
          </cell>
          <cell r="B40" t="str">
            <v>шт</v>
          </cell>
          <cell r="C40">
            <v>55</v>
          </cell>
          <cell r="D40">
            <v>4</v>
          </cell>
          <cell r="E40">
            <v>66</v>
          </cell>
          <cell r="F40">
            <v>8</v>
          </cell>
          <cell r="G40">
            <v>0.7</v>
          </cell>
          <cell r="H40">
            <v>180</v>
          </cell>
          <cell r="I40" t="str">
            <v>P004203</v>
          </cell>
          <cell r="K40">
            <v>156</v>
          </cell>
          <cell r="L40">
            <v>-90</v>
          </cell>
          <cell r="O40">
            <v>600</v>
          </cell>
          <cell r="P40">
            <v>0</v>
          </cell>
          <cell r="Q40">
            <v>13.2</v>
          </cell>
          <cell r="S40">
            <v>0</v>
          </cell>
          <cell r="V40">
            <v>46.060606060606062</v>
          </cell>
          <cell r="W40">
            <v>46.060606060606062</v>
          </cell>
          <cell r="X40">
            <v>37.4</v>
          </cell>
          <cell r="Y40">
            <v>64.8</v>
          </cell>
          <cell r="Z40">
            <v>45</v>
          </cell>
          <cell r="AA40">
            <v>42.2</v>
          </cell>
          <cell r="AB40">
            <v>59.6</v>
          </cell>
          <cell r="AC40">
            <v>50</v>
          </cell>
          <cell r="AE40">
            <v>0</v>
          </cell>
          <cell r="AF40">
            <v>10</v>
          </cell>
          <cell r="AG40">
            <v>0</v>
          </cell>
          <cell r="AH40">
            <v>0</v>
          </cell>
          <cell r="AI40">
            <v>12</v>
          </cell>
          <cell r="AJ40">
            <v>84</v>
          </cell>
        </row>
        <row r="41">
          <cell r="A41" t="str">
            <v>Пельмени Бульмени мини с мясом и оливковым маслом  ТС Бульмени ГШ флоу-пак сфера 0,7кг  Поком</v>
          </cell>
          <cell r="B41" t="str">
            <v>шт</v>
          </cell>
          <cell r="C41">
            <v>346</v>
          </cell>
          <cell r="E41">
            <v>165</v>
          </cell>
          <cell r="F41">
            <v>187</v>
          </cell>
          <cell r="G41">
            <v>0.7</v>
          </cell>
          <cell r="H41">
            <v>180</v>
          </cell>
          <cell r="I41" t="str">
            <v>P004819</v>
          </cell>
          <cell r="K41">
            <v>259</v>
          </cell>
          <cell r="L41">
            <v>-94</v>
          </cell>
          <cell r="O41">
            <v>0</v>
          </cell>
          <cell r="P41">
            <v>120</v>
          </cell>
          <cell r="Q41">
            <v>33</v>
          </cell>
          <cell r="R41">
            <v>155</v>
          </cell>
          <cell r="S41">
            <v>120</v>
          </cell>
          <cell r="V41">
            <v>12.939393939393939</v>
          </cell>
          <cell r="W41">
            <v>9.3030303030303028</v>
          </cell>
          <cell r="X41">
            <v>18.8</v>
          </cell>
          <cell r="Y41">
            <v>15.4</v>
          </cell>
          <cell r="Z41">
            <v>18.8</v>
          </cell>
          <cell r="AA41">
            <v>27.4</v>
          </cell>
          <cell r="AB41">
            <v>12</v>
          </cell>
          <cell r="AC41">
            <v>12.4</v>
          </cell>
          <cell r="AE41">
            <v>108.5</v>
          </cell>
          <cell r="AF41">
            <v>10</v>
          </cell>
          <cell r="AG41">
            <v>12</v>
          </cell>
          <cell r="AH41">
            <v>84</v>
          </cell>
          <cell r="AI41">
            <v>12</v>
          </cell>
          <cell r="AJ41">
            <v>84</v>
          </cell>
        </row>
        <row r="42">
          <cell r="A42" t="str">
            <v>Пельмени Бульмени с говядиной и свининой Наваристые Горячая штучка ВЕС  ПОКОМ</v>
          </cell>
          <cell r="B42" t="str">
            <v>кг</v>
          </cell>
          <cell r="C42">
            <v>455</v>
          </cell>
          <cell r="D42">
            <v>15</v>
          </cell>
          <cell r="E42">
            <v>350</v>
          </cell>
          <cell r="F42">
            <v>100</v>
          </cell>
          <cell r="G42">
            <v>1</v>
          </cell>
          <cell r="H42">
            <v>180</v>
          </cell>
          <cell r="I42" t="str">
            <v>P003697</v>
          </cell>
          <cell r="K42">
            <v>350</v>
          </cell>
          <cell r="L42">
            <v>0</v>
          </cell>
          <cell r="O42">
            <v>0</v>
          </cell>
          <cell r="P42">
            <v>660</v>
          </cell>
          <cell r="Q42">
            <v>70</v>
          </cell>
          <cell r="R42">
            <v>220</v>
          </cell>
          <cell r="S42">
            <v>240</v>
          </cell>
          <cell r="V42">
            <v>14.285714285714286</v>
          </cell>
          <cell r="W42">
            <v>10.857142857142858</v>
          </cell>
          <cell r="X42">
            <v>84</v>
          </cell>
          <cell r="Y42">
            <v>62</v>
          </cell>
          <cell r="Z42">
            <v>77</v>
          </cell>
          <cell r="AA42">
            <v>89</v>
          </cell>
          <cell r="AB42">
            <v>77</v>
          </cell>
          <cell r="AC42">
            <v>73</v>
          </cell>
          <cell r="AE42">
            <v>220</v>
          </cell>
          <cell r="AF42">
            <v>5</v>
          </cell>
          <cell r="AG42">
            <v>48</v>
          </cell>
          <cell r="AH42">
            <v>240</v>
          </cell>
          <cell r="AI42">
            <v>12</v>
          </cell>
          <cell r="AJ42">
            <v>144</v>
          </cell>
        </row>
        <row r="43">
          <cell r="A43" t="str">
            <v>Пельмени Бульмени с говядиной и свининой ТМ Горячая штучка  флоу-пак сфера 0,4 кг  Поком</v>
          </cell>
          <cell r="B43" t="str">
            <v>шт</v>
          </cell>
          <cell r="C43">
            <v>1113</v>
          </cell>
          <cell r="E43">
            <v>209</v>
          </cell>
          <cell r="F43">
            <v>894</v>
          </cell>
          <cell r="G43">
            <v>0.4</v>
          </cell>
          <cell r="H43">
            <v>180</v>
          </cell>
          <cell r="I43" t="str">
            <v>P004474</v>
          </cell>
          <cell r="K43">
            <v>214</v>
          </cell>
          <cell r="L43">
            <v>-5</v>
          </cell>
          <cell r="O43">
            <v>0</v>
          </cell>
          <cell r="P43">
            <v>0</v>
          </cell>
          <cell r="Q43">
            <v>41.8</v>
          </cell>
          <cell r="S43">
            <v>0</v>
          </cell>
          <cell r="V43">
            <v>21.387559808612441</v>
          </cell>
          <cell r="W43">
            <v>21.387559808612441</v>
          </cell>
          <cell r="X43">
            <v>51</v>
          </cell>
          <cell r="Y43">
            <v>41</v>
          </cell>
          <cell r="Z43">
            <v>0</v>
          </cell>
          <cell r="AA43">
            <v>63.8</v>
          </cell>
          <cell r="AB43">
            <v>19.600000000000001</v>
          </cell>
          <cell r="AC43">
            <v>52.8</v>
          </cell>
          <cell r="AE43">
            <v>0</v>
          </cell>
          <cell r="AF43">
            <v>16</v>
          </cell>
          <cell r="AG43">
            <v>0</v>
          </cell>
          <cell r="AH43">
            <v>0</v>
          </cell>
          <cell r="AI43">
            <v>12</v>
          </cell>
          <cell r="AJ43">
            <v>84</v>
          </cell>
        </row>
        <row r="44">
          <cell r="A44" t="str">
            <v>Пельмени Бульмени с говядиной и свининой ТМ Горячая штучка БУЛЬМЕНИ  флоу-пак сфера 0,7 кг.  Поком</v>
          </cell>
          <cell r="B44" t="str">
            <v>шт</v>
          </cell>
          <cell r="C44">
            <v>1247</v>
          </cell>
          <cell r="D44">
            <v>20</v>
          </cell>
          <cell r="E44">
            <v>463</v>
          </cell>
          <cell r="F44">
            <v>794</v>
          </cell>
          <cell r="G44">
            <v>0.7</v>
          </cell>
          <cell r="H44">
            <v>180</v>
          </cell>
          <cell r="I44" t="str">
            <v>P004345</v>
          </cell>
          <cell r="K44">
            <v>466</v>
          </cell>
          <cell r="L44">
            <v>-3</v>
          </cell>
          <cell r="O44">
            <v>0</v>
          </cell>
          <cell r="P44">
            <v>720</v>
          </cell>
          <cell r="Q44">
            <v>92.6</v>
          </cell>
          <cell r="S44">
            <v>0</v>
          </cell>
          <cell r="V44">
            <v>16.349892008639308</v>
          </cell>
          <cell r="W44">
            <v>16.349892008639308</v>
          </cell>
          <cell r="X44">
            <v>136.80000000000001</v>
          </cell>
          <cell r="Y44">
            <v>79</v>
          </cell>
          <cell r="Z44">
            <v>89.8</v>
          </cell>
          <cell r="AA44">
            <v>129.6</v>
          </cell>
          <cell r="AB44">
            <v>82.8</v>
          </cell>
          <cell r="AC44">
            <v>110.8</v>
          </cell>
          <cell r="AD44" t="str">
            <v>Мера</v>
          </cell>
          <cell r="AE44">
            <v>0</v>
          </cell>
          <cell r="AF44">
            <v>10</v>
          </cell>
          <cell r="AG44">
            <v>0</v>
          </cell>
          <cell r="AH44">
            <v>0</v>
          </cell>
          <cell r="AI44">
            <v>12</v>
          </cell>
          <cell r="AJ44">
            <v>84</v>
          </cell>
        </row>
        <row r="45">
          <cell r="A45" t="str">
            <v>Пельмени Бульмени со сливочным маслом ТМ Горячая штучка  флоу-пак сфера 0,4 кг .  Поком</v>
          </cell>
          <cell r="B45" t="str">
            <v>шт</v>
          </cell>
          <cell r="C45">
            <v>990</v>
          </cell>
          <cell r="D45">
            <v>15</v>
          </cell>
          <cell r="E45">
            <v>216</v>
          </cell>
          <cell r="F45">
            <v>757</v>
          </cell>
          <cell r="G45">
            <v>0.4</v>
          </cell>
          <cell r="H45">
            <v>180</v>
          </cell>
          <cell r="I45" t="str">
            <v>P004444</v>
          </cell>
          <cell r="K45">
            <v>244</v>
          </cell>
          <cell r="L45">
            <v>-28</v>
          </cell>
          <cell r="O45">
            <v>0</v>
          </cell>
          <cell r="P45">
            <v>0</v>
          </cell>
          <cell r="Q45">
            <v>43.2</v>
          </cell>
          <cell r="S45">
            <v>0</v>
          </cell>
          <cell r="V45">
            <v>17.523148148148145</v>
          </cell>
          <cell r="W45">
            <v>17.523148148148145</v>
          </cell>
          <cell r="X45">
            <v>53.2</v>
          </cell>
          <cell r="Y45">
            <v>53.8</v>
          </cell>
          <cell r="Z45">
            <v>51.6</v>
          </cell>
          <cell r="AA45">
            <v>75.599999999999994</v>
          </cell>
          <cell r="AB45">
            <v>52.6</v>
          </cell>
          <cell r="AC45">
            <v>50.4</v>
          </cell>
          <cell r="AE45">
            <v>0</v>
          </cell>
          <cell r="AF45">
            <v>16</v>
          </cell>
          <cell r="AG45">
            <v>0</v>
          </cell>
          <cell r="AH45">
            <v>0</v>
          </cell>
          <cell r="AI45">
            <v>12</v>
          </cell>
          <cell r="AJ45">
            <v>84</v>
          </cell>
        </row>
        <row r="46">
          <cell r="A46" t="str">
            <v>Пельмени Бульмени со сливочным маслом ТМ Горячая штучка флоу-пак сфера 0,7 кг .  Поком</v>
          </cell>
          <cell r="B46" t="str">
            <v>шт</v>
          </cell>
          <cell r="C46">
            <v>803</v>
          </cell>
          <cell r="D46">
            <v>18</v>
          </cell>
          <cell r="E46">
            <v>847</v>
          </cell>
          <cell r="F46">
            <v>67</v>
          </cell>
          <cell r="G46">
            <v>0.7</v>
          </cell>
          <cell r="H46">
            <v>180</v>
          </cell>
          <cell r="I46" t="str">
            <v>P004346</v>
          </cell>
          <cell r="K46">
            <v>728</v>
          </cell>
          <cell r="L46">
            <v>119</v>
          </cell>
          <cell r="O46">
            <v>720</v>
          </cell>
          <cell r="P46">
            <v>960</v>
          </cell>
          <cell r="Q46">
            <v>169.4</v>
          </cell>
          <cell r="R46">
            <v>624.59999999999991</v>
          </cell>
          <cell r="S46">
            <v>600</v>
          </cell>
          <cell r="V46">
            <v>13.85478158205431</v>
          </cell>
          <cell r="W46">
            <v>10.312868949232586</v>
          </cell>
          <cell r="X46">
            <v>179.4</v>
          </cell>
          <cell r="Y46">
            <v>161.80000000000001</v>
          </cell>
          <cell r="Z46">
            <v>176.4</v>
          </cell>
          <cell r="AA46">
            <v>190.8</v>
          </cell>
          <cell r="AB46">
            <v>129.19999999999999</v>
          </cell>
          <cell r="AC46">
            <v>167</v>
          </cell>
          <cell r="AE46">
            <v>437.21999999999991</v>
          </cell>
          <cell r="AF46">
            <v>10</v>
          </cell>
          <cell r="AG46">
            <v>60</v>
          </cell>
          <cell r="AH46">
            <v>420</v>
          </cell>
          <cell r="AI46">
            <v>12</v>
          </cell>
          <cell r="AJ46">
            <v>84</v>
          </cell>
        </row>
        <row r="47">
          <cell r="A47" t="str">
            <v>Пельмени Домашние со сливочным маслом ТМ Зареченские  продукты флоу-пак сфера 0,7 кг.  Поком</v>
          </cell>
          <cell r="B47" t="str">
            <v>шт</v>
          </cell>
          <cell r="C47">
            <v>370</v>
          </cell>
          <cell r="D47">
            <v>6</v>
          </cell>
          <cell r="E47">
            <v>325</v>
          </cell>
          <cell r="F47">
            <v>85</v>
          </cell>
          <cell r="G47">
            <v>0.7</v>
          </cell>
          <cell r="H47">
            <v>180</v>
          </cell>
          <cell r="I47" t="str">
            <v>P004060</v>
          </cell>
          <cell r="K47">
            <v>291</v>
          </cell>
          <cell r="L47">
            <v>34</v>
          </cell>
          <cell r="O47">
            <v>360</v>
          </cell>
          <cell r="P47">
            <v>240</v>
          </cell>
          <cell r="Q47">
            <v>65</v>
          </cell>
          <cell r="R47">
            <v>225</v>
          </cell>
          <cell r="S47">
            <v>240</v>
          </cell>
          <cell r="V47">
            <v>14.23076923076923</v>
          </cell>
          <cell r="W47">
            <v>10.538461538461538</v>
          </cell>
          <cell r="X47">
            <v>31.4</v>
          </cell>
          <cell r="Y47">
            <v>62.6</v>
          </cell>
          <cell r="Z47">
            <v>49.6</v>
          </cell>
          <cell r="AA47">
            <v>37.799999999999997</v>
          </cell>
          <cell r="AB47">
            <v>67.8</v>
          </cell>
          <cell r="AC47">
            <v>108.8</v>
          </cell>
          <cell r="AE47">
            <v>157.5</v>
          </cell>
          <cell r="AF47">
            <v>10</v>
          </cell>
          <cell r="AG47">
            <v>24</v>
          </cell>
          <cell r="AH47">
            <v>168</v>
          </cell>
          <cell r="AI47">
            <v>12</v>
          </cell>
          <cell r="AJ47">
            <v>84</v>
          </cell>
        </row>
        <row r="48">
          <cell r="A48" t="str">
            <v>Пельмени Мясные с говядиной ТМ Стародворье сфера флоу-пак 1 кг  ПОКОМ</v>
          </cell>
          <cell r="B48" t="str">
            <v>шт</v>
          </cell>
          <cell r="C48">
            <v>3</v>
          </cell>
          <cell r="E48">
            <v>17</v>
          </cell>
          <cell r="F48">
            <v>3</v>
          </cell>
          <cell r="G48">
            <v>1</v>
          </cell>
          <cell r="H48">
            <v>180</v>
          </cell>
          <cell r="I48" t="str">
            <v>P005048</v>
          </cell>
          <cell r="K48">
            <v>94</v>
          </cell>
          <cell r="L48">
            <v>-77</v>
          </cell>
          <cell r="O48">
            <v>720</v>
          </cell>
          <cell r="P48">
            <v>180</v>
          </cell>
          <cell r="Q48">
            <v>3.4</v>
          </cell>
          <cell r="S48">
            <v>0</v>
          </cell>
          <cell r="V48">
            <v>265.58823529411768</v>
          </cell>
          <cell r="W48">
            <v>265.58823529411768</v>
          </cell>
          <cell r="X48">
            <v>37.6</v>
          </cell>
          <cell r="Y48">
            <v>65.2</v>
          </cell>
          <cell r="Z48">
            <v>31.2</v>
          </cell>
          <cell r="AA48">
            <v>38.799999999999997</v>
          </cell>
          <cell r="AB48">
            <v>30.8</v>
          </cell>
          <cell r="AC48">
            <v>42</v>
          </cell>
          <cell r="AE48">
            <v>0</v>
          </cell>
          <cell r="AF48">
            <v>5</v>
          </cell>
          <cell r="AG48">
            <v>0</v>
          </cell>
          <cell r="AH48">
            <v>0</v>
          </cell>
          <cell r="AI48">
            <v>12</v>
          </cell>
          <cell r="AJ48">
            <v>84</v>
          </cell>
        </row>
        <row r="49">
          <cell r="A49" t="str">
            <v>Пельмени Отборные из свинины и говядины 0,9 кг ТМ Стародворье ТС Медвежье ушко  ПОКОМ</v>
          </cell>
          <cell r="B49" t="str">
            <v>шт</v>
          </cell>
          <cell r="C49">
            <v>32</v>
          </cell>
          <cell r="D49">
            <v>1</v>
          </cell>
          <cell r="E49">
            <v>41</v>
          </cell>
          <cell r="F49">
            <v>1</v>
          </cell>
          <cell r="G49">
            <v>0.9</v>
          </cell>
          <cell r="H49">
            <v>180</v>
          </cell>
          <cell r="I49" t="str">
            <v>P005107</v>
          </cell>
          <cell r="K49">
            <v>46</v>
          </cell>
          <cell r="L49">
            <v>-5</v>
          </cell>
          <cell r="O49">
            <v>288</v>
          </cell>
          <cell r="P49">
            <v>288</v>
          </cell>
          <cell r="Q49">
            <v>8.1999999999999993</v>
          </cell>
          <cell r="S49">
            <v>0</v>
          </cell>
          <cell r="V49">
            <v>70.365853658536594</v>
          </cell>
          <cell r="W49">
            <v>70.365853658536594</v>
          </cell>
          <cell r="X49">
            <v>33.4</v>
          </cell>
          <cell r="Y49">
            <v>21.2</v>
          </cell>
          <cell r="Z49">
            <v>22.6</v>
          </cell>
          <cell r="AA49">
            <v>19</v>
          </cell>
          <cell r="AB49">
            <v>23</v>
          </cell>
          <cell r="AC49">
            <v>12.2</v>
          </cell>
          <cell r="AE49">
            <v>0</v>
          </cell>
          <cell r="AF49">
            <v>8</v>
          </cell>
          <cell r="AG49">
            <v>0</v>
          </cell>
          <cell r="AH49">
            <v>0</v>
          </cell>
          <cell r="AI49">
            <v>12</v>
          </cell>
          <cell r="AJ49">
            <v>84</v>
          </cell>
        </row>
        <row r="50">
          <cell r="A50" t="str">
            <v>Пельмени Отборные с говядиной 0,9 кг НОВА ТМ Стародворье ТС Медвежье ушко  ПОКОМ</v>
          </cell>
          <cell r="B50" t="str">
            <v>шт</v>
          </cell>
          <cell r="C50">
            <v>28</v>
          </cell>
          <cell r="E50">
            <v>31</v>
          </cell>
          <cell r="F50">
            <v>-1</v>
          </cell>
          <cell r="G50">
            <v>0.9</v>
          </cell>
          <cell r="H50">
            <v>180</v>
          </cell>
          <cell r="I50" t="str">
            <v>P005105</v>
          </cell>
          <cell r="K50">
            <v>36</v>
          </cell>
          <cell r="L50">
            <v>-5</v>
          </cell>
          <cell r="O50">
            <v>288</v>
          </cell>
          <cell r="P50">
            <v>192</v>
          </cell>
          <cell r="Q50">
            <v>6.2</v>
          </cell>
          <cell r="S50">
            <v>0</v>
          </cell>
          <cell r="V50">
            <v>77.258064516129025</v>
          </cell>
          <cell r="W50">
            <v>77.258064516129025</v>
          </cell>
          <cell r="X50">
            <v>13.6</v>
          </cell>
          <cell r="Y50">
            <v>13.6</v>
          </cell>
          <cell r="Z50">
            <v>5.8</v>
          </cell>
          <cell r="AA50">
            <v>16</v>
          </cell>
          <cell r="AB50">
            <v>12</v>
          </cell>
          <cell r="AC50">
            <v>11.8</v>
          </cell>
          <cell r="AE50">
            <v>0</v>
          </cell>
          <cell r="AF50">
            <v>8</v>
          </cell>
          <cell r="AG50">
            <v>0</v>
          </cell>
          <cell r="AH50">
            <v>0</v>
          </cell>
          <cell r="AI50">
            <v>12</v>
          </cell>
          <cell r="AJ50">
            <v>84</v>
          </cell>
        </row>
        <row r="51">
          <cell r="A51" t="str">
            <v>Пельмени С говядиной и свининой, ВЕС, ТМ Славница сфера пуговки  ПОКОМ</v>
          </cell>
          <cell r="B51" t="str">
            <v>кг</v>
          </cell>
          <cell r="C51">
            <v>950</v>
          </cell>
          <cell r="D51">
            <v>25</v>
          </cell>
          <cell r="E51">
            <v>600</v>
          </cell>
          <cell r="F51">
            <v>365</v>
          </cell>
          <cell r="G51">
            <v>1</v>
          </cell>
          <cell r="H51">
            <v>180</v>
          </cell>
          <cell r="I51" t="str">
            <v>P004472</v>
          </cell>
          <cell r="K51">
            <v>565</v>
          </cell>
          <cell r="L51">
            <v>35</v>
          </cell>
          <cell r="O51">
            <v>1020</v>
          </cell>
          <cell r="P51">
            <v>180</v>
          </cell>
          <cell r="Q51">
            <v>120</v>
          </cell>
          <cell r="R51">
            <v>115</v>
          </cell>
          <cell r="S51">
            <v>120</v>
          </cell>
          <cell r="V51">
            <v>14.041666666666666</v>
          </cell>
          <cell r="W51">
            <v>13.041666666666666</v>
          </cell>
          <cell r="X51">
            <v>88</v>
          </cell>
          <cell r="Y51">
            <v>53</v>
          </cell>
          <cell r="Z51">
            <v>150</v>
          </cell>
          <cell r="AA51">
            <v>9</v>
          </cell>
          <cell r="AB51">
            <v>99</v>
          </cell>
          <cell r="AC51">
            <v>116</v>
          </cell>
          <cell r="AE51">
            <v>115</v>
          </cell>
          <cell r="AF51">
            <v>5</v>
          </cell>
          <cell r="AG51">
            <v>24</v>
          </cell>
          <cell r="AH51">
            <v>120</v>
          </cell>
          <cell r="AI51">
            <v>12</v>
          </cell>
          <cell r="AJ51">
            <v>144</v>
          </cell>
        </row>
        <row r="52">
          <cell r="A52" t="str">
            <v>Пельмени Со свининой и говядиной ТМ Особый рецепт Любимая ложка 1,0 кг  ПОКОМ</v>
          </cell>
          <cell r="B52" t="str">
            <v>шт</v>
          </cell>
          <cell r="C52">
            <v>326</v>
          </cell>
          <cell r="E52">
            <v>139</v>
          </cell>
          <cell r="F52">
            <v>188</v>
          </cell>
          <cell r="G52">
            <v>1</v>
          </cell>
          <cell r="H52">
            <v>180</v>
          </cell>
          <cell r="I52" t="str">
            <v>P004081</v>
          </cell>
          <cell r="K52">
            <v>138</v>
          </cell>
          <cell r="L52">
            <v>1</v>
          </cell>
          <cell r="O52">
            <v>0</v>
          </cell>
          <cell r="P52">
            <v>120</v>
          </cell>
          <cell r="Q52">
            <v>27.8</v>
          </cell>
          <cell r="R52">
            <v>81.199999999999989</v>
          </cell>
          <cell r="S52">
            <v>60</v>
          </cell>
          <cell r="V52">
            <v>13.237410071942445</v>
          </cell>
          <cell r="W52">
            <v>11.079136690647482</v>
          </cell>
          <cell r="X52">
            <v>27.2</v>
          </cell>
          <cell r="Y52">
            <v>31.4</v>
          </cell>
          <cell r="Z52">
            <v>41.2</v>
          </cell>
          <cell r="AA52">
            <v>33.200000000000003</v>
          </cell>
          <cell r="AB52">
            <v>35.4</v>
          </cell>
          <cell r="AC52">
            <v>26.6</v>
          </cell>
          <cell r="AE52">
            <v>81.199999999999989</v>
          </cell>
          <cell r="AF52">
            <v>5</v>
          </cell>
          <cell r="AG52">
            <v>12</v>
          </cell>
          <cell r="AH52">
            <v>60</v>
          </cell>
          <cell r="AI52">
            <v>12</v>
          </cell>
          <cell r="AJ52">
            <v>84</v>
          </cell>
        </row>
        <row r="53">
          <cell r="A53" t="str">
            <v>Пирожки с мясом 3,7кг ВЕС ТМ Зареченские  ПОКОМ</v>
          </cell>
          <cell r="B53" t="str">
            <v>кг</v>
          </cell>
          <cell r="C53">
            <v>26.6</v>
          </cell>
          <cell r="E53">
            <v>25.9</v>
          </cell>
          <cell r="F53">
            <v>0.69999999999999929</v>
          </cell>
          <cell r="G53">
            <v>1</v>
          </cell>
          <cell r="H53">
            <v>180</v>
          </cell>
          <cell r="I53" t="str">
            <v>P004359</v>
          </cell>
          <cell r="K53">
            <v>18.5</v>
          </cell>
          <cell r="L53">
            <v>7.3999999999999986</v>
          </cell>
          <cell r="O53">
            <v>0</v>
          </cell>
          <cell r="P53">
            <v>51.8</v>
          </cell>
          <cell r="Q53">
            <v>5.18</v>
          </cell>
          <cell r="R53">
            <v>30.38</v>
          </cell>
          <cell r="S53">
            <v>51.800000000000004</v>
          </cell>
          <cell r="V53">
            <v>20.135135135135137</v>
          </cell>
          <cell r="W53">
            <v>10.135135135135135</v>
          </cell>
          <cell r="X53">
            <v>5.18</v>
          </cell>
          <cell r="Y53">
            <v>0</v>
          </cell>
          <cell r="Z53">
            <v>0</v>
          </cell>
          <cell r="AA53">
            <v>1.48</v>
          </cell>
          <cell r="AB53">
            <v>5.2</v>
          </cell>
          <cell r="AC53">
            <v>2.2200000000000002</v>
          </cell>
          <cell r="AE53">
            <v>30.38</v>
          </cell>
          <cell r="AF53">
            <v>3.7</v>
          </cell>
          <cell r="AG53">
            <v>14</v>
          </cell>
          <cell r="AH53">
            <v>51.800000000000004</v>
          </cell>
          <cell r="AI53">
            <v>14</v>
          </cell>
          <cell r="AJ53">
            <v>126</v>
          </cell>
        </row>
        <row r="54">
          <cell r="A54" t="str">
            <v>Хотстеры Васаби-чили ТМ Горячая штучка ТС Хотстеры 0,23кг жареные ПОКОМ</v>
          </cell>
          <cell r="B54" t="str">
            <v>шт</v>
          </cell>
          <cell r="C54">
            <v>88</v>
          </cell>
          <cell r="E54">
            <v>95</v>
          </cell>
          <cell r="G54">
            <v>0.23</v>
          </cell>
          <cell r="H54">
            <v>180</v>
          </cell>
          <cell r="I54" t="str">
            <v>P005182</v>
          </cell>
          <cell r="K54">
            <v>111</v>
          </cell>
          <cell r="L54">
            <v>-16</v>
          </cell>
          <cell r="O54">
            <v>168</v>
          </cell>
          <cell r="P54">
            <v>420</v>
          </cell>
          <cell r="Q54">
            <v>19</v>
          </cell>
          <cell r="S54">
            <v>0</v>
          </cell>
          <cell r="V54">
            <v>30.94736842105263</v>
          </cell>
          <cell r="W54">
            <v>30.94736842105263</v>
          </cell>
          <cell r="X54">
            <v>30.2</v>
          </cell>
          <cell r="Y54">
            <v>28.8</v>
          </cell>
          <cell r="Z54">
            <v>21</v>
          </cell>
          <cell r="AA54">
            <v>21.4</v>
          </cell>
          <cell r="AB54">
            <v>15.2</v>
          </cell>
          <cell r="AC54">
            <v>16.399999999999999</v>
          </cell>
          <cell r="AE54">
            <v>0</v>
          </cell>
          <cell r="AF54">
            <v>6</v>
          </cell>
          <cell r="AG54">
            <v>0</v>
          </cell>
          <cell r="AH54">
            <v>0</v>
          </cell>
          <cell r="AI54">
            <v>14</v>
          </cell>
          <cell r="AJ54">
            <v>140</v>
          </cell>
        </row>
        <row r="55">
          <cell r="A55" t="str">
            <v>Хотстеры ТМ Горячая штучка ТС Хотстеры 0,25 кг зам  ПОКОМ</v>
          </cell>
          <cell r="B55" t="str">
            <v>шт</v>
          </cell>
          <cell r="C55">
            <v>147</v>
          </cell>
          <cell r="D55">
            <v>2</v>
          </cell>
          <cell r="E55">
            <v>169</v>
          </cell>
          <cell r="F55">
            <v>3</v>
          </cell>
          <cell r="G55">
            <v>0.25</v>
          </cell>
          <cell r="H55">
            <v>180</v>
          </cell>
          <cell r="I55" t="str">
            <v>P004489</v>
          </cell>
          <cell r="K55">
            <v>203</v>
          </cell>
          <cell r="L55">
            <v>-34</v>
          </cell>
          <cell r="O55">
            <v>336</v>
          </cell>
          <cell r="P55">
            <v>672</v>
          </cell>
          <cell r="Q55">
            <v>33.799999999999997</v>
          </cell>
          <cell r="S55">
            <v>0</v>
          </cell>
          <cell r="V55">
            <v>29.911242603550299</v>
          </cell>
          <cell r="W55">
            <v>29.911242603550299</v>
          </cell>
          <cell r="X55">
            <v>72.400000000000006</v>
          </cell>
          <cell r="Y55">
            <v>97</v>
          </cell>
          <cell r="Z55">
            <v>62</v>
          </cell>
          <cell r="AA55">
            <v>79.8</v>
          </cell>
          <cell r="AB55">
            <v>65.400000000000006</v>
          </cell>
          <cell r="AC55">
            <v>85.6</v>
          </cell>
          <cell r="AE55">
            <v>0</v>
          </cell>
          <cell r="AF55">
            <v>12</v>
          </cell>
          <cell r="AG55">
            <v>0</v>
          </cell>
          <cell r="AH55">
            <v>0</v>
          </cell>
          <cell r="AI55">
            <v>14</v>
          </cell>
          <cell r="AJ55">
            <v>70</v>
          </cell>
        </row>
        <row r="56">
          <cell r="A56" t="str">
            <v>Хотстеры с сыром ТМ Горячая штучка ТС Хотстеры 0,25кг.  Поком</v>
          </cell>
          <cell r="B56" t="str">
            <v>шт</v>
          </cell>
          <cell r="C56">
            <v>255</v>
          </cell>
          <cell r="D56">
            <v>4</v>
          </cell>
          <cell r="E56">
            <v>262</v>
          </cell>
          <cell r="F56">
            <v>15</v>
          </cell>
          <cell r="G56">
            <v>0.25</v>
          </cell>
          <cell r="H56">
            <v>180</v>
          </cell>
          <cell r="I56" t="str">
            <v>P005058</v>
          </cell>
          <cell r="K56">
            <v>272</v>
          </cell>
          <cell r="L56">
            <v>-10</v>
          </cell>
          <cell r="O56">
            <v>336</v>
          </cell>
          <cell r="P56">
            <v>168</v>
          </cell>
          <cell r="Q56">
            <v>52.4</v>
          </cell>
          <cell r="R56">
            <v>214.60000000000002</v>
          </cell>
          <cell r="S56">
            <v>168</v>
          </cell>
          <cell r="V56">
            <v>13.110687022900764</v>
          </cell>
          <cell r="W56">
            <v>9.9045801526717554</v>
          </cell>
          <cell r="X56">
            <v>23</v>
          </cell>
          <cell r="Y56">
            <v>38.4</v>
          </cell>
          <cell r="Z56">
            <v>23.4</v>
          </cell>
          <cell r="AA56">
            <v>10.199999999999999</v>
          </cell>
          <cell r="AB56">
            <v>31.4</v>
          </cell>
          <cell r="AC56">
            <v>39.799999999999997</v>
          </cell>
          <cell r="AE56">
            <v>53.650000000000006</v>
          </cell>
          <cell r="AF56">
            <v>12</v>
          </cell>
          <cell r="AG56">
            <v>14</v>
          </cell>
          <cell r="AH56">
            <v>42</v>
          </cell>
          <cell r="AI56">
            <v>14</v>
          </cell>
          <cell r="AJ56">
            <v>70</v>
          </cell>
        </row>
        <row r="57">
          <cell r="A57" t="str">
            <v>Хрустипай апельсин имбирь ТМ Горячая штучка 0,18 кг  ПОКОМ</v>
          </cell>
          <cell r="B57" t="str">
            <v>шт</v>
          </cell>
          <cell r="C57">
            <v>84</v>
          </cell>
          <cell r="E57">
            <v>21</v>
          </cell>
          <cell r="F57">
            <v>63</v>
          </cell>
          <cell r="G57">
            <v>0.18</v>
          </cell>
          <cell r="H57">
            <v>180</v>
          </cell>
          <cell r="I57" t="str">
            <v>P005201</v>
          </cell>
          <cell r="K57">
            <v>21</v>
          </cell>
          <cell r="L57">
            <v>0</v>
          </cell>
          <cell r="O57">
            <v>0</v>
          </cell>
          <cell r="P57">
            <v>0</v>
          </cell>
          <cell r="Q57">
            <v>4.2</v>
          </cell>
          <cell r="S57">
            <v>0</v>
          </cell>
          <cell r="V57">
            <v>15</v>
          </cell>
          <cell r="W57">
            <v>15</v>
          </cell>
          <cell r="X57">
            <v>0</v>
          </cell>
          <cell r="Y57">
            <v>0</v>
          </cell>
          <cell r="Z57">
            <v>0</v>
          </cell>
          <cell r="AA57">
            <v>1.4</v>
          </cell>
          <cell r="AB57">
            <v>2.6</v>
          </cell>
          <cell r="AC57">
            <v>7.8</v>
          </cell>
          <cell r="AE57">
            <v>0</v>
          </cell>
          <cell r="AF57">
            <v>6</v>
          </cell>
          <cell r="AG57">
            <v>0</v>
          </cell>
          <cell r="AH57">
            <v>0</v>
          </cell>
          <cell r="AI57">
            <v>14</v>
          </cell>
          <cell r="AJ57">
            <v>140</v>
          </cell>
        </row>
        <row r="58">
          <cell r="A58" t="str">
            <v>Хрустипай манго маракуйя ТМ Горячая штучка 0,18 кг  ПОКОМ</v>
          </cell>
          <cell r="B58" t="str">
            <v>шт</v>
          </cell>
          <cell r="C58">
            <v>43</v>
          </cell>
          <cell r="E58">
            <v>14</v>
          </cell>
          <cell r="F58">
            <v>29</v>
          </cell>
          <cell r="G58">
            <v>0.18</v>
          </cell>
          <cell r="H58">
            <v>180</v>
          </cell>
          <cell r="I58" t="str">
            <v>P005199</v>
          </cell>
          <cell r="K58">
            <v>14</v>
          </cell>
          <cell r="L58">
            <v>0</v>
          </cell>
          <cell r="O58">
            <v>0</v>
          </cell>
          <cell r="P58">
            <v>0</v>
          </cell>
          <cell r="Q58">
            <v>2.8</v>
          </cell>
          <cell r="S58">
            <v>0</v>
          </cell>
          <cell r="V58">
            <v>10.357142857142858</v>
          </cell>
          <cell r="W58">
            <v>10.357142857142858</v>
          </cell>
          <cell r="X58">
            <v>2.2000000000000002</v>
          </cell>
          <cell r="Y58">
            <v>5.2</v>
          </cell>
          <cell r="Z58">
            <v>1.8</v>
          </cell>
          <cell r="AA58">
            <v>2.4</v>
          </cell>
          <cell r="AB58">
            <v>6</v>
          </cell>
          <cell r="AC58">
            <v>17.399999999999999</v>
          </cell>
          <cell r="AE58">
            <v>0</v>
          </cell>
          <cell r="AF58">
            <v>6</v>
          </cell>
          <cell r="AG58">
            <v>0</v>
          </cell>
          <cell r="AH58">
            <v>0</v>
          </cell>
          <cell r="AI58">
            <v>14</v>
          </cell>
          <cell r="AJ58">
            <v>140</v>
          </cell>
        </row>
        <row r="59">
          <cell r="A59" t="str">
            <v>Хрустипай манго чили ТМ Горячая штучка 0,18кг с начинкой ПОКОМ</v>
          </cell>
          <cell r="B59" t="str">
            <v>шт</v>
          </cell>
          <cell r="C59">
            <v>76</v>
          </cell>
          <cell r="E59">
            <v>1</v>
          </cell>
          <cell r="F59">
            <v>75</v>
          </cell>
          <cell r="G59">
            <v>0.18</v>
          </cell>
          <cell r="H59">
            <v>180</v>
          </cell>
          <cell r="I59" t="str">
            <v>P005200</v>
          </cell>
          <cell r="K59">
            <v>1</v>
          </cell>
          <cell r="L59">
            <v>0</v>
          </cell>
          <cell r="O59">
            <v>0</v>
          </cell>
          <cell r="P59">
            <v>0</v>
          </cell>
          <cell r="Q59">
            <v>0.2</v>
          </cell>
          <cell r="S59">
            <v>0</v>
          </cell>
          <cell r="V59">
            <v>375</v>
          </cell>
          <cell r="W59">
            <v>375</v>
          </cell>
          <cell r="X59">
            <v>0.2</v>
          </cell>
          <cell r="Y59">
            <v>0.8</v>
          </cell>
          <cell r="Z59">
            <v>0.2</v>
          </cell>
          <cell r="AA59">
            <v>0.8</v>
          </cell>
          <cell r="AB59">
            <v>3.8</v>
          </cell>
          <cell r="AC59">
            <v>4.5999999999999996</v>
          </cell>
          <cell r="AD59" t="str">
            <v>нужно увеличить продажи!!!</v>
          </cell>
          <cell r="AE59">
            <v>0</v>
          </cell>
          <cell r="AF59">
            <v>6</v>
          </cell>
          <cell r="AG59">
            <v>0</v>
          </cell>
          <cell r="AH59">
            <v>0</v>
          </cell>
          <cell r="AI59">
            <v>14</v>
          </cell>
          <cell r="AJ59">
            <v>140</v>
          </cell>
        </row>
        <row r="60">
          <cell r="A60" t="str">
            <v>Хрустящие крылышки ТМ Горячая штучка 0,3 кг зам  ПОКОМ</v>
          </cell>
          <cell r="B60" t="str">
            <v>шт</v>
          </cell>
          <cell r="C60">
            <v>253</v>
          </cell>
          <cell r="D60">
            <v>6</v>
          </cell>
          <cell r="E60">
            <v>348</v>
          </cell>
          <cell r="F60">
            <v>-1</v>
          </cell>
          <cell r="G60">
            <v>0.3</v>
          </cell>
          <cell r="H60">
            <v>180</v>
          </cell>
          <cell r="I60" t="str">
            <v>P004588</v>
          </cell>
          <cell r="K60">
            <v>307</v>
          </cell>
          <cell r="L60">
            <v>41</v>
          </cell>
          <cell r="O60">
            <v>336</v>
          </cell>
          <cell r="P60">
            <v>504</v>
          </cell>
          <cell r="Q60">
            <v>69.599999999999994</v>
          </cell>
          <cell r="R60">
            <v>135.39999999999986</v>
          </cell>
          <cell r="S60">
            <v>168</v>
          </cell>
          <cell r="V60">
            <v>14.468390804597702</v>
          </cell>
          <cell r="W60">
            <v>12.054597701149426</v>
          </cell>
          <cell r="X60">
            <v>71.599999999999994</v>
          </cell>
          <cell r="Y60">
            <v>103.8</v>
          </cell>
          <cell r="Z60">
            <v>62.6</v>
          </cell>
          <cell r="AA60">
            <v>81</v>
          </cell>
          <cell r="AB60">
            <v>73.599999999999994</v>
          </cell>
          <cell r="AC60">
            <v>76.2</v>
          </cell>
          <cell r="AE60">
            <v>40.619999999999955</v>
          </cell>
          <cell r="AF60">
            <v>12</v>
          </cell>
          <cell r="AG60">
            <v>14</v>
          </cell>
          <cell r="AH60">
            <v>50.4</v>
          </cell>
          <cell r="AI60">
            <v>14</v>
          </cell>
          <cell r="AJ60">
            <v>70</v>
          </cell>
        </row>
        <row r="61">
          <cell r="A61" t="str">
            <v>Хрустящие крылышки острые к пиву ТМ Горячая штучка 0,3кг зам  ПОКОМ</v>
          </cell>
          <cell r="B61" t="str">
            <v>шт</v>
          </cell>
          <cell r="C61">
            <v>449</v>
          </cell>
          <cell r="D61">
            <v>3</v>
          </cell>
          <cell r="E61">
            <v>426</v>
          </cell>
          <cell r="F61">
            <v>75</v>
          </cell>
          <cell r="G61">
            <v>0.3</v>
          </cell>
          <cell r="H61">
            <v>180</v>
          </cell>
          <cell r="I61" t="str">
            <v>P004589</v>
          </cell>
          <cell r="K61">
            <v>371</v>
          </cell>
          <cell r="L61">
            <v>55</v>
          </cell>
          <cell r="O61">
            <v>168</v>
          </cell>
          <cell r="P61">
            <v>672</v>
          </cell>
          <cell r="Q61">
            <v>85.2</v>
          </cell>
          <cell r="R61">
            <v>277.79999999999995</v>
          </cell>
          <cell r="S61">
            <v>336</v>
          </cell>
          <cell r="V61">
            <v>14.683098591549296</v>
          </cell>
          <cell r="W61">
            <v>10.73943661971831</v>
          </cell>
          <cell r="X61">
            <v>81.8</v>
          </cell>
          <cell r="Y61">
            <v>90.2</v>
          </cell>
          <cell r="Z61">
            <v>74.2</v>
          </cell>
          <cell r="AA61">
            <v>95</v>
          </cell>
          <cell r="AB61">
            <v>82.8</v>
          </cell>
          <cell r="AC61">
            <v>82</v>
          </cell>
          <cell r="AE61">
            <v>83.339999999999989</v>
          </cell>
          <cell r="AF61">
            <v>12</v>
          </cell>
          <cell r="AG61">
            <v>28</v>
          </cell>
          <cell r="AH61">
            <v>100.8</v>
          </cell>
          <cell r="AI61">
            <v>14</v>
          </cell>
          <cell r="AJ61">
            <v>70</v>
          </cell>
        </row>
        <row r="62">
          <cell r="A62" t="str">
            <v>Чебупели Курочка гриль Базовый ассортимент Фикс.вес 0,3 Пакет Горячая штучка  Поком</v>
          </cell>
          <cell r="B62" t="str">
            <v>шт</v>
          </cell>
          <cell r="C62">
            <v>-2</v>
          </cell>
          <cell r="F62">
            <v>-2</v>
          </cell>
          <cell r="G62">
            <v>0.3</v>
          </cell>
          <cell r="H62">
            <v>180</v>
          </cell>
          <cell r="I62" t="str">
            <v>P004113</v>
          </cell>
          <cell r="K62">
            <v>36</v>
          </cell>
          <cell r="L62">
            <v>-36</v>
          </cell>
          <cell r="O62">
            <v>0</v>
          </cell>
          <cell r="P62">
            <v>392</v>
          </cell>
          <cell r="Q62">
            <v>0</v>
          </cell>
          <cell r="S62">
            <v>0</v>
          </cell>
          <cell r="V62" t="e">
            <v>#DIV/0!</v>
          </cell>
          <cell r="W62" t="e">
            <v>#DIV/0!</v>
          </cell>
          <cell r="X62">
            <v>15.8</v>
          </cell>
          <cell r="Y62">
            <v>24.8</v>
          </cell>
          <cell r="Z62">
            <v>12</v>
          </cell>
          <cell r="AA62">
            <v>22.6</v>
          </cell>
          <cell r="AB62">
            <v>6.8</v>
          </cell>
          <cell r="AC62">
            <v>13.6</v>
          </cell>
          <cell r="AE62">
            <v>0</v>
          </cell>
          <cell r="AF62">
            <v>14</v>
          </cell>
          <cell r="AG62">
            <v>0</v>
          </cell>
          <cell r="AH62">
            <v>0</v>
          </cell>
          <cell r="AI62">
            <v>14</v>
          </cell>
          <cell r="AJ62">
            <v>70</v>
          </cell>
        </row>
        <row r="63">
          <cell r="A63" t="str">
            <v>Чебупицца Пепперони ТМ Горячая штучка ТС Чебупицца 0.25кг зам  ПОКОМ</v>
          </cell>
          <cell r="B63" t="str">
            <v>шт</v>
          </cell>
          <cell r="C63">
            <v>979</v>
          </cell>
          <cell r="D63">
            <v>17</v>
          </cell>
          <cell r="E63">
            <v>672</v>
          </cell>
          <cell r="F63">
            <v>367</v>
          </cell>
          <cell r="G63">
            <v>0.25</v>
          </cell>
          <cell r="H63">
            <v>180</v>
          </cell>
          <cell r="I63" t="str">
            <v>P004486</v>
          </cell>
          <cell r="K63">
            <v>623</v>
          </cell>
          <cell r="L63">
            <v>49</v>
          </cell>
          <cell r="O63">
            <v>336</v>
          </cell>
          <cell r="P63">
            <v>504</v>
          </cell>
          <cell r="Q63">
            <v>134.4</v>
          </cell>
          <cell r="R63">
            <v>674.60000000000014</v>
          </cell>
          <cell r="S63">
            <v>672</v>
          </cell>
          <cell r="V63">
            <v>13.980654761904761</v>
          </cell>
          <cell r="W63">
            <v>8.980654761904761</v>
          </cell>
          <cell r="X63">
            <v>129.19999999999999</v>
          </cell>
          <cell r="Y63">
            <v>79.400000000000006</v>
          </cell>
          <cell r="Z63">
            <v>80</v>
          </cell>
          <cell r="AA63">
            <v>108</v>
          </cell>
          <cell r="AB63">
            <v>105.2</v>
          </cell>
          <cell r="AC63">
            <v>110.4</v>
          </cell>
          <cell r="AE63">
            <v>168.65000000000003</v>
          </cell>
          <cell r="AF63">
            <v>12</v>
          </cell>
          <cell r="AG63">
            <v>56</v>
          </cell>
          <cell r="AH63">
            <v>168</v>
          </cell>
          <cell r="AI63">
            <v>14</v>
          </cell>
          <cell r="AJ63">
            <v>70</v>
          </cell>
        </row>
        <row r="64">
          <cell r="A64" t="str">
            <v>Чебупицца курочка по-итальянски Горячая штучка 0,25 кг зам  ПОКОМ</v>
          </cell>
          <cell r="B64" t="str">
            <v>шт</v>
          </cell>
          <cell r="C64">
            <v>124</v>
          </cell>
          <cell r="E64">
            <v>239</v>
          </cell>
          <cell r="F64">
            <v>5</v>
          </cell>
          <cell r="G64">
            <v>0.25</v>
          </cell>
          <cell r="H64">
            <v>180</v>
          </cell>
          <cell r="I64" t="str">
            <v>P004484</v>
          </cell>
          <cell r="K64">
            <v>295</v>
          </cell>
          <cell r="L64">
            <v>-56</v>
          </cell>
          <cell r="O64">
            <v>1512</v>
          </cell>
          <cell r="P64">
            <v>504</v>
          </cell>
          <cell r="Q64">
            <v>47.8</v>
          </cell>
          <cell r="S64">
            <v>0</v>
          </cell>
          <cell r="V64">
            <v>42.280334728033473</v>
          </cell>
          <cell r="W64">
            <v>42.280334728033473</v>
          </cell>
          <cell r="X64">
            <v>136.4</v>
          </cell>
          <cell r="Y64">
            <v>140.19999999999999</v>
          </cell>
          <cell r="Z64">
            <v>113.8</v>
          </cell>
          <cell r="AA64">
            <v>115.8</v>
          </cell>
          <cell r="AB64">
            <v>111.6</v>
          </cell>
          <cell r="AC64">
            <v>117.6</v>
          </cell>
          <cell r="AE64">
            <v>0</v>
          </cell>
          <cell r="AF64">
            <v>12</v>
          </cell>
          <cell r="AG64">
            <v>0</v>
          </cell>
          <cell r="AH64">
            <v>0</v>
          </cell>
          <cell r="AI64">
            <v>14</v>
          </cell>
          <cell r="AJ64">
            <v>70</v>
          </cell>
        </row>
        <row r="65">
          <cell r="A65" t="str">
            <v>Чебупицца со вкусом 4 сыра 0,2кг ТМ Горячая штучка ТС Foodgital  ПОКОМ</v>
          </cell>
          <cell r="B65" t="str">
            <v>шт</v>
          </cell>
          <cell r="C65">
            <v>122</v>
          </cell>
          <cell r="D65">
            <v>3</v>
          </cell>
          <cell r="E65">
            <v>148</v>
          </cell>
          <cell r="F65">
            <v>2</v>
          </cell>
          <cell r="G65">
            <v>0.2</v>
          </cell>
          <cell r="H65">
            <v>365</v>
          </cell>
          <cell r="I65" t="str">
            <v>P004818</v>
          </cell>
          <cell r="K65">
            <v>132</v>
          </cell>
          <cell r="L65">
            <v>16</v>
          </cell>
          <cell r="O65">
            <v>0</v>
          </cell>
          <cell r="P65">
            <v>252</v>
          </cell>
          <cell r="Q65">
            <v>29.6</v>
          </cell>
          <cell r="R65">
            <v>160.40000000000003</v>
          </cell>
          <cell r="S65">
            <v>168</v>
          </cell>
          <cell r="V65">
            <v>14.256756756756756</v>
          </cell>
          <cell r="W65">
            <v>8.5810810810810807</v>
          </cell>
          <cell r="X65">
            <v>25.2</v>
          </cell>
          <cell r="Y65">
            <v>17.2</v>
          </cell>
          <cell r="Z65">
            <v>1.6</v>
          </cell>
          <cell r="AA65">
            <v>19.600000000000001</v>
          </cell>
          <cell r="AB65">
            <v>20</v>
          </cell>
          <cell r="AC65">
            <v>27.8</v>
          </cell>
          <cell r="AE65">
            <v>32.080000000000005</v>
          </cell>
          <cell r="AF65">
            <v>6</v>
          </cell>
          <cell r="AG65">
            <v>28</v>
          </cell>
          <cell r="AH65">
            <v>33.6</v>
          </cell>
          <cell r="AI65">
            <v>14</v>
          </cell>
          <cell r="AJ65">
            <v>140</v>
          </cell>
        </row>
        <row r="66">
          <cell r="A66" t="str">
            <v>Чебупицца со вкусом Том ям ТМ Горячая штучка ТС Чебупицца 0,23кг жареные ПОКОМ</v>
          </cell>
          <cell r="B66" t="str">
            <v>шт</v>
          </cell>
          <cell r="C66">
            <v>42</v>
          </cell>
          <cell r="D66">
            <v>1</v>
          </cell>
          <cell r="E66">
            <v>63</v>
          </cell>
          <cell r="G66">
            <v>0.23</v>
          </cell>
          <cell r="H66">
            <v>180</v>
          </cell>
          <cell r="I66" t="str">
            <v>P005180</v>
          </cell>
          <cell r="K66">
            <v>80</v>
          </cell>
          <cell r="L66">
            <v>-17</v>
          </cell>
          <cell r="O66">
            <v>672</v>
          </cell>
          <cell r="P66">
            <v>168</v>
          </cell>
          <cell r="Q66">
            <v>12.6</v>
          </cell>
          <cell r="S66">
            <v>0</v>
          </cell>
          <cell r="V66">
            <v>66.666666666666671</v>
          </cell>
          <cell r="W66">
            <v>66.666666666666671</v>
          </cell>
          <cell r="X66">
            <v>46.6</v>
          </cell>
          <cell r="Y66">
            <v>66.2</v>
          </cell>
          <cell r="Z66">
            <v>45.6</v>
          </cell>
          <cell r="AA66">
            <v>46.4</v>
          </cell>
          <cell r="AB66">
            <v>30.2</v>
          </cell>
          <cell r="AC66">
            <v>23.6</v>
          </cell>
          <cell r="AE66">
            <v>0</v>
          </cell>
          <cell r="AF66">
            <v>6</v>
          </cell>
          <cell r="AG66">
            <v>0</v>
          </cell>
          <cell r="AH66">
            <v>0</v>
          </cell>
          <cell r="AI66">
            <v>14</v>
          </cell>
          <cell r="AJ66">
            <v>140</v>
          </cell>
        </row>
        <row r="67">
          <cell r="A67" t="str">
            <v>Чебуреки Мясные вес 2,7 кг ТМ Зареченские ТС Зареченские продукты   Поком</v>
          </cell>
          <cell r="B67" t="str">
            <v>кг</v>
          </cell>
          <cell r="C67">
            <v>32.4</v>
          </cell>
          <cell r="D67">
            <v>2.7</v>
          </cell>
          <cell r="E67">
            <v>51.3</v>
          </cell>
          <cell r="F67">
            <v>5.4</v>
          </cell>
          <cell r="G67">
            <v>1</v>
          </cell>
          <cell r="H67">
            <v>180</v>
          </cell>
          <cell r="I67" t="str">
            <v>P003478</v>
          </cell>
          <cell r="K67">
            <v>45.1</v>
          </cell>
          <cell r="L67">
            <v>6.1999999999999957</v>
          </cell>
          <cell r="O67">
            <v>151.19999999999999</v>
          </cell>
          <cell r="P67">
            <v>0</v>
          </cell>
          <cell r="Q67">
            <v>10.26</v>
          </cell>
          <cell r="S67">
            <v>0</v>
          </cell>
          <cell r="V67">
            <v>15.263157894736842</v>
          </cell>
          <cell r="W67">
            <v>15.263157894736842</v>
          </cell>
          <cell r="X67">
            <v>9.7200000000000006</v>
          </cell>
          <cell r="Y67">
            <v>6.48</v>
          </cell>
          <cell r="Z67">
            <v>7.5659999999999998</v>
          </cell>
          <cell r="AA67">
            <v>2.16</v>
          </cell>
          <cell r="AB67">
            <v>10.8</v>
          </cell>
          <cell r="AC67">
            <v>8.64</v>
          </cell>
          <cell r="AE67">
            <v>0</v>
          </cell>
          <cell r="AF67">
            <v>2.7</v>
          </cell>
          <cell r="AG67">
            <v>0</v>
          </cell>
          <cell r="AH67">
            <v>0</v>
          </cell>
          <cell r="AI67">
            <v>14</v>
          </cell>
          <cell r="AJ67">
            <v>126</v>
          </cell>
        </row>
        <row r="68">
          <cell r="A68" t="str">
            <v>Чебуреки сочные ТМ Зареченские ТС Зареченские продукты.  Поком</v>
          </cell>
          <cell r="B68" t="str">
            <v>кг</v>
          </cell>
          <cell r="C68">
            <v>82.3</v>
          </cell>
          <cell r="E68">
            <v>272.7</v>
          </cell>
          <cell r="F68">
            <v>119.60000000000001</v>
          </cell>
          <cell r="G68">
            <v>1</v>
          </cell>
          <cell r="H68">
            <v>180</v>
          </cell>
          <cell r="I68" t="str">
            <v>P003476</v>
          </cell>
          <cell r="K68">
            <v>115</v>
          </cell>
          <cell r="L68">
            <v>157.69999999999999</v>
          </cell>
          <cell r="O68">
            <v>180</v>
          </cell>
          <cell r="P68">
            <v>420</v>
          </cell>
          <cell r="Q68">
            <v>54.54</v>
          </cell>
          <cell r="R68">
            <v>43.959999999999937</v>
          </cell>
          <cell r="S68">
            <v>60</v>
          </cell>
          <cell r="V68">
            <v>14.294096076274295</v>
          </cell>
          <cell r="W68">
            <v>13.193986065273194</v>
          </cell>
          <cell r="X68">
            <v>84.539999999999992</v>
          </cell>
          <cell r="Y68">
            <v>57.54</v>
          </cell>
          <cell r="Z68">
            <v>81</v>
          </cell>
          <cell r="AA68">
            <v>89.539999999999992</v>
          </cell>
          <cell r="AB68">
            <v>81</v>
          </cell>
          <cell r="AC68">
            <v>66</v>
          </cell>
          <cell r="AE68">
            <v>43.959999999999937</v>
          </cell>
          <cell r="AF68">
            <v>5</v>
          </cell>
          <cell r="AG68">
            <v>12</v>
          </cell>
          <cell r="AH68">
            <v>60</v>
          </cell>
          <cell r="AI68">
            <v>12</v>
          </cell>
          <cell r="AJ68">
            <v>84</v>
          </cell>
        </row>
        <row r="69">
          <cell r="A69" t="str">
            <v>Чебуреки сочные, ВЕС, куриные жарен. зам  ПОКОМ</v>
          </cell>
          <cell r="B69" t="str">
            <v>кг</v>
          </cell>
          <cell r="C69">
            <v>282.3</v>
          </cell>
          <cell r="D69">
            <v>5</v>
          </cell>
          <cell r="E69">
            <v>137.69999999999999</v>
          </cell>
          <cell r="F69">
            <v>147.30000000000001</v>
          </cell>
          <cell r="G69">
            <v>0</v>
          </cell>
          <cell r="I69" t="str">
            <v>дубль</v>
          </cell>
          <cell r="J69" t="str">
            <v>Чебуреки сочные ТМ Зареченские ТС Зареченские продукты.  Поком</v>
          </cell>
          <cell r="K69">
            <v>130.4</v>
          </cell>
          <cell r="L69">
            <v>7.2999999999999829</v>
          </cell>
          <cell r="O69">
            <v>0</v>
          </cell>
          <cell r="Q69">
            <v>27.54</v>
          </cell>
          <cell r="V69">
            <v>5.3485838779956429</v>
          </cell>
          <cell r="W69">
            <v>5.3485838779956429</v>
          </cell>
          <cell r="X69">
            <v>2.54</v>
          </cell>
          <cell r="Y69">
            <v>1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14" sqref="AA1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6" width="6" customWidth="1"/>
    <col min="17" max="18" width="7" customWidth="1"/>
    <col min="19" max="20" width="5" customWidth="1"/>
    <col min="21" max="26" width="6" customWidth="1"/>
    <col min="27" max="27" width="28.85546875" customWidth="1"/>
    <col min="28" max="28" width="6" customWidth="1"/>
    <col min="29" max="29" width="6" style="5" customWidth="1"/>
    <col min="30" max="30" width="7" style="11" customWidth="1"/>
    <col min="31" max="31" width="6" customWidth="1"/>
    <col min="32" max="33" width="5" customWidth="1"/>
    <col min="34" max="34" width="6" style="11" customWidth="1"/>
    <col min="35" max="35" width="3" customWidth="1"/>
    <col min="36" max="38" width="6.5703125" customWidth="1"/>
    <col min="39" max="49" width="3" customWidth="1"/>
  </cols>
  <sheetData>
    <row r="1" spans="1:49" x14ac:dyDescent="0.25">
      <c r="A1" s="16"/>
      <c r="B1" s="16"/>
      <c r="C1" s="16"/>
      <c r="D1" s="16"/>
      <c r="E1" s="16"/>
      <c r="F1" s="16"/>
      <c r="G1" s="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6"/>
      <c r="AD1" s="8"/>
      <c r="AE1" s="16"/>
      <c r="AF1" s="16"/>
      <c r="AG1" s="16"/>
      <c r="AH1" s="8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</row>
    <row r="2" spans="1:49" x14ac:dyDescent="0.25">
      <c r="A2" s="16"/>
      <c r="B2" s="16"/>
      <c r="C2" s="16"/>
      <c r="D2" s="16"/>
      <c r="E2" s="16"/>
      <c r="F2" s="16"/>
      <c r="G2" s="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6"/>
      <c r="AD2" s="8"/>
      <c r="AE2" s="16"/>
      <c r="AF2" s="16"/>
      <c r="AG2" s="16"/>
      <c r="AH2" s="8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17</v>
      </c>
      <c r="S3" s="1" t="s">
        <v>18</v>
      </c>
      <c r="T3" s="1" t="s">
        <v>19</v>
      </c>
      <c r="U3" s="1" t="s">
        <v>20</v>
      </c>
      <c r="V3" s="1" t="s">
        <v>20</v>
      </c>
      <c r="W3" s="1" t="s">
        <v>20</v>
      </c>
      <c r="X3" s="1" t="s">
        <v>20</v>
      </c>
      <c r="Y3" s="1" t="s">
        <v>20</v>
      </c>
      <c r="Z3" s="1" t="s">
        <v>20</v>
      </c>
      <c r="AA3" s="1" t="s">
        <v>21</v>
      </c>
      <c r="AB3" s="1" t="s">
        <v>22</v>
      </c>
      <c r="AC3" s="7" t="s">
        <v>23</v>
      </c>
      <c r="AD3" s="9" t="s">
        <v>24</v>
      </c>
      <c r="AE3" s="1" t="s">
        <v>25</v>
      </c>
      <c r="AF3" s="1" t="s">
        <v>26</v>
      </c>
      <c r="AG3" s="1" t="s">
        <v>27</v>
      </c>
      <c r="AH3" s="9" t="s">
        <v>28</v>
      </c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</row>
    <row r="4" spans="1:49" x14ac:dyDescent="0.25">
      <c r="A4" s="16"/>
      <c r="B4" s="16"/>
      <c r="C4" s="16"/>
      <c r="D4" s="16"/>
      <c r="E4" s="16"/>
      <c r="F4" s="16"/>
      <c r="G4" s="6"/>
      <c r="H4" s="16"/>
      <c r="I4" s="16"/>
      <c r="J4" s="16"/>
      <c r="K4" s="16"/>
      <c r="L4" s="16"/>
      <c r="M4" s="16"/>
      <c r="N4" s="16"/>
      <c r="O4" s="16" t="s">
        <v>29</v>
      </c>
      <c r="P4" s="16" t="s">
        <v>30</v>
      </c>
      <c r="Q4" s="16"/>
      <c r="R4" s="16"/>
      <c r="S4" s="16"/>
      <c r="T4" s="16"/>
      <c r="U4" s="16" t="s">
        <v>31</v>
      </c>
      <c r="V4" s="16" t="s">
        <v>32</v>
      </c>
      <c r="W4" s="16" t="s">
        <v>33</v>
      </c>
      <c r="X4" s="16" t="s">
        <v>34</v>
      </c>
      <c r="Y4" s="16" t="s">
        <v>35</v>
      </c>
      <c r="Z4" s="16" t="s">
        <v>36</v>
      </c>
      <c r="AA4" s="16"/>
      <c r="AB4" s="16"/>
      <c r="AC4" s="6"/>
      <c r="AD4" s="8"/>
      <c r="AE4" s="16"/>
      <c r="AF4" s="16"/>
      <c r="AG4" s="16"/>
      <c r="AH4" s="8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</row>
    <row r="5" spans="1:49" x14ac:dyDescent="0.25">
      <c r="A5" s="16"/>
      <c r="B5" s="16"/>
      <c r="C5" s="16"/>
      <c r="D5" s="16"/>
      <c r="E5" s="3">
        <f>SUM(E6:E498)</f>
        <v>17961.900000000001</v>
      </c>
      <c r="F5" s="3">
        <f>SUM(F6:F498)</f>
        <v>14603.5</v>
      </c>
      <c r="G5" s="6"/>
      <c r="H5" s="16"/>
      <c r="I5" s="16"/>
      <c r="J5" s="16"/>
      <c r="K5" s="3">
        <f t="shared" ref="K5:R5" si="0">SUM(K6:K498)</f>
        <v>20334.7</v>
      </c>
      <c r="L5" s="3">
        <f t="shared" si="0"/>
        <v>-2372.7999999999997</v>
      </c>
      <c r="M5" s="3">
        <f t="shared" si="0"/>
        <v>0</v>
      </c>
      <c r="N5" s="3">
        <f t="shared" si="0"/>
        <v>0</v>
      </c>
      <c r="O5" s="3">
        <f t="shared" si="0"/>
        <v>21937.200000000001</v>
      </c>
      <c r="P5" s="3">
        <f t="shared" si="0"/>
        <v>3592.3799999999992</v>
      </c>
      <c r="Q5" s="3">
        <f t="shared" si="0"/>
        <v>15847.559999999998</v>
      </c>
      <c r="R5" s="3">
        <f t="shared" si="0"/>
        <v>16241.4</v>
      </c>
      <c r="S5" s="16"/>
      <c r="T5" s="16"/>
      <c r="U5" s="3">
        <f t="shared" ref="U5:Z5" si="1">SUM(U6:U498)</f>
        <v>4220.5200000000004</v>
      </c>
      <c r="V5" s="3">
        <f t="shared" si="1"/>
        <v>4474.16</v>
      </c>
      <c r="W5" s="3">
        <f t="shared" si="1"/>
        <v>3669.64</v>
      </c>
      <c r="X5" s="3">
        <f t="shared" si="1"/>
        <v>4017.6</v>
      </c>
      <c r="Y5" s="3">
        <f t="shared" si="1"/>
        <v>3478.5000000000005</v>
      </c>
      <c r="Z5" s="3">
        <f t="shared" si="1"/>
        <v>4407.2399999999989</v>
      </c>
      <c r="AA5" s="16"/>
      <c r="AB5" s="3">
        <f>SUM(AB6:AB498)</f>
        <v>6318.652</v>
      </c>
      <c r="AC5" s="6"/>
      <c r="AD5" s="10">
        <f>SUM(AD6:AD498)</f>
        <v>1696</v>
      </c>
      <c r="AE5" s="3">
        <f>SUM(AE6:AE498)</f>
        <v>6439.9199999999992</v>
      </c>
      <c r="AF5" s="16"/>
      <c r="AG5" s="16"/>
      <c r="AH5" s="10">
        <f>SUM(AH6:AH498)</f>
        <v>19.764285714285709</v>
      </c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</row>
    <row r="6" spans="1:49" x14ac:dyDescent="0.25">
      <c r="A6" s="12" t="s">
        <v>37</v>
      </c>
      <c r="B6" s="12" t="s">
        <v>38</v>
      </c>
      <c r="C6" s="12">
        <v>135</v>
      </c>
      <c r="D6" s="12">
        <v>300</v>
      </c>
      <c r="E6" s="17">
        <v>247</v>
      </c>
      <c r="F6" s="17">
        <v>186</v>
      </c>
      <c r="G6" s="13">
        <v>0</v>
      </c>
      <c r="H6" s="12"/>
      <c r="I6" s="12" t="s">
        <v>39</v>
      </c>
      <c r="J6" s="12" t="s">
        <v>40</v>
      </c>
      <c r="K6" s="12">
        <v>268</v>
      </c>
      <c r="L6" s="12">
        <f t="shared" ref="L6:L37" si="2">E6-K6</f>
        <v>-21</v>
      </c>
      <c r="M6" s="12"/>
      <c r="N6" s="12"/>
      <c r="O6" s="12"/>
      <c r="P6" s="12">
        <f t="shared" ref="P6:P37" si="3">E6/5</f>
        <v>49.4</v>
      </c>
      <c r="Q6" s="14"/>
      <c r="R6" s="14"/>
      <c r="S6" s="12">
        <f t="shared" ref="S6:S37" si="4">(F6+O6+R6)/P6</f>
        <v>3.765182186234818</v>
      </c>
      <c r="T6" s="12">
        <f t="shared" ref="T6:T37" si="5">(F6+O6)/P6</f>
        <v>3.765182186234818</v>
      </c>
      <c r="U6" s="12">
        <v>50</v>
      </c>
      <c r="V6" s="12">
        <v>69.400000000000006</v>
      </c>
      <c r="W6" s="12">
        <v>54</v>
      </c>
      <c r="X6" s="12">
        <v>52</v>
      </c>
      <c r="Y6" s="12">
        <v>51.2</v>
      </c>
      <c r="Z6" s="12">
        <v>41.8</v>
      </c>
      <c r="AA6" s="12"/>
      <c r="AB6" s="12"/>
      <c r="AC6" s="13"/>
      <c r="AD6" s="15"/>
      <c r="AE6" s="12"/>
      <c r="AF6" s="12"/>
      <c r="AG6" s="12"/>
      <c r="AH6" s="15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</row>
    <row r="7" spans="1:49" x14ac:dyDescent="0.25">
      <c r="A7" s="12" t="s">
        <v>41</v>
      </c>
      <c r="B7" s="12" t="s">
        <v>38</v>
      </c>
      <c r="C7" s="12">
        <v>251</v>
      </c>
      <c r="D7" s="12"/>
      <c r="E7" s="17">
        <v>77</v>
      </c>
      <c r="F7" s="17">
        <v>174</v>
      </c>
      <c r="G7" s="13">
        <v>0</v>
      </c>
      <c r="H7" s="12"/>
      <c r="I7" s="12" t="s">
        <v>39</v>
      </c>
      <c r="J7" s="12" t="s">
        <v>42</v>
      </c>
      <c r="K7" s="12">
        <v>83</v>
      </c>
      <c r="L7" s="12">
        <f t="shared" si="2"/>
        <v>-6</v>
      </c>
      <c r="M7" s="12"/>
      <c r="N7" s="12"/>
      <c r="O7" s="12"/>
      <c r="P7" s="12">
        <f t="shared" si="3"/>
        <v>15.4</v>
      </c>
      <c r="Q7" s="14"/>
      <c r="R7" s="14"/>
      <c r="S7" s="12">
        <f t="shared" si="4"/>
        <v>11.298701298701298</v>
      </c>
      <c r="T7" s="12">
        <f t="shared" si="5"/>
        <v>11.298701298701298</v>
      </c>
      <c r="U7" s="12">
        <v>17</v>
      </c>
      <c r="V7" s="12">
        <v>25.2</v>
      </c>
      <c r="W7" s="12">
        <v>18.399999999999999</v>
      </c>
      <c r="X7" s="12">
        <v>17.2</v>
      </c>
      <c r="Y7" s="12">
        <v>10.8</v>
      </c>
      <c r="Z7" s="12">
        <v>19.8</v>
      </c>
      <c r="AA7" s="12"/>
      <c r="AB7" s="12"/>
      <c r="AC7" s="13"/>
      <c r="AD7" s="15"/>
      <c r="AE7" s="12"/>
      <c r="AF7" s="12"/>
      <c r="AG7" s="12"/>
      <c r="AH7" s="15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</row>
    <row r="8" spans="1:49" x14ac:dyDescent="0.25">
      <c r="A8" s="12" t="s">
        <v>43</v>
      </c>
      <c r="B8" s="12" t="s">
        <v>38</v>
      </c>
      <c r="C8" s="12">
        <v>458</v>
      </c>
      <c r="D8" s="12"/>
      <c r="E8" s="17">
        <v>111</v>
      </c>
      <c r="F8" s="17">
        <v>347</v>
      </c>
      <c r="G8" s="13">
        <v>0</v>
      </c>
      <c r="H8" s="12"/>
      <c r="I8" s="12" t="s">
        <v>39</v>
      </c>
      <c r="J8" s="12" t="s">
        <v>44</v>
      </c>
      <c r="K8" s="12">
        <v>117</v>
      </c>
      <c r="L8" s="12">
        <f t="shared" si="2"/>
        <v>-6</v>
      </c>
      <c r="M8" s="12"/>
      <c r="N8" s="12"/>
      <c r="O8" s="12"/>
      <c r="P8" s="12">
        <f t="shared" si="3"/>
        <v>22.2</v>
      </c>
      <c r="Q8" s="14"/>
      <c r="R8" s="14"/>
      <c r="S8" s="12">
        <f t="shared" si="4"/>
        <v>15.63063063063063</v>
      </c>
      <c r="T8" s="12">
        <f t="shared" si="5"/>
        <v>15.63063063063063</v>
      </c>
      <c r="U8" s="12">
        <v>21.6</v>
      </c>
      <c r="V8" s="12">
        <v>12.6</v>
      </c>
      <c r="W8" s="12">
        <v>8.1999999999999993</v>
      </c>
      <c r="X8" s="12">
        <v>5.6</v>
      </c>
      <c r="Y8" s="12">
        <v>4.4000000000000004</v>
      </c>
      <c r="Z8" s="12">
        <v>10</v>
      </c>
      <c r="AA8" s="12"/>
      <c r="AB8" s="12"/>
      <c r="AC8" s="13"/>
      <c r="AD8" s="15"/>
      <c r="AE8" s="12"/>
      <c r="AF8" s="12"/>
      <c r="AG8" s="12"/>
      <c r="AH8" s="15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</row>
    <row r="9" spans="1:49" x14ac:dyDescent="0.25">
      <c r="A9" s="16" t="s">
        <v>45</v>
      </c>
      <c r="B9" s="16" t="s">
        <v>38</v>
      </c>
      <c r="C9" s="16">
        <v>5</v>
      </c>
      <c r="D9" s="16"/>
      <c r="E9" s="16">
        <v>5</v>
      </c>
      <c r="F9" s="16"/>
      <c r="G9" s="6">
        <f>VLOOKUP(A9,[1]Sheet!$A:$I,7,0)</f>
        <v>0.22</v>
      </c>
      <c r="H9" s="16">
        <f>VLOOKUP(A9,[1]Sheet!$A:$I,8,0)</f>
        <v>180</v>
      </c>
      <c r="I9" s="16" t="str">
        <f>VLOOKUP(A9,[1]Sheet!$A:$I,9,0)</f>
        <v>P005065</v>
      </c>
      <c r="J9" s="16"/>
      <c r="K9" s="16">
        <v>21</v>
      </c>
      <c r="L9" s="16">
        <f t="shared" si="2"/>
        <v>-16</v>
      </c>
      <c r="M9" s="16"/>
      <c r="N9" s="16"/>
      <c r="O9" s="16">
        <v>0</v>
      </c>
      <c r="P9" s="16">
        <f t="shared" si="3"/>
        <v>1</v>
      </c>
      <c r="Q9" s="4">
        <v>100</v>
      </c>
      <c r="R9" s="4">
        <f t="shared" ref="R9:R18" si="6">AC9*AD9</f>
        <v>168</v>
      </c>
      <c r="S9" s="16">
        <f t="shared" si="4"/>
        <v>168</v>
      </c>
      <c r="T9" s="16">
        <f t="shared" si="5"/>
        <v>0</v>
      </c>
      <c r="U9" s="16">
        <v>5.2</v>
      </c>
      <c r="V9" s="16">
        <v>6.4</v>
      </c>
      <c r="W9" s="16">
        <v>4.5999999999999996</v>
      </c>
      <c r="X9" s="16">
        <v>4.8</v>
      </c>
      <c r="Y9" s="16">
        <v>8.6</v>
      </c>
      <c r="Z9" s="16">
        <v>5.6</v>
      </c>
      <c r="AA9" s="16"/>
      <c r="AB9" s="16">
        <f t="shared" ref="AB9:AB18" si="7">G9*Q9</f>
        <v>22</v>
      </c>
      <c r="AC9" s="6">
        <f>VLOOKUP(A9,[1]Sheet!$A:$AJ,32,0)</f>
        <v>12</v>
      </c>
      <c r="AD9" s="8">
        <f t="shared" ref="AD9:AD18" si="8">MROUND(Q9, AC9*AF9)/AC9</f>
        <v>14</v>
      </c>
      <c r="AE9" s="16">
        <f t="shared" ref="AE9:AE18" si="9">AD9*AC9*G9</f>
        <v>36.96</v>
      </c>
      <c r="AF9" s="16">
        <f>VLOOKUP(A9,[1]Sheet!$A:$AJ,35,0)</f>
        <v>14</v>
      </c>
      <c r="AG9" s="16">
        <f>VLOOKUP(A9,[1]Sheet!$A:$AJ,36,0)</f>
        <v>70</v>
      </c>
      <c r="AH9" s="8">
        <f t="shared" ref="AH9:AH18" si="10">AD9/AG9</f>
        <v>0.2</v>
      </c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</row>
    <row r="10" spans="1:49" x14ac:dyDescent="0.25">
      <c r="A10" s="16" t="s">
        <v>46</v>
      </c>
      <c r="B10" s="16" t="s">
        <v>38</v>
      </c>
      <c r="C10" s="16">
        <v>158</v>
      </c>
      <c r="D10" s="16"/>
      <c r="E10" s="16">
        <v>92</v>
      </c>
      <c r="F10" s="16">
        <v>66</v>
      </c>
      <c r="G10" s="6">
        <f>VLOOKUP(A10,[1]Sheet!$A:$I,7,0)</f>
        <v>0.3</v>
      </c>
      <c r="H10" s="16">
        <f>VLOOKUP(A10,[1]Sheet!$A:$I,8,0)</f>
        <v>180</v>
      </c>
      <c r="I10" s="16" t="str">
        <f>VLOOKUP(A10,[1]Sheet!$A:$I,9,0)</f>
        <v>P004598</v>
      </c>
      <c r="J10" s="16"/>
      <c r="K10" s="16">
        <v>92</v>
      </c>
      <c r="L10" s="16">
        <f t="shared" si="2"/>
        <v>0</v>
      </c>
      <c r="M10" s="16"/>
      <c r="N10" s="16"/>
      <c r="O10" s="16">
        <v>168</v>
      </c>
      <c r="P10" s="16">
        <f t="shared" si="3"/>
        <v>18.399999999999999</v>
      </c>
      <c r="Q10" s="4">
        <f>18*P10-O10-F10</f>
        <v>97.199999999999989</v>
      </c>
      <c r="R10" s="4">
        <f t="shared" si="6"/>
        <v>168</v>
      </c>
      <c r="S10" s="16">
        <f t="shared" si="4"/>
        <v>21.847826086956523</v>
      </c>
      <c r="T10" s="16">
        <f t="shared" si="5"/>
        <v>12.717391304347828</v>
      </c>
      <c r="U10" s="16">
        <v>22.4</v>
      </c>
      <c r="V10" s="16">
        <v>23</v>
      </c>
      <c r="W10" s="16">
        <v>10.199999999999999</v>
      </c>
      <c r="X10" s="16">
        <v>14.8</v>
      </c>
      <c r="Y10" s="16">
        <v>11.6</v>
      </c>
      <c r="Z10" s="16">
        <v>14.8</v>
      </c>
      <c r="AA10" s="16"/>
      <c r="AB10" s="16">
        <f t="shared" si="7"/>
        <v>29.159999999999997</v>
      </c>
      <c r="AC10" s="6">
        <f>VLOOKUP(A10,[1]Sheet!$A:$AJ,32,0)</f>
        <v>12</v>
      </c>
      <c r="AD10" s="8">
        <f t="shared" si="8"/>
        <v>14</v>
      </c>
      <c r="AE10" s="16">
        <f t="shared" si="9"/>
        <v>50.4</v>
      </c>
      <c r="AF10" s="16">
        <f>VLOOKUP(A10,[1]Sheet!$A:$AJ,35,0)</f>
        <v>14</v>
      </c>
      <c r="AG10" s="16">
        <f>VLOOKUP(A10,[1]Sheet!$A:$AJ,36,0)</f>
        <v>70</v>
      </c>
      <c r="AH10" s="8">
        <f t="shared" si="10"/>
        <v>0.2</v>
      </c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</row>
    <row r="11" spans="1:49" x14ac:dyDescent="0.25">
      <c r="A11" s="16" t="s">
        <v>47</v>
      </c>
      <c r="B11" s="16" t="s">
        <v>38</v>
      </c>
      <c r="C11" s="16">
        <v>1613</v>
      </c>
      <c r="D11" s="16"/>
      <c r="E11" s="16">
        <v>670</v>
      </c>
      <c r="F11" s="16">
        <v>943</v>
      </c>
      <c r="G11" s="6">
        <f>VLOOKUP(A11,[1]Sheet!$A:$I,7,0)</f>
        <v>0.28000000000000003</v>
      </c>
      <c r="H11" s="16">
        <f>VLOOKUP(A11,[1]Sheet!$A:$I,8,0)</f>
        <v>180</v>
      </c>
      <c r="I11" s="16" t="str">
        <f>VLOOKUP(A11,[1]Sheet!$A:$I,9,0)</f>
        <v>P004597</v>
      </c>
      <c r="J11" s="16"/>
      <c r="K11" s="16">
        <v>677</v>
      </c>
      <c r="L11" s="16">
        <f t="shared" si="2"/>
        <v>-7</v>
      </c>
      <c r="M11" s="16"/>
      <c r="N11" s="16"/>
      <c r="O11" s="16">
        <v>84</v>
      </c>
      <c r="P11" s="16">
        <f t="shared" si="3"/>
        <v>134</v>
      </c>
      <c r="Q11" s="4">
        <f t="shared" ref="Q11:Q18" si="11">14*P11-O11-F11</f>
        <v>849</v>
      </c>
      <c r="R11" s="4">
        <f t="shared" si="6"/>
        <v>840</v>
      </c>
      <c r="S11" s="16">
        <f t="shared" si="4"/>
        <v>13.932835820895523</v>
      </c>
      <c r="T11" s="16">
        <f t="shared" si="5"/>
        <v>7.6641791044776122</v>
      </c>
      <c r="U11" s="16">
        <v>119</v>
      </c>
      <c r="V11" s="16">
        <v>172.6</v>
      </c>
      <c r="W11" s="16">
        <v>118</v>
      </c>
      <c r="X11" s="16">
        <v>143</v>
      </c>
      <c r="Y11" s="16">
        <v>111.4</v>
      </c>
      <c r="Z11" s="16">
        <v>189.6</v>
      </c>
      <c r="AA11" s="16"/>
      <c r="AB11" s="16">
        <f t="shared" si="7"/>
        <v>237.72000000000003</v>
      </c>
      <c r="AC11" s="6">
        <f>VLOOKUP(A11,[1]Sheet!$A:$AJ,32,0)</f>
        <v>6</v>
      </c>
      <c r="AD11" s="8">
        <f t="shared" si="8"/>
        <v>140</v>
      </c>
      <c r="AE11" s="16">
        <f t="shared" si="9"/>
        <v>235.20000000000002</v>
      </c>
      <c r="AF11" s="16">
        <f>VLOOKUP(A11,[1]Sheet!$A:$AJ,35,0)</f>
        <v>14</v>
      </c>
      <c r="AG11" s="16">
        <f>VLOOKUP(A11,[1]Sheet!$A:$AJ,36,0)</f>
        <v>140</v>
      </c>
      <c r="AH11" s="8">
        <f t="shared" si="10"/>
        <v>1</v>
      </c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</row>
    <row r="12" spans="1:49" x14ac:dyDescent="0.25">
      <c r="A12" s="16" t="s">
        <v>48</v>
      </c>
      <c r="B12" s="16" t="s">
        <v>38</v>
      </c>
      <c r="C12" s="16">
        <v>399</v>
      </c>
      <c r="D12" s="16"/>
      <c r="E12" s="16">
        <v>358</v>
      </c>
      <c r="F12" s="16">
        <v>41</v>
      </c>
      <c r="G12" s="6">
        <f>VLOOKUP(A12,[1]Sheet!$A:$I,7,0)</f>
        <v>0.24</v>
      </c>
      <c r="H12" s="16">
        <f>VLOOKUP(A12,[1]Sheet!$A:$I,8,0)</f>
        <v>180</v>
      </c>
      <c r="I12" s="16" t="str">
        <f>VLOOKUP(A12,[1]Sheet!$A:$I,9,0)</f>
        <v>P004969</v>
      </c>
      <c r="J12" s="16"/>
      <c r="K12" s="16">
        <v>390</v>
      </c>
      <c r="L12" s="16">
        <f t="shared" si="2"/>
        <v>-32</v>
      </c>
      <c r="M12" s="16"/>
      <c r="N12" s="16"/>
      <c r="O12" s="16">
        <v>672</v>
      </c>
      <c r="P12" s="16">
        <f t="shared" si="3"/>
        <v>71.599999999999994</v>
      </c>
      <c r="Q12" s="4">
        <f t="shared" si="11"/>
        <v>289.39999999999986</v>
      </c>
      <c r="R12" s="4">
        <f t="shared" si="6"/>
        <v>336</v>
      </c>
      <c r="S12" s="16">
        <f t="shared" si="4"/>
        <v>14.650837988826817</v>
      </c>
      <c r="T12" s="16">
        <f t="shared" si="5"/>
        <v>9.9581005586592184</v>
      </c>
      <c r="U12" s="16">
        <v>87.2</v>
      </c>
      <c r="V12" s="16">
        <v>87</v>
      </c>
      <c r="W12" s="16">
        <v>75</v>
      </c>
      <c r="X12" s="16">
        <v>115.2</v>
      </c>
      <c r="Y12" s="16">
        <v>116.4</v>
      </c>
      <c r="Z12" s="16">
        <v>102.4</v>
      </c>
      <c r="AA12" s="16"/>
      <c r="AB12" s="16">
        <f t="shared" si="7"/>
        <v>69.45599999999996</v>
      </c>
      <c r="AC12" s="6">
        <f>VLOOKUP(A12,[1]Sheet!$A:$AJ,32,0)</f>
        <v>12</v>
      </c>
      <c r="AD12" s="8">
        <f t="shared" si="8"/>
        <v>28</v>
      </c>
      <c r="AE12" s="16">
        <f t="shared" si="9"/>
        <v>80.64</v>
      </c>
      <c r="AF12" s="16">
        <f>VLOOKUP(A12,[1]Sheet!$A:$AJ,35,0)</f>
        <v>14</v>
      </c>
      <c r="AG12" s="16">
        <f>VLOOKUP(A12,[1]Sheet!$A:$AJ,36,0)</f>
        <v>70</v>
      </c>
      <c r="AH12" s="8">
        <f t="shared" si="10"/>
        <v>0.4</v>
      </c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</row>
    <row r="13" spans="1:49" x14ac:dyDescent="0.25">
      <c r="A13" s="16" t="s">
        <v>49</v>
      </c>
      <c r="B13" s="16" t="s">
        <v>38</v>
      </c>
      <c r="C13" s="16">
        <v>328</v>
      </c>
      <c r="D13" s="16"/>
      <c r="E13" s="16">
        <v>311</v>
      </c>
      <c r="F13" s="16">
        <v>17</v>
      </c>
      <c r="G13" s="6">
        <f>VLOOKUP(A13,[1]Sheet!$A:$I,7,0)</f>
        <v>0.24</v>
      </c>
      <c r="H13" s="16">
        <f>VLOOKUP(A13,[1]Sheet!$A:$I,8,0)</f>
        <v>180</v>
      </c>
      <c r="I13" s="16" t="str">
        <f>VLOOKUP(A13,[1]Sheet!$A:$I,9,0)</f>
        <v>P004971</v>
      </c>
      <c r="J13" s="16"/>
      <c r="K13" s="16">
        <v>791</v>
      </c>
      <c r="L13" s="16">
        <f t="shared" si="2"/>
        <v>-480</v>
      </c>
      <c r="M13" s="16"/>
      <c r="N13" s="16"/>
      <c r="O13" s="16">
        <v>1344</v>
      </c>
      <c r="P13" s="16">
        <f t="shared" si="3"/>
        <v>62.2</v>
      </c>
      <c r="Q13" s="4"/>
      <c r="R13" s="4">
        <f t="shared" si="6"/>
        <v>0</v>
      </c>
      <c r="S13" s="16">
        <f t="shared" si="4"/>
        <v>21.881028938906752</v>
      </c>
      <c r="T13" s="16">
        <f t="shared" si="5"/>
        <v>21.881028938906752</v>
      </c>
      <c r="U13" s="16">
        <v>187</v>
      </c>
      <c r="V13" s="16">
        <v>186.6</v>
      </c>
      <c r="W13" s="16">
        <v>97.8</v>
      </c>
      <c r="X13" s="16">
        <v>195.2</v>
      </c>
      <c r="Y13" s="16">
        <v>107.6</v>
      </c>
      <c r="Z13" s="16">
        <v>118</v>
      </c>
      <c r="AA13" s="16"/>
      <c r="AB13" s="16">
        <f t="shared" si="7"/>
        <v>0</v>
      </c>
      <c r="AC13" s="6">
        <f>VLOOKUP(A13,[1]Sheet!$A:$AJ,32,0)</f>
        <v>12</v>
      </c>
      <c r="AD13" s="8">
        <f t="shared" si="8"/>
        <v>0</v>
      </c>
      <c r="AE13" s="16">
        <f t="shared" si="9"/>
        <v>0</v>
      </c>
      <c r="AF13" s="16">
        <f>VLOOKUP(A13,[1]Sheet!$A:$AJ,35,0)</f>
        <v>14</v>
      </c>
      <c r="AG13" s="16">
        <f>VLOOKUP(A13,[1]Sheet!$A:$AJ,36,0)</f>
        <v>70</v>
      </c>
      <c r="AH13" s="8">
        <f t="shared" si="10"/>
        <v>0</v>
      </c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</row>
    <row r="14" spans="1:49" x14ac:dyDescent="0.25">
      <c r="A14" s="16" t="s">
        <v>50</v>
      </c>
      <c r="B14" s="16" t="s">
        <v>38</v>
      </c>
      <c r="C14" s="16">
        <v>336</v>
      </c>
      <c r="D14" s="16"/>
      <c r="E14" s="16">
        <v>314</v>
      </c>
      <c r="F14" s="16">
        <v>22</v>
      </c>
      <c r="G14" s="6">
        <f>VLOOKUP(A14,[1]Sheet!$A:$I,7,0)</f>
        <v>0.24</v>
      </c>
      <c r="H14" s="16">
        <f>VLOOKUP(A14,[1]Sheet!$A:$I,8,0)</f>
        <v>180</v>
      </c>
      <c r="I14" s="16" t="str">
        <f>VLOOKUP(A14,[1]Sheet!$A:$I,9,0)</f>
        <v>P004974</v>
      </c>
      <c r="J14" s="16"/>
      <c r="K14" s="16">
        <v>522</v>
      </c>
      <c r="L14" s="16">
        <f t="shared" si="2"/>
        <v>-208</v>
      </c>
      <c r="M14" s="16"/>
      <c r="N14" s="16"/>
      <c r="O14" s="16">
        <v>672</v>
      </c>
      <c r="P14" s="16">
        <f t="shared" si="3"/>
        <v>62.8</v>
      </c>
      <c r="Q14" s="4">
        <f t="shared" si="11"/>
        <v>185.19999999999993</v>
      </c>
      <c r="R14" s="4">
        <f t="shared" si="6"/>
        <v>168</v>
      </c>
      <c r="S14" s="16">
        <f t="shared" si="4"/>
        <v>13.726114649681529</v>
      </c>
      <c r="T14" s="16">
        <f t="shared" si="5"/>
        <v>11.050955414012739</v>
      </c>
      <c r="U14" s="16">
        <v>95.8</v>
      </c>
      <c r="V14" s="16">
        <v>113</v>
      </c>
      <c r="W14" s="16">
        <v>95.6</v>
      </c>
      <c r="X14" s="16">
        <v>123.8</v>
      </c>
      <c r="Y14" s="16">
        <v>94.6</v>
      </c>
      <c r="Z14" s="16">
        <v>147.6</v>
      </c>
      <c r="AA14" s="16"/>
      <c r="AB14" s="16">
        <f t="shared" si="7"/>
        <v>44.447999999999979</v>
      </c>
      <c r="AC14" s="6">
        <f>VLOOKUP(A14,[1]Sheet!$A:$AJ,32,0)</f>
        <v>12</v>
      </c>
      <c r="AD14" s="8">
        <f t="shared" si="8"/>
        <v>14</v>
      </c>
      <c r="AE14" s="16">
        <f t="shared" si="9"/>
        <v>40.32</v>
      </c>
      <c r="AF14" s="16">
        <f>VLOOKUP(A14,[1]Sheet!$A:$AJ,35,0)</f>
        <v>14</v>
      </c>
      <c r="AG14" s="16">
        <f>VLOOKUP(A14,[1]Sheet!$A:$AJ,36,0)</f>
        <v>70</v>
      </c>
      <c r="AH14" s="8">
        <f t="shared" si="10"/>
        <v>0.2</v>
      </c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</row>
    <row r="15" spans="1:49" x14ac:dyDescent="0.25">
      <c r="A15" s="16" t="s">
        <v>40</v>
      </c>
      <c r="B15" s="16" t="s">
        <v>38</v>
      </c>
      <c r="C15" s="16">
        <v>1285</v>
      </c>
      <c r="D15" s="16">
        <v>45</v>
      </c>
      <c r="E15" s="17">
        <f>838+E6</f>
        <v>1085</v>
      </c>
      <c r="F15" s="17">
        <f>147+F6</f>
        <v>333</v>
      </c>
      <c r="G15" s="6">
        <f>VLOOKUP(A15,[1]Sheet!$A:$I,7,0)</f>
        <v>0.24</v>
      </c>
      <c r="H15" s="16">
        <f>VLOOKUP(A15,[1]Sheet!$A:$I,8,0)</f>
        <v>180</v>
      </c>
      <c r="I15" s="16" t="str">
        <f>VLOOKUP(A15,[1]Sheet!$A:$I,9,0)</f>
        <v>P004966</v>
      </c>
      <c r="J15" s="16"/>
      <c r="K15" s="16">
        <v>898</v>
      </c>
      <c r="L15" s="16">
        <f t="shared" si="2"/>
        <v>187</v>
      </c>
      <c r="M15" s="16"/>
      <c r="N15" s="16"/>
      <c r="O15" s="16">
        <v>1344</v>
      </c>
      <c r="P15" s="16">
        <f t="shared" si="3"/>
        <v>217</v>
      </c>
      <c r="Q15" s="4">
        <f t="shared" si="11"/>
        <v>1361</v>
      </c>
      <c r="R15" s="4">
        <f t="shared" si="6"/>
        <v>1344</v>
      </c>
      <c r="S15" s="16">
        <f t="shared" si="4"/>
        <v>13.921658986175116</v>
      </c>
      <c r="T15" s="16">
        <f t="shared" si="5"/>
        <v>7.7281105990783407</v>
      </c>
      <c r="U15" s="16">
        <v>243.8</v>
      </c>
      <c r="V15" s="16">
        <v>228.6</v>
      </c>
      <c r="W15" s="16">
        <v>194.2</v>
      </c>
      <c r="X15" s="16">
        <v>212.6</v>
      </c>
      <c r="Y15" s="16">
        <v>137.19999999999999</v>
      </c>
      <c r="Z15" s="16">
        <v>167.2</v>
      </c>
      <c r="AA15" s="16"/>
      <c r="AB15" s="16">
        <f t="shared" si="7"/>
        <v>326.64</v>
      </c>
      <c r="AC15" s="6">
        <f>VLOOKUP(A15,[1]Sheet!$A:$AJ,32,0)</f>
        <v>12</v>
      </c>
      <c r="AD15" s="8">
        <f t="shared" si="8"/>
        <v>112</v>
      </c>
      <c r="AE15" s="16">
        <f t="shared" si="9"/>
        <v>322.56</v>
      </c>
      <c r="AF15" s="16">
        <f>VLOOKUP(A15,[1]Sheet!$A:$AJ,35,0)</f>
        <v>14</v>
      </c>
      <c r="AG15" s="16">
        <f>VLOOKUP(A15,[1]Sheet!$A:$AJ,36,0)</f>
        <v>70</v>
      </c>
      <c r="AH15" s="8">
        <f t="shared" si="10"/>
        <v>1.6</v>
      </c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</row>
    <row r="16" spans="1:49" x14ac:dyDescent="0.25">
      <c r="A16" s="16" t="s">
        <v>51</v>
      </c>
      <c r="B16" s="16" t="s">
        <v>38</v>
      </c>
      <c r="C16" s="16">
        <v>409</v>
      </c>
      <c r="D16" s="16"/>
      <c r="E16" s="16">
        <v>102</v>
      </c>
      <c r="F16" s="16">
        <v>307</v>
      </c>
      <c r="G16" s="6">
        <f>VLOOKUP(A16,[1]Sheet!$A:$I,7,0)</f>
        <v>0.48</v>
      </c>
      <c r="H16" s="16">
        <f>VLOOKUP(A16,[1]Sheet!$A:$I,8,0)</f>
        <v>180</v>
      </c>
      <c r="I16" s="16" t="str">
        <f>VLOOKUP(A16,[1]Sheet!$A:$I,9,0)</f>
        <v>P004595</v>
      </c>
      <c r="J16" s="16"/>
      <c r="K16" s="16">
        <v>116</v>
      </c>
      <c r="L16" s="16">
        <f t="shared" si="2"/>
        <v>-14</v>
      </c>
      <c r="M16" s="16"/>
      <c r="N16" s="16"/>
      <c r="O16" s="16">
        <v>0</v>
      </c>
      <c r="P16" s="16">
        <f t="shared" si="3"/>
        <v>20.399999999999999</v>
      </c>
      <c r="Q16" s="4"/>
      <c r="R16" s="4">
        <f t="shared" si="6"/>
        <v>0</v>
      </c>
      <c r="S16" s="16">
        <f t="shared" si="4"/>
        <v>15.049019607843139</v>
      </c>
      <c r="T16" s="16">
        <f t="shared" si="5"/>
        <v>15.049019607843139</v>
      </c>
      <c r="U16" s="16">
        <v>31.4</v>
      </c>
      <c r="V16" s="16">
        <v>39.4</v>
      </c>
      <c r="W16" s="16">
        <v>13.8</v>
      </c>
      <c r="X16" s="16">
        <v>14.6</v>
      </c>
      <c r="Y16" s="16">
        <v>35.200000000000003</v>
      </c>
      <c r="Z16" s="16">
        <v>34</v>
      </c>
      <c r="AA16" s="16"/>
      <c r="AB16" s="16">
        <f t="shared" si="7"/>
        <v>0</v>
      </c>
      <c r="AC16" s="6">
        <f>VLOOKUP(A16,[1]Sheet!$A:$AJ,32,0)</f>
        <v>8</v>
      </c>
      <c r="AD16" s="8">
        <f t="shared" si="8"/>
        <v>0</v>
      </c>
      <c r="AE16" s="16">
        <f t="shared" si="9"/>
        <v>0</v>
      </c>
      <c r="AF16" s="16">
        <f>VLOOKUP(A16,[1]Sheet!$A:$AJ,35,0)</f>
        <v>14</v>
      </c>
      <c r="AG16" s="16">
        <f>VLOOKUP(A16,[1]Sheet!$A:$AJ,36,0)</f>
        <v>70</v>
      </c>
      <c r="AH16" s="8">
        <f t="shared" si="10"/>
        <v>0</v>
      </c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</row>
    <row r="17" spans="1:49" x14ac:dyDescent="0.25">
      <c r="A17" s="16" t="s">
        <v>52</v>
      </c>
      <c r="B17" s="16" t="s">
        <v>38</v>
      </c>
      <c r="C17" s="16">
        <v>519</v>
      </c>
      <c r="D17" s="16"/>
      <c r="E17" s="16">
        <v>576</v>
      </c>
      <c r="F17" s="16">
        <v>-57</v>
      </c>
      <c r="G17" s="6">
        <f>VLOOKUP(A17,[1]Sheet!$A:$I,7,0)</f>
        <v>0.09</v>
      </c>
      <c r="H17" s="16">
        <f>VLOOKUP(A17,[1]Sheet!$A:$I,8,0)</f>
        <v>180</v>
      </c>
      <c r="I17" s="16" t="str">
        <f>VLOOKUP(A17,[1]Sheet!$A:$I,9,0)</f>
        <v>P004138</v>
      </c>
      <c r="J17" s="16"/>
      <c r="K17" s="16">
        <v>605</v>
      </c>
      <c r="L17" s="16">
        <f t="shared" si="2"/>
        <v>-29</v>
      </c>
      <c r="M17" s="16"/>
      <c r="N17" s="16"/>
      <c r="O17" s="16">
        <v>672</v>
      </c>
      <c r="P17" s="16">
        <f t="shared" si="3"/>
        <v>115.2</v>
      </c>
      <c r="Q17" s="4">
        <f t="shared" si="11"/>
        <v>997.8</v>
      </c>
      <c r="R17" s="4">
        <f t="shared" si="6"/>
        <v>1008</v>
      </c>
      <c r="S17" s="16">
        <f t="shared" si="4"/>
        <v>14.088541666666666</v>
      </c>
      <c r="T17" s="16">
        <f t="shared" si="5"/>
        <v>5.338541666666667</v>
      </c>
      <c r="U17" s="16">
        <v>73</v>
      </c>
      <c r="V17" s="16">
        <v>127.2</v>
      </c>
      <c r="W17" s="16">
        <v>93.6</v>
      </c>
      <c r="X17" s="16">
        <v>105.6</v>
      </c>
      <c r="Y17" s="16">
        <v>78.8</v>
      </c>
      <c r="Z17" s="16">
        <v>72.400000000000006</v>
      </c>
      <c r="AA17" s="16"/>
      <c r="AB17" s="16">
        <f t="shared" si="7"/>
        <v>89.801999999999992</v>
      </c>
      <c r="AC17" s="6">
        <f>VLOOKUP(A17,[1]Sheet!$A:$AJ,32,0)</f>
        <v>24</v>
      </c>
      <c r="AD17" s="8">
        <f t="shared" si="8"/>
        <v>42</v>
      </c>
      <c r="AE17" s="16">
        <f t="shared" si="9"/>
        <v>90.72</v>
      </c>
      <c r="AF17" s="16">
        <f>VLOOKUP(A17,[1]Sheet!$A:$AJ,35,0)</f>
        <v>14</v>
      </c>
      <c r="AG17" s="16">
        <f>VLOOKUP(A17,[1]Sheet!$A:$AJ,36,0)</f>
        <v>126</v>
      </c>
      <c r="AH17" s="8">
        <f t="shared" si="10"/>
        <v>0.33333333333333331</v>
      </c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</row>
    <row r="18" spans="1:49" x14ac:dyDescent="0.25">
      <c r="A18" s="16" t="s">
        <v>53</v>
      </c>
      <c r="B18" s="16" t="s">
        <v>38</v>
      </c>
      <c r="C18" s="16">
        <v>813</v>
      </c>
      <c r="D18" s="16"/>
      <c r="E18" s="16">
        <v>463</v>
      </c>
      <c r="F18" s="16">
        <v>348</v>
      </c>
      <c r="G18" s="6">
        <f>VLOOKUP(A18,[1]Sheet!$A:$I,7,0)</f>
        <v>0.36</v>
      </c>
      <c r="H18" s="16">
        <f>VLOOKUP(A18,[1]Sheet!$A:$I,8,0)</f>
        <v>180</v>
      </c>
      <c r="I18" s="16" t="str">
        <f>VLOOKUP(A18,[1]Sheet!$A:$I,9,0)</f>
        <v>P004583</v>
      </c>
      <c r="J18" s="16"/>
      <c r="K18" s="16">
        <v>497</v>
      </c>
      <c r="L18" s="16">
        <f t="shared" si="2"/>
        <v>-34</v>
      </c>
      <c r="M18" s="16"/>
      <c r="N18" s="16"/>
      <c r="O18" s="16">
        <v>560</v>
      </c>
      <c r="P18" s="16">
        <f t="shared" si="3"/>
        <v>92.6</v>
      </c>
      <c r="Q18" s="4">
        <f t="shared" si="11"/>
        <v>388.39999999999986</v>
      </c>
      <c r="R18" s="4">
        <f t="shared" si="6"/>
        <v>420</v>
      </c>
      <c r="S18" s="16">
        <f t="shared" si="4"/>
        <v>14.341252699784018</v>
      </c>
      <c r="T18" s="16">
        <f t="shared" si="5"/>
        <v>9.8056155507559399</v>
      </c>
      <c r="U18" s="16">
        <v>104</v>
      </c>
      <c r="V18" s="16">
        <v>85</v>
      </c>
      <c r="W18" s="16">
        <v>93.2</v>
      </c>
      <c r="X18" s="16">
        <v>110</v>
      </c>
      <c r="Y18" s="16">
        <v>98.8</v>
      </c>
      <c r="Z18" s="16">
        <v>132.19999999999999</v>
      </c>
      <c r="AA18" s="16"/>
      <c r="AB18" s="16">
        <f t="shared" si="7"/>
        <v>139.82399999999996</v>
      </c>
      <c r="AC18" s="6">
        <f>VLOOKUP(A18,[1]Sheet!$A:$AJ,32,0)</f>
        <v>10</v>
      </c>
      <c r="AD18" s="8">
        <f t="shared" si="8"/>
        <v>42</v>
      </c>
      <c r="AE18" s="16">
        <f t="shared" si="9"/>
        <v>151.19999999999999</v>
      </c>
      <c r="AF18" s="16">
        <f>VLOOKUP(A18,[1]Sheet!$A:$AJ,35,0)</f>
        <v>14</v>
      </c>
      <c r="AG18" s="16">
        <f>VLOOKUP(A18,[1]Sheet!$A:$AJ,36,0)</f>
        <v>70</v>
      </c>
      <c r="AH18" s="8">
        <f t="shared" si="10"/>
        <v>0.6</v>
      </c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</row>
    <row r="19" spans="1:49" x14ac:dyDescent="0.25">
      <c r="A19" s="12" t="s">
        <v>54</v>
      </c>
      <c r="B19" s="12" t="s">
        <v>38</v>
      </c>
      <c r="C19" s="12">
        <v>832</v>
      </c>
      <c r="D19" s="12"/>
      <c r="E19" s="12"/>
      <c r="F19" s="12">
        <v>831</v>
      </c>
      <c r="G19" s="13">
        <v>0</v>
      </c>
      <c r="H19" s="12"/>
      <c r="I19" s="12" t="s">
        <v>55</v>
      </c>
      <c r="J19" s="12" t="s">
        <v>56</v>
      </c>
      <c r="K19" s="12"/>
      <c r="L19" s="12">
        <f t="shared" si="2"/>
        <v>0</v>
      </c>
      <c r="M19" s="12"/>
      <c r="N19" s="12"/>
      <c r="O19" s="12"/>
      <c r="P19" s="12">
        <f t="shared" si="3"/>
        <v>0</v>
      </c>
      <c r="Q19" s="14"/>
      <c r="R19" s="14"/>
      <c r="S19" s="12" t="e">
        <f t="shared" si="4"/>
        <v>#DIV/0!</v>
      </c>
      <c r="T19" s="12" t="e">
        <f t="shared" si="5"/>
        <v>#DIV/0!</v>
      </c>
      <c r="U19" s="12">
        <v>0.2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 t="s">
        <v>107</v>
      </c>
      <c r="AB19" s="12"/>
      <c r="AC19" s="13"/>
      <c r="AD19" s="15"/>
      <c r="AE19" s="12"/>
      <c r="AF19" s="12"/>
      <c r="AG19" s="12"/>
      <c r="AH19" s="15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</row>
    <row r="20" spans="1:49" x14ac:dyDescent="0.25">
      <c r="A20" s="16" t="s">
        <v>56</v>
      </c>
      <c r="B20" s="16" t="s">
        <v>38</v>
      </c>
      <c r="C20" s="16">
        <v>536</v>
      </c>
      <c r="D20" s="16"/>
      <c r="E20" s="16">
        <v>284</v>
      </c>
      <c r="F20" s="16">
        <f>252</f>
        <v>252</v>
      </c>
      <c r="G20" s="6">
        <f>VLOOKUP(A20,[1]Sheet!$A:$I,7,0)</f>
        <v>0.2</v>
      </c>
      <c r="H20" s="16">
        <f>VLOOKUP(A20,[1]Sheet!$A:$I,8,0)</f>
        <v>180</v>
      </c>
      <c r="I20" s="16" t="str">
        <f>VLOOKUP(A20,[1]Sheet!$A:$I,9,0)</f>
        <v>P004956</v>
      </c>
      <c r="J20" s="16"/>
      <c r="K20" s="16">
        <v>300</v>
      </c>
      <c r="L20" s="16">
        <f t="shared" si="2"/>
        <v>-16</v>
      </c>
      <c r="M20" s="16"/>
      <c r="N20" s="16"/>
      <c r="O20" s="16">
        <v>0</v>
      </c>
      <c r="P20" s="16">
        <f t="shared" si="3"/>
        <v>56.8</v>
      </c>
      <c r="Q20" s="4">
        <f t="shared" ref="Q20:Q40" si="12">14*P20-O20-F20</f>
        <v>543.19999999999993</v>
      </c>
      <c r="R20" s="4">
        <f t="shared" ref="R20:R42" si="13">AC20*AD20</f>
        <v>504</v>
      </c>
      <c r="S20" s="16">
        <f t="shared" si="4"/>
        <v>13.309859154929578</v>
      </c>
      <c r="T20" s="16">
        <f t="shared" si="5"/>
        <v>4.436619718309859</v>
      </c>
      <c r="U20" s="16">
        <v>38.4</v>
      </c>
      <c r="V20" s="16">
        <v>47.4</v>
      </c>
      <c r="W20" s="16">
        <v>35.799999999999997</v>
      </c>
      <c r="X20" s="16">
        <v>42.8</v>
      </c>
      <c r="Y20" s="16">
        <v>25.8</v>
      </c>
      <c r="Z20" s="16">
        <v>42</v>
      </c>
      <c r="AA20" s="16"/>
      <c r="AB20" s="16">
        <f t="shared" ref="AB20:AB42" si="14">G20*Q20</f>
        <v>108.63999999999999</v>
      </c>
      <c r="AC20" s="6">
        <f>VLOOKUP(A20,[1]Sheet!$A:$AJ,32,0)</f>
        <v>12</v>
      </c>
      <c r="AD20" s="8">
        <f t="shared" ref="AD20:AD42" si="15">MROUND(Q20, AC20*AF20)/AC20</f>
        <v>42</v>
      </c>
      <c r="AE20" s="16">
        <f t="shared" ref="AE20:AE42" si="16">AD20*AC20*G20</f>
        <v>100.80000000000001</v>
      </c>
      <c r="AF20" s="16">
        <f>VLOOKUP(A20,[1]Sheet!$A:$AJ,35,0)</f>
        <v>14</v>
      </c>
      <c r="AG20" s="16">
        <f>VLOOKUP(A20,[1]Sheet!$A:$AJ,36,0)</f>
        <v>70</v>
      </c>
      <c r="AH20" s="8">
        <f t="shared" ref="AH20:AH42" si="17">AD20/AG20</f>
        <v>0.6</v>
      </c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</row>
    <row r="21" spans="1:49" x14ac:dyDescent="0.25">
      <c r="A21" s="16" t="s">
        <v>58</v>
      </c>
      <c r="B21" s="16" t="s">
        <v>38</v>
      </c>
      <c r="C21" s="16">
        <v>1037</v>
      </c>
      <c r="D21" s="16"/>
      <c r="E21" s="16">
        <v>409</v>
      </c>
      <c r="F21" s="16">
        <v>628</v>
      </c>
      <c r="G21" s="6">
        <f>VLOOKUP(A21,[1]Sheet!$A:$I,7,0)</f>
        <v>0.2</v>
      </c>
      <c r="H21" s="16">
        <f>VLOOKUP(A21,[1]Sheet!$A:$I,8,0)</f>
        <v>180</v>
      </c>
      <c r="I21" s="16" t="str">
        <f>VLOOKUP(A21,[1]Sheet!$A:$I,9,0)</f>
        <v>P004953</v>
      </c>
      <c r="J21" s="16"/>
      <c r="K21" s="16">
        <v>447</v>
      </c>
      <c r="L21" s="16">
        <f t="shared" si="2"/>
        <v>-38</v>
      </c>
      <c r="M21" s="16"/>
      <c r="N21" s="16"/>
      <c r="O21" s="16">
        <v>168</v>
      </c>
      <c r="P21" s="16">
        <f t="shared" si="3"/>
        <v>81.8</v>
      </c>
      <c r="Q21" s="4">
        <f t="shared" si="12"/>
        <v>349.20000000000005</v>
      </c>
      <c r="R21" s="4">
        <f t="shared" si="13"/>
        <v>336</v>
      </c>
      <c r="S21" s="16">
        <f t="shared" si="4"/>
        <v>13.838630806845966</v>
      </c>
      <c r="T21" s="16">
        <f t="shared" si="5"/>
        <v>9.7310513447432765</v>
      </c>
      <c r="U21" s="16">
        <v>83</v>
      </c>
      <c r="V21" s="16">
        <v>118.4</v>
      </c>
      <c r="W21" s="16">
        <v>99.8</v>
      </c>
      <c r="X21" s="16">
        <v>75</v>
      </c>
      <c r="Y21" s="16">
        <v>106</v>
      </c>
      <c r="Z21" s="16">
        <v>159.6</v>
      </c>
      <c r="AA21" s="16"/>
      <c r="AB21" s="16">
        <f t="shared" si="14"/>
        <v>69.840000000000018</v>
      </c>
      <c r="AC21" s="6">
        <f>VLOOKUP(A21,[1]Sheet!$A:$AJ,32,0)</f>
        <v>12</v>
      </c>
      <c r="AD21" s="8">
        <f t="shared" si="15"/>
        <v>28</v>
      </c>
      <c r="AE21" s="16">
        <f t="shared" si="16"/>
        <v>67.2</v>
      </c>
      <c r="AF21" s="16">
        <f>VLOOKUP(A21,[1]Sheet!$A:$AJ,35,0)</f>
        <v>14</v>
      </c>
      <c r="AG21" s="16">
        <f>VLOOKUP(A21,[1]Sheet!$A:$AJ,36,0)</f>
        <v>70</v>
      </c>
      <c r="AH21" s="8">
        <f t="shared" si="17"/>
        <v>0.4</v>
      </c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</row>
    <row r="22" spans="1:49" x14ac:dyDescent="0.25">
      <c r="A22" s="16" t="s">
        <v>59</v>
      </c>
      <c r="B22" s="16" t="s">
        <v>60</v>
      </c>
      <c r="C22" s="16">
        <v>155</v>
      </c>
      <c r="D22" s="16"/>
      <c r="E22" s="16">
        <v>198.7</v>
      </c>
      <c r="F22" s="16">
        <v>-43.7</v>
      </c>
      <c r="G22" s="6">
        <f>VLOOKUP(A22,[1]Sheet!$A:$I,7,0)</f>
        <v>1</v>
      </c>
      <c r="H22" s="16">
        <f>VLOOKUP(A22,[1]Sheet!$A:$I,8,0)</f>
        <v>180</v>
      </c>
      <c r="I22" s="16" t="str">
        <f>VLOOKUP(A22,[1]Sheet!$A:$I,9,0)</f>
        <v>P005235</v>
      </c>
      <c r="J22" s="16"/>
      <c r="K22" s="16">
        <v>193.5</v>
      </c>
      <c r="L22" s="16">
        <f t="shared" si="2"/>
        <v>5.1999999999999886</v>
      </c>
      <c r="M22" s="16"/>
      <c r="N22" s="16"/>
      <c r="O22" s="16">
        <v>180</v>
      </c>
      <c r="P22" s="16">
        <f t="shared" si="3"/>
        <v>39.739999999999995</v>
      </c>
      <c r="Q22" s="4">
        <f>13*P22-O22-F22</f>
        <v>380.31999999999988</v>
      </c>
      <c r="R22" s="4">
        <f t="shared" si="13"/>
        <v>360</v>
      </c>
      <c r="S22" s="16">
        <f t="shared" si="4"/>
        <v>12.488676396577757</v>
      </c>
      <c r="T22" s="16">
        <f t="shared" si="5"/>
        <v>3.4297936587820841</v>
      </c>
      <c r="U22" s="16">
        <v>24</v>
      </c>
      <c r="V22" s="16">
        <v>54</v>
      </c>
      <c r="W22" s="16">
        <v>32</v>
      </c>
      <c r="X22" s="16">
        <v>54</v>
      </c>
      <c r="Y22" s="16">
        <v>57</v>
      </c>
      <c r="Z22" s="16">
        <v>0</v>
      </c>
      <c r="AA22" s="16"/>
      <c r="AB22" s="16">
        <f t="shared" si="14"/>
        <v>380.31999999999988</v>
      </c>
      <c r="AC22" s="6">
        <f>VLOOKUP(A22,[1]Sheet!$A:$AJ,32,0)</f>
        <v>5</v>
      </c>
      <c r="AD22" s="8">
        <f t="shared" si="15"/>
        <v>72</v>
      </c>
      <c r="AE22" s="16">
        <f t="shared" si="16"/>
        <v>360</v>
      </c>
      <c r="AF22" s="16">
        <f>VLOOKUP(A22,[1]Sheet!$A:$AJ,35,0)</f>
        <v>12</v>
      </c>
      <c r="AG22" s="16">
        <f>VLOOKUP(A22,[1]Sheet!$A:$AJ,36,0)</f>
        <v>84</v>
      </c>
      <c r="AH22" s="8">
        <f t="shared" si="17"/>
        <v>0.8571428571428571</v>
      </c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</row>
    <row r="23" spans="1:49" x14ac:dyDescent="0.25">
      <c r="A23" s="16" t="s">
        <v>61</v>
      </c>
      <c r="B23" s="16" t="s">
        <v>60</v>
      </c>
      <c r="C23" s="16">
        <v>286.5</v>
      </c>
      <c r="D23" s="16"/>
      <c r="E23" s="16">
        <v>142.5</v>
      </c>
      <c r="F23" s="16">
        <v>144</v>
      </c>
      <c r="G23" s="19">
        <v>1</v>
      </c>
      <c r="H23" s="16">
        <v>180</v>
      </c>
      <c r="I23" s="16" t="s">
        <v>62</v>
      </c>
      <c r="J23" s="16"/>
      <c r="K23" s="16">
        <v>142.5</v>
      </c>
      <c r="L23" s="16">
        <f t="shared" si="2"/>
        <v>0</v>
      </c>
      <c r="M23" s="16"/>
      <c r="N23" s="16"/>
      <c r="O23" s="16">
        <v>198</v>
      </c>
      <c r="P23" s="16">
        <f t="shared" si="3"/>
        <v>28.5</v>
      </c>
      <c r="Q23" s="4">
        <f t="shared" si="12"/>
        <v>57</v>
      </c>
      <c r="R23" s="4">
        <f t="shared" si="13"/>
        <v>66</v>
      </c>
      <c r="S23" s="16">
        <f t="shared" si="4"/>
        <v>14.315789473684211</v>
      </c>
      <c r="T23" s="16">
        <f t="shared" si="5"/>
        <v>12</v>
      </c>
      <c r="U23" s="16">
        <v>32.9</v>
      </c>
      <c r="V23" s="16">
        <v>31.8</v>
      </c>
      <c r="W23" s="16">
        <v>28.6</v>
      </c>
      <c r="X23" s="16">
        <v>28.4</v>
      </c>
      <c r="Y23" s="16">
        <v>26.4</v>
      </c>
      <c r="Z23" s="16">
        <v>33.9</v>
      </c>
      <c r="AA23" s="16"/>
      <c r="AB23" s="16">
        <f t="shared" si="14"/>
        <v>57</v>
      </c>
      <c r="AC23" s="6">
        <v>5.5</v>
      </c>
      <c r="AD23" s="8">
        <f t="shared" si="15"/>
        <v>12</v>
      </c>
      <c r="AE23" s="16">
        <f t="shared" si="16"/>
        <v>66</v>
      </c>
      <c r="AF23" s="16">
        <v>12</v>
      </c>
      <c r="AG23" s="16">
        <v>84</v>
      </c>
      <c r="AH23" s="8">
        <f t="shared" si="17"/>
        <v>0.14285714285714285</v>
      </c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</row>
    <row r="24" spans="1:49" x14ac:dyDescent="0.25">
      <c r="A24" s="16" t="s">
        <v>63</v>
      </c>
      <c r="B24" s="16" t="s">
        <v>60</v>
      </c>
      <c r="C24" s="16">
        <v>267</v>
      </c>
      <c r="D24" s="16">
        <v>3</v>
      </c>
      <c r="E24" s="16">
        <v>159</v>
      </c>
      <c r="F24" s="16">
        <v>111</v>
      </c>
      <c r="G24" s="6">
        <f>VLOOKUP(A24,[1]Sheet!$A:$I,7,0)</f>
        <v>1</v>
      </c>
      <c r="H24" s="16">
        <f>VLOOKUP(A24,[1]Sheet!$A:$I,8,0)</f>
        <v>180</v>
      </c>
      <c r="I24" s="16" t="str">
        <f>VLOOKUP(A24,[1]Sheet!$A:$I,9,0)</f>
        <v>P004394</v>
      </c>
      <c r="J24" s="16"/>
      <c r="K24" s="16">
        <v>162</v>
      </c>
      <c r="L24" s="16">
        <f t="shared" si="2"/>
        <v>-3</v>
      </c>
      <c r="M24" s="16"/>
      <c r="N24" s="16"/>
      <c r="O24" s="16">
        <v>336</v>
      </c>
      <c r="P24" s="16">
        <f t="shared" si="3"/>
        <v>31.8</v>
      </c>
      <c r="Q24" s="4"/>
      <c r="R24" s="4">
        <f t="shared" si="13"/>
        <v>0</v>
      </c>
      <c r="S24" s="16">
        <f t="shared" si="4"/>
        <v>14.056603773584905</v>
      </c>
      <c r="T24" s="16">
        <f t="shared" si="5"/>
        <v>14.056603773584905</v>
      </c>
      <c r="U24" s="16">
        <v>40.799999999999997</v>
      </c>
      <c r="V24" s="16">
        <v>37.200000000000003</v>
      </c>
      <c r="W24" s="16">
        <v>26.4</v>
      </c>
      <c r="X24" s="16">
        <v>34.200000000000003</v>
      </c>
      <c r="Y24" s="16">
        <v>28.8</v>
      </c>
      <c r="Z24" s="16">
        <v>42.6</v>
      </c>
      <c r="AA24" s="16"/>
      <c r="AB24" s="16">
        <f t="shared" si="14"/>
        <v>0</v>
      </c>
      <c r="AC24" s="6">
        <f>VLOOKUP(A24,[1]Sheet!$A:$AJ,32,0)</f>
        <v>3</v>
      </c>
      <c r="AD24" s="8">
        <f t="shared" si="15"/>
        <v>0</v>
      </c>
      <c r="AE24" s="16">
        <f t="shared" si="16"/>
        <v>0</v>
      </c>
      <c r="AF24" s="16">
        <f>VLOOKUP(A24,[1]Sheet!$A:$AJ,35,0)</f>
        <v>14</v>
      </c>
      <c r="AG24" s="16">
        <f>VLOOKUP(A24,[1]Sheet!$A:$AJ,36,0)</f>
        <v>126</v>
      </c>
      <c r="AH24" s="8">
        <f t="shared" si="17"/>
        <v>0</v>
      </c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</row>
    <row r="25" spans="1:49" x14ac:dyDescent="0.25">
      <c r="A25" s="16" t="s">
        <v>64</v>
      </c>
      <c r="B25" s="16" t="s">
        <v>38</v>
      </c>
      <c r="C25" s="16">
        <v>183</v>
      </c>
      <c r="D25" s="16"/>
      <c r="E25" s="16">
        <v>183</v>
      </c>
      <c r="F25" s="16"/>
      <c r="G25" s="6">
        <f>VLOOKUP(A25,[1]Sheet!$A:$I,7,0)</f>
        <v>0.25</v>
      </c>
      <c r="H25" s="16">
        <f>VLOOKUP(A25,[1]Sheet!$A:$I,8,0)</f>
        <v>365</v>
      </c>
      <c r="I25" s="16" t="str">
        <f>VLOOKUP(A25,[1]Sheet!$A:$I,9,0)</f>
        <v>P004602</v>
      </c>
      <c r="J25" s="16"/>
      <c r="K25" s="16">
        <v>257</v>
      </c>
      <c r="L25" s="16">
        <f t="shared" si="2"/>
        <v>-74</v>
      </c>
      <c r="M25" s="16"/>
      <c r="N25" s="16"/>
      <c r="O25" s="16">
        <v>420</v>
      </c>
      <c r="P25" s="16">
        <f t="shared" si="3"/>
        <v>36.6</v>
      </c>
      <c r="Q25" s="4">
        <f t="shared" si="12"/>
        <v>92.399999999999977</v>
      </c>
      <c r="R25" s="4">
        <f t="shared" si="13"/>
        <v>84</v>
      </c>
      <c r="S25" s="16">
        <f t="shared" si="4"/>
        <v>13.770491803278688</v>
      </c>
      <c r="T25" s="16">
        <f t="shared" si="5"/>
        <v>11.475409836065573</v>
      </c>
      <c r="U25" s="16">
        <v>65.8</v>
      </c>
      <c r="V25" s="16">
        <v>54.6</v>
      </c>
      <c r="W25" s="16">
        <v>39.200000000000003</v>
      </c>
      <c r="X25" s="16">
        <v>46.2</v>
      </c>
      <c r="Y25" s="16">
        <v>50</v>
      </c>
      <c r="Z25" s="16">
        <v>103.8</v>
      </c>
      <c r="AA25" s="16"/>
      <c r="AB25" s="16">
        <f t="shared" si="14"/>
        <v>23.099999999999994</v>
      </c>
      <c r="AC25" s="6">
        <f>VLOOKUP(A25,[1]Sheet!$A:$AJ,32,0)</f>
        <v>6</v>
      </c>
      <c r="AD25" s="8">
        <f t="shared" si="15"/>
        <v>14</v>
      </c>
      <c r="AE25" s="16">
        <f t="shared" si="16"/>
        <v>21</v>
      </c>
      <c r="AF25" s="16">
        <f>VLOOKUP(A25,[1]Sheet!$A:$AJ,35,0)</f>
        <v>14</v>
      </c>
      <c r="AG25" s="16">
        <f>VLOOKUP(A25,[1]Sheet!$A:$AJ,36,0)</f>
        <v>140</v>
      </c>
      <c r="AH25" s="8">
        <f t="shared" si="17"/>
        <v>0.1</v>
      </c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</row>
    <row r="26" spans="1:49" x14ac:dyDescent="0.25">
      <c r="A26" s="16" t="s">
        <v>65</v>
      </c>
      <c r="B26" s="16" t="s">
        <v>38</v>
      </c>
      <c r="C26" s="16">
        <v>1103</v>
      </c>
      <c r="D26" s="16"/>
      <c r="E26" s="16">
        <v>271</v>
      </c>
      <c r="F26" s="16">
        <v>832</v>
      </c>
      <c r="G26" s="6">
        <f>VLOOKUP(A26,[1]Sheet!$A:$I,7,0)</f>
        <v>0.25</v>
      </c>
      <c r="H26" s="16">
        <f>VLOOKUP(A26,[1]Sheet!$A:$I,8,0)</f>
        <v>365</v>
      </c>
      <c r="I26" s="16" t="str">
        <f>VLOOKUP(A26,[1]Sheet!$A:$I,9,0)</f>
        <v>P004600</v>
      </c>
      <c r="J26" s="16"/>
      <c r="K26" s="16">
        <v>300</v>
      </c>
      <c r="L26" s="16">
        <f t="shared" si="2"/>
        <v>-29</v>
      </c>
      <c r="M26" s="16"/>
      <c r="N26" s="16"/>
      <c r="O26" s="16">
        <v>0</v>
      </c>
      <c r="P26" s="16">
        <f t="shared" si="3"/>
        <v>54.2</v>
      </c>
      <c r="Q26" s="4"/>
      <c r="R26" s="4">
        <f t="shared" si="13"/>
        <v>0</v>
      </c>
      <c r="S26" s="16">
        <f t="shared" si="4"/>
        <v>15.350553505535055</v>
      </c>
      <c r="T26" s="16">
        <f t="shared" si="5"/>
        <v>15.350553505535055</v>
      </c>
      <c r="U26" s="16">
        <v>51.4</v>
      </c>
      <c r="V26" s="16">
        <v>48</v>
      </c>
      <c r="W26" s="16">
        <v>38.200000000000003</v>
      </c>
      <c r="X26" s="16">
        <v>63.6</v>
      </c>
      <c r="Y26" s="16">
        <v>36.200000000000003</v>
      </c>
      <c r="Z26" s="16">
        <v>47.2</v>
      </c>
      <c r="AA26" s="16"/>
      <c r="AB26" s="16">
        <f t="shared" si="14"/>
        <v>0</v>
      </c>
      <c r="AC26" s="6">
        <f>VLOOKUP(A26,[1]Sheet!$A:$AJ,32,0)</f>
        <v>6</v>
      </c>
      <c r="AD26" s="8">
        <f t="shared" si="15"/>
        <v>0</v>
      </c>
      <c r="AE26" s="16">
        <f t="shared" si="16"/>
        <v>0</v>
      </c>
      <c r="AF26" s="16">
        <f>VLOOKUP(A26,[1]Sheet!$A:$AJ,35,0)</f>
        <v>14</v>
      </c>
      <c r="AG26" s="16">
        <f>VLOOKUP(A26,[1]Sheet!$A:$AJ,36,0)</f>
        <v>140</v>
      </c>
      <c r="AH26" s="8">
        <f t="shared" si="17"/>
        <v>0</v>
      </c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</row>
    <row r="27" spans="1:49" x14ac:dyDescent="0.25">
      <c r="A27" s="16" t="s">
        <v>66</v>
      </c>
      <c r="B27" s="16" t="s">
        <v>60</v>
      </c>
      <c r="C27" s="16">
        <v>690</v>
      </c>
      <c r="D27" s="16"/>
      <c r="E27" s="16">
        <v>395</v>
      </c>
      <c r="F27" s="16">
        <v>295</v>
      </c>
      <c r="G27" s="6">
        <f>VLOOKUP(A27,[1]Sheet!$A:$I,7,0)</f>
        <v>1</v>
      </c>
      <c r="H27" s="16">
        <f>VLOOKUP(A27,[1]Sheet!$A:$I,8,0)</f>
        <v>180</v>
      </c>
      <c r="I27" s="16" t="str">
        <f>VLOOKUP(A27,[1]Sheet!$A:$I,9,0)</f>
        <v>P003486</v>
      </c>
      <c r="J27" s="16"/>
      <c r="K27" s="16">
        <v>400</v>
      </c>
      <c r="L27" s="16">
        <f t="shared" si="2"/>
        <v>-5</v>
      </c>
      <c r="M27" s="16"/>
      <c r="N27" s="16"/>
      <c r="O27" s="16">
        <v>576</v>
      </c>
      <c r="P27" s="16">
        <f t="shared" si="3"/>
        <v>79</v>
      </c>
      <c r="Q27" s="4">
        <f t="shared" si="12"/>
        <v>235</v>
      </c>
      <c r="R27" s="4">
        <f t="shared" si="13"/>
        <v>216</v>
      </c>
      <c r="S27" s="16">
        <f t="shared" si="4"/>
        <v>13.759493670886076</v>
      </c>
      <c r="T27" s="16">
        <f t="shared" si="5"/>
        <v>11.025316455696203</v>
      </c>
      <c r="U27" s="16">
        <v>100.6</v>
      </c>
      <c r="V27" s="16">
        <v>96</v>
      </c>
      <c r="W27" s="16">
        <v>93.8</v>
      </c>
      <c r="X27" s="16">
        <v>87.6</v>
      </c>
      <c r="Y27" s="16">
        <v>76.8</v>
      </c>
      <c r="Z27" s="16">
        <v>80</v>
      </c>
      <c r="AA27" s="16"/>
      <c r="AB27" s="16">
        <f t="shared" si="14"/>
        <v>235</v>
      </c>
      <c r="AC27" s="6">
        <f>VLOOKUP(A27,[1]Sheet!$A:$AJ,32,0)</f>
        <v>6</v>
      </c>
      <c r="AD27" s="8">
        <f t="shared" si="15"/>
        <v>36</v>
      </c>
      <c r="AE27" s="16">
        <f t="shared" si="16"/>
        <v>216</v>
      </c>
      <c r="AF27" s="16">
        <f>VLOOKUP(A27,[1]Sheet!$A:$AJ,35,0)</f>
        <v>12</v>
      </c>
      <c r="AG27" s="16">
        <f>VLOOKUP(A27,[1]Sheet!$A:$AJ,36,0)</f>
        <v>84</v>
      </c>
      <c r="AH27" s="8">
        <f t="shared" si="17"/>
        <v>0.42857142857142855</v>
      </c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</row>
    <row r="28" spans="1:49" x14ac:dyDescent="0.25">
      <c r="A28" s="16" t="s">
        <v>67</v>
      </c>
      <c r="B28" s="16" t="s">
        <v>38</v>
      </c>
      <c r="C28" s="16">
        <v>578</v>
      </c>
      <c r="D28" s="16">
        <v>5</v>
      </c>
      <c r="E28" s="16">
        <v>114</v>
      </c>
      <c r="F28" s="16">
        <v>464</v>
      </c>
      <c r="G28" s="6">
        <f>VLOOKUP(A28,[1]Sheet!$A:$I,7,0)</f>
        <v>0.23</v>
      </c>
      <c r="H28" s="16">
        <f>VLOOKUP(A28,[1]Sheet!$A:$I,8,0)</f>
        <v>180</v>
      </c>
      <c r="I28" s="16" t="str">
        <f>VLOOKUP(A28,[1]Sheet!$A:$I,9,0)</f>
        <v>P005043</v>
      </c>
      <c r="J28" s="16"/>
      <c r="K28" s="16">
        <v>121</v>
      </c>
      <c r="L28" s="16">
        <f t="shared" si="2"/>
        <v>-7</v>
      </c>
      <c r="M28" s="16"/>
      <c r="N28" s="16"/>
      <c r="O28" s="16">
        <v>0</v>
      </c>
      <c r="P28" s="16">
        <f t="shared" si="3"/>
        <v>22.8</v>
      </c>
      <c r="Q28" s="4"/>
      <c r="R28" s="4">
        <f t="shared" si="13"/>
        <v>0</v>
      </c>
      <c r="S28" s="16">
        <f t="shared" si="4"/>
        <v>20.350877192982455</v>
      </c>
      <c r="T28" s="16">
        <f t="shared" si="5"/>
        <v>20.350877192982455</v>
      </c>
      <c r="U28" s="16">
        <v>43.4</v>
      </c>
      <c r="V28" s="16">
        <v>23.6</v>
      </c>
      <c r="W28" s="16">
        <v>60.6</v>
      </c>
      <c r="X28" s="16">
        <v>14.8</v>
      </c>
      <c r="Y28" s="16">
        <v>17.399999999999999</v>
      </c>
      <c r="Z28" s="16">
        <v>37.799999999999997</v>
      </c>
      <c r="AA28" s="16"/>
      <c r="AB28" s="16">
        <f t="shared" si="14"/>
        <v>0</v>
      </c>
      <c r="AC28" s="6">
        <f>VLOOKUP(A28,[1]Sheet!$A:$AJ,32,0)</f>
        <v>12</v>
      </c>
      <c r="AD28" s="8">
        <f t="shared" si="15"/>
        <v>0</v>
      </c>
      <c r="AE28" s="16">
        <f t="shared" si="16"/>
        <v>0</v>
      </c>
      <c r="AF28" s="16">
        <f>VLOOKUP(A28,[1]Sheet!$A:$AJ,35,0)</f>
        <v>14</v>
      </c>
      <c r="AG28" s="16">
        <f>VLOOKUP(A28,[1]Sheet!$A:$AJ,36,0)</f>
        <v>70</v>
      </c>
      <c r="AH28" s="8">
        <f t="shared" si="17"/>
        <v>0</v>
      </c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</row>
    <row r="29" spans="1:49" x14ac:dyDescent="0.25">
      <c r="A29" s="16" t="s">
        <v>68</v>
      </c>
      <c r="B29" s="16" t="s">
        <v>38</v>
      </c>
      <c r="C29" s="16">
        <v>922</v>
      </c>
      <c r="D29" s="16"/>
      <c r="E29" s="16">
        <v>509</v>
      </c>
      <c r="F29" s="16">
        <v>412</v>
      </c>
      <c r="G29" s="6">
        <f>VLOOKUP(A29,[1]Sheet!$A:$I,7,0)</f>
        <v>0.25</v>
      </c>
      <c r="H29" s="16">
        <f>VLOOKUP(A29,[1]Sheet!$A:$I,8,0)</f>
        <v>365</v>
      </c>
      <c r="I29" s="16" t="str">
        <f>VLOOKUP(A29,[1]Sheet!$A:$I,9,0)</f>
        <v>P004497</v>
      </c>
      <c r="J29" s="16"/>
      <c r="K29" s="16">
        <v>548</v>
      </c>
      <c r="L29" s="16">
        <f t="shared" si="2"/>
        <v>-39</v>
      </c>
      <c r="M29" s="16"/>
      <c r="N29" s="16"/>
      <c r="O29" s="16">
        <v>504</v>
      </c>
      <c r="P29" s="16">
        <f t="shared" si="3"/>
        <v>101.8</v>
      </c>
      <c r="Q29" s="4">
        <f t="shared" si="12"/>
        <v>509.20000000000005</v>
      </c>
      <c r="R29" s="4">
        <f t="shared" si="13"/>
        <v>504</v>
      </c>
      <c r="S29" s="16">
        <f t="shared" si="4"/>
        <v>13.948919449901769</v>
      </c>
      <c r="T29" s="16">
        <f t="shared" si="5"/>
        <v>8.9980353634577614</v>
      </c>
      <c r="U29" s="16">
        <v>111.8</v>
      </c>
      <c r="V29" s="16">
        <v>103.2</v>
      </c>
      <c r="W29" s="16">
        <v>81.2</v>
      </c>
      <c r="X29" s="16">
        <v>79.400000000000006</v>
      </c>
      <c r="Y29" s="16">
        <v>116</v>
      </c>
      <c r="Z29" s="16">
        <v>127.4</v>
      </c>
      <c r="AA29" s="16"/>
      <c r="AB29" s="16">
        <f t="shared" si="14"/>
        <v>127.30000000000001</v>
      </c>
      <c r="AC29" s="6">
        <f>VLOOKUP(A29,[1]Sheet!$A:$AJ,32,0)</f>
        <v>12</v>
      </c>
      <c r="AD29" s="8">
        <f t="shared" si="15"/>
        <v>42</v>
      </c>
      <c r="AE29" s="16">
        <f t="shared" si="16"/>
        <v>126</v>
      </c>
      <c r="AF29" s="16">
        <f>VLOOKUP(A29,[1]Sheet!$A:$AJ,35,0)</f>
        <v>14</v>
      </c>
      <c r="AG29" s="16">
        <f>VLOOKUP(A29,[1]Sheet!$A:$AJ,36,0)</f>
        <v>70</v>
      </c>
      <c r="AH29" s="8">
        <f t="shared" si="17"/>
        <v>0.6</v>
      </c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</row>
    <row r="30" spans="1:49" x14ac:dyDescent="0.25">
      <c r="A30" s="16" t="s">
        <v>69</v>
      </c>
      <c r="B30" s="16" t="s">
        <v>38</v>
      </c>
      <c r="C30" s="16">
        <v>533</v>
      </c>
      <c r="D30" s="16"/>
      <c r="E30" s="16">
        <v>378</v>
      </c>
      <c r="F30" s="16">
        <v>155</v>
      </c>
      <c r="G30" s="6">
        <f>VLOOKUP(A30,[1]Sheet!$A:$I,7,0)</f>
        <v>0.25</v>
      </c>
      <c r="H30" s="16">
        <f>VLOOKUP(A30,[1]Sheet!$A:$I,8,0)</f>
        <v>365</v>
      </c>
      <c r="I30" s="16" t="str">
        <f>VLOOKUP(A30,[1]Sheet!$A:$I,9,0)</f>
        <v>P004496</v>
      </c>
      <c r="J30" s="16"/>
      <c r="K30" s="16">
        <v>404</v>
      </c>
      <c r="L30" s="16">
        <f t="shared" si="2"/>
        <v>-26</v>
      </c>
      <c r="M30" s="16"/>
      <c r="N30" s="16"/>
      <c r="O30" s="16">
        <v>840</v>
      </c>
      <c r="P30" s="16">
        <f t="shared" si="3"/>
        <v>75.599999999999994</v>
      </c>
      <c r="Q30" s="4">
        <f>15*P30-O30-F30</f>
        <v>139</v>
      </c>
      <c r="R30" s="4">
        <f t="shared" si="13"/>
        <v>168</v>
      </c>
      <c r="S30" s="16">
        <f t="shared" si="4"/>
        <v>15.383597883597885</v>
      </c>
      <c r="T30" s="16">
        <f t="shared" si="5"/>
        <v>13.161375661375663</v>
      </c>
      <c r="U30" s="16">
        <v>120.8</v>
      </c>
      <c r="V30" s="16">
        <v>101.2</v>
      </c>
      <c r="W30" s="16">
        <v>66.8</v>
      </c>
      <c r="X30" s="16">
        <v>73.599999999999994</v>
      </c>
      <c r="Y30" s="16">
        <v>38.6</v>
      </c>
      <c r="Z30" s="16">
        <v>46.4</v>
      </c>
      <c r="AA30" s="16"/>
      <c r="AB30" s="16">
        <f t="shared" si="14"/>
        <v>34.75</v>
      </c>
      <c r="AC30" s="6">
        <f>VLOOKUP(A30,[1]Sheet!$A:$AJ,32,0)</f>
        <v>12</v>
      </c>
      <c r="AD30" s="8">
        <f t="shared" si="15"/>
        <v>14</v>
      </c>
      <c r="AE30" s="16">
        <f t="shared" si="16"/>
        <v>42</v>
      </c>
      <c r="AF30" s="16">
        <f>VLOOKUP(A30,[1]Sheet!$A:$AJ,35,0)</f>
        <v>14</v>
      </c>
      <c r="AG30" s="16">
        <f>VLOOKUP(A30,[1]Sheet!$A:$AJ,36,0)</f>
        <v>70</v>
      </c>
      <c r="AH30" s="8">
        <f t="shared" si="17"/>
        <v>0.2</v>
      </c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</row>
    <row r="31" spans="1:49" x14ac:dyDescent="0.25">
      <c r="A31" s="16" t="s">
        <v>70</v>
      </c>
      <c r="B31" s="16" t="s">
        <v>38</v>
      </c>
      <c r="C31" s="16">
        <v>442</v>
      </c>
      <c r="D31" s="16">
        <v>1</v>
      </c>
      <c r="E31" s="16">
        <v>358</v>
      </c>
      <c r="F31" s="16">
        <v>85</v>
      </c>
      <c r="G31" s="6">
        <f>VLOOKUP(A31,[1]Sheet!$A:$I,7,0)</f>
        <v>0.25</v>
      </c>
      <c r="H31" s="16">
        <f>VLOOKUP(A31,[1]Sheet!$A:$I,8,0)</f>
        <v>180</v>
      </c>
      <c r="I31" s="16" t="str">
        <f>VLOOKUP(A31,[1]Sheet!$A:$I,9,0)</f>
        <v>P004535</v>
      </c>
      <c r="J31" s="16"/>
      <c r="K31" s="16">
        <v>387</v>
      </c>
      <c r="L31" s="16">
        <f t="shared" si="2"/>
        <v>-29</v>
      </c>
      <c r="M31" s="16"/>
      <c r="N31" s="16"/>
      <c r="O31" s="16">
        <v>0</v>
      </c>
      <c r="P31" s="16">
        <f t="shared" si="3"/>
        <v>71.599999999999994</v>
      </c>
      <c r="Q31" s="4">
        <f>11*P31-O31-F31</f>
        <v>702.59999999999991</v>
      </c>
      <c r="R31" s="4">
        <f t="shared" si="13"/>
        <v>672</v>
      </c>
      <c r="S31" s="16">
        <f t="shared" si="4"/>
        <v>10.572625698324023</v>
      </c>
      <c r="T31" s="16">
        <f t="shared" si="5"/>
        <v>1.1871508379888269</v>
      </c>
      <c r="U31" s="16">
        <v>30.4</v>
      </c>
      <c r="V31" s="16">
        <v>63</v>
      </c>
      <c r="W31" s="16">
        <v>48.8</v>
      </c>
      <c r="X31" s="16">
        <v>50</v>
      </c>
      <c r="Y31" s="16">
        <v>46</v>
      </c>
      <c r="Z31" s="16">
        <v>47.6</v>
      </c>
      <c r="AA31" s="16"/>
      <c r="AB31" s="16">
        <f t="shared" si="14"/>
        <v>175.64999999999998</v>
      </c>
      <c r="AC31" s="6">
        <f>VLOOKUP(A31,[1]Sheet!$A:$AJ,32,0)</f>
        <v>12</v>
      </c>
      <c r="AD31" s="8">
        <f t="shared" si="15"/>
        <v>56</v>
      </c>
      <c r="AE31" s="16">
        <f t="shared" si="16"/>
        <v>168</v>
      </c>
      <c r="AF31" s="16">
        <f>VLOOKUP(A31,[1]Sheet!$A:$AJ,35,0)</f>
        <v>14</v>
      </c>
      <c r="AG31" s="16">
        <f>VLOOKUP(A31,[1]Sheet!$A:$AJ,36,0)</f>
        <v>70</v>
      </c>
      <c r="AH31" s="8">
        <f t="shared" si="17"/>
        <v>0.8</v>
      </c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</row>
    <row r="32" spans="1:49" x14ac:dyDescent="0.25">
      <c r="A32" s="16" t="s">
        <v>71</v>
      </c>
      <c r="B32" s="16" t="s">
        <v>38</v>
      </c>
      <c r="C32" s="16">
        <v>-6</v>
      </c>
      <c r="D32" s="16"/>
      <c r="E32" s="16">
        <v>13</v>
      </c>
      <c r="F32" s="16">
        <v>-19</v>
      </c>
      <c r="G32" s="6">
        <f>VLOOKUP(A32,[1]Sheet!$A:$I,7,0)</f>
        <v>0.25</v>
      </c>
      <c r="H32" s="16">
        <f>VLOOKUP(A32,[1]Sheet!$A:$I,8,0)</f>
        <v>180</v>
      </c>
      <c r="I32" s="16" t="str">
        <f>VLOOKUP(A32,[1]Sheet!$A:$I,9,0)</f>
        <v>P004594</v>
      </c>
      <c r="J32" s="16"/>
      <c r="K32" s="16">
        <v>13</v>
      </c>
      <c r="L32" s="16">
        <f t="shared" si="2"/>
        <v>0</v>
      </c>
      <c r="M32" s="16"/>
      <c r="N32" s="16"/>
      <c r="O32" s="16">
        <v>168</v>
      </c>
      <c r="P32" s="16">
        <f t="shared" si="3"/>
        <v>2.6</v>
      </c>
      <c r="Q32" s="4"/>
      <c r="R32" s="4">
        <f t="shared" si="13"/>
        <v>0</v>
      </c>
      <c r="S32" s="16">
        <f t="shared" si="4"/>
        <v>57.307692307692307</v>
      </c>
      <c r="T32" s="16">
        <f t="shared" si="5"/>
        <v>57.307692307692307</v>
      </c>
      <c r="U32" s="16">
        <v>12.4</v>
      </c>
      <c r="V32" s="16">
        <v>9</v>
      </c>
      <c r="W32" s="16">
        <v>8.4</v>
      </c>
      <c r="X32" s="16">
        <v>10.4</v>
      </c>
      <c r="Y32" s="16">
        <v>14.8</v>
      </c>
      <c r="Z32" s="16">
        <v>10.8</v>
      </c>
      <c r="AA32" s="16"/>
      <c r="AB32" s="16">
        <f t="shared" si="14"/>
        <v>0</v>
      </c>
      <c r="AC32" s="6">
        <f>VLOOKUP(A32,[1]Sheet!$A:$AJ,32,0)</f>
        <v>12</v>
      </c>
      <c r="AD32" s="8">
        <f t="shared" si="15"/>
        <v>0</v>
      </c>
      <c r="AE32" s="16">
        <f t="shared" si="16"/>
        <v>0</v>
      </c>
      <c r="AF32" s="16">
        <f>VLOOKUP(A32,[1]Sheet!$A:$AJ,35,0)</f>
        <v>14</v>
      </c>
      <c r="AG32" s="16">
        <f>VLOOKUP(A32,[1]Sheet!$A:$AJ,36,0)</f>
        <v>70</v>
      </c>
      <c r="AH32" s="8">
        <f t="shared" si="17"/>
        <v>0</v>
      </c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</row>
    <row r="33" spans="1:49" x14ac:dyDescent="0.25">
      <c r="A33" s="16" t="s">
        <v>72</v>
      </c>
      <c r="B33" s="16" t="s">
        <v>38</v>
      </c>
      <c r="C33" s="16">
        <v>254</v>
      </c>
      <c r="D33" s="16"/>
      <c r="E33" s="16">
        <v>182</v>
      </c>
      <c r="F33" s="16">
        <v>72</v>
      </c>
      <c r="G33" s="6">
        <f>VLOOKUP(A33,[1]Sheet!$A:$I,7,0)</f>
        <v>0.7</v>
      </c>
      <c r="H33" s="16">
        <f>VLOOKUP(A33,[1]Sheet!$A:$I,8,0)</f>
        <v>180</v>
      </c>
      <c r="I33" s="16" t="str">
        <f>VLOOKUP(A33,[1]Sheet!$A:$I,9,0)</f>
        <v>P004887</v>
      </c>
      <c r="J33" s="16"/>
      <c r="K33" s="16">
        <v>187</v>
      </c>
      <c r="L33" s="16">
        <f t="shared" si="2"/>
        <v>-5</v>
      </c>
      <c r="M33" s="16"/>
      <c r="N33" s="16"/>
      <c r="O33" s="16">
        <v>192</v>
      </c>
      <c r="P33" s="16">
        <f t="shared" si="3"/>
        <v>36.4</v>
      </c>
      <c r="Q33" s="4">
        <f t="shared" si="12"/>
        <v>245.59999999999997</v>
      </c>
      <c r="R33" s="4">
        <f t="shared" si="13"/>
        <v>288</v>
      </c>
      <c r="S33" s="16">
        <f t="shared" si="4"/>
        <v>15.164835164835166</v>
      </c>
      <c r="T33" s="16">
        <f t="shared" si="5"/>
        <v>7.2527472527472527</v>
      </c>
      <c r="U33" s="16">
        <v>29.6</v>
      </c>
      <c r="V33" s="16">
        <v>28.6</v>
      </c>
      <c r="W33" s="16">
        <v>22.8</v>
      </c>
      <c r="X33" s="16">
        <v>23.4</v>
      </c>
      <c r="Y33" s="16">
        <v>19</v>
      </c>
      <c r="Z33" s="16">
        <v>37.6</v>
      </c>
      <c r="AA33" s="16"/>
      <c r="AB33" s="16">
        <f t="shared" si="14"/>
        <v>171.91999999999996</v>
      </c>
      <c r="AC33" s="6">
        <f>VLOOKUP(A33,[1]Sheet!$A:$AJ,32,0)</f>
        <v>8</v>
      </c>
      <c r="AD33" s="8">
        <f t="shared" si="15"/>
        <v>36</v>
      </c>
      <c r="AE33" s="16">
        <f t="shared" si="16"/>
        <v>201.6</v>
      </c>
      <c r="AF33" s="16">
        <f>VLOOKUP(A33,[1]Sheet!$A:$AJ,35,0)</f>
        <v>12</v>
      </c>
      <c r="AG33" s="16">
        <f>VLOOKUP(A33,[1]Sheet!$A:$AJ,36,0)</f>
        <v>84</v>
      </c>
      <c r="AH33" s="8">
        <f t="shared" si="17"/>
        <v>0.42857142857142855</v>
      </c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</row>
    <row r="34" spans="1:49" x14ac:dyDescent="0.25">
      <c r="A34" s="16" t="s">
        <v>73</v>
      </c>
      <c r="B34" s="16" t="s">
        <v>38</v>
      </c>
      <c r="C34" s="16">
        <v>213</v>
      </c>
      <c r="D34" s="16"/>
      <c r="E34" s="16">
        <v>118</v>
      </c>
      <c r="F34" s="16">
        <v>93</v>
      </c>
      <c r="G34" s="6">
        <f>VLOOKUP(A34,[1]Sheet!$A:$I,7,0)</f>
        <v>0.7</v>
      </c>
      <c r="H34" s="16">
        <f>VLOOKUP(A34,[1]Sheet!$A:$I,8,0)</f>
        <v>180</v>
      </c>
      <c r="I34" s="16" t="str">
        <f>VLOOKUP(A34,[1]Sheet!$A:$I,9,0)</f>
        <v>P004889</v>
      </c>
      <c r="J34" s="16"/>
      <c r="K34" s="16">
        <v>133</v>
      </c>
      <c r="L34" s="16">
        <f t="shared" si="2"/>
        <v>-15</v>
      </c>
      <c r="M34" s="16"/>
      <c r="N34" s="16"/>
      <c r="O34" s="16">
        <v>192</v>
      </c>
      <c r="P34" s="16">
        <f t="shared" si="3"/>
        <v>23.6</v>
      </c>
      <c r="Q34" s="4">
        <f>15*P34-O34-F34</f>
        <v>69</v>
      </c>
      <c r="R34" s="4">
        <f t="shared" si="13"/>
        <v>96</v>
      </c>
      <c r="S34" s="16">
        <f t="shared" si="4"/>
        <v>16.14406779661017</v>
      </c>
      <c r="T34" s="16">
        <f t="shared" si="5"/>
        <v>12.076271186440676</v>
      </c>
      <c r="U34" s="16">
        <v>27.4</v>
      </c>
      <c r="V34" s="16">
        <v>29.6</v>
      </c>
      <c r="W34" s="16">
        <v>20.8</v>
      </c>
      <c r="X34" s="16">
        <v>25.2</v>
      </c>
      <c r="Y34" s="16">
        <v>18.8</v>
      </c>
      <c r="Z34" s="16">
        <v>22.8</v>
      </c>
      <c r="AA34" s="16"/>
      <c r="AB34" s="16">
        <f t="shared" si="14"/>
        <v>48.3</v>
      </c>
      <c r="AC34" s="6">
        <f>VLOOKUP(A34,[1]Sheet!$A:$AJ,32,0)</f>
        <v>8</v>
      </c>
      <c r="AD34" s="8">
        <f t="shared" si="15"/>
        <v>12</v>
      </c>
      <c r="AE34" s="16">
        <f t="shared" si="16"/>
        <v>67.199999999999989</v>
      </c>
      <c r="AF34" s="16">
        <f>VLOOKUP(A34,[1]Sheet!$A:$AJ,35,0)</f>
        <v>12</v>
      </c>
      <c r="AG34" s="16">
        <f>VLOOKUP(A34,[1]Sheet!$A:$AJ,36,0)</f>
        <v>84</v>
      </c>
      <c r="AH34" s="8">
        <f t="shared" si="17"/>
        <v>0.14285714285714285</v>
      </c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</row>
    <row r="35" spans="1:49" x14ac:dyDescent="0.25">
      <c r="A35" s="16" t="s">
        <v>74</v>
      </c>
      <c r="B35" s="16" t="s">
        <v>38</v>
      </c>
      <c r="C35" s="16">
        <v>156</v>
      </c>
      <c r="D35" s="16"/>
      <c r="E35" s="16">
        <v>87</v>
      </c>
      <c r="F35" s="16">
        <v>69</v>
      </c>
      <c r="G35" s="6">
        <f>VLOOKUP(A35,[1]Sheet!$A:$I,7,0)</f>
        <v>0.7</v>
      </c>
      <c r="H35" s="16">
        <f>VLOOKUP(A35,[1]Sheet!$A:$I,8,0)</f>
        <v>180</v>
      </c>
      <c r="I35" s="16" t="str">
        <f>VLOOKUP(A35,[1]Sheet!$A:$I,9,0)</f>
        <v>P004888</v>
      </c>
      <c r="J35" s="16"/>
      <c r="K35" s="16">
        <v>141</v>
      </c>
      <c r="L35" s="16">
        <f t="shared" si="2"/>
        <v>-54</v>
      </c>
      <c r="M35" s="16"/>
      <c r="N35" s="16"/>
      <c r="O35" s="16">
        <v>288</v>
      </c>
      <c r="P35" s="16">
        <f t="shared" si="3"/>
        <v>17.399999999999999</v>
      </c>
      <c r="Q35" s="4"/>
      <c r="R35" s="4">
        <f t="shared" si="13"/>
        <v>0</v>
      </c>
      <c r="S35" s="16">
        <f t="shared" si="4"/>
        <v>20.517241379310345</v>
      </c>
      <c r="T35" s="16">
        <f t="shared" si="5"/>
        <v>20.517241379310345</v>
      </c>
      <c r="U35" s="16">
        <v>29.2</v>
      </c>
      <c r="V35" s="16">
        <v>23.6</v>
      </c>
      <c r="W35" s="16">
        <v>17.600000000000001</v>
      </c>
      <c r="X35" s="16">
        <v>22.4</v>
      </c>
      <c r="Y35" s="16">
        <v>29</v>
      </c>
      <c r="Z35" s="16">
        <v>28.6</v>
      </c>
      <c r="AA35" s="16"/>
      <c r="AB35" s="16">
        <f t="shared" si="14"/>
        <v>0</v>
      </c>
      <c r="AC35" s="6">
        <f>VLOOKUP(A35,[1]Sheet!$A:$AJ,32,0)</f>
        <v>8</v>
      </c>
      <c r="AD35" s="8">
        <f t="shared" si="15"/>
        <v>0</v>
      </c>
      <c r="AE35" s="16">
        <f t="shared" si="16"/>
        <v>0</v>
      </c>
      <c r="AF35" s="16">
        <f>VLOOKUP(A35,[1]Sheet!$A:$AJ,35,0)</f>
        <v>12</v>
      </c>
      <c r="AG35" s="16">
        <f>VLOOKUP(A35,[1]Sheet!$A:$AJ,36,0)</f>
        <v>84</v>
      </c>
      <c r="AH35" s="8">
        <f t="shared" si="17"/>
        <v>0</v>
      </c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</row>
    <row r="36" spans="1:49" x14ac:dyDescent="0.25">
      <c r="A36" s="16" t="s">
        <v>75</v>
      </c>
      <c r="B36" s="16" t="s">
        <v>38</v>
      </c>
      <c r="C36" s="16">
        <v>350</v>
      </c>
      <c r="D36" s="16">
        <v>3</v>
      </c>
      <c r="E36" s="16">
        <v>48</v>
      </c>
      <c r="F36" s="16">
        <v>303</v>
      </c>
      <c r="G36" s="6">
        <f>VLOOKUP(A36,[1]Sheet!$A:$I,7,0)</f>
        <v>0.7</v>
      </c>
      <c r="H36" s="16">
        <f>VLOOKUP(A36,[1]Sheet!$A:$I,8,0)</f>
        <v>180</v>
      </c>
      <c r="I36" s="16" t="str">
        <f>VLOOKUP(A36,[1]Sheet!$A:$I,9,0)</f>
        <v>P004440</v>
      </c>
      <c r="J36" s="16"/>
      <c r="K36" s="16">
        <v>50</v>
      </c>
      <c r="L36" s="16">
        <f t="shared" si="2"/>
        <v>-2</v>
      </c>
      <c r="M36" s="16"/>
      <c r="N36" s="16"/>
      <c r="O36" s="16">
        <v>0</v>
      </c>
      <c r="P36" s="16">
        <f t="shared" si="3"/>
        <v>9.6</v>
      </c>
      <c r="Q36" s="4"/>
      <c r="R36" s="4">
        <f t="shared" si="13"/>
        <v>0</v>
      </c>
      <c r="S36" s="16">
        <f t="shared" si="4"/>
        <v>31.5625</v>
      </c>
      <c r="T36" s="16">
        <f t="shared" si="5"/>
        <v>31.5625</v>
      </c>
      <c r="U36" s="16">
        <v>23.4</v>
      </c>
      <c r="V36" s="16">
        <v>8</v>
      </c>
      <c r="W36" s="16">
        <v>30.6</v>
      </c>
      <c r="X36" s="16">
        <v>11.4</v>
      </c>
      <c r="Y36" s="16">
        <v>13.2</v>
      </c>
      <c r="Z36" s="16">
        <v>33.6</v>
      </c>
      <c r="AA36" s="18" t="s">
        <v>57</v>
      </c>
      <c r="AB36" s="16">
        <f t="shared" si="14"/>
        <v>0</v>
      </c>
      <c r="AC36" s="6">
        <f>VLOOKUP(A36,[1]Sheet!$A:$AJ,32,0)</f>
        <v>10</v>
      </c>
      <c r="AD36" s="8">
        <f t="shared" si="15"/>
        <v>0</v>
      </c>
      <c r="AE36" s="16">
        <f t="shared" si="16"/>
        <v>0</v>
      </c>
      <c r="AF36" s="16">
        <f>VLOOKUP(A36,[1]Sheet!$A:$AJ,35,0)</f>
        <v>12</v>
      </c>
      <c r="AG36" s="16">
        <f>VLOOKUP(A36,[1]Sheet!$A:$AJ,36,0)</f>
        <v>84</v>
      </c>
      <c r="AH36" s="8">
        <f t="shared" si="17"/>
        <v>0</v>
      </c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</row>
    <row r="37" spans="1:49" x14ac:dyDescent="0.25">
      <c r="A37" s="16" t="s">
        <v>76</v>
      </c>
      <c r="B37" s="16" t="s">
        <v>38</v>
      </c>
      <c r="C37" s="16">
        <v>122</v>
      </c>
      <c r="D37" s="16">
        <v>3</v>
      </c>
      <c r="E37" s="16">
        <v>73</v>
      </c>
      <c r="F37" s="16">
        <v>50</v>
      </c>
      <c r="G37" s="6">
        <f>VLOOKUP(A37,[1]Sheet!$A:$I,7,0)</f>
        <v>0.7</v>
      </c>
      <c r="H37" s="16">
        <f>VLOOKUP(A37,[1]Sheet!$A:$I,8,0)</f>
        <v>180</v>
      </c>
      <c r="I37" s="16" t="str">
        <f>VLOOKUP(A37,[1]Sheet!$A:$I,9,0)</f>
        <v>P004442</v>
      </c>
      <c r="J37" s="16"/>
      <c r="K37" s="16">
        <v>131</v>
      </c>
      <c r="L37" s="16">
        <f t="shared" si="2"/>
        <v>-58</v>
      </c>
      <c r="M37" s="16"/>
      <c r="N37" s="16"/>
      <c r="O37" s="16">
        <v>120</v>
      </c>
      <c r="P37" s="16">
        <f t="shared" si="3"/>
        <v>14.6</v>
      </c>
      <c r="Q37" s="4">
        <f>16*P37-O37-F37</f>
        <v>63.599999999999994</v>
      </c>
      <c r="R37" s="4">
        <f t="shared" si="13"/>
        <v>120</v>
      </c>
      <c r="S37" s="16">
        <f t="shared" si="4"/>
        <v>19.863013698630137</v>
      </c>
      <c r="T37" s="16">
        <f t="shared" si="5"/>
        <v>11.643835616438356</v>
      </c>
      <c r="U37" s="16">
        <v>19.600000000000001</v>
      </c>
      <c r="V37" s="16">
        <v>21.4</v>
      </c>
      <c r="W37" s="16">
        <v>12.8</v>
      </c>
      <c r="X37" s="16">
        <v>26</v>
      </c>
      <c r="Y37" s="16">
        <v>0.2</v>
      </c>
      <c r="Z37" s="16">
        <v>20.8</v>
      </c>
      <c r="AA37" s="16"/>
      <c r="AB37" s="16">
        <f t="shared" si="14"/>
        <v>44.519999999999996</v>
      </c>
      <c r="AC37" s="6">
        <f>VLOOKUP(A37,[1]Sheet!$A:$AJ,32,0)</f>
        <v>10</v>
      </c>
      <c r="AD37" s="8">
        <f t="shared" si="15"/>
        <v>12</v>
      </c>
      <c r="AE37" s="16">
        <f t="shared" si="16"/>
        <v>84</v>
      </c>
      <c r="AF37" s="16">
        <f>VLOOKUP(A37,[1]Sheet!$A:$AJ,35,0)</f>
        <v>12</v>
      </c>
      <c r="AG37" s="16">
        <f>VLOOKUP(A37,[1]Sheet!$A:$AJ,36,0)</f>
        <v>84</v>
      </c>
      <c r="AH37" s="8">
        <f t="shared" si="17"/>
        <v>0.14285714285714285</v>
      </c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</row>
    <row r="38" spans="1:49" x14ac:dyDescent="0.25">
      <c r="A38" s="16" t="s">
        <v>77</v>
      </c>
      <c r="B38" s="16" t="s">
        <v>38</v>
      </c>
      <c r="C38" s="16">
        <v>214</v>
      </c>
      <c r="D38" s="16">
        <v>3</v>
      </c>
      <c r="E38" s="16">
        <v>190</v>
      </c>
      <c r="F38" s="16">
        <v>27</v>
      </c>
      <c r="G38" s="6">
        <f>VLOOKUP(A38,[1]Sheet!$A:$I,7,0)</f>
        <v>0.7</v>
      </c>
      <c r="H38" s="16">
        <f>VLOOKUP(A38,[1]Sheet!$A:$I,8,0)</f>
        <v>180</v>
      </c>
      <c r="I38" s="16" t="str">
        <f>VLOOKUP(A38,[1]Sheet!$A:$I,9,0)</f>
        <v>P004203</v>
      </c>
      <c r="J38" s="16"/>
      <c r="K38" s="16">
        <v>198</v>
      </c>
      <c r="L38" s="16">
        <f t="shared" ref="L38:L67" si="18">E38-K38</f>
        <v>-8</v>
      </c>
      <c r="M38" s="16"/>
      <c r="N38" s="16"/>
      <c r="O38" s="16">
        <v>360</v>
      </c>
      <c r="P38" s="16">
        <f t="shared" ref="P38:P67" si="19">E38/5</f>
        <v>38</v>
      </c>
      <c r="Q38" s="4">
        <f t="shared" si="12"/>
        <v>145</v>
      </c>
      <c r="R38" s="4">
        <f t="shared" si="13"/>
        <v>120</v>
      </c>
      <c r="S38" s="16">
        <f t="shared" ref="S38:S69" si="20">(F38+O38+R38)/P38</f>
        <v>13.342105263157896</v>
      </c>
      <c r="T38" s="16">
        <f t="shared" ref="T38:T67" si="21">(F38+O38)/P38</f>
        <v>10.184210526315789</v>
      </c>
      <c r="U38" s="16">
        <v>42.6</v>
      </c>
      <c r="V38" s="16">
        <v>32.6</v>
      </c>
      <c r="W38" s="16">
        <v>33</v>
      </c>
      <c r="X38" s="16">
        <v>35.4</v>
      </c>
      <c r="Y38" s="16">
        <v>38</v>
      </c>
      <c r="Z38" s="16">
        <v>56.2</v>
      </c>
      <c r="AA38" s="16"/>
      <c r="AB38" s="16">
        <f t="shared" si="14"/>
        <v>101.5</v>
      </c>
      <c r="AC38" s="6">
        <f>VLOOKUP(A38,[1]Sheet!$A:$AJ,32,0)</f>
        <v>10</v>
      </c>
      <c r="AD38" s="8">
        <f t="shared" si="15"/>
        <v>12</v>
      </c>
      <c r="AE38" s="16">
        <f t="shared" si="16"/>
        <v>84</v>
      </c>
      <c r="AF38" s="16">
        <f>VLOOKUP(A38,[1]Sheet!$A:$AJ,35,0)</f>
        <v>12</v>
      </c>
      <c r="AG38" s="16">
        <f>VLOOKUP(A38,[1]Sheet!$A:$AJ,36,0)</f>
        <v>84</v>
      </c>
      <c r="AH38" s="8">
        <f t="shared" si="17"/>
        <v>0.14285714285714285</v>
      </c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</row>
    <row r="39" spans="1:49" x14ac:dyDescent="0.25">
      <c r="A39" s="16" t="s">
        <v>78</v>
      </c>
      <c r="B39" s="16" t="s">
        <v>38</v>
      </c>
      <c r="C39" s="16">
        <v>133</v>
      </c>
      <c r="D39" s="16"/>
      <c r="E39" s="16">
        <v>75</v>
      </c>
      <c r="F39" s="16">
        <v>58</v>
      </c>
      <c r="G39" s="6">
        <f>VLOOKUP(A39,[1]Sheet!$A:$I,7,0)</f>
        <v>0.7</v>
      </c>
      <c r="H39" s="16">
        <f>VLOOKUP(A39,[1]Sheet!$A:$I,8,0)</f>
        <v>180</v>
      </c>
      <c r="I39" s="16" t="str">
        <f>VLOOKUP(A39,[1]Sheet!$A:$I,9,0)</f>
        <v>P004819</v>
      </c>
      <c r="J39" s="16"/>
      <c r="K39" s="16">
        <v>75</v>
      </c>
      <c r="L39" s="16">
        <f t="shared" si="18"/>
        <v>0</v>
      </c>
      <c r="M39" s="16"/>
      <c r="N39" s="16"/>
      <c r="O39" s="16">
        <v>120</v>
      </c>
      <c r="P39" s="16">
        <f t="shared" si="19"/>
        <v>15</v>
      </c>
      <c r="Q39" s="4">
        <f>16*P39-O39-F39</f>
        <v>62</v>
      </c>
      <c r="R39" s="4">
        <f t="shared" si="13"/>
        <v>120</v>
      </c>
      <c r="S39" s="16">
        <f t="shared" si="20"/>
        <v>19.866666666666667</v>
      </c>
      <c r="T39" s="16">
        <f t="shared" si="21"/>
        <v>11.866666666666667</v>
      </c>
      <c r="U39" s="16">
        <v>18.8</v>
      </c>
      <c r="V39" s="16">
        <v>9.6</v>
      </c>
      <c r="W39" s="16">
        <v>10.8</v>
      </c>
      <c r="X39" s="16">
        <v>14.2</v>
      </c>
      <c r="Y39" s="16">
        <v>14.8</v>
      </c>
      <c r="Z39" s="16">
        <v>13.8</v>
      </c>
      <c r="AA39" s="16"/>
      <c r="AB39" s="16">
        <f t="shared" si="14"/>
        <v>43.4</v>
      </c>
      <c r="AC39" s="6">
        <f>VLOOKUP(A39,[1]Sheet!$A:$AJ,32,0)</f>
        <v>10</v>
      </c>
      <c r="AD39" s="8">
        <f t="shared" si="15"/>
        <v>12</v>
      </c>
      <c r="AE39" s="16">
        <f t="shared" si="16"/>
        <v>84</v>
      </c>
      <c r="AF39" s="16">
        <f>VLOOKUP(A39,[1]Sheet!$A:$AJ,35,0)</f>
        <v>12</v>
      </c>
      <c r="AG39" s="16">
        <f>VLOOKUP(A39,[1]Sheet!$A:$AJ,36,0)</f>
        <v>84</v>
      </c>
      <c r="AH39" s="8">
        <f t="shared" si="17"/>
        <v>0.14285714285714285</v>
      </c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</row>
    <row r="40" spans="1:49" x14ac:dyDescent="0.25">
      <c r="A40" s="16" t="s">
        <v>79</v>
      </c>
      <c r="B40" s="16" t="s">
        <v>60</v>
      </c>
      <c r="C40" s="16">
        <v>720</v>
      </c>
      <c r="D40" s="16">
        <v>5</v>
      </c>
      <c r="E40" s="16">
        <v>460</v>
      </c>
      <c r="F40" s="16">
        <v>260</v>
      </c>
      <c r="G40" s="6">
        <f>VLOOKUP(A40,[1]Sheet!$A:$I,7,0)</f>
        <v>1</v>
      </c>
      <c r="H40" s="16">
        <f>VLOOKUP(A40,[1]Sheet!$A:$I,8,0)</f>
        <v>180</v>
      </c>
      <c r="I40" s="16" t="str">
        <f>VLOOKUP(A40,[1]Sheet!$A:$I,9,0)</f>
        <v>P003697</v>
      </c>
      <c r="J40" s="16"/>
      <c r="K40" s="16">
        <v>466.4</v>
      </c>
      <c r="L40" s="16">
        <f t="shared" si="18"/>
        <v>-6.3999999999999773</v>
      </c>
      <c r="M40" s="16"/>
      <c r="N40" s="16"/>
      <c r="O40" s="16">
        <v>360</v>
      </c>
      <c r="P40" s="16">
        <f t="shared" si="19"/>
        <v>92</v>
      </c>
      <c r="Q40" s="4">
        <f t="shared" si="12"/>
        <v>668</v>
      </c>
      <c r="R40" s="4">
        <f t="shared" si="13"/>
        <v>660</v>
      </c>
      <c r="S40" s="16">
        <f t="shared" si="20"/>
        <v>13.913043478260869</v>
      </c>
      <c r="T40" s="16">
        <f t="shared" si="21"/>
        <v>6.7391304347826084</v>
      </c>
      <c r="U40" s="16">
        <v>72</v>
      </c>
      <c r="V40" s="16">
        <v>86</v>
      </c>
      <c r="W40" s="16">
        <v>87</v>
      </c>
      <c r="X40" s="16">
        <v>92</v>
      </c>
      <c r="Y40" s="16">
        <v>65</v>
      </c>
      <c r="Z40" s="16">
        <v>102</v>
      </c>
      <c r="AA40" s="16"/>
      <c r="AB40" s="16">
        <f t="shared" si="14"/>
        <v>668</v>
      </c>
      <c r="AC40" s="6">
        <f>VLOOKUP(A40,[1]Sheet!$A:$AJ,32,0)</f>
        <v>5</v>
      </c>
      <c r="AD40" s="8">
        <f t="shared" si="15"/>
        <v>132</v>
      </c>
      <c r="AE40" s="16">
        <f t="shared" si="16"/>
        <v>660</v>
      </c>
      <c r="AF40" s="16">
        <f>VLOOKUP(A40,[1]Sheet!$A:$AJ,35,0)</f>
        <v>12</v>
      </c>
      <c r="AG40" s="16">
        <f>VLOOKUP(A40,[1]Sheet!$A:$AJ,36,0)</f>
        <v>144</v>
      </c>
      <c r="AH40" s="8">
        <f t="shared" si="17"/>
        <v>0.91666666666666663</v>
      </c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</row>
    <row r="41" spans="1:49" x14ac:dyDescent="0.25">
      <c r="A41" s="16" t="s">
        <v>80</v>
      </c>
      <c r="B41" s="16" t="s">
        <v>38</v>
      </c>
      <c r="C41" s="16">
        <v>290</v>
      </c>
      <c r="D41" s="16"/>
      <c r="E41" s="16">
        <v>161</v>
      </c>
      <c r="F41" s="16">
        <v>129</v>
      </c>
      <c r="G41" s="6">
        <f>VLOOKUP(A41,[1]Sheet!$A:$I,7,0)</f>
        <v>0.4</v>
      </c>
      <c r="H41" s="16">
        <f>VLOOKUP(A41,[1]Sheet!$A:$I,8,0)</f>
        <v>180</v>
      </c>
      <c r="I41" s="16" t="str">
        <f>VLOOKUP(A41,[1]Sheet!$A:$I,9,0)</f>
        <v>P004474</v>
      </c>
      <c r="J41" s="16"/>
      <c r="K41" s="16">
        <v>186</v>
      </c>
      <c r="L41" s="16">
        <f t="shared" si="18"/>
        <v>-25</v>
      </c>
      <c r="M41" s="16"/>
      <c r="N41" s="16"/>
      <c r="O41" s="16">
        <v>384</v>
      </c>
      <c r="P41" s="16">
        <f t="shared" si="19"/>
        <v>32.200000000000003</v>
      </c>
      <c r="Q41" s="4"/>
      <c r="R41" s="4">
        <f t="shared" si="13"/>
        <v>0</v>
      </c>
      <c r="S41" s="16">
        <f t="shared" si="20"/>
        <v>15.93167701863354</v>
      </c>
      <c r="T41" s="16">
        <f t="shared" si="21"/>
        <v>15.93167701863354</v>
      </c>
      <c r="U41" s="16">
        <v>61.8</v>
      </c>
      <c r="V41" s="16">
        <v>37</v>
      </c>
      <c r="W41" s="16">
        <v>8.6</v>
      </c>
      <c r="X41" s="16">
        <v>55.2</v>
      </c>
      <c r="Y41" s="16">
        <v>23.8</v>
      </c>
      <c r="Z41" s="16">
        <v>24.8</v>
      </c>
      <c r="AA41" s="16"/>
      <c r="AB41" s="16">
        <f t="shared" si="14"/>
        <v>0</v>
      </c>
      <c r="AC41" s="6">
        <f>VLOOKUP(A41,[1]Sheet!$A:$AJ,32,0)</f>
        <v>16</v>
      </c>
      <c r="AD41" s="8">
        <f t="shared" si="15"/>
        <v>0</v>
      </c>
      <c r="AE41" s="16">
        <f t="shared" si="16"/>
        <v>0</v>
      </c>
      <c r="AF41" s="16">
        <f>VLOOKUP(A41,[1]Sheet!$A:$AJ,35,0)</f>
        <v>12</v>
      </c>
      <c r="AG41" s="16">
        <f>VLOOKUP(A41,[1]Sheet!$A:$AJ,36,0)</f>
        <v>84</v>
      </c>
      <c r="AH41" s="8">
        <f t="shared" si="17"/>
        <v>0</v>
      </c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</row>
    <row r="42" spans="1:49" x14ac:dyDescent="0.25">
      <c r="A42" s="16" t="s">
        <v>81</v>
      </c>
      <c r="B42" s="16" t="s">
        <v>38</v>
      </c>
      <c r="C42" s="16">
        <v>486</v>
      </c>
      <c r="D42" s="16">
        <v>3</v>
      </c>
      <c r="E42" s="16">
        <v>266</v>
      </c>
      <c r="F42" s="16">
        <v>223</v>
      </c>
      <c r="G42" s="6">
        <f>VLOOKUP(A42,[1]Sheet!$A:$I,7,0)</f>
        <v>0.7</v>
      </c>
      <c r="H42" s="16">
        <f>VLOOKUP(A42,[1]Sheet!$A:$I,8,0)</f>
        <v>180</v>
      </c>
      <c r="I42" s="16" t="str">
        <f>VLOOKUP(A42,[1]Sheet!$A:$I,9,0)</f>
        <v>P004345</v>
      </c>
      <c r="J42" s="16"/>
      <c r="K42" s="16">
        <v>266</v>
      </c>
      <c r="L42" s="16">
        <f t="shared" si="18"/>
        <v>0</v>
      </c>
      <c r="M42" s="16"/>
      <c r="N42" s="16"/>
      <c r="O42" s="16">
        <v>480</v>
      </c>
      <c r="P42" s="16">
        <f t="shared" si="19"/>
        <v>53.2</v>
      </c>
      <c r="Q42" s="4">
        <f>15*P42-O42-F42</f>
        <v>95</v>
      </c>
      <c r="R42" s="4">
        <f t="shared" si="13"/>
        <v>120</v>
      </c>
      <c r="S42" s="16">
        <f t="shared" si="20"/>
        <v>15.469924812030074</v>
      </c>
      <c r="T42" s="16">
        <f t="shared" si="21"/>
        <v>13.214285714285714</v>
      </c>
      <c r="U42" s="16">
        <v>65.400000000000006</v>
      </c>
      <c r="V42" s="16">
        <v>75.8</v>
      </c>
      <c r="W42" s="16">
        <v>69.599999999999994</v>
      </c>
      <c r="X42" s="16">
        <v>82.8</v>
      </c>
      <c r="Y42" s="16">
        <v>56</v>
      </c>
      <c r="Z42" s="16">
        <v>87.2</v>
      </c>
      <c r="AA42" s="16"/>
      <c r="AB42" s="16">
        <f t="shared" si="14"/>
        <v>66.5</v>
      </c>
      <c r="AC42" s="6">
        <f>VLOOKUP(A42,[1]Sheet!$A:$AJ,32,0)</f>
        <v>10</v>
      </c>
      <c r="AD42" s="8">
        <f t="shared" si="15"/>
        <v>12</v>
      </c>
      <c r="AE42" s="16">
        <f t="shared" si="16"/>
        <v>84</v>
      </c>
      <c r="AF42" s="16">
        <f>VLOOKUP(A42,[1]Sheet!$A:$AJ,35,0)</f>
        <v>12</v>
      </c>
      <c r="AG42" s="16">
        <f>VLOOKUP(A42,[1]Sheet!$A:$AJ,36,0)</f>
        <v>84</v>
      </c>
      <c r="AH42" s="8">
        <f t="shared" si="17"/>
        <v>0.14285714285714285</v>
      </c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</row>
    <row r="43" spans="1:49" x14ac:dyDescent="0.25">
      <c r="A43" s="12" t="s">
        <v>82</v>
      </c>
      <c r="B43" s="12" t="s">
        <v>38</v>
      </c>
      <c r="C43" s="12"/>
      <c r="D43" s="12"/>
      <c r="E43" s="17">
        <v>1</v>
      </c>
      <c r="F43" s="17">
        <v>-2</v>
      </c>
      <c r="G43" s="13">
        <v>0</v>
      </c>
      <c r="H43" s="12"/>
      <c r="I43" s="12" t="s">
        <v>55</v>
      </c>
      <c r="J43" s="12" t="s">
        <v>83</v>
      </c>
      <c r="K43" s="12">
        <v>1</v>
      </c>
      <c r="L43" s="12">
        <f t="shared" si="18"/>
        <v>0</v>
      </c>
      <c r="M43" s="12"/>
      <c r="N43" s="12"/>
      <c r="O43" s="12"/>
      <c r="P43" s="12">
        <f t="shared" si="19"/>
        <v>0.2</v>
      </c>
      <c r="Q43" s="14"/>
      <c r="R43" s="14"/>
      <c r="S43" s="12">
        <f t="shared" si="20"/>
        <v>-10</v>
      </c>
      <c r="T43" s="12">
        <f t="shared" si="21"/>
        <v>-10</v>
      </c>
      <c r="U43" s="12">
        <v>0.2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/>
      <c r="AB43" s="12"/>
      <c r="AC43" s="13"/>
      <c r="AD43" s="15"/>
      <c r="AE43" s="12"/>
      <c r="AF43" s="12"/>
      <c r="AG43" s="12"/>
      <c r="AH43" s="15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</row>
    <row r="44" spans="1:49" x14ac:dyDescent="0.25">
      <c r="A44" s="16" t="s">
        <v>83</v>
      </c>
      <c r="B44" s="16" t="s">
        <v>38</v>
      </c>
      <c r="C44" s="16">
        <v>321</v>
      </c>
      <c r="D44" s="16"/>
      <c r="E44" s="17">
        <f>191+E43</f>
        <v>192</v>
      </c>
      <c r="F44" s="17">
        <f>130+F43</f>
        <v>128</v>
      </c>
      <c r="G44" s="6">
        <f>VLOOKUP(A44,[1]Sheet!$A:$I,7,0)</f>
        <v>0.4</v>
      </c>
      <c r="H44" s="16">
        <f>VLOOKUP(A44,[1]Sheet!$A:$I,8,0)</f>
        <v>180</v>
      </c>
      <c r="I44" s="16" t="str">
        <f>VLOOKUP(A44,[1]Sheet!$A:$I,9,0)</f>
        <v>P004444</v>
      </c>
      <c r="J44" s="16"/>
      <c r="K44" s="16">
        <v>215</v>
      </c>
      <c r="L44" s="16">
        <f t="shared" si="18"/>
        <v>-23</v>
      </c>
      <c r="M44" s="16"/>
      <c r="N44" s="16"/>
      <c r="O44" s="16">
        <v>192</v>
      </c>
      <c r="P44" s="16">
        <f t="shared" si="19"/>
        <v>38.4</v>
      </c>
      <c r="Q44" s="4">
        <f t="shared" ref="Q44:Q66" si="22">14*P44-O44-F44</f>
        <v>217.60000000000002</v>
      </c>
      <c r="R44" s="4">
        <f t="shared" ref="R44:R66" si="23">AC44*AD44</f>
        <v>192</v>
      </c>
      <c r="S44" s="16">
        <f t="shared" si="20"/>
        <v>13.333333333333334</v>
      </c>
      <c r="T44" s="16">
        <f t="shared" si="21"/>
        <v>8.3333333333333339</v>
      </c>
      <c r="U44" s="16">
        <v>33.799999999999997</v>
      </c>
      <c r="V44" s="16">
        <v>30.8</v>
      </c>
      <c r="W44" s="16">
        <v>39.200000000000003</v>
      </c>
      <c r="X44" s="16">
        <v>39.4</v>
      </c>
      <c r="Y44" s="16">
        <v>34.4</v>
      </c>
      <c r="Z44" s="16">
        <v>71</v>
      </c>
      <c r="AA44" s="16"/>
      <c r="AB44" s="16">
        <f t="shared" ref="AB44:AB66" si="24">G44*Q44</f>
        <v>87.04000000000002</v>
      </c>
      <c r="AC44" s="6">
        <f>VLOOKUP(A44,[1]Sheet!$A:$AJ,32,0)</f>
        <v>16</v>
      </c>
      <c r="AD44" s="8">
        <f t="shared" ref="AD44:AD66" si="25">MROUND(Q44, AC44*AF44)/AC44</f>
        <v>12</v>
      </c>
      <c r="AE44" s="16">
        <f t="shared" ref="AE44:AE66" si="26">AD44*AC44*G44</f>
        <v>76.800000000000011</v>
      </c>
      <c r="AF44" s="16">
        <f>VLOOKUP(A44,[1]Sheet!$A:$AJ,35,0)</f>
        <v>12</v>
      </c>
      <c r="AG44" s="16">
        <f>VLOOKUP(A44,[1]Sheet!$A:$AJ,36,0)</f>
        <v>84</v>
      </c>
      <c r="AH44" s="8">
        <f t="shared" ref="AH44:AH66" si="27">AD44/AG44</f>
        <v>0.14285714285714285</v>
      </c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</row>
    <row r="45" spans="1:49" x14ac:dyDescent="0.25">
      <c r="A45" s="16" t="s">
        <v>42</v>
      </c>
      <c r="B45" s="16" t="s">
        <v>38</v>
      </c>
      <c r="C45" s="16">
        <v>622</v>
      </c>
      <c r="D45" s="16">
        <v>3</v>
      </c>
      <c r="E45" s="17">
        <f>317+E7</f>
        <v>394</v>
      </c>
      <c r="F45" s="17">
        <f>308+F7</f>
        <v>482</v>
      </c>
      <c r="G45" s="6">
        <f>VLOOKUP(A45,[1]Sheet!$A:$I,7,0)</f>
        <v>0.7</v>
      </c>
      <c r="H45" s="16">
        <f>VLOOKUP(A45,[1]Sheet!$A:$I,8,0)</f>
        <v>180</v>
      </c>
      <c r="I45" s="16" t="str">
        <f>VLOOKUP(A45,[1]Sheet!$A:$I,9,0)</f>
        <v>P004346</v>
      </c>
      <c r="J45" s="16"/>
      <c r="K45" s="16">
        <v>325</v>
      </c>
      <c r="L45" s="16">
        <f t="shared" si="18"/>
        <v>69</v>
      </c>
      <c r="M45" s="16"/>
      <c r="N45" s="16"/>
      <c r="O45" s="16">
        <v>480</v>
      </c>
      <c r="P45" s="16">
        <f t="shared" si="19"/>
        <v>78.8</v>
      </c>
      <c r="Q45" s="4">
        <f t="shared" si="22"/>
        <v>141.20000000000005</v>
      </c>
      <c r="R45" s="4">
        <f t="shared" si="23"/>
        <v>120</v>
      </c>
      <c r="S45" s="16">
        <f t="shared" si="20"/>
        <v>13.730964467005077</v>
      </c>
      <c r="T45" s="16">
        <f t="shared" si="21"/>
        <v>12.208121827411167</v>
      </c>
      <c r="U45" s="16">
        <v>97.4</v>
      </c>
      <c r="V45" s="16">
        <v>111.8</v>
      </c>
      <c r="W45" s="16">
        <v>102.2</v>
      </c>
      <c r="X45" s="16">
        <v>96.2</v>
      </c>
      <c r="Y45" s="16">
        <v>54.2</v>
      </c>
      <c r="Z45" s="16">
        <v>65.8</v>
      </c>
      <c r="AA45" s="16"/>
      <c r="AB45" s="16">
        <f t="shared" si="24"/>
        <v>98.840000000000032</v>
      </c>
      <c r="AC45" s="6">
        <f>VLOOKUP(A45,[1]Sheet!$A:$AJ,32,0)</f>
        <v>10</v>
      </c>
      <c r="AD45" s="8">
        <f t="shared" si="25"/>
        <v>12</v>
      </c>
      <c r="AE45" s="16">
        <f t="shared" si="26"/>
        <v>84</v>
      </c>
      <c r="AF45" s="16">
        <f>VLOOKUP(A45,[1]Sheet!$A:$AJ,35,0)</f>
        <v>12</v>
      </c>
      <c r="AG45" s="16">
        <f>VLOOKUP(A45,[1]Sheet!$A:$AJ,36,0)</f>
        <v>84</v>
      </c>
      <c r="AH45" s="8">
        <f t="shared" si="27"/>
        <v>0.14285714285714285</v>
      </c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</row>
    <row r="46" spans="1:49" x14ac:dyDescent="0.25">
      <c r="A46" s="16" t="s">
        <v>84</v>
      </c>
      <c r="B46" s="16" t="s">
        <v>38</v>
      </c>
      <c r="C46" s="16">
        <v>74</v>
      </c>
      <c r="D46" s="16"/>
      <c r="E46" s="16">
        <v>76</v>
      </c>
      <c r="F46" s="16">
        <v>-2</v>
      </c>
      <c r="G46" s="6">
        <f>VLOOKUP(A46,[1]Sheet!$A:$I,7,0)</f>
        <v>0.7</v>
      </c>
      <c r="H46" s="16">
        <f>VLOOKUP(A46,[1]Sheet!$A:$I,8,0)</f>
        <v>180</v>
      </c>
      <c r="I46" s="16" t="str">
        <f>VLOOKUP(A46,[1]Sheet!$A:$I,9,0)</f>
        <v>P004060</v>
      </c>
      <c r="J46" s="16"/>
      <c r="K46" s="16">
        <v>100</v>
      </c>
      <c r="L46" s="16">
        <f t="shared" si="18"/>
        <v>-24</v>
      </c>
      <c r="M46" s="16"/>
      <c r="N46" s="16"/>
      <c r="O46" s="16">
        <v>240</v>
      </c>
      <c r="P46" s="16">
        <f t="shared" si="19"/>
        <v>15.2</v>
      </c>
      <c r="Q46" s="4"/>
      <c r="R46" s="4">
        <f t="shared" si="23"/>
        <v>0</v>
      </c>
      <c r="S46" s="16">
        <f t="shared" si="20"/>
        <v>15.657894736842106</v>
      </c>
      <c r="T46" s="16">
        <f t="shared" si="21"/>
        <v>15.657894736842106</v>
      </c>
      <c r="U46" s="16">
        <v>30.2</v>
      </c>
      <c r="V46" s="16">
        <v>21.2</v>
      </c>
      <c r="W46" s="16">
        <v>27</v>
      </c>
      <c r="X46" s="16">
        <v>27.4</v>
      </c>
      <c r="Y46" s="16">
        <v>23.4</v>
      </c>
      <c r="Z46" s="16">
        <v>1.2</v>
      </c>
      <c r="AA46" s="16"/>
      <c r="AB46" s="16">
        <f t="shared" si="24"/>
        <v>0</v>
      </c>
      <c r="AC46" s="6">
        <f>VLOOKUP(A46,[1]Sheet!$A:$AJ,32,0)</f>
        <v>10</v>
      </c>
      <c r="AD46" s="8">
        <f t="shared" si="25"/>
        <v>0</v>
      </c>
      <c r="AE46" s="16">
        <f t="shared" si="26"/>
        <v>0</v>
      </c>
      <c r="AF46" s="16">
        <f>VLOOKUP(A46,[1]Sheet!$A:$AJ,35,0)</f>
        <v>12</v>
      </c>
      <c r="AG46" s="16">
        <f>VLOOKUP(A46,[1]Sheet!$A:$AJ,36,0)</f>
        <v>84</v>
      </c>
      <c r="AH46" s="8">
        <f t="shared" si="27"/>
        <v>0</v>
      </c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</row>
    <row r="47" spans="1:49" x14ac:dyDescent="0.25">
      <c r="A47" s="16" t="s">
        <v>85</v>
      </c>
      <c r="B47" s="16" t="s">
        <v>38</v>
      </c>
      <c r="C47" s="16">
        <v>1057</v>
      </c>
      <c r="D47" s="16"/>
      <c r="E47" s="16">
        <v>629</v>
      </c>
      <c r="F47" s="16">
        <v>428</v>
      </c>
      <c r="G47" s="6">
        <f>VLOOKUP(A47,[1]Sheet!$A:$I,7,0)</f>
        <v>1</v>
      </c>
      <c r="H47" s="16">
        <f>VLOOKUP(A47,[1]Sheet!$A:$I,8,0)</f>
        <v>180</v>
      </c>
      <c r="I47" s="16" t="str">
        <f>VLOOKUP(A47,[1]Sheet!$A:$I,9,0)</f>
        <v>P005048</v>
      </c>
      <c r="J47" s="16"/>
      <c r="K47" s="16">
        <v>646</v>
      </c>
      <c r="L47" s="16">
        <f t="shared" si="18"/>
        <v>-17</v>
      </c>
      <c r="M47" s="16"/>
      <c r="N47" s="16"/>
      <c r="O47" s="16">
        <v>360</v>
      </c>
      <c r="P47" s="16">
        <f t="shared" si="19"/>
        <v>125.8</v>
      </c>
      <c r="Q47" s="4">
        <f t="shared" si="22"/>
        <v>973.2</v>
      </c>
      <c r="R47" s="4">
        <f t="shared" si="23"/>
        <v>960</v>
      </c>
      <c r="S47" s="16">
        <f t="shared" si="20"/>
        <v>13.895071542130365</v>
      </c>
      <c r="T47" s="16">
        <f t="shared" si="21"/>
        <v>6.2639109697933231</v>
      </c>
      <c r="U47" s="16">
        <v>93.8</v>
      </c>
      <c r="V47" s="16">
        <v>124.8</v>
      </c>
      <c r="W47" s="16">
        <v>107.4</v>
      </c>
      <c r="X47" s="16">
        <v>88.2</v>
      </c>
      <c r="Y47" s="16">
        <v>102.6</v>
      </c>
      <c r="Z47" s="16">
        <v>114.6</v>
      </c>
      <c r="AA47" s="16"/>
      <c r="AB47" s="16">
        <f t="shared" si="24"/>
        <v>973.2</v>
      </c>
      <c r="AC47" s="6">
        <f>VLOOKUP(A47,[1]Sheet!$A:$AJ,32,0)</f>
        <v>5</v>
      </c>
      <c r="AD47" s="8">
        <f t="shared" si="25"/>
        <v>192</v>
      </c>
      <c r="AE47" s="16">
        <f t="shared" si="26"/>
        <v>960</v>
      </c>
      <c r="AF47" s="16">
        <f>VLOOKUP(A47,[1]Sheet!$A:$AJ,35,0)</f>
        <v>12</v>
      </c>
      <c r="AG47" s="16">
        <f>VLOOKUP(A47,[1]Sheet!$A:$AJ,36,0)</f>
        <v>84</v>
      </c>
      <c r="AH47" s="8">
        <f t="shared" si="27"/>
        <v>2.2857142857142856</v>
      </c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</row>
    <row r="48" spans="1:49" x14ac:dyDescent="0.25">
      <c r="A48" s="16" t="s">
        <v>86</v>
      </c>
      <c r="B48" s="16" t="s">
        <v>38</v>
      </c>
      <c r="C48" s="16">
        <v>276</v>
      </c>
      <c r="D48" s="16">
        <v>8</v>
      </c>
      <c r="E48" s="16">
        <v>181</v>
      </c>
      <c r="F48" s="16">
        <v>95</v>
      </c>
      <c r="G48" s="6">
        <f>VLOOKUP(A48,[1]Sheet!$A:$I,7,0)</f>
        <v>0.9</v>
      </c>
      <c r="H48" s="16">
        <f>VLOOKUP(A48,[1]Sheet!$A:$I,8,0)</f>
        <v>180</v>
      </c>
      <c r="I48" s="16" t="str">
        <f>VLOOKUP(A48,[1]Sheet!$A:$I,9,0)</f>
        <v>P005107</v>
      </c>
      <c r="J48" s="16"/>
      <c r="K48" s="16">
        <v>193</v>
      </c>
      <c r="L48" s="16">
        <f t="shared" si="18"/>
        <v>-12</v>
      </c>
      <c r="M48" s="16"/>
      <c r="N48" s="16"/>
      <c r="O48" s="16">
        <v>288</v>
      </c>
      <c r="P48" s="16">
        <f t="shared" si="19"/>
        <v>36.200000000000003</v>
      </c>
      <c r="Q48" s="4">
        <f t="shared" si="22"/>
        <v>123.80000000000007</v>
      </c>
      <c r="R48" s="4">
        <f t="shared" si="23"/>
        <v>96</v>
      </c>
      <c r="S48" s="16">
        <f t="shared" si="20"/>
        <v>13.232044198895027</v>
      </c>
      <c r="T48" s="16">
        <f t="shared" si="21"/>
        <v>10.580110497237568</v>
      </c>
      <c r="U48" s="16">
        <v>40.200000000000003</v>
      </c>
      <c r="V48" s="16">
        <v>34.200000000000003</v>
      </c>
      <c r="W48" s="16">
        <v>21.4</v>
      </c>
      <c r="X48" s="16">
        <v>21.6</v>
      </c>
      <c r="Y48" s="16">
        <v>27.2</v>
      </c>
      <c r="Z48" s="16">
        <v>23</v>
      </c>
      <c r="AA48" s="16"/>
      <c r="AB48" s="16">
        <f t="shared" si="24"/>
        <v>111.42000000000006</v>
      </c>
      <c r="AC48" s="6">
        <f>VLOOKUP(A48,[1]Sheet!$A:$AJ,32,0)</f>
        <v>8</v>
      </c>
      <c r="AD48" s="8">
        <f t="shared" si="25"/>
        <v>12</v>
      </c>
      <c r="AE48" s="16">
        <f t="shared" si="26"/>
        <v>86.4</v>
      </c>
      <c r="AF48" s="16">
        <f>VLOOKUP(A48,[1]Sheet!$A:$AJ,35,0)</f>
        <v>12</v>
      </c>
      <c r="AG48" s="16">
        <f>VLOOKUP(A48,[1]Sheet!$A:$AJ,36,0)</f>
        <v>84</v>
      </c>
      <c r="AH48" s="8">
        <f t="shared" si="27"/>
        <v>0.14285714285714285</v>
      </c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</row>
    <row r="49" spans="1:49" x14ac:dyDescent="0.25">
      <c r="A49" s="16" t="s">
        <v>87</v>
      </c>
      <c r="B49" s="16" t="s">
        <v>38</v>
      </c>
      <c r="C49" s="16">
        <v>180</v>
      </c>
      <c r="D49" s="16"/>
      <c r="E49" s="16">
        <v>79</v>
      </c>
      <c r="F49" s="16">
        <v>101</v>
      </c>
      <c r="G49" s="6">
        <f>VLOOKUP(A49,[1]Sheet!$A:$I,7,0)</f>
        <v>0.9</v>
      </c>
      <c r="H49" s="16">
        <f>VLOOKUP(A49,[1]Sheet!$A:$I,8,0)</f>
        <v>180</v>
      </c>
      <c r="I49" s="16" t="str">
        <f>VLOOKUP(A49,[1]Sheet!$A:$I,9,0)</f>
        <v>P005105</v>
      </c>
      <c r="J49" s="16"/>
      <c r="K49" s="16">
        <v>86</v>
      </c>
      <c r="L49" s="16">
        <f t="shared" si="18"/>
        <v>-7</v>
      </c>
      <c r="M49" s="16"/>
      <c r="N49" s="16"/>
      <c r="O49" s="16">
        <v>96</v>
      </c>
      <c r="P49" s="16">
        <f t="shared" si="19"/>
        <v>15.8</v>
      </c>
      <c r="Q49" s="4">
        <f>16*P49-O49-F49</f>
        <v>55.800000000000011</v>
      </c>
      <c r="R49" s="4">
        <f t="shared" si="23"/>
        <v>96</v>
      </c>
      <c r="S49" s="16">
        <f t="shared" si="20"/>
        <v>18.544303797468352</v>
      </c>
      <c r="T49" s="16">
        <f t="shared" si="21"/>
        <v>12.468354430379746</v>
      </c>
      <c r="U49" s="16">
        <v>14.6</v>
      </c>
      <c r="V49" s="16">
        <v>20.8</v>
      </c>
      <c r="W49" s="16">
        <v>8</v>
      </c>
      <c r="X49" s="16">
        <v>8.6</v>
      </c>
      <c r="Y49" s="16">
        <v>12.8</v>
      </c>
      <c r="Z49" s="16">
        <v>17.2</v>
      </c>
      <c r="AA49" s="16"/>
      <c r="AB49" s="16">
        <f t="shared" si="24"/>
        <v>50.220000000000013</v>
      </c>
      <c r="AC49" s="6">
        <f>VLOOKUP(A49,[1]Sheet!$A:$AJ,32,0)</f>
        <v>8</v>
      </c>
      <c r="AD49" s="8">
        <f t="shared" si="25"/>
        <v>12</v>
      </c>
      <c r="AE49" s="16">
        <f t="shared" si="26"/>
        <v>86.4</v>
      </c>
      <c r="AF49" s="16">
        <f>VLOOKUP(A49,[1]Sheet!$A:$AJ,35,0)</f>
        <v>12</v>
      </c>
      <c r="AG49" s="16">
        <f>VLOOKUP(A49,[1]Sheet!$A:$AJ,36,0)</f>
        <v>84</v>
      </c>
      <c r="AH49" s="8">
        <f t="shared" si="27"/>
        <v>0.14285714285714285</v>
      </c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</row>
    <row r="50" spans="1:49" x14ac:dyDescent="0.25">
      <c r="A50" s="16" t="s">
        <v>88</v>
      </c>
      <c r="B50" s="16" t="s">
        <v>60</v>
      </c>
      <c r="C50" s="16">
        <v>575</v>
      </c>
      <c r="D50" s="16"/>
      <c r="E50" s="16">
        <v>330</v>
      </c>
      <c r="F50" s="16">
        <v>245</v>
      </c>
      <c r="G50" s="6">
        <f>VLOOKUP(A50,[1]Sheet!$A:$I,7,0)</f>
        <v>1</v>
      </c>
      <c r="H50" s="16">
        <f>VLOOKUP(A50,[1]Sheet!$A:$I,8,0)</f>
        <v>180</v>
      </c>
      <c r="I50" s="16" t="str">
        <f>VLOOKUP(A50,[1]Sheet!$A:$I,9,0)</f>
        <v>P004472</v>
      </c>
      <c r="J50" s="16"/>
      <c r="K50" s="16">
        <v>330</v>
      </c>
      <c r="L50" s="16">
        <f t="shared" si="18"/>
        <v>0</v>
      </c>
      <c r="M50" s="16"/>
      <c r="N50" s="16"/>
      <c r="O50" s="16">
        <v>420</v>
      </c>
      <c r="P50" s="16">
        <f t="shared" si="19"/>
        <v>66</v>
      </c>
      <c r="Q50" s="4">
        <f t="shared" si="22"/>
        <v>259</v>
      </c>
      <c r="R50" s="4">
        <f t="shared" si="23"/>
        <v>240</v>
      </c>
      <c r="S50" s="16">
        <f t="shared" si="20"/>
        <v>13.712121212121213</v>
      </c>
      <c r="T50" s="16">
        <f t="shared" si="21"/>
        <v>10.075757575757576</v>
      </c>
      <c r="U50" s="16">
        <v>69</v>
      </c>
      <c r="V50" s="16">
        <v>69</v>
      </c>
      <c r="W50" s="16">
        <v>65</v>
      </c>
      <c r="X50" s="16">
        <v>61</v>
      </c>
      <c r="Y50" s="16">
        <v>52</v>
      </c>
      <c r="Z50" s="16">
        <v>72</v>
      </c>
      <c r="AA50" s="16"/>
      <c r="AB50" s="16">
        <f t="shared" si="24"/>
        <v>259</v>
      </c>
      <c r="AC50" s="6">
        <f>VLOOKUP(A50,[1]Sheet!$A:$AJ,32,0)</f>
        <v>5</v>
      </c>
      <c r="AD50" s="8">
        <f t="shared" si="25"/>
        <v>48</v>
      </c>
      <c r="AE50" s="16">
        <f t="shared" si="26"/>
        <v>240</v>
      </c>
      <c r="AF50" s="16">
        <f>VLOOKUP(A50,[1]Sheet!$A:$AJ,35,0)</f>
        <v>12</v>
      </c>
      <c r="AG50" s="16">
        <f>VLOOKUP(A50,[1]Sheet!$A:$AJ,36,0)</f>
        <v>144</v>
      </c>
      <c r="AH50" s="8">
        <f t="shared" si="27"/>
        <v>0.33333333333333331</v>
      </c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</row>
    <row r="51" spans="1:49" x14ac:dyDescent="0.25">
      <c r="A51" s="16" t="s">
        <v>89</v>
      </c>
      <c r="B51" s="16" t="s">
        <v>60</v>
      </c>
      <c r="C51" s="16">
        <v>206.5</v>
      </c>
      <c r="D51" s="16"/>
      <c r="E51" s="16">
        <v>288.3</v>
      </c>
      <c r="F51" s="16">
        <v>-81.8</v>
      </c>
      <c r="G51" s="6">
        <f>VLOOKUP(A51,[1]Sheet!$A:$I,7,0)</f>
        <v>1</v>
      </c>
      <c r="H51" s="16">
        <f>VLOOKUP(A51,[1]Sheet!$A:$I,8,0)</f>
        <v>180</v>
      </c>
      <c r="I51" s="16" t="str">
        <f>VLOOKUP(A51,[1]Sheet!$A:$I,9,0)</f>
        <v>P004359</v>
      </c>
      <c r="J51" s="16"/>
      <c r="K51" s="16">
        <v>292</v>
      </c>
      <c r="L51" s="16">
        <f t="shared" si="18"/>
        <v>-3.6999999999999886</v>
      </c>
      <c r="M51" s="16"/>
      <c r="N51" s="16"/>
      <c r="O51" s="16">
        <v>725.2</v>
      </c>
      <c r="P51" s="16">
        <f t="shared" si="19"/>
        <v>57.660000000000004</v>
      </c>
      <c r="Q51" s="4">
        <f t="shared" si="22"/>
        <v>163.83999999999997</v>
      </c>
      <c r="R51" s="4">
        <f t="shared" si="23"/>
        <v>155.4</v>
      </c>
      <c r="S51" s="16">
        <f t="shared" si="20"/>
        <v>13.853624696496706</v>
      </c>
      <c r="T51" s="16">
        <f t="shared" si="21"/>
        <v>11.158515435310441</v>
      </c>
      <c r="U51" s="16">
        <v>94.7</v>
      </c>
      <c r="V51" s="16">
        <v>83.62</v>
      </c>
      <c r="W51" s="16">
        <v>68.08</v>
      </c>
      <c r="X51" s="16">
        <v>83.62</v>
      </c>
      <c r="Y51" s="16">
        <v>75.47999999999999</v>
      </c>
      <c r="Z51" s="16">
        <v>78.44</v>
      </c>
      <c r="AA51" s="16"/>
      <c r="AB51" s="16">
        <f t="shared" si="24"/>
        <v>163.83999999999997</v>
      </c>
      <c r="AC51" s="6">
        <f>VLOOKUP(A51,[1]Sheet!$A:$AJ,32,0)</f>
        <v>3.7</v>
      </c>
      <c r="AD51" s="8">
        <f t="shared" si="25"/>
        <v>42</v>
      </c>
      <c r="AE51" s="16">
        <f t="shared" si="26"/>
        <v>155.4</v>
      </c>
      <c r="AF51" s="16">
        <f>VLOOKUP(A51,[1]Sheet!$A:$AJ,35,0)</f>
        <v>14</v>
      </c>
      <c r="AG51" s="16">
        <f>VLOOKUP(A51,[1]Sheet!$A:$AJ,36,0)</f>
        <v>126</v>
      </c>
      <c r="AH51" s="8">
        <f t="shared" si="27"/>
        <v>0.33333333333333331</v>
      </c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</row>
    <row r="52" spans="1:49" x14ac:dyDescent="0.25">
      <c r="A52" s="16" t="s">
        <v>90</v>
      </c>
      <c r="B52" s="16" t="s">
        <v>38</v>
      </c>
      <c r="C52" s="16">
        <v>819</v>
      </c>
      <c r="D52" s="16"/>
      <c r="E52" s="16">
        <v>543</v>
      </c>
      <c r="F52" s="16">
        <v>276</v>
      </c>
      <c r="G52" s="19">
        <v>0.09</v>
      </c>
      <c r="H52" s="16">
        <v>180</v>
      </c>
      <c r="I52" s="16" t="s">
        <v>91</v>
      </c>
      <c r="J52" s="16"/>
      <c r="K52" s="16">
        <v>542</v>
      </c>
      <c r="L52" s="16">
        <f t="shared" si="18"/>
        <v>1</v>
      </c>
      <c r="M52" s="16"/>
      <c r="N52" s="16"/>
      <c r="O52" s="16">
        <v>0</v>
      </c>
      <c r="P52" s="16">
        <f t="shared" si="19"/>
        <v>108.6</v>
      </c>
      <c r="Q52" s="4">
        <f>13*P52-O52-F52</f>
        <v>1135.8</v>
      </c>
      <c r="R52" s="4">
        <f t="shared" si="23"/>
        <v>1260</v>
      </c>
      <c r="S52" s="16">
        <f t="shared" si="20"/>
        <v>14.14364640883978</v>
      </c>
      <c r="T52" s="16">
        <f t="shared" si="21"/>
        <v>2.541436464088398</v>
      </c>
      <c r="U52" s="16">
        <v>47.8</v>
      </c>
      <c r="V52" s="16">
        <v>80</v>
      </c>
      <c r="W52" s="16">
        <v>105.6</v>
      </c>
      <c r="X52" s="16">
        <v>73.8</v>
      </c>
      <c r="Y52" s="16">
        <v>39</v>
      </c>
      <c r="Z52" s="16">
        <v>76.2</v>
      </c>
      <c r="AA52" s="16" t="s">
        <v>92</v>
      </c>
      <c r="AB52" s="16">
        <f t="shared" si="24"/>
        <v>102.22199999999999</v>
      </c>
      <c r="AC52" s="6">
        <v>30</v>
      </c>
      <c r="AD52" s="8">
        <f t="shared" si="25"/>
        <v>42</v>
      </c>
      <c r="AE52" s="16">
        <f t="shared" si="26"/>
        <v>113.39999999999999</v>
      </c>
      <c r="AF52" s="16">
        <v>14</v>
      </c>
      <c r="AG52" s="16">
        <v>126</v>
      </c>
      <c r="AH52" s="8">
        <f t="shared" si="27"/>
        <v>0.33333333333333331</v>
      </c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</row>
    <row r="53" spans="1:49" x14ac:dyDescent="0.25">
      <c r="A53" s="16" t="s">
        <v>93</v>
      </c>
      <c r="B53" s="16" t="s">
        <v>38</v>
      </c>
      <c r="C53" s="16">
        <v>63</v>
      </c>
      <c r="D53" s="16"/>
      <c r="E53" s="16">
        <v>74</v>
      </c>
      <c r="F53" s="16">
        <v>-11</v>
      </c>
      <c r="G53" s="6">
        <f>VLOOKUP(A53,[1]Sheet!$A:$I,7,0)</f>
        <v>0.23</v>
      </c>
      <c r="H53" s="16">
        <f>VLOOKUP(A53,[1]Sheet!$A:$I,8,0)</f>
        <v>180</v>
      </c>
      <c r="I53" s="16" t="str">
        <f>VLOOKUP(A53,[1]Sheet!$A:$I,9,0)</f>
        <v>P005182</v>
      </c>
      <c r="J53" s="16"/>
      <c r="K53" s="16">
        <v>92</v>
      </c>
      <c r="L53" s="16">
        <f t="shared" si="18"/>
        <v>-18</v>
      </c>
      <c r="M53" s="16"/>
      <c r="N53" s="16"/>
      <c r="O53" s="16">
        <v>336</v>
      </c>
      <c r="P53" s="16">
        <f t="shared" si="19"/>
        <v>14.8</v>
      </c>
      <c r="Q53" s="4"/>
      <c r="R53" s="4">
        <f t="shared" si="23"/>
        <v>0</v>
      </c>
      <c r="S53" s="16">
        <f t="shared" si="20"/>
        <v>21.95945945945946</v>
      </c>
      <c r="T53" s="16">
        <f t="shared" si="21"/>
        <v>21.95945945945946</v>
      </c>
      <c r="U53" s="16">
        <v>32.6</v>
      </c>
      <c r="V53" s="16">
        <v>32</v>
      </c>
      <c r="W53" s="16">
        <v>16</v>
      </c>
      <c r="X53" s="16">
        <v>35.6</v>
      </c>
      <c r="Y53" s="16">
        <v>21.4</v>
      </c>
      <c r="Z53" s="16">
        <v>33.6</v>
      </c>
      <c r="AA53" s="16"/>
      <c r="AB53" s="16">
        <f t="shared" si="24"/>
        <v>0</v>
      </c>
      <c r="AC53" s="6">
        <f>VLOOKUP(A53,[1]Sheet!$A:$AJ,32,0)</f>
        <v>6</v>
      </c>
      <c r="AD53" s="8">
        <f t="shared" si="25"/>
        <v>0</v>
      </c>
      <c r="AE53" s="16">
        <f t="shared" si="26"/>
        <v>0</v>
      </c>
      <c r="AF53" s="16">
        <f>VLOOKUP(A53,[1]Sheet!$A:$AJ,35,0)</f>
        <v>14</v>
      </c>
      <c r="AG53" s="16">
        <f>VLOOKUP(A53,[1]Sheet!$A:$AJ,36,0)</f>
        <v>140</v>
      </c>
      <c r="AH53" s="8">
        <f t="shared" si="27"/>
        <v>0</v>
      </c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</row>
    <row r="54" spans="1:49" x14ac:dyDescent="0.25">
      <c r="A54" s="16" t="s">
        <v>94</v>
      </c>
      <c r="B54" s="16" t="s">
        <v>38</v>
      </c>
      <c r="C54" s="16">
        <v>1422</v>
      </c>
      <c r="D54" s="16">
        <v>1</v>
      </c>
      <c r="E54" s="16">
        <v>646</v>
      </c>
      <c r="F54" s="16">
        <v>776</v>
      </c>
      <c r="G54" s="6">
        <f>VLOOKUP(A54,[1]Sheet!$A:$I,7,0)</f>
        <v>0.25</v>
      </c>
      <c r="H54" s="16">
        <f>VLOOKUP(A54,[1]Sheet!$A:$I,8,0)</f>
        <v>180</v>
      </c>
      <c r="I54" s="16" t="str">
        <f>VLOOKUP(A54,[1]Sheet!$A:$I,9,0)</f>
        <v>P004489</v>
      </c>
      <c r="J54" s="16"/>
      <c r="K54" s="16">
        <v>715</v>
      </c>
      <c r="L54" s="16">
        <f t="shared" si="18"/>
        <v>-69</v>
      </c>
      <c r="M54" s="16"/>
      <c r="N54" s="16"/>
      <c r="O54" s="16">
        <v>504</v>
      </c>
      <c r="P54" s="16">
        <f t="shared" si="19"/>
        <v>129.19999999999999</v>
      </c>
      <c r="Q54" s="4">
        <f t="shared" si="22"/>
        <v>528.79999999999973</v>
      </c>
      <c r="R54" s="4">
        <f t="shared" si="23"/>
        <v>504</v>
      </c>
      <c r="S54" s="16">
        <f t="shared" si="20"/>
        <v>13.808049535603717</v>
      </c>
      <c r="T54" s="16">
        <f t="shared" si="21"/>
        <v>9.9071207430340564</v>
      </c>
      <c r="U54" s="16">
        <v>141</v>
      </c>
      <c r="V54" s="16">
        <v>187.4</v>
      </c>
      <c r="W54" s="16">
        <v>146.80000000000001</v>
      </c>
      <c r="X54" s="16">
        <v>134</v>
      </c>
      <c r="Y54" s="16">
        <v>135.80000000000001</v>
      </c>
      <c r="Z54" s="16">
        <v>168.2</v>
      </c>
      <c r="AA54" s="16"/>
      <c r="AB54" s="16">
        <f t="shared" si="24"/>
        <v>132.19999999999993</v>
      </c>
      <c r="AC54" s="6">
        <f>VLOOKUP(A54,[1]Sheet!$A:$AJ,32,0)</f>
        <v>12</v>
      </c>
      <c r="AD54" s="8">
        <f t="shared" si="25"/>
        <v>42</v>
      </c>
      <c r="AE54" s="16">
        <f t="shared" si="26"/>
        <v>126</v>
      </c>
      <c r="AF54" s="16">
        <f>VLOOKUP(A54,[1]Sheet!$A:$AJ,35,0)</f>
        <v>14</v>
      </c>
      <c r="AG54" s="16">
        <f>VLOOKUP(A54,[1]Sheet!$A:$AJ,36,0)</f>
        <v>70</v>
      </c>
      <c r="AH54" s="8">
        <f t="shared" si="27"/>
        <v>0.6</v>
      </c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</row>
    <row r="55" spans="1:49" x14ac:dyDescent="0.25">
      <c r="A55" s="16" t="s">
        <v>95</v>
      </c>
      <c r="B55" s="16" t="s">
        <v>38</v>
      </c>
      <c r="C55" s="16">
        <v>888</v>
      </c>
      <c r="D55" s="16"/>
      <c r="E55" s="16">
        <v>420</v>
      </c>
      <c r="F55" s="16">
        <v>468</v>
      </c>
      <c r="G55" s="6">
        <f>VLOOKUP(A55,[1]Sheet!$A:$I,7,0)</f>
        <v>0.25</v>
      </c>
      <c r="H55" s="16">
        <f>VLOOKUP(A55,[1]Sheet!$A:$I,8,0)</f>
        <v>180</v>
      </c>
      <c r="I55" s="16" t="str">
        <f>VLOOKUP(A55,[1]Sheet!$A:$I,9,0)</f>
        <v>P005058</v>
      </c>
      <c r="J55" s="16"/>
      <c r="K55" s="16">
        <v>440</v>
      </c>
      <c r="L55" s="16">
        <f t="shared" si="18"/>
        <v>-20</v>
      </c>
      <c r="M55" s="16"/>
      <c r="N55" s="16"/>
      <c r="O55" s="16">
        <v>168</v>
      </c>
      <c r="P55" s="16">
        <f t="shared" si="19"/>
        <v>84</v>
      </c>
      <c r="Q55" s="4">
        <f t="shared" si="22"/>
        <v>540</v>
      </c>
      <c r="R55" s="4">
        <f t="shared" si="23"/>
        <v>504</v>
      </c>
      <c r="S55" s="16">
        <f t="shared" si="20"/>
        <v>13.571428571428571</v>
      </c>
      <c r="T55" s="16">
        <f t="shared" si="21"/>
        <v>7.5714285714285712</v>
      </c>
      <c r="U55" s="16">
        <v>70.599999999999994</v>
      </c>
      <c r="V55" s="16">
        <v>95.4</v>
      </c>
      <c r="W55" s="16">
        <v>71.400000000000006</v>
      </c>
      <c r="X55" s="16">
        <v>52.6</v>
      </c>
      <c r="Y55" s="16">
        <v>65.599999999999994</v>
      </c>
      <c r="Z55" s="16">
        <v>117</v>
      </c>
      <c r="AA55" s="16"/>
      <c r="AB55" s="16">
        <f t="shared" si="24"/>
        <v>135</v>
      </c>
      <c r="AC55" s="6">
        <f>VLOOKUP(A55,[1]Sheet!$A:$AJ,32,0)</f>
        <v>12</v>
      </c>
      <c r="AD55" s="8">
        <f t="shared" si="25"/>
        <v>42</v>
      </c>
      <c r="AE55" s="16">
        <f t="shared" si="26"/>
        <v>126</v>
      </c>
      <c r="AF55" s="16">
        <f>VLOOKUP(A55,[1]Sheet!$A:$AJ,35,0)</f>
        <v>14</v>
      </c>
      <c r="AG55" s="16">
        <f>VLOOKUP(A55,[1]Sheet!$A:$AJ,36,0)</f>
        <v>70</v>
      </c>
      <c r="AH55" s="8">
        <f t="shared" si="27"/>
        <v>0.6</v>
      </c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</row>
    <row r="56" spans="1:49" x14ac:dyDescent="0.25">
      <c r="A56" s="16" t="s">
        <v>96</v>
      </c>
      <c r="B56" s="16" t="s">
        <v>38</v>
      </c>
      <c r="C56" s="16">
        <v>85</v>
      </c>
      <c r="D56" s="16">
        <v>1</v>
      </c>
      <c r="E56" s="16">
        <v>22</v>
      </c>
      <c r="F56" s="16">
        <v>63</v>
      </c>
      <c r="G56" s="6">
        <f>VLOOKUP(A56,[1]Sheet!$A:$I,7,0)</f>
        <v>0.18</v>
      </c>
      <c r="H56" s="16">
        <f>VLOOKUP(A56,[1]Sheet!$A:$I,8,0)</f>
        <v>180</v>
      </c>
      <c r="I56" s="16" t="str">
        <f>VLOOKUP(A56,[1]Sheet!$A:$I,9,0)</f>
        <v>P005201</v>
      </c>
      <c r="J56" s="16"/>
      <c r="K56" s="16">
        <v>23</v>
      </c>
      <c r="L56" s="16">
        <f t="shared" si="18"/>
        <v>-1</v>
      </c>
      <c r="M56" s="16"/>
      <c r="N56" s="16"/>
      <c r="O56" s="16">
        <v>0</v>
      </c>
      <c r="P56" s="16">
        <f t="shared" si="19"/>
        <v>4.4000000000000004</v>
      </c>
      <c r="Q56" s="4"/>
      <c r="R56" s="4">
        <f t="shared" si="23"/>
        <v>0</v>
      </c>
      <c r="S56" s="16">
        <f t="shared" si="20"/>
        <v>14.318181818181817</v>
      </c>
      <c r="T56" s="16">
        <f t="shared" si="21"/>
        <v>14.318181818181817</v>
      </c>
      <c r="U56" s="16">
        <v>7.2</v>
      </c>
      <c r="V56" s="16">
        <v>2.8</v>
      </c>
      <c r="W56" s="16">
        <v>5.8</v>
      </c>
      <c r="X56" s="16">
        <v>7.2</v>
      </c>
      <c r="Y56" s="16">
        <v>8.8000000000000007</v>
      </c>
      <c r="Z56" s="16">
        <v>9.6</v>
      </c>
      <c r="AA56" s="16"/>
      <c r="AB56" s="16">
        <f t="shared" si="24"/>
        <v>0</v>
      </c>
      <c r="AC56" s="6">
        <f>VLOOKUP(A56,[1]Sheet!$A:$AJ,32,0)</f>
        <v>6</v>
      </c>
      <c r="AD56" s="8">
        <f t="shared" si="25"/>
        <v>0</v>
      </c>
      <c r="AE56" s="16">
        <f t="shared" si="26"/>
        <v>0</v>
      </c>
      <c r="AF56" s="16">
        <f>VLOOKUP(A56,[1]Sheet!$A:$AJ,35,0)</f>
        <v>14</v>
      </c>
      <c r="AG56" s="16">
        <f>VLOOKUP(A56,[1]Sheet!$A:$AJ,36,0)</f>
        <v>140</v>
      </c>
      <c r="AH56" s="8">
        <f t="shared" si="27"/>
        <v>0</v>
      </c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</row>
    <row r="57" spans="1:49" x14ac:dyDescent="0.25">
      <c r="A57" s="16" t="s">
        <v>97</v>
      </c>
      <c r="B57" s="16" t="s">
        <v>38</v>
      </c>
      <c r="C57" s="16">
        <v>67</v>
      </c>
      <c r="D57" s="16"/>
      <c r="E57" s="16">
        <v>28</v>
      </c>
      <c r="F57" s="16">
        <v>39</v>
      </c>
      <c r="G57" s="6">
        <f>VLOOKUP(A57,[1]Sheet!$A:$I,7,0)</f>
        <v>0.18</v>
      </c>
      <c r="H57" s="16">
        <f>VLOOKUP(A57,[1]Sheet!$A:$I,8,0)</f>
        <v>180</v>
      </c>
      <c r="I57" s="16" t="str">
        <f>VLOOKUP(A57,[1]Sheet!$A:$I,9,0)</f>
        <v>P005199</v>
      </c>
      <c r="J57" s="16"/>
      <c r="K57" s="16">
        <v>28</v>
      </c>
      <c r="L57" s="16">
        <f t="shared" si="18"/>
        <v>0</v>
      </c>
      <c r="M57" s="16"/>
      <c r="N57" s="16"/>
      <c r="O57" s="16">
        <v>84</v>
      </c>
      <c r="P57" s="16">
        <f t="shared" si="19"/>
        <v>5.6</v>
      </c>
      <c r="Q57" s="4"/>
      <c r="R57" s="4">
        <f t="shared" si="23"/>
        <v>0</v>
      </c>
      <c r="S57" s="16">
        <f t="shared" si="20"/>
        <v>21.964285714285715</v>
      </c>
      <c r="T57" s="16">
        <f t="shared" si="21"/>
        <v>21.964285714285715</v>
      </c>
      <c r="U57" s="16">
        <v>9.6</v>
      </c>
      <c r="V57" s="16">
        <v>8.1999999999999993</v>
      </c>
      <c r="W57" s="16">
        <v>7</v>
      </c>
      <c r="X57" s="16">
        <v>11.8</v>
      </c>
      <c r="Y57" s="16">
        <v>12.4</v>
      </c>
      <c r="Z57" s="16">
        <v>14.6</v>
      </c>
      <c r="AA57" s="16"/>
      <c r="AB57" s="16">
        <f t="shared" si="24"/>
        <v>0</v>
      </c>
      <c r="AC57" s="6">
        <f>VLOOKUP(A57,[1]Sheet!$A:$AJ,32,0)</f>
        <v>6</v>
      </c>
      <c r="AD57" s="8">
        <f t="shared" si="25"/>
        <v>0</v>
      </c>
      <c r="AE57" s="16">
        <f t="shared" si="26"/>
        <v>0</v>
      </c>
      <c r="AF57" s="16">
        <f>VLOOKUP(A57,[1]Sheet!$A:$AJ,35,0)</f>
        <v>14</v>
      </c>
      <c r="AG57" s="16">
        <f>VLOOKUP(A57,[1]Sheet!$A:$AJ,36,0)</f>
        <v>140</v>
      </c>
      <c r="AH57" s="8">
        <f t="shared" si="27"/>
        <v>0</v>
      </c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</row>
    <row r="58" spans="1:49" x14ac:dyDescent="0.25">
      <c r="A58" s="16" t="s">
        <v>98</v>
      </c>
      <c r="B58" s="16" t="s">
        <v>38</v>
      </c>
      <c r="C58" s="16"/>
      <c r="D58" s="16"/>
      <c r="E58" s="16"/>
      <c r="F58" s="16"/>
      <c r="G58" s="6">
        <f>VLOOKUP(A58,[1]Sheet!$A:$I,7,0)</f>
        <v>0.18</v>
      </c>
      <c r="H58" s="16">
        <f>VLOOKUP(A58,[1]Sheet!$A:$I,8,0)</f>
        <v>180</v>
      </c>
      <c r="I58" s="16" t="str">
        <f>VLOOKUP(A58,[1]Sheet!$A:$I,9,0)</f>
        <v>P005200</v>
      </c>
      <c r="J58" s="16"/>
      <c r="K58" s="16"/>
      <c r="L58" s="16">
        <f t="shared" si="18"/>
        <v>0</v>
      </c>
      <c r="M58" s="16"/>
      <c r="N58" s="16"/>
      <c r="O58" s="16">
        <v>84</v>
      </c>
      <c r="P58" s="16">
        <f t="shared" si="19"/>
        <v>0</v>
      </c>
      <c r="Q58" s="4"/>
      <c r="R58" s="4">
        <f t="shared" si="23"/>
        <v>0</v>
      </c>
      <c r="S58" s="16" t="e">
        <f t="shared" si="20"/>
        <v>#DIV/0!</v>
      </c>
      <c r="T58" s="16" t="e">
        <f t="shared" si="21"/>
        <v>#DIV/0!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6"/>
      <c r="AB58" s="16">
        <f t="shared" si="24"/>
        <v>0</v>
      </c>
      <c r="AC58" s="6">
        <f>VLOOKUP(A58,[1]Sheet!$A:$AJ,32,0)</f>
        <v>6</v>
      </c>
      <c r="AD58" s="8">
        <f t="shared" si="25"/>
        <v>0</v>
      </c>
      <c r="AE58" s="16">
        <f t="shared" si="26"/>
        <v>0</v>
      </c>
      <c r="AF58" s="16">
        <f>VLOOKUP(A58,[1]Sheet!$A:$AJ,35,0)</f>
        <v>14</v>
      </c>
      <c r="AG58" s="16">
        <f>VLOOKUP(A58,[1]Sheet!$A:$AJ,36,0)</f>
        <v>140</v>
      </c>
      <c r="AH58" s="8">
        <f t="shared" si="27"/>
        <v>0</v>
      </c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</row>
    <row r="59" spans="1:49" x14ac:dyDescent="0.25">
      <c r="A59" s="16" t="s">
        <v>99</v>
      </c>
      <c r="B59" s="16" t="s">
        <v>38</v>
      </c>
      <c r="C59" s="16">
        <v>892</v>
      </c>
      <c r="D59" s="16"/>
      <c r="E59" s="16">
        <v>569</v>
      </c>
      <c r="F59" s="16">
        <v>323</v>
      </c>
      <c r="G59" s="6">
        <f>VLOOKUP(A59,[1]Sheet!$A:$I,7,0)</f>
        <v>0.3</v>
      </c>
      <c r="H59" s="16">
        <f>VLOOKUP(A59,[1]Sheet!$A:$I,8,0)</f>
        <v>180</v>
      </c>
      <c r="I59" s="16" t="str">
        <f>VLOOKUP(A59,[1]Sheet!$A:$I,9,0)</f>
        <v>P004588</v>
      </c>
      <c r="J59" s="16"/>
      <c r="K59" s="16">
        <v>600</v>
      </c>
      <c r="L59" s="16">
        <f t="shared" si="18"/>
        <v>-31</v>
      </c>
      <c r="M59" s="16"/>
      <c r="N59" s="16"/>
      <c r="O59" s="16">
        <v>672</v>
      </c>
      <c r="P59" s="16">
        <f t="shared" si="19"/>
        <v>113.8</v>
      </c>
      <c r="Q59" s="4">
        <f t="shared" si="22"/>
        <v>598.20000000000005</v>
      </c>
      <c r="R59" s="4">
        <f t="shared" si="23"/>
        <v>672</v>
      </c>
      <c r="S59" s="16">
        <f t="shared" si="20"/>
        <v>14.648506151142355</v>
      </c>
      <c r="T59" s="16">
        <f t="shared" si="21"/>
        <v>8.743409490333919</v>
      </c>
      <c r="U59" s="16">
        <v>127.8</v>
      </c>
      <c r="V59" s="16">
        <v>153.19999999999999</v>
      </c>
      <c r="W59" s="16">
        <v>95.4</v>
      </c>
      <c r="X59" s="16">
        <v>99.2</v>
      </c>
      <c r="Y59" s="16">
        <v>136</v>
      </c>
      <c r="Z59" s="16">
        <v>160.4</v>
      </c>
      <c r="AA59" s="16"/>
      <c r="AB59" s="16">
        <f t="shared" si="24"/>
        <v>179.46</v>
      </c>
      <c r="AC59" s="6">
        <f>VLOOKUP(A59,[1]Sheet!$A:$AJ,32,0)</f>
        <v>12</v>
      </c>
      <c r="AD59" s="8">
        <f t="shared" si="25"/>
        <v>56</v>
      </c>
      <c r="AE59" s="16">
        <f t="shared" si="26"/>
        <v>201.6</v>
      </c>
      <c r="AF59" s="16">
        <f>VLOOKUP(A59,[1]Sheet!$A:$AJ,35,0)</f>
        <v>14</v>
      </c>
      <c r="AG59" s="16">
        <f>VLOOKUP(A59,[1]Sheet!$A:$AJ,36,0)</f>
        <v>70</v>
      </c>
      <c r="AH59" s="8">
        <f t="shared" si="27"/>
        <v>0.8</v>
      </c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</row>
    <row r="60" spans="1:49" x14ac:dyDescent="0.25">
      <c r="A60" s="16" t="s">
        <v>100</v>
      </c>
      <c r="B60" s="16" t="s">
        <v>38</v>
      </c>
      <c r="C60" s="16">
        <v>1515</v>
      </c>
      <c r="D60" s="16"/>
      <c r="E60" s="16">
        <v>496</v>
      </c>
      <c r="F60" s="16">
        <v>1018</v>
      </c>
      <c r="G60" s="6">
        <f>VLOOKUP(A60,[1]Sheet!$A:$I,7,0)</f>
        <v>0.3</v>
      </c>
      <c r="H60" s="16">
        <f>VLOOKUP(A60,[1]Sheet!$A:$I,8,0)</f>
        <v>180</v>
      </c>
      <c r="I60" s="16" t="str">
        <f>VLOOKUP(A60,[1]Sheet!$A:$I,9,0)</f>
        <v>P004589</v>
      </c>
      <c r="J60" s="16"/>
      <c r="K60" s="16">
        <v>535</v>
      </c>
      <c r="L60" s="16">
        <f t="shared" si="18"/>
        <v>-39</v>
      </c>
      <c r="M60" s="16"/>
      <c r="N60" s="16"/>
      <c r="O60" s="16">
        <v>0</v>
      </c>
      <c r="P60" s="16">
        <f t="shared" si="19"/>
        <v>99.2</v>
      </c>
      <c r="Q60" s="4">
        <f t="shared" si="22"/>
        <v>370.79999999999995</v>
      </c>
      <c r="R60" s="4">
        <f t="shared" si="23"/>
        <v>336</v>
      </c>
      <c r="S60" s="16">
        <f t="shared" si="20"/>
        <v>13.649193548387096</v>
      </c>
      <c r="T60" s="16">
        <f t="shared" si="21"/>
        <v>10.262096774193548</v>
      </c>
      <c r="U60" s="16">
        <v>84.2</v>
      </c>
      <c r="V60" s="16">
        <v>136</v>
      </c>
      <c r="W60" s="16">
        <v>81</v>
      </c>
      <c r="X60" s="16">
        <v>107</v>
      </c>
      <c r="Y60" s="16">
        <v>82.4</v>
      </c>
      <c r="Z60" s="16">
        <v>140</v>
      </c>
      <c r="AA60" s="16"/>
      <c r="AB60" s="16">
        <f t="shared" si="24"/>
        <v>111.23999999999998</v>
      </c>
      <c r="AC60" s="6">
        <f>VLOOKUP(A60,[1]Sheet!$A:$AJ,32,0)</f>
        <v>12</v>
      </c>
      <c r="AD60" s="8">
        <f t="shared" si="25"/>
        <v>28</v>
      </c>
      <c r="AE60" s="16">
        <f t="shared" si="26"/>
        <v>100.8</v>
      </c>
      <c r="AF60" s="16">
        <f>VLOOKUP(A60,[1]Sheet!$A:$AJ,35,0)</f>
        <v>14</v>
      </c>
      <c r="AG60" s="16">
        <f>VLOOKUP(A60,[1]Sheet!$A:$AJ,36,0)</f>
        <v>70</v>
      </c>
      <c r="AH60" s="8">
        <f t="shared" si="27"/>
        <v>0.4</v>
      </c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</row>
    <row r="61" spans="1:49" x14ac:dyDescent="0.25">
      <c r="A61" s="16" t="s">
        <v>101</v>
      </c>
      <c r="B61" s="16" t="s">
        <v>38</v>
      </c>
      <c r="C61" s="16">
        <v>356</v>
      </c>
      <c r="D61" s="16"/>
      <c r="E61" s="16">
        <v>76</v>
      </c>
      <c r="F61" s="16">
        <v>280</v>
      </c>
      <c r="G61" s="6">
        <f>VLOOKUP(A61,[1]Sheet!$A:$I,7,0)</f>
        <v>0.3</v>
      </c>
      <c r="H61" s="16">
        <f>VLOOKUP(A61,[1]Sheet!$A:$I,8,0)</f>
        <v>180</v>
      </c>
      <c r="I61" s="16" t="str">
        <f>VLOOKUP(A61,[1]Sheet!$A:$I,9,0)</f>
        <v>P004113</v>
      </c>
      <c r="J61" s="16"/>
      <c r="K61" s="16">
        <v>88</v>
      </c>
      <c r="L61" s="16">
        <f t="shared" si="18"/>
        <v>-12</v>
      </c>
      <c r="M61" s="16"/>
      <c r="N61" s="16"/>
      <c r="O61" s="16">
        <v>0</v>
      </c>
      <c r="P61" s="16">
        <f t="shared" si="19"/>
        <v>15.2</v>
      </c>
      <c r="Q61" s="4"/>
      <c r="R61" s="4">
        <f t="shared" si="23"/>
        <v>0</v>
      </c>
      <c r="S61" s="16">
        <f t="shared" si="20"/>
        <v>18.421052631578949</v>
      </c>
      <c r="T61" s="16">
        <f t="shared" si="21"/>
        <v>18.421052631578949</v>
      </c>
      <c r="U61" s="16">
        <v>25.8</v>
      </c>
      <c r="V61" s="16">
        <v>16.2</v>
      </c>
      <c r="W61" s="16">
        <v>35.6</v>
      </c>
      <c r="X61" s="16">
        <v>18.399999999999999</v>
      </c>
      <c r="Y61" s="16">
        <v>12.2</v>
      </c>
      <c r="Z61" s="16">
        <v>34.200000000000003</v>
      </c>
      <c r="AA61" s="16"/>
      <c r="AB61" s="16">
        <f t="shared" si="24"/>
        <v>0</v>
      </c>
      <c r="AC61" s="6">
        <f>VLOOKUP(A61,[1]Sheet!$A:$AJ,32,0)</f>
        <v>14</v>
      </c>
      <c r="AD61" s="8">
        <f t="shared" si="25"/>
        <v>0</v>
      </c>
      <c r="AE61" s="16">
        <f t="shared" si="26"/>
        <v>0</v>
      </c>
      <c r="AF61" s="16">
        <f>VLOOKUP(A61,[1]Sheet!$A:$AJ,35,0)</f>
        <v>14</v>
      </c>
      <c r="AG61" s="16">
        <f>VLOOKUP(A61,[1]Sheet!$A:$AJ,36,0)</f>
        <v>70</v>
      </c>
      <c r="AH61" s="8">
        <f t="shared" si="27"/>
        <v>0</v>
      </c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</row>
    <row r="62" spans="1:49" x14ac:dyDescent="0.25">
      <c r="A62" s="16" t="s">
        <v>102</v>
      </c>
      <c r="B62" s="16" t="s">
        <v>38</v>
      </c>
      <c r="C62" s="16">
        <v>1033</v>
      </c>
      <c r="D62" s="16"/>
      <c r="E62" s="16">
        <v>1050</v>
      </c>
      <c r="F62" s="16">
        <v>-17</v>
      </c>
      <c r="G62" s="6">
        <f>VLOOKUP(A62,[1]Sheet!$A:$I,7,0)</f>
        <v>0.25</v>
      </c>
      <c r="H62" s="16">
        <f>VLOOKUP(A62,[1]Sheet!$A:$I,8,0)</f>
        <v>180</v>
      </c>
      <c r="I62" s="16" t="str">
        <f>VLOOKUP(A62,[1]Sheet!$A:$I,9,0)</f>
        <v>P004486</v>
      </c>
      <c r="J62" s="16"/>
      <c r="K62" s="16">
        <v>1619</v>
      </c>
      <c r="L62" s="16">
        <f t="shared" si="18"/>
        <v>-569</v>
      </c>
      <c r="M62" s="16"/>
      <c r="N62" s="16"/>
      <c r="O62" s="16">
        <v>2520</v>
      </c>
      <c r="P62" s="16">
        <f t="shared" si="19"/>
        <v>210</v>
      </c>
      <c r="Q62" s="4">
        <f t="shared" si="22"/>
        <v>437</v>
      </c>
      <c r="R62" s="4">
        <f t="shared" si="23"/>
        <v>504</v>
      </c>
      <c r="S62" s="16">
        <f t="shared" si="20"/>
        <v>14.31904761904762</v>
      </c>
      <c r="T62" s="16">
        <f t="shared" si="21"/>
        <v>11.919047619047619</v>
      </c>
      <c r="U62" s="16">
        <v>374.6</v>
      </c>
      <c r="V62" s="16">
        <v>318.2</v>
      </c>
      <c r="W62" s="16">
        <v>326.39999999999998</v>
      </c>
      <c r="X62" s="16">
        <v>306.2</v>
      </c>
      <c r="Y62" s="16">
        <v>249</v>
      </c>
      <c r="Z62" s="16">
        <v>287.39999999999998</v>
      </c>
      <c r="AA62" s="16"/>
      <c r="AB62" s="16">
        <f t="shared" si="24"/>
        <v>109.25</v>
      </c>
      <c r="AC62" s="6">
        <f>VLOOKUP(A62,[1]Sheet!$A:$AJ,32,0)</f>
        <v>12</v>
      </c>
      <c r="AD62" s="8">
        <f t="shared" si="25"/>
        <v>42</v>
      </c>
      <c r="AE62" s="16">
        <f t="shared" si="26"/>
        <v>126</v>
      </c>
      <c r="AF62" s="16">
        <f>VLOOKUP(A62,[1]Sheet!$A:$AJ,35,0)</f>
        <v>14</v>
      </c>
      <c r="AG62" s="16">
        <f>VLOOKUP(A62,[1]Sheet!$A:$AJ,36,0)</f>
        <v>70</v>
      </c>
      <c r="AH62" s="8">
        <f t="shared" si="27"/>
        <v>0.6</v>
      </c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</row>
    <row r="63" spans="1:49" x14ac:dyDescent="0.25">
      <c r="A63" s="16" t="s">
        <v>44</v>
      </c>
      <c r="B63" s="16" t="s">
        <v>38</v>
      </c>
      <c r="C63" s="16">
        <v>3064</v>
      </c>
      <c r="D63" s="16"/>
      <c r="E63" s="17">
        <f>1567+E8</f>
        <v>1678</v>
      </c>
      <c r="F63" s="17">
        <f>1497+F8</f>
        <v>1844</v>
      </c>
      <c r="G63" s="6">
        <f>VLOOKUP(A63,[1]Sheet!$A:$I,7,0)</f>
        <v>0.25</v>
      </c>
      <c r="H63" s="16">
        <f>VLOOKUP(A63,[1]Sheet!$A:$I,8,0)</f>
        <v>180</v>
      </c>
      <c r="I63" s="16" t="str">
        <f>VLOOKUP(A63,[1]Sheet!$A:$I,9,0)</f>
        <v>P004484</v>
      </c>
      <c r="J63" s="16"/>
      <c r="K63" s="16">
        <v>1635</v>
      </c>
      <c r="L63" s="16">
        <f t="shared" si="18"/>
        <v>43</v>
      </c>
      <c r="M63" s="16"/>
      <c r="N63" s="16"/>
      <c r="O63" s="16">
        <v>1344</v>
      </c>
      <c r="P63" s="16">
        <f t="shared" si="19"/>
        <v>335.6</v>
      </c>
      <c r="Q63" s="4">
        <f t="shared" si="22"/>
        <v>1510.4000000000005</v>
      </c>
      <c r="R63" s="4">
        <f t="shared" si="23"/>
        <v>1512</v>
      </c>
      <c r="S63" s="16">
        <f t="shared" si="20"/>
        <v>14.004767580452919</v>
      </c>
      <c r="T63" s="16">
        <f t="shared" si="21"/>
        <v>9.4994040524433849</v>
      </c>
      <c r="U63" s="16">
        <v>352</v>
      </c>
      <c r="V63" s="16">
        <v>386.2</v>
      </c>
      <c r="W63" s="16">
        <v>273.2</v>
      </c>
      <c r="X63" s="16">
        <v>338.6</v>
      </c>
      <c r="Y63" s="16">
        <v>325</v>
      </c>
      <c r="Z63" s="16">
        <v>395.2</v>
      </c>
      <c r="AA63" s="16"/>
      <c r="AB63" s="16">
        <f t="shared" si="24"/>
        <v>377.60000000000014</v>
      </c>
      <c r="AC63" s="6">
        <f>VLOOKUP(A63,[1]Sheet!$A:$AJ,32,0)</f>
        <v>12</v>
      </c>
      <c r="AD63" s="8">
        <f t="shared" si="25"/>
        <v>126</v>
      </c>
      <c r="AE63" s="16">
        <f t="shared" si="26"/>
        <v>378</v>
      </c>
      <c r="AF63" s="16">
        <f>VLOOKUP(A63,[1]Sheet!$A:$AJ,35,0)</f>
        <v>14</v>
      </c>
      <c r="AG63" s="16">
        <f>VLOOKUP(A63,[1]Sheet!$A:$AJ,36,0)</f>
        <v>70</v>
      </c>
      <c r="AH63" s="8">
        <f t="shared" si="27"/>
        <v>1.8</v>
      </c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</row>
    <row r="64" spans="1:49" x14ac:dyDescent="0.25">
      <c r="A64" s="16" t="s">
        <v>103</v>
      </c>
      <c r="B64" s="16" t="s">
        <v>38</v>
      </c>
      <c r="C64" s="16">
        <v>204</v>
      </c>
      <c r="D64" s="16"/>
      <c r="E64" s="16">
        <v>205</v>
      </c>
      <c r="F64" s="16">
        <v>-1</v>
      </c>
      <c r="G64" s="6">
        <f>VLOOKUP(A64,[1]Sheet!$A:$I,7,0)</f>
        <v>0.23</v>
      </c>
      <c r="H64" s="16">
        <f>VLOOKUP(A64,[1]Sheet!$A:$I,8,0)</f>
        <v>180</v>
      </c>
      <c r="I64" s="16" t="str">
        <f>VLOOKUP(A64,[1]Sheet!$A:$I,9,0)</f>
        <v>P005180</v>
      </c>
      <c r="J64" s="16"/>
      <c r="K64" s="16">
        <v>286</v>
      </c>
      <c r="L64" s="16">
        <f t="shared" si="18"/>
        <v>-81</v>
      </c>
      <c r="M64" s="16"/>
      <c r="N64" s="16"/>
      <c r="O64" s="16">
        <v>504</v>
      </c>
      <c r="P64" s="16">
        <f t="shared" si="19"/>
        <v>41</v>
      </c>
      <c r="Q64" s="4">
        <f t="shared" si="22"/>
        <v>71</v>
      </c>
      <c r="R64" s="4">
        <f t="shared" si="23"/>
        <v>84</v>
      </c>
      <c r="S64" s="16">
        <f t="shared" si="20"/>
        <v>14.317073170731707</v>
      </c>
      <c r="T64" s="16">
        <f t="shared" si="21"/>
        <v>12.268292682926829</v>
      </c>
      <c r="U64" s="16">
        <v>66.2</v>
      </c>
      <c r="V64" s="16">
        <v>64.2</v>
      </c>
      <c r="W64" s="16">
        <v>53.8</v>
      </c>
      <c r="X64" s="16">
        <v>71.8</v>
      </c>
      <c r="Y64" s="16">
        <v>70</v>
      </c>
      <c r="Z64" s="16">
        <v>97.2</v>
      </c>
      <c r="AA64" s="16"/>
      <c r="AB64" s="16">
        <f t="shared" si="24"/>
        <v>16.330000000000002</v>
      </c>
      <c r="AC64" s="6">
        <f>VLOOKUP(A64,[1]Sheet!$A:$AJ,32,0)</f>
        <v>6</v>
      </c>
      <c r="AD64" s="8">
        <f t="shared" si="25"/>
        <v>14</v>
      </c>
      <c r="AE64" s="16">
        <f t="shared" si="26"/>
        <v>19.32</v>
      </c>
      <c r="AF64" s="16">
        <f>VLOOKUP(A64,[1]Sheet!$A:$AJ,35,0)</f>
        <v>14</v>
      </c>
      <c r="AG64" s="16">
        <f>VLOOKUP(A64,[1]Sheet!$A:$AJ,36,0)</f>
        <v>140</v>
      </c>
      <c r="AH64" s="8">
        <f t="shared" si="27"/>
        <v>0.1</v>
      </c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</row>
    <row r="65" spans="1:49" x14ac:dyDescent="0.25">
      <c r="A65" s="16" t="s">
        <v>104</v>
      </c>
      <c r="B65" s="16" t="s">
        <v>60</v>
      </c>
      <c r="C65" s="16">
        <v>115.3</v>
      </c>
      <c r="D65" s="16"/>
      <c r="E65" s="16">
        <v>59.4</v>
      </c>
      <c r="F65" s="16"/>
      <c r="G65" s="6">
        <f>VLOOKUP(A65,[1]Sheet!$A:$I,7,0)</f>
        <v>1</v>
      </c>
      <c r="H65" s="16">
        <f>VLOOKUP(A65,[1]Sheet!$A:$I,8,0)</f>
        <v>180</v>
      </c>
      <c r="I65" s="16" t="str">
        <f>VLOOKUP(A65,[1]Sheet!$A:$I,9,0)</f>
        <v>P003478</v>
      </c>
      <c r="J65" s="16"/>
      <c r="K65" s="16">
        <v>213.3</v>
      </c>
      <c r="L65" s="16">
        <f t="shared" si="18"/>
        <v>-153.9</v>
      </c>
      <c r="M65" s="16"/>
      <c r="N65" s="16"/>
      <c r="O65" s="16">
        <v>378</v>
      </c>
      <c r="P65" s="16">
        <f t="shared" si="19"/>
        <v>11.879999999999999</v>
      </c>
      <c r="Q65" s="4"/>
      <c r="R65" s="4">
        <f t="shared" si="23"/>
        <v>0</v>
      </c>
      <c r="S65" s="16">
        <f t="shared" si="20"/>
        <v>31.81818181818182</v>
      </c>
      <c r="T65" s="16">
        <f t="shared" si="21"/>
        <v>31.81818181818182</v>
      </c>
      <c r="U65" s="16">
        <v>42.12</v>
      </c>
      <c r="V65" s="16">
        <v>34.54</v>
      </c>
      <c r="W65" s="16">
        <v>34.56</v>
      </c>
      <c r="X65" s="16">
        <v>46.98</v>
      </c>
      <c r="Y65" s="16">
        <v>28.62</v>
      </c>
      <c r="Z65" s="16">
        <v>40.5</v>
      </c>
      <c r="AA65" s="16"/>
      <c r="AB65" s="16">
        <f t="shared" si="24"/>
        <v>0</v>
      </c>
      <c r="AC65" s="6">
        <f>VLOOKUP(A65,[1]Sheet!$A:$AJ,32,0)</f>
        <v>2.7</v>
      </c>
      <c r="AD65" s="8">
        <f t="shared" si="25"/>
        <v>0</v>
      </c>
      <c r="AE65" s="16">
        <f t="shared" si="26"/>
        <v>0</v>
      </c>
      <c r="AF65" s="16">
        <f>VLOOKUP(A65,[1]Sheet!$A:$AJ,35,0)</f>
        <v>14</v>
      </c>
      <c r="AG65" s="16">
        <f>VLOOKUP(A65,[1]Sheet!$A:$AJ,36,0)</f>
        <v>126</v>
      </c>
      <c r="AH65" s="8">
        <f t="shared" si="27"/>
        <v>0</v>
      </c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</row>
    <row r="66" spans="1:49" x14ac:dyDescent="0.25">
      <c r="A66" s="16" t="s">
        <v>105</v>
      </c>
      <c r="B66" s="16" t="s">
        <v>60</v>
      </c>
      <c r="C66" s="16">
        <v>615</v>
      </c>
      <c r="D66" s="16">
        <v>115</v>
      </c>
      <c r="E66" s="16">
        <v>440</v>
      </c>
      <c r="F66" s="16">
        <v>-5</v>
      </c>
      <c r="G66" s="6">
        <f>VLOOKUP(A66,[1]Sheet!$A:$I,7,0)</f>
        <v>1</v>
      </c>
      <c r="H66" s="16">
        <f>VLOOKUP(A66,[1]Sheet!$A:$I,8,0)</f>
        <v>180</v>
      </c>
      <c r="I66" s="16" t="str">
        <f>VLOOKUP(A66,[1]Sheet!$A:$I,9,0)</f>
        <v>P003476</v>
      </c>
      <c r="J66" s="16"/>
      <c r="K66" s="16">
        <v>745</v>
      </c>
      <c r="L66" s="16">
        <f t="shared" si="18"/>
        <v>-305</v>
      </c>
      <c r="M66" s="16"/>
      <c r="N66" s="16"/>
      <c r="O66" s="16">
        <v>1140</v>
      </c>
      <c r="P66" s="16">
        <f t="shared" si="19"/>
        <v>88</v>
      </c>
      <c r="Q66" s="4">
        <f t="shared" si="22"/>
        <v>97</v>
      </c>
      <c r="R66" s="4">
        <f t="shared" si="23"/>
        <v>120</v>
      </c>
      <c r="S66" s="16">
        <f t="shared" si="20"/>
        <v>14.261363636363637</v>
      </c>
      <c r="T66" s="16">
        <f t="shared" si="21"/>
        <v>12.897727272727273</v>
      </c>
      <c r="U66" s="16">
        <v>161</v>
      </c>
      <c r="V66" s="16">
        <v>132</v>
      </c>
      <c r="W66" s="16">
        <v>128</v>
      </c>
      <c r="X66" s="16">
        <v>122</v>
      </c>
      <c r="Y66" s="16">
        <v>116</v>
      </c>
      <c r="Z66" s="16">
        <v>115</v>
      </c>
      <c r="AA66" s="16"/>
      <c r="AB66" s="16">
        <f t="shared" si="24"/>
        <v>97</v>
      </c>
      <c r="AC66" s="6">
        <f>VLOOKUP(A66,[1]Sheet!$A:$AJ,32,0)</f>
        <v>5</v>
      </c>
      <c r="AD66" s="8">
        <f t="shared" si="25"/>
        <v>24</v>
      </c>
      <c r="AE66" s="16">
        <f t="shared" si="26"/>
        <v>120</v>
      </c>
      <c r="AF66" s="16">
        <f>VLOOKUP(A66,[1]Sheet!$A:$AJ,35,0)</f>
        <v>12</v>
      </c>
      <c r="AG66" s="16">
        <f>VLOOKUP(A66,[1]Sheet!$A:$AJ,36,0)</f>
        <v>84</v>
      </c>
      <c r="AH66" s="8">
        <f t="shared" si="27"/>
        <v>0.2857142857142857</v>
      </c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</row>
    <row r="67" spans="1:49" x14ac:dyDescent="0.25">
      <c r="A67" s="12" t="s">
        <v>106</v>
      </c>
      <c r="B67" s="12" t="s">
        <v>60</v>
      </c>
      <c r="C67" s="12">
        <v>-5</v>
      </c>
      <c r="D67" s="12">
        <v>5</v>
      </c>
      <c r="E67" s="12"/>
      <c r="F67" s="12"/>
      <c r="G67" s="13">
        <v>0</v>
      </c>
      <c r="H67" s="12">
        <v>0</v>
      </c>
      <c r="I67" s="12" t="s">
        <v>55</v>
      </c>
      <c r="J67" s="12" t="s">
        <v>105</v>
      </c>
      <c r="K67" s="12"/>
      <c r="L67" s="12">
        <f t="shared" si="18"/>
        <v>0</v>
      </c>
      <c r="M67" s="12"/>
      <c r="N67" s="12"/>
      <c r="O67" s="12"/>
      <c r="P67" s="12">
        <f t="shared" si="19"/>
        <v>0</v>
      </c>
      <c r="Q67" s="14"/>
      <c r="R67" s="14"/>
      <c r="S67" s="12" t="e">
        <f t="shared" si="20"/>
        <v>#DIV/0!</v>
      </c>
      <c r="T67" s="12" t="e">
        <f t="shared" si="21"/>
        <v>#DIV/0!</v>
      </c>
      <c r="U67" s="12">
        <v>1</v>
      </c>
      <c r="V67" s="12">
        <v>16</v>
      </c>
      <c r="W67" s="12">
        <v>1</v>
      </c>
      <c r="X67" s="12">
        <v>4</v>
      </c>
      <c r="Y67" s="12">
        <v>10</v>
      </c>
      <c r="Z67" s="12">
        <v>13</v>
      </c>
      <c r="AA67" s="12"/>
      <c r="AB67" s="12"/>
      <c r="AC67" s="13"/>
      <c r="AD67" s="15"/>
      <c r="AE67" s="12"/>
      <c r="AF67" s="12"/>
      <c r="AG67" s="12"/>
      <c r="AH67" s="15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</row>
    <row r="68" spans="1:49" x14ac:dyDescent="0.25">
      <c r="A68" s="16"/>
      <c r="B68" s="16"/>
      <c r="C68" s="16"/>
      <c r="D68" s="16"/>
      <c r="E68" s="16"/>
      <c r="F68" s="16"/>
      <c r="G68" s="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6"/>
      <c r="AD68" s="8"/>
      <c r="AE68" s="16"/>
      <c r="AF68" s="16"/>
      <c r="AG68" s="16"/>
      <c r="AH68" s="8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</row>
    <row r="69" spans="1:49" x14ac:dyDescent="0.25">
      <c r="A69" s="16"/>
      <c r="B69" s="16"/>
      <c r="C69" s="16"/>
      <c r="D69" s="16"/>
      <c r="E69" s="16"/>
      <c r="F69" s="16"/>
      <c r="G69" s="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6"/>
      <c r="AD69" s="8"/>
      <c r="AE69" s="16"/>
      <c r="AF69" s="16"/>
      <c r="AG69" s="16"/>
      <c r="AH69" s="8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</row>
    <row r="70" spans="1:49" x14ac:dyDescent="0.25">
      <c r="A70" s="16"/>
      <c r="B70" s="16"/>
      <c r="C70" s="16"/>
      <c r="D70" s="16"/>
      <c r="E70" s="16"/>
      <c r="F70" s="16"/>
      <c r="G70" s="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6"/>
      <c r="AD70" s="8"/>
      <c r="AE70" s="16"/>
      <c r="AF70" s="16"/>
      <c r="AG70" s="16"/>
      <c r="AH70" s="8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</row>
    <row r="71" spans="1:49" x14ac:dyDescent="0.25">
      <c r="A71" s="16"/>
      <c r="B71" s="16"/>
      <c r="C71" s="16"/>
      <c r="D71" s="16"/>
      <c r="E71" s="16"/>
      <c r="F71" s="16"/>
      <c r="G71" s="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6"/>
      <c r="AD71" s="8"/>
      <c r="AE71" s="16"/>
      <c r="AF71" s="16"/>
      <c r="AG71" s="16"/>
      <c r="AH71" s="8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</row>
    <row r="72" spans="1:49" x14ac:dyDescent="0.25">
      <c r="A72" s="16"/>
      <c r="B72" s="16"/>
      <c r="C72" s="16"/>
      <c r="D72" s="16"/>
      <c r="E72" s="16"/>
      <c r="F72" s="16"/>
      <c r="G72" s="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6"/>
      <c r="AD72" s="8"/>
      <c r="AE72" s="16"/>
      <c r="AF72" s="16"/>
      <c r="AG72" s="16"/>
      <c r="AH72" s="8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</row>
    <row r="73" spans="1:49" x14ac:dyDescent="0.25">
      <c r="A73" s="16"/>
      <c r="B73" s="16"/>
      <c r="C73" s="16"/>
      <c r="D73" s="16"/>
      <c r="E73" s="16"/>
      <c r="F73" s="16"/>
      <c r="G73" s="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6"/>
      <c r="AD73" s="8"/>
      <c r="AE73" s="16"/>
      <c r="AF73" s="16"/>
      <c r="AG73" s="16"/>
      <c r="AH73" s="8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</row>
    <row r="74" spans="1:49" x14ac:dyDescent="0.25">
      <c r="A74" s="16"/>
      <c r="B74" s="16"/>
      <c r="C74" s="16"/>
      <c r="D74" s="16"/>
      <c r="E74" s="16"/>
      <c r="F74" s="16"/>
      <c r="G74" s="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6"/>
      <c r="AD74" s="8"/>
      <c r="AE74" s="16"/>
      <c r="AF74" s="16"/>
      <c r="AG74" s="16"/>
      <c r="AH74" s="8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</row>
    <row r="75" spans="1:49" x14ac:dyDescent="0.25">
      <c r="A75" s="16"/>
      <c r="B75" s="16"/>
      <c r="C75" s="16"/>
      <c r="D75" s="16"/>
      <c r="E75" s="16"/>
      <c r="F75" s="16"/>
      <c r="G75" s="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6"/>
      <c r="AD75" s="8"/>
      <c r="AE75" s="16"/>
      <c r="AF75" s="16"/>
      <c r="AG75" s="16"/>
      <c r="AH75" s="8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</row>
    <row r="76" spans="1:49" x14ac:dyDescent="0.25">
      <c r="A76" s="16"/>
      <c r="B76" s="16"/>
      <c r="C76" s="16"/>
      <c r="D76" s="16"/>
      <c r="E76" s="16"/>
      <c r="F76" s="16"/>
      <c r="G76" s="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6"/>
      <c r="AD76" s="8"/>
      <c r="AE76" s="16"/>
      <c r="AF76" s="16"/>
      <c r="AG76" s="16"/>
      <c r="AH76" s="8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</row>
    <row r="77" spans="1:49" x14ac:dyDescent="0.25">
      <c r="A77" s="16"/>
      <c r="B77" s="16"/>
      <c r="C77" s="16"/>
      <c r="D77" s="16"/>
      <c r="E77" s="16"/>
      <c r="F77" s="16"/>
      <c r="G77" s="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6"/>
      <c r="AD77" s="8"/>
      <c r="AE77" s="16"/>
      <c r="AF77" s="16"/>
      <c r="AG77" s="16"/>
      <c r="AH77" s="8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</row>
    <row r="78" spans="1:49" x14ac:dyDescent="0.25">
      <c r="A78" s="16"/>
      <c r="B78" s="16"/>
      <c r="C78" s="16"/>
      <c r="D78" s="16"/>
      <c r="E78" s="16"/>
      <c r="F78" s="16"/>
      <c r="G78" s="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6"/>
      <c r="AD78" s="8"/>
      <c r="AE78" s="16"/>
      <c r="AF78" s="16"/>
      <c r="AG78" s="16"/>
      <c r="AH78" s="8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</row>
    <row r="79" spans="1:49" x14ac:dyDescent="0.25">
      <c r="A79" s="16"/>
      <c r="B79" s="16"/>
      <c r="C79" s="16"/>
      <c r="D79" s="16"/>
      <c r="E79" s="16"/>
      <c r="F79" s="16"/>
      <c r="G79" s="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6"/>
      <c r="AD79" s="8"/>
      <c r="AE79" s="16"/>
      <c r="AF79" s="16"/>
      <c r="AG79" s="16"/>
      <c r="AH79" s="8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</row>
    <row r="80" spans="1:49" x14ac:dyDescent="0.25">
      <c r="A80" s="16"/>
      <c r="B80" s="16"/>
      <c r="C80" s="16"/>
      <c r="D80" s="16"/>
      <c r="E80" s="16"/>
      <c r="F80" s="16"/>
      <c r="G80" s="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6"/>
      <c r="AD80" s="8"/>
      <c r="AE80" s="16"/>
      <c r="AF80" s="16"/>
      <c r="AG80" s="16"/>
      <c r="AH80" s="8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</row>
    <row r="81" spans="1:49" x14ac:dyDescent="0.25">
      <c r="A81" s="16"/>
      <c r="B81" s="16"/>
      <c r="C81" s="16"/>
      <c r="D81" s="16"/>
      <c r="E81" s="16"/>
      <c r="F81" s="16"/>
      <c r="G81" s="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6"/>
      <c r="AD81" s="8"/>
      <c r="AE81" s="16"/>
      <c r="AF81" s="16"/>
      <c r="AG81" s="16"/>
      <c r="AH81" s="8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</row>
    <row r="82" spans="1:49" x14ac:dyDescent="0.25">
      <c r="A82" s="16"/>
      <c r="B82" s="16"/>
      <c r="C82" s="16"/>
      <c r="D82" s="16"/>
      <c r="E82" s="16"/>
      <c r="F82" s="16"/>
      <c r="G82" s="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6"/>
      <c r="AD82" s="8"/>
      <c r="AE82" s="16"/>
      <c r="AF82" s="16"/>
      <c r="AG82" s="16"/>
      <c r="AH82" s="8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</row>
    <row r="83" spans="1:49" x14ac:dyDescent="0.25">
      <c r="A83" s="16"/>
      <c r="B83" s="16"/>
      <c r="C83" s="16"/>
      <c r="D83" s="16"/>
      <c r="E83" s="16"/>
      <c r="F83" s="16"/>
      <c r="G83" s="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6"/>
      <c r="AD83" s="8"/>
      <c r="AE83" s="16"/>
      <c r="AF83" s="16"/>
      <c r="AG83" s="16"/>
      <c r="AH83" s="8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</row>
    <row r="84" spans="1:49" x14ac:dyDescent="0.25">
      <c r="A84" s="16"/>
      <c r="B84" s="16"/>
      <c r="C84" s="16"/>
      <c r="D84" s="16"/>
      <c r="E84" s="16"/>
      <c r="F84" s="16"/>
      <c r="G84" s="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6"/>
      <c r="AD84" s="8"/>
      <c r="AE84" s="16"/>
      <c r="AF84" s="16"/>
      <c r="AG84" s="16"/>
      <c r="AH84" s="8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</row>
    <row r="85" spans="1:49" x14ac:dyDescent="0.25">
      <c r="A85" s="16"/>
      <c r="B85" s="16"/>
      <c r="C85" s="16"/>
      <c r="D85" s="16"/>
      <c r="E85" s="16"/>
      <c r="F85" s="16"/>
      <c r="G85" s="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6"/>
      <c r="AD85" s="8"/>
      <c r="AE85" s="16"/>
      <c r="AF85" s="16"/>
      <c r="AG85" s="16"/>
      <c r="AH85" s="8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</row>
    <row r="86" spans="1:49" x14ac:dyDescent="0.25">
      <c r="A86" s="16"/>
      <c r="B86" s="16"/>
      <c r="C86" s="16"/>
      <c r="D86" s="16"/>
      <c r="E86" s="16"/>
      <c r="F86" s="16"/>
      <c r="G86" s="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6"/>
      <c r="AD86" s="8"/>
      <c r="AE86" s="16"/>
      <c r="AF86" s="16"/>
      <c r="AG86" s="16"/>
      <c r="AH86" s="8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</row>
    <row r="87" spans="1:49" x14ac:dyDescent="0.25">
      <c r="A87" s="16"/>
      <c r="B87" s="16"/>
      <c r="C87" s="16"/>
      <c r="D87" s="16"/>
      <c r="E87" s="16"/>
      <c r="F87" s="16"/>
      <c r="G87" s="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6"/>
      <c r="AD87" s="8"/>
      <c r="AE87" s="16"/>
      <c r="AF87" s="16"/>
      <c r="AG87" s="16"/>
      <c r="AH87" s="8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</row>
    <row r="88" spans="1:49" x14ac:dyDescent="0.25">
      <c r="A88" s="16"/>
      <c r="B88" s="16"/>
      <c r="C88" s="16"/>
      <c r="D88" s="16"/>
      <c r="E88" s="16"/>
      <c r="F88" s="16"/>
      <c r="G88" s="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6"/>
      <c r="AD88" s="8"/>
      <c r="AE88" s="16"/>
      <c r="AF88" s="16"/>
      <c r="AG88" s="16"/>
      <c r="AH88" s="8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</row>
    <row r="89" spans="1:49" x14ac:dyDescent="0.25">
      <c r="A89" s="16"/>
      <c r="B89" s="16"/>
      <c r="C89" s="16"/>
      <c r="D89" s="16"/>
      <c r="E89" s="16"/>
      <c r="F89" s="16"/>
      <c r="G89" s="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6"/>
      <c r="AD89" s="8"/>
      <c r="AE89" s="16"/>
      <c r="AF89" s="16"/>
      <c r="AG89" s="16"/>
      <c r="AH89" s="8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</row>
    <row r="90" spans="1:49" x14ac:dyDescent="0.25">
      <c r="A90" s="16"/>
      <c r="B90" s="16"/>
      <c r="C90" s="16"/>
      <c r="D90" s="16"/>
      <c r="E90" s="16"/>
      <c r="F90" s="16"/>
      <c r="G90" s="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6"/>
      <c r="AD90" s="8"/>
      <c r="AE90" s="16"/>
      <c r="AF90" s="16"/>
      <c r="AG90" s="16"/>
      <c r="AH90" s="8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</row>
    <row r="91" spans="1:49" x14ac:dyDescent="0.25">
      <c r="A91" s="16"/>
      <c r="B91" s="16"/>
      <c r="C91" s="16"/>
      <c r="D91" s="16"/>
      <c r="E91" s="16"/>
      <c r="F91" s="16"/>
      <c r="G91" s="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6"/>
      <c r="AD91" s="8"/>
      <c r="AE91" s="16"/>
      <c r="AF91" s="16"/>
      <c r="AG91" s="16"/>
      <c r="AH91" s="8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</row>
    <row r="92" spans="1:49" x14ac:dyDescent="0.25">
      <c r="A92" s="16"/>
      <c r="B92" s="16"/>
      <c r="C92" s="16"/>
      <c r="D92" s="16"/>
      <c r="E92" s="16"/>
      <c r="F92" s="16"/>
      <c r="G92" s="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6"/>
      <c r="AD92" s="8"/>
      <c r="AE92" s="16"/>
      <c r="AF92" s="16"/>
      <c r="AG92" s="16"/>
      <c r="AH92" s="8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</row>
    <row r="93" spans="1:49" x14ac:dyDescent="0.25">
      <c r="A93" s="16"/>
      <c r="B93" s="16"/>
      <c r="C93" s="16"/>
      <c r="D93" s="16"/>
      <c r="E93" s="16"/>
      <c r="F93" s="16"/>
      <c r="G93" s="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6"/>
      <c r="AD93" s="8"/>
      <c r="AE93" s="16"/>
      <c r="AF93" s="16"/>
      <c r="AG93" s="16"/>
      <c r="AH93" s="8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</row>
    <row r="94" spans="1:49" x14ac:dyDescent="0.25">
      <c r="A94" s="16"/>
      <c r="B94" s="16"/>
      <c r="C94" s="16"/>
      <c r="D94" s="16"/>
      <c r="E94" s="16"/>
      <c r="F94" s="16"/>
      <c r="G94" s="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6"/>
      <c r="AD94" s="8"/>
      <c r="AE94" s="16"/>
      <c r="AF94" s="16"/>
      <c r="AG94" s="16"/>
      <c r="AH94" s="8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</row>
    <row r="95" spans="1:49" x14ac:dyDescent="0.25">
      <c r="A95" s="16"/>
      <c r="B95" s="16"/>
      <c r="C95" s="16"/>
      <c r="D95" s="16"/>
      <c r="E95" s="16"/>
      <c r="F95" s="16"/>
      <c r="G95" s="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6"/>
      <c r="AD95" s="8"/>
      <c r="AE95" s="16"/>
      <c r="AF95" s="16"/>
      <c r="AG95" s="16"/>
      <c r="AH95" s="8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</row>
    <row r="96" spans="1:49" x14ac:dyDescent="0.25">
      <c r="A96" s="16"/>
      <c r="B96" s="16"/>
      <c r="C96" s="16"/>
      <c r="D96" s="16"/>
      <c r="E96" s="16"/>
      <c r="F96" s="16"/>
      <c r="G96" s="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6"/>
      <c r="AD96" s="8"/>
      <c r="AE96" s="16"/>
      <c r="AF96" s="16"/>
      <c r="AG96" s="16"/>
      <c r="AH96" s="8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</row>
    <row r="97" spans="1:49" x14ac:dyDescent="0.25">
      <c r="A97" s="16"/>
      <c r="B97" s="16"/>
      <c r="C97" s="16"/>
      <c r="D97" s="16"/>
      <c r="E97" s="16"/>
      <c r="F97" s="16"/>
      <c r="G97" s="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6"/>
      <c r="AD97" s="8"/>
      <c r="AE97" s="16"/>
      <c r="AF97" s="16"/>
      <c r="AG97" s="16"/>
      <c r="AH97" s="8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</row>
    <row r="98" spans="1:49" x14ac:dyDescent="0.25">
      <c r="A98" s="16"/>
      <c r="B98" s="16"/>
      <c r="C98" s="16"/>
      <c r="D98" s="16"/>
      <c r="E98" s="16"/>
      <c r="F98" s="16"/>
      <c r="G98" s="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6"/>
      <c r="AD98" s="8"/>
      <c r="AE98" s="16"/>
      <c r="AF98" s="16"/>
      <c r="AG98" s="16"/>
      <c r="AH98" s="8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</row>
    <row r="99" spans="1:49" x14ac:dyDescent="0.25">
      <c r="A99" s="16"/>
      <c r="B99" s="16"/>
      <c r="C99" s="16"/>
      <c r="D99" s="16"/>
      <c r="E99" s="16"/>
      <c r="F99" s="16"/>
      <c r="G99" s="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6"/>
      <c r="AD99" s="8"/>
      <c r="AE99" s="16"/>
      <c r="AF99" s="16"/>
      <c r="AG99" s="16"/>
      <c r="AH99" s="8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</row>
    <row r="100" spans="1:49" x14ac:dyDescent="0.25">
      <c r="A100" s="16"/>
      <c r="B100" s="16"/>
      <c r="C100" s="16"/>
      <c r="D100" s="16"/>
      <c r="E100" s="16"/>
      <c r="F100" s="16"/>
      <c r="G100" s="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6"/>
      <c r="AD100" s="8"/>
      <c r="AE100" s="16"/>
      <c r="AF100" s="16"/>
      <c r="AG100" s="16"/>
      <c r="AH100" s="8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</row>
    <row r="101" spans="1:49" x14ac:dyDescent="0.25">
      <c r="A101" s="16"/>
      <c r="B101" s="16"/>
      <c r="C101" s="16"/>
      <c r="D101" s="16"/>
      <c r="E101" s="16"/>
      <c r="F101" s="16"/>
      <c r="G101" s="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6"/>
      <c r="AD101" s="8"/>
      <c r="AE101" s="16"/>
      <c r="AF101" s="16"/>
      <c r="AG101" s="16"/>
      <c r="AH101" s="8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</row>
    <row r="102" spans="1:49" x14ac:dyDescent="0.25">
      <c r="A102" s="16"/>
      <c r="B102" s="16"/>
      <c r="C102" s="16"/>
      <c r="D102" s="16"/>
      <c r="E102" s="16"/>
      <c r="F102" s="16"/>
      <c r="G102" s="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6"/>
      <c r="AD102" s="8"/>
      <c r="AE102" s="16"/>
      <c r="AF102" s="16"/>
      <c r="AG102" s="16"/>
      <c r="AH102" s="8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</row>
    <row r="103" spans="1:49" x14ac:dyDescent="0.25">
      <c r="A103" s="16"/>
      <c r="B103" s="16"/>
      <c r="C103" s="16"/>
      <c r="D103" s="16"/>
      <c r="E103" s="16"/>
      <c r="F103" s="16"/>
      <c r="G103" s="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6"/>
      <c r="AD103" s="8"/>
      <c r="AE103" s="16"/>
      <c r="AF103" s="16"/>
      <c r="AG103" s="16"/>
      <c r="AH103" s="8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</row>
    <row r="104" spans="1:49" x14ac:dyDescent="0.25">
      <c r="A104" s="16"/>
      <c r="B104" s="16"/>
      <c r="C104" s="16"/>
      <c r="D104" s="16"/>
      <c r="E104" s="16"/>
      <c r="F104" s="16"/>
      <c r="G104" s="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6"/>
      <c r="AD104" s="8"/>
      <c r="AE104" s="16"/>
      <c r="AF104" s="16"/>
      <c r="AG104" s="16"/>
      <c r="AH104" s="8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</row>
    <row r="105" spans="1:49" x14ac:dyDescent="0.25">
      <c r="A105" s="16"/>
      <c r="B105" s="16"/>
      <c r="C105" s="16"/>
      <c r="D105" s="16"/>
      <c r="E105" s="16"/>
      <c r="F105" s="16"/>
      <c r="G105" s="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6"/>
      <c r="AD105" s="8"/>
      <c r="AE105" s="16"/>
      <c r="AF105" s="16"/>
      <c r="AG105" s="16"/>
      <c r="AH105" s="8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</row>
    <row r="106" spans="1:49" x14ac:dyDescent="0.25">
      <c r="A106" s="16"/>
      <c r="B106" s="16"/>
      <c r="C106" s="16"/>
      <c r="D106" s="16"/>
      <c r="E106" s="16"/>
      <c r="F106" s="16"/>
      <c r="G106" s="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6"/>
      <c r="AD106" s="8"/>
      <c r="AE106" s="16"/>
      <c r="AF106" s="16"/>
      <c r="AG106" s="16"/>
      <c r="AH106" s="8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</row>
    <row r="107" spans="1:49" x14ac:dyDescent="0.25">
      <c r="A107" s="16"/>
      <c r="B107" s="16"/>
      <c r="C107" s="16"/>
      <c r="D107" s="16"/>
      <c r="E107" s="16"/>
      <c r="F107" s="16"/>
      <c r="G107" s="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6"/>
      <c r="AD107" s="8"/>
      <c r="AE107" s="16"/>
      <c r="AF107" s="16"/>
      <c r="AG107" s="16"/>
      <c r="AH107" s="8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</row>
    <row r="108" spans="1:49" x14ac:dyDescent="0.25">
      <c r="A108" s="16"/>
      <c r="B108" s="16"/>
      <c r="C108" s="16"/>
      <c r="D108" s="16"/>
      <c r="E108" s="16"/>
      <c r="F108" s="16"/>
      <c r="G108" s="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6"/>
      <c r="AD108" s="8"/>
      <c r="AE108" s="16"/>
      <c r="AF108" s="16"/>
      <c r="AG108" s="16"/>
      <c r="AH108" s="8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</row>
    <row r="109" spans="1:49" x14ac:dyDescent="0.25">
      <c r="A109" s="16"/>
      <c r="B109" s="16"/>
      <c r="C109" s="16"/>
      <c r="D109" s="16"/>
      <c r="E109" s="16"/>
      <c r="F109" s="16"/>
      <c r="G109" s="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6"/>
      <c r="AD109" s="8"/>
      <c r="AE109" s="16"/>
      <c r="AF109" s="16"/>
      <c r="AG109" s="16"/>
      <c r="AH109" s="8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</row>
    <row r="110" spans="1:49" x14ac:dyDescent="0.25">
      <c r="A110" s="16"/>
      <c r="B110" s="16"/>
      <c r="C110" s="16"/>
      <c r="D110" s="16"/>
      <c r="E110" s="16"/>
      <c r="F110" s="16"/>
      <c r="G110" s="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6"/>
      <c r="AD110" s="8"/>
      <c r="AE110" s="16"/>
      <c r="AF110" s="16"/>
      <c r="AG110" s="16"/>
      <c r="AH110" s="8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</row>
    <row r="111" spans="1:49" x14ac:dyDescent="0.25">
      <c r="A111" s="16"/>
      <c r="B111" s="16"/>
      <c r="C111" s="16"/>
      <c r="D111" s="16"/>
      <c r="E111" s="16"/>
      <c r="F111" s="16"/>
      <c r="G111" s="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6"/>
      <c r="AD111" s="8"/>
      <c r="AE111" s="16"/>
      <c r="AF111" s="16"/>
      <c r="AG111" s="16"/>
      <c r="AH111" s="8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</row>
    <row r="112" spans="1:49" x14ac:dyDescent="0.25">
      <c r="A112" s="16"/>
      <c r="B112" s="16"/>
      <c r="C112" s="16"/>
      <c r="D112" s="16"/>
      <c r="E112" s="16"/>
      <c r="F112" s="16"/>
      <c r="G112" s="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6"/>
      <c r="AD112" s="8"/>
      <c r="AE112" s="16"/>
      <c r="AF112" s="16"/>
      <c r="AG112" s="16"/>
      <c r="AH112" s="8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</row>
    <row r="113" spans="1:49" x14ac:dyDescent="0.25">
      <c r="A113" s="16"/>
      <c r="B113" s="16"/>
      <c r="C113" s="16"/>
      <c r="D113" s="16"/>
      <c r="E113" s="16"/>
      <c r="F113" s="16"/>
      <c r="G113" s="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6"/>
      <c r="AD113" s="8"/>
      <c r="AE113" s="16"/>
      <c r="AF113" s="16"/>
      <c r="AG113" s="16"/>
      <c r="AH113" s="8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</row>
    <row r="114" spans="1:49" x14ac:dyDescent="0.25">
      <c r="A114" s="16"/>
      <c r="B114" s="16"/>
      <c r="C114" s="16"/>
      <c r="D114" s="16"/>
      <c r="E114" s="16"/>
      <c r="F114" s="16"/>
      <c r="G114" s="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6"/>
      <c r="AD114" s="8"/>
      <c r="AE114" s="16"/>
      <c r="AF114" s="16"/>
      <c r="AG114" s="16"/>
      <c r="AH114" s="8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</row>
    <row r="115" spans="1:49" x14ac:dyDescent="0.25">
      <c r="A115" s="16"/>
      <c r="B115" s="16"/>
      <c r="C115" s="16"/>
      <c r="D115" s="16"/>
      <c r="E115" s="16"/>
      <c r="F115" s="16"/>
      <c r="G115" s="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6"/>
      <c r="AD115" s="8"/>
      <c r="AE115" s="16"/>
      <c r="AF115" s="16"/>
      <c r="AG115" s="16"/>
      <c r="AH115" s="8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</row>
    <row r="116" spans="1:49" x14ac:dyDescent="0.25">
      <c r="A116" s="16"/>
      <c r="B116" s="16"/>
      <c r="C116" s="16"/>
      <c r="D116" s="16"/>
      <c r="E116" s="16"/>
      <c r="F116" s="16"/>
      <c r="G116" s="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6"/>
      <c r="AD116" s="8"/>
      <c r="AE116" s="16"/>
      <c r="AF116" s="16"/>
      <c r="AG116" s="16"/>
      <c r="AH116" s="8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</row>
    <row r="117" spans="1:49" x14ac:dyDescent="0.25">
      <c r="A117" s="16"/>
      <c r="B117" s="16"/>
      <c r="C117" s="16"/>
      <c r="D117" s="16"/>
      <c r="E117" s="16"/>
      <c r="F117" s="16"/>
      <c r="G117" s="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6"/>
      <c r="AD117" s="8"/>
      <c r="AE117" s="16"/>
      <c r="AF117" s="16"/>
      <c r="AG117" s="16"/>
      <c r="AH117" s="8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</row>
    <row r="118" spans="1:49" x14ac:dyDescent="0.25">
      <c r="A118" s="16"/>
      <c r="B118" s="16"/>
      <c r="C118" s="16"/>
      <c r="D118" s="16"/>
      <c r="E118" s="16"/>
      <c r="F118" s="16"/>
      <c r="G118" s="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6"/>
      <c r="AD118" s="8"/>
      <c r="AE118" s="16"/>
      <c r="AF118" s="16"/>
      <c r="AG118" s="16"/>
      <c r="AH118" s="8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</row>
    <row r="119" spans="1:49" x14ac:dyDescent="0.25">
      <c r="A119" s="16"/>
      <c r="B119" s="16"/>
      <c r="C119" s="16"/>
      <c r="D119" s="16"/>
      <c r="E119" s="16"/>
      <c r="F119" s="16"/>
      <c r="G119" s="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6"/>
      <c r="AD119" s="8"/>
      <c r="AE119" s="16"/>
      <c r="AF119" s="16"/>
      <c r="AG119" s="16"/>
      <c r="AH119" s="8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</row>
    <row r="120" spans="1:49" x14ac:dyDescent="0.25">
      <c r="A120" s="16"/>
      <c r="B120" s="16"/>
      <c r="C120" s="16"/>
      <c r="D120" s="16"/>
      <c r="E120" s="16"/>
      <c r="F120" s="16"/>
      <c r="G120" s="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6"/>
      <c r="AD120" s="8"/>
      <c r="AE120" s="16"/>
      <c r="AF120" s="16"/>
      <c r="AG120" s="16"/>
      <c r="AH120" s="8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</row>
    <row r="121" spans="1:49" x14ac:dyDescent="0.25">
      <c r="A121" s="16"/>
      <c r="B121" s="16"/>
      <c r="C121" s="16"/>
      <c r="D121" s="16"/>
      <c r="E121" s="16"/>
      <c r="F121" s="16"/>
      <c r="G121" s="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6"/>
      <c r="AD121" s="8"/>
      <c r="AE121" s="16"/>
      <c r="AF121" s="16"/>
      <c r="AG121" s="16"/>
      <c r="AH121" s="8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</row>
    <row r="122" spans="1:49" x14ac:dyDescent="0.25">
      <c r="A122" s="16"/>
      <c r="B122" s="16"/>
      <c r="C122" s="16"/>
      <c r="D122" s="16"/>
      <c r="E122" s="16"/>
      <c r="F122" s="16"/>
      <c r="G122" s="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6"/>
      <c r="AD122" s="8"/>
      <c r="AE122" s="16"/>
      <c r="AF122" s="16"/>
      <c r="AG122" s="16"/>
      <c r="AH122" s="8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</row>
    <row r="123" spans="1:49" x14ac:dyDescent="0.25">
      <c r="A123" s="16"/>
      <c r="B123" s="16"/>
      <c r="C123" s="16"/>
      <c r="D123" s="16"/>
      <c r="E123" s="16"/>
      <c r="F123" s="16"/>
      <c r="G123" s="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6"/>
      <c r="AD123" s="8"/>
      <c r="AE123" s="16"/>
      <c r="AF123" s="16"/>
      <c r="AG123" s="16"/>
      <c r="AH123" s="8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</row>
    <row r="124" spans="1:49" x14ac:dyDescent="0.25">
      <c r="A124" s="16"/>
      <c r="B124" s="16"/>
      <c r="C124" s="16"/>
      <c r="D124" s="16"/>
      <c r="E124" s="16"/>
      <c r="F124" s="16"/>
      <c r="G124" s="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6"/>
      <c r="AD124" s="8"/>
      <c r="AE124" s="16"/>
      <c r="AF124" s="16"/>
      <c r="AG124" s="16"/>
      <c r="AH124" s="8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</row>
    <row r="125" spans="1:49" x14ac:dyDescent="0.25">
      <c r="A125" s="16"/>
      <c r="B125" s="16"/>
      <c r="C125" s="16"/>
      <c r="D125" s="16"/>
      <c r="E125" s="16"/>
      <c r="F125" s="16"/>
      <c r="G125" s="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6"/>
      <c r="AD125" s="8"/>
      <c r="AE125" s="16"/>
      <c r="AF125" s="16"/>
      <c r="AG125" s="16"/>
      <c r="AH125" s="8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</row>
    <row r="126" spans="1:49" x14ac:dyDescent="0.25">
      <c r="A126" s="16"/>
      <c r="B126" s="16"/>
      <c r="C126" s="16"/>
      <c r="D126" s="16"/>
      <c r="E126" s="16"/>
      <c r="F126" s="16"/>
      <c r="G126" s="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6"/>
      <c r="AD126" s="8"/>
      <c r="AE126" s="16"/>
      <c r="AF126" s="16"/>
      <c r="AG126" s="16"/>
      <c r="AH126" s="8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</row>
    <row r="127" spans="1:49" x14ac:dyDescent="0.25">
      <c r="A127" s="16"/>
      <c r="B127" s="16"/>
      <c r="C127" s="16"/>
      <c r="D127" s="16"/>
      <c r="E127" s="16"/>
      <c r="F127" s="16"/>
      <c r="G127" s="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6"/>
      <c r="AD127" s="8"/>
      <c r="AE127" s="16"/>
      <c r="AF127" s="16"/>
      <c r="AG127" s="16"/>
      <c r="AH127" s="8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</row>
    <row r="128" spans="1:49" x14ac:dyDescent="0.25">
      <c r="A128" s="16"/>
      <c r="B128" s="16"/>
      <c r="C128" s="16"/>
      <c r="D128" s="16"/>
      <c r="E128" s="16"/>
      <c r="F128" s="16"/>
      <c r="G128" s="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6"/>
      <c r="AD128" s="8"/>
      <c r="AE128" s="16"/>
      <c r="AF128" s="16"/>
      <c r="AG128" s="16"/>
      <c r="AH128" s="8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</row>
    <row r="129" spans="1:49" x14ac:dyDescent="0.25">
      <c r="A129" s="16"/>
      <c r="B129" s="16"/>
      <c r="C129" s="16"/>
      <c r="D129" s="16"/>
      <c r="E129" s="16"/>
      <c r="F129" s="16"/>
      <c r="G129" s="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6"/>
      <c r="AD129" s="8"/>
      <c r="AE129" s="16"/>
      <c r="AF129" s="16"/>
      <c r="AG129" s="16"/>
      <c r="AH129" s="8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</row>
    <row r="130" spans="1:49" x14ac:dyDescent="0.25">
      <c r="A130" s="16"/>
      <c r="B130" s="16"/>
      <c r="C130" s="16"/>
      <c r="D130" s="16"/>
      <c r="E130" s="16"/>
      <c r="F130" s="16"/>
      <c r="G130" s="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6"/>
      <c r="AD130" s="8"/>
      <c r="AE130" s="16"/>
      <c r="AF130" s="16"/>
      <c r="AG130" s="16"/>
      <c r="AH130" s="8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</row>
    <row r="131" spans="1:49" x14ac:dyDescent="0.25">
      <c r="A131" s="16"/>
      <c r="B131" s="16"/>
      <c r="C131" s="16"/>
      <c r="D131" s="16"/>
      <c r="E131" s="16"/>
      <c r="F131" s="16"/>
      <c r="G131" s="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6"/>
      <c r="AD131" s="8"/>
      <c r="AE131" s="16"/>
      <c r="AF131" s="16"/>
      <c r="AG131" s="16"/>
      <c r="AH131" s="8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</row>
    <row r="132" spans="1:49" x14ac:dyDescent="0.25">
      <c r="A132" s="16"/>
      <c r="B132" s="16"/>
      <c r="C132" s="16"/>
      <c r="D132" s="16"/>
      <c r="E132" s="16"/>
      <c r="F132" s="16"/>
      <c r="G132" s="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6"/>
      <c r="AD132" s="8"/>
      <c r="AE132" s="16"/>
      <c r="AF132" s="16"/>
      <c r="AG132" s="16"/>
      <c r="AH132" s="8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</row>
    <row r="133" spans="1:49" x14ac:dyDescent="0.25">
      <c r="A133" s="16"/>
      <c r="B133" s="16"/>
      <c r="C133" s="16"/>
      <c r="D133" s="16"/>
      <c r="E133" s="16"/>
      <c r="F133" s="16"/>
      <c r="G133" s="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6"/>
      <c r="AD133" s="8"/>
      <c r="AE133" s="16"/>
      <c r="AF133" s="16"/>
      <c r="AG133" s="16"/>
      <c r="AH133" s="8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</row>
    <row r="134" spans="1:49" x14ac:dyDescent="0.25">
      <c r="A134" s="16"/>
      <c r="B134" s="16"/>
      <c r="C134" s="16"/>
      <c r="D134" s="16"/>
      <c r="E134" s="16"/>
      <c r="F134" s="16"/>
      <c r="G134" s="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6"/>
      <c r="AD134" s="8"/>
      <c r="AE134" s="16"/>
      <c r="AF134" s="16"/>
      <c r="AG134" s="16"/>
      <c r="AH134" s="8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</row>
    <row r="135" spans="1:49" x14ac:dyDescent="0.25">
      <c r="A135" s="16"/>
      <c r="B135" s="16"/>
      <c r="C135" s="16"/>
      <c r="D135" s="16"/>
      <c r="E135" s="16"/>
      <c r="F135" s="16"/>
      <c r="G135" s="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6"/>
      <c r="AD135" s="8"/>
      <c r="AE135" s="16"/>
      <c r="AF135" s="16"/>
      <c r="AG135" s="16"/>
      <c r="AH135" s="8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</row>
    <row r="136" spans="1:49" x14ac:dyDescent="0.25">
      <c r="A136" s="16"/>
      <c r="B136" s="16"/>
      <c r="C136" s="16"/>
      <c r="D136" s="16"/>
      <c r="E136" s="16"/>
      <c r="F136" s="16"/>
      <c r="G136" s="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6"/>
      <c r="AD136" s="8"/>
      <c r="AE136" s="16"/>
      <c r="AF136" s="16"/>
      <c r="AG136" s="16"/>
      <c r="AH136" s="8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</row>
    <row r="137" spans="1:49" x14ac:dyDescent="0.25">
      <c r="A137" s="16"/>
      <c r="B137" s="16"/>
      <c r="C137" s="16"/>
      <c r="D137" s="16"/>
      <c r="E137" s="16"/>
      <c r="F137" s="16"/>
      <c r="G137" s="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6"/>
      <c r="AD137" s="8"/>
      <c r="AE137" s="16"/>
      <c r="AF137" s="16"/>
      <c r="AG137" s="16"/>
      <c r="AH137" s="8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</row>
    <row r="138" spans="1:49" x14ac:dyDescent="0.25">
      <c r="A138" s="16"/>
      <c r="B138" s="16"/>
      <c r="C138" s="16"/>
      <c r="D138" s="16"/>
      <c r="E138" s="16"/>
      <c r="F138" s="16"/>
      <c r="G138" s="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6"/>
      <c r="AD138" s="8"/>
      <c r="AE138" s="16"/>
      <c r="AF138" s="16"/>
      <c r="AG138" s="16"/>
      <c r="AH138" s="8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</row>
    <row r="139" spans="1:49" x14ac:dyDescent="0.25">
      <c r="A139" s="16"/>
      <c r="B139" s="16"/>
      <c r="C139" s="16"/>
      <c r="D139" s="16"/>
      <c r="E139" s="16"/>
      <c r="F139" s="16"/>
      <c r="G139" s="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6"/>
      <c r="AD139" s="8"/>
      <c r="AE139" s="16"/>
      <c r="AF139" s="16"/>
      <c r="AG139" s="16"/>
      <c r="AH139" s="8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</row>
    <row r="140" spans="1:49" x14ac:dyDescent="0.25">
      <c r="A140" s="16"/>
      <c r="B140" s="16"/>
      <c r="C140" s="16"/>
      <c r="D140" s="16"/>
      <c r="E140" s="16"/>
      <c r="F140" s="16"/>
      <c r="G140" s="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6"/>
      <c r="AD140" s="8"/>
      <c r="AE140" s="16"/>
      <c r="AF140" s="16"/>
      <c r="AG140" s="16"/>
      <c r="AH140" s="8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</row>
    <row r="141" spans="1:49" x14ac:dyDescent="0.25">
      <c r="A141" s="16"/>
      <c r="B141" s="16"/>
      <c r="C141" s="16"/>
      <c r="D141" s="16"/>
      <c r="E141" s="16"/>
      <c r="F141" s="16"/>
      <c r="G141" s="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6"/>
      <c r="AD141" s="8"/>
      <c r="AE141" s="16"/>
      <c r="AF141" s="16"/>
      <c r="AG141" s="16"/>
      <c r="AH141" s="8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</row>
    <row r="142" spans="1:49" x14ac:dyDescent="0.25">
      <c r="A142" s="16"/>
      <c r="B142" s="16"/>
      <c r="C142" s="16"/>
      <c r="D142" s="16"/>
      <c r="E142" s="16"/>
      <c r="F142" s="16"/>
      <c r="G142" s="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6"/>
      <c r="AD142" s="8"/>
      <c r="AE142" s="16"/>
      <c r="AF142" s="16"/>
      <c r="AG142" s="16"/>
      <c r="AH142" s="8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</row>
    <row r="143" spans="1:49" x14ac:dyDescent="0.25">
      <c r="A143" s="16"/>
      <c r="B143" s="16"/>
      <c r="C143" s="16"/>
      <c r="D143" s="16"/>
      <c r="E143" s="16"/>
      <c r="F143" s="16"/>
      <c r="G143" s="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6"/>
      <c r="AD143" s="8"/>
      <c r="AE143" s="16"/>
      <c r="AF143" s="16"/>
      <c r="AG143" s="16"/>
      <c r="AH143" s="8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</row>
    <row r="144" spans="1:49" x14ac:dyDescent="0.25">
      <c r="A144" s="16"/>
      <c r="B144" s="16"/>
      <c r="C144" s="16"/>
      <c r="D144" s="16"/>
      <c r="E144" s="16"/>
      <c r="F144" s="16"/>
      <c r="G144" s="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6"/>
      <c r="AD144" s="8"/>
      <c r="AE144" s="16"/>
      <c r="AF144" s="16"/>
      <c r="AG144" s="16"/>
      <c r="AH144" s="8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</row>
    <row r="145" spans="1:49" x14ac:dyDescent="0.25">
      <c r="A145" s="16"/>
      <c r="B145" s="16"/>
      <c r="C145" s="16"/>
      <c r="D145" s="16"/>
      <c r="E145" s="16"/>
      <c r="F145" s="16"/>
      <c r="G145" s="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6"/>
      <c r="AD145" s="8"/>
      <c r="AE145" s="16"/>
      <c r="AF145" s="16"/>
      <c r="AG145" s="16"/>
      <c r="AH145" s="8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</row>
    <row r="146" spans="1:49" x14ac:dyDescent="0.25">
      <c r="A146" s="16"/>
      <c r="B146" s="16"/>
      <c r="C146" s="16"/>
      <c r="D146" s="16"/>
      <c r="E146" s="16"/>
      <c r="F146" s="16"/>
      <c r="G146" s="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6"/>
      <c r="AD146" s="8"/>
      <c r="AE146" s="16"/>
      <c r="AF146" s="16"/>
      <c r="AG146" s="16"/>
      <c r="AH146" s="8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</row>
    <row r="147" spans="1:49" x14ac:dyDescent="0.25">
      <c r="A147" s="16"/>
      <c r="B147" s="16"/>
      <c r="C147" s="16"/>
      <c r="D147" s="16"/>
      <c r="E147" s="16"/>
      <c r="F147" s="16"/>
      <c r="G147" s="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6"/>
      <c r="AD147" s="8"/>
      <c r="AE147" s="16"/>
      <c r="AF147" s="16"/>
      <c r="AG147" s="16"/>
      <c r="AH147" s="8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</row>
    <row r="148" spans="1:49" x14ac:dyDescent="0.25">
      <c r="A148" s="16"/>
      <c r="B148" s="16"/>
      <c r="C148" s="16"/>
      <c r="D148" s="16"/>
      <c r="E148" s="16"/>
      <c r="F148" s="16"/>
      <c r="G148" s="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6"/>
      <c r="AD148" s="8"/>
      <c r="AE148" s="16"/>
      <c r="AF148" s="16"/>
      <c r="AG148" s="16"/>
      <c r="AH148" s="8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</row>
    <row r="149" spans="1:49" x14ac:dyDescent="0.25">
      <c r="A149" s="16"/>
      <c r="B149" s="16"/>
      <c r="C149" s="16"/>
      <c r="D149" s="16"/>
      <c r="E149" s="16"/>
      <c r="F149" s="16"/>
      <c r="G149" s="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6"/>
      <c r="AD149" s="8"/>
      <c r="AE149" s="16"/>
      <c r="AF149" s="16"/>
      <c r="AG149" s="16"/>
      <c r="AH149" s="8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</row>
    <row r="150" spans="1:49" x14ac:dyDescent="0.25">
      <c r="A150" s="16"/>
      <c r="B150" s="16"/>
      <c r="C150" s="16"/>
      <c r="D150" s="16"/>
      <c r="E150" s="16"/>
      <c r="F150" s="16"/>
      <c r="G150" s="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6"/>
      <c r="AD150" s="8"/>
      <c r="AE150" s="16"/>
      <c r="AF150" s="16"/>
      <c r="AG150" s="16"/>
      <c r="AH150" s="8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</row>
    <row r="151" spans="1:49" x14ac:dyDescent="0.25">
      <c r="A151" s="16"/>
      <c r="B151" s="16"/>
      <c r="C151" s="16"/>
      <c r="D151" s="16"/>
      <c r="E151" s="16"/>
      <c r="F151" s="16"/>
      <c r="G151" s="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6"/>
      <c r="AD151" s="8"/>
      <c r="AE151" s="16"/>
      <c r="AF151" s="16"/>
      <c r="AG151" s="16"/>
      <c r="AH151" s="8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</row>
    <row r="152" spans="1:49" x14ac:dyDescent="0.25">
      <c r="A152" s="16"/>
      <c r="B152" s="16"/>
      <c r="C152" s="16"/>
      <c r="D152" s="16"/>
      <c r="E152" s="16"/>
      <c r="F152" s="16"/>
      <c r="G152" s="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6"/>
      <c r="AD152" s="8"/>
      <c r="AE152" s="16"/>
      <c r="AF152" s="16"/>
      <c r="AG152" s="16"/>
      <c r="AH152" s="8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</row>
    <row r="153" spans="1:49" x14ac:dyDescent="0.25">
      <c r="A153" s="16"/>
      <c r="B153" s="16"/>
      <c r="C153" s="16"/>
      <c r="D153" s="16"/>
      <c r="E153" s="16"/>
      <c r="F153" s="16"/>
      <c r="G153" s="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6"/>
      <c r="AD153" s="8"/>
      <c r="AE153" s="16"/>
      <c r="AF153" s="16"/>
      <c r="AG153" s="16"/>
      <c r="AH153" s="8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</row>
    <row r="154" spans="1:49" x14ac:dyDescent="0.25">
      <c r="A154" s="16"/>
      <c r="B154" s="16"/>
      <c r="C154" s="16"/>
      <c r="D154" s="16"/>
      <c r="E154" s="16"/>
      <c r="F154" s="16"/>
      <c r="G154" s="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6"/>
      <c r="AD154" s="8"/>
      <c r="AE154" s="16"/>
      <c r="AF154" s="16"/>
      <c r="AG154" s="16"/>
      <c r="AH154" s="8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</row>
    <row r="155" spans="1:49" x14ac:dyDescent="0.25">
      <c r="A155" s="16"/>
      <c r="B155" s="16"/>
      <c r="C155" s="16"/>
      <c r="D155" s="16"/>
      <c r="E155" s="16"/>
      <c r="F155" s="16"/>
      <c r="G155" s="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6"/>
      <c r="AD155" s="8"/>
      <c r="AE155" s="16"/>
      <c r="AF155" s="16"/>
      <c r="AG155" s="16"/>
      <c r="AH155" s="8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</row>
    <row r="156" spans="1:49" x14ac:dyDescent="0.25">
      <c r="A156" s="16"/>
      <c r="B156" s="16"/>
      <c r="C156" s="16"/>
      <c r="D156" s="16"/>
      <c r="E156" s="16"/>
      <c r="F156" s="16"/>
      <c r="G156" s="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6"/>
      <c r="AD156" s="8"/>
      <c r="AE156" s="16"/>
      <c r="AF156" s="16"/>
      <c r="AG156" s="16"/>
      <c r="AH156" s="8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</row>
    <row r="157" spans="1:49" x14ac:dyDescent="0.25">
      <c r="A157" s="16"/>
      <c r="B157" s="16"/>
      <c r="C157" s="16"/>
      <c r="D157" s="16"/>
      <c r="E157" s="16"/>
      <c r="F157" s="16"/>
      <c r="G157" s="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6"/>
      <c r="AD157" s="8"/>
      <c r="AE157" s="16"/>
      <c r="AF157" s="16"/>
      <c r="AG157" s="16"/>
      <c r="AH157" s="8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</row>
    <row r="158" spans="1:49" x14ac:dyDescent="0.25">
      <c r="A158" s="16"/>
      <c r="B158" s="16"/>
      <c r="C158" s="16"/>
      <c r="D158" s="16"/>
      <c r="E158" s="16"/>
      <c r="F158" s="16"/>
      <c r="G158" s="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6"/>
      <c r="AD158" s="8"/>
      <c r="AE158" s="16"/>
      <c r="AF158" s="16"/>
      <c r="AG158" s="16"/>
      <c r="AH158" s="8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</row>
    <row r="159" spans="1:49" x14ac:dyDescent="0.25">
      <c r="A159" s="16"/>
      <c r="B159" s="16"/>
      <c r="C159" s="16"/>
      <c r="D159" s="16"/>
      <c r="E159" s="16"/>
      <c r="F159" s="16"/>
      <c r="G159" s="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6"/>
      <c r="AD159" s="8"/>
      <c r="AE159" s="16"/>
      <c r="AF159" s="16"/>
      <c r="AG159" s="16"/>
      <c r="AH159" s="8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</row>
    <row r="160" spans="1:49" x14ac:dyDescent="0.25">
      <c r="A160" s="16"/>
      <c r="B160" s="16"/>
      <c r="C160" s="16"/>
      <c r="D160" s="16"/>
      <c r="E160" s="16"/>
      <c r="F160" s="16"/>
      <c r="G160" s="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6"/>
      <c r="AD160" s="8"/>
      <c r="AE160" s="16"/>
      <c r="AF160" s="16"/>
      <c r="AG160" s="16"/>
      <c r="AH160" s="8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</row>
    <row r="161" spans="1:49" x14ac:dyDescent="0.25">
      <c r="A161" s="16"/>
      <c r="B161" s="16"/>
      <c r="C161" s="16"/>
      <c r="D161" s="16"/>
      <c r="E161" s="16"/>
      <c r="F161" s="16"/>
      <c r="G161" s="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6"/>
      <c r="AD161" s="8"/>
      <c r="AE161" s="16"/>
      <c r="AF161" s="16"/>
      <c r="AG161" s="16"/>
      <c r="AH161" s="8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</row>
    <row r="162" spans="1:49" x14ac:dyDescent="0.25">
      <c r="A162" s="16"/>
      <c r="B162" s="16"/>
      <c r="C162" s="16"/>
      <c r="D162" s="16"/>
      <c r="E162" s="16"/>
      <c r="F162" s="16"/>
      <c r="G162" s="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6"/>
      <c r="AD162" s="8"/>
      <c r="AE162" s="16"/>
      <c r="AF162" s="16"/>
      <c r="AG162" s="16"/>
      <c r="AH162" s="8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</row>
    <row r="163" spans="1:49" x14ac:dyDescent="0.25">
      <c r="A163" s="16"/>
      <c r="B163" s="16"/>
      <c r="C163" s="16"/>
      <c r="D163" s="16"/>
      <c r="E163" s="16"/>
      <c r="F163" s="16"/>
      <c r="G163" s="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6"/>
      <c r="AD163" s="8"/>
      <c r="AE163" s="16"/>
      <c r="AF163" s="16"/>
      <c r="AG163" s="16"/>
      <c r="AH163" s="8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</row>
    <row r="164" spans="1:49" x14ac:dyDescent="0.25">
      <c r="A164" s="16"/>
      <c r="B164" s="16"/>
      <c r="C164" s="16"/>
      <c r="D164" s="16"/>
      <c r="E164" s="16"/>
      <c r="F164" s="16"/>
      <c r="G164" s="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6"/>
      <c r="AD164" s="8"/>
      <c r="AE164" s="16"/>
      <c r="AF164" s="16"/>
      <c r="AG164" s="16"/>
      <c r="AH164" s="8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</row>
    <row r="165" spans="1:49" x14ac:dyDescent="0.25">
      <c r="A165" s="16"/>
      <c r="B165" s="16"/>
      <c r="C165" s="16"/>
      <c r="D165" s="16"/>
      <c r="E165" s="16"/>
      <c r="F165" s="16"/>
      <c r="G165" s="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6"/>
      <c r="AD165" s="8"/>
      <c r="AE165" s="16"/>
      <c r="AF165" s="16"/>
      <c r="AG165" s="16"/>
      <c r="AH165" s="8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</row>
    <row r="166" spans="1:49" x14ac:dyDescent="0.25">
      <c r="A166" s="16"/>
      <c r="B166" s="16"/>
      <c r="C166" s="16"/>
      <c r="D166" s="16"/>
      <c r="E166" s="16"/>
      <c r="F166" s="16"/>
      <c r="G166" s="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6"/>
      <c r="AD166" s="8"/>
      <c r="AE166" s="16"/>
      <c r="AF166" s="16"/>
      <c r="AG166" s="16"/>
      <c r="AH166" s="8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</row>
    <row r="167" spans="1:49" x14ac:dyDescent="0.25">
      <c r="A167" s="16"/>
      <c r="B167" s="16"/>
      <c r="C167" s="16"/>
      <c r="D167" s="16"/>
      <c r="E167" s="16"/>
      <c r="F167" s="16"/>
      <c r="G167" s="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6"/>
      <c r="AD167" s="8"/>
      <c r="AE167" s="16"/>
      <c r="AF167" s="16"/>
      <c r="AG167" s="16"/>
      <c r="AH167" s="8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</row>
    <row r="168" spans="1:49" x14ac:dyDescent="0.25">
      <c r="A168" s="16"/>
      <c r="B168" s="16"/>
      <c r="C168" s="16"/>
      <c r="D168" s="16"/>
      <c r="E168" s="16"/>
      <c r="F168" s="16"/>
      <c r="G168" s="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6"/>
      <c r="AD168" s="8"/>
      <c r="AE168" s="16"/>
      <c r="AF168" s="16"/>
      <c r="AG168" s="16"/>
      <c r="AH168" s="8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</row>
    <row r="169" spans="1:49" x14ac:dyDescent="0.25">
      <c r="A169" s="16"/>
      <c r="B169" s="16"/>
      <c r="C169" s="16"/>
      <c r="D169" s="16"/>
      <c r="E169" s="16"/>
      <c r="F169" s="16"/>
      <c r="G169" s="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6"/>
      <c r="AD169" s="8"/>
      <c r="AE169" s="16"/>
      <c r="AF169" s="16"/>
      <c r="AG169" s="16"/>
      <c r="AH169" s="8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</row>
    <row r="170" spans="1:49" x14ac:dyDescent="0.25">
      <c r="A170" s="16"/>
      <c r="B170" s="16"/>
      <c r="C170" s="16"/>
      <c r="D170" s="16"/>
      <c r="E170" s="16"/>
      <c r="F170" s="16"/>
      <c r="G170" s="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6"/>
      <c r="AD170" s="8"/>
      <c r="AE170" s="16"/>
      <c r="AF170" s="16"/>
      <c r="AG170" s="16"/>
      <c r="AH170" s="8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</row>
    <row r="171" spans="1:49" x14ac:dyDescent="0.25">
      <c r="A171" s="16"/>
      <c r="B171" s="16"/>
      <c r="C171" s="16"/>
      <c r="D171" s="16"/>
      <c r="E171" s="16"/>
      <c r="F171" s="16"/>
      <c r="G171" s="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6"/>
      <c r="AD171" s="8"/>
      <c r="AE171" s="16"/>
      <c r="AF171" s="16"/>
      <c r="AG171" s="16"/>
      <c r="AH171" s="8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</row>
    <row r="172" spans="1:49" x14ac:dyDescent="0.25">
      <c r="A172" s="16"/>
      <c r="B172" s="16"/>
      <c r="C172" s="16"/>
      <c r="D172" s="16"/>
      <c r="E172" s="16"/>
      <c r="F172" s="16"/>
      <c r="G172" s="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6"/>
      <c r="AD172" s="8"/>
      <c r="AE172" s="16"/>
      <c r="AF172" s="16"/>
      <c r="AG172" s="16"/>
      <c r="AH172" s="8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</row>
    <row r="173" spans="1:49" x14ac:dyDescent="0.25">
      <c r="A173" s="16"/>
      <c r="B173" s="16"/>
      <c r="C173" s="16"/>
      <c r="D173" s="16"/>
      <c r="E173" s="16"/>
      <c r="F173" s="16"/>
      <c r="G173" s="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6"/>
      <c r="AD173" s="8"/>
      <c r="AE173" s="16"/>
      <c r="AF173" s="16"/>
      <c r="AG173" s="16"/>
      <c r="AH173" s="8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</row>
    <row r="174" spans="1:49" x14ac:dyDescent="0.25">
      <c r="A174" s="16"/>
      <c r="B174" s="16"/>
      <c r="C174" s="16"/>
      <c r="D174" s="16"/>
      <c r="E174" s="16"/>
      <c r="F174" s="16"/>
      <c r="G174" s="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6"/>
      <c r="AD174" s="8"/>
      <c r="AE174" s="16"/>
      <c r="AF174" s="16"/>
      <c r="AG174" s="16"/>
      <c r="AH174" s="8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</row>
    <row r="175" spans="1:49" x14ac:dyDescent="0.25">
      <c r="A175" s="16"/>
      <c r="B175" s="16"/>
      <c r="C175" s="16"/>
      <c r="D175" s="16"/>
      <c r="E175" s="16"/>
      <c r="F175" s="16"/>
      <c r="G175" s="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6"/>
      <c r="AD175" s="8"/>
      <c r="AE175" s="16"/>
      <c r="AF175" s="16"/>
      <c r="AG175" s="16"/>
      <c r="AH175" s="8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</row>
    <row r="176" spans="1:49" x14ac:dyDescent="0.25">
      <c r="A176" s="16"/>
      <c r="B176" s="16"/>
      <c r="C176" s="16"/>
      <c r="D176" s="16"/>
      <c r="E176" s="16"/>
      <c r="F176" s="16"/>
      <c r="G176" s="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6"/>
      <c r="AD176" s="8"/>
      <c r="AE176" s="16"/>
      <c r="AF176" s="16"/>
      <c r="AG176" s="16"/>
      <c r="AH176" s="8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</row>
    <row r="177" spans="1:49" x14ac:dyDescent="0.25">
      <c r="A177" s="16"/>
      <c r="B177" s="16"/>
      <c r="C177" s="16"/>
      <c r="D177" s="16"/>
      <c r="E177" s="16"/>
      <c r="F177" s="16"/>
      <c r="G177" s="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6"/>
      <c r="AD177" s="8"/>
      <c r="AE177" s="16"/>
      <c r="AF177" s="16"/>
      <c r="AG177" s="16"/>
      <c r="AH177" s="8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</row>
    <row r="178" spans="1:49" x14ac:dyDescent="0.25">
      <c r="A178" s="16"/>
      <c r="B178" s="16"/>
      <c r="C178" s="16"/>
      <c r="D178" s="16"/>
      <c r="E178" s="16"/>
      <c r="F178" s="16"/>
      <c r="G178" s="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6"/>
      <c r="AD178" s="8"/>
      <c r="AE178" s="16"/>
      <c r="AF178" s="16"/>
      <c r="AG178" s="16"/>
      <c r="AH178" s="8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</row>
    <row r="179" spans="1:49" x14ac:dyDescent="0.25">
      <c r="A179" s="16"/>
      <c r="B179" s="16"/>
      <c r="C179" s="16"/>
      <c r="D179" s="16"/>
      <c r="E179" s="16"/>
      <c r="F179" s="16"/>
      <c r="G179" s="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6"/>
      <c r="AD179" s="8"/>
      <c r="AE179" s="16"/>
      <c r="AF179" s="16"/>
      <c r="AG179" s="16"/>
      <c r="AH179" s="8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</row>
    <row r="180" spans="1:49" x14ac:dyDescent="0.25">
      <c r="A180" s="16"/>
      <c r="B180" s="16"/>
      <c r="C180" s="16"/>
      <c r="D180" s="16"/>
      <c r="E180" s="16"/>
      <c r="F180" s="16"/>
      <c r="G180" s="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6"/>
      <c r="AD180" s="8"/>
      <c r="AE180" s="16"/>
      <c r="AF180" s="16"/>
      <c r="AG180" s="16"/>
      <c r="AH180" s="8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</row>
    <row r="181" spans="1:49" x14ac:dyDescent="0.25">
      <c r="A181" s="16"/>
      <c r="B181" s="16"/>
      <c r="C181" s="16"/>
      <c r="D181" s="16"/>
      <c r="E181" s="16"/>
      <c r="F181" s="16"/>
      <c r="G181" s="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6"/>
      <c r="AD181" s="8"/>
      <c r="AE181" s="16"/>
      <c r="AF181" s="16"/>
      <c r="AG181" s="16"/>
      <c r="AH181" s="8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</row>
    <row r="182" spans="1:49" x14ac:dyDescent="0.25">
      <c r="A182" s="16"/>
      <c r="B182" s="16"/>
      <c r="C182" s="16"/>
      <c r="D182" s="16"/>
      <c r="E182" s="16"/>
      <c r="F182" s="16"/>
      <c r="G182" s="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6"/>
      <c r="AD182" s="8"/>
      <c r="AE182" s="16"/>
      <c r="AF182" s="16"/>
      <c r="AG182" s="16"/>
      <c r="AH182" s="8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</row>
    <row r="183" spans="1:49" x14ac:dyDescent="0.25">
      <c r="A183" s="16"/>
      <c r="B183" s="16"/>
      <c r="C183" s="16"/>
      <c r="D183" s="16"/>
      <c r="E183" s="16"/>
      <c r="F183" s="16"/>
      <c r="G183" s="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6"/>
      <c r="AD183" s="8"/>
      <c r="AE183" s="16"/>
      <c r="AF183" s="16"/>
      <c r="AG183" s="16"/>
      <c r="AH183" s="8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</row>
    <row r="184" spans="1:49" x14ac:dyDescent="0.25">
      <c r="A184" s="16"/>
      <c r="B184" s="16"/>
      <c r="C184" s="16"/>
      <c r="D184" s="16"/>
      <c r="E184" s="16"/>
      <c r="F184" s="16"/>
      <c r="G184" s="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6"/>
      <c r="AD184" s="8"/>
      <c r="AE184" s="16"/>
      <c r="AF184" s="16"/>
      <c r="AG184" s="16"/>
      <c r="AH184" s="8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</row>
    <row r="185" spans="1:49" x14ac:dyDescent="0.25">
      <c r="A185" s="16"/>
      <c r="B185" s="16"/>
      <c r="C185" s="16"/>
      <c r="D185" s="16"/>
      <c r="E185" s="16"/>
      <c r="F185" s="16"/>
      <c r="G185" s="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6"/>
      <c r="AD185" s="8"/>
      <c r="AE185" s="16"/>
      <c r="AF185" s="16"/>
      <c r="AG185" s="16"/>
      <c r="AH185" s="8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</row>
    <row r="186" spans="1:49" x14ac:dyDescent="0.25">
      <c r="A186" s="16"/>
      <c r="B186" s="16"/>
      <c r="C186" s="16"/>
      <c r="D186" s="16"/>
      <c r="E186" s="16"/>
      <c r="F186" s="16"/>
      <c r="G186" s="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6"/>
      <c r="AD186" s="8"/>
      <c r="AE186" s="16"/>
      <c r="AF186" s="16"/>
      <c r="AG186" s="16"/>
      <c r="AH186" s="8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</row>
    <row r="187" spans="1:49" x14ac:dyDescent="0.25">
      <c r="A187" s="16"/>
      <c r="B187" s="16"/>
      <c r="C187" s="16"/>
      <c r="D187" s="16"/>
      <c r="E187" s="16"/>
      <c r="F187" s="16"/>
      <c r="G187" s="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6"/>
      <c r="AD187" s="8"/>
      <c r="AE187" s="16"/>
      <c r="AF187" s="16"/>
      <c r="AG187" s="16"/>
      <c r="AH187" s="8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</row>
    <row r="188" spans="1:49" x14ac:dyDescent="0.25">
      <c r="A188" s="16"/>
      <c r="B188" s="16"/>
      <c r="C188" s="16"/>
      <c r="D188" s="16"/>
      <c r="E188" s="16"/>
      <c r="F188" s="16"/>
      <c r="G188" s="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6"/>
      <c r="AD188" s="8"/>
      <c r="AE188" s="16"/>
      <c r="AF188" s="16"/>
      <c r="AG188" s="16"/>
      <c r="AH188" s="8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</row>
    <row r="189" spans="1:49" x14ac:dyDescent="0.25">
      <c r="A189" s="16"/>
      <c r="B189" s="16"/>
      <c r="C189" s="16"/>
      <c r="D189" s="16"/>
      <c r="E189" s="16"/>
      <c r="F189" s="16"/>
      <c r="G189" s="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6"/>
      <c r="AD189" s="8"/>
      <c r="AE189" s="16"/>
      <c r="AF189" s="16"/>
      <c r="AG189" s="16"/>
      <c r="AH189" s="8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</row>
    <row r="190" spans="1:49" x14ac:dyDescent="0.25">
      <c r="A190" s="16"/>
      <c r="B190" s="16"/>
      <c r="C190" s="16"/>
      <c r="D190" s="16"/>
      <c r="E190" s="16"/>
      <c r="F190" s="16"/>
      <c r="G190" s="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6"/>
      <c r="AD190" s="8"/>
      <c r="AE190" s="16"/>
      <c r="AF190" s="16"/>
      <c r="AG190" s="16"/>
      <c r="AH190" s="8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</row>
    <row r="191" spans="1:49" x14ac:dyDescent="0.25">
      <c r="A191" s="16"/>
      <c r="B191" s="16"/>
      <c r="C191" s="16"/>
      <c r="D191" s="16"/>
      <c r="E191" s="16"/>
      <c r="F191" s="16"/>
      <c r="G191" s="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6"/>
      <c r="AD191" s="8"/>
      <c r="AE191" s="16"/>
      <c r="AF191" s="16"/>
      <c r="AG191" s="16"/>
      <c r="AH191" s="8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</row>
    <row r="192" spans="1:49" x14ac:dyDescent="0.25">
      <c r="A192" s="16"/>
      <c r="B192" s="16"/>
      <c r="C192" s="16"/>
      <c r="D192" s="16"/>
      <c r="E192" s="16"/>
      <c r="F192" s="16"/>
      <c r="G192" s="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6"/>
      <c r="AD192" s="8"/>
      <c r="AE192" s="16"/>
      <c r="AF192" s="16"/>
      <c r="AG192" s="16"/>
      <c r="AH192" s="8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</row>
    <row r="193" spans="1:49" x14ac:dyDescent="0.25">
      <c r="A193" s="16"/>
      <c r="B193" s="16"/>
      <c r="C193" s="16"/>
      <c r="D193" s="16"/>
      <c r="E193" s="16"/>
      <c r="F193" s="16"/>
      <c r="G193" s="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6"/>
      <c r="AD193" s="8"/>
      <c r="AE193" s="16"/>
      <c r="AF193" s="16"/>
      <c r="AG193" s="16"/>
      <c r="AH193" s="8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</row>
    <row r="194" spans="1:49" x14ac:dyDescent="0.25">
      <c r="A194" s="16"/>
      <c r="B194" s="16"/>
      <c r="C194" s="16"/>
      <c r="D194" s="16"/>
      <c r="E194" s="16"/>
      <c r="F194" s="16"/>
      <c r="G194" s="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6"/>
      <c r="AD194" s="8"/>
      <c r="AE194" s="16"/>
      <c r="AF194" s="16"/>
      <c r="AG194" s="16"/>
      <c r="AH194" s="8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</row>
    <row r="195" spans="1:49" x14ac:dyDescent="0.25">
      <c r="A195" s="16"/>
      <c r="B195" s="16"/>
      <c r="C195" s="16"/>
      <c r="D195" s="16"/>
      <c r="E195" s="16"/>
      <c r="F195" s="16"/>
      <c r="G195" s="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6"/>
      <c r="AD195" s="8"/>
      <c r="AE195" s="16"/>
      <c r="AF195" s="16"/>
      <c r="AG195" s="16"/>
      <c r="AH195" s="8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</row>
    <row r="196" spans="1:49" x14ac:dyDescent="0.25">
      <c r="A196" s="16"/>
      <c r="B196" s="16"/>
      <c r="C196" s="16"/>
      <c r="D196" s="16"/>
      <c r="E196" s="16"/>
      <c r="F196" s="16"/>
      <c r="G196" s="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6"/>
      <c r="AD196" s="8"/>
      <c r="AE196" s="16"/>
      <c r="AF196" s="16"/>
      <c r="AG196" s="16"/>
      <c r="AH196" s="8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</row>
    <row r="197" spans="1:49" x14ac:dyDescent="0.25">
      <c r="A197" s="16"/>
      <c r="B197" s="16"/>
      <c r="C197" s="16"/>
      <c r="D197" s="16"/>
      <c r="E197" s="16"/>
      <c r="F197" s="16"/>
      <c r="G197" s="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6"/>
      <c r="AD197" s="8"/>
      <c r="AE197" s="16"/>
      <c r="AF197" s="16"/>
      <c r="AG197" s="16"/>
      <c r="AH197" s="8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</row>
    <row r="198" spans="1:49" x14ac:dyDescent="0.25">
      <c r="A198" s="16"/>
      <c r="B198" s="16"/>
      <c r="C198" s="16"/>
      <c r="D198" s="16"/>
      <c r="E198" s="16"/>
      <c r="F198" s="16"/>
      <c r="G198" s="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6"/>
      <c r="AD198" s="8"/>
      <c r="AE198" s="16"/>
      <c r="AF198" s="16"/>
      <c r="AG198" s="16"/>
      <c r="AH198" s="8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</row>
    <row r="199" spans="1:49" x14ac:dyDescent="0.25">
      <c r="A199" s="16"/>
      <c r="B199" s="16"/>
      <c r="C199" s="16"/>
      <c r="D199" s="16"/>
      <c r="E199" s="16"/>
      <c r="F199" s="16"/>
      <c r="G199" s="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6"/>
      <c r="AD199" s="8"/>
      <c r="AE199" s="16"/>
      <c r="AF199" s="16"/>
      <c r="AG199" s="16"/>
      <c r="AH199" s="8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</row>
    <row r="200" spans="1:49" x14ac:dyDescent="0.25">
      <c r="A200" s="16"/>
      <c r="B200" s="16"/>
      <c r="C200" s="16"/>
      <c r="D200" s="16"/>
      <c r="E200" s="16"/>
      <c r="F200" s="16"/>
      <c r="G200" s="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6"/>
      <c r="AD200" s="8"/>
      <c r="AE200" s="16"/>
      <c r="AF200" s="16"/>
      <c r="AG200" s="16"/>
      <c r="AH200" s="8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</row>
    <row r="201" spans="1:49" x14ac:dyDescent="0.25">
      <c r="A201" s="16"/>
      <c r="B201" s="16"/>
      <c r="C201" s="16"/>
      <c r="D201" s="16"/>
      <c r="E201" s="16"/>
      <c r="F201" s="16"/>
      <c r="G201" s="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6"/>
      <c r="AD201" s="8"/>
      <c r="AE201" s="16"/>
      <c r="AF201" s="16"/>
      <c r="AG201" s="16"/>
      <c r="AH201" s="8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</row>
    <row r="202" spans="1:49" x14ac:dyDescent="0.25">
      <c r="A202" s="16"/>
      <c r="B202" s="16"/>
      <c r="C202" s="16"/>
      <c r="D202" s="16"/>
      <c r="E202" s="16"/>
      <c r="F202" s="16"/>
      <c r="G202" s="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6"/>
      <c r="AD202" s="8"/>
      <c r="AE202" s="16"/>
      <c r="AF202" s="16"/>
      <c r="AG202" s="16"/>
      <c r="AH202" s="8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</row>
    <row r="203" spans="1:49" x14ac:dyDescent="0.25">
      <c r="A203" s="16"/>
      <c r="B203" s="16"/>
      <c r="C203" s="16"/>
      <c r="D203" s="16"/>
      <c r="E203" s="16"/>
      <c r="F203" s="16"/>
      <c r="G203" s="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6"/>
      <c r="AD203" s="8"/>
      <c r="AE203" s="16"/>
      <c r="AF203" s="16"/>
      <c r="AG203" s="16"/>
      <c r="AH203" s="8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</row>
    <row r="204" spans="1:49" x14ac:dyDescent="0.25">
      <c r="A204" s="16"/>
      <c r="B204" s="16"/>
      <c r="C204" s="16"/>
      <c r="D204" s="16"/>
      <c r="E204" s="16"/>
      <c r="F204" s="16"/>
      <c r="G204" s="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6"/>
      <c r="AD204" s="8"/>
      <c r="AE204" s="16"/>
      <c r="AF204" s="16"/>
      <c r="AG204" s="16"/>
      <c r="AH204" s="8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</row>
    <row r="205" spans="1:49" x14ac:dyDescent="0.25">
      <c r="A205" s="16"/>
      <c r="B205" s="16"/>
      <c r="C205" s="16"/>
      <c r="D205" s="16"/>
      <c r="E205" s="16"/>
      <c r="F205" s="16"/>
      <c r="G205" s="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6"/>
      <c r="AD205" s="8"/>
      <c r="AE205" s="16"/>
      <c r="AF205" s="16"/>
      <c r="AG205" s="16"/>
      <c r="AH205" s="8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</row>
    <row r="206" spans="1:49" x14ac:dyDescent="0.25">
      <c r="A206" s="16"/>
      <c r="B206" s="16"/>
      <c r="C206" s="16"/>
      <c r="D206" s="16"/>
      <c r="E206" s="16"/>
      <c r="F206" s="16"/>
      <c r="G206" s="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6"/>
      <c r="AD206" s="8"/>
      <c r="AE206" s="16"/>
      <c r="AF206" s="16"/>
      <c r="AG206" s="16"/>
      <c r="AH206" s="8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</row>
    <row r="207" spans="1:49" x14ac:dyDescent="0.25">
      <c r="A207" s="16"/>
      <c r="B207" s="16"/>
      <c r="C207" s="16"/>
      <c r="D207" s="16"/>
      <c r="E207" s="16"/>
      <c r="F207" s="16"/>
      <c r="G207" s="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6"/>
      <c r="AD207" s="8"/>
      <c r="AE207" s="16"/>
      <c r="AF207" s="16"/>
      <c r="AG207" s="16"/>
      <c r="AH207" s="8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</row>
    <row r="208" spans="1:49" x14ac:dyDescent="0.25">
      <c r="A208" s="16"/>
      <c r="B208" s="16"/>
      <c r="C208" s="16"/>
      <c r="D208" s="16"/>
      <c r="E208" s="16"/>
      <c r="F208" s="16"/>
      <c r="G208" s="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6"/>
      <c r="AD208" s="8"/>
      <c r="AE208" s="16"/>
      <c r="AF208" s="16"/>
      <c r="AG208" s="16"/>
      <c r="AH208" s="8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</row>
    <row r="209" spans="1:49" x14ac:dyDescent="0.25">
      <c r="A209" s="16"/>
      <c r="B209" s="16"/>
      <c r="C209" s="16"/>
      <c r="D209" s="16"/>
      <c r="E209" s="16"/>
      <c r="F209" s="16"/>
      <c r="G209" s="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6"/>
      <c r="AD209" s="8"/>
      <c r="AE209" s="16"/>
      <c r="AF209" s="16"/>
      <c r="AG209" s="16"/>
      <c r="AH209" s="8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</row>
    <row r="210" spans="1:49" x14ac:dyDescent="0.25">
      <c r="A210" s="16"/>
      <c r="B210" s="16"/>
      <c r="C210" s="16"/>
      <c r="D210" s="16"/>
      <c r="E210" s="16"/>
      <c r="F210" s="16"/>
      <c r="G210" s="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6"/>
      <c r="AD210" s="8"/>
      <c r="AE210" s="16"/>
      <c r="AF210" s="16"/>
      <c r="AG210" s="16"/>
      <c r="AH210" s="8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</row>
    <row r="211" spans="1:49" x14ac:dyDescent="0.25">
      <c r="A211" s="16"/>
      <c r="B211" s="16"/>
      <c r="C211" s="16"/>
      <c r="D211" s="16"/>
      <c r="E211" s="16"/>
      <c r="F211" s="16"/>
      <c r="G211" s="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6"/>
      <c r="AD211" s="8"/>
      <c r="AE211" s="16"/>
      <c r="AF211" s="16"/>
      <c r="AG211" s="16"/>
      <c r="AH211" s="8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</row>
    <row r="212" spans="1:49" x14ac:dyDescent="0.25">
      <c r="A212" s="16"/>
      <c r="B212" s="16"/>
      <c r="C212" s="16"/>
      <c r="D212" s="16"/>
      <c r="E212" s="16"/>
      <c r="F212" s="16"/>
      <c r="G212" s="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6"/>
      <c r="AD212" s="8"/>
      <c r="AE212" s="16"/>
      <c r="AF212" s="16"/>
      <c r="AG212" s="16"/>
      <c r="AH212" s="8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</row>
    <row r="213" spans="1:49" x14ac:dyDescent="0.25">
      <c r="A213" s="16"/>
      <c r="B213" s="16"/>
      <c r="C213" s="16"/>
      <c r="D213" s="16"/>
      <c r="E213" s="16"/>
      <c r="F213" s="16"/>
      <c r="G213" s="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6"/>
      <c r="AD213" s="8"/>
      <c r="AE213" s="16"/>
      <c r="AF213" s="16"/>
      <c r="AG213" s="16"/>
      <c r="AH213" s="8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</row>
    <row r="214" spans="1:49" x14ac:dyDescent="0.25">
      <c r="A214" s="16"/>
      <c r="B214" s="16"/>
      <c r="C214" s="16"/>
      <c r="D214" s="16"/>
      <c r="E214" s="16"/>
      <c r="F214" s="16"/>
      <c r="G214" s="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6"/>
      <c r="AD214" s="8"/>
      <c r="AE214" s="16"/>
      <c r="AF214" s="16"/>
      <c r="AG214" s="16"/>
      <c r="AH214" s="8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</row>
    <row r="215" spans="1:49" x14ac:dyDescent="0.25">
      <c r="A215" s="16"/>
      <c r="B215" s="16"/>
      <c r="C215" s="16"/>
      <c r="D215" s="16"/>
      <c r="E215" s="16"/>
      <c r="F215" s="16"/>
      <c r="G215" s="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6"/>
      <c r="AD215" s="8"/>
      <c r="AE215" s="16"/>
      <c r="AF215" s="16"/>
      <c r="AG215" s="16"/>
      <c r="AH215" s="8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</row>
    <row r="216" spans="1:49" x14ac:dyDescent="0.25">
      <c r="A216" s="16"/>
      <c r="B216" s="16"/>
      <c r="C216" s="16"/>
      <c r="D216" s="16"/>
      <c r="E216" s="16"/>
      <c r="F216" s="16"/>
      <c r="G216" s="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6"/>
      <c r="AD216" s="8"/>
      <c r="AE216" s="16"/>
      <c r="AF216" s="16"/>
      <c r="AG216" s="16"/>
      <c r="AH216" s="8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</row>
    <row r="217" spans="1:49" x14ac:dyDescent="0.25">
      <c r="A217" s="16"/>
      <c r="B217" s="16"/>
      <c r="C217" s="16"/>
      <c r="D217" s="16"/>
      <c r="E217" s="16"/>
      <c r="F217" s="16"/>
      <c r="G217" s="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6"/>
      <c r="AD217" s="8"/>
      <c r="AE217" s="16"/>
      <c r="AF217" s="16"/>
      <c r="AG217" s="16"/>
      <c r="AH217" s="8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</row>
    <row r="218" spans="1:49" x14ac:dyDescent="0.25">
      <c r="A218" s="16"/>
      <c r="B218" s="16"/>
      <c r="C218" s="16"/>
      <c r="D218" s="16"/>
      <c r="E218" s="16"/>
      <c r="F218" s="16"/>
      <c r="G218" s="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6"/>
      <c r="AD218" s="8"/>
      <c r="AE218" s="16"/>
      <c r="AF218" s="16"/>
      <c r="AG218" s="16"/>
      <c r="AH218" s="8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</row>
    <row r="219" spans="1:49" x14ac:dyDescent="0.25">
      <c r="A219" s="16"/>
      <c r="B219" s="16"/>
      <c r="C219" s="16"/>
      <c r="D219" s="16"/>
      <c r="E219" s="16"/>
      <c r="F219" s="16"/>
      <c r="G219" s="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6"/>
      <c r="AD219" s="8"/>
      <c r="AE219" s="16"/>
      <c r="AF219" s="16"/>
      <c r="AG219" s="16"/>
      <c r="AH219" s="8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</row>
    <row r="220" spans="1:49" x14ac:dyDescent="0.25">
      <c r="A220" s="16"/>
      <c r="B220" s="16"/>
      <c r="C220" s="16"/>
      <c r="D220" s="16"/>
      <c r="E220" s="16"/>
      <c r="F220" s="16"/>
      <c r="G220" s="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6"/>
      <c r="AD220" s="8"/>
      <c r="AE220" s="16"/>
      <c r="AF220" s="16"/>
      <c r="AG220" s="16"/>
      <c r="AH220" s="8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</row>
    <row r="221" spans="1:49" x14ac:dyDescent="0.25">
      <c r="A221" s="16"/>
      <c r="B221" s="16"/>
      <c r="C221" s="16"/>
      <c r="D221" s="16"/>
      <c r="E221" s="16"/>
      <c r="F221" s="16"/>
      <c r="G221" s="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6"/>
      <c r="AD221" s="8"/>
      <c r="AE221" s="16"/>
      <c r="AF221" s="16"/>
      <c r="AG221" s="16"/>
      <c r="AH221" s="8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</row>
    <row r="222" spans="1:49" x14ac:dyDescent="0.25">
      <c r="A222" s="16"/>
      <c r="B222" s="16"/>
      <c r="C222" s="16"/>
      <c r="D222" s="16"/>
      <c r="E222" s="16"/>
      <c r="F222" s="16"/>
      <c r="G222" s="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6"/>
      <c r="AD222" s="8"/>
      <c r="AE222" s="16"/>
      <c r="AF222" s="16"/>
      <c r="AG222" s="16"/>
      <c r="AH222" s="8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</row>
    <row r="223" spans="1:49" x14ac:dyDescent="0.25">
      <c r="A223" s="16"/>
      <c r="B223" s="16"/>
      <c r="C223" s="16"/>
      <c r="D223" s="16"/>
      <c r="E223" s="16"/>
      <c r="F223" s="16"/>
      <c r="G223" s="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6"/>
      <c r="AD223" s="8"/>
      <c r="AE223" s="16"/>
      <c r="AF223" s="16"/>
      <c r="AG223" s="16"/>
      <c r="AH223" s="8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</row>
    <row r="224" spans="1:49" x14ac:dyDescent="0.25">
      <c r="A224" s="16"/>
      <c r="B224" s="16"/>
      <c r="C224" s="16"/>
      <c r="D224" s="16"/>
      <c r="E224" s="16"/>
      <c r="F224" s="16"/>
      <c r="G224" s="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6"/>
      <c r="AD224" s="8"/>
      <c r="AE224" s="16"/>
      <c r="AF224" s="16"/>
      <c r="AG224" s="16"/>
      <c r="AH224" s="8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</row>
    <row r="225" spans="1:49" x14ac:dyDescent="0.25">
      <c r="A225" s="16"/>
      <c r="B225" s="16"/>
      <c r="C225" s="16"/>
      <c r="D225" s="16"/>
      <c r="E225" s="16"/>
      <c r="F225" s="16"/>
      <c r="G225" s="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6"/>
      <c r="AD225" s="8"/>
      <c r="AE225" s="16"/>
      <c r="AF225" s="16"/>
      <c r="AG225" s="16"/>
      <c r="AH225" s="8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</row>
    <row r="226" spans="1:49" x14ac:dyDescent="0.25">
      <c r="A226" s="16"/>
      <c r="B226" s="16"/>
      <c r="C226" s="16"/>
      <c r="D226" s="16"/>
      <c r="E226" s="16"/>
      <c r="F226" s="16"/>
      <c r="G226" s="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6"/>
      <c r="AD226" s="8"/>
      <c r="AE226" s="16"/>
      <c r="AF226" s="16"/>
      <c r="AG226" s="16"/>
      <c r="AH226" s="8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</row>
    <row r="227" spans="1:49" x14ac:dyDescent="0.25">
      <c r="A227" s="16"/>
      <c r="B227" s="16"/>
      <c r="C227" s="16"/>
      <c r="D227" s="16"/>
      <c r="E227" s="16"/>
      <c r="F227" s="16"/>
      <c r="G227" s="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6"/>
      <c r="AD227" s="8"/>
      <c r="AE227" s="16"/>
      <c r="AF227" s="16"/>
      <c r="AG227" s="16"/>
      <c r="AH227" s="8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</row>
    <row r="228" spans="1:49" x14ac:dyDescent="0.25">
      <c r="A228" s="16"/>
      <c r="B228" s="16"/>
      <c r="C228" s="16"/>
      <c r="D228" s="16"/>
      <c r="E228" s="16"/>
      <c r="F228" s="16"/>
      <c r="G228" s="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6"/>
      <c r="AD228" s="8"/>
      <c r="AE228" s="16"/>
      <c r="AF228" s="16"/>
      <c r="AG228" s="16"/>
      <c r="AH228" s="8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</row>
    <row r="229" spans="1:49" x14ac:dyDescent="0.25">
      <c r="A229" s="16"/>
      <c r="B229" s="16"/>
      <c r="C229" s="16"/>
      <c r="D229" s="16"/>
      <c r="E229" s="16"/>
      <c r="F229" s="16"/>
      <c r="G229" s="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6"/>
      <c r="AD229" s="8"/>
      <c r="AE229" s="16"/>
      <c r="AF229" s="16"/>
      <c r="AG229" s="16"/>
      <c r="AH229" s="8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</row>
    <row r="230" spans="1:49" x14ac:dyDescent="0.25">
      <c r="A230" s="16"/>
      <c r="B230" s="16"/>
      <c r="C230" s="16"/>
      <c r="D230" s="16"/>
      <c r="E230" s="16"/>
      <c r="F230" s="16"/>
      <c r="G230" s="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6"/>
      <c r="AD230" s="8"/>
      <c r="AE230" s="16"/>
      <c r="AF230" s="16"/>
      <c r="AG230" s="16"/>
      <c r="AH230" s="8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</row>
    <row r="231" spans="1:49" x14ac:dyDescent="0.25">
      <c r="A231" s="16"/>
      <c r="B231" s="16"/>
      <c r="C231" s="16"/>
      <c r="D231" s="16"/>
      <c r="E231" s="16"/>
      <c r="F231" s="16"/>
      <c r="G231" s="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6"/>
      <c r="AD231" s="8"/>
      <c r="AE231" s="16"/>
      <c r="AF231" s="16"/>
      <c r="AG231" s="16"/>
      <c r="AH231" s="8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</row>
    <row r="232" spans="1:49" x14ac:dyDescent="0.25">
      <c r="A232" s="16"/>
      <c r="B232" s="16"/>
      <c r="C232" s="16"/>
      <c r="D232" s="16"/>
      <c r="E232" s="16"/>
      <c r="F232" s="16"/>
      <c r="G232" s="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6"/>
      <c r="AD232" s="8"/>
      <c r="AE232" s="16"/>
      <c r="AF232" s="16"/>
      <c r="AG232" s="16"/>
      <c r="AH232" s="8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</row>
    <row r="233" spans="1:49" x14ac:dyDescent="0.25">
      <c r="A233" s="16"/>
      <c r="B233" s="16"/>
      <c r="C233" s="16"/>
      <c r="D233" s="16"/>
      <c r="E233" s="16"/>
      <c r="F233" s="16"/>
      <c r="G233" s="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6"/>
      <c r="AD233" s="8"/>
      <c r="AE233" s="16"/>
      <c r="AF233" s="16"/>
      <c r="AG233" s="16"/>
      <c r="AH233" s="8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</row>
    <row r="234" spans="1:49" x14ac:dyDescent="0.25">
      <c r="A234" s="16"/>
      <c r="B234" s="16"/>
      <c r="C234" s="16"/>
      <c r="D234" s="16"/>
      <c r="E234" s="16"/>
      <c r="F234" s="16"/>
      <c r="G234" s="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6"/>
      <c r="AD234" s="8"/>
      <c r="AE234" s="16"/>
      <c r="AF234" s="16"/>
      <c r="AG234" s="16"/>
      <c r="AH234" s="8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</row>
    <row r="235" spans="1:49" x14ac:dyDescent="0.25">
      <c r="A235" s="16"/>
      <c r="B235" s="16"/>
      <c r="C235" s="16"/>
      <c r="D235" s="16"/>
      <c r="E235" s="16"/>
      <c r="F235" s="16"/>
      <c r="G235" s="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6"/>
      <c r="AD235" s="8"/>
      <c r="AE235" s="16"/>
      <c r="AF235" s="16"/>
      <c r="AG235" s="16"/>
      <c r="AH235" s="8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</row>
    <row r="236" spans="1:49" x14ac:dyDescent="0.25">
      <c r="A236" s="16"/>
      <c r="B236" s="16"/>
      <c r="C236" s="16"/>
      <c r="D236" s="16"/>
      <c r="E236" s="16"/>
      <c r="F236" s="16"/>
      <c r="G236" s="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6"/>
      <c r="AD236" s="8"/>
      <c r="AE236" s="16"/>
      <c r="AF236" s="16"/>
      <c r="AG236" s="16"/>
      <c r="AH236" s="8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</row>
    <row r="237" spans="1:49" x14ac:dyDescent="0.25">
      <c r="A237" s="16"/>
      <c r="B237" s="16"/>
      <c r="C237" s="16"/>
      <c r="D237" s="16"/>
      <c r="E237" s="16"/>
      <c r="F237" s="16"/>
      <c r="G237" s="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6"/>
      <c r="AD237" s="8"/>
      <c r="AE237" s="16"/>
      <c r="AF237" s="16"/>
      <c r="AG237" s="16"/>
      <c r="AH237" s="8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</row>
    <row r="238" spans="1:49" x14ac:dyDescent="0.25">
      <c r="A238" s="16"/>
      <c r="B238" s="16"/>
      <c r="C238" s="16"/>
      <c r="D238" s="16"/>
      <c r="E238" s="16"/>
      <c r="F238" s="16"/>
      <c r="G238" s="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6"/>
      <c r="AD238" s="8"/>
      <c r="AE238" s="16"/>
      <c r="AF238" s="16"/>
      <c r="AG238" s="16"/>
      <c r="AH238" s="8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</row>
    <row r="239" spans="1:49" x14ac:dyDescent="0.25">
      <c r="A239" s="16"/>
      <c r="B239" s="16"/>
      <c r="C239" s="16"/>
      <c r="D239" s="16"/>
      <c r="E239" s="16"/>
      <c r="F239" s="16"/>
      <c r="G239" s="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6"/>
      <c r="AD239" s="8"/>
      <c r="AE239" s="16"/>
      <c r="AF239" s="16"/>
      <c r="AG239" s="16"/>
      <c r="AH239" s="8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</row>
    <row r="240" spans="1:49" x14ac:dyDescent="0.25">
      <c r="A240" s="16"/>
      <c r="B240" s="16"/>
      <c r="C240" s="16"/>
      <c r="D240" s="16"/>
      <c r="E240" s="16"/>
      <c r="F240" s="16"/>
      <c r="G240" s="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6"/>
      <c r="AD240" s="8"/>
      <c r="AE240" s="16"/>
      <c r="AF240" s="16"/>
      <c r="AG240" s="16"/>
      <c r="AH240" s="8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</row>
    <row r="241" spans="1:49" x14ac:dyDescent="0.25">
      <c r="A241" s="16"/>
      <c r="B241" s="16"/>
      <c r="C241" s="16"/>
      <c r="D241" s="16"/>
      <c r="E241" s="16"/>
      <c r="F241" s="16"/>
      <c r="G241" s="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6"/>
      <c r="AD241" s="8"/>
      <c r="AE241" s="16"/>
      <c r="AF241" s="16"/>
      <c r="AG241" s="16"/>
      <c r="AH241" s="8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</row>
    <row r="242" spans="1:49" x14ac:dyDescent="0.25">
      <c r="A242" s="16"/>
      <c r="B242" s="16"/>
      <c r="C242" s="16"/>
      <c r="D242" s="16"/>
      <c r="E242" s="16"/>
      <c r="F242" s="16"/>
      <c r="G242" s="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6"/>
      <c r="AD242" s="8"/>
      <c r="AE242" s="16"/>
      <c r="AF242" s="16"/>
      <c r="AG242" s="16"/>
      <c r="AH242" s="8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</row>
    <row r="243" spans="1:49" x14ac:dyDescent="0.25">
      <c r="A243" s="16"/>
      <c r="B243" s="16"/>
      <c r="C243" s="16"/>
      <c r="D243" s="16"/>
      <c r="E243" s="16"/>
      <c r="F243" s="16"/>
      <c r="G243" s="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6"/>
      <c r="AD243" s="8"/>
      <c r="AE243" s="16"/>
      <c r="AF243" s="16"/>
      <c r="AG243" s="16"/>
      <c r="AH243" s="8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</row>
    <row r="244" spans="1:49" x14ac:dyDescent="0.25">
      <c r="A244" s="16"/>
      <c r="B244" s="16"/>
      <c r="C244" s="16"/>
      <c r="D244" s="16"/>
      <c r="E244" s="16"/>
      <c r="F244" s="16"/>
      <c r="G244" s="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6"/>
      <c r="AD244" s="8"/>
      <c r="AE244" s="16"/>
      <c r="AF244" s="16"/>
      <c r="AG244" s="16"/>
      <c r="AH244" s="8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</row>
    <row r="245" spans="1:49" x14ac:dyDescent="0.25">
      <c r="A245" s="16"/>
      <c r="B245" s="16"/>
      <c r="C245" s="16"/>
      <c r="D245" s="16"/>
      <c r="E245" s="16"/>
      <c r="F245" s="16"/>
      <c r="G245" s="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6"/>
      <c r="AD245" s="8"/>
      <c r="AE245" s="16"/>
      <c r="AF245" s="16"/>
      <c r="AG245" s="16"/>
      <c r="AH245" s="8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</row>
    <row r="246" spans="1:49" x14ac:dyDescent="0.25">
      <c r="A246" s="16"/>
      <c r="B246" s="16"/>
      <c r="C246" s="16"/>
      <c r="D246" s="16"/>
      <c r="E246" s="16"/>
      <c r="F246" s="16"/>
      <c r="G246" s="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6"/>
      <c r="AD246" s="8"/>
      <c r="AE246" s="16"/>
      <c r="AF246" s="16"/>
      <c r="AG246" s="16"/>
      <c r="AH246" s="8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</row>
    <row r="247" spans="1:49" x14ac:dyDescent="0.25">
      <c r="A247" s="16"/>
      <c r="B247" s="16"/>
      <c r="C247" s="16"/>
      <c r="D247" s="16"/>
      <c r="E247" s="16"/>
      <c r="F247" s="16"/>
      <c r="G247" s="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6"/>
      <c r="AD247" s="8"/>
      <c r="AE247" s="16"/>
      <c r="AF247" s="16"/>
      <c r="AG247" s="16"/>
      <c r="AH247" s="8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</row>
    <row r="248" spans="1:49" x14ac:dyDescent="0.25">
      <c r="A248" s="16"/>
      <c r="B248" s="16"/>
      <c r="C248" s="16"/>
      <c r="D248" s="16"/>
      <c r="E248" s="16"/>
      <c r="F248" s="16"/>
      <c r="G248" s="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6"/>
      <c r="AD248" s="8"/>
      <c r="AE248" s="16"/>
      <c r="AF248" s="16"/>
      <c r="AG248" s="16"/>
      <c r="AH248" s="8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</row>
    <row r="249" spans="1:49" x14ac:dyDescent="0.25">
      <c r="A249" s="16"/>
      <c r="B249" s="16"/>
      <c r="C249" s="16"/>
      <c r="D249" s="16"/>
      <c r="E249" s="16"/>
      <c r="F249" s="16"/>
      <c r="G249" s="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6"/>
      <c r="AD249" s="8"/>
      <c r="AE249" s="16"/>
      <c r="AF249" s="16"/>
      <c r="AG249" s="16"/>
      <c r="AH249" s="8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</row>
    <row r="250" spans="1:49" x14ac:dyDescent="0.25">
      <c r="A250" s="16"/>
      <c r="B250" s="16"/>
      <c r="C250" s="16"/>
      <c r="D250" s="16"/>
      <c r="E250" s="16"/>
      <c r="F250" s="16"/>
      <c r="G250" s="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6"/>
      <c r="AD250" s="8"/>
      <c r="AE250" s="16"/>
      <c r="AF250" s="16"/>
      <c r="AG250" s="16"/>
      <c r="AH250" s="8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</row>
    <row r="251" spans="1:49" x14ac:dyDescent="0.25">
      <c r="A251" s="16"/>
      <c r="B251" s="16"/>
      <c r="C251" s="16"/>
      <c r="D251" s="16"/>
      <c r="E251" s="16"/>
      <c r="F251" s="16"/>
      <c r="G251" s="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6"/>
      <c r="AD251" s="8"/>
      <c r="AE251" s="16"/>
      <c r="AF251" s="16"/>
      <c r="AG251" s="16"/>
      <c r="AH251" s="8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</row>
    <row r="252" spans="1:49" x14ac:dyDescent="0.25">
      <c r="A252" s="16"/>
      <c r="B252" s="16"/>
      <c r="C252" s="16"/>
      <c r="D252" s="16"/>
      <c r="E252" s="16"/>
      <c r="F252" s="16"/>
      <c r="G252" s="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6"/>
      <c r="AD252" s="8"/>
      <c r="AE252" s="16"/>
      <c r="AF252" s="16"/>
      <c r="AG252" s="16"/>
      <c r="AH252" s="8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</row>
    <row r="253" spans="1:49" x14ac:dyDescent="0.25">
      <c r="A253" s="16"/>
      <c r="B253" s="16"/>
      <c r="C253" s="16"/>
      <c r="D253" s="16"/>
      <c r="E253" s="16"/>
      <c r="F253" s="16"/>
      <c r="G253" s="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6"/>
      <c r="AD253" s="8"/>
      <c r="AE253" s="16"/>
      <c r="AF253" s="16"/>
      <c r="AG253" s="16"/>
      <c r="AH253" s="8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</row>
    <row r="254" spans="1:49" x14ac:dyDescent="0.25">
      <c r="A254" s="16"/>
      <c r="B254" s="16"/>
      <c r="C254" s="16"/>
      <c r="D254" s="16"/>
      <c r="E254" s="16"/>
      <c r="F254" s="16"/>
      <c r="G254" s="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6"/>
      <c r="AD254" s="8"/>
      <c r="AE254" s="16"/>
      <c r="AF254" s="16"/>
      <c r="AG254" s="16"/>
      <c r="AH254" s="8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</row>
    <row r="255" spans="1:49" x14ac:dyDescent="0.25">
      <c r="A255" s="16"/>
      <c r="B255" s="16"/>
      <c r="C255" s="16"/>
      <c r="D255" s="16"/>
      <c r="E255" s="16"/>
      <c r="F255" s="16"/>
      <c r="G255" s="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6"/>
      <c r="AD255" s="8"/>
      <c r="AE255" s="16"/>
      <c r="AF255" s="16"/>
      <c r="AG255" s="16"/>
      <c r="AH255" s="8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</row>
    <row r="256" spans="1:49" x14ac:dyDescent="0.25">
      <c r="A256" s="16"/>
      <c r="B256" s="16"/>
      <c r="C256" s="16"/>
      <c r="D256" s="16"/>
      <c r="E256" s="16"/>
      <c r="F256" s="16"/>
      <c r="G256" s="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6"/>
      <c r="AD256" s="8"/>
      <c r="AE256" s="16"/>
      <c r="AF256" s="16"/>
      <c r="AG256" s="16"/>
      <c r="AH256" s="8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</row>
    <row r="257" spans="1:49" x14ac:dyDescent="0.25">
      <c r="A257" s="16"/>
      <c r="B257" s="16"/>
      <c r="C257" s="16"/>
      <c r="D257" s="16"/>
      <c r="E257" s="16"/>
      <c r="F257" s="16"/>
      <c r="G257" s="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6"/>
      <c r="AD257" s="8"/>
      <c r="AE257" s="16"/>
      <c r="AF257" s="16"/>
      <c r="AG257" s="16"/>
      <c r="AH257" s="8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</row>
    <row r="258" spans="1:49" x14ac:dyDescent="0.25">
      <c r="A258" s="16"/>
      <c r="B258" s="16"/>
      <c r="C258" s="16"/>
      <c r="D258" s="16"/>
      <c r="E258" s="16"/>
      <c r="F258" s="16"/>
      <c r="G258" s="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6"/>
      <c r="AD258" s="8"/>
      <c r="AE258" s="16"/>
      <c r="AF258" s="16"/>
      <c r="AG258" s="16"/>
      <c r="AH258" s="8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</row>
    <row r="259" spans="1:49" x14ac:dyDescent="0.25">
      <c r="A259" s="16"/>
      <c r="B259" s="16"/>
      <c r="C259" s="16"/>
      <c r="D259" s="16"/>
      <c r="E259" s="16"/>
      <c r="F259" s="16"/>
      <c r="G259" s="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6"/>
      <c r="AD259" s="8"/>
      <c r="AE259" s="16"/>
      <c r="AF259" s="16"/>
      <c r="AG259" s="16"/>
      <c r="AH259" s="8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</row>
    <row r="260" spans="1:49" x14ac:dyDescent="0.25">
      <c r="A260" s="16"/>
      <c r="B260" s="16"/>
      <c r="C260" s="16"/>
      <c r="D260" s="16"/>
      <c r="E260" s="16"/>
      <c r="F260" s="16"/>
      <c r="G260" s="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6"/>
      <c r="AD260" s="8"/>
      <c r="AE260" s="16"/>
      <c r="AF260" s="16"/>
      <c r="AG260" s="16"/>
      <c r="AH260" s="8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</row>
    <row r="261" spans="1:49" x14ac:dyDescent="0.25">
      <c r="A261" s="16"/>
      <c r="B261" s="16"/>
      <c r="C261" s="16"/>
      <c r="D261" s="16"/>
      <c r="E261" s="16"/>
      <c r="F261" s="16"/>
      <c r="G261" s="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6"/>
      <c r="AD261" s="8"/>
      <c r="AE261" s="16"/>
      <c r="AF261" s="16"/>
      <c r="AG261" s="16"/>
      <c r="AH261" s="8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</row>
    <row r="262" spans="1:49" x14ac:dyDescent="0.25">
      <c r="A262" s="16"/>
      <c r="B262" s="16"/>
      <c r="C262" s="16"/>
      <c r="D262" s="16"/>
      <c r="E262" s="16"/>
      <c r="F262" s="16"/>
      <c r="G262" s="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6"/>
      <c r="AD262" s="8"/>
      <c r="AE262" s="16"/>
      <c r="AF262" s="16"/>
      <c r="AG262" s="16"/>
      <c r="AH262" s="8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</row>
    <row r="263" spans="1:49" x14ac:dyDescent="0.25">
      <c r="A263" s="16"/>
      <c r="B263" s="16"/>
      <c r="C263" s="16"/>
      <c r="D263" s="16"/>
      <c r="E263" s="16"/>
      <c r="F263" s="16"/>
      <c r="G263" s="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6"/>
      <c r="AD263" s="8"/>
      <c r="AE263" s="16"/>
      <c r="AF263" s="16"/>
      <c r="AG263" s="16"/>
      <c r="AH263" s="8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</row>
    <row r="264" spans="1:49" x14ac:dyDescent="0.25">
      <c r="A264" s="16"/>
      <c r="B264" s="16"/>
      <c r="C264" s="16"/>
      <c r="D264" s="16"/>
      <c r="E264" s="16"/>
      <c r="F264" s="16"/>
      <c r="G264" s="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6"/>
      <c r="AD264" s="8"/>
      <c r="AE264" s="16"/>
      <c r="AF264" s="16"/>
      <c r="AG264" s="16"/>
      <c r="AH264" s="8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</row>
    <row r="265" spans="1:49" x14ac:dyDescent="0.25">
      <c r="A265" s="16"/>
      <c r="B265" s="16"/>
      <c r="C265" s="16"/>
      <c r="D265" s="16"/>
      <c r="E265" s="16"/>
      <c r="F265" s="16"/>
      <c r="G265" s="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6"/>
      <c r="AD265" s="8"/>
      <c r="AE265" s="16"/>
      <c r="AF265" s="16"/>
      <c r="AG265" s="16"/>
      <c r="AH265" s="8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</row>
    <row r="266" spans="1:49" x14ac:dyDescent="0.25">
      <c r="A266" s="16"/>
      <c r="B266" s="16"/>
      <c r="C266" s="16"/>
      <c r="D266" s="16"/>
      <c r="E266" s="16"/>
      <c r="F266" s="16"/>
      <c r="G266" s="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6"/>
      <c r="AD266" s="8"/>
      <c r="AE266" s="16"/>
      <c r="AF266" s="16"/>
      <c r="AG266" s="16"/>
      <c r="AH266" s="8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</row>
    <row r="267" spans="1:49" x14ac:dyDescent="0.25">
      <c r="A267" s="16"/>
      <c r="B267" s="16"/>
      <c r="C267" s="16"/>
      <c r="D267" s="16"/>
      <c r="E267" s="16"/>
      <c r="F267" s="16"/>
      <c r="G267" s="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6"/>
      <c r="AD267" s="8"/>
      <c r="AE267" s="16"/>
      <c r="AF267" s="16"/>
      <c r="AG267" s="16"/>
      <c r="AH267" s="8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</row>
    <row r="268" spans="1:49" x14ac:dyDescent="0.25">
      <c r="A268" s="16"/>
      <c r="B268" s="16"/>
      <c r="C268" s="16"/>
      <c r="D268" s="16"/>
      <c r="E268" s="16"/>
      <c r="F268" s="16"/>
      <c r="G268" s="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6"/>
      <c r="AD268" s="8"/>
      <c r="AE268" s="16"/>
      <c r="AF268" s="16"/>
      <c r="AG268" s="16"/>
      <c r="AH268" s="8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</row>
    <row r="269" spans="1:49" x14ac:dyDescent="0.25">
      <c r="A269" s="16"/>
      <c r="B269" s="16"/>
      <c r="C269" s="16"/>
      <c r="D269" s="16"/>
      <c r="E269" s="16"/>
      <c r="F269" s="16"/>
      <c r="G269" s="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6"/>
      <c r="AD269" s="8"/>
      <c r="AE269" s="16"/>
      <c r="AF269" s="16"/>
      <c r="AG269" s="16"/>
      <c r="AH269" s="8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</row>
    <row r="270" spans="1:49" x14ac:dyDescent="0.25">
      <c r="A270" s="16"/>
      <c r="B270" s="16"/>
      <c r="C270" s="16"/>
      <c r="D270" s="16"/>
      <c r="E270" s="16"/>
      <c r="F270" s="16"/>
      <c r="G270" s="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6"/>
      <c r="AD270" s="8"/>
      <c r="AE270" s="16"/>
      <c r="AF270" s="16"/>
      <c r="AG270" s="16"/>
      <c r="AH270" s="8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</row>
    <row r="271" spans="1:49" x14ac:dyDescent="0.25">
      <c r="A271" s="16"/>
      <c r="B271" s="16"/>
      <c r="C271" s="16"/>
      <c r="D271" s="16"/>
      <c r="E271" s="16"/>
      <c r="F271" s="16"/>
      <c r="G271" s="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6"/>
      <c r="AD271" s="8"/>
      <c r="AE271" s="16"/>
      <c r="AF271" s="16"/>
      <c r="AG271" s="16"/>
      <c r="AH271" s="8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</row>
    <row r="272" spans="1:49" x14ac:dyDescent="0.25">
      <c r="A272" s="16"/>
      <c r="B272" s="16"/>
      <c r="C272" s="16"/>
      <c r="D272" s="16"/>
      <c r="E272" s="16"/>
      <c r="F272" s="16"/>
      <c r="G272" s="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6"/>
      <c r="AD272" s="8"/>
      <c r="AE272" s="16"/>
      <c r="AF272" s="16"/>
      <c r="AG272" s="16"/>
      <c r="AH272" s="8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</row>
    <row r="273" spans="1:49" x14ac:dyDescent="0.25">
      <c r="A273" s="16"/>
      <c r="B273" s="16"/>
      <c r="C273" s="16"/>
      <c r="D273" s="16"/>
      <c r="E273" s="16"/>
      <c r="F273" s="16"/>
      <c r="G273" s="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6"/>
      <c r="AD273" s="8"/>
      <c r="AE273" s="16"/>
      <c r="AF273" s="16"/>
      <c r="AG273" s="16"/>
      <c r="AH273" s="8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</row>
    <row r="274" spans="1:49" x14ac:dyDescent="0.25">
      <c r="A274" s="16"/>
      <c r="B274" s="16"/>
      <c r="C274" s="16"/>
      <c r="D274" s="16"/>
      <c r="E274" s="16"/>
      <c r="F274" s="16"/>
      <c r="G274" s="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6"/>
      <c r="AD274" s="8"/>
      <c r="AE274" s="16"/>
      <c r="AF274" s="16"/>
      <c r="AG274" s="16"/>
      <c r="AH274" s="8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</row>
    <row r="275" spans="1:49" x14ac:dyDescent="0.25">
      <c r="A275" s="16"/>
      <c r="B275" s="16"/>
      <c r="C275" s="16"/>
      <c r="D275" s="16"/>
      <c r="E275" s="16"/>
      <c r="F275" s="16"/>
      <c r="G275" s="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6"/>
      <c r="AD275" s="8"/>
      <c r="AE275" s="16"/>
      <c r="AF275" s="16"/>
      <c r="AG275" s="16"/>
      <c r="AH275" s="8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</row>
    <row r="276" spans="1:49" x14ac:dyDescent="0.25">
      <c r="A276" s="16"/>
      <c r="B276" s="16"/>
      <c r="C276" s="16"/>
      <c r="D276" s="16"/>
      <c r="E276" s="16"/>
      <c r="F276" s="16"/>
      <c r="G276" s="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6"/>
      <c r="AD276" s="8"/>
      <c r="AE276" s="16"/>
      <c r="AF276" s="16"/>
      <c r="AG276" s="16"/>
      <c r="AH276" s="8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</row>
    <row r="277" spans="1:49" x14ac:dyDescent="0.25">
      <c r="A277" s="16"/>
      <c r="B277" s="16"/>
      <c r="C277" s="16"/>
      <c r="D277" s="16"/>
      <c r="E277" s="16"/>
      <c r="F277" s="16"/>
      <c r="G277" s="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6"/>
      <c r="AD277" s="8"/>
      <c r="AE277" s="16"/>
      <c r="AF277" s="16"/>
      <c r="AG277" s="16"/>
      <c r="AH277" s="8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</row>
    <row r="278" spans="1:49" x14ac:dyDescent="0.25">
      <c r="A278" s="16"/>
      <c r="B278" s="16"/>
      <c r="C278" s="16"/>
      <c r="D278" s="16"/>
      <c r="E278" s="16"/>
      <c r="F278" s="16"/>
      <c r="G278" s="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6"/>
      <c r="AD278" s="8"/>
      <c r="AE278" s="16"/>
      <c r="AF278" s="16"/>
      <c r="AG278" s="16"/>
      <c r="AH278" s="8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</row>
    <row r="279" spans="1:49" x14ac:dyDescent="0.25">
      <c r="A279" s="16"/>
      <c r="B279" s="16"/>
      <c r="C279" s="16"/>
      <c r="D279" s="16"/>
      <c r="E279" s="16"/>
      <c r="F279" s="16"/>
      <c r="G279" s="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6"/>
      <c r="AD279" s="8"/>
      <c r="AE279" s="16"/>
      <c r="AF279" s="16"/>
      <c r="AG279" s="16"/>
      <c r="AH279" s="8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</row>
    <row r="280" spans="1:49" x14ac:dyDescent="0.25">
      <c r="A280" s="16"/>
      <c r="B280" s="16"/>
      <c r="C280" s="16"/>
      <c r="D280" s="16"/>
      <c r="E280" s="16"/>
      <c r="F280" s="16"/>
      <c r="G280" s="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6"/>
      <c r="AD280" s="8"/>
      <c r="AE280" s="16"/>
      <c r="AF280" s="16"/>
      <c r="AG280" s="16"/>
      <c r="AH280" s="8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</row>
    <row r="281" spans="1:49" x14ac:dyDescent="0.25">
      <c r="A281" s="16"/>
      <c r="B281" s="16"/>
      <c r="C281" s="16"/>
      <c r="D281" s="16"/>
      <c r="E281" s="16"/>
      <c r="F281" s="16"/>
      <c r="G281" s="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6"/>
      <c r="AD281" s="8"/>
      <c r="AE281" s="16"/>
      <c r="AF281" s="16"/>
      <c r="AG281" s="16"/>
      <c r="AH281" s="8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</row>
    <row r="282" spans="1:49" x14ac:dyDescent="0.25">
      <c r="A282" s="16"/>
      <c r="B282" s="16"/>
      <c r="C282" s="16"/>
      <c r="D282" s="16"/>
      <c r="E282" s="16"/>
      <c r="F282" s="16"/>
      <c r="G282" s="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6"/>
      <c r="AD282" s="8"/>
      <c r="AE282" s="16"/>
      <c r="AF282" s="16"/>
      <c r="AG282" s="16"/>
      <c r="AH282" s="8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</row>
    <row r="283" spans="1:49" x14ac:dyDescent="0.25">
      <c r="A283" s="16"/>
      <c r="B283" s="16"/>
      <c r="C283" s="16"/>
      <c r="D283" s="16"/>
      <c r="E283" s="16"/>
      <c r="F283" s="16"/>
      <c r="G283" s="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6"/>
      <c r="AD283" s="8"/>
      <c r="AE283" s="16"/>
      <c r="AF283" s="16"/>
      <c r="AG283" s="16"/>
      <c r="AH283" s="8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</row>
    <row r="284" spans="1:49" x14ac:dyDescent="0.25">
      <c r="A284" s="16"/>
      <c r="B284" s="16"/>
      <c r="C284" s="16"/>
      <c r="D284" s="16"/>
      <c r="E284" s="16"/>
      <c r="F284" s="16"/>
      <c r="G284" s="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6"/>
      <c r="AD284" s="8"/>
      <c r="AE284" s="16"/>
      <c r="AF284" s="16"/>
      <c r="AG284" s="16"/>
      <c r="AH284" s="8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</row>
    <row r="285" spans="1:49" x14ac:dyDescent="0.25">
      <c r="A285" s="16"/>
      <c r="B285" s="16"/>
      <c r="C285" s="16"/>
      <c r="D285" s="16"/>
      <c r="E285" s="16"/>
      <c r="F285" s="16"/>
      <c r="G285" s="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6"/>
      <c r="AD285" s="8"/>
      <c r="AE285" s="16"/>
      <c r="AF285" s="16"/>
      <c r="AG285" s="16"/>
      <c r="AH285" s="8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</row>
    <row r="286" spans="1:49" x14ac:dyDescent="0.25">
      <c r="A286" s="16"/>
      <c r="B286" s="16"/>
      <c r="C286" s="16"/>
      <c r="D286" s="16"/>
      <c r="E286" s="16"/>
      <c r="F286" s="16"/>
      <c r="G286" s="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6"/>
      <c r="AD286" s="8"/>
      <c r="AE286" s="16"/>
      <c r="AF286" s="16"/>
      <c r="AG286" s="16"/>
      <c r="AH286" s="8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</row>
    <row r="287" spans="1:49" x14ac:dyDescent="0.25">
      <c r="A287" s="16"/>
      <c r="B287" s="16"/>
      <c r="C287" s="16"/>
      <c r="D287" s="16"/>
      <c r="E287" s="16"/>
      <c r="F287" s="16"/>
      <c r="G287" s="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6"/>
      <c r="AD287" s="8"/>
      <c r="AE287" s="16"/>
      <c r="AF287" s="16"/>
      <c r="AG287" s="16"/>
      <c r="AH287" s="8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</row>
    <row r="288" spans="1:49" x14ac:dyDescent="0.25">
      <c r="A288" s="16"/>
      <c r="B288" s="16"/>
      <c r="C288" s="16"/>
      <c r="D288" s="16"/>
      <c r="E288" s="16"/>
      <c r="F288" s="16"/>
      <c r="G288" s="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6"/>
      <c r="AD288" s="8"/>
      <c r="AE288" s="16"/>
      <c r="AF288" s="16"/>
      <c r="AG288" s="16"/>
      <c r="AH288" s="8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</row>
    <row r="289" spans="1:49" x14ac:dyDescent="0.25">
      <c r="A289" s="16"/>
      <c r="B289" s="16"/>
      <c r="C289" s="16"/>
      <c r="D289" s="16"/>
      <c r="E289" s="16"/>
      <c r="F289" s="16"/>
      <c r="G289" s="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6"/>
      <c r="AD289" s="8"/>
      <c r="AE289" s="16"/>
      <c r="AF289" s="16"/>
      <c r="AG289" s="16"/>
      <c r="AH289" s="8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</row>
    <row r="290" spans="1:49" x14ac:dyDescent="0.25">
      <c r="A290" s="16"/>
      <c r="B290" s="16"/>
      <c r="C290" s="16"/>
      <c r="D290" s="16"/>
      <c r="E290" s="16"/>
      <c r="F290" s="16"/>
      <c r="G290" s="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6"/>
      <c r="AD290" s="8"/>
      <c r="AE290" s="16"/>
      <c r="AF290" s="16"/>
      <c r="AG290" s="16"/>
      <c r="AH290" s="8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</row>
    <row r="291" spans="1:49" x14ac:dyDescent="0.25">
      <c r="A291" s="16"/>
      <c r="B291" s="16"/>
      <c r="C291" s="16"/>
      <c r="D291" s="16"/>
      <c r="E291" s="16"/>
      <c r="F291" s="16"/>
      <c r="G291" s="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6"/>
      <c r="AD291" s="8"/>
      <c r="AE291" s="16"/>
      <c r="AF291" s="16"/>
      <c r="AG291" s="16"/>
      <c r="AH291" s="8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</row>
    <row r="292" spans="1:49" x14ac:dyDescent="0.25">
      <c r="A292" s="16"/>
      <c r="B292" s="16"/>
      <c r="C292" s="16"/>
      <c r="D292" s="16"/>
      <c r="E292" s="16"/>
      <c r="F292" s="16"/>
      <c r="G292" s="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6"/>
      <c r="AD292" s="8"/>
      <c r="AE292" s="16"/>
      <c r="AF292" s="16"/>
      <c r="AG292" s="16"/>
      <c r="AH292" s="8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</row>
    <row r="293" spans="1:49" x14ac:dyDescent="0.25">
      <c r="A293" s="16"/>
      <c r="B293" s="16"/>
      <c r="C293" s="16"/>
      <c r="D293" s="16"/>
      <c r="E293" s="16"/>
      <c r="F293" s="16"/>
      <c r="G293" s="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6"/>
      <c r="AD293" s="8"/>
      <c r="AE293" s="16"/>
      <c r="AF293" s="16"/>
      <c r="AG293" s="16"/>
      <c r="AH293" s="8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</row>
    <row r="294" spans="1:49" x14ac:dyDescent="0.25">
      <c r="A294" s="16"/>
      <c r="B294" s="16"/>
      <c r="C294" s="16"/>
      <c r="D294" s="16"/>
      <c r="E294" s="16"/>
      <c r="F294" s="16"/>
      <c r="G294" s="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6"/>
      <c r="AD294" s="8"/>
      <c r="AE294" s="16"/>
      <c r="AF294" s="16"/>
      <c r="AG294" s="16"/>
      <c r="AH294" s="8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</row>
    <row r="295" spans="1:49" x14ac:dyDescent="0.25">
      <c r="A295" s="16"/>
      <c r="B295" s="16"/>
      <c r="C295" s="16"/>
      <c r="D295" s="16"/>
      <c r="E295" s="16"/>
      <c r="F295" s="16"/>
      <c r="G295" s="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6"/>
      <c r="AD295" s="8"/>
      <c r="AE295" s="16"/>
      <c r="AF295" s="16"/>
      <c r="AG295" s="16"/>
      <c r="AH295" s="8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</row>
    <row r="296" spans="1:49" x14ac:dyDescent="0.25">
      <c r="A296" s="16"/>
      <c r="B296" s="16"/>
      <c r="C296" s="16"/>
      <c r="D296" s="16"/>
      <c r="E296" s="16"/>
      <c r="F296" s="16"/>
      <c r="G296" s="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6"/>
      <c r="AD296" s="8"/>
      <c r="AE296" s="16"/>
      <c r="AF296" s="16"/>
      <c r="AG296" s="16"/>
      <c r="AH296" s="8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</row>
    <row r="297" spans="1:49" x14ac:dyDescent="0.25">
      <c r="A297" s="16"/>
      <c r="B297" s="16"/>
      <c r="C297" s="16"/>
      <c r="D297" s="16"/>
      <c r="E297" s="16"/>
      <c r="F297" s="16"/>
      <c r="G297" s="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6"/>
      <c r="AD297" s="8"/>
      <c r="AE297" s="16"/>
      <c r="AF297" s="16"/>
      <c r="AG297" s="16"/>
      <c r="AH297" s="8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</row>
    <row r="298" spans="1:49" x14ac:dyDescent="0.25">
      <c r="A298" s="16"/>
      <c r="B298" s="16"/>
      <c r="C298" s="16"/>
      <c r="D298" s="16"/>
      <c r="E298" s="16"/>
      <c r="F298" s="16"/>
      <c r="G298" s="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6"/>
      <c r="AD298" s="8"/>
      <c r="AE298" s="16"/>
      <c r="AF298" s="16"/>
      <c r="AG298" s="16"/>
      <c r="AH298" s="8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</row>
    <row r="299" spans="1:49" x14ac:dyDescent="0.25">
      <c r="A299" s="16"/>
      <c r="B299" s="16"/>
      <c r="C299" s="16"/>
      <c r="D299" s="16"/>
      <c r="E299" s="16"/>
      <c r="F299" s="16"/>
      <c r="G299" s="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6"/>
      <c r="AD299" s="8"/>
      <c r="AE299" s="16"/>
      <c r="AF299" s="16"/>
      <c r="AG299" s="16"/>
      <c r="AH299" s="8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</row>
    <row r="300" spans="1:49" x14ac:dyDescent="0.25">
      <c r="A300" s="16"/>
      <c r="B300" s="16"/>
      <c r="C300" s="16"/>
      <c r="D300" s="16"/>
      <c r="E300" s="16"/>
      <c r="F300" s="16"/>
      <c r="G300" s="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6"/>
      <c r="AD300" s="8"/>
      <c r="AE300" s="16"/>
      <c r="AF300" s="16"/>
      <c r="AG300" s="16"/>
      <c r="AH300" s="8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</row>
    <row r="301" spans="1:49" x14ac:dyDescent="0.25">
      <c r="A301" s="16"/>
      <c r="B301" s="16"/>
      <c r="C301" s="16"/>
      <c r="D301" s="16"/>
      <c r="E301" s="16"/>
      <c r="F301" s="16"/>
      <c r="G301" s="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6"/>
      <c r="AD301" s="8"/>
      <c r="AE301" s="16"/>
      <c r="AF301" s="16"/>
      <c r="AG301" s="16"/>
      <c r="AH301" s="8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</row>
    <row r="302" spans="1:49" x14ac:dyDescent="0.25">
      <c r="A302" s="16"/>
      <c r="B302" s="16"/>
      <c r="C302" s="16"/>
      <c r="D302" s="16"/>
      <c r="E302" s="16"/>
      <c r="F302" s="16"/>
      <c r="G302" s="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6"/>
      <c r="AD302" s="8"/>
      <c r="AE302" s="16"/>
      <c r="AF302" s="16"/>
      <c r="AG302" s="16"/>
      <c r="AH302" s="8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</row>
    <row r="303" spans="1:49" x14ac:dyDescent="0.25">
      <c r="A303" s="16"/>
      <c r="B303" s="16"/>
      <c r="C303" s="16"/>
      <c r="D303" s="16"/>
      <c r="E303" s="16"/>
      <c r="F303" s="16"/>
      <c r="G303" s="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6"/>
      <c r="AD303" s="8"/>
      <c r="AE303" s="16"/>
      <c r="AF303" s="16"/>
      <c r="AG303" s="16"/>
      <c r="AH303" s="8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</row>
    <row r="304" spans="1:49" x14ac:dyDescent="0.25">
      <c r="A304" s="16"/>
      <c r="B304" s="16"/>
      <c r="C304" s="16"/>
      <c r="D304" s="16"/>
      <c r="E304" s="16"/>
      <c r="F304" s="16"/>
      <c r="G304" s="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6"/>
      <c r="AD304" s="8"/>
      <c r="AE304" s="16"/>
      <c r="AF304" s="16"/>
      <c r="AG304" s="16"/>
      <c r="AH304" s="8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</row>
    <row r="305" spans="1:49" x14ac:dyDescent="0.25">
      <c r="A305" s="16"/>
      <c r="B305" s="16"/>
      <c r="C305" s="16"/>
      <c r="D305" s="16"/>
      <c r="E305" s="16"/>
      <c r="F305" s="16"/>
      <c r="G305" s="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6"/>
      <c r="AD305" s="8"/>
      <c r="AE305" s="16"/>
      <c r="AF305" s="16"/>
      <c r="AG305" s="16"/>
      <c r="AH305" s="8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</row>
    <row r="306" spans="1:49" x14ac:dyDescent="0.25">
      <c r="A306" s="16"/>
      <c r="B306" s="16"/>
      <c r="C306" s="16"/>
      <c r="D306" s="16"/>
      <c r="E306" s="16"/>
      <c r="F306" s="16"/>
      <c r="G306" s="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6"/>
      <c r="AD306" s="8"/>
      <c r="AE306" s="16"/>
      <c r="AF306" s="16"/>
      <c r="AG306" s="16"/>
      <c r="AH306" s="8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</row>
    <row r="307" spans="1:49" x14ac:dyDescent="0.25">
      <c r="A307" s="16"/>
      <c r="B307" s="16"/>
      <c r="C307" s="16"/>
      <c r="D307" s="16"/>
      <c r="E307" s="16"/>
      <c r="F307" s="16"/>
      <c r="G307" s="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6"/>
      <c r="AD307" s="8"/>
      <c r="AE307" s="16"/>
      <c r="AF307" s="16"/>
      <c r="AG307" s="16"/>
      <c r="AH307" s="8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</row>
    <row r="308" spans="1:49" x14ac:dyDescent="0.25">
      <c r="A308" s="16"/>
      <c r="B308" s="16"/>
      <c r="C308" s="16"/>
      <c r="D308" s="16"/>
      <c r="E308" s="16"/>
      <c r="F308" s="16"/>
      <c r="G308" s="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6"/>
      <c r="AD308" s="8"/>
      <c r="AE308" s="16"/>
      <c r="AF308" s="16"/>
      <c r="AG308" s="16"/>
      <c r="AH308" s="8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</row>
    <row r="309" spans="1:49" x14ac:dyDescent="0.25">
      <c r="A309" s="16"/>
      <c r="B309" s="16"/>
      <c r="C309" s="16"/>
      <c r="D309" s="16"/>
      <c r="E309" s="16"/>
      <c r="F309" s="16"/>
      <c r="G309" s="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6"/>
      <c r="AD309" s="8"/>
      <c r="AE309" s="16"/>
      <c r="AF309" s="16"/>
      <c r="AG309" s="16"/>
      <c r="AH309" s="8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</row>
    <row r="310" spans="1:49" x14ac:dyDescent="0.25">
      <c r="A310" s="16"/>
      <c r="B310" s="16"/>
      <c r="C310" s="16"/>
      <c r="D310" s="16"/>
      <c r="E310" s="16"/>
      <c r="F310" s="16"/>
      <c r="G310" s="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6"/>
      <c r="AD310" s="8"/>
      <c r="AE310" s="16"/>
      <c r="AF310" s="16"/>
      <c r="AG310" s="16"/>
      <c r="AH310" s="8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</row>
    <row r="311" spans="1:49" x14ac:dyDescent="0.25">
      <c r="A311" s="16"/>
      <c r="B311" s="16"/>
      <c r="C311" s="16"/>
      <c r="D311" s="16"/>
      <c r="E311" s="16"/>
      <c r="F311" s="16"/>
      <c r="G311" s="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6"/>
      <c r="AD311" s="8"/>
      <c r="AE311" s="16"/>
      <c r="AF311" s="16"/>
      <c r="AG311" s="16"/>
      <c r="AH311" s="8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</row>
    <row r="312" spans="1:49" x14ac:dyDescent="0.25">
      <c r="A312" s="16"/>
      <c r="B312" s="16"/>
      <c r="C312" s="16"/>
      <c r="D312" s="16"/>
      <c r="E312" s="16"/>
      <c r="F312" s="16"/>
      <c r="G312" s="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6"/>
      <c r="AD312" s="8"/>
      <c r="AE312" s="16"/>
      <c r="AF312" s="16"/>
      <c r="AG312" s="16"/>
      <c r="AH312" s="8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</row>
    <row r="313" spans="1:49" x14ac:dyDescent="0.25">
      <c r="A313" s="16"/>
      <c r="B313" s="16"/>
      <c r="C313" s="16"/>
      <c r="D313" s="16"/>
      <c r="E313" s="16"/>
      <c r="F313" s="16"/>
      <c r="G313" s="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6"/>
      <c r="AD313" s="8"/>
      <c r="AE313" s="16"/>
      <c r="AF313" s="16"/>
      <c r="AG313" s="16"/>
      <c r="AH313" s="8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</row>
    <row r="314" spans="1:49" x14ac:dyDescent="0.25">
      <c r="A314" s="16"/>
      <c r="B314" s="16"/>
      <c r="C314" s="16"/>
      <c r="D314" s="16"/>
      <c r="E314" s="16"/>
      <c r="F314" s="16"/>
      <c r="G314" s="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6"/>
      <c r="AD314" s="8"/>
      <c r="AE314" s="16"/>
      <c r="AF314" s="16"/>
      <c r="AG314" s="16"/>
      <c r="AH314" s="8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</row>
    <row r="315" spans="1:49" x14ac:dyDescent="0.25">
      <c r="A315" s="16"/>
      <c r="B315" s="16"/>
      <c r="C315" s="16"/>
      <c r="D315" s="16"/>
      <c r="E315" s="16"/>
      <c r="F315" s="16"/>
      <c r="G315" s="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6"/>
      <c r="AD315" s="8"/>
      <c r="AE315" s="16"/>
      <c r="AF315" s="16"/>
      <c r="AG315" s="16"/>
      <c r="AH315" s="8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</row>
    <row r="316" spans="1:49" x14ac:dyDescent="0.25">
      <c r="A316" s="16"/>
      <c r="B316" s="16"/>
      <c r="C316" s="16"/>
      <c r="D316" s="16"/>
      <c r="E316" s="16"/>
      <c r="F316" s="16"/>
      <c r="G316" s="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6"/>
      <c r="AD316" s="8"/>
      <c r="AE316" s="16"/>
      <c r="AF316" s="16"/>
      <c r="AG316" s="16"/>
      <c r="AH316" s="8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</row>
    <row r="317" spans="1:49" x14ac:dyDescent="0.25">
      <c r="A317" s="16"/>
      <c r="B317" s="16"/>
      <c r="C317" s="16"/>
      <c r="D317" s="16"/>
      <c r="E317" s="16"/>
      <c r="F317" s="16"/>
      <c r="G317" s="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6"/>
      <c r="AD317" s="8"/>
      <c r="AE317" s="16"/>
      <c r="AF317" s="16"/>
      <c r="AG317" s="16"/>
      <c r="AH317" s="8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</row>
    <row r="318" spans="1:49" x14ac:dyDescent="0.25">
      <c r="A318" s="16"/>
      <c r="B318" s="16"/>
      <c r="C318" s="16"/>
      <c r="D318" s="16"/>
      <c r="E318" s="16"/>
      <c r="F318" s="16"/>
      <c r="G318" s="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6"/>
      <c r="AD318" s="8"/>
      <c r="AE318" s="16"/>
      <c r="AF318" s="16"/>
      <c r="AG318" s="16"/>
      <c r="AH318" s="8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</row>
    <row r="319" spans="1:49" x14ac:dyDescent="0.25">
      <c r="A319" s="16"/>
      <c r="B319" s="16"/>
      <c r="C319" s="16"/>
      <c r="D319" s="16"/>
      <c r="E319" s="16"/>
      <c r="F319" s="16"/>
      <c r="G319" s="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6"/>
      <c r="AD319" s="8"/>
      <c r="AE319" s="16"/>
      <c r="AF319" s="16"/>
      <c r="AG319" s="16"/>
      <c r="AH319" s="8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</row>
    <row r="320" spans="1:49" x14ac:dyDescent="0.25">
      <c r="A320" s="16"/>
      <c r="B320" s="16"/>
      <c r="C320" s="16"/>
      <c r="D320" s="16"/>
      <c r="E320" s="16"/>
      <c r="F320" s="16"/>
      <c r="G320" s="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6"/>
      <c r="AD320" s="8"/>
      <c r="AE320" s="16"/>
      <c r="AF320" s="16"/>
      <c r="AG320" s="16"/>
      <c r="AH320" s="8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</row>
    <row r="321" spans="1:49" x14ac:dyDescent="0.25">
      <c r="A321" s="16"/>
      <c r="B321" s="16"/>
      <c r="C321" s="16"/>
      <c r="D321" s="16"/>
      <c r="E321" s="16"/>
      <c r="F321" s="16"/>
      <c r="G321" s="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6"/>
      <c r="AD321" s="8"/>
      <c r="AE321" s="16"/>
      <c r="AF321" s="16"/>
      <c r="AG321" s="16"/>
      <c r="AH321" s="8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</row>
    <row r="322" spans="1:49" x14ac:dyDescent="0.25">
      <c r="A322" s="16"/>
      <c r="B322" s="16"/>
      <c r="C322" s="16"/>
      <c r="D322" s="16"/>
      <c r="E322" s="16"/>
      <c r="F322" s="16"/>
      <c r="G322" s="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6"/>
      <c r="AD322" s="8"/>
      <c r="AE322" s="16"/>
      <c r="AF322" s="16"/>
      <c r="AG322" s="16"/>
      <c r="AH322" s="8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</row>
    <row r="323" spans="1:49" x14ac:dyDescent="0.25">
      <c r="A323" s="16"/>
      <c r="B323" s="16"/>
      <c r="C323" s="16"/>
      <c r="D323" s="16"/>
      <c r="E323" s="16"/>
      <c r="F323" s="16"/>
      <c r="G323" s="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6"/>
      <c r="AD323" s="8"/>
      <c r="AE323" s="16"/>
      <c r="AF323" s="16"/>
      <c r="AG323" s="16"/>
      <c r="AH323" s="8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</row>
    <row r="324" spans="1:49" x14ac:dyDescent="0.25">
      <c r="A324" s="16"/>
      <c r="B324" s="16"/>
      <c r="C324" s="16"/>
      <c r="D324" s="16"/>
      <c r="E324" s="16"/>
      <c r="F324" s="16"/>
      <c r="G324" s="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6"/>
      <c r="AD324" s="8"/>
      <c r="AE324" s="16"/>
      <c r="AF324" s="16"/>
      <c r="AG324" s="16"/>
      <c r="AH324" s="8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</row>
    <row r="325" spans="1:49" x14ac:dyDescent="0.25">
      <c r="A325" s="16"/>
      <c r="B325" s="16"/>
      <c r="C325" s="16"/>
      <c r="D325" s="16"/>
      <c r="E325" s="16"/>
      <c r="F325" s="16"/>
      <c r="G325" s="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6"/>
      <c r="AD325" s="8"/>
      <c r="AE325" s="16"/>
      <c r="AF325" s="16"/>
      <c r="AG325" s="16"/>
      <c r="AH325" s="8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</row>
    <row r="326" spans="1:49" x14ac:dyDescent="0.25">
      <c r="A326" s="16"/>
      <c r="B326" s="16"/>
      <c r="C326" s="16"/>
      <c r="D326" s="16"/>
      <c r="E326" s="16"/>
      <c r="F326" s="16"/>
      <c r="G326" s="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6"/>
      <c r="AD326" s="8"/>
      <c r="AE326" s="16"/>
      <c r="AF326" s="16"/>
      <c r="AG326" s="16"/>
      <c r="AH326" s="8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</row>
    <row r="327" spans="1:49" x14ac:dyDescent="0.25">
      <c r="A327" s="16"/>
      <c r="B327" s="16"/>
      <c r="C327" s="16"/>
      <c r="D327" s="16"/>
      <c r="E327" s="16"/>
      <c r="F327" s="16"/>
      <c r="G327" s="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6"/>
      <c r="AD327" s="8"/>
      <c r="AE327" s="16"/>
      <c r="AF327" s="16"/>
      <c r="AG327" s="16"/>
      <c r="AH327" s="8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</row>
    <row r="328" spans="1:49" x14ac:dyDescent="0.25">
      <c r="A328" s="16"/>
      <c r="B328" s="16"/>
      <c r="C328" s="16"/>
      <c r="D328" s="16"/>
      <c r="E328" s="16"/>
      <c r="F328" s="16"/>
      <c r="G328" s="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6"/>
      <c r="AD328" s="8"/>
      <c r="AE328" s="16"/>
      <c r="AF328" s="16"/>
      <c r="AG328" s="16"/>
      <c r="AH328" s="8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</row>
    <row r="329" spans="1:49" x14ac:dyDescent="0.25">
      <c r="A329" s="16"/>
      <c r="B329" s="16"/>
      <c r="C329" s="16"/>
      <c r="D329" s="16"/>
      <c r="E329" s="16"/>
      <c r="F329" s="16"/>
      <c r="G329" s="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6"/>
      <c r="AD329" s="8"/>
      <c r="AE329" s="16"/>
      <c r="AF329" s="16"/>
      <c r="AG329" s="16"/>
      <c r="AH329" s="8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</row>
    <row r="330" spans="1:49" x14ac:dyDescent="0.25">
      <c r="A330" s="16"/>
      <c r="B330" s="16"/>
      <c r="C330" s="16"/>
      <c r="D330" s="16"/>
      <c r="E330" s="16"/>
      <c r="F330" s="16"/>
      <c r="G330" s="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6"/>
      <c r="AD330" s="8"/>
      <c r="AE330" s="16"/>
      <c r="AF330" s="16"/>
      <c r="AG330" s="16"/>
      <c r="AH330" s="8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</row>
    <row r="331" spans="1:49" x14ac:dyDescent="0.25">
      <c r="A331" s="16"/>
      <c r="B331" s="16"/>
      <c r="C331" s="16"/>
      <c r="D331" s="16"/>
      <c r="E331" s="16"/>
      <c r="F331" s="16"/>
      <c r="G331" s="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6"/>
      <c r="AD331" s="8"/>
      <c r="AE331" s="16"/>
      <c r="AF331" s="16"/>
      <c r="AG331" s="16"/>
      <c r="AH331" s="8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</row>
    <row r="332" spans="1:49" x14ac:dyDescent="0.25">
      <c r="A332" s="16"/>
      <c r="B332" s="16"/>
      <c r="C332" s="16"/>
      <c r="D332" s="16"/>
      <c r="E332" s="16"/>
      <c r="F332" s="16"/>
      <c r="G332" s="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6"/>
      <c r="AD332" s="8"/>
      <c r="AE332" s="16"/>
      <c r="AF332" s="16"/>
      <c r="AG332" s="16"/>
      <c r="AH332" s="8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</row>
    <row r="333" spans="1:49" x14ac:dyDescent="0.25">
      <c r="A333" s="16"/>
      <c r="B333" s="16"/>
      <c r="C333" s="16"/>
      <c r="D333" s="16"/>
      <c r="E333" s="16"/>
      <c r="F333" s="16"/>
      <c r="G333" s="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6"/>
      <c r="AD333" s="8"/>
      <c r="AE333" s="16"/>
      <c r="AF333" s="16"/>
      <c r="AG333" s="16"/>
      <c r="AH333" s="8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</row>
    <row r="334" spans="1:49" x14ac:dyDescent="0.25">
      <c r="A334" s="16"/>
      <c r="B334" s="16"/>
      <c r="C334" s="16"/>
      <c r="D334" s="16"/>
      <c r="E334" s="16"/>
      <c r="F334" s="16"/>
      <c r="G334" s="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6"/>
      <c r="AD334" s="8"/>
      <c r="AE334" s="16"/>
      <c r="AF334" s="16"/>
      <c r="AG334" s="16"/>
      <c r="AH334" s="8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</row>
    <row r="335" spans="1:49" x14ac:dyDescent="0.25">
      <c r="A335" s="16"/>
      <c r="B335" s="16"/>
      <c r="C335" s="16"/>
      <c r="D335" s="16"/>
      <c r="E335" s="16"/>
      <c r="F335" s="16"/>
      <c r="G335" s="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6"/>
      <c r="AD335" s="8"/>
      <c r="AE335" s="16"/>
      <c r="AF335" s="16"/>
      <c r="AG335" s="16"/>
      <c r="AH335" s="8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</row>
    <row r="336" spans="1:49" x14ac:dyDescent="0.25">
      <c r="A336" s="16"/>
      <c r="B336" s="16"/>
      <c r="C336" s="16"/>
      <c r="D336" s="16"/>
      <c r="E336" s="16"/>
      <c r="F336" s="16"/>
      <c r="G336" s="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6"/>
      <c r="AD336" s="8"/>
      <c r="AE336" s="16"/>
      <c r="AF336" s="16"/>
      <c r="AG336" s="16"/>
      <c r="AH336" s="8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</row>
    <row r="337" spans="1:49" x14ac:dyDescent="0.25">
      <c r="A337" s="16"/>
      <c r="B337" s="16"/>
      <c r="C337" s="16"/>
      <c r="D337" s="16"/>
      <c r="E337" s="16"/>
      <c r="F337" s="16"/>
      <c r="G337" s="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6"/>
      <c r="AD337" s="8"/>
      <c r="AE337" s="16"/>
      <c r="AF337" s="16"/>
      <c r="AG337" s="16"/>
      <c r="AH337" s="8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</row>
    <row r="338" spans="1:49" x14ac:dyDescent="0.25">
      <c r="A338" s="16"/>
      <c r="B338" s="16"/>
      <c r="C338" s="16"/>
      <c r="D338" s="16"/>
      <c r="E338" s="16"/>
      <c r="F338" s="16"/>
      <c r="G338" s="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6"/>
      <c r="AD338" s="8"/>
      <c r="AE338" s="16"/>
      <c r="AF338" s="16"/>
      <c r="AG338" s="16"/>
      <c r="AH338" s="8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</row>
    <row r="339" spans="1:49" x14ac:dyDescent="0.25">
      <c r="A339" s="16"/>
      <c r="B339" s="16"/>
      <c r="C339" s="16"/>
      <c r="D339" s="16"/>
      <c r="E339" s="16"/>
      <c r="F339" s="16"/>
      <c r="G339" s="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6"/>
      <c r="AD339" s="8"/>
      <c r="AE339" s="16"/>
      <c r="AF339" s="16"/>
      <c r="AG339" s="16"/>
      <c r="AH339" s="8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</row>
    <row r="340" spans="1:49" x14ac:dyDescent="0.25">
      <c r="A340" s="16"/>
      <c r="B340" s="16"/>
      <c r="C340" s="16"/>
      <c r="D340" s="16"/>
      <c r="E340" s="16"/>
      <c r="F340" s="16"/>
      <c r="G340" s="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6"/>
      <c r="AD340" s="8"/>
      <c r="AE340" s="16"/>
      <c r="AF340" s="16"/>
      <c r="AG340" s="16"/>
      <c r="AH340" s="8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</row>
    <row r="341" spans="1:49" x14ac:dyDescent="0.25">
      <c r="A341" s="16"/>
      <c r="B341" s="16"/>
      <c r="C341" s="16"/>
      <c r="D341" s="16"/>
      <c r="E341" s="16"/>
      <c r="F341" s="16"/>
      <c r="G341" s="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6"/>
      <c r="AD341" s="8"/>
      <c r="AE341" s="16"/>
      <c r="AF341" s="16"/>
      <c r="AG341" s="16"/>
      <c r="AH341" s="8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</row>
    <row r="342" spans="1:49" x14ac:dyDescent="0.25">
      <c r="A342" s="16"/>
      <c r="B342" s="16"/>
      <c r="C342" s="16"/>
      <c r="D342" s="16"/>
      <c r="E342" s="16"/>
      <c r="F342" s="16"/>
      <c r="G342" s="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6"/>
      <c r="AD342" s="8"/>
      <c r="AE342" s="16"/>
      <c r="AF342" s="16"/>
      <c r="AG342" s="16"/>
      <c r="AH342" s="8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</row>
    <row r="343" spans="1:49" x14ac:dyDescent="0.25">
      <c r="A343" s="16"/>
      <c r="B343" s="16"/>
      <c r="C343" s="16"/>
      <c r="D343" s="16"/>
      <c r="E343" s="16"/>
      <c r="F343" s="16"/>
      <c r="G343" s="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6"/>
      <c r="AD343" s="8"/>
      <c r="AE343" s="16"/>
      <c r="AF343" s="16"/>
      <c r="AG343" s="16"/>
      <c r="AH343" s="8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</row>
    <row r="344" spans="1:49" x14ac:dyDescent="0.25">
      <c r="A344" s="16"/>
      <c r="B344" s="16"/>
      <c r="C344" s="16"/>
      <c r="D344" s="16"/>
      <c r="E344" s="16"/>
      <c r="F344" s="16"/>
      <c r="G344" s="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6"/>
      <c r="AD344" s="8"/>
      <c r="AE344" s="16"/>
      <c r="AF344" s="16"/>
      <c r="AG344" s="16"/>
      <c r="AH344" s="8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</row>
    <row r="345" spans="1:49" x14ac:dyDescent="0.25">
      <c r="A345" s="16"/>
      <c r="B345" s="16"/>
      <c r="C345" s="16"/>
      <c r="D345" s="16"/>
      <c r="E345" s="16"/>
      <c r="F345" s="16"/>
      <c r="G345" s="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6"/>
      <c r="AD345" s="8"/>
      <c r="AE345" s="16"/>
      <c r="AF345" s="16"/>
      <c r="AG345" s="16"/>
      <c r="AH345" s="8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</row>
    <row r="346" spans="1:49" x14ac:dyDescent="0.25">
      <c r="A346" s="16"/>
      <c r="B346" s="16"/>
      <c r="C346" s="16"/>
      <c r="D346" s="16"/>
      <c r="E346" s="16"/>
      <c r="F346" s="16"/>
      <c r="G346" s="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6"/>
      <c r="AD346" s="8"/>
      <c r="AE346" s="16"/>
      <c r="AF346" s="16"/>
      <c r="AG346" s="16"/>
      <c r="AH346" s="8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</row>
    <row r="347" spans="1:49" x14ac:dyDescent="0.25">
      <c r="A347" s="16"/>
      <c r="B347" s="16"/>
      <c r="C347" s="16"/>
      <c r="D347" s="16"/>
      <c r="E347" s="16"/>
      <c r="F347" s="16"/>
      <c r="G347" s="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6"/>
      <c r="AD347" s="8"/>
      <c r="AE347" s="16"/>
      <c r="AF347" s="16"/>
      <c r="AG347" s="16"/>
      <c r="AH347" s="8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</row>
    <row r="348" spans="1:49" x14ac:dyDescent="0.25">
      <c r="A348" s="16"/>
      <c r="B348" s="16"/>
      <c r="C348" s="16"/>
      <c r="D348" s="16"/>
      <c r="E348" s="16"/>
      <c r="F348" s="16"/>
      <c r="G348" s="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6"/>
      <c r="AD348" s="8"/>
      <c r="AE348" s="16"/>
      <c r="AF348" s="16"/>
      <c r="AG348" s="16"/>
      <c r="AH348" s="8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</row>
    <row r="349" spans="1:49" x14ac:dyDescent="0.25">
      <c r="A349" s="16"/>
      <c r="B349" s="16"/>
      <c r="C349" s="16"/>
      <c r="D349" s="16"/>
      <c r="E349" s="16"/>
      <c r="F349" s="16"/>
      <c r="G349" s="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6"/>
      <c r="AD349" s="8"/>
      <c r="AE349" s="16"/>
      <c r="AF349" s="16"/>
      <c r="AG349" s="16"/>
      <c r="AH349" s="8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</row>
    <row r="350" spans="1:49" x14ac:dyDescent="0.25">
      <c r="A350" s="16"/>
      <c r="B350" s="16"/>
      <c r="C350" s="16"/>
      <c r="D350" s="16"/>
      <c r="E350" s="16"/>
      <c r="F350" s="16"/>
      <c r="G350" s="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6"/>
      <c r="AD350" s="8"/>
      <c r="AE350" s="16"/>
      <c r="AF350" s="16"/>
      <c r="AG350" s="16"/>
      <c r="AH350" s="8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</row>
    <row r="351" spans="1:49" x14ac:dyDescent="0.25">
      <c r="A351" s="16"/>
      <c r="B351" s="16"/>
      <c r="C351" s="16"/>
      <c r="D351" s="16"/>
      <c r="E351" s="16"/>
      <c r="F351" s="16"/>
      <c r="G351" s="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6"/>
      <c r="AD351" s="8"/>
      <c r="AE351" s="16"/>
      <c r="AF351" s="16"/>
      <c r="AG351" s="16"/>
      <c r="AH351" s="8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</row>
    <row r="352" spans="1:49" x14ac:dyDescent="0.25">
      <c r="A352" s="16"/>
      <c r="B352" s="16"/>
      <c r="C352" s="16"/>
      <c r="D352" s="16"/>
      <c r="E352" s="16"/>
      <c r="F352" s="16"/>
      <c r="G352" s="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6"/>
      <c r="AD352" s="8"/>
      <c r="AE352" s="16"/>
      <c r="AF352" s="16"/>
      <c r="AG352" s="16"/>
      <c r="AH352" s="8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</row>
    <row r="353" spans="1:49" x14ac:dyDescent="0.25">
      <c r="A353" s="16"/>
      <c r="B353" s="16"/>
      <c r="C353" s="16"/>
      <c r="D353" s="16"/>
      <c r="E353" s="16"/>
      <c r="F353" s="16"/>
      <c r="G353" s="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6"/>
      <c r="AD353" s="8"/>
      <c r="AE353" s="16"/>
      <c r="AF353" s="16"/>
      <c r="AG353" s="16"/>
      <c r="AH353" s="8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</row>
    <row r="354" spans="1:49" x14ac:dyDescent="0.25">
      <c r="A354" s="16"/>
      <c r="B354" s="16"/>
      <c r="C354" s="16"/>
      <c r="D354" s="16"/>
      <c r="E354" s="16"/>
      <c r="F354" s="16"/>
      <c r="G354" s="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6"/>
      <c r="AD354" s="8"/>
      <c r="AE354" s="16"/>
      <c r="AF354" s="16"/>
      <c r="AG354" s="16"/>
      <c r="AH354" s="8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</row>
    <row r="355" spans="1:49" x14ac:dyDescent="0.25">
      <c r="A355" s="16"/>
      <c r="B355" s="16"/>
      <c r="C355" s="16"/>
      <c r="D355" s="16"/>
      <c r="E355" s="16"/>
      <c r="F355" s="16"/>
      <c r="G355" s="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6"/>
      <c r="AD355" s="8"/>
      <c r="AE355" s="16"/>
      <c r="AF355" s="16"/>
      <c r="AG355" s="16"/>
      <c r="AH355" s="8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</row>
    <row r="356" spans="1:49" x14ac:dyDescent="0.25">
      <c r="A356" s="16"/>
      <c r="B356" s="16"/>
      <c r="C356" s="16"/>
      <c r="D356" s="16"/>
      <c r="E356" s="16"/>
      <c r="F356" s="16"/>
      <c r="G356" s="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6"/>
      <c r="AD356" s="8"/>
      <c r="AE356" s="16"/>
      <c r="AF356" s="16"/>
      <c r="AG356" s="16"/>
      <c r="AH356" s="8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</row>
    <row r="357" spans="1:49" x14ac:dyDescent="0.25">
      <c r="A357" s="16"/>
      <c r="B357" s="16"/>
      <c r="C357" s="16"/>
      <c r="D357" s="16"/>
      <c r="E357" s="16"/>
      <c r="F357" s="16"/>
      <c r="G357" s="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6"/>
      <c r="AD357" s="8"/>
      <c r="AE357" s="16"/>
      <c r="AF357" s="16"/>
      <c r="AG357" s="16"/>
      <c r="AH357" s="8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</row>
    <row r="358" spans="1:49" x14ac:dyDescent="0.25">
      <c r="A358" s="16"/>
      <c r="B358" s="16"/>
      <c r="C358" s="16"/>
      <c r="D358" s="16"/>
      <c r="E358" s="16"/>
      <c r="F358" s="16"/>
      <c r="G358" s="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6"/>
      <c r="AD358" s="8"/>
      <c r="AE358" s="16"/>
      <c r="AF358" s="16"/>
      <c r="AG358" s="16"/>
      <c r="AH358" s="8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</row>
    <row r="359" spans="1:49" x14ac:dyDescent="0.25">
      <c r="A359" s="16"/>
      <c r="B359" s="16"/>
      <c r="C359" s="16"/>
      <c r="D359" s="16"/>
      <c r="E359" s="16"/>
      <c r="F359" s="16"/>
      <c r="G359" s="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6"/>
      <c r="AD359" s="8"/>
      <c r="AE359" s="16"/>
      <c r="AF359" s="16"/>
      <c r="AG359" s="16"/>
      <c r="AH359" s="8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</row>
    <row r="360" spans="1:49" x14ac:dyDescent="0.25">
      <c r="A360" s="16"/>
      <c r="B360" s="16"/>
      <c r="C360" s="16"/>
      <c r="D360" s="16"/>
      <c r="E360" s="16"/>
      <c r="F360" s="16"/>
      <c r="G360" s="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6"/>
      <c r="AD360" s="8"/>
      <c r="AE360" s="16"/>
      <c r="AF360" s="16"/>
      <c r="AG360" s="16"/>
      <c r="AH360" s="8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</row>
    <row r="361" spans="1:49" x14ac:dyDescent="0.25">
      <c r="A361" s="16"/>
      <c r="B361" s="16"/>
      <c r="C361" s="16"/>
      <c r="D361" s="16"/>
      <c r="E361" s="16"/>
      <c r="F361" s="16"/>
      <c r="G361" s="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6"/>
      <c r="AD361" s="8"/>
      <c r="AE361" s="16"/>
      <c r="AF361" s="16"/>
      <c r="AG361" s="16"/>
      <c r="AH361" s="8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</row>
    <row r="362" spans="1:49" x14ac:dyDescent="0.25">
      <c r="A362" s="16"/>
      <c r="B362" s="16"/>
      <c r="C362" s="16"/>
      <c r="D362" s="16"/>
      <c r="E362" s="16"/>
      <c r="F362" s="16"/>
      <c r="G362" s="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6"/>
      <c r="AD362" s="8"/>
      <c r="AE362" s="16"/>
      <c r="AF362" s="16"/>
      <c r="AG362" s="16"/>
      <c r="AH362" s="8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</row>
    <row r="363" spans="1:49" x14ac:dyDescent="0.25">
      <c r="A363" s="16"/>
      <c r="B363" s="16"/>
      <c r="C363" s="16"/>
      <c r="D363" s="16"/>
      <c r="E363" s="16"/>
      <c r="F363" s="16"/>
      <c r="G363" s="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6"/>
      <c r="AD363" s="8"/>
      <c r="AE363" s="16"/>
      <c r="AF363" s="16"/>
      <c r="AG363" s="16"/>
      <c r="AH363" s="8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</row>
    <row r="364" spans="1:49" x14ac:dyDescent="0.25">
      <c r="A364" s="16"/>
      <c r="B364" s="16"/>
      <c r="C364" s="16"/>
      <c r="D364" s="16"/>
      <c r="E364" s="16"/>
      <c r="F364" s="16"/>
      <c r="G364" s="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6"/>
      <c r="AD364" s="8"/>
      <c r="AE364" s="16"/>
      <c r="AF364" s="16"/>
      <c r="AG364" s="16"/>
      <c r="AH364" s="8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</row>
    <row r="365" spans="1:49" x14ac:dyDescent="0.25">
      <c r="A365" s="16"/>
      <c r="B365" s="16"/>
      <c r="C365" s="16"/>
      <c r="D365" s="16"/>
      <c r="E365" s="16"/>
      <c r="F365" s="16"/>
      <c r="G365" s="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6"/>
      <c r="AD365" s="8"/>
      <c r="AE365" s="16"/>
      <c r="AF365" s="16"/>
      <c r="AG365" s="16"/>
      <c r="AH365" s="8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</row>
    <row r="366" spans="1:49" x14ac:dyDescent="0.25">
      <c r="A366" s="16"/>
      <c r="B366" s="16"/>
      <c r="C366" s="16"/>
      <c r="D366" s="16"/>
      <c r="E366" s="16"/>
      <c r="F366" s="16"/>
      <c r="G366" s="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6"/>
      <c r="AD366" s="8"/>
      <c r="AE366" s="16"/>
      <c r="AF366" s="16"/>
      <c r="AG366" s="16"/>
      <c r="AH366" s="8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</row>
    <row r="367" spans="1:49" x14ac:dyDescent="0.25">
      <c r="A367" s="16"/>
      <c r="B367" s="16"/>
      <c r="C367" s="16"/>
      <c r="D367" s="16"/>
      <c r="E367" s="16"/>
      <c r="F367" s="16"/>
      <c r="G367" s="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6"/>
      <c r="AD367" s="8"/>
      <c r="AE367" s="16"/>
      <c r="AF367" s="16"/>
      <c r="AG367" s="16"/>
      <c r="AH367" s="8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</row>
    <row r="368" spans="1:49" x14ac:dyDescent="0.25">
      <c r="A368" s="16"/>
      <c r="B368" s="16"/>
      <c r="C368" s="16"/>
      <c r="D368" s="16"/>
      <c r="E368" s="16"/>
      <c r="F368" s="16"/>
      <c r="G368" s="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6"/>
      <c r="AD368" s="8"/>
      <c r="AE368" s="16"/>
      <c r="AF368" s="16"/>
      <c r="AG368" s="16"/>
      <c r="AH368" s="8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</row>
    <row r="369" spans="1:49" x14ac:dyDescent="0.25">
      <c r="A369" s="16"/>
      <c r="B369" s="16"/>
      <c r="C369" s="16"/>
      <c r="D369" s="16"/>
      <c r="E369" s="16"/>
      <c r="F369" s="16"/>
      <c r="G369" s="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6"/>
      <c r="AD369" s="8"/>
      <c r="AE369" s="16"/>
      <c r="AF369" s="16"/>
      <c r="AG369" s="16"/>
      <c r="AH369" s="8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</row>
    <row r="370" spans="1:49" x14ac:dyDescent="0.25">
      <c r="A370" s="16"/>
      <c r="B370" s="16"/>
      <c r="C370" s="16"/>
      <c r="D370" s="16"/>
      <c r="E370" s="16"/>
      <c r="F370" s="16"/>
      <c r="G370" s="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6"/>
      <c r="AD370" s="8"/>
      <c r="AE370" s="16"/>
      <c r="AF370" s="16"/>
      <c r="AG370" s="16"/>
      <c r="AH370" s="8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</row>
    <row r="371" spans="1:49" x14ac:dyDescent="0.25">
      <c r="A371" s="16"/>
      <c r="B371" s="16"/>
      <c r="C371" s="16"/>
      <c r="D371" s="16"/>
      <c r="E371" s="16"/>
      <c r="F371" s="16"/>
      <c r="G371" s="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6"/>
      <c r="AD371" s="8"/>
      <c r="AE371" s="16"/>
      <c r="AF371" s="16"/>
      <c r="AG371" s="16"/>
      <c r="AH371" s="8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</row>
    <row r="372" spans="1:49" x14ac:dyDescent="0.25">
      <c r="A372" s="16"/>
      <c r="B372" s="16"/>
      <c r="C372" s="16"/>
      <c r="D372" s="16"/>
      <c r="E372" s="16"/>
      <c r="F372" s="16"/>
      <c r="G372" s="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6"/>
      <c r="AD372" s="8"/>
      <c r="AE372" s="16"/>
      <c r="AF372" s="16"/>
      <c r="AG372" s="16"/>
      <c r="AH372" s="8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</row>
    <row r="373" spans="1:49" x14ac:dyDescent="0.25">
      <c r="A373" s="16"/>
      <c r="B373" s="16"/>
      <c r="C373" s="16"/>
      <c r="D373" s="16"/>
      <c r="E373" s="16"/>
      <c r="F373" s="16"/>
      <c r="G373" s="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6"/>
      <c r="AD373" s="8"/>
      <c r="AE373" s="16"/>
      <c r="AF373" s="16"/>
      <c r="AG373" s="16"/>
      <c r="AH373" s="8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</row>
    <row r="374" spans="1:49" x14ac:dyDescent="0.25">
      <c r="A374" s="16"/>
      <c r="B374" s="16"/>
      <c r="C374" s="16"/>
      <c r="D374" s="16"/>
      <c r="E374" s="16"/>
      <c r="F374" s="16"/>
      <c r="G374" s="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6"/>
      <c r="AD374" s="8"/>
      <c r="AE374" s="16"/>
      <c r="AF374" s="16"/>
      <c r="AG374" s="16"/>
      <c r="AH374" s="8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</row>
    <row r="375" spans="1:49" x14ac:dyDescent="0.25">
      <c r="A375" s="16"/>
      <c r="B375" s="16"/>
      <c r="C375" s="16"/>
      <c r="D375" s="16"/>
      <c r="E375" s="16"/>
      <c r="F375" s="16"/>
      <c r="G375" s="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6"/>
      <c r="AD375" s="8"/>
      <c r="AE375" s="16"/>
      <c r="AF375" s="16"/>
      <c r="AG375" s="16"/>
      <c r="AH375" s="8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</row>
    <row r="376" spans="1:49" x14ac:dyDescent="0.25">
      <c r="A376" s="16"/>
      <c r="B376" s="16"/>
      <c r="C376" s="16"/>
      <c r="D376" s="16"/>
      <c r="E376" s="16"/>
      <c r="F376" s="16"/>
      <c r="G376" s="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6"/>
      <c r="AD376" s="8"/>
      <c r="AE376" s="16"/>
      <c r="AF376" s="16"/>
      <c r="AG376" s="16"/>
      <c r="AH376" s="8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</row>
    <row r="377" spans="1:49" x14ac:dyDescent="0.25">
      <c r="A377" s="16"/>
      <c r="B377" s="16"/>
      <c r="C377" s="16"/>
      <c r="D377" s="16"/>
      <c r="E377" s="16"/>
      <c r="F377" s="16"/>
      <c r="G377" s="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6"/>
      <c r="AD377" s="8"/>
      <c r="AE377" s="16"/>
      <c r="AF377" s="16"/>
      <c r="AG377" s="16"/>
      <c r="AH377" s="8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</row>
    <row r="378" spans="1:49" x14ac:dyDescent="0.25">
      <c r="A378" s="16"/>
      <c r="B378" s="16"/>
      <c r="C378" s="16"/>
      <c r="D378" s="16"/>
      <c r="E378" s="16"/>
      <c r="F378" s="16"/>
      <c r="G378" s="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6"/>
      <c r="AD378" s="8"/>
      <c r="AE378" s="16"/>
      <c r="AF378" s="16"/>
      <c r="AG378" s="16"/>
      <c r="AH378" s="8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</row>
    <row r="379" spans="1:49" x14ac:dyDescent="0.25">
      <c r="A379" s="16"/>
      <c r="B379" s="16"/>
      <c r="C379" s="16"/>
      <c r="D379" s="16"/>
      <c r="E379" s="16"/>
      <c r="F379" s="16"/>
      <c r="G379" s="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6"/>
      <c r="AD379" s="8"/>
      <c r="AE379" s="16"/>
      <c r="AF379" s="16"/>
      <c r="AG379" s="16"/>
      <c r="AH379" s="8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</row>
    <row r="380" spans="1:49" x14ac:dyDescent="0.25">
      <c r="A380" s="16"/>
      <c r="B380" s="16"/>
      <c r="C380" s="16"/>
      <c r="D380" s="16"/>
      <c r="E380" s="16"/>
      <c r="F380" s="16"/>
      <c r="G380" s="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6"/>
      <c r="AD380" s="8"/>
      <c r="AE380" s="16"/>
      <c r="AF380" s="16"/>
      <c r="AG380" s="16"/>
      <c r="AH380" s="8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</row>
    <row r="381" spans="1:49" x14ac:dyDescent="0.25">
      <c r="A381" s="16"/>
      <c r="B381" s="16"/>
      <c r="C381" s="16"/>
      <c r="D381" s="16"/>
      <c r="E381" s="16"/>
      <c r="F381" s="16"/>
      <c r="G381" s="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6"/>
      <c r="AD381" s="8"/>
      <c r="AE381" s="16"/>
      <c r="AF381" s="16"/>
      <c r="AG381" s="16"/>
      <c r="AH381" s="8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</row>
    <row r="382" spans="1:49" x14ac:dyDescent="0.25">
      <c r="A382" s="16"/>
      <c r="B382" s="16"/>
      <c r="C382" s="16"/>
      <c r="D382" s="16"/>
      <c r="E382" s="16"/>
      <c r="F382" s="16"/>
      <c r="G382" s="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6"/>
      <c r="AD382" s="8"/>
      <c r="AE382" s="16"/>
      <c r="AF382" s="16"/>
      <c r="AG382" s="16"/>
      <c r="AH382" s="8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</row>
    <row r="383" spans="1:49" x14ac:dyDescent="0.25">
      <c r="A383" s="16"/>
      <c r="B383" s="16"/>
      <c r="C383" s="16"/>
      <c r="D383" s="16"/>
      <c r="E383" s="16"/>
      <c r="F383" s="16"/>
      <c r="G383" s="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6"/>
      <c r="AD383" s="8"/>
      <c r="AE383" s="16"/>
      <c r="AF383" s="16"/>
      <c r="AG383" s="16"/>
      <c r="AH383" s="8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</row>
    <row r="384" spans="1:49" x14ac:dyDescent="0.25">
      <c r="A384" s="16"/>
      <c r="B384" s="16"/>
      <c r="C384" s="16"/>
      <c r="D384" s="16"/>
      <c r="E384" s="16"/>
      <c r="F384" s="16"/>
      <c r="G384" s="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6"/>
      <c r="AD384" s="8"/>
      <c r="AE384" s="16"/>
      <c r="AF384" s="16"/>
      <c r="AG384" s="16"/>
      <c r="AH384" s="8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</row>
    <row r="385" spans="1:49" x14ac:dyDescent="0.25">
      <c r="A385" s="16"/>
      <c r="B385" s="16"/>
      <c r="C385" s="16"/>
      <c r="D385" s="16"/>
      <c r="E385" s="16"/>
      <c r="F385" s="16"/>
      <c r="G385" s="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6"/>
      <c r="AD385" s="8"/>
      <c r="AE385" s="16"/>
      <c r="AF385" s="16"/>
      <c r="AG385" s="16"/>
      <c r="AH385" s="8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</row>
    <row r="386" spans="1:49" x14ac:dyDescent="0.25">
      <c r="A386" s="16"/>
      <c r="B386" s="16"/>
      <c r="C386" s="16"/>
      <c r="D386" s="16"/>
      <c r="E386" s="16"/>
      <c r="F386" s="16"/>
      <c r="G386" s="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6"/>
      <c r="AD386" s="8"/>
      <c r="AE386" s="16"/>
      <c r="AF386" s="16"/>
      <c r="AG386" s="16"/>
      <c r="AH386" s="8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</row>
    <row r="387" spans="1:49" x14ac:dyDescent="0.25">
      <c r="A387" s="16"/>
      <c r="B387" s="16"/>
      <c r="C387" s="16"/>
      <c r="D387" s="16"/>
      <c r="E387" s="16"/>
      <c r="F387" s="16"/>
      <c r="G387" s="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6"/>
      <c r="AD387" s="8"/>
      <c r="AE387" s="16"/>
      <c r="AF387" s="16"/>
      <c r="AG387" s="16"/>
      <c r="AH387" s="8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</row>
    <row r="388" spans="1:49" x14ac:dyDescent="0.25">
      <c r="A388" s="16"/>
      <c r="B388" s="16"/>
      <c r="C388" s="16"/>
      <c r="D388" s="16"/>
      <c r="E388" s="16"/>
      <c r="F388" s="16"/>
      <c r="G388" s="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6"/>
      <c r="AD388" s="8"/>
      <c r="AE388" s="16"/>
      <c r="AF388" s="16"/>
      <c r="AG388" s="16"/>
      <c r="AH388" s="8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</row>
    <row r="389" spans="1:49" x14ac:dyDescent="0.25">
      <c r="A389" s="16"/>
      <c r="B389" s="16"/>
      <c r="C389" s="16"/>
      <c r="D389" s="16"/>
      <c r="E389" s="16"/>
      <c r="F389" s="16"/>
      <c r="G389" s="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6"/>
      <c r="AD389" s="8"/>
      <c r="AE389" s="16"/>
      <c r="AF389" s="16"/>
      <c r="AG389" s="16"/>
      <c r="AH389" s="8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</row>
    <row r="390" spans="1:49" x14ac:dyDescent="0.25">
      <c r="A390" s="16"/>
      <c r="B390" s="16"/>
      <c r="C390" s="16"/>
      <c r="D390" s="16"/>
      <c r="E390" s="16"/>
      <c r="F390" s="16"/>
      <c r="G390" s="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6"/>
      <c r="AD390" s="8"/>
      <c r="AE390" s="16"/>
      <c r="AF390" s="16"/>
      <c r="AG390" s="16"/>
      <c r="AH390" s="8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</row>
    <row r="391" spans="1:49" x14ac:dyDescent="0.25">
      <c r="A391" s="16"/>
      <c r="B391" s="16"/>
      <c r="C391" s="16"/>
      <c r="D391" s="16"/>
      <c r="E391" s="16"/>
      <c r="F391" s="16"/>
      <c r="G391" s="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6"/>
      <c r="AD391" s="8"/>
      <c r="AE391" s="16"/>
      <c r="AF391" s="16"/>
      <c r="AG391" s="16"/>
      <c r="AH391" s="8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</row>
    <row r="392" spans="1:49" x14ac:dyDescent="0.25">
      <c r="A392" s="16"/>
      <c r="B392" s="16"/>
      <c r="C392" s="16"/>
      <c r="D392" s="16"/>
      <c r="E392" s="16"/>
      <c r="F392" s="16"/>
      <c r="G392" s="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6"/>
      <c r="AD392" s="8"/>
      <c r="AE392" s="16"/>
      <c r="AF392" s="16"/>
      <c r="AG392" s="16"/>
      <c r="AH392" s="8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</row>
    <row r="393" spans="1:49" x14ac:dyDescent="0.25">
      <c r="A393" s="16"/>
      <c r="B393" s="16"/>
      <c r="C393" s="16"/>
      <c r="D393" s="16"/>
      <c r="E393" s="16"/>
      <c r="F393" s="16"/>
      <c r="G393" s="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6"/>
      <c r="AD393" s="8"/>
      <c r="AE393" s="16"/>
      <c r="AF393" s="16"/>
      <c r="AG393" s="16"/>
      <c r="AH393" s="8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</row>
    <row r="394" spans="1:49" x14ac:dyDescent="0.25">
      <c r="A394" s="16"/>
      <c r="B394" s="16"/>
      <c r="C394" s="16"/>
      <c r="D394" s="16"/>
      <c r="E394" s="16"/>
      <c r="F394" s="16"/>
      <c r="G394" s="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6"/>
      <c r="AD394" s="8"/>
      <c r="AE394" s="16"/>
      <c r="AF394" s="16"/>
      <c r="AG394" s="16"/>
      <c r="AH394" s="8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</row>
    <row r="395" spans="1:49" x14ac:dyDescent="0.25">
      <c r="A395" s="16"/>
      <c r="B395" s="16"/>
      <c r="C395" s="16"/>
      <c r="D395" s="16"/>
      <c r="E395" s="16"/>
      <c r="F395" s="16"/>
      <c r="G395" s="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6"/>
      <c r="AD395" s="8"/>
      <c r="AE395" s="16"/>
      <c r="AF395" s="16"/>
      <c r="AG395" s="16"/>
      <c r="AH395" s="8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</row>
    <row r="396" spans="1:49" x14ac:dyDescent="0.25">
      <c r="A396" s="16"/>
      <c r="B396" s="16"/>
      <c r="C396" s="16"/>
      <c r="D396" s="16"/>
      <c r="E396" s="16"/>
      <c r="F396" s="16"/>
      <c r="G396" s="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6"/>
      <c r="AD396" s="8"/>
      <c r="AE396" s="16"/>
      <c r="AF396" s="16"/>
      <c r="AG396" s="16"/>
      <c r="AH396" s="8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</row>
    <row r="397" spans="1:49" x14ac:dyDescent="0.25">
      <c r="A397" s="16"/>
      <c r="B397" s="16"/>
      <c r="C397" s="16"/>
      <c r="D397" s="16"/>
      <c r="E397" s="16"/>
      <c r="F397" s="16"/>
      <c r="G397" s="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6"/>
      <c r="AD397" s="8"/>
      <c r="AE397" s="16"/>
      <c r="AF397" s="16"/>
      <c r="AG397" s="16"/>
      <c r="AH397" s="8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</row>
    <row r="398" spans="1:49" x14ac:dyDescent="0.25">
      <c r="A398" s="16"/>
      <c r="B398" s="16"/>
      <c r="C398" s="16"/>
      <c r="D398" s="16"/>
      <c r="E398" s="16"/>
      <c r="F398" s="16"/>
      <c r="G398" s="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6"/>
      <c r="AD398" s="8"/>
      <c r="AE398" s="16"/>
      <c r="AF398" s="16"/>
      <c r="AG398" s="16"/>
      <c r="AH398" s="8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</row>
    <row r="399" spans="1:49" x14ac:dyDescent="0.25">
      <c r="A399" s="16"/>
      <c r="B399" s="16"/>
      <c r="C399" s="16"/>
      <c r="D399" s="16"/>
      <c r="E399" s="16"/>
      <c r="F399" s="16"/>
      <c r="G399" s="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6"/>
      <c r="AD399" s="8"/>
      <c r="AE399" s="16"/>
      <c r="AF399" s="16"/>
      <c r="AG399" s="16"/>
      <c r="AH399" s="8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</row>
    <row r="400" spans="1:49" x14ac:dyDescent="0.25">
      <c r="A400" s="16"/>
      <c r="B400" s="16"/>
      <c r="C400" s="16"/>
      <c r="D400" s="16"/>
      <c r="E400" s="16"/>
      <c r="F400" s="16"/>
      <c r="G400" s="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6"/>
      <c r="AD400" s="8"/>
      <c r="AE400" s="16"/>
      <c r="AF400" s="16"/>
      <c r="AG400" s="16"/>
      <c r="AH400" s="8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</row>
    <row r="401" spans="1:49" x14ac:dyDescent="0.25">
      <c r="A401" s="16"/>
      <c r="B401" s="16"/>
      <c r="C401" s="16"/>
      <c r="D401" s="16"/>
      <c r="E401" s="16"/>
      <c r="F401" s="16"/>
      <c r="G401" s="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6"/>
      <c r="AD401" s="8"/>
      <c r="AE401" s="16"/>
      <c r="AF401" s="16"/>
      <c r="AG401" s="16"/>
      <c r="AH401" s="8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</row>
    <row r="402" spans="1:49" x14ac:dyDescent="0.25">
      <c r="A402" s="16"/>
      <c r="B402" s="16"/>
      <c r="C402" s="16"/>
      <c r="D402" s="16"/>
      <c r="E402" s="16"/>
      <c r="F402" s="16"/>
      <c r="G402" s="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6"/>
      <c r="AD402" s="8"/>
      <c r="AE402" s="16"/>
      <c r="AF402" s="16"/>
      <c r="AG402" s="16"/>
      <c r="AH402" s="8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</row>
    <row r="403" spans="1:49" x14ac:dyDescent="0.25">
      <c r="A403" s="16"/>
      <c r="B403" s="16"/>
      <c r="C403" s="16"/>
      <c r="D403" s="16"/>
      <c r="E403" s="16"/>
      <c r="F403" s="16"/>
      <c r="G403" s="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6"/>
      <c r="AD403" s="8"/>
      <c r="AE403" s="16"/>
      <c r="AF403" s="16"/>
      <c r="AG403" s="16"/>
      <c r="AH403" s="8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</row>
    <row r="404" spans="1:49" x14ac:dyDescent="0.25">
      <c r="A404" s="16"/>
      <c r="B404" s="16"/>
      <c r="C404" s="16"/>
      <c r="D404" s="16"/>
      <c r="E404" s="16"/>
      <c r="F404" s="16"/>
      <c r="G404" s="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6"/>
      <c r="AD404" s="8"/>
      <c r="AE404" s="16"/>
      <c r="AF404" s="16"/>
      <c r="AG404" s="16"/>
      <c r="AH404" s="8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</row>
    <row r="405" spans="1:49" x14ac:dyDescent="0.25">
      <c r="A405" s="16"/>
      <c r="B405" s="16"/>
      <c r="C405" s="16"/>
      <c r="D405" s="16"/>
      <c r="E405" s="16"/>
      <c r="F405" s="16"/>
      <c r="G405" s="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6"/>
      <c r="AD405" s="8"/>
      <c r="AE405" s="16"/>
      <c r="AF405" s="16"/>
      <c r="AG405" s="16"/>
      <c r="AH405" s="8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</row>
    <row r="406" spans="1:49" x14ac:dyDescent="0.25">
      <c r="A406" s="16"/>
      <c r="B406" s="16"/>
      <c r="C406" s="16"/>
      <c r="D406" s="16"/>
      <c r="E406" s="16"/>
      <c r="F406" s="16"/>
      <c r="G406" s="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6"/>
      <c r="AD406" s="8"/>
      <c r="AE406" s="16"/>
      <c r="AF406" s="16"/>
      <c r="AG406" s="16"/>
      <c r="AH406" s="8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</row>
    <row r="407" spans="1:49" x14ac:dyDescent="0.25">
      <c r="A407" s="16"/>
      <c r="B407" s="16"/>
      <c r="C407" s="16"/>
      <c r="D407" s="16"/>
      <c r="E407" s="16"/>
      <c r="F407" s="16"/>
      <c r="G407" s="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6"/>
      <c r="AD407" s="8"/>
      <c r="AE407" s="16"/>
      <c r="AF407" s="16"/>
      <c r="AG407" s="16"/>
      <c r="AH407" s="8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</row>
    <row r="408" spans="1:49" x14ac:dyDescent="0.25">
      <c r="A408" s="16"/>
      <c r="B408" s="16"/>
      <c r="C408" s="16"/>
      <c r="D408" s="16"/>
      <c r="E408" s="16"/>
      <c r="F408" s="16"/>
      <c r="G408" s="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6"/>
      <c r="AD408" s="8"/>
      <c r="AE408" s="16"/>
      <c r="AF408" s="16"/>
      <c r="AG408" s="16"/>
      <c r="AH408" s="8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</row>
    <row r="409" spans="1:49" x14ac:dyDescent="0.25">
      <c r="A409" s="16"/>
      <c r="B409" s="16"/>
      <c r="C409" s="16"/>
      <c r="D409" s="16"/>
      <c r="E409" s="16"/>
      <c r="F409" s="16"/>
      <c r="G409" s="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6"/>
      <c r="AD409" s="8"/>
      <c r="AE409" s="16"/>
      <c r="AF409" s="16"/>
      <c r="AG409" s="16"/>
      <c r="AH409" s="8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</row>
    <row r="410" spans="1:49" x14ac:dyDescent="0.25">
      <c r="A410" s="16"/>
      <c r="B410" s="16"/>
      <c r="C410" s="16"/>
      <c r="D410" s="16"/>
      <c r="E410" s="16"/>
      <c r="F410" s="16"/>
      <c r="G410" s="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6"/>
      <c r="AD410" s="8"/>
      <c r="AE410" s="16"/>
      <c r="AF410" s="16"/>
      <c r="AG410" s="16"/>
      <c r="AH410" s="8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</row>
    <row r="411" spans="1:49" x14ac:dyDescent="0.25">
      <c r="A411" s="16"/>
      <c r="B411" s="16"/>
      <c r="C411" s="16"/>
      <c r="D411" s="16"/>
      <c r="E411" s="16"/>
      <c r="F411" s="16"/>
      <c r="G411" s="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6"/>
      <c r="AD411" s="8"/>
      <c r="AE411" s="16"/>
      <c r="AF411" s="16"/>
      <c r="AG411" s="16"/>
      <c r="AH411" s="8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</row>
    <row r="412" spans="1:49" x14ac:dyDescent="0.25">
      <c r="A412" s="16"/>
      <c r="B412" s="16"/>
      <c r="C412" s="16"/>
      <c r="D412" s="16"/>
      <c r="E412" s="16"/>
      <c r="F412" s="16"/>
      <c r="G412" s="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6"/>
      <c r="AD412" s="8"/>
      <c r="AE412" s="16"/>
      <c r="AF412" s="16"/>
      <c r="AG412" s="16"/>
      <c r="AH412" s="8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</row>
    <row r="413" spans="1:49" x14ac:dyDescent="0.25">
      <c r="A413" s="16"/>
      <c r="B413" s="16"/>
      <c r="C413" s="16"/>
      <c r="D413" s="16"/>
      <c r="E413" s="16"/>
      <c r="F413" s="16"/>
      <c r="G413" s="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6"/>
      <c r="AD413" s="8"/>
      <c r="AE413" s="16"/>
      <c r="AF413" s="16"/>
      <c r="AG413" s="16"/>
      <c r="AH413" s="8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</row>
    <row r="414" spans="1:49" x14ac:dyDescent="0.25">
      <c r="A414" s="16"/>
      <c r="B414" s="16"/>
      <c r="C414" s="16"/>
      <c r="D414" s="16"/>
      <c r="E414" s="16"/>
      <c r="F414" s="16"/>
      <c r="G414" s="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6"/>
      <c r="AD414" s="8"/>
      <c r="AE414" s="16"/>
      <c r="AF414" s="16"/>
      <c r="AG414" s="16"/>
      <c r="AH414" s="8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</row>
    <row r="415" spans="1:49" x14ac:dyDescent="0.25">
      <c r="A415" s="16"/>
      <c r="B415" s="16"/>
      <c r="C415" s="16"/>
      <c r="D415" s="16"/>
      <c r="E415" s="16"/>
      <c r="F415" s="16"/>
      <c r="G415" s="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6"/>
      <c r="AD415" s="8"/>
      <c r="AE415" s="16"/>
      <c r="AF415" s="16"/>
      <c r="AG415" s="16"/>
      <c r="AH415" s="8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</row>
    <row r="416" spans="1:49" x14ac:dyDescent="0.25">
      <c r="A416" s="16"/>
      <c r="B416" s="16"/>
      <c r="C416" s="16"/>
      <c r="D416" s="16"/>
      <c r="E416" s="16"/>
      <c r="F416" s="16"/>
      <c r="G416" s="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6"/>
      <c r="AD416" s="8"/>
      <c r="AE416" s="16"/>
      <c r="AF416" s="16"/>
      <c r="AG416" s="16"/>
      <c r="AH416" s="8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</row>
    <row r="417" spans="1:49" x14ac:dyDescent="0.25">
      <c r="A417" s="16"/>
      <c r="B417" s="16"/>
      <c r="C417" s="16"/>
      <c r="D417" s="16"/>
      <c r="E417" s="16"/>
      <c r="F417" s="16"/>
      <c r="G417" s="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6"/>
      <c r="AD417" s="8"/>
      <c r="AE417" s="16"/>
      <c r="AF417" s="16"/>
      <c r="AG417" s="16"/>
      <c r="AH417" s="8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</row>
    <row r="418" spans="1:49" x14ac:dyDescent="0.25">
      <c r="A418" s="16"/>
      <c r="B418" s="16"/>
      <c r="C418" s="16"/>
      <c r="D418" s="16"/>
      <c r="E418" s="16"/>
      <c r="F418" s="16"/>
      <c r="G418" s="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6"/>
      <c r="AD418" s="8"/>
      <c r="AE418" s="16"/>
      <c r="AF418" s="16"/>
      <c r="AG418" s="16"/>
      <c r="AH418" s="8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</row>
    <row r="419" spans="1:49" x14ac:dyDescent="0.25">
      <c r="A419" s="16"/>
      <c r="B419" s="16"/>
      <c r="C419" s="16"/>
      <c r="D419" s="16"/>
      <c r="E419" s="16"/>
      <c r="F419" s="16"/>
      <c r="G419" s="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6"/>
      <c r="AD419" s="8"/>
      <c r="AE419" s="16"/>
      <c r="AF419" s="16"/>
      <c r="AG419" s="16"/>
      <c r="AH419" s="8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</row>
    <row r="420" spans="1:49" x14ac:dyDescent="0.25">
      <c r="A420" s="16"/>
      <c r="B420" s="16"/>
      <c r="C420" s="16"/>
      <c r="D420" s="16"/>
      <c r="E420" s="16"/>
      <c r="F420" s="16"/>
      <c r="G420" s="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6"/>
      <c r="AD420" s="8"/>
      <c r="AE420" s="16"/>
      <c r="AF420" s="16"/>
      <c r="AG420" s="16"/>
      <c r="AH420" s="8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</row>
    <row r="421" spans="1:49" x14ac:dyDescent="0.25">
      <c r="A421" s="16"/>
      <c r="B421" s="16"/>
      <c r="C421" s="16"/>
      <c r="D421" s="16"/>
      <c r="E421" s="16"/>
      <c r="F421" s="16"/>
      <c r="G421" s="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6"/>
      <c r="AD421" s="8"/>
      <c r="AE421" s="16"/>
      <c r="AF421" s="16"/>
      <c r="AG421" s="16"/>
      <c r="AH421" s="8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</row>
    <row r="422" spans="1:49" x14ac:dyDescent="0.25">
      <c r="A422" s="16"/>
      <c r="B422" s="16"/>
      <c r="C422" s="16"/>
      <c r="D422" s="16"/>
      <c r="E422" s="16"/>
      <c r="F422" s="16"/>
      <c r="G422" s="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6"/>
      <c r="AD422" s="8"/>
      <c r="AE422" s="16"/>
      <c r="AF422" s="16"/>
      <c r="AG422" s="16"/>
      <c r="AH422" s="8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</row>
    <row r="423" spans="1:49" x14ac:dyDescent="0.25">
      <c r="A423" s="16"/>
      <c r="B423" s="16"/>
      <c r="C423" s="16"/>
      <c r="D423" s="16"/>
      <c r="E423" s="16"/>
      <c r="F423" s="16"/>
      <c r="G423" s="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6"/>
      <c r="AD423" s="8"/>
      <c r="AE423" s="16"/>
      <c r="AF423" s="16"/>
      <c r="AG423" s="16"/>
      <c r="AH423" s="8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</row>
    <row r="424" spans="1:49" x14ac:dyDescent="0.25">
      <c r="A424" s="16"/>
      <c r="B424" s="16"/>
      <c r="C424" s="16"/>
      <c r="D424" s="16"/>
      <c r="E424" s="16"/>
      <c r="F424" s="16"/>
      <c r="G424" s="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6"/>
      <c r="AD424" s="8"/>
      <c r="AE424" s="16"/>
      <c r="AF424" s="16"/>
      <c r="AG424" s="16"/>
      <c r="AH424" s="8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</row>
    <row r="425" spans="1:49" x14ac:dyDescent="0.25">
      <c r="A425" s="16"/>
      <c r="B425" s="16"/>
      <c r="C425" s="16"/>
      <c r="D425" s="16"/>
      <c r="E425" s="16"/>
      <c r="F425" s="16"/>
      <c r="G425" s="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6"/>
      <c r="AD425" s="8"/>
      <c r="AE425" s="16"/>
      <c r="AF425" s="16"/>
      <c r="AG425" s="16"/>
      <c r="AH425" s="8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</row>
    <row r="426" spans="1:49" x14ac:dyDescent="0.25">
      <c r="A426" s="16"/>
      <c r="B426" s="16"/>
      <c r="C426" s="16"/>
      <c r="D426" s="16"/>
      <c r="E426" s="16"/>
      <c r="F426" s="16"/>
      <c r="G426" s="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6"/>
      <c r="AD426" s="8"/>
      <c r="AE426" s="16"/>
      <c r="AF426" s="16"/>
      <c r="AG426" s="16"/>
      <c r="AH426" s="8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</row>
    <row r="427" spans="1:49" x14ac:dyDescent="0.25">
      <c r="A427" s="16"/>
      <c r="B427" s="16"/>
      <c r="C427" s="16"/>
      <c r="D427" s="16"/>
      <c r="E427" s="16"/>
      <c r="F427" s="16"/>
      <c r="G427" s="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6"/>
      <c r="AD427" s="8"/>
      <c r="AE427" s="16"/>
      <c r="AF427" s="16"/>
      <c r="AG427" s="16"/>
      <c r="AH427" s="8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</row>
    <row r="428" spans="1:49" x14ac:dyDescent="0.25">
      <c r="A428" s="16"/>
      <c r="B428" s="16"/>
      <c r="C428" s="16"/>
      <c r="D428" s="16"/>
      <c r="E428" s="16"/>
      <c r="F428" s="16"/>
      <c r="G428" s="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6"/>
      <c r="AD428" s="8"/>
      <c r="AE428" s="16"/>
      <c r="AF428" s="16"/>
      <c r="AG428" s="16"/>
      <c r="AH428" s="8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</row>
    <row r="429" spans="1:49" x14ac:dyDescent="0.25">
      <c r="A429" s="16"/>
      <c r="B429" s="16"/>
      <c r="C429" s="16"/>
      <c r="D429" s="16"/>
      <c r="E429" s="16"/>
      <c r="F429" s="16"/>
      <c r="G429" s="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6"/>
      <c r="AD429" s="8"/>
      <c r="AE429" s="16"/>
      <c r="AF429" s="16"/>
      <c r="AG429" s="16"/>
      <c r="AH429" s="8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</row>
    <row r="430" spans="1:49" x14ac:dyDescent="0.25">
      <c r="A430" s="16"/>
      <c r="B430" s="16"/>
      <c r="C430" s="16"/>
      <c r="D430" s="16"/>
      <c r="E430" s="16"/>
      <c r="F430" s="16"/>
      <c r="G430" s="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6"/>
      <c r="AD430" s="8"/>
      <c r="AE430" s="16"/>
      <c r="AF430" s="16"/>
      <c r="AG430" s="16"/>
      <c r="AH430" s="8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</row>
    <row r="431" spans="1:49" x14ac:dyDescent="0.25">
      <c r="A431" s="16"/>
      <c r="B431" s="16"/>
      <c r="C431" s="16"/>
      <c r="D431" s="16"/>
      <c r="E431" s="16"/>
      <c r="F431" s="16"/>
      <c r="G431" s="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6"/>
      <c r="AD431" s="8"/>
      <c r="AE431" s="16"/>
      <c r="AF431" s="16"/>
      <c r="AG431" s="16"/>
      <c r="AH431" s="8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</row>
    <row r="432" spans="1:49" x14ac:dyDescent="0.25">
      <c r="A432" s="16"/>
      <c r="B432" s="16"/>
      <c r="C432" s="16"/>
      <c r="D432" s="16"/>
      <c r="E432" s="16"/>
      <c r="F432" s="16"/>
      <c r="G432" s="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6"/>
      <c r="AD432" s="8"/>
      <c r="AE432" s="16"/>
      <c r="AF432" s="16"/>
      <c r="AG432" s="16"/>
      <c r="AH432" s="8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</row>
    <row r="433" spans="1:49" x14ac:dyDescent="0.25">
      <c r="A433" s="16"/>
      <c r="B433" s="16"/>
      <c r="C433" s="16"/>
      <c r="D433" s="16"/>
      <c r="E433" s="16"/>
      <c r="F433" s="16"/>
      <c r="G433" s="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6"/>
      <c r="AD433" s="8"/>
      <c r="AE433" s="16"/>
      <c r="AF433" s="16"/>
      <c r="AG433" s="16"/>
      <c r="AH433" s="8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</row>
    <row r="434" spans="1:49" x14ac:dyDescent="0.25">
      <c r="A434" s="16"/>
      <c r="B434" s="16"/>
      <c r="C434" s="16"/>
      <c r="D434" s="16"/>
      <c r="E434" s="16"/>
      <c r="F434" s="16"/>
      <c r="G434" s="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6"/>
      <c r="AD434" s="8"/>
      <c r="AE434" s="16"/>
      <c r="AF434" s="16"/>
      <c r="AG434" s="16"/>
      <c r="AH434" s="8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</row>
    <row r="435" spans="1:49" x14ac:dyDescent="0.25">
      <c r="A435" s="16"/>
      <c r="B435" s="16"/>
      <c r="C435" s="16"/>
      <c r="D435" s="16"/>
      <c r="E435" s="16"/>
      <c r="F435" s="16"/>
      <c r="G435" s="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6"/>
      <c r="AD435" s="8"/>
      <c r="AE435" s="16"/>
      <c r="AF435" s="16"/>
      <c r="AG435" s="16"/>
      <c r="AH435" s="8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</row>
    <row r="436" spans="1:49" x14ac:dyDescent="0.25">
      <c r="A436" s="16"/>
      <c r="B436" s="16"/>
      <c r="C436" s="16"/>
      <c r="D436" s="16"/>
      <c r="E436" s="16"/>
      <c r="F436" s="16"/>
      <c r="G436" s="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6"/>
      <c r="AD436" s="8"/>
      <c r="AE436" s="16"/>
      <c r="AF436" s="16"/>
      <c r="AG436" s="16"/>
      <c r="AH436" s="8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</row>
    <row r="437" spans="1:49" x14ac:dyDescent="0.25">
      <c r="A437" s="16"/>
      <c r="B437" s="16"/>
      <c r="C437" s="16"/>
      <c r="D437" s="16"/>
      <c r="E437" s="16"/>
      <c r="F437" s="16"/>
      <c r="G437" s="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6"/>
      <c r="AD437" s="8"/>
      <c r="AE437" s="16"/>
      <c r="AF437" s="16"/>
      <c r="AG437" s="16"/>
      <c r="AH437" s="8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</row>
    <row r="438" spans="1:49" x14ac:dyDescent="0.25">
      <c r="A438" s="16"/>
      <c r="B438" s="16"/>
      <c r="C438" s="16"/>
      <c r="D438" s="16"/>
      <c r="E438" s="16"/>
      <c r="F438" s="16"/>
      <c r="G438" s="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6"/>
      <c r="AD438" s="8"/>
      <c r="AE438" s="16"/>
      <c r="AF438" s="16"/>
      <c r="AG438" s="16"/>
      <c r="AH438" s="8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</row>
    <row r="439" spans="1:49" x14ac:dyDescent="0.25">
      <c r="A439" s="16"/>
      <c r="B439" s="16"/>
      <c r="C439" s="16"/>
      <c r="D439" s="16"/>
      <c r="E439" s="16"/>
      <c r="F439" s="16"/>
      <c r="G439" s="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6"/>
      <c r="AD439" s="8"/>
      <c r="AE439" s="16"/>
      <c r="AF439" s="16"/>
      <c r="AG439" s="16"/>
      <c r="AH439" s="8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</row>
    <row r="440" spans="1:49" x14ac:dyDescent="0.25">
      <c r="A440" s="16"/>
      <c r="B440" s="16"/>
      <c r="C440" s="16"/>
      <c r="D440" s="16"/>
      <c r="E440" s="16"/>
      <c r="F440" s="16"/>
      <c r="G440" s="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6"/>
      <c r="AD440" s="8"/>
      <c r="AE440" s="16"/>
      <c r="AF440" s="16"/>
      <c r="AG440" s="16"/>
      <c r="AH440" s="8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</row>
    <row r="441" spans="1:49" x14ac:dyDescent="0.25">
      <c r="A441" s="16"/>
      <c r="B441" s="16"/>
      <c r="C441" s="16"/>
      <c r="D441" s="16"/>
      <c r="E441" s="16"/>
      <c r="F441" s="16"/>
      <c r="G441" s="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6"/>
      <c r="AD441" s="8"/>
      <c r="AE441" s="16"/>
      <c r="AF441" s="16"/>
      <c r="AG441" s="16"/>
      <c r="AH441" s="8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</row>
    <row r="442" spans="1:49" x14ac:dyDescent="0.25">
      <c r="A442" s="16"/>
      <c r="B442" s="16"/>
      <c r="C442" s="16"/>
      <c r="D442" s="16"/>
      <c r="E442" s="16"/>
      <c r="F442" s="16"/>
      <c r="G442" s="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6"/>
      <c r="AD442" s="8"/>
      <c r="AE442" s="16"/>
      <c r="AF442" s="16"/>
      <c r="AG442" s="16"/>
      <c r="AH442" s="8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</row>
    <row r="443" spans="1:49" x14ac:dyDescent="0.25">
      <c r="A443" s="16"/>
      <c r="B443" s="16"/>
      <c r="C443" s="16"/>
      <c r="D443" s="16"/>
      <c r="E443" s="16"/>
      <c r="F443" s="16"/>
      <c r="G443" s="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6"/>
      <c r="AD443" s="8"/>
      <c r="AE443" s="16"/>
      <c r="AF443" s="16"/>
      <c r="AG443" s="16"/>
      <c r="AH443" s="8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</row>
    <row r="444" spans="1:49" x14ac:dyDescent="0.25">
      <c r="A444" s="16"/>
      <c r="B444" s="16"/>
      <c r="C444" s="16"/>
      <c r="D444" s="16"/>
      <c r="E444" s="16"/>
      <c r="F444" s="16"/>
      <c r="G444" s="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6"/>
      <c r="AD444" s="8"/>
      <c r="AE444" s="16"/>
      <c r="AF444" s="16"/>
      <c r="AG444" s="16"/>
      <c r="AH444" s="8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</row>
    <row r="445" spans="1:49" x14ac:dyDescent="0.25">
      <c r="A445" s="16"/>
      <c r="B445" s="16"/>
      <c r="C445" s="16"/>
      <c r="D445" s="16"/>
      <c r="E445" s="16"/>
      <c r="F445" s="16"/>
      <c r="G445" s="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6"/>
      <c r="AD445" s="8"/>
      <c r="AE445" s="16"/>
      <c r="AF445" s="16"/>
      <c r="AG445" s="16"/>
      <c r="AH445" s="8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</row>
    <row r="446" spans="1:49" x14ac:dyDescent="0.25">
      <c r="A446" s="16"/>
      <c r="B446" s="16"/>
      <c r="C446" s="16"/>
      <c r="D446" s="16"/>
      <c r="E446" s="16"/>
      <c r="F446" s="16"/>
      <c r="G446" s="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6"/>
      <c r="AD446" s="8"/>
      <c r="AE446" s="16"/>
      <c r="AF446" s="16"/>
      <c r="AG446" s="16"/>
      <c r="AH446" s="8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</row>
    <row r="447" spans="1:49" x14ac:dyDescent="0.25">
      <c r="A447" s="16"/>
      <c r="B447" s="16"/>
      <c r="C447" s="16"/>
      <c r="D447" s="16"/>
      <c r="E447" s="16"/>
      <c r="F447" s="16"/>
      <c r="G447" s="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6"/>
      <c r="AD447" s="8"/>
      <c r="AE447" s="16"/>
      <c r="AF447" s="16"/>
      <c r="AG447" s="16"/>
      <c r="AH447" s="8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</row>
    <row r="448" spans="1:49" x14ac:dyDescent="0.25">
      <c r="A448" s="16"/>
      <c r="B448" s="16"/>
      <c r="C448" s="16"/>
      <c r="D448" s="16"/>
      <c r="E448" s="16"/>
      <c r="F448" s="16"/>
      <c r="G448" s="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6"/>
      <c r="AD448" s="8"/>
      <c r="AE448" s="16"/>
      <c r="AF448" s="16"/>
      <c r="AG448" s="16"/>
      <c r="AH448" s="8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</row>
    <row r="449" spans="1:49" x14ac:dyDescent="0.25">
      <c r="A449" s="16"/>
      <c r="B449" s="16"/>
      <c r="C449" s="16"/>
      <c r="D449" s="16"/>
      <c r="E449" s="16"/>
      <c r="F449" s="16"/>
      <c r="G449" s="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6"/>
      <c r="AD449" s="8"/>
      <c r="AE449" s="16"/>
      <c r="AF449" s="16"/>
      <c r="AG449" s="16"/>
      <c r="AH449" s="8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</row>
    <row r="450" spans="1:49" x14ac:dyDescent="0.25">
      <c r="A450" s="16"/>
      <c r="B450" s="16"/>
      <c r="C450" s="16"/>
      <c r="D450" s="16"/>
      <c r="E450" s="16"/>
      <c r="F450" s="16"/>
      <c r="G450" s="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6"/>
      <c r="AD450" s="8"/>
      <c r="AE450" s="16"/>
      <c r="AF450" s="16"/>
      <c r="AG450" s="16"/>
      <c r="AH450" s="8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</row>
    <row r="451" spans="1:49" x14ac:dyDescent="0.25">
      <c r="A451" s="16"/>
      <c r="B451" s="16"/>
      <c r="C451" s="16"/>
      <c r="D451" s="16"/>
      <c r="E451" s="16"/>
      <c r="F451" s="16"/>
      <c r="G451" s="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6"/>
      <c r="AD451" s="8"/>
      <c r="AE451" s="16"/>
      <c r="AF451" s="16"/>
      <c r="AG451" s="16"/>
      <c r="AH451" s="8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</row>
    <row r="452" spans="1:49" x14ac:dyDescent="0.25">
      <c r="A452" s="16"/>
      <c r="B452" s="16"/>
      <c r="C452" s="16"/>
      <c r="D452" s="16"/>
      <c r="E452" s="16"/>
      <c r="F452" s="16"/>
      <c r="G452" s="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6"/>
      <c r="AD452" s="8"/>
      <c r="AE452" s="16"/>
      <c r="AF452" s="16"/>
      <c r="AG452" s="16"/>
      <c r="AH452" s="8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</row>
    <row r="453" spans="1:49" x14ac:dyDescent="0.25">
      <c r="A453" s="16"/>
      <c r="B453" s="16"/>
      <c r="C453" s="16"/>
      <c r="D453" s="16"/>
      <c r="E453" s="16"/>
      <c r="F453" s="16"/>
      <c r="G453" s="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6"/>
      <c r="AD453" s="8"/>
      <c r="AE453" s="16"/>
      <c r="AF453" s="16"/>
      <c r="AG453" s="16"/>
      <c r="AH453" s="8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</row>
    <row r="454" spans="1:49" x14ac:dyDescent="0.25">
      <c r="A454" s="16"/>
      <c r="B454" s="16"/>
      <c r="C454" s="16"/>
      <c r="D454" s="16"/>
      <c r="E454" s="16"/>
      <c r="F454" s="16"/>
      <c r="G454" s="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6"/>
      <c r="AD454" s="8"/>
      <c r="AE454" s="16"/>
      <c r="AF454" s="16"/>
      <c r="AG454" s="16"/>
      <c r="AH454" s="8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</row>
    <row r="455" spans="1:49" x14ac:dyDescent="0.25">
      <c r="A455" s="16"/>
      <c r="B455" s="16"/>
      <c r="C455" s="16"/>
      <c r="D455" s="16"/>
      <c r="E455" s="16"/>
      <c r="F455" s="16"/>
      <c r="G455" s="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6"/>
      <c r="AD455" s="8"/>
      <c r="AE455" s="16"/>
      <c r="AF455" s="16"/>
      <c r="AG455" s="16"/>
      <c r="AH455" s="8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</row>
    <row r="456" spans="1:49" x14ac:dyDescent="0.25">
      <c r="A456" s="16"/>
      <c r="B456" s="16"/>
      <c r="C456" s="16"/>
      <c r="D456" s="16"/>
      <c r="E456" s="16"/>
      <c r="F456" s="16"/>
      <c r="G456" s="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6"/>
      <c r="AD456" s="8"/>
      <c r="AE456" s="16"/>
      <c r="AF456" s="16"/>
      <c r="AG456" s="16"/>
      <c r="AH456" s="8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</row>
    <row r="457" spans="1:49" x14ac:dyDescent="0.25">
      <c r="A457" s="16"/>
      <c r="B457" s="16"/>
      <c r="C457" s="16"/>
      <c r="D457" s="16"/>
      <c r="E457" s="16"/>
      <c r="F457" s="16"/>
      <c r="G457" s="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6"/>
      <c r="AD457" s="8"/>
      <c r="AE457" s="16"/>
      <c r="AF457" s="16"/>
      <c r="AG457" s="16"/>
      <c r="AH457" s="8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</row>
    <row r="458" spans="1:49" x14ac:dyDescent="0.25">
      <c r="A458" s="16"/>
      <c r="B458" s="16"/>
      <c r="C458" s="16"/>
      <c r="D458" s="16"/>
      <c r="E458" s="16"/>
      <c r="F458" s="16"/>
      <c r="G458" s="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6"/>
      <c r="AD458" s="8"/>
      <c r="AE458" s="16"/>
      <c r="AF458" s="16"/>
      <c r="AG458" s="16"/>
      <c r="AH458" s="8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</row>
    <row r="459" spans="1:49" x14ac:dyDescent="0.25">
      <c r="A459" s="16"/>
      <c r="B459" s="16"/>
      <c r="C459" s="16"/>
      <c r="D459" s="16"/>
      <c r="E459" s="16"/>
      <c r="F459" s="16"/>
      <c r="G459" s="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6"/>
      <c r="AD459" s="8"/>
      <c r="AE459" s="16"/>
      <c r="AF459" s="16"/>
      <c r="AG459" s="16"/>
      <c r="AH459" s="8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</row>
    <row r="460" spans="1:49" x14ac:dyDescent="0.25">
      <c r="A460" s="16"/>
      <c r="B460" s="16"/>
      <c r="C460" s="16"/>
      <c r="D460" s="16"/>
      <c r="E460" s="16"/>
      <c r="F460" s="16"/>
      <c r="G460" s="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6"/>
      <c r="AD460" s="8"/>
      <c r="AE460" s="16"/>
      <c r="AF460" s="16"/>
      <c r="AG460" s="16"/>
      <c r="AH460" s="8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</row>
    <row r="461" spans="1:49" x14ac:dyDescent="0.25">
      <c r="A461" s="16"/>
      <c r="B461" s="16"/>
      <c r="C461" s="16"/>
      <c r="D461" s="16"/>
      <c r="E461" s="16"/>
      <c r="F461" s="16"/>
      <c r="G461" s="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6"/>
      <c r="AD461" s="8"/>
      <c r="AE461" s="16"/>
      <c r="AF461" s="16"/>
      <c r="AG461" s="16"/>
      <c r="AH461" s="8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</row>
    <row r="462" spans="1:49" x14ac:dyDescent="0.25">
      <c r="A462" s="16"/>
      <c r="B462" s="16"/>
      <c r="C462" s="16"/>
      <c r="D462" s="16"/>
      <c r="E462" s="16"/>
      <c r="F462" s="16"/>
      <c r="G462" s="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6"/>
      <c r="AD462" s="8"/>
      <c r="AE462" s="16"/>
      <c r="AF462" s="16"/>
      <c r="AG462" s="16"/>
      <c r="AH462" s="8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</row>
    <row r="463" spans="1:49" x14ac:dyDescent="0.25">
      <c r="A463" s="16"/>
      <c r="B463" s="16"/>
      <c r="C463" s="16"/>
      <c r="D463" s="16"/>
      <c r="E463" s="16"/>
      <c r="F463" s="16"/>
      <c r="G463" s="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6"/>
      <c r="AD463" s="8"/>
      <c r="AE463" s="16"/>
      <c r="AF463" s="16"/>
      <c r="AG463" s="16"/>
      <c r="AH463" s="8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</row>
    <row r="464" spans="1:49" x14ac:dyDescent="0.25">
      <c r="A464" s="16"/>
      <c r="B464" s="16"/>
      <c r="C464" s="16"/>
      <c r="D464" s="16"/>
      <c r="E464" s="16"/>
      <c r="F464" s="16"/>
      <c r="G464" s="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6"/>
      <c r="AD464" s="8"/>
      <c r="AE464" s="16"/>
      <c r="AF464" s="16"/>
      <c r="AG464" s="16"/>
      <c r="AH464" s="8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</row>
    <row r="465" spans="1:49" x14ac:dyDescent="0.25">
      <c r="A465" s="16"/>
      <c r="B465" s="16"/>
      <c r="C465" s="16"/>
      <c r="D465" s="16"/>
      <c r="E465" s="16"/>
      <c r="F465" s="16"/>
      <c r="G465" s="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6"/>
      <c r="AD465" s="8"/>
      <c r="AE465" s="16"/>
      <c r="AF465" s="16"/>
      <c r="AG465" s="16"/>
      <c r="AH465" s="8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</row>
    <row r="466" spans="1:49" x14ac:dyDescent="0.25">
      <c r="A466" s="16"/>
      <c r="B466" s="16"/>
      <c r="C466" s="16"/>
      <c r="D466" s="16"/>
      <c r="E466" s="16"/>
      <c r="F466" s="16"/>
      <c r="G466" s="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6"/>
      <c r="AD466" s="8"/>
      <c r="AE466" s="16"/>
      <c r="AF466" s="16"/>
      <c r="AG466" s="16"/>
      <c r="AH466" s="8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</row>
    <row r="467" spans="1:49" x14ac:dyDescent="0.25">
      <c r="A467" s="16"/>
      <c r="B467" s="16"/>
      <c r="C467" s="16"/>
      <c r="D467" s="16"/>
      <c r="E467" s="16"/>
      <c r="F467" s="16"/>
      <c r="G467" s="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6"/>
      <c r="AD467" s="8"/>
      <c r="AE467" s="16"/>
      <c r="AF467" s="16"/>
      <c r="AG467" s="16"/>
      <c r="AH467" s="8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</row>
    <row r="468" spans="1:49" x14ac:dyDescent="0.25">
      <c r="A468" s="16"/>
      <c r="B468" s="16"/>
      <c r="C468" s="16"/>
      <c r="D468" s="16"/>
      <c r="E468" s="16"/>
      <c r="F468" s="16"/>
      <c r="G468" s="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6"/>
      <c r="AD468" s="8"/>
      <c r="AE468" s="16"/>
      <c r="AF468" s="16"/>
      <c r="AG468" s="16"/>
      <c r="AH468" s="8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</row>
    <row r="469" spans="1:49" x14ac:dyDescent="0.25">
      <c r="A469" s="16"/>
      <c r="B469" s="16"/>
      <c r="C469" s="16"/>
      <c r="D469" s="16"/>
      <c r="E469" s="16"/>
      <c r="F469" s="16"/>
      <c r="G469" s="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6"/>
      <c r="AD469" s="8"/>
      <c r="AE469" s="16"/>
      <c r="AF469" s="16"/>
      <c r="AG469" s="16"/>
      <c r="AH469" s="8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</row>
    <row r="470" spans="1:49" x14ac:dyDescent="0.25">
      <c r="A470" s="16"/>
      <c r="B470" s="16"/>
      <c r="C470" s="16"/>
      <c r="D470" s="16"/>
      <c r="E470" s="16"/>
      <c r="F470" s="16"/>
      <c r="G470" s="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6"/>
      <c r="AD470" s="8"/>
      <c r="AE470" s="16"/>
      <c r="AF470" s="16"/>
      <c r="AG470" s="16"/>
      <c r="AH470" s="8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</row>
    <row r="471" spans="1:49" x14ac:dyDescent="0.25">
      <c r="A471" s="16"/>
      <c r="B471" s="16"/>
      <c r="C471" s="16"/>
      <c r="D471" s="16"/>
      <c r="E471" s="16"/>
      <c r="F471" s="16"/>
      <c r="G471" s="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6"/>
      <c r="AD471" s="8"/>
      <c r="AE471" s="16"/>
      <c r="AF471" s="16"/>
      <c r="AG471" s="16"/>
      <c r="AH471" s="8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</row>
    <row r="472" spans="1:49" x14ac:dyDescent="0.25">
      <c r="A472" s="16"/>
      <c r="B472" s="16"/>
      <c r="C472" s="16"/>
      <c r="D472" s="16"/>
      <c r="E472" s="16"/>
      <c r="F472" s="16"/>
      <c r="G472" s="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6"/>
      <c r="AD472" s="8"/>
      <c r="AE472" s="16"/>
      <c r="AF472" s="16"/>
      <c r="AG472" s="16"/>
      <c r="AH472" s="8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</row>
    <row r="473" spans="1:49" x14ac:dyDescent="0.25">
      <c r="A473" s="16"/>
      <c r="B473" s="16"/>
      <c r="C473" s="16"/>
      <c r="D473" s="16"/>
      <c r="E473" s="16"/>
      <c r="F473" s="16"/>
      <c r="G473" s="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6"/>
      <c r="AD473" s="8"/>
      <c r="AE473" s="16"/>
      <c r="AF473" s="16"/>
      <c r="AG473" s="16"/>
      <c r="AH473" s="8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</row>
    <row r="474" spans="1:49" x14ac:dyDescent="0.25">
      <c r="A474" s="16"/>
      <c r="B474" s="16"/>
      <c r="C474" s="16"/>
      <c r="D474" s="16"/>
      <c r="E474" s="16"/>
      <c r="F474" s="16"/>
      <c r="G474" s="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6"/>
      <c r="AD474" s="8"/>
      <c r="AE474" s="16"/>
      <c r="AF474" s="16"/>
      <c r="AG474" s="16"/>
      <c r="AH474" s="8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</row>
    <row r="475" spans="1:49" x14ac:dyDescent="0.25">
      <c r="A475" s="16"/>
      <c r="B475" s="16"/>
      <c r="C475" s="16"/>
      <c r="D475" s="16"/>
      <c r="E475" s="16"/>
      <c r="F475" s="16"/>
      <c r="G475" s="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6"/>
      <c r="AD475" s="8"/>
      <c r="AE475" s="16"/>
      <c r="AF475" s="16"/>
      <c r="AG475" s="16"/>
      <c r="AH475" s="8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</row>
    <row r="476" spans="1:49" x14ac:dyDescent="0.25">
      <c r="A476" s="16"/>
      <c r="B476" s="16"/>
      <c r="C476" s="16"/>
      <c r="D476" s="16"/>
      <c r="E476" s="16"/>
      <c r="F476" s="16"/>
      <c r="G476" s="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6"/>
      <c r="AD476" s="8"/>
      <c r="AE476" s="16"/>
      <c r="AF476" s="16"/>
      <c r="AG476" s="16"/>
      <c r="AH476" s="8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</row>
    <row r="477" spans="1:49" x14ac:dyDescent="0.25">
      <c r="A477" s="16"/>
      <c r="B477" s="16"/>
      <c r="C477" s="16"/>
      <c r="D477" s="16"/>
      <c r="E477" s="16"/>
      <c r="F477" s="16"/>
      <c r="G477" s="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6"/>
      <c r="AD477" s="8"/>
      <c r="AE477" s="16"/>
      <c r="AF477" s="16"/>
      <c r="AG477" s="16"/>
      <c r="AH477" s="8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</row>
    <row r="478" spans="1:49" x14ac:dyDescent="0.25">
      <c r="A478" s="16"/>
      <c r="B478" s="16"/>
      <c r="C478" s="16"/>
      <c r="D478" s="16"/>
      <c r="E478" s="16"/>
      <c r="F478" s="16"/>
      <c r="G478" s="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6"/>
      <c r="AD478" s="8"/>
      <c r="AE478" s="16"/>
      <c r="AF478" s="16"/>
      <c r="AG478" s="16"/>
      <c r="AH478" s="8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</row>
    <row r="479" spans="1:49" x14ac:dyDescent="0.25">
      <c r="A479" s="16"/>
      <c r="B479" s="16"/>
      <c r="C479" s="16"/>
      <c r="D479" s="16"/>
      <c r="E479" s="16"/>
      <c r="F479" s="16"/>
      <c r="G479" s="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6"/>
      <c r="AD479" s="8"/>
      <c r="AE479" s="16"/>
      <c r="AF479" s="16"/>
      <c r="AG479" s="16"/>
      <c r="AH479" s="8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</row>
    <row r="480" spans="1:49" x14ac:dyDescent="0.25">
      <c r="A480" s="16"/>
      <c r="B480" s="16"/>
      <c r="C480" s="16"/>
      <c r="D480" s="16"/>
      <c r="E480" s="16"/>
      <c r="F480" s="16"/>
      <c r="G480" s="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6"/>
      <c r="AD480" s="8"/>
      <c r="AE480" s="16"/>
      <c r="AF480" s="16"/>
      <c r="AG480" s="16"/>
      <c r="AH480" s="8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</row>
    <row r="481" spans="1:49" x14ac:dyDescent="0.25">
      <c r="A481" s="16"/>
      <c r="B481" s="16"/>
      <c r="C481" s="16"/>
      <c r="D481" s="16"/>
      <c r="E481" s="16"/>
      <c r="F481" s="16"/>
      <c r="G481" s="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6"/>
      <c r="AD481" s="8"/>
      <c r="AE481" s="16"/>
      <c r="AF481" s="16"/>
      <c r="AG481" s="16"/>
      <c r="AH481" s="8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</row>
    <row r="482" spans="1:49" x14ac:dyDescent="0.25">
      <c r="A482" s="16"/>
      <c r="B482" s="16"/>
      <c r="C482" s="16"/>
      <c r="D482" s="16"/>
      <c r="E482" s="16"/>
      <c r="F482" s="16"/>
      <c r="G482" s="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6"/>
      <c r="AD482" s="8"/>
      <c r="AE482" s="16"/>
      <c r="AF482" s="16"/>
      <c r="AG482" s="16"/>
      <c r="AH482" s="8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</row>
    <row r="483" spans="1:49" x14ac:dyDescent="0.25">
      <c r="A483" s="16"/>
      <c r="B483" s="16"/>
      <c r="C483" s="16"/>
      <c r="D483" s="16"/>
      <c r="E483" s="16"/>
      <c r="F483" s="16"/>
      <c r="G483" s="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6"/>
      <c r="AD483" s="8"/>
      <c r="AE483" s="16"/>
      <c r="AF483" s="16"/>
      <c r="AG483" s="16"/>
      <c r="AH483" s="8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</row>
    <row r="484" spans="1:49" x14ac:dyDescent="0.25">
      <c r="A484" s="16"/>
      <c r="B484" s="16"/>
      <c r="C484" s="16"/>
      <c r="D484" s="16"/>
      <c r="E484" s="16"/>
      <c r="F484" s="16"/>
      <c r="G484" s="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6"/>
      <c r="AD484" s="8"/>
      <c r="AE484" s="16"/>
      <c r="AF484" s="16"/>
      <c r="AG484" s="16"/>
      <c r="AH484" s="8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</row>
    <row r="485" spans="1:49" x14ac:dyDescent="0.25">
      <c r="A485" s="16"/>
      <c r="B485" s="16"/>
      <c r="C485" s="16"/>
      <c r="D485" s="16"/>
      <c r="E485" s="16"/>
      <c r="F485" s="16"/>
      <c r="G485" s="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6"/>
      <c r="AD485" s="8"/>
      <c r="AE485" s="16"/>
      <c r="AF485" s="16"/>
      <c r="AG485" s="16"/>
      <c r="AH485" s="8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</row>
    <row r="486" spans="1:49" x14ac:dyDescent="0.25">
      <c r="A486" s="16"/>
      <c r="B486" s="16"/>
      <c r="C486" s="16"/>
      <c r="D486" s="16"/>
      <c r="E486" s="16"/>
      <c r="F486" s="16"/>
      <c r="G486" s="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6"/>
      <c r="AD486" s="8"/>
      <c r="AE486" s="16"/>
      <c r="AF486" s="16"/>
      <c r="AG486" s="16"/>
      <c r="AH486" s="8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</row>
    <row r="487" spans="1:49" x14ac:dyDescent="0.25">
      <c r="A487" s="16"/>
      <c r="B487" s="16"/>
      <c r="C487" s="16"/>
      <c r="D487" s="16"/>
      <c r="E487" s="16"/>
      <c r="F487" s="16"/>
      <c r="G487" s="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6"/>
      <c r="AD487" s="8"/>
      <c r="AE487" s="16"/>
      <c r="AF487" s="16"/>
      <c r="AG487" s="16"/>
      <c r="AH487" s="8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</row>
    <row r="488" spans="1:49" x14ac:dyDescent="0.25">
      <c r="A488" s="16"/>
      <c r="B488" s="16"/>
      <c r="C488" s="16"/>
      <c r="D488" s="16"/>
      <c r="E488" s="16"/>
      <c r="F488" s="16"/>
      <c r="G488" s="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6"/>
      <c r="AD488" s="8"/>
      <c r="AE488" s="16"/>
      <c r="AF488" s="16"/>
      <c r="AG488" s="16"/>
      <c r="AH488" s="8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</row>
    <row r="489" spans="1:49" x14ac:dyDescent="0.25">
      <c r="A489" s="16"/>
      <c r="B489" s="16"/>
      <c r="C489" s="16"/>
      <c r="D489" s="16"/>
      <c r="E489" s="16"/>
      <c r="F489" s="16"/>
      <c r="G489" s="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6"/>
      <c r="AD489" s="8"/>
      <c r="AE489" s="16"/>
      <c r="AF489" s="16"/>
      <c r="AG489" s="16"/>
      <c r="AH489" s="8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</row>
    <row r="490" spans="1:49" x14ac:dyDescent="0.25">
      <c r="A490" s="16"/>
      <c r="B490" s="16"/>
      <c r="C490" s="16"/>
      <c r="D490" s="16"/>
      <c r="E490" s="16"/>
      <c r="F490" s="16"/>
      <c r="G490" s="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6"/>
      <c r="AD490" s="8"/>
      <c r="AE490" s="16"/>
      <c r="AF490" s="16"/>
      <c r="AG490" s="16"/>
      <c r="AH490" s="8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</row>
    <row r="491" spans="1:49" x14ac:dyDescent="0.25">
      <c r="A491" s="16"/>
      <c r="B491" s="16"/>
      <c r="C491" s="16"/>
      <c r="D491" s="16"/>
      <c r="E491" s="16"/>
      <c r="F491" s="16"/>
      <c r="G491" s="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6"/>
      <c r="AD491" s="8"/>
      <c r="AE491" s="16"/>
      <c r="AF491" s="16"/>
      <c r="AG491" s="16"/>
      <c r="AH491" s="8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</row>
    <row r="492" spans="1:49" x14ac:dyDescent="0.25">
      <c r="A492" s="16"/>
      <c r="B492" s="16"/>
      <c r="C492" s="16"/>
      <c r="D492" s="16"/>
      <c r="E492" s="16"/>
      <c r="F492" s="16"/>
      <c r="G492" s="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6"/>
      <c r="AD492" s="8"/>
      <c r="AE492" s="16"/>
      <c r="AF492" s="16"/>
      <c r="AG492" s="16"/>
      <c r="AH492" s="8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</row>
    <row r="493" spans="1:49" x14ac:dyDescent="0.25">
      <c r="A493" s="16"/>
      <c r="B493" s="16"/>
      <c r="C493" s="16"/>
      <c r="D493" s="16"/>
      <c r="E493" s="16"/>
      <c r="F493" s="16"/>
      <c r="G493" s="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6"/>
      <c r="AD493" s="8"/>
      <c r="AE493" s="16"/>
      <c r="AF493" s="16"/>
      <c r="AG493" s="16"/>
      <c r="AH493" s="8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</row>
    <row r="494" spans="1:49" x14ac:dyDescent="0.25">
      <c r="A494" s="16"/>
      <c r="B494" s="16"/>
      <c r="C494" s="16"/>
      <c r="D494" s="16"/>
      <c r="E494" s="16"/>
      <c r="F494" s="16"/>
      <c r="G494" s="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6"/>
      <c r="AD494" s="8"/>
      <c r="AE494" s="16"/>
      <c r="AF494" s="16"/>
      <c r="AG494" s="16"/>
      <c r="AH494" s="8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</row>
    <row r="495" spans="1:49" x14ac:dyDescent="0.25">
      <c r="A495" s="16"/>
      <c r="B495" s="16"/>
      <c r="C495" s="16"/>
      <c r="D495" s="16"/>
      <c r="E495" s="16"/>
      <c r="F495" s="16"/>
      <c r="G495" s="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6"/>
      <c r="AD495" s="8"/>
      <c r="AE495" s="16"/>
      <c r="AF495" s="16"/>
      <c r="AG495" s="16"/>
      <c r="AH495" s="8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</row>
    <row r="496" spans="1:49" x14ac:dyDescent="0.25">
      <c r="A496" s="16"/>
      <c r="B496" s="16"/>
      <c r="C496" s="16"/>
      <c r="D496" s="16"/>
      <c r="E496" s="16"/>
      <c r="F496" s="16"/>
      <c r="G496" s="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6"/>
      <c r="AD496" s="8"/>
      <c r="AE496" s="16"/>
      <c r="AF496" s="16"/>
      <c r="AG496" s="16"/>
      <c r="AH496" s="8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</row>
    <row r="497" spans="1:49" x14ac:dyDescent="0.25">
      <c r="A497" s="16"/>
      <c r="B497" s="16"/>
      <c r="C497" s="16"/>
      <c r="D497" s="16"/>
      <c r="E497" s="16"/>
      <c r="F497" s="16"/>
      <c r="G497" s="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6"/>
      <c r="AD497" s="8"/>
      <c r="AE497" s="16"/>
      <c r="AF497" s="16"/>
      <c r="AG497" s="16"/>
      <c r="AH497" s="8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</row>
    <row r="498" spans="1:49" x14ac:dyDescent="0.25">
      <c r="A498" s="16"/>
      <c r="B498" s="16"/>
      <c r="C498" s="16"/>
      <c r="D498" s="16"/>
      <c r="E498" s="16"/>
      <c r="F498" s="16"/>
      <c r="G498" s="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6"/>
      <c r="AD498" s="8"/>
      <c r="AE498" s="16"/>
      <c r="AF498" s="16"/>
      <c r="AG498" s="16"/>
      <c r="AH498" s="8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</row>
  </sheetData>
  <autoFilter ref="A3:AH6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2026-07-02T09:09:23Z</dcterms:created>
  <dcterms:modified xsi:type="dcterms:W3CDTF">2026-07-02T11:43:24Z</dcterms:modified>
</cp:coreProperties>
</file>