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829BE4DA-B1CC-4F6A-A4F1-3E2004ABEB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5" i="1" l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AB50" i="1" l="1"/>
  <c r="AD28" i="1"/>
  <c r="AD19" i="1"/>
  <c r="AE19" i="1" s="1"/>
  <c r="P66" i="1"/>
  <c r="T66" i="1" s="1"/>
  <c r="L66" i="1"/>
  <c r="F65" i="1"/>
  <c r="E65" i="1"/>
  <c r="L65" i="1" s="1"/>
  <c r="P64" i="1"/>
  <c r="T64" i="1" s="1"/>
  <c r="L64" i="1"/>
  <c r="P63" i="1"/>
  <c r="L63" i="1"/>
  <c r="P62" i="1"/>
  <c r="T62" i="1" s="1"/>
  <c r="L62" i="1"/>
  <c r="F61" i="1"/>
  <c r="E61" i="1"/>
  <c r="L61" i="1" s="1"/>
  <c r="P60" i="1"/>
  <c r="T60" i="1" s="1"/>
  <c r="L60" i="1"/>
  <c r="P59" i="1"/>
  <c r="Q59" i="1" s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L52" i="1"/>
  <c r="P51" i="1"/>
  <c r="L51" i="1"/>
  <c r="AD50" i="1"/>
  <c r="AE50" i="1" s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Q45" i="1" s="1"/>
  <c r="AB45" i="1" s="1"/>
  <c r="L45" i="1"/>
  <c r="F44" i="1"/>
  <c r="E44" i="1"/>
  <c r="P44" i="1" s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Q38" i="1" s="1"/>
  <c r="L38" i="1"/>
  <c r="P37" i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L29" i="1"/>
  <c r="AB28" i="1"/>
  <c r="P28" i="1"/>
  <c r="T28" i="1" s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F21" i="1"/>
  <c r="E21" i="1"/>
  <c r="P21" i="1" s="1"/>
  <c r="P20" i="1"/>
  <c r="L20" i="1"/>
  <c r="P19" i="1"/>
  <c r="T19" i="1" s="1"/>
  <c r="L19" i="1"/>
  <c r="P18" i="1"/>
  <c r="L18" i="1"/>
  <c r="P17" i="1"/>
  <c r="T17" i="1" s="1"/>
  <c r="L17" i="1"/>
  <c r="P16" i="1"/>
  <c r="L16" i="1"/>
  <c r="F15" i="1"/>
  <c r="E15" i="1"/>
  <c r="P14" i="1"/>
  <c r="L14" i="1"/>
  <c r="P13" i="1"/>
  <c r="T13" i="1" s="1"/>
  <c r="L13" i="1"/>
  <c r="P12" i="1"/>
  <c r="L12" i="1"/>
  <c r="P11" i="1"/>
  <c r="Q11" i="1" s="1"/>
  <c r="AB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47" i="1" l="1"/>
  <c r="Q47" i="1"/>
  <c r="T57" i="1"/>
  <c r="Q57" i="1"/>
  <c r="T16" i="1"/>
  <c r="Q16" i="1"/>
  <c r="T52" i="1"/>
  <c r="Q52" i="1"/>
  <c r="AD52" i="1" s="1"/>
  <c r="AH52" i="1" s="1"/>
  <c r="T11" i="1"/>
  <c r="F5" i="1"/>
  <c r="Q44" i="1"/>
  <c r="AB44" i="1" s="1"/>
  <c r="Q24" i="1"/>
  <c r="AD24" i="1" s="1"/>
  <c r="Q36" i="1"/>
  <c r="AD36" i="1" s="1"/>
  <c r="AE36" i="1" s="1"/>
  <c r="Q58" i="1"/>
  <c r="S8" i="1"/>
  <c r="T21" i="1"/>
  <c r="T38" i="1"/>
  <c r="AB52" i="1"/>
  <c r="Q64" i="1"/>
  <c r="AD64" i="1" s="1"/>
  <c r="AE64" i="1" s="1"/>
  <c r="S6" i="1"/>
  <c r="AD11" i="1"/>
  <c r="AE11" i="1" s="1"/>
  <c r="T12" i="1"/>
  <c r="T18" i="1"/>
  <c r="AB19" i="1"/>
  <c r="T20" i="1"/>
  <c r="S22" i="1"/>
  <c r="T22" i="1"/>
  <c r="T35" i="1"/>
  <c r="AB36" i="1"/>
  <c r="T37" i="1"/>
  <c r="T51" i="1"/>
  <c r="Q51" i="1"/>
  <c r="T63" i="1"/>
  <c r="Q63" i="1"/>
  <c r="AB64" i="1"/>
  <c r="Q17" i="1"/>
  <c r="AD30" i="1"/>
  <c r="AH30" i="1" s="1"/>
  <c r="AB30" i="1"/>
  <c r="AD38" i="1"/>
  <c r="AE38" i="1" s="1"/>
  <c r="AB38" i="1"/>
  <c r="T10" i="1"/>
  <c r="Q10" i="1"/>
  <c r="T14" i="1"/>
  <c r="Q14" i="1"/>
  <c r="T27" i="1"/>
  <c r="Q27" i="1"/>
  <c r="T29" i="1"/>
  <c r="T43" i="1"/>
  <c r="Q43" i="1"/>
  <c r="AD45" i="1"/>
  <c r="AE45" i="1" s="1"/>
  <c r="T59" i="1"/>
  <c r="AD40" i="1"/>
  <c r="AH40" i="1" s="1"/>
  <c r="AB40" i="1"/>
  <c r="Q48" i="1"/>
  <c r="AD56" i="1"/>
  <c r="AE56" i="1" s="1"/>
  <c r="AB56" i="1"/>
  <c r="AB60" i="1"/>
  <c r="AD60" i="1"/>
  <c r="AH60" i="1" s="1"/>
  <c r="Q39" i="1"/>
  <c r="Q41" i="1"/>
  <c r="Q49" i="1"/>
  <c r="P65" i="1"/>
  <c r="S7" i="1"/>
  <c r="R19" i="1"/>
  <c r="S19" i="1" s="1"/>
  <c r="AH19" i="1"/>
  <c r="T44" i="1"/>
  <c r="R50" i="1"/>
  <c r="S50" i="1" s="1"/>
  <c r="AH50" i="1"/>
  <c r="P61" i="1"/>
  <c r="S66" i="1"/>
  <c r="L21" i="1"/>
  <c r="T45" i="1"/>
  <c r="P15" i="1"/>
  <c r="Q15" i="1" s="1"/>
  <c r="E5" i="1"/>
  <c r="L15" i="1"/>
  <c r="AE28" i="1"/>
  <c r="AH28" i="1"/>
  <c r="R28" i="1"/>
  <c r="S28" i="1" s="1"/>
  <c r="L44" i="1"/>
  <c r="T65" i="1"/>
  <c r="AH36" i="1" l="1"/>
  <c r="R30" i="1"/>
  <c r="S30" i="1" s="1"/>
  <c r="AB24" i="1"/>
  <c r="AH64" i="1"/>
  <c r="AE40" i="1"/>
  <c r="AH11" i="1"/>
  <c r="AH38" i="1"/>
  <c r="AD44" i="1"/>
  <c r="AH44" i="1" s="1"/>
  <c r="R64" i="1"/>
  <c r="S64" i="1" s="1"/>
  <c r="R40" i="1"/>
  <c r="S40" i="1" s="1"/>
  <c r="R36" i="1"/>
  <c r="S36" i="1" s="1"/>
  <c r="R11" i="1"/>
  <c r="S11" i="1" s="1"/>
  <c r="R38" i="1"/>
  <c r="S38" i="1" s="1"/>
  <c r="AE30" i="1"/>
  <c r="R56" i="1"/>
  <c r="S56" i="1" s="1"/>
  <c r="AE24" i="1"/>
  <c r="R24" i="1"/>
  <c r="S24" i="1" s="1"/>
  <c r="AH24" i="1"/>
  <c r="AB58" i="1"/>
  <c r="AD58" i="1"/>
  <c r="AH56" i="1"/>
  <c r="T61" i="1"/>
  <c r="Q61" i="1"/>
  <c r="Q5" i="1" s="1"/>
  <c r="AB57" i="1"/>
  <c r="AD57" i="1"/>
  <c r="AB53" i="1"/>
  <c r="AD53" i="1"/>
  <c r="AB47" i="1"/>
  <c r="AD47" i="1"/>
  <c r="AB39" i="1"/>
  <c r="AD39" i="1"/>
  <c r="AB31" i="1"/>
  <c r="AD31" i="1"/>
  <c r="AB23" i="1"/>
  <c r="AD23" i="1"/>
  <c r="AE60" i="1"/>
  <c r="R60" i="1"/>
  <c r="S60" i="1" s="1"/>
  <c r="AE52" i="1"/>
  <c r="R52" i="1"/>
  <c r="S52" i="1" s="1"/>
  <c r="AD48" i="1"/>
  <c r="AB48" i="1"/>
  <c r="AD59" i="1"/>
  <c r="AB59" i="1"/>
  <c r="AH45" i="1"/>
  <c r="R45" i="1"/>
  <c r="S45" i="1" s="1"/>
  <c r="AD54" i="1"/>
  <c r="AB54" i="1"/>
  <c r="AD42" i="1"/>
  <c r="AB42" i="1"/>
  <c r="AD26" i="1"/>
  <c r="AB26" i="1"/>
  <c r="AB17" i="1"/>
  <c r="AD17" i="1"/>
  <c r="AD9" i="1"/>
  <c r="AB9" i="1"/>
  <c r="AD63" i="1"/>
  <c r="AB63" i="1"/>
  <c r="AD51" i="1"/>
  <c r="AB51" i="1"/>
  <c r="AD37" i="1"/>
  <c r="AB37" i="1"/>
  <c r="AD18" i="1"/>
  <c r="AB18" i="1"/>
  <c r="AD12" i="1"/>
  <c r="AB12" i="1"/>
  <c r="AE44" i="1"/>
  <c r="AB15" i="1"/>
  <c r="AD15" i="1"/>
  <c r="AB55" i="1"/>
  <c r="AD55" i="1"/>
  <c r="AB49" i="1"/>
  <c r="AD49" i="1"/>
  <c r="AB41" i="1"/>
  <c r="AD41" i="1"/>
  <c r="AB33" i="1"/>
  <c r="AD33" i="1"/>
  <c r="AB25" i="1"/>
  <c r="AD25" i="1"/>
  <c r="AB16" i="1"/>
  <c r="AD16" i="1"/>
  <c r="AD32" i="1"/>
  <c r="AB32" i="1"/>
  <c r="AD43" i="1"/>
  <c r="AB43" i="1"/>
  <c r="AD29" i="1"/>
  <c r="AB29" i="1"/>
  <c r="AD27" i="1"/>
  <c r="AB27" i="1"/>
  <c r="AB14" i="1"/>
  <c r="AD14" i="1"/>
  <c r="AB10" i="1"/>
  <c r="AD10" i="1"/>
  <c r="AD62" i="1"/>
  <c r="AB62" i="1"/>
  <c r="AD46" i="1"/>
  <c r="AB46" i="1"/>
  <c r="AD34" i="1"/>
  <c r="AB34" i="1"/>
  <c r="AB21" i="1"/>
  <c r="AD21" i="1"/>
  <c r="AB13" i="1"/>
  <c r="AD13" i="1"/>
  <c r="AD35" i="1"/>
  <c r="AB35" i="1"/>
  <c r="AD20" i="1"/>
  <c r="AB20" i="1"/>
  <c r="L5" i="1"/>
  <c r="T15" i="1"/>
  <c r="P5" i="1"/>
  <c r="R44" i="1" l="1"/>
  <c r="S44" i="1" s="1"/>
  <c r="AE58" i="1"/>
  <c r="R58" i="1"/>
  <c r="S58" i="1" s="1"/>
  <c r="AH58" i="1"/>
  <c r="AH20" i="1"/>
  <c r="R20" i="1"/>
  <c r="S20" i="1" s="1"/>
  <c r="AE20" i="1"/>
  <c r="AH35" i="1"/>
  <c r="R35" i="1"/>
  <c r="S35" i="1" s="1"/>
  <c r="AE35" i="1"/>
  <c r="AE34" i="1"/>
  <c r="R34" i="1"/>
  <c r="S34" i="1" s="1"/>
  <c r="AH34" i="1"/>
  <c r="AE46" i="1"/>
  <c r="AH46" i="1"/>
  <c r="R46" i="1"/>
  <c r="S46" i="1" s="1"/>
  <c r="AE62" i="1"/>
  <c r="AH62" i="1"/>
  <c r="R62" i="1"/>
  <c r="S62" i="1" s="1"/>
  <c r="AH27" i="1"/>
  <c r="R27" i="1"/>
  <c r="S27" i="1" s="1"/>
  <c r="AE27" i="1"/>
  <c r="AH29" i="1"/>
  <c r="R29" i="1"/>
  <c r="S29" i="1" s="1"/>
  <c r="AE29" i="1"/>
  <c r="AH43" i="1"/>
  <c r="R43" i="1"/>
  <c r="S43" i="1" s="1"/>
  <c r="AE43" i="1"/>
  <c r="AE32" i="1"/>
  <c r="R32" i="1"/>
  <c r="S32" i="1" s="1"/>
  <c r="AH32" i="1"/>
  <c r="AD65" i="1"/>
  <c r="AB65" i="1"/>
  <c r="AE15" i="1"/>
  <c r="R15" i="1"/>
  <c r="S15" i="1" s="1"/>
  <c r="AH15" i="1"/>
  <c r="AE17" i="1"/>
  <c r="R17" i="1"/>
  <c r="S17" i="1" s="1"/>
  <c r="AH17" i="1"/>
  <c r="AH23" i="1"/>
  <c r="R23" i="1"/>
  <c r="S23" i="1" s="1"/>
  <c r="AE23" i="1"/>
  <c r="AH31" i="1"/>
  <c r="R31" i="1"/>
  <c r="S31" i="1" s="1"/>
  <c r="AE31" i="1"/>
  <c r="AH39" i="1"/>
  <c r="R39" i="1"/>
  <c r="S39" i="1" s="1"/>
  <c r="AE39" i="1"/>
  <c r="AH47" i="1"/>
  <c r="R47" i="1"/>
  <c r="S47" i="1" s="1"/>
  <c r="AE47" i="1"/>
  <c r="AH53" i="1"/>
  <c r="R53" i="1"/>
  <c r="S53" i="1" s="1"/>
  <c r="AE53" i="1"/>
  <c r="AH57" i="1"/>
  <c r="AE57" i="1"/>
  <c r="R57" i="1"/>
  <c r="S57" i="1" s="1"/>
  <c r="AB61" i="1"/>
  <c r="AD61" i="1"/>
  <c r="AE13" i="1"/>
  <c r="AH13" i="1"/>
  <c r="R13" i="1"/>
  <c r="S13" i="1" s="1"/>
  <c r="AE21" i="1"/>
  <c r="AH21" i="1"/>
  <c r="R21" i="1"/>
  <c r="S21" i="1" s="1"/>
  <c r="AH10" i="1"/>
  <c r="R10" i="1"/>
  <c r="S10" i="1" s="1"/>
  <c r="AE10" i="1"/>
  <c r="AH14" i="1"/>
  <c r="R14" i="1"/>
  <c r="S14" i="1" s="1"/>
  <c r="AE14" i="1"/>
  <c r="AH16" i="1"/>
  <c r="R16" i="1"/>
  <c r="S16" i="1" s="1"/>
  <c r="AE16" i="1"/>
  <c r="AH25" i="1"/>
  <c r="R25" i="1"/>
  <c r="S25" i="1" s="1"/>
  <c r="AE25" i="1"/>
  <c r="AH33" i="1"/>
  <c r="R33" i="1"/>
  <c r="S33" i="1" s="1"/>
  <c r="AE33" i="1"/>
  <c r="AH41" i="1"/>
  <c r="R41" i="1"/>
  <c r="S41" i="1" s="1"/>
  <c r="AE41" i="1"/>
  <c r="AH49" i="1"/>
  <c r="AE49" i="1"/>
  <c r="R49" i="1"/>
  <c r="S49" i="1" s="1"/>
  <c r="AH55" i="1"/>
  <c r="R55" i="1"/>
  <c r="S55" i="1" s="1"/>
  <c r="AE55" i="1"/>
  <c r="AH12" i="1"/>
  <c r="R12" i="1"/>
  <c r="S12" i="1" s="1"/>
  <c r="AE12" i="1"/>
  <c r="AH18" i="1"/>
  <c r="R18" i="1"/>
  <c r="S18" i="1" s="1"/>
  <c r="AE18" i="1"/>
  <c r="AH37" i="1"/>
  <c r="R37" i="1"/>
  <c r="S37" i="1" s="1"/>
  <c r="AE37" i="1"/>
  <c r="AH51" i="1"/>
  <c r="R51" i="1"/>
  <c r="S51" i="1" s="1"/>
  <c r="AE51" i="1"/>
  <c r="AH63" i="1"/>
  <c r="R63" i="1"/>
  <c r="S63" i="1" s="1"/>
  <c r="AE63" i="1"/>
  <c r="AE9" i="1"/>
  <c r="AH9" i="1"/>
  <c r="R9" i="1"/>
  <c r="AE26" i="1"/>
  <c r="R26" i="1"/>
  <c r="S26" i="1" s="1"/>
  <c r="AH26" i="1"/>
  <c r="AE42" i="1"/>
  <c r="R42" i="1"/>
  <c r="S42" i="1" s="1"/>
  <c r="AH42" i="1"/>
  <c r="AE54" i="1"/>
  <c r="AH54" i="1"/>
  <c r="R54" i="1"/>
  <c r="S54" i="1" s="1"/>
  <c r="AH59" i="1"/>
  <c r="R59" i="1"/>
  <c r="S59" i="1" s="1"/>
  <c r="AE59" i="1"/>
  <c r="AE48" i="1"/>
  <c r="AH48" i="1"/>
  <c r="R48" i="1"/>
  <c r="S48" i="1" s="1"/>
  <c r="AD5" i="1" l="1"/>
  <c r="AB5" i="1"/>
  <c r="AH61" i="1"/>
  <c r="R61" i="1"/>
  <c r="S61" i="1" s="1"/>
  <c r="AE61" i="1"/>
  <c r="AH65" i="1"/>
  <c r="R65" i="1"/>
  <c r="S65" i="1" s="1"/>
  <c r="AE65" i="1"/>
  <c r="S9" i="1"/>
  <c r="AE5" i="1" l="1"/>
  <c r="AH5" i="1"/>
  <c r="R5" i="1"/>
</calcChain>
</file>

<file path=xl/sharedStrings.xml><?xml version="1.0" encoding="utf-8"?>
<sst xmlns="http://schemas.openxmlformats.org/spreadsheetml/2006/main" count="190" uniqueCount="105">
  <si>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</si>
  <si>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</si>
  <si>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</si>
  <si>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</si>
  <si>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</si>
  <si>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</si>
  <si>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</si>
  <si>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</si>
  <si>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</si>
  <si>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</si>
  <si>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</si>
  <si>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</si>
  <si>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</si>
  <si>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</si>
  <si>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</si>
  <si>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</si>
  <si>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</si>
  <si>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</si>
  <si>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</si>
  <si>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</si>
  <si>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</si>
  <si>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</si>
  <si>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</si>
  <si>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</si>
  <si>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</si>
  <si>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</si>
  <si>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</si>
  <si>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</si>
  <si>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</si>
  <si>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 в дороге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</si>
  <si>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</si>
  <si>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</si>
  <si>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</si>
  <si>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</si>
  <si>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</si>
  <si>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</si>
  <si>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</si>
  <si>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</si>
  <si>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</si>
  <si>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</si>
  <si>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</si>
  <si>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</si>
  <si>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</si>
  <si>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</si>
  <si>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</si>
  <si>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</si>
  <si>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</si>
  <si>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</si>
  <si>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</si>
  <si>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</si>
  <si>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</si>
  <si>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</si>
  <si>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</si>
  <si>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</si>
  <si>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</si>
  <si>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</si>
  <si>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</si>
  <si>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</si>
  <si>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</si>
  <si>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</si>
  <si>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</si>
  <si>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</si>
  <si>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нужно увеличить продажи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</si>
  <si>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</si>
  <si>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</si>
  <si>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</si>
  <si>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</si>
  <si>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</si>
  <si>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</si>
  <si>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</si>
  <si>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</si>
  <si>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</si>
  <si>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</si>
  <si>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</si>
  <si>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</si>
  <si>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</si>
  <si>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</si>
  <si>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нужно увеличить продажи!!!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</si>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</sst>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2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крат кор</v>
          </cell>
          <cell r="AG3" t="str">
            <v>заказ кор.</v>
          </cell>
          <cell r="AH3" t="str">
            <v>ВЕС</v>
          </cell>
          <cell r="AI3" t="str">
            <v>ряд</v>
          </cell>
          <cell r="AJ3" t="str">
            <v>паллет</v>
          </cell>
        </row>
        <row r="4">
          <cell r="O4" t="str">
            <v>22,06,</v>
          </cell>
          <cell r="P4" t="str">
            <v>29,06,</v>
          </cell>
          <cell r="Q4" t="str">
            <v>02,07,</v>
          </cell>
          <cell r="X4" t="str">
            <v>25,06,</v>
          </cell>
          <cell r="Y4" t="str">
            <v>18,06,</v>
          </cell>
          <cell r="Z4" t="str">
            <v>11,06,</v>
          </cell>
          <cell r="AA4" t="str">
            <v>04,06,</v>
          </cell>
          <cell r="AB4" t="str">
            <v>28,05,</v>
          </cell>
          <cell r="AC4" t="str">
            <v>21,05,</v>
          </cell>
        </row>
        <row r="5">
          <cell r="E5">
            <v>11365</v>
          </cell>
          <cell r="F5">
            <v>5060.6000000000004</v>
          </cell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7305.34</v>
          </cell>
          <cell r="S5">
            <v>7335.8</v>
          </cell>
          <cell r="T5">
            <v>0</v>
          </cell>
          <cell r="X5">
            <v>2385.1799999999998</v>
          </cell>
          <cell r="Y5">
            <v>2426.4199999999996</v>
          </cell>
          <cell r="Z5">
            <v>2159.9659999999994</v>
          </cell>
          <cell r="AA5">
            <v>2317.7799999999997</v>
          </cell>
          <cell r="AB5">
            <v>2162.94</v>
          </cell>
          <cell r="AC5">
            <v>2675.66</v>
          </cell>
          <cell r="AE5">
            <v>2749.1819999999998</v>
          </cell>
          <cell r="AG5">
            <v>762</v>
          </cell>
          <cell r="AH5">
            <v>2774.6000000000004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O6">
            <v>0</v>
          </cell>
          <cell r="Q6">
            <v>4.2</v>
          </cell>
          <cell r="V6">
            <v>-19.523809523809522</v>
          </cell>
          <cell r="W6">
            <v>-19.523809523809522</v>
          </cell>
          <cell r="X6">
            <v>9</v>
          </cell>
          <cell r="Y6">
            <v>11.2</v>
          </cell>
          <cell r="Z6">
            <v>6</v>
          </cell>
          <cell r="AA6">
            <v>10.199999999999999</v>
          </cell>
          <cell r="AB6">
            <v>9.6</v>
          </cell>
          <cell r="AC6">
            <v>37.6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O7">
            <v>0</v>
          </cell>
          <cell r="Q7">
            <v>12.6</v>
          </cell>
          <cell r="V7">
            <v>-0.87301587301587302</v>
          </cell>
          <cell r="W7">
            <v>-0.87301587301587302</v>
          </cell>
          <cell r="X7">
            <v>13.8</v>
          </cell>
          <cell r="Y7">
            <v>12.6</v>
          </cell>
          <cell r="Z7">
            <v>9</v>
          </cell>
          <cell r="AA7">
            <v>10</v>
          </cell>
          <cell r="AB7">
            <v>17</v>
          </cell>
          <cell r="AC7">
            <v>36.6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Q8">
            <v>1.48</v>
          </cell>
          <cell r="V8">
            <v>-5</v>
          </cell>
          <cell r="W8">
            <v>-5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O9">
            <v>0</v>
          </cell>
          <cell r="Q9">
            <v>0.4</v>
          </cell>
          <cell r="V9">
            <v>80</v>
          </cell>
          <cell r="W9">
            <v>80</v>
          </cell>
          <cell r="X9">
            <v>5.2</v>
          </cell>
          <cell r="Y9">
            <v>8.4</v>
          </cell>
          <cell r="Z9">
            <v>0.2</v>
          </cell>
          <cell r="AA9">
            <v>0.8</v>
          </cell>
          <cell r="AB9">
            <v>2.6</v>
          </cell>
          <cell r="AC9">
            <v>10.4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K10">
            <v>25</v>
          </cell>
          <cell r="L10">
            <v>1</v>
          </cell>
          <cell r="O10">
            <v>168</v>
          </cell>
          <cell r="P10">
            <v>168</v>
          </cell>
          <cell r="Q10">
            <v>5.2</v>
          </cell>
          <cell r="S10">
            <v>0</v>
          </cell>
          <cell r="V10">
            <v>65.384615384615387</v>
          </cell>
          <cell r="W10">
            <v>65.384615384615387</v>
          </cell>
          <cell r="X10">
            <v>11</v>
          </cell>
          <cell r="Y10">
            <v>7.6</v>
          </cell>
          <cell r="Z10">
            <v>7.6</v>
          </cell>
          <cell r="AA10">
            <v>7.6</v>
          </cell>
          <cell r="AB10">
            <v>11.2</v>
          </cell>
          <cell r="AC10">
            <v>6.2</v>
          </cell>
          <cell r="AE10">
            <v>0</v>
          </cell>
          <cell r="AF10">
            <v>12</v>
          </cell>
          <cell r="AG10">
            <v>0</v>
          </cell>
          <cell r="AH10">
            <v>0</v>
          </cell>
          <cell r="AI10">
            <v>14</v>
          </cell>
          <cell r="AJ10">
            <v>70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K11">
            <v>194</v>
          </cell>
          <cell r="L11">
            <v>25</v>
          </cell>
          <cell r="O11">
            <v>168</v>
          </cell>
          <cell r="P11">
            <v>168</v>
          </cell>
          <cell r="Q11">
            <v>43.8</v>
          </cell>
          <cell r="R11">
            <v>199.19999999999993</v>
          </cell>
          <cell r="S11">
            <v>168</v>
          </cell>
          <cell r="V11">
            <v>13.287671232876713</v>
          </cell>
          <cell r="W11">
            <v>9.4520547945205493</v>
          </cell>
          <cell r="X11">
            <v>20.2</v>
          </cell>
          <cell r="Y11">
            <v>29.8</v>
          </cell>
          <cell r="Z11">
            <v>30.6</v>
          </cell>
          <cell r="AA11">
            <v>22.2</v>
          </cell>
          <cell r="AB11">
            <v>27</v>
          </cell>
          <cell r="AC11">
            <v>27.4</v>
          </cell>
          <cell r="AE11">
            <v>59.759999999999977</v>
          </cell>
          <cell r="AF11">
            <v>12</v>
          </cell>
          <cell r="AG11">
            <v>14</v>
          </cell>
          <cell r="AH11">
            <v>50.4</v>
          </cell>
          <cell r="AI11">
            <v>14</v>
          </cell>
          <cell r="AJ11">
            <v>70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180</v>
          </cell>
          <cell r="L12">
            <v>-21</v>
          </cell>
          <cell r="O12">
            <v>84</v>
          </cell>
          <cell r="P12">
            <v>504</v>
          </cell>
          <cell r="Q12">
            <v>31.8</v>
          </cell>
          <cell r="S12">
            <v>0</v>
          </cell>
          <cell r="V12">
            <v>18.490566037735849</v>
          </cell>
          <cell r="W12">
            <v>18.490566037735849</v>
          </cell>
          <cell r="X12">
            <v>72</v>
          </cell>
          <cell r="Y12">
            <v>50.4</v>
          </cell>
          <cell r="Z12">
            <v>4.8</v>
          </cell>
          <cell r="AA12">
            <v>46.2</v>
          </cell>
          <cell r="AB12">
            <v>53</v>
          </cell>
          <cell r="AC12">
            <v>89.2</v>
          </cell>
          <cell r="AE12">
            <v>0</v>
          </cell>
          <cell r="AF12">
            <v>6</v>
          </cell>
          <cell r="AG12">
            <v>0</v>
          </cell>
          <cell r="AH12">
            <v>0</v>
          </cell>
          <cell r="AI12">
            <v>14</v>
          </cell>
          <cell r="AJ12">
            <v>140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K13">
            <v>468</v>
          </cell>
          <cell r="L13">
            <v>33</v>
          </cell>
          <cell r="O13">
            <v>672</v>
          </cell>
          <cell r="P13">
            <v>168</v>
          </cell>
          <cell r="Q13">
            <v>100.2</v>
          </cell>
          <cell r="R13">
            <v>547.79999999999995</v>
          </cell>
          <cell r="S13">
            <v>504</v>
          </cell>
          <cell r="V13">
            <v>13.562874251497005</v>
          </cell>
          <cell r="W13">
            <v>8.5329341317365266</v>
          </cell>
          <cell r="X13">
            <v>39</v>
          </cell>
          <cell r="Y13">
            <v>70</v>
          </cell>
          <cell r="Z13">
            <v>68.599999999999994</v>
          </cell>
          <cell r="AA13">
            <v>57</v>
          </cell>
          <cell r="AB13">
            <v>68</v>
          </cell>
          <cell r="AC13">
            <v>76.2</v>
          </cell>
          <cell r="AE13">
            <v>131.47199999999998</v>
          </cell>
          <cell r="AF13">
            <v>12</v>
          </cell>
          <cell r="AG13">
            <v>42</v>
          </cell>
          <cell r="AH13">
            <v>120.96</v>
          </cell>
          <cell r="AI13">
            <v>14</v>
          </cell>
          <cell r="AJ13">
            <v>70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K14">
            <v>343</v>
          </cell>
          <cell r="L14">
            <v>71</v>
          </cell>
          <cell r="O14">
            <v>168</v>
          </cell>
          <cell r="P14">
            <v>336</v>
          </cell>
          <cell r="Q14">
            <v>82.8</v>
          </cell>
          <cell r="R14">
            <v>677.2</v>
          </cell>
          <cell r="S14">
            <v>672</v>
          </cell>
          <cell r="V14">
            <v>13.937198067632851</v>
          </cell>
          <cell r="W14">
            <v>5.8212560386473431</v>
          </cell>
          <cell r="X14">
            <v>80.599999999999994</v>
          </cell>
          <cell r="Y14">
            <v>94.6</v>
          </cell>
          <cell r="Z14">
            <v>67.8</v>
          </cell>
          <cell r="AA14">
            <v>77.599999999999994</v>
          </cell>
          <cell r="AB14">
            <v>50.4</v>
          </cell>
          <cell r="AC14">
            <v>75.2</v>
          </cell>
          <cell r="AE14">
            <v>162.52799999999999</v>
          </cell>
          <cell r="AF14">
            <v>12</v>
          </cell>
          <cell r="AG14">
            <v>56</v>
          </cell>
          <cell r="AH14">
            <v>161.28</v>
          </cell>
          <cell r="AI14">
            <v>14</v>
          </cell>
          <cell r="AJ14">
            <v>70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K15">
            <v>197</v>
          </cell>
          <cell r="L15">
            <v>46</v>
          </cell>
          <cell r="O15">
            <v>336</v>
          </cell>
          <cell r="P15">
            <v>336</v>
          </cell>
          <cell r="Q15">
            <v>48.6</v>
          </cell>
          <cell r="S15">
            <v>0</v>
          </cell>
          <cell r="V15">
            <v>13.868312757201645</v>
          </cell>
          <cell r="W15">
            <v>13.868312757201645</v>
          </cell>
          <cell r="X15">
            <v>46.6</v>
          </cell>
          <cell r="Y15">
            <v>47.8</v>
          </cell>
          <cell r="Z15">
            <v>38.6</v>
          </cell>
          <cell r="AA15">
            <v>20.8</v>
          </cell>
          <cell r="AB15">
            <v>47.6</v>
          </cell>
          <cell r="AC15">
            <v>42</v>
          </cell>
          <cell r="AE15">
            <v>0</v>
          </cell>
          <cell r="AF15">
            <v>12</v>
          </cell>
          <cell r="AG15">
            <v>0</v>
          </cell>
          <cell r="AH15">
            <v>0</v>
          </cell>
          <cell r="AI15">
            <v>14</v>
          </cell>
          <cell r="AJ15">
            <v>70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K16">
            <v>434</v>
          </cell>
          <cell r="L16">
            <v>12</v>
          </cell>
          <cell r="O16">
            <v>336</v>
          </cell>
          <cell r="P16">
            <v>336</v>
          </cell>
          <cell r="Q16">
            <v>89.2</v>
          </cell>
          <cell r="R16">
            <v>557.79999999999995</v>
          </cell>
          <cell r="S16">
            <v>504</v>
          </cell>
          <cell r="V16">
            <v>13.396860986547084</v>
          </cell>
          <cell r="W16">
            <v>7.746636771300448</v>
          </cell>
          <cell r="X16">
            <v>81.599999999999994</v>
          </cell>
          <cell r="Y16">
            <v>46.6</v>
          </cell>
          <cell r="Z16">
            <v>53.2</v>
          </cell>
          <cell r="AA16">
            <v>82.6</v>
          </cell>
          <cell r="AB16">
            <v>50.4</v>
          </cell>
          <cell r="AC16">
            <v>78</v>
          </cell>
          <cell r="AE16">
            <v>133.87199999999999</v>
          </cell>
          <cell r="AF16">
            <v>12</v>
          </cell>
          <cell r="AG16">
            <v>42</v>
          </cell>
          <cell r="AH16">
            <v>120.96</v>
          </cell>
          <cell r="AI16">
            <v>14</v>
          </cell>
          <cell r="AJ16">
            <v>70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  <cell r="K17">
            <v>16</v>
          </cell>
          <cell r="L17">
            <v>-13</v>
          </cell>
          <cell r="O17">
            <v>336</v>
          </cell>
          <cell r="P17">
            <v>112</v>
          </cell>
          <cell r="Q17">
            <v>0.6</v>
          </cell>
          <cell r="S17">
            <v>0</v>
          </cell>
          <cell r="V17">
            <v>746.66666666666674</v>
          </cell>
          <cell r="W17">
            <v>746.66666666666674</v>
          </cell>
          <cell r="X17">
            <v>3.8</v>
          </cell>
          <cell r="Y17">
            <v>20.2</v>
          </cell>
          <cell r="Z17">
            <v>0</v>
          </cell>
          <cell r="AA17">
            <v>10</v>
          </cell>
          <cell r="AB17">
            <v>16.399999999999999</v>
          </cell>
          <cell r="AC17">
            <v>23.2</v>
          </cell>
          <cell r="AE17">
            <v>0</v>
          </cell>
          <cell r="AF17">
            <v>8</v>
          </cell>
          <cell r="AG17">
            <v>0</v>
          </cell>
          <cell r="AH17">
            <v>0</v>
          </cell>
          <cell r="AI17">
            <v>14</v>
          </cell>
          <cell r="AJ17">
            <v>70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K18">
            <v>16</v>
          </cell>
          <cell r="L18">
            <v>-16</v>
          </cell>
          <cell r="O18">
            <v>0</v>
          </cell>
          <cell r="P18">
            <v>336</v>
          </cell>
          <cell r="Q18">
            <v>0</v>
          </cell>
          <cell r="S18">
            <v>0</v>
          </cell>
          <cell r="V18" t="e">
            <v>#DIV/0!</v>
          </cell>
          <cell r="W18" t="e">
            <v>#DIV/0!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42.2</v>
          </cell>
          <cell r="AE18">
            <v>0</v>
          </cell>
          <cell r="AF18">
            <v>24</v>
          </cell>
          <cell r="AG18">
            <v>0</v>
          </cell>
          <cell r="AH18">
            <v>0</v>
          </cell>
          <cell r="AI18">
            <v>14</v>
          </cell>
          <cell r="AJ18">
            <v>126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K19">
            <v>216</v>
          </cell>
          <cell r="L19">
            <v>9</v>
          </cell>
          <cell r="O19">
            <v>140</v>
          </cell>
          <cell r="P19">
            <v>0</v>
          </cell>
          <cell r="Q19">
            <v>45</v>
          </cell>
          <cell r="R19">
            <v>384</v>
          </cell>
          <cell r="S19">
            <v>420</v>
          </cell>
          <cell r="V19">
            <v>14.8</v>
          </cell>
          <cell r="W19">
            <v>5.4666666666666668</v>
          </cell>
          <cell r="X19">
            <v>17.2</v>
          </cell>
          <cell r="Y19">
            <v>24</v>
          </cell>
          <cell r="Z19">
            <v>36</v>
          </cell>
          <cell r="AA19">
            <v>33.4</v>
          </cell>
          <cell r="AB19">
            <v>27.2</v>
          </cell>
          <cell r="AC19">
            <v>30.8</v>
          </cell>
          <cell r="AE19">
            <v>138.24</v>
          </cell>
          <cell r="AF19">
            <v>10</v>
          </cell>
          <cell r="AG19">
            <v>42</v>
          </cell>
          <cell r="AH19">
            <v>151.19999999999999</v>
          </cell>
          <cell r="AI19">
            <v>14</v>
          </cell>
          <cell r="AJ19">
            <v>70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16</v>
          </cell>
          <cell r="L20">
            <v>-16</v>
          </cell>
          <cell r="O20">
            <v>0</v>
          </cell>
          <cell r="P20">
            <v>0</v>
          </cell>
          <cell r="Q20">
            <v>0</v>
          </cell>
          <cell r="V20" t="e">
            <v>#DIV/0!</v>
          </cell>
          <cell r="W20" t="e">
            <v>#DIV/0!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нужно увеличить продажи!!! / НЕТ В БЛАНКЕ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  <cell r="K21">
            <v>16</v>
          </cell>
          <cell r="L21">
            <v>-16</v>
          </cell>
          <cell r="O21">
            <v>336</v>
          </cell>
          <cell r="P21">
            <v>168</v>
          </cell>
          <cell r="Q21">
            <v>0</v>
          </cell>
          <cell r="S21">
            <v>0</v>
          </cell>
          <cell r="V21" t="e">
            <v>#DIV/0!</v>
          </cell>
          <cell r="W21" t="e">
            <v>#DIV/0!</v>
          </cell>
          <cell r="X21">
            <v>1.6</v>
          </cell>
          <cell r="Y21">
            <v>22.8</v>
          </cell>
          <cell r="Z21">
            <v>9.1999999999999993</v>
          </cell>
          <cell r="AA21">
            <v>4.2</v>
          </cell>
          <cell r="AB21">
            <v>9</v>
          </cell>
          <cell r="AC21">
            <v>12.8</v>
          </cell>
          <cell r="AE21">
            <v>0</v>
          </cell>
          <cell r="AF21">
            <v>12</v>
          </cell>
          <cell r="AG21">
            <v>0</v>
          </cell>
          <cell r="AH21">
            <v>0</v>
          </cell>
          <cell r="AI21">
            <v>14</v>
          </cell>
          <cell r="AJ21">
            <v>70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K22">
            <v>356</v>
          </cell>
          <cell r="L22">
            <v>43</v>
          </cell>
          <cell r="O22">
            <v>336</v>
          </cell>
          <cell r="P22">
            <v>168</v>
          </cell>
          <cell r="Q22">
            <v>79.8</v>
          </cell>
          <cell r="R22">
            <v>618.20000000000005</v>
          </cell>
          <cell r="S22">
            <v>672</v>
          </cell>
          <cell r="V22">
            <v>14.674185463659148</v>
          </cell>
          <cell r="W22">
            <v>6.2531328320802011</v>
          </cell>
          <cell r="X22">
            <v>28.6</v>
          </cell>
          <cell r="Y22">
            <v>48</v>
          </cell>
          <cell r="Z22">
            <v>53.4</v>
          </cell>
          <cell r="AA22">
            <v>39.4</v>
          </cell>
          <cell r="AB22">
            <v>34.200000000000003</v>
          </cell>
          <cell r="AC22">
            <v>47.2</v>
          </cell>
          <cell r="AE22">
            <v>123.64000000000001</v>
          </cell>
          <cell r="AF22">
            <v>12</v>
          </cell>
          <cell r="AG22">
            <v>56</v>
          </cell>
          <cell r="AH22">
            <v>134.4</v>
          </cell>
          <cell r="AI22">
            <v>14</v>
          </cell>
          <cell r="AJ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K23">
            <v>192</v>
          </cell>
          <cell r="L23">
            <v>14</v>
          </cell>
          <cell r="O23">
            <v>336</v>
          </cell>
          <cell r="P23">
            <v>168</v>
          </cell>
          <cell r="Q23">
            <v>41.2</v>
          </cell>
          <cell r="R23">
            <v>140.20000000000005</v>
          </cell>
          <cell r="S23">
            <v>168</v>
          </cell>
          <cell r="V23">
            <v>16.674757281553397</v>
          </cell>
          <cell r="W23">
            <v>12.597087378640776</v>
          </cell>
          <cell r="X23">
            <v>26</v>
          </cell>
          <cell r="Y23">
            <v>11.6</v>
          </cell>
          <cell r="Z23">
            <v>21</v>
          </cell>
          <cell r="AA23">
            <v>11.4</v>
          </cell>
          <cell r="AB23">
            <v>19.8</v>
          </cell>
          <cell r="AC23">
            <v>25.2</v>
          </cell>
          <cell r="AE23">
            <v>28.04000000000001</v>
          </cell>
          <cell r="AF23">
            <v>12</v>
          </cell>
          <cell r="AG23">
            <v>14</v>
          </cell>
          <cell r="AH23">
            <v>33.6</v>
          </cell>
          <cell r="AI23">
            <v>14</v>
          </cell>
          <cell r="AJ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K24">
            <v>60</v>
          </cell>
          <cell r="L24">
            <v>-60</v>
          </cell>
          <cell r="O24">
            <v>0</v>
          </cell>
          <cell r="P24">
            <v>60</v>
          </cell>
          <cell r="Q24">
            <v>0</v>
          </cell>
          <cell r="S24">
            <v>0</v>
          </cell>
          <cell r="V24" t="e">
            <v>#DIV/0!</v>
          </cell>
          <cell r="W24" t="e">
            <v>#DIV/0!</v>
          </cell>
          <cell r="X24">
            <v>0</v>
          </cell>
          <cell r="Y24">
            <v>10</v>
          </cell>
          <cell r="Z24">
            <v>20</v>
          </cell>
          <cell r="AA24">
            <v>20</v>
          </cell>
          <cell r="AB24">
            <v>18</v>
          </cell>
          <cell r="AC24">
            <v>15</v>
          </cell>
          <cell r="AE24">
            <v>0</v>
          </cell>
          <cell r="AF24">
            <v>5</v>
          </cell>
          <cell r="AG24">
            <v>0</v>
          </cell>
          <cell r="AH24">
            <v>0</v>
          </cell>
          <cell r="AI24">
            <v>12</v>
          </cell>
          <cell r="AJ24">
            <v>84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K25">
            <v>41.8</v>
          </cell>
          <cell r="L25">
            <v>0.20000000000000284</v>
          </cell>
          <cell r="O25">
            <v>210</v>
          </cell>
          <cell r="P25">
            <v>210</v>
          </cell>
          <cell r="Q25">
            <v>8.4</v>
          </cell>
          <cell r="S25">
            <v>0</v>
          </cell>
          <cell r="V25">
            <v>57.857142857142854</v>
          </cell>
          <cell r="W25">
            <v>57.857142857142854</v>
          </cell>
          <cell r="X25">
            <v>14.4</v>
          </cell>
          <cell r="Y25">
            <v>7.2</v>
          </cell>
          <cell r="Z25">
            <v>12.6</v>
          </cell>
          <cell r="AA25">
            <v>11.4</v>
          </cell>
          <cell r="AB25">
            <v>10.74</v>
          </cell>
          <cell r="AC25">
            <v>12.6</v>
          </cell>
          <cell r="AE25">
            <v>0</v>
          </cell>
          <cell r="AF25">
            <v>3</v>
          </cell>
          <cell r="AG25">
            <v>0</v>
          </cell>
          <cell r="AH25">
            <v>0</v>
          </cell>
          <cell r="AI25">
            <v>14</v>
          </cell>
          <cell r="AJ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K26">
            <v>217</v>
          </cell>
          <cell r="L26">
            <v>40</v>
          </cell>
          <cell r="O26">
            <v>840</v>
          </cell>
          <cell r="P26">
            <v>336</v>
          </cell>
          <cell r="Q26">
            <v>51.4</v>
          </cell>
          <cell r="S26">
            <v>0</v>
          </cell>
          <cell r="V26">
            <v>21.400778210116734</v>
          </cell>
          <cell r="W26">
            <v>21.400778210116734</v>
          </cell>
          <cell r="X26">
            <v>75</v>
          </cell>
          <cell r="Y26">
            <v>81.2</v>
          </cell>
          <cell r="Z26">
            <v>69.599999999999994</v>
          </cell>
          <cell r="AA26">
            <v>60.6</v>
          </cell>
          <cell r="AB26">
            <v>69.8</v>
          </cell>
          <cell r="AC26">
            <v>72.8</v>
          </cell>
          <cell r="AE26">
            <v>0</v>
          </cell>
          <cell r="AF26">
            <v>6</v>
          </cell>
          <cell r="AG26">
            <v>0</v>
          </cell>
          <cell r="AH26">
            <v>0</v>
          </cell>
          <cell r="AI26">
            <v>14</v>
          </cell>
          <cell r="AJ26">
            <v>140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  <cell r="K27">
            <v>185</v>
          </cell>
          <cell r="L27">
            <v>22</v>
          </cell>
          <cell r="O27">
            <v>0</v>
          </cell>
          <cell r="P27">
            <v>84</v>
          </cell>
          <cell r="Q27">
            <v>41.4</v>
          </cell>
          <cell r="R27">
            <v>495.6</v>
          </cell>
          <cell r="S27">
            <v>504</v>
          </cell>
          <cell r="V27">
            <v>14.202898550724639</v>
          </cell>
          <cell r="W27">
            <v>2.0289855072463769</v>
          </cell>
          <cell r="X27">
            <v>14.4</v>
          </cell>
          <cell r="Y27">
            <v>14.4</v>
          </cell>
          <cell r="Z27">
            <v>19.2</v>
          </cell>
          <cell r="AA27">
            <v>13.6</v>
          </cell>
          <cell r="AB27">
            <v>20.8</v>
          </cell>
          <cell r="AC27">
            <v>33.4</v>
          </cell>
          <cell r="AE27">
            <v>123.9</v>
          </cell>
          <cell r="AF27">
            <v>6</v>
          </cell>
          <cell r="AG27">
            <v>84</v>
          </cell>
          <cell r="AH27">
            <v>126</v>
          </cell>
          <cell r="AI27">
            <v>14</v>
          </cell>
          <cell r="AJ27">
            <v>140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  <cell r="K28">
            <v>11</v>
          </cell>
          <cell r="L28">
            <v>-11</v>
          </cell>
          <cell r="O28">
            <v>0</v>
          </cell>
          <cell r="P28">
            <v>468</v>
          </cell>
          <cell r="Q28">
            <v>0</v>
          </cell>
          <cell r="S28">
            <v>0</v>
          </cell>
          <cell r="V28" t="e">
            <v>#DIV/0!</v>
          </cell>
          <cell r="W28" t="e">
            <v>#DIV/0!</v>
          </cell>
          <cell r="X28">
            <v>0</v>
          </cell>
          <cell r="Y28">
            <v>14.4</v>
          </cell>
          <cell r="Z28">
            <v>32.4</v>
          </cell>
          <cell r="AA28">
            <v>0</v>
          </cell>
          <cell r="AB28">
            <v>0</v>
          </cell>
          <cell r="AC28">
            <v>39.6</v>
          </cell>
          <cell r="AE28">
            <v>0</v>
          </cell>
          <cell r="AF28">
            <v>6</v>
          </cell>
          <cell r="AG28">
            <v>0</v>
          </cell>
          <cell r="AH28">
            <v>0</v>
          </cell>
          <cell r="AI28">
            <v>12</v>
          </cell>
          <cell r="AJ28">
            <v>84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  <cell r="K29">
            <v>72</v>
          </cell>
          <cell r="L29">
            <v>-40</v>
          </cell>
          <cell r="O29">
            <v>168</v>
          </cell>
          <cell r="P29">
            <v>336</v>
          </cell>
          <cell r="Q29">
            <v>6.4</v>
          </cell>
          <cell r="S29">
            <v>0</v>
          </cell>
          <cell r="V29">
            <v>78.75</v>
          </cell>
          <cell r="W29">
            <v>78.75</v>
          </cell>
          <cell r="X29">
            <v>20.399999999999999</v>
          </cell>
          <cell r="Y29">
            <v>12.6</v>
          </cell>
          <cell r="Z29">
            <v>7.6</v>
          </cell>
          <cell r="AA29">
            <v>20.2</v>
          </cell>
          <cell r="AB29">
            <v>12.6</v>
          </cell>
          <cell r="AC29">
            <v>17.8</v>
          </cell>
          <cell r="AE29">
            <v>0</v>
          </cell>
          <cell r="AF29">
            <v>12</v>
          </cell>
          <cell r="AG29">
            <v>0</v>
          </cell>
          <cell r="AH29">
            <v>0</v>
          </cell>
          <cell r="AI29">
            <v>14</v>
          </cell>
          <cell r="AJ29">
            <v>70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K30">
            <v>200</v>
          </cell>
          <cell r="L30">
            <v>-3</v>
          </cell>
          <cell r="O30">
            <v>840</v>
          </cell>
          <cell r="P30">
            <v>168</v>
          </cell>
          <cell r="Q30">
            <v>39.4</v>
          </cell>
          <cell r="S30">
            <v>0</v>
          </cell>
          <cell r="V30">
            <v>25.532994923857871</v>
          </cell>
          <cell r="W30">
            <v>25.532994923857871</v>
          </cell>
          <cell r="X30">
            <v>58.6</v>
          </cell>
          <cell r="Y30">
            <v>86.2</v>
          </cell>
          <cell r="Z30">
            <v>60.2</v>
          </cell>
          <cell r="AA30">
            <v>80</v>
          </cell>
          <cell r="AB30">
            <v>40.799999999999997</v>
          </cell>
          <cell r="AC30">
            <v>47.8</v>
          </cell>
          <cell r="AE30">
            <v>0</v>
          </cell>
          <cell r="AF30">
            <v>12</v>
          </cell>
          <cell r="AG30">
            <v>0</v>
          </cell>
          <cell r="AH30">
            <v>0</v>
          </cell>
          <cell r="AI30">
            <v>14</v>
          </cell>
          <cell r="AJ30">
            <v>70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K31">
            <v>358</v>
          </cell>
          <cell r="L31">
            <v>42</v>
          </cell>
          <cell r="O31">
            <v>504</v>
          </cell>
          <cell r="P31">
            <v>0</v>
          </cell>
          <cell r="Q31">
            <v>80</v>
          </cell>
          <cell r="R31">
            <v>519</v>
          </cell>
          <cell r="S31">
            <v>504</v>
          </cell>
          <cell r="V31">
            <v>13.8125</v>
          </cell>
          <cell r="W31">
            <v>7.5125000000000002</v>
          </cell>
          <cell r="X31">
            <v>62.4</v>
          </cell>
          <cell r="Y31">
            <v>38.4</v>
          </cell>
          <cell r="Z31">
            <v>48.4</v>
          </cell>
          <cell r="AA31">
            <v>47.4</v>
          </cell>
          <cell r="AB31">
            <v>42.6</v>
          </cell>
          <cell r="AC31">
            <v>62</v>
          </cell>
          <cell r="AE31">
            <v>129.75</v>
          </cell>
          <cell r="AF31">
            <v>12</v>
          </cell>
          <cell r="AG31">
            <v>42</v>
          </cell>
          <cell r="AH31">
            <v>126</v>
          </cell>
          <cell r="AI31">
            <v>14</v>
          </cell>
          <cell r="AJ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L32">
            <v>0</v>
          </cell>
          <cell r="Q32">
            <v>0</v>
          </cell>
          <cell r="V32" t="e">
            <v>#DIV/0!</v>
          </cell>
          <cell r="W32" t="e">
            <v>#DIV/0!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K33">
            <v>178</v>
          </cell>
          <cell r="L33">
            <v>15</v>
          </cell>
          <cell r="O33">
            <v>336</v>
          </cell>
          <cell r="P33">
            <v>336</v>
          </cell>
          <cell r="Q33">
            <v>38.6</v>
          </cell>
          <cell r="S33">
            <v>0</v>
          </cell>
          <cell r="V33">
            <v>17.202072538860104</v>
          </cell>
          <cell r="W33">
            <v>17.202072538860104</v>
          </cell>
          <cell r="X33">
            <v>41.8</v>
          </cell>
          <cell r="Y33">
            <v>52.6</v>
          </cell>
          <cell r="Z33">
            <v>34.4</v>
          </cell>
          <cell r="AA33">
            <v>49.4</v>
          </cell>
          <cell r="AB33">
            <v>31.4</v>
          </cell>
          <cell r="AC33">
            <v>44.8</v>
          </cell>
          <cell r="AE33">
            <v>0</v>
          </cell>
          <cell r="AF33">
            <v>12</v>
          </cell>
          <cell r="AG33">
            <v>0</v>
          </cell>
          <cell r="AH33">
            <v>0</v>
          </cell>
          <cell r="AI33">
            <v>14</v>
          </cell>
          <cell r="AJ33">
            <v>70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K34">
            <v>13</v>
          </cell>
          <cell r="L34">
            <v>-13</v>
          </cell>
          <cell r="O34">
            <v>336</v>
          </cell>
          <cell r="P34">
            <v>0</v>
          </cell>
          <cell r="Q34">
            <v>0</v>
          </cell>
          <cell r="S34">
            <v>0</v>
          </cell>
          <cell r="V34" t="e">
            <v>#DIV/0!</v>
          </cell>
          <cell r="W34" t="e">
            <v>#DIV/0!</v>
          </cell>
          <cell r="X34">
            <v>4.4000000000000004</v>
          </cell>
          <cell r="Y34">
            <v>17.600000000000001</v>
          </cell>
          <cell r="Z34">
            <v>10.4</v>
          </cell>
          <cell r="AA34">
            <v>10.8</v>
          </cell>
          <cell r="AB34">
            <v>11.2</v>
          </cell>
          <cell r="AC34">
            <v>13.6</v>
          </cell>
          <cell r="AE34">
            <v>0</v>
          </cell>
          <cell r="AF34">
            <v>12</v>
          </cell>
          <cell r="AG34">
            <v>0</v>
          </cell>
          <cell r="AH34">
            <v>0</v>
          </cell>
          <cell r="AI34">
            <v>14</v>
          </cell>
          <cell r="AJ34">
            <v>70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K35">
            <v>40</v>
          </cell>
          <cell r="L35">
            <v>25</v>
          </cell>
          <cell r="O35">
            <v>192</v>
          </cell>
          <cell r="P35">
            <v>96</v>
          </cell>
          <cell r="Q35">
            <v>13</v>
          </cell>
          <cell r="S35">
            <v>0</v>
          </cell>
          <cell r="V35">
            <v>24.076923076923077</v>
          </cell>
          <cell r="W35">
            <v>24.076923076923077</v>
          </cell>
          <cell r="X35">
            <v>17.2</v>
          </cell>
          <cell r="Y35">
            <v>16.600000000000001</v>
          </cell>
          <cell r="Z35">
            <v>11.6</v>
          </cell>
          <cell r="AA35">
            <v>14</v>
          </cell>
          <cell r="AB35">
            <v>15.4</v>
          </cell>
          <cell r="AC35">
            <v>18.600000000000001</v>
          </cell>
          <cell r="AE35">
            <v>0</v>
          </cell>
          <cell r="AF35">
            <v>8</v>
          </cell>
          <cell r="AG35">
            <v>0</v>
          </cell>
          <cell r="AH35">
            <v>0</v>
          </cell>
          <cell r="AI35">
            <v>12</v>
          </cell>
          <cell r="AJ35">
            <v>84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K36">
            <v>98</v>
          </cell>
          <cell r="L36">
            <v>12</v>
          </cell>
          <cell r="O36">
            <v>192</v>
          </cell>
          <cell r="P36">
            <v>96</v>
          </cell>
          <cell r="Q36">
            <v>22</v>
          </cell>
          <cell r="S36">
            <v>0</v>
          </cell>
          <cell r="V36">
            <v>15.818181818181818</v>
          </cell>
          <cell r="W36">
            <v>15.818181818181818</v>
          </cell>
          <cell r="X36">
            <v>8.4</v>
          </cell>
          <cell r="Y36">
            <v>18.399999999999999</v>
          </cell>
          <cell r="Z36">
            <v>19</v>
          </cell>
          <cell r="AA36">
            <v>5.6</v>
          </cell>
          <cell r="AB36">
            <v>14</v>
          </cell>
          <cell r="AC36">
            <v>19.600000000000001</v>
          </cell>
          <cell r="AE36">
            <v>0</v>
          </cell>
          <cell r="AF36">
            <v>8</v>
          </cell>
          <cell r="AG36">
            <v>0</v>
          </cell>
          <cell r="AH36">
            <v>0</v>
          </cell>
          <cell r="AI36">
            <v>12</v>
          </cell>
          <cell r="AJ36">
            <v>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K37">
            <v>103</v>
          </cell>
          <cell r="L37">
            <v>3</v>
          </cell>
          <cell r="O37">
            <v>96</v>
          </cell>
          <cell r="P37">
            <v>96</v>
          </cell>
          <cell r="Q37">
            <v>21.2</v>
          </cell>
          <cell r="R37">
            <v>48.800000000000011</v>
          </cell>
          <cell r="S37">
            <v>96</v>
          </cell>
          <cell r="V37">
            <v>16.226415094339622</v>
          </cell>
          <cell r="W37">
            <v>11.69811320754717</v>
          </cell>
          <cell r="X37">
            <v>17</v>
          </cell>
          <cell r="Y37">
            <v>18.399999999999999</v>
          </cell>
          <cell r="Z37">
            <v>15.2</v>
          </cell>
          <cell r="AA37">
            <v>22.4</v>
          </cell>
          <cell r="AB37">
            <v>18.600000000000001</v>
          </cell>
          <cell r="AC37">
            <v>17.600000000000001</v>
          </cell>
          <cell r="AE37">
            <v>34.160000000000004</v>
          </cell>
          <cell r="AF37">
            <v>8</v>
          </cell>
          <cell r="AG37">
            <v>12</v>
          </cell>
          <cell r="AH37">
            <v>67.199999999999989</v>
          </cell>
          <cell r="AI37">
            <v>12</v>
          </cell>
          <cell r="AJ37">
            <v>84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K38">
            <v>274</v>
          </cell>
          <cell r="L38">
            <v>58</v>
          </cell>
          <cell r="O38">
            <v>120</v>
          </cell>
          <cell r="P38">
            <v>360</v>
          </cell>
          <cell r="Q38">
            <v>66.400000000000006</v>
          </cell>
          <cell r="R38">
            <v>159.60000000000014</v>
          </cell>
          <cell r="S38">
            <v>120</v>
          </cell>
          <cell r="V38">
            <v>13.403614457831324</v>
          </cell>
          <cell r="W38">
            <v>11.596385542168674</v>
          </cell>
          <cell r="X38">
            <v>55.6</v>
          </cell>
          <cell r="Y38">
            <v>27</v>
          </cell>
          <cell r="Z38">
            <v>23.8</v>
          </cell>
          <cell r="AA38">
            <v>34.6</v>
          </cell>
          <cell r="AB38">
            <v>29.8</v>
          </cell>
          <cell r="AC38">
            <v>35.6</v>
          </cell>
          <cell r="AE38">
            <v>111.72000000000008</v>
          </cell>
          <cell r="AF38">
            <v>10</v>
          </cell>
          <cell r="AG38">
            <v>12</v>
          </cell>
          <cell r="AH38">
            <v>84</v>
          </cell>
          <cell r="AI38">
            <v>12</v>
          </cell>
          <cell r="AJ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K39">
            <v>60</v>
          </cell>
          <cell r="L39">
            <v>15</v>
          </cell>
          <cell r="O39">
            <v>360</v>
          </cell>
          <cell r="P39">
            <v>0</v>
          </cell>
          <cell r="Q39">
            <v>15</v>
          </cell>
          <cell r="S39">
            <v>0</v>
          </cell>
          <cell r="V39">
            <v>23.933333333333334</v>
          </cell>
          <cell r="W39">
            <v>23.933333333333334</v>
          </cell>
          <cell r="X39">
            <v>10.8</v>
          </cell>
          <cell r="Y39">
            <v>24</v>
          </cell>
          <cell r="Z39">
            <v>23.8</v>
          </cell>
          <cell r="AA39">
            <v>24.6</v>
          </cell>
          <cell r="AB39">
            <v>31.4</v>
          </cell>
          <cell r="AC39">
            <v>31.2</v>
          </cell>
          <cell r="AE39">
            <v>0</v>
          </cell>
          <cell r="AF39">
            <v>10</v>
          </cell>
          <cell r="AG39">
            <v>0</v>
          </cell>
          <cell r="AH39">
            <v>0</v>
          </cell>
          <cell r="AI39">
            <v>12</v>
          </cell>
          <cell r="AJ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K40">
            <v>156</v>
          </cell>
          <cell r="L40">
            <v>-90</v>
          </cell>
          <cell r="O40">
            <v>600</v>
          </cell>
          <cell r="P40">
            <v>0</v>
          </cell>
          <cell r="Q40">
            <v>13.2</v>
          </cell>
          <cell r="S40">
            <v>0</v>
          </cell>
          <cell r="V40">
            <v>46.060606060606062</v>
          </cell>
          <cell r="W40">
            <v>46.060606060606062</v>
          </cell>
          <cell r="X40">
            <v>37.4</v>
          </cell>
          <cell r="Y40">
            <v>64.8</v>
          </cell>
          <cell r="Z40">
            <v>45</v>
          </cell>
          <cell r="AA40">
            <v>42.2</v>
          </cell>
          <cell r="AB40">
            <v>59.6</v>
          </cell>
          <cell r="AC40">
            <v>50</v>
          </cell>
          <cell r="AE40">
            <v>0</v>
          </cell>
          <cell r="AF40">
            <v>10</v>
          </cell>
          <cell r="AG40">
            <v>0</v>
          </cell>
          <cell r="AH40">
            <v>0</v>
          </cell>
          <cell r="AI40">
            <v>12</v>
          </cell>
          <cell r="AJ40">
            <v>84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K41">
            <v>259</v>
          </cell>
          <cell r="L41">
            <v>-94</v>
          </cell>
          <cell r="O41">
            <v>0</v>
          </cell>
          <cell r="P41">
            <v>120</v>
          </cell>
          <cell r="Q41">
            <v>33</v>
          </cell>
          <cell r="R41">
            <v>155</v>
          </cell>
          <cell r="S41">
            <v>120</v>
          </cell>
          <cell r="V41">
            <v>12.939393939393939</v>
          </cell>
          <cell r="W41">
            <v>9.3030303030303028</v>
          </cell>
          <cell r="X41">
            <v>18.8</v>
          </cell>
          <cell r="Y41">
            <v>15.4</v>
          </cell>
          <cell r="Z41">
            <v>18.8</v>
          </cell>
          <cell r="AA41">
            <v>27.4</v>
          </cell>
          <cell r="AB41">
            <v>12</v>
          </cell>
          <cell r="AC41">
            <v>12.4</v>
          </cell>
          <cell r="AE41">
            <v>108.5</v>
          </cell>
          <cell r="AF41">
            <v>10</v>
          </cell>
          <cell r="AG41">
            <v>12</v>
          </cell>
          <cell r="AH41">
            <v>84</v>
          </cell>
          <cell r="AI41">
            <v>12</v>
          </cell>
          <cell r="AJ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K42">
            <v>350</v>
          </cell>
          <cell r="L42">
            <v>0</v>
          </cell>
          <cell r="O42">
            <v>0</v>
          </cell>
          <cell r="P42">
            <v>660</v>
          </cell>
          <cell r="Q42">
            <v>70</v>
          </cell>
          <cell r="R42">
            <v>220</v>
          </cell>
          <cell r="S42">
            <v>240</v>
          </cell>
          <cell r="V42">
            <v>14.285714285714286</v>
          </cell>
          <cell r="W42">
            <v>10.857142857142858</v>
          </cell>
          <cell r="X42">
            <v>84</v>
          </cell>
          <cell r="Y42">
            <v>62</v>
          </cell>
          <cell r="Z42">
            <v>77</v>
          </cell>
          <cell r="AA42">
            <v>89</v>
          </cell>
          <cell r="AB42">
            <v>77</v>
          </cell>
          <cell r="AC42">
            <v>73</v>
          </cell>
          <cell r="AE42">
            <v>220</v>
          </cell>
          <cell r="AF42">
            <v>5</v>
          </cell>
          <cell r="AG42">
            <v>48</v>
          </cell>
          <cell r="AH42">
            <v>240</v>
          </cell>
          <cell r="AI42">
            <v>12</v>
          </cell>
          <cell r="AJ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K43">
            <v>214</v>
          </cell>
          <cell r="L43">
            <v>-5</v>
          </cell>
          <cell r="O43">
            <v>0</v>
          </cell>
          <cell r="P43">
            <v>0</v>
          </cell>
          <cell r="Q43">
            <v>41.8</v>
          </cell>
          <cell r="S43">
            <v>0</v>
          </cell>
          <cell r="V43">
            <v>21.387559808612441</v>
          </cell>
          <cell r="W43">
            <v>21.387559808612441</v>
          </cell>
          <cell r="X43">
            <v>51</v>
          </cell>
          <cell r="Y43">
            <v>41</v>
          </cell>
          <cell r="Z43">
            <v>0</v>
          </cell>
          <cell r="AA43">
            <v>63.8</v>
          </cell>
          <cell r="AB43">
            <v>19.600000000000001</v>
          </cell>
          <cell r="AC43">
            <v>52.8</v>
          </cell>
          <cell r="AE43">
            <v>0</v>
          </cell>
          <cell r="AF43">
            <v>16</v>
          </cell>
          <cell r="AG43">
            <v>0</v>
          </cell>
          <cell r="AH43">
            <v>0</v>
          </cell>
          <cell r="AI43">
            <v>12</v>
          </cell>
          <cell r="AJ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K44">
            <v>466</v>
          </cell>
          <cell r="L44">
            <v>-3</v>
          </cell>
          <cell r="O44">
            <v>0</v>
          </cell>
          <cell r="P44">
            <v>720</v>
          </cell>
          <cell r="Q44">
            <v>92.6</v>
          </cell>
          <cell r="S44">
            <v>0</v>
          </cell>
          <cell r="V44">
            <v>16.349892008639308</v>
          </cell>
          <cell r="W44">
            <v>16.349892008639308</v>
          </cell>
          <cell r="X44">
            <v>136.80000000000001</v>
          </cell>
          <cell r="Y44">
            <v>79</v>
          </cell>
          <cell r="Z44">
            <v>89.8</v>
          </cell>
          <cell r="AA44">
            <v>129.6</v>
          </cell>
          <cell r="AB44">
            <v>82.8</v>
          </cell>
          <cell r="AC44">
            <v>110.8</v>
          </cell>
          <cell r="AD44" t="str">
            <v>Мера</v>
          </cell>
          <cell r="AE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12</v>
          </cell>
          <cell r="AJ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K45">
            <v>244</v>
          </cell>
          <cell r="L45">
            <v>-28</v>
          </cell>
          <cell r="O45">
            <v>0</v>
          </cell>
          <cell r="P45">
            <v>0</v>
          </cell>
          <cell r="Q45">
            <v>43.2</v>
          </cell>
          <cell r="S45">
            <v>0</v>
          </cell>
          <cell r="V45">
            <v>17.523148148148145</v>
          </cell>
          <cell r="W45">
            <v>17.523148148148145</v>
          </cell>
          <cell r="X45">
            <v>53.2</v>
          </cell>
          <cell r="Y45">
            <v>53.8</v>
          </cell>
          <cell r="Z45">
            <v>51.6</v>
          </cell>
          <cell r="AA45">
            <v>75.599999999999994</v>
          </cell>
          <cell r="AB45">
            <v>52.6</v>
          </cell>
          <cell r="AC45">
            <v>50.4</v>
          </cell>
          <cell r="AE45">
            <v>0</v>
          </cell>
          <cell r="AF45">
            <v>16</v>
          </cell>
          <cell r="AG45">
            <v>0</v>
          </cell>
          <cell r="AH45">
            <v>0</v>
          </cell>
          <cell r="AI45">
            <v>12</v>
          </cell>
          <cell r="AJ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K46">
            <v>728</v>
          </cell>
          <cell r="L46">
            <v>119</v>
          </cell>
          <cell r="O46">
            <v>720</v>
          </cell>
          <cell r="P46">
            <v>960</v>
          </cell>
          <cell r="Q46">
            <v>169.4</v>
          </cell>
          <cell r="R46">
            <v>624.59999999999991</v>
          </cell>
          <cell r="S46">
            <v>600</v>
          </cell>
          <cell r="V46">
            <v>13.85478158205431</v>
          </cell>
          <cell r="W46">
            <v>10.312868949232586</v>
          </cell>
          <cell r="X46">
            <v>179.4</v>
          </cell>
          <cell r="Y46">
            <v>161.80000000000001</v>
          </cell>
          <cell r="Z46">
            <v>176.4</v>
          </cell>
          <cell r="AA46">
            <v>190.8</v>
          </cell>
          <cell r="AB46">
            <v>129.19999999999999</v>
          </cell>
          <cell r="AC46">
            <v>167</v>
          </cell>
          <cell r="AE46">
            <v>437.21999999999991</v>
          </cell>
          <cell r="AF46">
            <v>10</v>
          </cell>
          <cell r="AG46">
            <v>60</v>
          </cell>
          <cell r="AH46">
            <v>420</v>
          </cell>
          <cell r="AI46">
            <v>12</v>
          </cell>
          <cell r="AJ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K47">
            <v>291</v>
          </cell>
          <cell r="L47">
            <v>34</v>
          </cell>
          <cell r="O47">
            <v>360</v>
          </cell>
          <cell r="P47">
            <v>240</v>
          </cell>
          <cell r="Q47">
            <v>65</v>
          </cell>
          <cell r="R47">
            <v>225</v>
          </cell>
          <cell r="S47">
            <v>240</v>
          </cell>
          <cell r="V47">
            <v>14.23076923076923</v>
          </cell>
          <cell r="W47">
            <v>10.538461538461538</v>
          </cell>
          <cell r="X47">
            <v>31.4</v>
          </cell>
          <cell r="Y47">
            <v>62.6</v>
          </cell>
          <cell r="Z47">
            <v>49.6</v>
          </cell>
          <cell r="AA47">
            <v>37.799999999999997</v>
          </cell>
          <cell r="AB47">
            <v>67.8</v>
          </cell>
          <cell r="AC47">
            <v>108.8</v>
          </cell>
          <cell r="AE47">
            <v>157.5</v>
          </cell>
          <cell r="AF47">
            <v>10</v>
          </cell>
          <cell r="AG47">
            <v>24</v>
          </cell>
          <cell r="AH47">
            <v>168</v>
          </cell>
          <cell r="AI47">
            <v>12</v>
          </cell>
          <cell r="AJ47">
            <v>84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K48">
            <v>94</v>
          </cell>
          <cell r="L48">
            <v>-77</v>
          </cell>
          <cell r="O48">
            <v>720</v>
          </cell>
          <cell r="P48">
            <v>180</v>
          </cell>
          <cell r="Q48">
            <v>3.4</v>
          </cell>
          <cell r="S48">
            <v>0</v>
          </cell>
          <cell r="V48">
            <v>265.58823529411768</v>
          </cell>
          <cell r="W48">
            <v>265.58823529411768</v>
          </cell>
          <cell r="X48">
            <v>37.6</v>
          </cell>
          <cell r="Y48">
            <v>65.2</v>
          </cell>
          <cell r="Z48">
            <v>31.2</v>
          </cell>
          <cell r="AA48">
            <v>38.799999999999997</v>
          </cell>
          <cell r="AB48">
            <v>30.8</v>
          </cell>
          <cell r="AC48">
            <v>42</v>
          </cell>
          <cell r="AE48">
            <v>0</v>
          </cell>
          <cell r="AF48">
            <v>5</v>
          </cell>
          <cell r="AG48">
            <v>0</v>
          </cell>
          <cell r="AH48">
            <v>0</v>
          </cell>
          <cell r="AI48">
            <v>12</v>
          </cell>
          <cell r="AJ48">
            <v>84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K49">
            <v>46</v>
          </cell>
          <cell r="L49">
            <v>-5</v>
          </cell>
          <cell r="O49">
            <v>288</v>
          </cell>
          <cell r="P49">
            <v>288</v>
          </cell>
          <cell r="Q49">
            <v>8.1999999999999993</v>
          </cell>
          <cell r="S49">
            <v>0</v>
          </cell>
          <cell r="V49">
            <v>70.365853658536594</v>
          </cell>
          <cell r="W49">
            <v>70.365853658536594</v>
          </cell>
          <cell r="X49">
            <v>33.4</v>
          </cell>
          <cell r="Y49">
            <v>21.2</v>
          </cell>
          <cell r="Z49">
            <v>22.6</v>
          </cell>
          <cell r="AA49">
            <v>19</v>
          </cell>
          <cell r="AB49">
            <v>23</v>
          </cell>
          <cell r="AC49">
            <v>12.2</v>
          </cell>
          <cell r="AE49">
            <v>0</v>
          </cell>
          <cell r="AF49">
            <v>8</v>
          </cell>
          <cell r="AG49">
            <v>0</v>
          </cell>
          <cell r="AH49">
            <v>0</v>
          </cell>
          <cell r="AI49">
            <v>12</v>
          </cell>
          <cell r="AJ49">
            <v>84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K50">
            <v>36</v>
          </cell>
          <cell r="L50">
            <v>-5</v>
          </cell>
          <cell r="O50">
            <v>288</v>
          </cell>
          <cell r="P50">
            <v>192</v>
          </cell>
          <cell r="Q50">
            <v>6.2</v>
          </cell>
          <cell r="S50">
            <v>0</v>
          </cell>
          <cell r="V50">
            <v>77.258064516129025</v>
          </cell>
          <cell r="W50">
            <v>77.258064516129025</v>
          </cell>
          <cell r="X50">
            <v>13.6</v>
          </cell>
          <cell r="Y50">
            <v>13.6</v>
          </cell>
          <cell r="Z50">
            <v>5.8</v>
          </cell>
          <cell r="AA50">
            <v>16</v>
          </cell>
          <cell r="AB50">
            <v>12</v>
          </cell>
          <cell r="AC50">
            <v>11.8</v>
          </cell>
          <cell r="AE50">
            <v>0</v>
          </cell>
          <cell r="AF50">
            <v>8</v>
          </cell>
          <cell r="AG50">
            <v>0</v>
          </cell>
          <cell r="AH50">
            <v>0</v>
          </cell>
          <cell r="AI50">
            <v>12</v>
          </cell>
          <cell r="AJ50">
            <v>84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K51">
            <v>565</v>
          </cell>
          <cell r="L51">
            <v>35</v>
          </cell>
          <cell r="O51">
            <v>1020</v>
          </cell>
          <cell r="P51">
            <v>180</v>
          </cell>
          <cell r="Q51">
            <v>120</v>
          </cell>
          <cell r="R51">
            <v>115</v>
          </cell>
          <cell r="S51">
            <v>120</v>
          </cell>
          <cell r="V51">
            <v>14.041666666666666</v>
          </cell>
          <cell r="W51">
            <v>13.041666666666666</v>
          </cell>
          <cell r="X51">
            <v>88</v>
          </cell>
          <cell r="Y51">
            <v>53</v>
          </cell>
          <cell r="Z51">
            <v>150</v>
          </cell>
          <cell r="AA51">
            <v>9</v>
          </cell>
          <cell r="AB51">
            <v>99</v>
          </cell>
          <cell r="AC51">
            <v>116</v>
          </cell>
          <cell r="AE51">
            <v>115</v>
          </cell>
          <cell r="AF51">
            <v>5</v>
          </cell>
          <cell r="AG51">
            <v>24</v>
          </cell>
          <cell r="AH51">
            <v>120</v>
          </cell>
          <cell r="AI51">
            <v>12</v>
          </cell>
          <cell r="AJ51">
            <v>144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K52">
            <v>138</v>
          </cell>
          <cell r="L52">
            <v>1</v>
          </cell>
          <cell r="O52">
            <v>0</v>
          </cell>
          <cell r="P52">
            <v>120</v>
          </cell>
          <cell r="Q52">
            <v>27.8</v>
          </cell>
          <cell r="R52">
            <v>81.199999999999989</v>
          </cell>
          <cell r="S52">
            <v>60</v>
          </cell>
          <cell r="V52">
            <v>13.237410071942445</v>
          </cell>
          <cell r="W52">
            <v>11.079136690647482</v>
          </cell>
          <cell r="X52">
            <v>27.2</v>
          </cell>
          <cell r="Y52">
            <v>31.4</v>
          </cell>
          <cell r="Z52">
            <v>41.2</v>
          </cell>
          <cell r="AA52">
            <v>33.200000000000003</v>
          </cell>
          <cell r="AB52">
            <v>35.4</v>
          </cell>
          <cell r="AC52">
            <v>26.6</v>
          </cell>
          <cell r="AE52">
            <v>81.199999999999989</v>
          </cell>
          <cell r="AF52">
            <v>5</v>
          </cell>
          <cell r="AG52">
            <v>12</v>
          </cell>
          <cell r="AH52">
            <v>60</v>
          </cell>
          <cell r="AI52">
            <v>12</v>
          </cell>
          <cell r="AJ52">
            <v>84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K53">
            <v>18.5</v>
          </cell>
          <cell r="L53">
            <v>7.3999999999999986</v>
          </cell>
          <cell r="O53">
            <v>0</v>
          </cell>
          <cell r="P53">
            <v>51.8</v>
          </cell>
          <cell r="Q53">
            <v>5.18</v>
          </cell>
          <cell r="R53">
            <v>30.38</v>
          </cell>
          <cell r="S53">
            <v>51.800000000000004</v>
          </cell>
          <cell r="V53">
            <v>20.135135135135137</v>
          </cell>
          <cell r="W53">
            <v>10.135135135135135</v>
          </cell>
          <cell r="X53">
            <v>5.18</v>
          </cell>
          <cell r="Y53">
            <v>0</v>
          </cell>
          <cell r="Z53">
            <v>0</v>
          </cell>
          <cell r="AA53">
            <v>1.48</v>
          </cell>
          <cell r="AB53">
            <v>5.2</v>
          </cell>
          <cell r="AC53">
            <v>2.2200000000000002</v>
          </cell>
          <cell r="AE53">
            <v>30.38</v>
          </cell>
          <cell r="AF53">
            <v>3.7</v>
          </cell>
          <cell r="AG53">
            <v>14</v>
          </cell>
          <cell r="AH53">
            <v>51.800000000000004</v>
          </cell>
          <cell r="AI53">
            <v>14</v>
          </cell>
          <cell r="AJ53">
            <v>126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  <cell r="K54">
            <v>111</v>
          </cell>
          <cell r="L54">
            <v>-16</v>
          </cell>
          <cell r="O54">
            <v>168</v>
          </cell>
          <cell r="P54">
            <v>420</v>
          </cell>
          <cell r="Q54">
            <v>19</v>
          </cell>
          <cell r="S54">
            <v>0</v>
          </cell>
          <cell r="V54">
            <v>30.94736842105263</v>
          </cell>
          <cell r="W54">
            <v>30.94736842105263</v>
          </cell>
          <cell r="X54">
            <v>30.2</v>
          </cell>
          <cell r="Y54">
            <v>28.8</v>
          </cell>
          <cell r="Z54">
            <v>21</v>
          </cell>
          <cell r="AA54">
            <v>21.4</v>
          </cell>
          <cell r="AB54">
            <v>15.2</v>
          </cell>
          <cell r="AC54">
            <v>16.399999999999999</v>
          </cell>
          <cell r="AE54">
            <v>0</v>
          </cell>
          <cell r="AF54">
            <v>6</v>
          </cell>
          <cell r="AG54">
            <v>0</v>
          </cell>
          <cell r="AH54">
            <v>0</v>
          </cell>
          <cell r="AI54">
            <v>14</v>
          </cell>
          <cell r="AJ54">
            <v>140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K55">
            <v>203</v>
          </cell>
          <cell r="L55">
            <v>-34</v>
          </cell>
          <cell r="O55">
            <v>336</v>
          </cell>
          <cell r="P55">
            <v>672</v>
          </cell>
          <cell r="Q55">
            <v>33.799999999999997</v>
          </cell>
          <cell r="S55">
            <v>0</v>
          </cell>
          <cell r="V55">
            <v>29.911242603550299</v>
          </cell>
          <cell r="W55">
            <v>29.911242603550299</v>
          </cell>
          <cell r="X55">
            <v>72.400000000000006</v>
          </cell>
          <cell r="Y55">
            <v>97</v>
          </cell>
          <cell r="Z55">
            <v>62</v>
          </cell>
          <cell r="AA55">
            <v>79.8</v>
          </cell>
          <cell r="AB55">
            <v>65.400000000000006</v>
          </cell>
          <cell r="AC55">
            <v>85.6</v>
          </cell>
          <cell r="AE55">
            <v>0</v>
          </cell>
          <cell r="AF55">
            <v>12</v>
          </cell>
          <cell r="AG55">
            <v>0</v>
          </cell>
          <cell r="AH55">
            <v>0</v>
          </cell>
          <cell r="AI55">
            <v>14</v>
          </cell>
          <cell r="AJ55">
            <v>70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K56">
            <v>272</v>
          </cell>
          <cell r="L56">
            <v>-10</v>
          </cell>
          <cell r="O56">
            <v>336</v>
          </cell>
          <cell r="P56">
            <v>168</v>
          </cell>
          <cell r="Q56">
            <v>52.4</v>
          </cell>
          <cell r="R56">
            <v>214.60000000000002</v>
          </cell>
          <cell r="S56">
            <v>168</v>
          </cell>
          <cell r="V56">
            <v>13.110687022900764</v>
          </cell>
          <cell r="W56">
            <v>9.9045801526717554</v>
          </cell>
          <cell r="X56">
            <v>23</v>
          </cell>
          <cell r="Y56">
            <v>38.4</v>
          </cell>
          <cell r="Z56">
            <v>23.4</v>
          </cell>
          <cell r="AA56">
            <v>10.199999999999999</v>
          </cell>
          <cell r="AB56">
            <v>31.4</v>
          </cell>
          <cell r="AC56">
            <v>39.799999999999997</v>
          </cell>
          <cell r="AE56">
            <v>53.650000000000006</v>
          </cell>
          <cell r="AF56">
            <v>12</v>
          </cell>
          <cell r="AG56">
            <v>14</v>
          </cell>
          <cell r="AH56">
            <v>42</v>
          </cell>
          <cell r="AI56">
            <v>14</v>
          </cell>
          <cell r="AJ56">
            <v>70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K57">
            <v>21</v>
          </cell>
          <cell r="L57">
            <v>0</v>
          </cell>
          <cell r="O57">
            <v>0</v>
          </cell>
          <cell r="P57">
            <v>0</v>
          </cell>
          <cell r="Q57">
            <v>4.2</v>
          </cell>
          <cell r="S57">
            <v>0</v>
          </cell>
          <cell r="V57">
            <v>15</v>
          </cell>
          <cell r="W57">
            <v>15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2.6</v>
          </cell>
          <cell r="AC57">
            <v>7.8</v>
          </cell>
          <cell r="AE57">
            <v>0</v>
          </cell>
          <cell r="AF57">
            <v>6</v>
          </cell>
          <cell r="AG57">
            <v>0</v>
          </cell>
          <cell r="AH57">
            <v>0</v>
          </cell>
          <cell r="AI57">
            <v>14</v>
          </cell>
          <cell r="AJ57">
            <v>140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K58">
            <v>14</v>
          </cell>
          <cell r="L58">
            <v>0</v>
          </cell>
          <cell r="O58">
            <v>0</v>
          </cell>
          <cell r="P58">
            <v>0</v>
          </cell>
          <cell r="Q58">
            <v>2.8</v>
          </cell>
          <cell r="S58">
            <v>0</v>
          </cell>
          <cell r="V58">
            <v>10.357142857142858</v>
          </cell>
          <cell r="W58">
            <v>10.357142857142858</v>
          </cell>
          <cell r="X58">
            <v>2.2000000000000002</v>
          </cell>
          <cell r="Y58">
            <v>5.2</v>
          </cell>
          <cell r="Z58">
            <v>1.8</v>
          </cell>
          <cell r="AA58">
            <v>2.4</v>
          </cell>
          <cell r="AB58">
            <v>6</v>
          </cell>
          <cell r="AC58">
            <v>17.399999999999999</v>
          </cell>
          <cell r="AE58">
            <v>0</v>
          </cell>
          <cell r="AF58">
            <v>6</v>
          </cell>
          <cell r="AG58">
            <v>0</v>
          </cell>
          <cell r="AH58">
            <v>0</v>
          </cell>
          <cell r="AI58">
            <v>14</v>
          </cell>
          <cell r="AJ58">
            <v>140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K59">
            <v>1</v>
          </cell>
          <cell r="L59">
            <v>0</v>
          </cell>
          <cell r="O59">
            <v>0</v>
          </cell>
          <cell r="P59">
            <v>0</v>
          </cell>
          <cell r="Q59">
            <v>0.2</v>
          </cell>
          <cell r="S59">
            <v>0</v>
          </cell>
          <cell r="V59">
            <v>375</v>
          </cell>
          <cell r="W59">
            <v>375</v>
          </cell>
          <cell r="X59">
            <v>0.2</v>
          </cell>
          <cell r="Y59">
            <v>0.8</v>
          </cell>
          <cell r="Z59">
            <v>0.2</v>
          </cell>
          <cell r="AA59">
            <v>0.8</v>
          </cell>
          <cell r="AB59">
            <v>3.8</v>
          </cell>
          <cell r="AC59">
            <v>4.5999999999999996</v>
          </cell>
          <cell r="AD59" t="str">
            <v>нужно увеличить продажи!!!</v>
          </cell>
          <cell r="AE59">
            <v>0</v>
          </cell>
          <cell r="AF59">
            <v>6</v>
          </cell>
          <cell r="AG59">
            <v>0</v>
          </cell>
          <cell r="AH59">
            <v>0</v>
          </cell>
          <cell r="AI59">
            <v>14</v>
          </cell>
          <cell r="AJ59">
            <v>140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307</v>
          </cell>
          <cell r="L60">
            <v>41</v>
          </cell>
          <cell r="O60">
            <v>336</v>
          </cell>
          <cell r="P60">
            <v>504</v>
          </cell>
          <cell r="Q60">
            <v>69.599999999999994</v>
          </cell>
          <cell r="R60">
            <v>135.39999999999986</v>
          </cell>
          <cell r="S60">
            <v>168</v>
          </cell>
          <cell r="V60">
            <v>14.468390804597702</v>
          </cell>
          <cell r="W60">
            <v>12.054597701149426</v>
          </cell>
          <cell r="X60">
            <v>71.599999999999994</v>
          </cell>
          <cell r="Y60">
            <v>103.8</v>
          </cell>
          <cell r="Z60">
            <v>62.6</v>
          </cell>
          <cell r="AA60">
            <v>81</v>
          </cell>
          <cell r="AB60">
            <v>73.599999999999994</v>
          </cell>
          <cell r="AC60">
            <v>76.2</v>
          </cell>
          <cell r="AE60">
            <v>40.619999999999955</v>
          </cell>
          <cell r="AF60">
            <v>12</v>
          </cell>
          <cell r="AG60">
            <v>14</v>
          </cell>
          <cell r="AH60">
            <v>50.4</v>
          </cell>
          <cell r="AI60">
            <v>14</v>
          </cell>
          <cell r="AJ60">
            <v>70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K61">
            <v>371</v>
          </cell>
          <cell r="L61">
            <v>55</v>
          </cell>
          <cell r="O61">
            <v>168</v>
          </cell>
          <cell r="P61">
            <v>672</v>
          </cell>
          <cell r="Q61">
            <v>85.2</v>
          </cell>
          <cell r="R61">
            <v>277.79999999999995</v>
          </cell>
          <cell r="S61">
            <v>336</v>
          </cell>
          <cell r="V61">
            <v>14.683098591549296</v>
          </cell>
          <cell r="W61">
            <v>10.73943661971831</v>
          </cell>
          <cell r="X61">
            <v>81.8</v>
          </cell>
          <cell r="Y61">
            <v>90.2</v>
          </cell>
          <cell r="Z61">
            <v>74.2</v>
          </cell>
          <cell r="AA61">
            <v>95</v>
          </cell>
          <cell r="AB61">
            <v>82.8</v>
          </cell>
          <cell r="AC61">
            <v>82</v>
          </cell>
          <cell r="AE61">
            <v>83.339999999999989</v>
          </cell>
          <cell r="AF61">
            <v>12</v>
          </cell>
          <cell r="AG61">
            <v>28</v>
          </cell>
          <cell r="AH61">
            <v>100.8</v>
          </cell>
          <cell r="AI61">
            <v>14</v>
          </cell>
          <cell r="AJ61">
            <v>70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-36</v>
          </cell>
          <cell r="O62">
            <v>0</v>
          </cell>
          <cell r="P62">
            <v>392</v>
          </cell>
          <cell r="Q62">
            <v>0</v>
          </cell>
          <cell r="S62">
            <v>0</v>
          </cell>
          <cell r="V62" t="e">
            <v>#DIV/0!</v>
          </cell>
          <cell r="W62" t="e">
            <v>#DIV/0!</v>
          </cell>
          <cell r="X62">
            <v>15.8</v>
          </cell>
          <cell r="Y62">
            <v>24.8</v>
          </cell>
          <cell r="Z62">
            <v>12</v>
          </cell>
          <cell r="AA62">
            <v>22.6</v>
          </cell>
          <cell r="AB62">
            <v>6.8</v>
          </cell>
          <cell r="AC62">
            <v>13.6</v>
          </cell>
          <cell r="AE62">
            <v>0</v>
          </cell>
          <cell r="AF62">
            <v>14</v>
          </cell>
          <cell r="AG62">
            <v>0</v>
          </cell>
          <cell r="AH62">
            <v>0</v>
          </cell>
          <cell r="AI62">
            <v>14</v>
          </cell>
          <cell r="AJ62">
            <v>70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K63">
            <v>623</v>
          </cell>
          <cell r="L63">
            <v>49</v>
          </cell>
          <cell r="O63">
            <v>336</v>
          </cell>
          <cell r="P63">
            <v>504</v>
          </cell>
          <cell r="Q63">
            <v>134.4</v>
          </cell>
          <cell r="R63">
            <v>674.60000000000014</v>
          </cell>
          <cell r="S63">
            <v>672</v>
          </cell>
          <cell r="V63">
            <v>13.980654761904761</v>
          </cell>
          <cell r="W63">
            <v>8.980654761904761</v>
          </cell>
          <cell r="X63">
            <v>129.19999999999999</v>
          </cell>
          <cell r="Y63">
            <v>79.400000000000006</v>
          </cell>
          <cell r="Z63">
            <v>80</v>
          </cell>
          <cell r="AA63">
            <v>108</v>
          </cell>
          <cell r="AB63">
            <v>105.2</v>
          </cell>
          <cell r="AC63">
            <v>110.4</v>
          </cell>
          <cell r="AE63">
            <v>168.65000000000003</v>
          </cell>
          <cell r="AF63">
            <v>12</v>
          </cell>
          <cell r="AG63">
            <v>56</v>
          </cell>
          <cell r="AH63">
            <v>168</v>
          </cell>
          <cell r="AI63">
            <v>14</v>
          </cell>
          <cell r="AJ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K64">
            <v>295</v>
          </cell>
          <cell r="L64">
            <v>-56</v>
          </cell>
          <cell r="O64">
            <v>1512</v>
          </cell>
          <cell r="P64">
            <v>504</v>
          </cell>
          <cell r="Q64">
            <v>47.8</v>
          </cell>
          <cell r="S64">
            <v>0</v>
          </cell>
          <cell r="V64">
            <v>42.280334728033473</v>
          </cell>
          <cell r="W64">
            <v>42.280334728033473</v>
          </cell>
          <cell r="X64">
            <v>136.4</v>
          </cell>
          <cell r="Y64">
            <v>140.19999999999999</v>
          </cell>
          <cell r="Z64">
            <v>113.8</v>
          </cell>
          <cell r="AA64">
            <v>115.8</v>
          </cell>
          <cell r="AB64">
            <v>111.6</v>
          </cell>
          <cell r="AC64">
            <v>117.6</v>
          </cell>
          <cell r="AE64">
            <v>0</v>
          </cell>
          <cell r="AF64">
            <v>12</v>
          </cell>
          <cell r="AG64">
            <v>0</v>
          </cell>
          <cell r="AH64">
            <v>0</v>
          </cell>
          <cell r="AI64">
            <v>14</v>
          </cell>
          <cell r="AJ64">
            <v>70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K65">
            <v>132</v>
          </cell>
          <cell r="L65">
            <v>16</v>
          </cell>
          <cell r="O65">
            <v>0</v>
          </cell>
          <cell r="P65">
            <v>252</v>
          </cell>
          <cell r="Q65">
            <v>29.6</v>
          </cell>
          <cell r="R65">
            <v>160.40000000000003</v>
          </cell>
          <cell r="S65">
            <v>168</v>
          </cell>
          <cell r="V65">
            <v>14.256756756756756</v>
          </cell>
          <cell r="W65">
            <v>8.5810810810810807</v>
          </cell>
          <cell r="X65">
            <v>25.2</v>
          </cell>
          <cell r="Y65">
            <v>17.2</v>
          </cell>
          <cell r="Z65">
            <v>1.6</v>
          </cell>
          <cell r="AA65">
            <v>19.600000000000001</v>
          </cell>
          <cell r="AB65">
            <v>20</v>
          </cell>
          <cell r="AC65">
            <v>27.8</v>
          </cell>
          <cell r="AE65">
            <v>32.080000000000005</v>
          </cell>
          <cell r="AF65">
            <v>6</v>
          </cell>
          <cell r="AG65">
            <v>28</v>
          </cell>
          <cell r="AH65">
            <v>33.6</v>
          </cell>
          <cell r="AI65">
            <v>14</v>
          </cell>
          <cell r="AJ65">
            <v>140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  <cell r="K66">
            <v>80</v>
          </cell>
          <cell r="L66">
            <v>-17</v>
          </cell>
          <cell r="O66">
            <v>672</v>
          </cell>
          <cell r="P66">
            <v>168</v>
          </cell>
          <cell r="Q66">
            <v>12.6</v>
          </cell>
          <cell r="S66">
            <v>0</v>
          </cell>
          <cell r="V66">
            <v>66.666666666666671</v>
          </cell>
          <cell r="W66">
            <v>66.666666666666671</v>
          </cell>
          <cell r="X66">
            <v>46.6</v>
          </cell>
          <cell r="Y66">
            <v>66.2</v>
          </cell>
          <cell r="Z66">
            <v>45.6</v>
          </cell>
          <cell r="AA66">
            <v>46.4</v>
          </cell>
          <cell r="AB66">
            <v>30.2</v>
          </cell>
          <cell r="AC66">
            <v>23.6</v>
          </cell>
          <cell r="AE66">
            <v>0</v>
          </cell>
          <cell r="AF66">
            <v>6</v>
          </cell>
          <cell r="AG66">
            <v>0</v>
          </cell>
          <cell r="AH66">
            <v>0</v>
          </cell>
          <cell r="AI66">
            <v>14</v>
          </cell>
          <cell r="AJ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K67">
            <v>45.1</v>
          </cell>
          <cell r="L67">
            <v>6.1999999999999957</v>
          </cell>
          <cell r="O67">
            <v>151.19999999999999</v>
          </cell>
          <cell r="P67">
            <v>0</v>
          </cell>
          <cell r="Q67">
            <v>10.26</v>
          </cell>
          <cell r="S67">
            <v>0</v>
          </cell>
          <cell r="V67">
            <v>15.263157894736842</v>
          </cell>
          <cell r="W67">
            <v>15.263157894736842</v>
          </cell>
          <cell r="X67">
            <v>9.7200000000000006</v>
          </cell>
          <cell r="Y67">
            <v>6.48</v>
          </cell>
          <cell r="Z67">
            <v>7.5659999999999998</v>
          </cell>
          <cell r="AA67">
            <v>2.16</v>
          </cell>
          <cell r="AB67">
            <v>10.8</v>
          </cell>
          <cell r="AC67">
            <v>8.64</v>
          </cell>
          <cell r="AE67">
            <v>0</v>
          </cell>
          <cell r="AF67">
            <v>2.7</v>
          </cell>
          <cell r="AG67">
            <v>0</v>
          </cell>
          <cell r="AH67">
            <v>0</v>
          </cell>
          <cell r="AI67">
            <v>14</v>
          </cell>
          <cell r="AJ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K68">
            <v>115</v>
          </cell>
          <cell r="L68">
            <v>157.69999999999999</v>
          </cell>
          <cell r="O68">
            <v>180</v>
          </cell>
          <cell r="P68">
            <v>420</v>
          </cell>
          <cell r="Q68">
            <v>54.54</v>
          </cell>
          <cell r="R68">
            <v>43.959999999999937</v>
          </cell>
          <cell r="S68">
            <v>60</v>
          </cell>
          <cell r="V68">
            <v>14.294096076274295</v>
          </cell>
          <cell r="W68">
            <v>13.193986065273194</v>
          </cell>
          <cell r="X68">
            <v>84.539999999999992</v>
          </cell>
          <cell r="Y68">
            <v>57.54</v>
          </cell>
          <cell r="Z68">
            <v>81</v>
          </cell>
          <cell r="AA68">
            <v>89.539999999999992</v>
          </cell>
          <cell r="AB68">
            <v>81</v>
          </cell>
          <cell r="AC68">
            <v>66</v>
          </cell>
          <cell r="AE68">
            <v>43.959999999999937</v>
          </cell>
          <cell r="AF68">
            <v>5</v>
          </cell>
          <cell r="AG68">
            <v>12</v>
          </cell>
          <cell r="AH68">
            <v>60</v>
          </cell>
          <cell r="AI68">
            <v>12</v>
          </cell>
          <cell r="AJ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O69">
            <v>0</v>
          </cell>
          <cell r="Q69">
            <v>27.54</v>
          </cell>
          <cell r="V69">
            <v>5.3485838779956429</v>
          </cell>
          <cell r="W69">
            <v>5.3485838779956429</v>
          </cell>
          <cell r="X69">
            <v>2.54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9" sqref="AA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0.140625" customWidth="1"/>
    <col min="16" max="16" width="6" customWidth="1"/>
    <col min="17" max="18" width="7" customWidth="1"/>
    <col min="19" max="20" width="5" customWidth="1"/>
    <col min="21" max="26" width="6" customWidth="1"/>
    <col min="27" max="27" width="30.710937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35" width="3.42578125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/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11912.600000000002</v>
      </c>
      <c r="F5" s="4">
        <f>SUM(F6:F499)</f>
        <v>38285.5</v>
      </c>
      <c r="G5" s="7"/>
      <c r="H5" s="1"/>
      <c r="I5" s="1"/>
      <c r="J5" s="1"/>
      <c r="K5" s="4">
        <f t="shared" ref="K5:R5" si="0">SUM(K6:K499)</f>
        <v>11803.100000000002</v>
      </c>
      <c r="L5" s="4">
        <f t="shared" si="0"/>
        <v>109.49999999999997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2382.52</v>
      </c>
      <c r="Q5" s="4">
        <f t="shared" si="0"/>
        <v>7544.6999999999989</v>
      </c>
      <c r="R5" s="4">
        <f t="shared" si="0"/>
        <v>7911.2</v>
      </c>
      <c r="S5" s="1"/>
      <c r="T5" s="1"/>
      <c r="U5" s="4">
        <f t="shared" ref="U5:Z5" si="1">SUM(U6:U499)</f>
        <v>2486.0000000000009</v>
      </c>
      <c r="V5" s="4">
        <f t="shared" si="1"/>
        <v>2350.14</v>
      </c>
      <c r="W5" s="4">
        <f t="shared" si="1"/>
        <v>2616.0600000000004</v>
      </c>
      <c r="X5" s="4">
        <f t="shared" si="1"/>
        <v>509.18000000000012</v>
      </c>
      <c r="Y5" s="4">
        <f t="shared" si="1"/>
        <v>224.85999999999999</v>
      </c>
      <c r="Z5" s="4">
        <f t="shared" si="1"/>
        <v>1746.4999999999995</v>
      </c>
      <c r="AA5" s="1"/>
      <c r="AB5" s="4">
        <f>SUM(AB6:AB499)</f>
        <v>3823.99</v>
      </c>
      <c r="AC5" s="7"/>
      <c r="AD5" s="11">
        <f>SUM(AD6:AD499)</f>
        <v>890</v>
      </c>
      <c r="AE5" s="4">
        <f>SUM(AE6:AE499)</f>
        <v>3939.12</v>
      </c>
      <c r="AF5" s="1"/>
      <c r="AG5" s="1"/>
      <c r="AH5" s="11">
        <f>SUM(AH6:AH499)</f>
        <v>10.695238095238095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37</v>
      </c>
      <c r="B6" s="14" t="s">
        <v>38</v>
      </c>
      <c r="C6" s="14">
        <v>52</v>
      </c>
      <c r="D6" s="14"/>
      <c r="E6" s="18">
        <v>14</v>
      </c>
      <c r="F6" s="18">
        <v>38</v>
      </c>
      <c r="G6" s="15">
        <v>0</v>
      </c>
      <c r="H6" s="14"/>
      <c r="I6" s="14" t="s">
        <v>39</v>
      </c>
      <c r="J6" s="14" t="s">
        <v>40</v>
      </c>
      <c r="K6" s="14">
        <v>14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2.8</v>
      </c>
      <c r="Q6" s="16"/>
      <c r="R6" s="16"/>
      <c r="S6" s="14">
        <f>(F6+R6)/P6</f>
        <v>13.571428571428573</v>
      </c>
      <c r="T6" s="14">
        <f>F6/P6</f>
        <v>13.571428571428573</v>
      </c>
      <c r="U6" s="14">
        <v>7.2</v>
      </c>
      <c r="V6" s="14">
        <v>1.4</v>
      </c>
      <c r="W6" s="14">
        <v>0.6</v>
      </c>
      <c r="X6" s="14">
        <v>0</v>
      </c>
      <c r="Y6" s="14">
        <v>0</v>
      </c>
      <c r="Z6" s="14">
        <v>0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41</v>
      </c>
      <c r="B7" s="14" t="s">
        <v>38</v>
      </c>
      <c r="C7" s="14">
        <v>45</v>
      </c>
      <c r="D7" s="14">
        <v>1</v>
      </c>
      <c r="E7" s="18">
        <v>6</v>
      </c>
      <c r="F7" s="18">
        <v>39</v>
      </c>
      <c r="G7" s="15">
        <v>0</v>
      </c>
      <c r="H7" s="14"/>
      <c r="I7" s="14" t="s">
        <v>39</v>
      </c>
      <c r="J7" s="14" t="s">
        <v>42</v>
      </c>
      <c r="K7" s="14">
        <v>7</v>
      </c>
      <c r="L7" s="14">
        <f t="shared" si="2"/>
        <v>-1</v>
      </c>
      <c r="M7" s="14"/>
      <c r="N7" s="14"/>
      <c r="O7" s="14"/>
      <c r="P7" s="14">
        <f t="shared" si="3"/>
        <v>1.2</v>
      </c>
      <c r="Q7" s="16"/>
      <c r="R7" s="16"/>
      <c r="S7" s="14">
        <f>(F7+R7)/P7</f>
        <v>32.5</v>
      </c>
      <c r="T7" s="14">
        <f>F7/P7</f>
        <v>32.5</v>
      </c>
      <c r="U7" s="14">
        <v>5.4</v>
      </c>
      <c r="V7" s="14">
        <v>0.4</v>
      </c>
      <c r="W7" s="14">
        <v>0.2</v>
      </c>
      <c r="X7" s="14">
        <v>0</v>
      </c>
      <c r="Y7" s="14">
        <v>0</v>
      </c>
      <c r="Z7" s="14">
        <v>0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43</v>
      </c>
      <c r="B8" s="14" t="s">
        <v>38</v>
      </c>
      <c r="C8" s="14">
        <v>85</v>
      </c>
      <c r="D8" s="14"/>
      <c r="E8" s="18">
        <v>20</v>
      </c>
      <c r="F8" s="18">
        <v>65</v>
      </c>
      <c r="G8" s="15">
        <v>0</v>
      </c>
      <c r="H8" s="14"/>
      <c r="I8" s="14" t="s">
        <v>39</v>
      </c>
      <c r="J8" s="14" t="s">
        <v>44</v>
      </c>
      <c r="K8" s="14">
        <v>20</v>
      </c>
      <c r="L8" s="14">
        <f t="shared" si="2"/>
        <v>0</v>
      </c>
      <c r="M8" s="14"/>
      <c r="N8" s="14"/>
      <c r="O8" s="14"/>
      <c r="P8" s="14">
        <f t="shared" si="3"/>
        <v>4</v>
      </c>
      <c r="Q8" s="16"/>
      <c r="R8" s="16"/>
      <c r="S8" s="14">
        <f>(F8+R8)/P8</f>
        <v>16.25</v>
      </c>
      <c r="T8" s="14">
        <f>F8/P8</f>
        <v>16.25</v>
      </c>
      <c r="U8" s="14">
        <v>3.8</v>
      </c>
      <c r="V8" s="14">
        <v>4</v>
      </c>
      <c r="W8" s="14">
        <v>0.2</v>
      </c>
      <c r="X8" s="14">
        <v>0</v>
      </c>
      <c r="Y8" s="14">
        <v>0</v>
      </c>
      <c r="Z8" s="14">
        <v>0</v>
      </c>
      <c r="AA8" s="14"/>
      <c r="AB8" s="14"/>
      <c r="AC8" s="15"/>
      <c r="AD8" s="17"/>
      <c r="AE8" s="14"/>
      <c r="AF8" s="14"/>
      <c r="AG8" s="14"/>
      <c r="AH8" s="17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38</v>
      </c>
      <c r="C9" s="1"/>
      <c r="D9" s="1">
        <v>336</v>
      </c>
      <c r="E9" s="1">
        <v>13</v>
      </c>
      <c r="F9" s="1">
        <v>323</v>
      </c>
      <c r="G9" s="7">
        <f>VLOOKUP(A9,[1]Sheet!$A:$I,7,0)</f>
        <v>0.22</v>
      </c>
      <c r="H9" s="1">
        <f>VLOOKUP(A9,[1]Sheet!$A:$I,8,0)</f>
        <v>180</v>
      </c>
      <c r="I9" s="1" t="str">
        <f>VLOOKUP(A9,[1]Sheet!$A:$I,9,0)</f>
        <v>P005065</v>
      </c>
      <c r="J9" s="1"/>
      <c r="K9" s="1">
        <v>13</v>
      </c>
      <c r="L9" s="1">
        <f t="shared" si="2"/>
        <v>0</v>
      </c>
      <c r="M9" s="1"/>
      <c r="N9" s="1"/>
      <c r="O9" s="1"/>
      <c r="P9" s="1">
        <f t="shared" si="3"/>
        <v>2.6</v>
      </c>
      <c r="Q9" s="5"/>
      <c r="R9" s="5">
        <f t="shared" ref="R9:R21" si="4">AC9*AD9</f>
        <v>0</v>
      </c>
      <c r="S9" s="1">
        <f>(F9+R9)/P9</f>
        <v>124.23076923076923</v>
      </c>
      <c r="T9" s="1">
        <f>F9/P9</f>
        <v>124.23076923076923</v>
      </c>
      <c r="U9" s="1">
        <v>7.8</v>
      </c>
      <c r="V9" s="1">
        <v>18</v>
      </c>
      <c r="W9" s="1">
        <v>6.6</v>
      </c>
      <c r="X9" s="1">
        <v>0</v>
      </c>
      <c r="Y9" s="1">
        <v>0</v>
      </c>
      <c r="Z9" s="1">
        <v>12.2</v>
      </c>
      <c r="AA9" s="1"/>
      <c r="AB9" s="1">
        <f>G9*Q9</f>
        <v>0</v>
      </c>
      <c r="AC9" s="7">
        <f>VLOOKUP(A9,[1]Sheet!$A:$AJ,32,0)</f>
        <v>12</v>
      </c>
      <c r="AD9" s="9">
        <f>MROUND(Q9, AC9*AF9)/AC9</f>
        <v>0</v>
      </c>
      <c r="AE9" s="1">
        <f>AD9*AC9*G9</f>
        <v>0</v>
      </c>
      <c r="AF9" s="1">
        <f>VLOOKUP(A9,[1]Sheet!$A:$AJ,35,0)</f>
        <v>14</v>
      </c>
      <c r="AG9" s="1">
        <f>VLOOKUP(A9,[1]Sheet!$A:$AJ,36,0)</f>
        <v>70</v>
      </c>
      <c r="AH9" s="9">
        <f t="shared" ref="AH9:AH21" si="5">AD9/AG9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38</v>
      </c>
      <c r="C10" s="1">
        <v>448</v>
      </c>
      <c r="D10" s="1">
        <v>339</v>
      </c>
      <c r="E10" s="1">
        <v>243</v>
      </c>
      <c r="F10" s="1">
        <v>541</v>
      </c>
      <c r="G10" s="7">
        <f>VLOOKUP(A10,[1]Sheet!$A:$I,7,0)</f>
        <v>0.3</v>
      </c>
      <c r="H10" s="1">
        <f>VLOOKUP(A10,[1]Sheet!$A:$I,8,0)</f>
        <v>180</v>
      </c>
      <c r="I10" s="1" t="str">
        <f>VLOOKUP(A10,[1]Sheet!$A:$I,9,0)</f>
        <v>P004598</v>
      </c>
      <c r="J10" s="1"/>
      <c r="K10" s="1">
        <v>245</v>
      </c>
      <c r="L10" s="1">
        <f t="shared" si="2"/>
        <v>-2</v>
      </c>
      <c r="M10" s="1"/>
      <c r="N10" s="1"/>
      <c r="O10" s="1"/>
      <c r="P10" s="1">
        <f t="shared" si="3"/>
        <v>48.6</v>
      </c>
      <c r="Q10" s="5">
        <f t="shared" ref="Q10:Q17" si="6">14*P10-F10</f>
        <v>139.39999999999998</v>
      </c>
      <c r="R10" s="5">
        <f t="shared" si="4"/>
        <v>168</v>
      </c>
      <c r="S10" s="1">
        <f>(F10+R10)/P10</f>
        <v>14.588477366255143</v>
      </c>
      <c r="T10" s="1">
        <f>F10/P10</f>
        <v>11.131687242798353</v>
      </c>
      <c r="U10" s="1">
        <v>38.799999999999997</v>
      </c>
      <c r="V10" s="1">
        <v>21.6</v>
      </c>
      <c r="W10" s="1">
        <v>54</v>
      </c>
      <c r="X10" s="1">
        <v>0</v>
      </c>
      <c r="Y10" s="1">
        <v>0</v>
      </c>
      <c r="Z10" s="1">
        <v>53</v>
      </c>
      <c r="AA10" s="1"/>
      <c r="AB10" s="1">
        <f>G10*Q10</f>
        <v>41.819999999999993</v>
      </c>
      <c r="AC10" s="7">
        <f>VLOOKUP(A10,[1]Sheet!$A:$AJ,32,0)</f>
        <v>12</v>
      </c>
      <c r="AD10" s="9">
        <f>MROUND(Q10, AC10*AF10)/AC10</f>
        <v>14</v>
      </c>
      <c r="AE10" s="1">
        <f>AD10*AC10*G10</f>
        <v>50.4</v>
      </c>
      <c r="AF10" s="1">
        <f>VLOOKUP(A10,[1]Sheet!$A:$AJ,35,0)</f>
        <v>14</v>
      </c>
      <c r="AG10" s="1">
        <f>VLOOKUP(A10,[1]Sheet!$A:$AJ,36,0)</f>
        <v>70</v>
      </c>
      <c r="AH10" s="9">
        <f t="shared" si="5"/>
        <v>0.2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38</v>
      </c>
      <c r="C11" s="1">
        <v>198</v>
      </c>
      <c r="D11" s="1">
        <v>687</v>
      </c>
      <c r="E11" s="1">
        <v>274</v>
      </c>
      <c r="F11" s="1">
        <v>608</v>
      </c>
      <c r="G11" s="7">
        <f>VLOOKUP(A11,[1]Sheet!$A:$I,7,0)</f>
        <v>0.28000000000000003</v>
      </c>
      <c r="H11" s="1">
        <f>VLOOKUP(A11,[1]Sheet!$A:$I,8,0)</f>
        <v>180</v>
      </c>
      <c r="I11" s="1" t="str">
        <f>VLOOKUP(A11,[1]Sheet!$A:$I,9,0)</f>
        <v>P004597</v>
      </c>
      <c r="J11" s="1"/>
      <c r="K11" s="1">
        <v>270</v>
      </c>
      <c r="L11" s="1">
        <f t="shared" si="2"/>
        <v>4</v>
      </c>
      <c r="M11" s="1"/>
      <c r="N11" s="1"/>
      <c r="O11" s="1"/>
      <c r="P11" s="1">
        <f t="shared" si="3"/>
        <v>54.8</v>
      </c>
      <c r="Q11" s="5">
        <f t="shared" si="6"/>
        <v>159.19999999999993</v>
      </c>
      <c r="R11" s="5">
        <f t="shared" si="4"/>
        <v>168</v>
      </c>
      <c r="S11" s="1">
        <f>(F11+R11)/P11</f>
        <v>14.160583941605839</v>
      </c>
      <c r="T11" s="1">
        <f>F11/P11</f>
        <v>11.094890510948906</v>
      </c>
      <c r="U11" s="1">
        <v>44.2</v>
      </c>
      <c r="V11" s="1">
        <v>59.8</v>
      </c>
      <c r="W11" s="1">
        <v>52.8</v>
      </c>
      <c r="X11" s="1">
        <v>14.6</v>
      </c>
      <c r="Y11" s="1">
        <v>0</v>
      </c>
      <c r="Z11" s="1">
        <v>0</v>
      </c>
      <c r="AA11" s="1"/>
      <c r="AB11" s="1">
        <f>G11*Q11</f>
        <v>44.575999999999986</v>
      </c>
      <c r="AC11" s="7">
        <f>VLOOKUP(A11,[1]Sheet!$A:$AJ,32,0)</f>
        <v>6</v>
      </c>
      <c r="AD11" s="9">
        <f>MROUND(Q11, AC11*AF11)/AC11</f>
        <v>28</v>
      </c>
      <c r="AE11" s="1">
        <f>AD11*AC11*G11</f>
        <v>47.040000000000006</v>
      </c>
      <c r="AF11" s="1">
        <f>VLOOKUP(A11,[1]Sheet!$A:$AJ,35,0)</f>
        <v>14</v>
      </c>
      <c r="AG11" s="1">
        <f>VLOOKUP(A11,[1]Sheet!$A:$AJ,36,0)</f>
        <v>140</v>
      </c>
      <c r="AH11" s="9">
        <f t="shared" si="5"/>
        <v>0.2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38</v>
      </c>
      <c r="C12" s="1">
        <v>491</v>
      </c>
      <c r="D12" s="1">
        <v>845</v>
      </c>
      <c r="E12" s="1">
        <v>258</v>
      </c>
      <c r="F12" s="1">
        <v>1072</v>
      </c>
      <c r="G12" s="7">
        <f>VLOOKUP(A12,[1]Sheet!$A:$I,7,0)</f>
        <v>0.24</v>
      </c>
      <c r="H12" s="1">
        <f>VLOOKUP(A12,[1]Sheet!$A:$I,8,0)</f>
        <v>180</v>
      </c>
      <c r="I12" s="1" t="str">
        <f>VLOOKUP(A12,[1]Sheet!$A:$I,9,0)</f>
        <v>P004969</v>
      </c>
      <c r="J12" s="1"/>
      <c r="K12" s="1">
        <v>254</v>
      </c>
      <c r="L12" s="1">
        <f t="shared" si="2"/>
        <v>4</v>
      </c>
      <c r="M12" s="1"/>
      <c r="N12" s="1"/>
      <c r="O12" s="1"/>
      <c r="P12" s="1">
        <f t="shared" si="3"/>
        <v>51.6</v>
      </c>
      <c r="Q12" s="5"/>
      <c r="R12" s="5">
        <f t="shared" si="4"/>
        <v>0</v>
      </c>
      <c r="S12" s="1">
        <f>(F12+R12)/P12</f>
        <v>20.77519379844961</v>
      </c>
      <c r="T12" s="1">
        <f>F12/P12</f>
        <v>20.77519379844961</v>
      </c>
      <c r="U12" s="1">
        <v>51</v>
      </c>
      <c r="V12" s="1">
        <v>91.2</v>
      </c>
      <c r="W12" s="1">
        <v>82.2</v>
      </c>
      <c r="X12" s="1">
        <v>14</v>
      </c>
      <c r="Y12" s="1">
        <v>6.2</v>
      </c>
      <c r="Z12" s="1">
        <v>77.2</v>
      </c>
      <c r="AA12" s="1"/>
      <c r="AB12" s="1">
        <f>G12*Q12</f>
        <v>0</v>
      </c>
      <c r="AC12" s="7">
        <f>VLOOKUP(A12,[1]Sheet!$A:$AJ,32,0)</f>
        <v>12</v>
      </c>
      <c r="AD12" s="9">
        <f>MROUND(Q12, AC12*AF12)/AC12</f>
        <v>0</v>
      </c>
      <c r="AE12" s="1">
        <f>AD12*AC12*G12</f>
        <v>0</v>
      </c>
      <c r="AF12" s="1">
        <f>VLOOKUP(A12,[1]Sheet!$A:$AJ,35,0)</f>
        <v>14</v>
      </c>
      <c r="AG12" s="1">
        <f>VLOOKUP(A12,[1]Sheet!$A:$AJ,36,0)</f>
        <v>70</v>
      </c>
      <c r="AH12" s="9">
        <f t="shared" si="5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38</v>
      </c>
      <c r="C13" s="1">
        <v>467</v>
      </c>
      <c r="D13" s="1">
        <v>1355</v>
      </c>
      <c r="E13" s="1">
        <v>293</v>
      </c>
      <c r="F13" s="1">
        <v>1518</v>
      </c>
      <c r="G13" s="7">
        <f>VLOOKUP(A13,[1]Sheet!$A:$I,7,0)</f>
        <v>0.24</v>
      </c>
      <c r="H13" s="1">
        <f>VLOOKUP(A13,[1]Sheet!$A:$I,8,0)</f>
        <v>180</v>
      </c>
      <c r="I13" s="1" t="str">
        <f>VLOOKUP(A13,[1]Sheet!$A:$I,9,0)</f>
        <v>P004971</v>
      </c>
      <c r="J13" s="1"/>
      <c r="K13" s="1">
        <v>296</v>
      </c>
      <c r="L13" s="1">
        <f t="shared" si="2"/>
        <v>-3</v>
      </c>
      <c r="M13" s="1"/>
      <c r="N13" s="1"/>
      <c r="O13" s="1"/>
      <c r="P13" s="1">
        <f t="shared" si="3"/>
        <v>58.6</v>
      </c>
      <c r="Q13" s="5"/>
      <c r="R13" s="5">
        <f t="shared" si="4"/>
        <v>0</v>
      </c>
      <c r="S13" s="1">
        <f>(F13+R13)/P13</f>
        <v>25.904436860068259</v>
      </c>
      <c r="T13" s="1">
        <f>F13/P13</f>
        <v>25.904436860068259</v>
      </c>
      <c r="U13" s="1">
        <v>65.599999999999994</v>
      </c>
      <c r="V13" s="1">
        <v>115.8</v>
      </c>
      <c r="W13" s="1">
        <v>91.8</v>
      </c>
      <c r="X13" s="1">
        <v>10.6</v>
      </c>
      <c r="Y13" s="1">
        <v>0</v>
      </c>
      <c r="Z13" s="1">
        <v>29.2</v>
      </c>
      <c r="AA13" s="19" t="s">
        <v>62</v>
      </c>
      <c r="AB13" s="1">
        <f>G13*Q13</f>
        <v>0</v>
      </c>
      <c r="AC13" s="7">
        <f>VLOOKUP(A13,[1]Sheet!$A:$AJ,32,0)</f>
        <v>12</v>
      </c>
      <c r="AD13" s="9">
        <f>MROUND(Q13, AC13*AF13)/AC13</f>
        <v>0</v>
      </c>
      <c r="AE13" s="1">
        <f>AD13*AC13*G13</f>
        <v>0</v>
      </c>
      <c r="AF13" s="1">
        <f>VLOOKUP(A13,[1]Sheet!$A:$AJ,35,0)</f>
        <v>14</v>
      </c>
      <c r="AG13" s="1">
        <f>VLOOKUP(A13,[1]Sheet!$A:$AJ,36,0)</f>
        <v>70</v>
      </c>
      <c r="AH13" s="9">
        <f t="shared" si="5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38</v>
      </c>
      <c r="C14" s="1">
        <v>386</v>
      </c>
      <c r="D14" s="1">
        <v>18</v>
      </c>
      <c r="E14" s="1">
        <v>186</v>
      </c>
      <c r="F14" s="1">
        <v>206</v>
      </c>
      <c r="G14" s="7">
        <f>VLOOKUP(A14,[1]Sheet!$A:$I,7,0)</f>
        <v>0.24</v>
      </c>
      <c r="H14" s="1">
        <f>VLOOKUP(A14,[1]Sheet!$A:$I,8,0)</f>
        <v>180</v>
      </c>
      <c r="I14" s="1" t="str">
        <f>VLOOKUP(A14,[1]Sheet!$A:$I,9,0)</f>
        <v>P004974</v>
      </c>
      <c r="J14" s="1"/>
      <c r="K14" s="1">
        <v>186</v>
      </c>
      <c r="L14" s="1">
        <f t="shared" si="2"/>
        <v>0</v>
      </c>
      <c r="M14" s="1"/>
      <c r="N14" s="1"/>
      <c r="O14" s="1"/>
      <c r="P14" s="1">
        <f t="shared" si="3"/>
        <v>37.200000000000003</v>
      </c>
      <c r="Q14" s="5">
        <f t="shared" si="6"/>
        <v>314.80000000000007</v>
      </c>
      <c r="R14" s="5">
        <f t="shared" si="4"/>
        <v>336</v>
      </c>
      <c r="S14" s="1">
        <f>(F14+R14)/P14</f>
        <v>14.569892473118278</v>
      </c>
      <c r="T14" s="1">
        <f>F14/P14</f>
        <v>5.5376344086021501</v>
      </c>
      <c r="U14" s="1">
        <v>34.4</v>
      </c>
      <c r="V14" s="1">
        <v>4.2</v>
      </c>
      <c r="W14" s="1">
        <v>43</v>
      </c>
      <c r="X14" s="1">
        <v>20.399999999999999</v>
      </c>
      <c r="Y14" s="1">
        <v>0</v>
      </c>
      <c r="Z14" s="1">
        <v>0</v>
      </c>
      <c r="AA14" s="1"/>
      <c r="AB14" s="1">
        <f>G14*Q14</f>
        <v>75.552000000000007</v>
      </c>
      <c r="AC14" s="7">
        <f>VLOOKUP(A14,[1]Sheet!$A:$AJ,32,0)</f>
        <v>12</v>
      </c>
      <c r="AD14" s="9">
        <f>MROUND(Q14, AC14*AF14)/AC14</f>
        <v>28</v>
      </c>
      <c r="AE14" s="1">
        <f>AD14*AC14*G14</f>
        <v>80.64</v>
      </c>
      <c r="AF14" s="1">
        <f>VLOOKUP(A14,[1]Sheet!$A:$AJ,35,0)</f>
        <v>14</v>
      </c>
      <c r="AG14" s="1">
        <f>VLOOKUP(A14,[1]Sheet!$A:$AJ,36,0)</f>
        <v>70</v>
      </c>
      <c r="AH14" s="9">
        <f t="shared" si="5"/>
        <v>0.4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38</v>
      </c>
      <c r="C15" s="1">
        <v>932</v>
      </c>
      <c r="D15" s="1">
        <v>357</v>
      </c>
      <c r="E15" s="18">
        <f>412+E6</f>
        <v>426</v>
      </c>
      <c r="F15" s="18">
        <f>862+F6</f>
        <v>900</v>
      </c>
      <c r="G15" s="7">
        <f>VLOOKUP(A15,[1]Sheet!$A:$I,7,0)</f>
        <v>0.24</v>
      </c>
      <c r="H15" s="1">
        <f>VLOOKUP(A15,[1]Sheet!$A:$I,8,0)</f>
        <v>180</v>
      </c>
      <c r="I15" s="1" t="str">
        <f>VLOOKUP(A15,[1]Sheet!$A:$I,9,0)</f>
        <v>P004966</v>
      </c>
      <c r="J15" s="1"/>
      <c r="K15" s="1">
        <v>417</v>
      </c>
      <c r="L15" s="1">
        <f t="shared" si="2"/>
        <v>9</v>
      </c>
      <c r="M15" s="1"/>
      <c r="N15" s="1"/>
      <c r="O15" s="1"/>
      <c r="P15" s="1">
        <f t="shared" si="3"/>
        <v>85.2</v>
      </c>
      <c r="Q15" s="5">
        <f t="shared" si="6"/>
        <v>292.79999999999995</v>
      </c>
      <c r="R15" s="5">
        <f t="shared" si="4"/>
        <v>336</v>
      </c>
      <c r="S15" s="1">
        <f>(F15+R15)/P15</f>
        <v>14.507042253521126</v>
      </c>
      <c r="T15" s="1">
        <f>F15/P15</f>
        <v>10.56338028169014</v>
      </c>
      <c r="U15" s="1">
        <v>110.8</v>
      </c>
      <c r="V15" s="1">
        <v>61.2</v>
      </c>
      <c r="W15" s="1">
        <v>101.4</v>
      </c>
      <c r="X15" s="1">
        <v>13.6</v>
      </c>
      <c r="Y15" s="1">
        <v>0</v>
      </c>
      <c r="Z15" s="1">
        <v>0.2</v>
      </c>
      <c r="AA15" s="1"/>
      <c r="AB15" s="1">
        <f>G15*Q15</f>
        <v>70.271999999999991</v>
      </c>
      <c r="AC15" s="7">
        <f>VLOOKUP(A15,[1]Sheet!$A:$AJ,32,0)</f>
        <v>12</v>
      </c>
      <c r="AD15" s="9">
        <f>MROUND(Q15, AC15*AF15)/AC15</f>
        <v>28</v>
      </c>
      <c r="AE15" s="1">
        <f>AD15*AC15*G15</f>
        <v>80.64</v>
      </c>
      <c r="AF15" s="1">
        <f>VLOOKUP(A15,[1]Sheet!$A:$AJ,35,0)</f>
        <v>14</v>
      </c>
      <c r="AG15" s="1">
        <f>VLOOKUP(A15,[1]Sheet!$A:$AJ,36,0)</f>
        <v>70</v>
      </c>
      <c r="AH15" s="9">
        <f t="shared" si="5"/>
        <v>0.4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38</v>
      </c>
      <c r="C16" s="1">
        <v>22</v>
      </c>
      <c r="D16" s="1">
        <v>115</v>
      </c>
      <c r="E16" s="1">
        <v>108</v>
      </c>
      <c r="F16" s="1">
        <v>26</v>
      </c>
      <c r="G16" s="7">
        <f>VLOOKUP(A16,[1]Sheet!$A:$I,7,0)</f>
        <v>0.48</v>
      </c>
      <c r="H16" s="1">
        <f>VLOOKUP(A16,[1]Sheet!$A:$I,8,0)</f>
        <v>180</v>
      </c>
      <c r="I16" s="1" t="str">
        <f>VLOOKUP(A16,[1]Sheet!$A:$I,9,0)</f>
        <v>P004595</v>
      </c>
      <c r="J16" s="1"/>
      <c r="K16" s="1">
        <v>115</v>
      </c>
      <c r="L16" s="1">
        <f t="shared" si="2"/>
        <v>-7</v>
      </c>
      <c r="M16" s="1"/>
      <c r="N16" s="1"/>
      <c r="O16" s="1"/>
      <c r="P16" s="1">
        <f t="shared" si="3"/>
        <v>21.6</v>
      </c>
      <c r="Q16" s="5">
        <f>11*P16-F16</f>
        <v>211.60000000000002</v>
      </c>
      <c r="R16" s="5">
        <f t="shared" si="4"/>
        <v>224</v>
      </c>
      <c r="S16" s="1">
        <f>(F16+R16)/P16</f>
        <v>11.574074074074073</v>
      </c>
      <c r="T16" s="1">
        <f>F16/P16</f>
        <v>1.2037037037037037</v>
      </c>
      <c r="U16" s="1">
        <v>18</v>
      </c>
      <c r="V16" s="1">
        <v>14</v>
      </c>
      <c r="W16" s="1">
        <v>21.8</v>
      </c>
      <c r="X16" s="1">
        <v>5.8</v>
      </c>
      <c r="Y16" s="1">
        <v>6</v>
      </c>
      <c r="Z16" s="1">
        <v>0.6</v>
      </c>
      <c r="AA16" s="1"/>
      <c r="AB16" s="1">
        <f>G16*Q16</f>
        <v>101.56800000000001</v>
      </c>
      <c r="AC16" s="7">
        <f>VLOOKUP(A16,[1]Sheet!$A:$AJ,32,0)</f>
        <v>8</v>
      </c>
      <c r="AD16" s="9">
        <f>MROUND(Q16, AC16*AF16)/AC16</f>
        <v>28</v>
      </c>
      <c r="AE16" s="1">
        <f>AD16*AC16*G16</f>
        <v>107.52</v>
      </c>
      <c r="AF16" s="1">
        <f>VLOOKUP(A16,[1]Sheet!$A:$AJ,35,0)</f>
        <v>14</v>
      </c>
      <c r="AG16" s="1">
        <f>VLOOKUP(A16,[1]Sheet!$A:$AJ,36,0)</f>
        <v>70</v>
      </c>
      <c r="AH16" s="9">
        <f t="shared" si="5"/>
        <v>0.4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496</v>
      </c>
      <c r="D17" s="1">
        <v>3</v>
      </c>
      <c r="E17" s="1">
        <v>288</v>
      </c>
      <c r="F17" s="1">
        <v>208</v>
      </c>
      <c r="G17" s="7">
        <f>VLOOKUP(A17,[1]Sheet!$A:$I,7,0)</f>
        <v>0.36</v>
      </c>
      <c r="H17" s="1">
        <f>VLOOKUP(A17,[1]Sheet!$A:$I,8,0)</f>
        <v>180</v>
      </c>
      <c r="I17" s="1" t="str">
        <f>VLOOKUP(A17,[1]Sheet!$A:$I,9,0)</f>
        <v>P004583</v>
      </c>
      <c r="J17" s="1"/>
      <c r="K17" s="1">
        <v>286</v>
      </c>
      <c r="L17" s="1">
        <f t="shared" si="2"/>
        <v>2</v>
      </c>
      <c r="M17" s="1"/>
      <c r="N17" s="1"/>
      <c r="O17" s="1"/>
      <c r="P17" s="1">
        <f t="shared" si="3"/>
        <v>57.6</v>
      </c>
      <c r="Q17" s="5">
        <f t="shared" si="6"/>
        <v>598.4</v>
      </c>
      <c r="R17" s="5">
        <f t="shared" si="4"/>
        <v>560</v>
      </c>
      <c r="S17" s="1">
        <f>(F17+R17)/P17</f>
        <v>13.333333333333332</v>
      </c>
      <c r="T17" s="1">
        <f>F17/P17</f>
        <v>3.6111111111111112</v>
      </c>
      <c r="U17" s="1">
        <v>41.4</v>
      </c>
      <c r="V17" s="1">
        <v>2</v>
      </c>
      <c r="W17" s="1">
        <v>28</v>
      </c>
      <c r="X17" s="1">
        <v>4.5999999999999996</v>
      </c>
      <c r="Y17" s="1">
        <v>10.199999999999999</v>
      </c>
      <c r="Z17" s="1">
        <v>64.8</v>
      </c>
      <c r="AA17" s="1"/>
      <c r="AB17" s="1">
        <f>G17*Q17</f>
        <v>215.42399999999998</v>
      </c>
      <c r="AC17" s="7">
        <f>VLOOKUP(A17,[1]Sheet!$A:$AJ,32,0)</f>
        <v>10</v>
      </c>
      <c r="AD17" s="9">
        <f>MROUND(Q17, AC17*AF17)/AC17</f>
        <v>56</v>
      </c>
      <c r="AE17" s="1">
        <f>AD17*AC17*G17</f>
        <v>201.6</v>
      </c>
      <c r="AF17" s="1">
        <f>VLOOKUP(A17,[1]Sheet!$A:$AJ,35,0)</f>
        <v>14</v>
      </c>
      <c r="AG17" s="1">
        <f>VLOOKUP(A17,[1]Sheet!$A:$AJ,36,0)</f>
        <v>70</v>
      </c>
      <c r="AH17" s="9">
        <f t="shared" si="5"/>
        <v>0.8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15</v>
      </c>
      <c r="D18" s="1">
        <v>168</v>
      </c>
      <c r="E18" s="1">
        <v>13</v>
      </c>
      <c r="F18" s="1">
        <v>170</v>
      </c>
      <c r="G18" s="7">
        <f>VLOOKUP(A18,[1]Sheet!$A:$I,7,0)</f>
        <v>0.2</v>
      </c>
      <c r="H18" s="1">
        <f>VLOOKUP(A18,[1]Sheet!$A:$I,8,0)</f>
        <v>180</v>
      </c>
      <c r="I18" s="1" t="str">
        <f>VLOOKUP(A18,[1]Sheet!$A:$I,9,0)</f>
        <v>P005129</v>
      </c>
      <c r="J18" s="1"/>
      <c r="K18" s="1">
        <v>11</v>
      </c>
      <c r="L18" s="1">
        <f t="shared" si="2"/>
        <v>2</v>
      </c>
      <c r="M18" s="1"/>
      <c r="N18" s="1"/>
      <c r="O18" s="1"/>
      <c r="P18" s="1">
        <f t="shared" si="3"/>
        <v>2.6</v>
      </c>
      <c r="Q18" s="5"/>
      <c r="R18" s="5">
        <f t="shared" si="4"/>
        <v>0</v>
      </c>
      <c r="S18" s="1">
        <f>(F18+R18)/P18</f>
        <v>65.384615384615387</v>
      </c>
      <c r="T18" s="1">
        <f>F18/P18</f>
        <v>65.384615384615387</v>
      </c>
      <c r="U18" s="1">
        <v>5.6</v>
      </c>
      <c r="V18" s="1">
        <v>12.4</v>
      </c>
      <c r="W18" s="1">
        <v>5</v>
      </c>
      <c r="X18" s="1">
        <v>11.6</v>
      </c>
      <c r="Y18" s="1">
        <v>9.1999999999999993</v>
      </c>
      <c r="Z18" s="1">
        <v>11.4</v>
      </c>
      <c r="AA18" s="1"/>
      <c r="AB18" s="1">
        <f>G18*Q18</f>
        <v>0</v>
      </c>
      <c r="AC18" s="7">
        <f>VLOOKUP(A18,[1]Sheet!$A:$AJ,32,0)</f>
        <v>12</v>
      </c>
      <c r="AD18" s="9">
        <f>MROUND(Q18, AC18*AF18)/AC18</f>
        <v>0</v>
      </c>
      <c r="AE18" s="1">
        <f>AD18*AC18*G18</f>
        <v>0</v>
      </c>
      <c r="AF18" s="1">
        <f>VLOOKUP(A18,[1]Sheet!$A:$AJ,35,0)</f>
        <v>14</v>
      </c>
      <c r="AG18" s="1">
        <f>VLOOKUP(A18,[1]Sheet!$A:$AJ,36,0)</f>
        <v>70</v>
      </c>
      <c r="AH18" s="9">
        <f t="shared" si="5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38</v>
      </c>
      <c r="C19" s="1">
        <v>3856</v>
      </c>
      <c r="D19" s="1">
        <v>1515</v>
      </c>
      <c r="E19" s="1">
        <v>240</v>
      </c>
      <c r="F19" s="1">
        <v>5128</v>
      </c>
      <c r="G19" s="7">
        <f>VLOOKUP(A19,[1]Sheet!$A:$I,7,0)</f>
        <v>0.2</v>
      </c>
      <c r="H19" s="1">
        <f>VLOOKUP(A19,[1]Sheet!$A:$I,8,0)</f>
        <v>180</v>
      </c>
      <c r="I19" s="1" t="str">
        <f>VLOOKUP(A19,[1]Sheet!$A:$I,9,0)</f>
        <v>P004956</v>
      </c>
      <c r="J19" s="1"/>
      <c r="K19" s="1">
        <v>243</v>
      </c>
      <c r="L19" s="1">
        <f t="shared" si="2"/>
        <v>-3</v>
      </c>
      <c r="M19" s="1"/>
      <c r="N19" s="1"/>
      <c r="O19" s="1"/>
      <c r="P19" s="1">
        <f t="shared" si="3"/>
        <v>48</v>
      </c>
      <c r="Q19" s="5"/>
      <c r="R19" s="5">
        <f t="shared" si="4"/>
        <v>0</v>
      </c>
      <c r="S19" s="1">
        <f>(F19+R19)/P19</f>
        <v>106.83333333333333</v>
      </c>
      <c r="T19" s="1">
        <f>F19/P19</f>
        <v>106.83333333333333</v>
      </c>
      <c r="U19" s="1">
        <v>36.4</v>
      </c>
      <c r="V19" s="1">
        <v>58</v>
      </c>
      <c r="W19" s="1">
        <v>73.400000000000006</v>
      </c>
      <c r="X19" s="1">
        <v>0</v>
      </c>
      <c r="Y19" s="1">
        <v>0.2</v>
      </c>
      <c r="Z19" s="1">
        <v>53.4</v>
      </c>
      <c r="AA19" s="20" t="s">
        <v>77</v>
      </c>
      <c r="AB19" s="1">
        <f>G19*Q19</f>
        <v>0</v>
      </c>
      <c r="AC19" s="7">
        <f>VLOOKUP(A19,[1]Sheet!$A:$AJ,32,0)</f>
        <v>12</v>
      </c>
      <c r="AD19" s="9">
        <f>MROUND(Q19, AC19*AF19)/AC19</f>
        <v>0</v>
      </c>
      <c r="AE19" s="1">
        <f>AD19*AC19*G19</f>
        <v>0</v>
      </c>
      <c r="AF19" s="1">
        <f>VLOOKUP(A19,[1]Sheet!$A:$AJ,35,0)</f>
        <v>14</v>
      </c>
      <c r="AG19" s="1">
        <f>VLOOKUP(A19,[1]Sheet!$A:$AJ,36,0)</f>
        <v>70</v>
      </c>
      <c r="AH19" s="9">
        <f t="shared" si="5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568</v>
      </c>
      <c r="D20" s="1">
        <v>3</v>
      </c>
      <c r="E20" s="1">
        <v>51</v>
      </c>
      <c r="F20" s="1">
        <v>517</v>
      </c>
      <c r="G20" s="7">
        <f>VLOOKUP(A20,[1]Sheet!$A:$I,7,0)</f>
        <v>0.2</v>
      </c>
      <c r="H20" s="1">
        <f>VLOOKUP(A20,[1]Sheet!$A:$I,8,0)</f>
        <v>180</v>
      </c>
      <c r="I20" s="1" t="str">
        <f>VLOOKUP(A20,[1]Sheet!$A:$I,9,0)</f>
        <v>P004953</v>
      </c>
      <c r="J20" s="1"/>
      <c r="K20" s="1">
        <v>54</v>
      </c>
      <c r="L20" s="1">
        <f t="shared" si="2"/>
        <v>-3</v>
      </c>
      <c r="M20" s="1"/>
      <c r="N20" s="1"/>
      <c r="O20" s="1"/>
      <c r="P20" s="1">
        <f t="shared" si="3"/>
        <v>10.199999999999999</v>
      </c>
      <c r="Q20" s="5"/>
      <c r="R20" s="5">
        <f t="shared" si="4"/>
        <v>0</v>
      </c>
      <c r="S20" s="1">
        <f>(F20+R20)/P20</f>
        <v>50.686274509803923</v>
      </c>
      <c r="T20" s="1">
        <f>F20/P20</f>
        <v>50.686274509803923</v>
      </c>
      <c r="U20" s="1">
        <v>20.8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20" t="s">
        <v>77</v>
      </c>
      <c r="AB20" s="1">
        <f>G20*Q20</f>
        <v>0</v>
      </c>
      <c r="AC20" s="7">
        <f>VLOOKUP(A20,[1]Sheet!$A:$AJ,32,0)</f>
        <v>12</v>
      </c>
      <c r="AD20" s="9">
        <f>MROUND(Q20, AC20*AF20)/AC20</f>
        <v>0</v>
      </c>
      <c r="AE20" s="1">
        <f>AD20*AC20*G20</f>
        <v>0</v>
      </c>
      <c r="AF20" s="1">
        <f>VLOOKUP(A20,[1]Sheet!$A:$AJ,35,0)</f>
        <v>14</v>
      </c>
      <c r="AG20" s="1">
        <f>VLOOKUP(A20,[1]Sheet!$A:$AJ,36,0)</f>
        <v>70</v>
      </c>
      <c r="AH20" s="9">
        <f t="shared" si="5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57</v>
      </c>
      <c r="C21" s="1">
        <v>-5</v>
      </c>
      <c r="D21" s="1">
        <v>280</v>
      </c>
      <c r="E21" s="18">
        <f>40+E22</f>
        <v>96</v>
      </c>
      <c r="F21" s="18">
        <f>235+F22</f>
        <v>304</v>
      </c>
      <c r="G21" s="7">
        <f>VLOOKUP(A21,[1]Sheet!$A:$I,7,0)</f>
        <v>1</v>
      </c>
      <c r="H21" s="1">
        <f>VLOOKUP(A21,[1]Sheet!$A:$I,8,0)</f>
        <v>180</v>
      </c>
      <c r="I21" s="1" t="str">
        <f>VLOOKUP(A21,[1]Sheet!$A:$I,9,0)</f>
        <v>P005235</v>
      </c>
      <c r="J21" s="1"/>
      <c r="K21" s="1">
        <v>40</v>
      </c>
      <c r="L21" s="1">
        <f t="shared" si="2"/>
        <v>56</v>
      </c>
      <c r="M21" s="1"/>
      <c r="N21" s="1"/>
      <c r="O21" s="1"/>
      <c r="P21" s="1">
        <f t="shared" si="3"/>
        <v>19.2</v>
      </c>
      <c r="Q21" s="5"/>
      <c r="R21" s="5">
        <f t="shared" si="4"/>
        <v>0</v>
      </c>
      <c r="S21" s="1">
        <f>(F21+R21)/P21</f>
        <v>15.833333333333334</v>
      </c>
      <c r="T21" s="1">
        <f>F21/P21</f>
        <v>15.833333333333334</v>
      </c>
      <c r="U21" s="1">
        <v>30</v>
      </c>
      <c r="V21" s="1">
        <v>26</v>
      </c>
      <c r="W21" s="1">
        <v>21</v>
      </c>
      <c r="X21" s="1">
        <v>11</v>
      </c>
      <c r="Y21" s="1">
        <v>12</v>
      </c>
      <c r="Z21" s="1">
        <v>38</v>
      </c>
      <c r="AA21" s="1"/>
      <c r="AB21" s="1">
        <f>G21*Q21</f>
        <v>0</v>
      </c>
      <c r="AC21" s="7">
        <f>VLOOKUP(A21,[1]Sheet!$A:$AJ,32,0)</f>
        <v>5</v>
      </c>
      <c r="AD21" s="9">
        <f>MROUND(Q21, AC21*AF21)/AC21</f>
        <v>0</v>
      </c>
      <c r="AE21" s="1">
        <f>AD21*AC21*G21</f>
        <v>0</v>
      </c>
      <c r="AF21" s="1">
        <f>VLOOKUP(A21,[1]Sheet!$A:$AJ,35,0)</f>
        <v>12</v>
      </c>
      <c r="AG21" s="1">
        <f>VLOOKUP(A21,[1]Sheet!$A:$AJ,36,0)</f>
        <v>84</v>
      </c>
      <c r="AH21" s="9">
        <f t="shared" si="5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58</v>
      </c>
      <c r="B22" s="14" t="s">
        <v>57</v>
      </c>
      <c r="C22" s="14">
        <v>125</v>
      </c>
      <c r="D22" s="14">
        <v>5</v>
      </c>
      <c r="E22" s="18">
        <v>56</v>
      </c>
      <c r="F22" s="18">
        <v>69</v>
      </c>
      <c r="G22" s="15">
        <v>0</v>
      </c>
      <c r="H22" s="14"/>
      <c r="I22" s="14" t="s">
        <v>59</v>
      </c>
      <c r="J22" s="14" t="s">
        <v>56</v>
      </c>
      <c r="K22" s="14">
        <v>61</v>
      </c>
      <c r="L22" s="14">
        <f t="shared" si="2"/>
        <v>-5</v>
      </c>
      <c r="M22" s="14"/>
      <c r="N22" s="14"/>
      <c r="O22" s="14"/>
      <c r="P22" s="14">
        <f t="shared" si="3"/>
        <v>11.2</v>
      </c>
      <c r="Q22" s="16"/>
      <c r="R22" s="16"/>
      <c r="S22" s="14">
        <f>(F22+R22)/P22</f>
        <v>6.1607142857142865</v>
      </c>
      <c r="T22" s="14">
        <f>F22/P22</f>
        <v>6.1607142857142865</v>
      </c>
      <c r="U22" s="14">
        <v>17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/>
      <c r="AB22" s="14"/>
      <c r="AC22" s="15"/>
      <c r="AD22" s="17"/>
      <c r="AE22" s="14"/>
      <c r="AF22" s="14"/>
      <c r="AG22" s="14"/>
      <c r="AH22" s="17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57</v>
      </c>
      <c r="C23" s="1">
        <v>142</v>
      </c>
      <c r="D23" s="1">
        <v>66</v>
      </c>
      <c r="E23" s="1">
        <v>60</v>
      </c>
      <c r="F23" s="1">
        <v>148</v>
      </c>
      <c r="G23" s="21">
        <v>1</v>
      </c>
      <c r="H23" s="1">
        <v>180</v>
      </c>
      <c r="I23" s="1" t="s">
        <v>61</v>
      </c>
      <c r="J23" s="1"/>
      <c r="K23" s="1">
        <v>59.5</v>
      </c>
      <c r="L23" s="1">
        <f t="shared" si="2"/>
        <v>0.5</v>
      </c>
      <c r="M23" s="1"/>
      <c r="N23" s="1"/>
      <c r="O23" s="1"/>
      <c r="P23" s="1">
        <f t="shared" si="3"/>
        <v>12</v>
      </c>
      <c r="Q23" s="5"/>
      <c r="R23" s="5">
        <f t="shared" ref="R23:R65" si="7">AC23*AD23</f>
        <v>0</v>
      </c>
      <c r="S23" s="1">
        <f>(F23+R23)/P23</f>
        <v>12.333333333333334</v>
      </c>
      <c r="T23" s="1">
        <f>F23/P23</f>
        <v>12.333333333333334</v>
      </c>
      <c r="U23" s="1">
        <v>9.9</v>
      </c>
      <c r="V23" s="1">
        <v>16.8</v>
      </c>
      <c r="W23" s="1">
        <v>10.9</v>
      </c>
      <c r="X23" s="1">
        <v>9.9</v>
      </c>
      <c r="Y23" s="1">
        <v>5.5</v>
      </c>
      <c r="Z23" s="1">
        <v>9.9</v>
      </c>
      <c r="AA23" s="1"/>
      <c r="AB23" s="1">
        <f>G23*Q23</f>
        <v>0</v>
      </c>
      <c r="AC23" s="7">
        <v>5.5</v>
      </c>
      <c r="AD23" s="9">
        <f>MROUND(Q23, AC23*AF23)/AC23</f>
        <v>0</v>
      </c>
      <c r="AE23" s="1">
        <f>AD23*AC23*G23</f>
        <v>0</v>
      </c>
      <c r="AF23" s="1">
        <v>12</v>
      </c>
      <c r="AG23" s="1">
        <v>84</v>
      </c>
      <c r="AH23" s="9">
        <f t="shared" ref="AH23:AH65" si="8">AD23/AG23</f>
        <v>0</v>
      </c>
      <c r="AI23" s="1"/>
      <c r="AJ23" s="7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63</v>
      </c>
      <c r="B24" s="1" t="s">
        <v>57</v>
      </c>
      <c r="C24" s="1">
        <v>112.6</v>
      </c>
      <c r="D24" s="1">
        <v>45</v>
      </c>
      <c r="E24" s="1">
        <v>66.7</v>
      </c>
      <c r="F24" s="1">
        <v>90.9</v>
      </c>
      <c r="G24" s="7">
        <f>VLOOKUP(A24,[1]Sheet!$A:$I,7,0)</f>
        <v>1</v>
      </c>
      <c r="H24" s="1">
        <f>VLOOKUP(A24,[1]Sheet!$A:$I,8,0)</f>
        <v>180</v>
      </c>
      <c r="I24" s="1" t="str">
        <f>VLOOKUP(A24,[1]Sheet!$A:$I,9,0)</f>
        <v>P004394</v>
      </c>
      <c r="J24" s="1"/>
      <c r="K24" s="1">
        <v>64.7</v>
      </c>
      <c r="L24" s="1">
        <f t="shared" si="2"/>
        <v>2</v>
      </c>
      <c r="M24" s="1"/>
      <c r="N24" s="1"/>
      <c r="O24" s="1"/>
      <c r="P24" s="1">
        <f t="shared" si="3"/>
        <v>13.34</v>
      </c>
      <c r="Q24" s="5">
        <f t="shared" ref="Q24:Q64" si="9">14*P24-F24</f>
        <v>95.859999999999985</v>
      </c>
      <c r="R24" s="5">
        <f t="shared" si="7"/>
        <v>84</v>
      </c>
      <c r="S24" s="1">
        <f>(F24+R24)/P24</f>
        <v>13.110944527736132</v>
      </c>
      <c r="T24" s="1">
        <f>F24/P24</f>
        <v>6.8140929535232386</v>
      </c>
      <c r="U24" s="1">
        <v>10.8</v>
      </c>
      <c r="V24" s="1">
        <v>2.4</v>
      </c>
      <c r="W24" s="1">
        <v>8.68</v>
      </c>
      <c r="X24" s="1">
        <v>4.2</v>
      </c>
      <c r="Y24" s="1">
        <v>0</v>
      </c>
      <c r="Z24" s="1">
        <v>4.2</v>
      </c>
      <c r="AA24" s="1"/>
      <c r="AB24" s="1">
        <f>G24*Q24</f>
        <v>95.859999999999985</v>
      </c>
      <c r="AC24" s="7">
        <f>VLOOKUP(A24,[1]Sheet!$A:$AJ,32,0)</f>
        <v>3</v>
      </c>
      <c r="AD24" s="9">
        <f>MROUND(Q24, AC24*AF24)/AC24</f>
        <v>28</v>
      </c>
      <c r="AE24" s="1">
        <f>AD24*AC24*G24</f>
        <v>84</v>
      </c>
      <c r="AF24" s="1">
        <f>VLOOKUP(A24,[1]Sheet!$A:$AJ,35,0)</f>
        <v>14</v>
      </c>
      <c r="AG24" s="1">
        <f>VLOOKUP(A24,[1]Sheet!$A:$AJ,36,0)</f>
        <v>126</v>
      </c>
      <c r="AH24" s="9">
        <f t="shared" si="8"/>
        <v>0.22222222222222221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38</v>
      </c>
      <c r="C25" s="1">
        <v>475</v>
      </c>
      <c r="D25" s="1">
        <v>1011</v>
      </c>
      <c r="E25" s="1">
        <v>349</v>
      </c>
      <c r="F25" s="1">
        <v>1136</v>
      </c>
      <c r="G25" s="7">
        <f>VLOOKUP(A25,[1]Sheet!$A:$I,7,0)</f>
        <v>0.25</v>
      </c>
      <c r="H25" s="1">
        <f>VLOOKUP(A25,[1]Sheet!$A:$I,8,0)</f>
        <v>365</v>
      </c>
      <c r="I25" s="1" t="str">
        <f>VLOOKUP(A25,[1]Sheet!$A:$I,9,0)</f>
        <v>P004602</v>
      </c>
      <c r="J25" s="1"/>
      <c r="K25" s="1">
        <v>342</v>
      </c>
      <c r="L25" s="1">
        <f t="shared" si="2"/>
        <v>7</v>
      </c>
      <c r="M25" s="1"/>
      <c r="N25" s="1"/>
      <c r="O25" s="1"/>
      <c r="P25" s="1">
        <f t="shared" si="3"/>
        <v>69.8</v>
      </c>
      <c r="Q25" s="5"/>
      <c r="R25" s="5">
        <f t="shared" si="7"/>
        <v>0</v>
      </c>
      <c r="S25" s="1">
        <f>(F25+R25)/P25</f>
        <v>16.275071633237822</v>
      </c>
      <c r="T25" s="1">
        <f>F25/P25</f>
        <v>16.275071633237822</v>
      </c>
      <c r="U25" s="1">
        <v>44.2</v>
      </c>
      <c r="V25" s="1">
        <v>81.8</v>
      </c>
      <c r="W25" s="1">
        <v>64.599999999999994</v>
      </c>
      <c r="X25" s="1">
        <v>2.4</v>
      </c>
      <c r="Y25" s="1">
        <v>0</v>
      </c>
      <c r="Z25" s="1">
        <v>42.6</v>
      </c>
      <c r="AA25" s="1"/>
      <c r="AB25" s="1">
        <f>G25*Q25</f>
        <v>0</v>
      </c>
      <c r="AC25" s="7">
        <f>VLOOKUP(A25,[1]Sheet!$A:$AJ,32,0)</f>
        <v>6</v>
      </c>
      <c r="AD25" s="9">
        <f>MROUND(Q25, AC25*AF25)/AC25</f>
        <v>0</v>
      </c>
      <c r="AE25" s="1">
        <f>AD25*AC25*G25</f>
        <v>0</v>
      </c>
      <c r="AF25" s="1">
        <f>VLOOKUP(A25,[1]Sheet!$A:$AJ,35,0)</f>
        <v>14</v>
      </c>
      <c r="AG25" s="1">
        <f>VLOOKUP(A25,[1]Sheet!$A:$AJ,36,0)</f>
        <v>140</v>
      </c>
      <c r="AH25" s="9">
        <f t="shared" si="8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38</v>
      </c>
      <c r="C26" s="1">
        <v>513</v>
      </c>
      <c r="D26" s="1"/>
      <c r="E26" s="1">
        <v>127</v>
      </c>
      <c r="F26" s="1">
        <v>386</v>
      </c>
      <c r="G26" s="7">
        <f>VLOOKUP(A26,[1]Sheet!$A:$I,7,0)</f>
        <v>0.25</v>
      </c>
      <c r="H26" s="1">
        <f>VLOOKUP(A26,[1]Sheet!$A:$I,8,0)</f>
        <v>365</v>
      </c>
      <c r="I26" s="1" t="str">
        <f>VLOOKUP(A26,[1]Sheet!$A:$I,9,0)</f>
        <v>P004600</v>
      </c>
      <c r="J26" s="1"/>
      <c r="K26" s="1">
        <v>125</v>
      </c>
      <c r="L26" s="1">
        <f t="shared" si="2"/>
        <v>2</v>
      </c>
      <c r="M26" s="1"/>
      <c r="N26" s="1"/>
      <c r="O26" s="1"/>
      <c r="P26" s="1">
        <f t="shared" si="3"/>
        <v>25.4</v>
      </c>
      <c r="Q26" s="5"/>
      <c r="R26" s="5">
        <f t="shared" si="7"/>
        <v>0</v>
      </c>
      <c r="S26" s="1">
        <f>(F26+R26)/P26</f>
        <v>15.196850393700789</v>
      </c>
      <c r="T26" s="1">
        <f>F26/P26</f>
        <v>15.196850393700789</v>
      </c>
      <c r="U26" s="1">
        <v>24.4</v>
      </c>
      <c r="V26" s="1">
        <v>22.6</v>
      </c>
      <c r="W26" s="1">
        <v>3.6</v>
      </c>
      <c r="X26" s="1">
        <v>14.6</v>
      </c>
      <c r="Y26" s="1">
        <v>25</v>
      </c>
      <c r="Z26" s="1">
        <v>26.8</v>
      </c>
      <c r="AA26" s="1"/>
      <c r="AB26" s="1">
        <f>G26*Q26</f>
        <v>0</v>
      </c>
      <c r="AC26" s="7">
        <f>VLOOKUP(A26,[1]Sheet!$A:$AJ,32,0)</f>
        <v>6</v>
      </c>
      <c r="AD26" s="9">
        <f>MROUND(Q26, AC26*AF26)/AC26</f>
        <v>0</v>
      </c>
      <c r="AE26" s="1">
        <f>AD26*AC26*G26</f>
        <v>0</v>
      </c>
      <c r="AF26" s="1">
        <f>VLOOKUP(A26,[1]Sheet!$A:$AJ,35,0)</f>
        <v>14</v>
      </c>
      <c r="AG26" s="1">
        <f>VLOOKUP(A26,[1]Sheet!$A:$AJ,36,0)</f>
        <v>140</v>
      </c>
      <c r="AH26" s="9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57</v>
      </c>
      <c r="C27" s="1">
        <v>396</v>
      </c>
      <c r="D27" s="1">
        <v>18</v>
      </c>
      <c r="E27" s="1">
        <v>186</v>
      </c>
      <c r="F27" s="1">
        <v>210</v>
      </c>
      <c r="G27" s="7">
        <f>VLOOKUP(A27,[1]Sheet!$A:$I,7,0)</f>
        <v>1</v>
      </c>
      <c r="H27" s="1">
        <f>VLOOKUP(A27,[1]Sheet!$A:$I,8,0)</f>
        <v>180</v>
      </c>
      <c r="I27" s="1" t="str">
        <f>VLOOKUP(A27,[1]Sheet!$A:$I,9,0)</f>
        <v>P003486</v>
      </c>
      <c r="J27" s="1"/>
      <c r="K27" s="1">
        <v>201</v>
      </c>
      <c r="L27" s="1">
        <f t="shared" si="2"/>
        <v>-15</v>
      </c>
      <c r="M27" s="1"/>
      <c r="N27" s="1"/>
      <c r="O27" s="1"/>
      <c r="P27" s="1">
        <f t="shared" si="3"/>
        <v>37.200000000000003</v>
      </c>
      <c r="Q27" s="5">
        <f t="shared" si="9"/>
        <v>310.80000000000007</v>
      </c>
      <c r="R27" s="5">
        <f t="shared" si="7"/>
        <v>288</v>
      </c>
      <c r="S27" s="1">
        <f>(F27+R27)/P27</f>
        <v>13.387096774193548</v>
      </c>
      <c r="T27" s="1">
        <f>F27/P27</f>
        <v>5.6451612903225801</v>
      </c>
      <c r="U27" s="1">
        <v>61.2</v>
      </c>
      <c r="V27" s="1">
        <v>14.4</v>
      </c>
      <c r="W27" s="1">
        <v>32.4</v>
      </c>
      <c r="X27" s="1">
        <v>0</v>
      </c>
      <c r="Y27" s="1">
        <v>0</v>
      </c>
      <c r="Z27" s="1">
        <v>39.6</v>
      </c>
      <c r="AA27" s="1"/>
      <c r="AB27" s="1">
        <f>G27*Q27</f>
        <v>310.80000000000007</v>
      </c>
      <c r="AC27" s="7">
        <f>VLOOKUP(A27,[1]Sheet!$A:$AJ,32,0)</f>
        <v>6</v>
      </c>
      <c r="AD27" s="9">
        <f>MROUND(Q27, AC27*AF27)/AC27</f>
        <v>48</v>
      </c>
      <c r="AE27" s="1">
        <f>AD27*AC27*G27</f>
        <v>288</v>
      </c>
      <c r="AF27" s="1">
        <f>VLOOKUP(A27,[1]Sheet!$A:$AJ,35,0)</f>
        <v>12</v>
      </c>
      <c r="AG27" s="1">
        <f>VLOOKUP(A27,[1]Sheet!$A:$AJ,36,0)</f>
        <v>84</v>
      </c>
      <c r="AH27" s="9">
        <f t="shared" si="8"/>
        <v>0.5714285714285714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207</v>
      </c>
      <c r="D28" s="1"/>
      <c r="E28" s="1">
        <v>22</v>
      </c>
      <c r="F28" s="1">
        <v>185</v>
      </c>
      <c r="G28" s="7">
        <f>VLOOKUP(A28,[1]Sheet!$A:$I,7,0)</f>
        <v>0.23</v>
      </c>
      <c r="H28" s="1">
        <f>VLOOKUP(A28,[1]Sheet!$A:$I,8,0)</f>
        <v>180</v>
      </c>
      <c r="I28" s="1" t="str">
        <f>VLOOKUP(A28,[1]Sheet!$A:$I,9,0)</f>
        <v>P005043</v>
      </c>
      <c r="J28" s="1"/>
      <c r="K28" s="1">
        <v>22</v>
      </c>
      <c r="L28" s="1">
        <f t="shared" si="2"/>
        <v>0</v>
      </c>
      <c r="M28" s="1"/>
      <c r="N28" s="1"/>
      <c r="O28" s="1"/>
      <c r="P28" s="1">
        <f t="shared" si="3"/>
        <v>4.4000000000000004</v>
      </c>
      <c r="Q28" s="5"/>
      <c r="R28" s="5">
        <f t="shared" si="7"/>
        <v>0</v>
      </c>
      <c r="S28" s="1">
        <f>(F28+R28)/P28</f>
        <v>42.04545454545454</v>
      </c>
      <c r="T28" s="1">
        <f>F28/P28</f>
        <v>42.04545454545454</v>
      </c>
      <c r="U28" s="1">
        <v>14.2</v>
      </c>
      <c r="V28" s="1">
        <v>19.600000000000001</v>
      </c>
      <c r="W28" s="1">
        <v>20</v>
      </c>
      <c r="X28" s="1">
        <v>7.4</v>
      </c>
      <c r="Y28" s="1">
        <v>1.8</v>
      </c>
      <c r="Z28" s="1">
        <v>17.2</v>
      </c>
      <c r="AA28" s="20" t="s">
        <v>77</v>
      </c>
      <c r="AB28" s="1">
        <f>G28*Q28</f>
        <v>0</v>
      </c>
      <c r="AC28" s="7">
        <f>VLOOKUP(A28,[1]Sheet!$A:$AJ,32,0)</f>
        <v>12</v>
      </c>
      <c r="AD28" s="9">
        <f>MROUND(Q28, AC28*AF28)/AC28</f>
        <v>0</v>
      </c>
      <c r="AE28" s="1">
        <f>AD28*AC28*G28</f>
        <v>0</v>
      </c>
      <c r="AF28" s="1">
        <f>VLOOKUP(A28,[1]Sheet!$A:$AJ,35,0)</f>
        <v>14</v>
      </c>
      <c r="AG28" s="1">
        <f>VLOOKUP(A28,[1]Sheet!$A:$AJ,36,0)</f>
        <v>70</v>
      </c>
      <c r="AH28" s="9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829</v>
      </c>
      <c r="D29" s="1">
        <v>678</v>
      </c>
      <c r="E29" s="1">
        <v>395</v>
      </c>
      <c r="F29" s="1">
        <v>1112</v>
      </c>
      <c r="G29" s="7">
        <f>VLOOKUP(A29,[1]Sheet!$A:$I,7,0)</f>
        <v>0.25</v>
      </c>
      <c r="H29" s="1">
        <f>VLOOKUP(A29,[1]Sheet!$A:$I,8,0)</f>
        <v>365</v>
      </c>
      <c r="I29" s="1" t="str">
        <f>VLOOKUP(A29,[1]Sheet!$A:$I,9,0)</f>
        <v>P004497</v>
      </c>
      <c r="J29" s="1"/>
      <c r="K29" s="1">
        <v>393</v>
      </c>
      <c r="L29" s="1">
        <f t="shared" si="2"/>
        <v>2</v>
      </c>
      <c r="M29" s="1"/>
      <c r="N29" s="1"/>
      <c r="O29" s="1"/>
      <c r="P29" s="1">
        <f t="shared" si="3"/>
        <v>79</v>
      </c>
      <c r="Q29" s="5"/>
      <c r="R29" s="5">
        <f t="shared" si="7"/>
        <v>0</v>
      </c>
      <c r="S29" s="1">
        <f>(F29+R29)/P29</f>
        <v>14.075949367088608</v>
      </c>
      <c r="T29" s="1">
        <f>F29/P29</f>
        <v>14.075949367088608</v>
      </c>
      <c r="U29" s="1">
        <v>76.2</v>
      </c>
      <c r="V29" s="1">
        <v>99.4</v>
      </c>
      <c r="W29" s="1">
        <v>70</v>
      </c>
      <c r="X29" s="1">
        <v>10.4</v>
      </c>
      <c r="Y29" s="1">
        <v>0</v>
      </c>
      <c r="Z29" s="1">
        <v>86.2</v>
      </c>
      <c r="AA29" s="1"/>
      <c r="AB29" s="1">
        <f>G29*Q29</f>
        <v>0</v>
      </c>
      <c r="AC29" s="7">
        <f>VLOOKUP(A29,[1]Sheet!$A:$AJ,32,0)</f>
        <v>12</v>
      </c>
      <c r="AD29" s="9">
        <f>MROUND(Q29, AC29*AF29)/AC29</f>
        <v>0</v>
      </c>
      <c r="AE29" s="1">
        <f>AD29*AC29*G29</f>
        <v>0</v>
      </c>
      <c r="AF29" s="1">
        <f>VLOOKUP(A29,[1]Sheet!$A:$AJ,35,0)</f>
        <v>14</v>
      </c>
      <c r="AG29" s="1">
        <f>VLOOKUP(A29,[1]Sheet!$A:$AJ,36,0)</f>
        <v>70</v>
      </c>
      <c r="AH29" s="9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769</v>
      </c>
      <c r="D30" s="1">
        <v>1008</v>
      </c>
      <c r="E30" s="1">
        <v>436</v>
      </c>
      <c r="F30" s="1">
        <v>1341</v>
      </c>
      <c r="G30" s="7">
        <f>VLOOKUP(A30,[1]Sheet!$A:$I,7,0)</f>
        <v>0.25</v>
      </c>
      <c r="H30" s="1">
        <f>VLOOKUP(A30,[1]Sheet!$A:$I,8,0)</f>
        <v>365</v>
      </c>
      <c r="I30" s="1" t="str">
        <f>VLOOKUP(A30,[1]Sheet!$A:$I,9,0)</f>
        <v>P004496</v>
      </c>
      <c r="J30" s="1"/>
      <c r="K30" s="1">
        <v>428</v>
      </c>
      <c r="L30" s="1">
        <f t="shared" si="2"/>
        <v>8</v>
      </c>
      <c r="M30" s="1"/>
      <c r="N30" s="1"/>
      <c r="O30" s="1"/>
      <c r="P30" s="1">
        <f t="shared" si="3"/>
        <v>87.2</v>
      </c>
      <c r="Q30" s="5"/>
      <c r="R30" s="5">
        <f t="shared" si="7"/>
        <v>0</v>
      </c>
      <c r="S30" s="1">
        <f>(F30+R30)/P30</f>
        <v>15.378440366972477</v>
      </c>
      <c r="T30" s="1">
        <f>F30/P30</f>
        <v>15.378440366972477</v>
      </c>
      <c r="U30" s="1">
        <v>86.4</v>
      </c>
      <c r="V30" s="1">
        <v>112.8</v>
      </c>
      <c r="W30" s="1">
        <v>132.80000000000001</v>
      </c>
      <c r="X30" s="1">
        <v>11</v>
      </c>
      <c r="Y30" s="1">
        <v>9.8000000000000007</v>
      </c>
      <c r="Z30" s="1">
        <v>110.8</v>
      </c>
      <c r="AA30" s="1"/>
      <c r="AB30" s="1">
        <f>G30*Q30</f>
        <v>0</v>
      </c>
      <c r="AC30" s="7">
        <f>VLOOKUP(A30,[1]Sheet!$A:$AJ,32,0)</f>
        <v>12</v>
      </c>
      <c r="AD30" s="9">
        <f>MROUND(Q30, AC30*AF30)/AC30</f>
        <v>0</v>
      </c>
      <c r="AE30" s="1">
        <f>AD30*AC30*G30</f>
        <v>0</v>
      </c>
      <c r="AF30" s="1">
        <f>VLOOKUP(A30,[1]Sheet!$A:$AJ,35,0)</f>
        <v>14</v>
      </c>
      <c r="AG30" s="1">
        <f>VLOOKUP(A30,[1]Sheet!$A:$AJ,36,0)</f>
        <v>70</v>
      </c>
      <c r="AH30" s="9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607</v>
      </c>
      <c r="D31" s="1">
        <v>1344</v>
      </c>
      <c r="E31" s="1">
        <v>434</v>
      </c>
      <c r="F31" s="1">
        <v>1517</v>
      </c>
      <c r="G31" s="7">
        <f>VLOOKUP(A31,[1]Sheet!$A:$I,7,0)</f>
        <v>0.25</v>
      </c>
      <c r="H31" s="1">
        <f>VLOOKUP(A31,[1]Sheet!$A:$I,8,0)</f>
        <v>180</v>
      </c>
      <c r="I31" s="1" t="str">
        <f>VLOOKUP(A31,[1]Sheet!$A:$I,9,0)</f>
        <v>P004535</v>
      </c>
      <c r="J31" s="1"/>
      <c r="K31" s="1">
        <v>422</v>
      </c>
      <c r="L31" s="1">
        <f t="shared" si="2"/>
        <v>12</v>
      </c>
      <c r="M31" s="1"/>
      <c r="N31" s="1"/>
      <c r="O31" s="1"/>
      <c r="P31" s="1">
        <f t="shared" si="3"/>
        <v>86.8</v>
      </c>
      <c r="Q31" s="5"/>
      <c r="R31" s="5">
        <f t="shared" si="7"/>
        <v>0</v>
      </c>
      <c r="S31" s="1">
        <f>(F31+R31)/P31</f>
        <v>17.476958525345623</v>
      </c>
      <c r="T31" s="1">
        <f>F31/P31</f>
        <v>17.476958525345623</v>
      </c>
      <c r="U31" s="1">
        <v>89</v>
      </c>
      <c r="V31" s="1">
        <v>120</v>
      </c>
      <c r="W31" s="1">
        <v>128.80000000000001</v>
      </c>
      <c r="X31" s="1">
        <v>28.8</v>
      </c>
      <c r="Y31" s="1">
        <v>0</v>
      </c>
      <c r="Z31" s="1">
        <v>30.2</v>
      </c>
      <c r="AA31" s="1"/>
      <c r="AB31" s="1">
        <f>G31*Q31</f>
        <v>0</v>
      </c>
      <c r="AC31" s="7">
        <f>VLOOKUP(A31,[1]Sheet!$A:$AJ,32,0)</f>
        <v>12</v>
      </c>
      <c r="AD31" s="9">
        <f>MROUND(Q31, AC31*AF31)/AC31</f>
        <v>0</v>
      </c>
      <c r="AE31" s="1">
        <f>AD31*AC31*G31</f>
        <v>0</v>
      </c>
      <c r="AF31" s="1">
        <f>VLOOKUP(A31,[1]Sheet!$A:$AJ,35,0)</f>
        <v>14</v>
      </c>
      <c r="AG31" s="1">
        <f>VLOOKUP(A31,[1]Sheet!$A:$AJ,36,0)</f>
        <v>70</v>
      </c>
      <c r="AH31" s="9">
        <f t="shared" si="8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112</v>
      </c>
      <c r="D32" s="1">
        <v>8</v>
      </c>
      <c r="E32" s="1">
        <v>37</v>
      </c>
      <c r="F32" s="1">
        <v>78</v>
      </c>
      <c r="G32" s="7">
        <f>VLOOKUP(A32,[1]Sheet!$A:$I,7,0)</f>
        <v>0.25</v>
      </c>
      <c r="H32" s="1">
        <f>VLOOKUP(A32,[1]Sheet!$A:$I,8,0)</f>
        <v>180</v>
      </c>
      <c r="I32" s="1" t="str">
        <f>VLOOKUP(A32,[1]Sheet!$A:$I,9,0)</f>
        <v>P004594</v>
      </c>
      <c r="J32" s="1"/>
      <c r="K32" s="1">
        <v>42</v>
      </c>
      <c r="L32" s="1">
        <f t="shared" si="2"/>
        <v>-5</v>
      </c>
      <c r="M32" s="1"/>
      <c r="N32" s="1"/>
      <c r="O32" s="1"/>
      <c r="P32" s="1">
        <f t="shared" si="3"/>
        <v>7.4</v>
      </c>
      <c r="Q32" s="5"/>
      <c r="R32" s="5">
        <f t="shared" si="7"/>
        <v>0</v>
      </c>
      <c r="S32" s="1">
        <f>(F32+R32)/P32</f>
        <v>10.54054054054054</v>
      </c>
      <c r="T32" s="1">
        <f>F32/P32</f>
        <v>10.54054054054054</v>
      </c>
      <c r="U32" s="1">
        <v>10.6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/>
      <c r="AB32" s="1">
        <f>G32*Q32</f>
        <v>0</v>
      </c>
      <c r="AC32" s="7">
        <f>VLOOKUP(A32,[1]Sheet!$A:$AJ,32,0)</f>
        <v>12</v>
      </c>
      <c r="AD32" s="9">
        <f>MROUND(Q32, AC32*AF32)/AC32</f>
        <v>0</v>
      </c>
      <c r="AE32" s="1">
        <f>AD32*AC32*G32</f>
        <v>0</v>
      </c>
      <c r="AF32" s="1">
        <f>VLOOKUP(A32,[1]Sheet!$A:$AJ,35,0)</f>
        <v>14</v>
      </c>
      <c r="AG32" s="1">
        <f>VLOOKUP(A32,[1]Sheet!$A:$AJ,36,0)</f>
        <v>70</v>
      </c>
      <c r="AH32" s="9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298</v>
      </c>
      <c r="D33" s="1">
        <v>104</v>
      </c>
      <c r="E33" s="1">
        <v>60</v>
      </c>
      <c r="F33" s="1">
        <v>334</v>
      </c>
      <c r="G33" s="7">
        <f>VLOOKUP(A33,[1]Sheet!$A:$I,7,0)</f>
        <v>0.7</v>
      </c>
      <c r="H33" s="1">
        <f>VLOOKUP(A33,[1]Sheet!$A:$I,8,0)</f>
        <v>180</v>
      </c>
      <c r="I33" s="1" t="str">
        <f>VLOOKUP(A33,[1]Sheet!$A:$I,9,0)</f>
        <v>P004887</v>
      </c>
      <c r="J33" s="1"/>
      <c r="K33" s="1">
        <v>67</v>
      </c>
      <c r="L33" s="1">
        <f t="shared" si="2"/>
        <v>-7</v>
      </c>
      <c r="M33" s="1"/>
      <c r="N33" s="1"/>
      <c r="O33" s="1"/>
      <c r="P33" s="1">
        <f t="shared" si="3"/>
        <v>12</v>
      </c>
      <c r="Q33" s="5"/>
      <c r="R33" s="5">
        <f t="shared" si="7"/>
        <v>0</v>
      </c>
      <c r="S33" s="1">
        <f>(F33+R33)/P33</f>
        <v>27.833333333333332</v>
      </c>
      <c r="T33" s="1">
        <f>F33/P33</f>
        <v>27.833333333333332</v>
      </c>
      <c r="U33" s="1">
        <v>17.399999999999999</v>
      </c>
      <c r="V33" s="1">
        <v>3.4</v>
      </c>
      <c r="W33" s="1">
        <v>14.6</v>
      </c>
      <c r="X33" s="1">
        <v>0</v>
      </c>
      <c r="Y33" s="1">
        <v>0</v>
      </c>
      <c r="Z33" s="1">
        <v>18.2</v>
      </c>
      <c r="AA33" s="19" t="s">
        <v>62</v>
      </c>
      <c r="AB33" s="1">
        <f>G33*Q33</f>
        <v>0</v>
      </c>
      <c r="AC33" s="7">
        <f>VLOOKUP(A33,[1]Sheet!$A:$AJ,32,0)</f>
        <v>8</v>
      </c>
      <c r="AD33" s="9">
        <f>MROUND(Q33, AC33*AF33)/AC33</f>
        <v>0</v>
      </c>
      <c r="AE33" s="1">
        <f>AD33*AC33*G33</f>
        <v>0</v>
      </c>
      <c r="AF33" s="1">
        <f>VLOOKUP(A33,[1]Sheet!$A:$AJ,35,0)</f>
        <v>12</v>
      </c>
      <c r="AG33" s="1">
        <f>VLOOKUP(A33,[1]Sheet!$A:$AJ,36,0)</f>
        <v>84</v>
      </c>
      <c r="AH33" s="9">
        <f t="shared" si="8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38</v>
      </c>
      <c r="C34" s="1">
        <v>278</v>
      </c>
      <c r="D34" s="1">
        <v>114</v>
      </c>
      <c r="E34" s="1">
        <v>45</v>
      </c>
      <c r="F34" s="1">
        <v>329</v>
      </c>
      <c r="G34" s="7">
        <f>VLOOKUP(A34,[1]Sheet!$A:$I,7,0)</f>
        <v>0.7</v>
      </c>
      <c r="H34" s="1">
        <f>VLOOKUP(A34,[1]Sheet!$A:$I,8,0)</f>
        <v>180</v>
      </c>
      <c r="I34" s="1" t="str">
        <f>VLOOKUP(A34,[1]Sheet!$A:$I,9,0)</f>
        <v>P004889</v>
      </c>
      <c r="J34" s="1"/>
      <c r="K34" s="1">
        <v>62</v>
      </c>
      <c r="L34" s="1">
        <f t="shared" si="2"/>
        <v>-17</v>
      </c>
      <c r="M34" s="1"/>
      <c r="N34" s="1"/>
      <c r="O34" s="1"/>
      <c r="P34" s="1">
        <f t="shared" si="3"/>
        <v>9</v>
      </c>
      <c r="Q34" s="5"/>
      <c r="R34" s="5">
        <f t="shared" si="7"/>
        <v>0</v>
      </c>
      <c r="S34" s="1">
        <f>(F34+R34)/P34</f>
        <v>36.555555555555557</v>
      </c>
      <c r="T34" s="1">
        <f>F34/P34</f>
        <v>36.555555555555557</v>
      </c>
      <c r="U34" s="1">
        <v>25.4</v>
      </c>
      <c r="V34" s="1">
        <v>24</v>
      </c>
      <c r="W34" s="1">
        <v>12.2</v>
      </c>
      <c r="X34" s="1">
        <v>1.6</v>
      </c>
      <c r="Y34" s="1">
        <v>0</v>
      </c>
      <c r="Z34" s="1">
        <v>9</v>
      </c>
      <c r="AA34" s="20" t="s">
        <v>77</v>
      </c>
      <c r="AB34" s="1">
        <f>G34*Q34</f>
        <v>0</v>
      </c>
      <c r="AC34" s="7">
        <f>VLOOKUP(A34,[1]Sheet!$A:$AJ,32,0)</f>
        <v>8</v>
      </c>
      <c r="AD34" s="9">
        <f>MROUND(Q34, AC34*AF34)/AC34</f>
        <v>0</v>
      </c>
      <c r="AE34" s="1">
        <f>AD34*AC34*G34</f>
        <v>0</v>
      </c>
      <c r="AF34" s="1">
        <f>VLOOKUP(A34,[1]Sheet!$A:$AJ,35,0)</f>
        <v>12</v>
      </c>
      <c r="AG34" s="1">
        <f>VLOOKUP(A34,[1]Sheet!$A:$AJ,36,0)</f>
        <v>84</v>
      </c>
      <c r="AH34" s="9">
        <f t="shared" si="8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38</v>
      </c>
      <c r="C35" s="1">
        <v>98</v>
      </c>
      <c r="D35" s="1">
        <v>400</v>
      </c>
      <c r="E35" s="1">
        <v>58</v>
      </c>
      <c r="F35" s="1">
        <v>424</v>
      </c>
      <c r="G35" s="7">
        <f>VLOOKUP(A35,[1]Sheet!$A:$I,7,0)</f>
        <v>0.7</v>
      </c>
      <c r="H35" s="1">
        <f>VLOOKUP(A35,[1]Sheet!$A:$I,8,0)</f>
        <v>180</v>
      </c>
      <c r="I35" s="1" t="str">
        <f>VLOOKUP(A35,[1]Sheet!$A:$I,9,0)</f>
        <v>P004888</v>
      </c>
      <c r="J35" s="1"/>
      <c r="K35" s="1">
        <v>70</v>
      </c>
      <c r="L35" s="1">
        <f t="shared" si="2"/>
        <v>-12</v>
      </c>
      <c r="M35" s="1"/>
      <c r="N35" s="1"/>
      <c r="O35" s="1"/>
      <c r="P35" s="1">
        <f t="shared" si="3"/>
        <v>11.6</v>
      </c>
      <c r="Q35" s="5"/>
      <c r="R35" s="5">
        <f t="shared" si="7"/>
        <v>0</v>
      </c>
      <c r="S35" s="1">
        <f>(F35+R35)/P35</f>
        <v>36.551724137931039</v>
      </c>
      <c r="T35" s="1">
        <f>F35/P35</f>
        <v>36.551724137931039</v>
      </c>
      <c r="U35" s="1">
        <v>19.8</v>
      </c>
      <c r="V35" s="1">
        <v>35.200000000000003</v>
      </c>
      <c r="W35" s="1">
        <v>16</v>
      </c>
      <c r="X35" s="1">
        <v>0</v>
      </c>
      <c r="Y35" s="1">
        <v>0</v>
      </c>
      <c r="Z35" s="1">
        <v>25.2</v>
      </c>
      <c r="AA35" s="19" t="s">
        <v>62</v>
      </c>
      <c r="AB35" s="1">
        <f>G35*Q35</f>
        <v>0</v>
      </c>
      <c r="AC35" s="7">
        <f>VLOOKUP(A35,[1]Sheet!$A:$AJ,32,0)</f>
        <v>8</v>
      </c>
      <c r="AD35" s="9">
        <f>MROUND(Q35, AC35*AF35)/AC35</f>
        <v>0</v>
      </c>
      <c r="AE35" s="1">
        <f>AD35*AC35*G35</f>
        <v>0</v>
      </c>
      <c r="AF35" s="1">
        <f>VLOOKUP(A35,[1]Sheet!$A:$AJ,35,0)</f>
        <v>12</v>
      </c>
      <c r="AG35" s="1">
        <f>VLOOKUP(A35,[1]Sheet!$A:$AJ,36,0)</f>
        <v>84</v>
      </c>
      <c r="AH35" s="9">
        <f t="shared" si="8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38</v>
      </c>
      <c r="C36" s="1">
        <v>528</v>
      </c>
      <c r="D36" s="1">
        <v>365</v>
      </c>
      <c r="E36" s="1">
        <v>263</v>
      </c>
      <c r="F36" s="1">
        <v>629</v>
      </c>
      <c r="G36" s="7">
        <f>VLOOKUP(A36,[1]Sheet!$A:$I,7,0)</f>
        <v>0.7</v>
      </c>
      <c r="H36" s="1">
        <f>VLOOKUP(A36,[1]Sheet!$A:$I,8,0)</f>
        <v>180</v>
      </c>
      <c r="I36" s="1" t="str">
        <f>VLOOKUP(A36,[1]Sheet!$A:$I,9,0)</f>
        <v>P004440</v>
      </c>
      <c r="J36" s="1"/>
      <c r="K36" s="1">
        <v>258</v>
      </c>
      <c r="L36" s="1">
        <f t="shared" si="2"/>
        <v>5</v>
      </c>
      <c r="M36" s="1"/>
      <c r="N36" s="1"/>
      <c r="O36" s="1"/>
      <c r="P36" s="1">
        <f t="shared" si="3"/>
        <v>52.6</v>
      </c>
      <c r="Q36" s="5">
        <f t="shared" si="9"/>
        <v>107.39999999999998</v>
      </c>
      <c r="R36" s="5">
        <f t="shared" si="7"/>
        <v>120</v>
      </c>
      <c r="S36" s="1">
        <f>(F36+R36)/P36</f>
        <v>14.239543726235741</v>
      </c>
      <c r="T36" s="1">
        <f>F36/P36</f>
        <v>11.958174904942965</v>
      </c>
      <c r="U36" s="1">
        <v>69.599999999999994</v>
      </c>
      <c r="V36" s="1">
        <v>46.2</v>
      </c>
      <c r="W36" s="1">
        <v>7.8</v>
      </c>
      <c r="X36" s="1">
        <v>8</v>
      </c>
      <c r="Y36" s="1">
        <v>31.4</v>
      </c>
      <c r="Z36" s="1">
        <v>54.8</v>
      </c>
      <c r="AA36" s="1"/>
      <c r="AB36" s="1">
        <f>G36*Q36</f>
        <v>75.179999999999978</v>
      </c>
      <c r="AC36" s="7">
        <f>VLOOKUP(A36,[1]Sheet!$A:$AJ,32,0)</f>
        <v>10</v>
      </c>
      <c r="AD36" s="9">
        <f>MROUND(Q36, AC36*AF36)/AC36</f>
        <v>12</v>
      </c>
      <c r="AE36" s="1">
        <f>AD36*AC36*G36</f>
        <v>84</v>
      </c>
      <c r="AF36" s="1">
        <f>VLOOKUP(A36,[1]Sheet!$A:$AJ,35,0)</f>
        <v>12</v>
      </c>
      <c r="AG36" s="1">
        <f>VLOOKUP(A36,[1]Sheet!$A:$AJ,36,0)</f>
        <v>84</v>
      </c>
      <c r="AH36" s="9">
        <f t="shared" si="8"/>
        <v>0.14285714285714285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38</v>
      </c>
      <c r="C37" s="1">
        <v>883</v>
      </c>
      <c r="D37" s="1">
        <v>5</v>
      </c>
      <c r="E37" s="1">
        <v>113</v>
      </c>
      <c r="F37" s="1">
        <v>759</v>
      </c>
      <c r="G37" s="7">
        <f>VLOOKUP(A37,[1]Sheet!$A:$I,7,0)</f>
        <v>0.7</v>
      </c>
      <c r="H37" s="1">
        <f>VLOOKUP(A37,[1]Sheet!$A:$I,8,0)</f>
        <v>180</v>
      </c>
      <c r="I37" s="1" t="str">
        <f>VLOOKUP(A37,[1]Sheet!$A:$I,9,0)</f>
        <v>P004442</v>
      </c>
      <c r="J37" s="1"/>
      <c r="K37" s="1">
        <v>108</v>
      </c>
      <c r="L37" s="1">
        <f t="shared" si="2"/>
        <v>5</v>
      </c>
      <c r="M37" s="1"/>
      <c r="N37" s="1"/>
      <c r="O37" s="1"/>
      <c r="P37" s="1">
        <f t="shared" si="3"/>
        <v>22.6</v>
      </c>
      <c r="Q37" s="5"/>
      <c r="R37" s="5">
        <f t="shared" si="7"/>
        <v>0</v>
      </c>
      <c r="S37" s="1">
        <f>(F37+R37)/P37</f>
        <v>33.584070796460175</v>
      </c>
      <c r="T37" s="1">
        <f>F37/P37</f>
        <v>33.584070796460175</v>
      </c>
      <c r="U37" s="1">
        <v>16.399999999999999</v>
      </c>
      <c r="V37" s="1">
        <v>33.200000000000003</v>
      </c>
      <c r="W37" s="1">
        <v>33</v>
      </c>
      <c r="X37" s="1">
        <v>16.399999999999999</v>
      </c>
      <c r="Y37" s="1">
        <v>23.6</v>
      </c>
      <c r="Z37" s="1">
        <v>17.8</v>
      </c>
      <c r="AA37" s="20" t="s">
        <v>77</v>
      </c>
      <c r="AB37" s="1">
        <f>G37*Q37</f>
        <v>0</v>
      </c>
      <c r="AC37" s="7">
        <f>VLOOKUP(A37,[1]Sheet!$A:$AJ,32,0)</f>
        <v>10</v>
      </c>
      <c r="AD37" s="9">
        <f>MROUND(Q37, AC37*AF37)/AC37</f>
        <v>0</v>
      </c>
      <c r="AE37" s="1">
        <f>AD37*AC37*G37</f>
        <v>0</v>
      </c>
      <c r="AF37" s="1">
        <f>VLOOKUP(A37,[1]Sheet!$A:$AJ,35,0)</f>
        <v>12</v>
      </c>
      <c r="AG37" s="1">
        <f>VLOOKUP(A37,[1]Sheet!$A:$AJ,36,0)</f>
        <v>84</v>
      </c>
      <c r="AH37" s="9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38</v>
      </c>
      <c r="C38" s="1">
        <v>553</v>
      </c>
      <c r="D38" s="1">
        <v>247</v>
      </c>
      <c r="E38" s="1">
        <v>270</v>
      </c>
      <c r="F38" s="1">
        <v>522</v>
      </c>
      <c r="G38" s="7">
        <f>VLOOKUP(A38,[1]Sheet!$A:$I,7,0)</f>
        <v>0.7</v>
      </c>
      <c r="H38" s="1">
        <f>VLOOKUP(A38,[1]Sheet!$A:$I,8,0)</f>
        <v>180</v>
      </c>
      <c r="I38" s="1" t="str">
        <f>VLOOKUP(A38,[1]Sheet!$A:$I,9,0)</f>
        <v>P004203</v>
      </c>
      <c r="J38" s="1"/>
      <c r="K38" s="1">
        <v>269</v>
      </c>
      <c r="L38" s="1">
        <f t="shared" ref="L38:L66" si="10">E38-K38</f>
        <v>1</v>
      </c>
      <c r="M38" s="1"/>
      <c r="N38" s="1"/>
      <c r="O38" s="1"/>
      <c r="P38" s="1">
        <f t="shared" ref="P38:P66" si="11">E38/5</f>
        <v>54</v>
      </c>
      <c r="Q38" s="5">
        <f t="shared" si="9"/>
        <v>234</v>
      </c>
      <c r="R38" s="5">
        <f t="shared" si="7"/>
        <v>240</v>
      </c>
      <c r="S38" s="1">
        <f t="shared" ref="S38:S66" si="12">(F38+R38)/P38</f>
        <v>14.111111111111111</v>
      </c>
      <c r="T38" s="1">
        <f t="shared" ref="T38:T66" si="13">F38/P38</f>
        <v>9.6666666666666661</v>
      </c>
      <c r="U38" s="1">
        <v>60.6</v>
      </c>
      <c r="V38" s="1">
        <v>54</v>
      </c>
      <c r="W38" s="1">
        <v>45.6</v>
      </c>
      <c r="X38" s="1">
        <v>2</v>
      </c>
      <c r="Y38" s="1">
        <v>4</v>
      </c>
      <c r="Z38" s="1">
        <v>52.2</v>
      </c>
      <c r="AA38" s="1"/>
      <c r="AB38" s="1">
        <f>G38*Q38</f>
        <v>163.79999999999998</v>
      </c>
      <c r="AC38" s="7">
        <f>VLOOKUP(A38,[1]Sheet!$A:$AJ,32,0)</f>
        <v>10</v>
      </c>
      <c r="AD38" s="9">
        <f>MROUND(Q38, AC38*AF38)/AC38</f>
        <v>24</v>
      </c>
      <c r="AE38" s="1">
        <f>AD38*AC38*G38</f>
        <v>168</v>
      </c>
      <c r="AF38" s="1">
        <f>VLOOKUP(A38,[1]Sheet!$A:$AJ,35,0)</f>
        <v>12</v>
      </c>
      <c r="AG38" s="1">
        <f>VLOOKUP(A38,[1]Sheet!$A:$AJ,36,0)</f>
        <v>84</v>
      </c>
      <c r="AH38" s="9">
        <f t="shared" si="8"/>
        <v>0.2857142857142857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38</v>
      </c>
      <c r="C39" s="1">
        <v>675</v>
      </c>
      <c r="D39" s="1">
        <v>12</v>
      </c>
      <c r="E39" s="1">
        <v>199</v>
      </c>
      <c r="F39" s="1">
        <v>486</v>
      </c>
      <c r="G39" s="7">
        <f>VLOOKUP(A39,[1]Sheet!$A:$I,7,0)</f>
        <v>0.7</v>
      </c>
      <c r="H39" s="1">
        <f>VLOOKUP(A39,[1]Sheet!$A:$I,8,0)</f>
        <v>180</v>
      </c>
      <c r="I39" s="1" t="str">
        <f>VLOOKUP(A39,[1]Sheet!$A:$I,9,0)</f>
        <v>P004819</v>
      </c>
      <c r="J39" s="1"/>
      <c r="K39" s="1">
        <v>199</v>
      </c>
      <c r="L39" s="1">
        <f t="shared" si="10"/>
        <v>0</v>
      </c>
      <c r="M39" s="1"/>
      <c r="N39" s="1"/>
      <c r="O39" s="1"/>
      <c r="P39" s="1">
        <f t="shared" si="11"/>
        <v>39.799999999999997</v>
      </c>
      <c r="Q39" s="5">
        <f t="shared" si="9"/>
        <v>71.199999999999932</v>
      </c>
      <c r="R39" s="5">
        <f t="shared" si="7"/>
        <v>120</v>
      </c>
      <c r="S39" s="1">
        <f t="shared" si="12"/>
        <v>15.226130653266333</v>
      </c>
      <c r="T39" s="1">
        <f t="shared" si="13"/>
        <v>12.211055276381911</v>
      </c>
      <c r="U39" s="1">
        <v>32.200000000000003</v>
      </c>
      <c r="V39" s="1">
        <v>2.8</v>
      </c>
      <c r="W39" s="1">
        <v>71.599999999999994</v>
      </c>
      <c r="X39" s="1">
        <v>4.8</v>
      </c>
      <c r="Y39" s="1">
        <v>0</v>
      </c>
      <c r="Z39" s="1">
        <v>0</v>
      </c>
      <c r="AA39" s="1"/>
      <c r="AB39" s="1">
        <f>G39*Q39</f>
        <v>49.839999999999947</v>
      </c>
      <c r="AC39" s="7">
        <f>VLOOKUP(A39,[1]Sheet!$A:$AJ,32,0)</f>
        <v>10</v>
      </c>
      <c r="AD39" s="9">
        <f>MROUND(Q39, AC39*AF39)/AC39</f>
        <v>12</v>
      </c>
      <c r="AE39" s="1">
        <f>AD39*AC39*G39</f>
        <v>84</v>
      </c>
      <c r="AF39" s="1">
        <f>VLOOKUP(A39,[1]Sheet!$A:$AJ,35,0)</f>
        <v>12</v>
      </c>
      <c r="AG39" s="1">
        <f>VLOOKUP(A39,[1]Sheet!$A:$AJ,36,0)</f>
        <v>84</v>
      </c>
      <c r="AH39" s="9">
        <f t="shared" si="8"/>
        <v>0.14285714285714285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57</v>
      </c>
      <c r="C40" s="1">
        <v>80</v>
      </c>
      <c r="D40" s="1">
        <v>1505</v>
      </c>
      <c r="E40" s="1">
        <v>295</v>
      </c>
      <c r="F40" s="1">
        <v>1285</v>
      </c>
      <c r="G40" s="7">
        <f>VLOOKUP(A40,[1]Sheet!$A:$I,7,0)</f>
        <v>1</v>
      </c>
      <c r="H40" s="1">
        <f>VLOOKUP(A40,[1]Sheet!$A:$I,8,0)</f>
        <v>180</v>
      </c>
      <c r="I40" s="1" t="str">
        <f>VLOOKUP(A40,[1]Sheet!$A:$I,9,0)</f>
        <v>P003697</v>
      </c>
      <c r="J40" s="1"/>
      <c r="K40" s="1">
        <v>345</v>
      </c>
      <c r="L40" s="1">
        <f t="shared" si="10"/>
        <v>-50</v>
      </c>
      <c r="M40" s="1"/>
      <c r="N40" s="1"/>
      <c r="O40" s="1"/>
      <c r="P40" s="1">
        <f t="shared" si="11"/>
        <v>59</v>
      </c>
      <c r="Q40" s="5"/>
      <c r="R40" s="5">
        <f t="shared" si="7"/>
        <v>0</v>
      </c>
      <c r="S40" s="1">
        <f t="shared" si="12"/>
        <v>21.779661016949152</v>
      </c>
      <c r="T40" s="1">
        <f t="shared" si="13"/>
        <v>21.779661016949152</v>
      </c>
      <c r="U40" s="1">
        <v>78</v>
      </c>
      <c r="V40" s="1">
        <v>100</v>
      </c>
      <c r="W40" s="1">
        <v>72</v>
      </c>
      <c r="X40" s="1">
        <v>22</v>
      </c>
      <c r="Y40" s="1">
        <v>0</v>
      </c>
      <c r="Z40" s="1">
        <v>42</v>
      </c>
      <c r="AA40" s="1"/>
      <c r="AB40" s="1">
        <f>G40*Q40</f>
        <v>0</v>
      </c>
      <c r="AC40" s="7">
        <f>VLOOKUP(A40,[1]Sheet!$A:$AJ,32,0)</f>
        <v>5</v>
      </c>
      <c r="AD40" s="9">
        <f>MROUND(Q40, AC40*AF40)/AC40</f>
        <v>0</v>
      </c>
      <c r="AE40" s="1">
        <f>AD40*AC40*G40</f>
        <v>0</v>
      </c>
      <c r="AF40" s="1">
        <f>VLOOKUP(A40,[1]Sheet!$A:$AJ,35,0)</f>
        <v>12</v>
      </c>
      <c r="AG40" s="1">
        <f>VLOOKUP(A40,[1]Sheet!$A:$AJ,36,0)</f>
        <v>144</v>
      </c>
      <c r="AH40" s="9">
        <f t="shared" si="8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38</v>
      </c>
      <c r="C41" s="1">
        <v>609</v>
      </c>
      <c r="D41" s="1">
        <v>400</v>
      </c>
      <c r="E41" s="1">
        <v>302</v>
      </c>
      <c r="F41" s="1">
        <v>707</v>
      </c>
      <c r="G41" s="7">
        <f>VLOOKUP(A41,[1]Sheet!$A:$I,7,0)</f>
        <v>0.4</v>
      </c>
      <c r="H41" s="1">
        <f>VLOOKUP(A41,[1]Sheet!$A:$I,8,0)</f>
        <v>180</v>
      </c>
      <c r="I41" s="1" t="str">
        <f>VLOOKUP(A41,[1]Sheet!$A:$I,9,0)</f>
        <v>P004474</v>
      </c>
      <c r="J41" s="1"/>
      <c r="K41" s="1">
        <v>296</v>
      </c>
      <c r="L41" s="1">
        <f t="shared" si="10"/>
        <v>6</v>
      </c>
      <c r="M41" s="1"/>
      <c r="N41" s="1"/>
      <c r="O41" s="1"/>
      <c r="P41" s="1">
        <f t="shared" si="11"/>
        <v>60.4</v>
      </c>
      <c r="Q41" s="5">
        <f t="shared" si="9"/>
        <v>138.60000000000002</v>
      </c>
      <c r="R41" s="5">
        <f t="shared" si="7"/>
        <v>192</v>
      </c>
      <c r="S41" s="1">
        <f t="shared" si="12"/>
        <v>14.8841059602649</v>
      </c>
      <c r="T41" s="1">
        <f t="shared" si="13"/>
        <v>11.705298013245033</v>
      </c>
      <c r="U41" s="1">
        <v>27.8</v>
      </c>
      <c r="V41" s="1">
        <v>58.2</v>
      </c>
      <c r="W41" s="1">
        <v>80.400000000000006</v>
      </c>
      <c r="X41" s="1">
        <v>8.8000000000000007</v>
      </c>
      <c r="Y41" s="1">
        <v>-2</v>
      </c>
      <c r="Z41" s="1">
        <v>18.8</v>
      </c>
      <c r="AA41" s="1"/>
      <c r="AB41" s="1">
        <f>G41*Q41</f>
        <v>55.440000000000012</v>
      </c>
      <c r="AC41" s="7">
        <f>VLOOKUP(A41,[1]Sheet!$A:$AJ,32,0)</f>
        <v>16</v>
      </c>
      <c r="AD41" s="9">
        <f>MROUND(Q41, AC41*AF41)/AC41</f>
        <v>12</v>
      </c>
      <c r="AE41" s="1">
        <f>AD41*AC41*G41</f>
        <v>76.800000000000011</v>
      </c>
      <c r="AF41" s="1">
        <f>VLOOKUP(A41,[1]Sheet!$A:$AJ,35,0)</f>
        <v>12</v>
      </c>
      <c r="AG41" s="1">
        <f>VLOOKUP(A41,[1]Sheet!$A:$AJ,36,0)</f>
        <v>84</v>
      </c>
      <c r="AH41" s="9">
        <f t="shared" si="8"/>
        <v>0.14285714285714285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38</v>
      </c>
      <c r="C42" s="1">
        <v>1008</v>
      </c>
      <c r="D42" s="1">
        <v>875</v>
      </c>
      <c r="E42" s="1">
        <v>356</v>
      </c>
      <c r="F42" s="1">
        <v>1442</v>
      </c>
      <c r="G42" s="7">
        <f>VLOOKUP(A42,[1]Sheet!$A:$I,7,0)</f>
        <v>0.7</v>
      </c>
      <c r="H42" s="1">
        <f>VLOOKUP(A42,[1]Sheet!$A:$I,8,0)</f>
        <v>180</v>
      </c>
      <c r="I42" s="1" t="str">
        <f>VLOOKUP(A42,[1]Sheet!$A:$I,9,0)</f>
        <v>P004345</v>
      </c>
      <c r="J42" s="1"/>
      <c r="K42" s="1">
        <v>380</v>
      </c>
      <c r="L42" s="1">
        <f t="shared" si="10"/>
        <v>-24</v>
      </c>
      <c r="M42" s="1"/>
      <c r="N42" s="1"/>
      <c r="O42" s="1"/>
      <c r="P42" s="1">
        <f t="shared" si="11"/>
        <v>71.2</v>
      </c>
      <c r="Q42" s="5"/>
      <c r="R42" s="5">
        <f t="shared" si="7"/>
        <v>0</v>
      </c>
      <c r="S42" s="1">
        <f t="shared" si="12"/>
        <v>20.252808988764045</v>
      </c>
      <c r="T42" s="1">
        <f t="shared" si="13"/>
        <v>20.252808988764045</v>
      </c>
      <c r="U42" s="1">
        <v>116.8</v>
      </c>
      <c r="V42" s="1">
        <v>83.8</v>
      </c>
      <c r="W42" s="1">
        <v>131.4</v>
      </c>
      <c r="X42" s="1">
        <v>0</v>
      </c>
      <c r="Y42" s="1">
        <v>0</v>
      </c>
      <c r="Z42" s="1">
        <v>84.4</v>
      </c>
      <c r="AA42" s="1"/>
      <c r="AB42" s="1">
        <f>G42*Q42</f>
        <v>0</v>
      </c>
      <c r="AC42" s="7">
        <f>VLOOKUP(A42,[1]Sheet!$A:$AJ,32,0)</f>
        <v>10</v>
      </c>
      <c r="AD42" s="9">
        <f>MROUND(Q42, AC42*AF42)/AC42</f>
        <v>0</v>
      </c>
      <c r="AE42" s="1">
        <f>AD42*AC42*G42</f>
        <v>0</v>
      </c>
      <c r="AF42" s="1">
        <f>VLOOKUP(A42,[1]Sheet!$A:$AJ,35,0)</f>
        <v>12</v>
      </c>
      <c r="AG42" s="1">
        <f>VLOOKUP(A42,[1]Sheet!$A:$AJ,36,0)</f>
        <v>84</v>
      </c>
      <c r="AH42" s="9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38</v>
      </c>
      <c r="C43" s="1">
        <v>620</v>
      </c>
      <c r="D43" s="1">
        <v>214</v>
      </c>
      <c r="E43" s="1">
        <v>300</v>
      </c>
      <c r="F43" s="1">
        <v>531</v>
      </c>
      <c r="G43" s="7">
        <f>VLOOKUP(A43,[1]Sheet!$A:$I,7,0)</f>
        <v>0.4</v>
      </c>
      <c r="H43" s="1">
        <f>VLOOKUP(A43,[1]Sheet!$A:$I,8,0)</f>
        <v>180</v>
      </c>
      <c r="I43" s="1" t="str">
        <f>VLOOKUP(A43,[1]Sheet!$A:$I,9,0)</f>
        <v>P004444</v>
      </c>
      <c r="J43" s="1"/>
      <c r="K43" s="1">
        <v>303</v>
      </c>
      <c r="L43" s="1">
        <f t="shared" si="10"/>
        <v>-3</v>
      </c>
      <c r="M43" s="1"/>
      <c r="N43" s="1"/>
      <c r="O43" s="1"/>
      <c r="P43" s="1">
        <f t="shared" si="11"/>
        <v>60</v>
      </c>
      <c r="Q43" s="5">
        <f t="shared" si="9"/>
        <v>309</v>
      </c>
      <c r="R43" s="5">
        <f t="shared" si="7"/>
        <v>384</v>
      </c>
      <c r="S43" s="1">
        <f t="shared" si="12"/>
        <v>15.25</v>
      </c>
      <c r="T43" s="1">
        <f t="shared" si="13"/>
        <v>8.85</v>
      </c>
      <c r="U43" s="1">
        <v>64</v>
      </c>
      <c r="V43" s="1">
        <v>69</v>
      </c>
      <c r="W43" s="1">
        <v>92.4</v>
      </c>
      <c r="X43" s="1">
        <v>0</v>
      </c>
      <c r="Y43" s="1">
        <v>14.2</v>
      </c>
      <c r="Z43" s="1">
        <v>63.2</v>
      </c>
      <c r="AA43" s="1"/>
      <c r="AB43" s="1">
        <f>G43*Q43</f>
        <v>123.60000000000001</v>
      </c>
      <c r="AC43" s="7">
        <f>VLOOKUP(A43,[1]Sheet!$A:$AJ,32,0)</f>
        <v>16</v>
      </c>
      <c r="AD43" s="9">
        <f>MROUND(Q43, AC43*AF43)/AC43</f>
        <v>24</v>
      </c>
      <c r="AE43" s="1">
        <f>AD43*AC43*G43</f>
        <v>153.60000000000002</v>
      </c>
      <c r="AF43" s="1">
        <f>VLOOKUP(A43,[1]Sheet!$A:$AJ,35,0)</f>
        <v>12</v>
      </c>
      <c r="AG43" s="1">
        <f>VLOOKUP(A43,[1]Sheet!$A:$AJ,36,0)</f>
        <v>84</v>
      </c>
      <c r="AH43" s="9">
        <f t="shared" si="8"/>
        <v>0.2857142857142857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42</v>
      </c>
      <c r="B44" s="1" t="s">
        <v>38</v>
      </c>
      <c r="C44" s="1">
        <v>733</v>
      </c>
      <c r="D44" s="1">
        <v>1225</v>
      </c>
      <c r="E44" s="18">
        <f>587+E7</f>
        <v>593</v>
      </c>
      <c r="F44" s="18">
        <f>1355+F7</f>
        <v>1394</v>
      </c>
      <c r="G44" s="7">
        <f>VLOOKUP(A44,[1]Sheet!$A:$I,7,0)</f>
        <v>0.7</v>
      </c>
      <c r="H44" s="1">
        <f>VLOOKUP(A44,[1]Sheet!$A:$I,8,0)</f>
        <v>180</v>
      </c>
      <c r="I44" s="1" t="str">
        <f>VLOOKUP(A44,[1]Sheet!$A:$I,9,0)</f>
        <v>P004346</v>
      </c>
      <c r="J44" s="1"/>
      <c r="K44" s="1">
        <v>599</v>
      </c>
      <c r="L44" s="1">
        <f t="shared" si="10"/>
        <v>-6</v>
      </c>
      <c r="M44" s="1"/>
      <c r="N44" s="1"/>
      <c r="O44" s="1"/>
      <c r="P44" s="1">
        <f t="shared" si="11"/>
        <v>118.6</v>
      </c>
      <c r="Q44" s="5">
        <f t="shared" si="9"/>
        <v>266.39999999999986</v>
      </c>
      <c r="R44" s="5">
        <f t="shared" si="7"/>
        <v>240</v>
      </c>
      <c r="S44" s="1">
        <f t="shared" si="12"/>
        <v>13.777403035413155</v>
      </c>
      <c r="T44" s="1">
        <f t="shared" si="13"/>
        <v>11.753794266441822</v>
      </c>
      <c r="U44" s="1">
        <v>147.6</v>
      </c>
      <c r="V44" s="1">
        <v>125.4</v>
      </c>
      <c r="W44" s="1">
        <v>137.80000000000001</v>
      </c>
      <c r="X44" s="1">
        <v>14</v>
      </c>
      <c r="Y44" s="1">
        <v>8</v>
      </c>
      <c r="Z44" s="1">
        <v>26</v>
      </c>
      <c r="AA44" s="1"/>
      <c r="AB44" s="1">
        <f>G44*Q44</f>
        <v>186.4799999999999</v>
      </c>
      <c r="AC44" s="7">
        <f>VLOOKUP(A44,[1]Sheet!$A:$AJ,32,0)</f>
        <v>10</v>
      </c>
      <c r="AD44" s="9">
        <f>MROUND(Q44, AC44*AF44)/AC44</f>
        <v>24</v>
      </c>
      <c r="AE44" s="1">
        <f>AD44*AC44*G44</f>
        <v>168</v>
      </c>
      <c r="AF44" s="1">
        <f>VLOOKUP(A44,[1]Sheet!$A:$AJ,35,0)</f>
        <v>12</v>
      </c>
      <c r="AG44" s="1">
        <f>VLOOKUP(A44,[1]Sheet!$A:$AJ,36,0)</f>
        <v>84</v>
      </c>
      <c r="AH44" s="9">
        <f t="shared" si="8"/>
        <v>0.2857142857142857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38</v>
      </c>
      <c r="C45" s="1">
        <v>220</v>
      </c>
      <c r="D45" s="1">
        <v>600</v>
      </c>
      <c r="E45" s="1">
        <v>300</v>
      </c>
      <c r="F45" s="1">
        <v>520</v>
      </c>
      <c r="G45" s="7">
        <f>VLOOKUP(A45,[1]Sheet!$A:$I,7,0)</f>
        <v>0.7</v>
      </c>
      <c r="H45" s="1">
        <f>VLOOKUP(A45,[1]Sheet!$A:$I,8,0)</f>
        <v>180</v>
      </c>
      <c r="I45" s="1" t="str">
        <f>VLOOKUP(A45,[1]Sheet!$A:$I,9,0)</f>
        <v>P004060</v>
      </c>
      <c r="J45" s="1"/>
      <c r="K45" s="1">
        <v>295</v>
      </c>
      <c r="L45" s="1">
        <f t="shared" si="10"/>
        <v>5</v>
      </c>
      <c r="M45" s="1"/>
      <c r="N45" s="1"/>
      <c r="O45" s="1"/>
      <c r="P45" s="1">
        <f t="shared" si="11"/>
        <v>60</v>
      </c>
      <c r="Q45" s="5">
        <f t="shared" si="9"/>
        <v>320</v>
      </c>
      <c r="R45" s="5">
        <f t="shared" si="7"/>
        <v>360</v>
      </c>
      <c r="S45" s="1">
        <f t="shared" si="12"/>
        <v>14.666666666666666</v>
      </c>
      <c r="T45" s="1">
        <f t="shared" si="13"/>
        <v>8.6666666666666661</v>
      </c>
      <c r="U45" s="1">
        <v>51.8</v>
      </c>
      <c r="V45" s="1">
        <v>65</v>
      </c>
      <c r="W45" s="1">
        <v>68.599999999999994</v>
      </c>
      <c r="X45" s="1">
        <v>25</v>
      </c>
      <c r="Y45" s="1">
        <v>0</v>
      </c>
      <c r="Z45" s="1">
        <v>13.2</v>
      </c>
      <c r="AA45" s="1"/>
      <c r="AB45" s="1">
        <f>G45*Q45</f>
        <v>224</v>
      </c>
      <c r="AC45" s="7">
        <f>VLOOKUP(A45,[1]Sheet!$A:$AJ,32,0)</f>
        <v>10</v>
      </c>
      <c r="AD45" s="9">
        <f>MROUND(Q45, AC45*AF45)/AC45</f>
        <v>36</v>
      </c>
      <c r="AE45" s="1">
        <f>AD45*AC45*G45</f>
        <v>251.99999999999997</v>
      </c>
      <c r="AF45" s="1">
        <f>VLOOKUP(A45,[1]Sheet!$A:$AJ,35,0)</f>
        <v>12</v>
      </c>
      <c r="AG45" s="1">
        <f>VLOOKUP(A45,[1]Sheet!$A:$AJ,36,0)</f>
        <v>84</v>
      </c>
      <c r="AH45" s="9">
        <f t="shared" si="8"/>
        <v>0.42857142857142855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38</v>
      </c>
      <c r="C46" s="1">
        <v>196</v>
      </c>
      <c r="D46" s="1">
        <v>492</v>
      </c>
      <c r="E46" s="1">
        <v>106</v>
      </c>
      <c r="F46" s="1">
        <v>575</v>
      </c>
      <c r="G46" s="7">
        <f>VLOOKUP(A46,[1]Sheet!$A:$I,7,0)</f>
        <v>1</v>
      </c>
      <c r="H46" s="1">
        <f>VLOOKUP(A46,[1]Sheet!$A:$I,8,0)</f>
        <v>180</v>
      </c>
      <c r="I46" s="1" t="str">
        <f>VLOOKUP(A46,[1]Sheet!$A:$I,9,0)</f>
        <v>P005048</v>
      </c>
      <c r="J46" s="1"/>
      <c r="K46" s="1">
        <v>107</v>
      </c>
      <c r="L46" s="1">
        <f t="shared" si="10"/>
        <v>-1</v>
      </c>
      <c r="M46" s="1"/>
      <c r="N46" s="1"/>
      <c r="O46" s="1"/>
      <c r="P46" s="1">
        <f t="shared" si="11"/>
        <v>21.2</v>
      </c>
      <c r="Q46" s="5"/>
      <c r="R46" s="5">
        <f t="shared" si="7"/>
        <v>0</v>
      </c>
      <c r="S46" s="1">
        <f t="shared" si="12"/>
        <v>27.122641509433961</v>
      </c>
      <c r="T46" s="1">
        <f t="shared" si="13"/>
        <v>27.122641509433961</v>
      </c>
      <c r="U46" s="1">
        <v>34.4</v>
      </c>
      <c r="V46" s="1">
        <v>18.399999999999999</v>
      </c>
      <c r="W46" s="1">
        <v>36</v>
      </c>
      <c r="X46" s="1">
        <v>0</v>
      </c>
      <c r="Y46" s="1">
        <v>0</v>
      </c>
      <c r="Z46" s="1">
        <v>10.199999999999999</v>
      </c>
      <c r="AA46" s="19" t="s">
        <v>62</v>
      </c>
      <c r="AB46" s="1">
        <f>G46*Q46</f>
        <v>0</v>
      </c>
      <c r="AC46" s="7">
        <f>VLOOKUP(A46,[1]Sheet!$A:$AJ,32,0)</f>
        <v>5</v>
      </c>
      <c r="AD46" s="9">
        <f>MROUND(Q46, AC46*AF46)/AC46</f>
        <v>0</v>
      </c>
      <c r="AE46" s="1">
        <f>AD46*AC46*G46</f>
        <v>0</v>
      </c>
      <c r="AF46" s="1">
        <f>VLOOKUP(A46,[1]Sheet!$A:$AJ,35,0)</f>
        <v>12</v>
      </c>
      <c r="AG46" s="1">
        <f>VLOOKUP(A46,[1]Sheet!$A:$AJ,36,0)</f>
        <v>84</v>
      </c>
      <c r="AH46" s="9">
        <f t="shared" si="8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188</v>
      </c>
      <c r="D47" s="1">
        <v>208</v>
      </c>
      <c r="E47" s="1">
        <v>254</v>
      </c>
      <c r="F47" s="1">
        <v>134</v>
      </c>
      <c r="G47" s="7">
        <f>VLOOKUP(A47,[1]Sheet!$A:$I,7,0)</f>
        <v>0.9</v>
      </c>
      <c r="H47" s="1">
        <f>VLOOKUP(A47,[1]Sheet!$A:$I,8,0)</f>
        <v>180</v>
      </c>
      <c r="I47" s="1" t="str">
        <f>VLOOKUP(A47,[1]Sheet!$A:$I,9,0)</f>
        <v>P005107</v>
      </c>
      <c r="J47" s="1"/>
      <c r="K47" s="1">
        <v>254</v>
      </c>
      <c r="L47" s="1">
        <f t="shared" si="10"/>
        <v>0</v>
      </c>
      <c r="M47" s="1"/>
      <c r="N47" s="1"/>
      <c r="O47" s="1"/>
      <c r="P47" s="1">
        <f t="shared" si="11"/>
        <v>50.8</v>
      </c>
      <c r="Q47" s="5">
        <f>13*P47-F47</f>
        <v>526.4</v>
      </c>
      <c r="R47" s="5">
        <f t="shared" si="7"/>
        <v>480</v>
      </c>
      <c r="S47" s="1">
        <f t="shared" si="12"/>
        <v>12.086614173228346</v>
      </c>
      <c r="T47" s="1">
        <f t="shared" si="13"/>
        <v>2.6377952755905514</v>
      </c>
      <c r="U47" s="1">
        <v>38.4</v>
      </c>
      <c r="V47" s="1">
        <v>1.6</v>
      </c>
      <c r="W47" s="1">
        <v>50</v>
      </c>
      <c r="X47" s="1">
        <v>5.2</v>
      </c>
      <c r="Y47" s="1">
        <v>0</v>
      </c>
      <c r="Z47" s="1">
        <v>49.6</v>
      </c>
      <c r="AA47" s="1"/>
      <c r="AB47" s="1">
        <f>G47*Q47</f>
        <v>473.76</v>
      </c>
      <c r="AC47" s="7">
        <f>VLOOKUP(A47,[1]Sheet!$A:$AJ,32,0)</f>
        <v>8</v>
      </c>
      <c r="AD47" s="9">
        <f>MROUND(Q47, AC47*AF47)/AC47</f>
        <v>60</v>
      </c>
      <c r="AE47" s="1">
        <f>AD47*AC47*G47</f>
        <v>432</v>
      </c>
      <c r="AF47" s="1">
        <f>VLOOKUP(A47,[1]Sheet!$A:$AJ,35,0)</f>
        <v>12</v>
      </c>
      <c r="AG47" s="1">
        <f>VLOOKUP(A47,[1]Sheet!$A:$AJ,36,0)</f>
        <v>84</v>
      </c>
      <c r="AH47" s="9">
        <f t="shared" si="8"/>
        <v>0.7142857142857143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38</v>
      </c>
      <c r="C48" s="1">
        <v>255</v>
      </c>
      <c r="D48" s="1">
        <v>208</v>
      </c>
      <c r="E48" s="1">
        <v>223</v>
      </c>
      <c r="F48" s="1">
        <v>224</v>
      </c>
      <c r="G48" s="7">
        <f>VLOOKUP(A48,[1]Sheet!$A:$I,7,0)</f>
        <v>0.9</v>
      </c>
      <c r="H48" s="1">
        <f>VLOOKUP(A48,[1]Sheet!$A:$I,8,0)</f>
        <v>180</v>
      </c>
      <c r="I48" s="1" t="str">
        <f>VLOOKUP(A48,[1]Sheet!$A:$I,9,0)</f>
        <v>P005105</v>
      </c>
      <c r="J48" s="1"/>
      <c r="K48" s="1">
        <v>228</v>
      </c>
      <c r="L48" s="1">
        <f t="shared" si="10"/>
        <v>-5</v>
      </c>
      <c r="M48" s="1"/>
      <c r="N48" s="1"/>
      <c r="O48" s="1"/>
      <c r="P48" s="1">
        <f t="shared" si="11"/>
        <v>44.6</v>
      </c>
      <c r="Q48" s="5">
        <f t="shared" si="9"/>
        <v>400.4</v>
      </c>
      <c r="R48" s="5">
        <f t="shared" si="7"/>
        <v>384</v>
      </c>
      <c r="S48" s="1">
        <f t="shared" si="12"/>
        <v>13.632286995515695</v>
      </c>
      <c r="T48" s="1">
        <f t="shared" si="13"/>
        <v>5.0224215246636765</v>
      </c>
      <c r="U48" s="1">
        <v>25</v>
      </c>
      <c r="V48" s="1">
        <v>8.8000000000000007</v>
      </c>
      <c r="W48" s="1">
        <v>49.2</v>
      </c>
      <c r="X48" s="1">
        <v>5.2</v>
      </c>
      <c r="Y48" s="1">
        <v>1.2</v>
      </c>
      <c r="Z48" s="1">
        <v>36</v>
      </c>
      <c r="AA48" s="1"/>
      <c r="AB48" s="1">
        <f>G48*Q48</f>
        <v>360.36</v>
      </c>
      <c r="AC48" s="7">
        <f>VLOOKUP(A48,[1]Sheet!$A:$AJ,32,0)</f>
        <v>8</v>
      </c>
      <c r="AD48" s="9">
        <f>MROUND(Q48, AC48*AF48)/AC48</f>
        <v>48</v>
      </c>
      <c r="AE48" s="1">
        <f>AD48*AC48*G48</f>
        <v>345.6</v>
      </c>
      <c r="AF48" s="1">
        <f>VLOOKUP(A48,[1]Sheet!$A:$AJ,35,0)</f>
        <v>12</v>
      </c>
      <c r="AG48" s="1">
        <f>VLOOKUP(A48,[1]Sheet!$A:$AJ,36,0)</f>
        <v>84</v>
      </c>
      <c r="AH48" s="9">
        <f t="shared" si="8"/>
        <v>0.5714285714285714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38</v>
      </c>
      <c r="C49" s="1">
        <v>5</v>
      </c>
      <c r="D49" s="1">
        <v>340</v>
      </c>
      <c r="E49" s="1">
        <v>174</v>
      </c>
      <c r="F49" s="1">
        <v>148</v>
      </c>
      <c r="G49" s="7">
        <f>VLOOKUP(A49,[1]Sheet!$A:$I,7,0)</f>
        <v>1</v>
      </c>
      <c r="H49" s="1">
        <f>VLOOKUP(A49,[1]Sheet!$A:$I,8,0)</f>
        <v>180</v>
      </c>
      <c r="I49" s="1" t="str">
        <f>VLOOKUP(A49,[1]Sheet!$A:$I,9,0)</f>
        <v>P004081</v>
      </c>
      <c r="J49" s="1"/>
      <c r="K49" s="1">
        <v>254</v>
      </c>
      <c r="L49" s="1">
        <f t="shared" si="10"/>
        <v>-80</v>
      </c>
      <c r="M49" s="1"/>
      <c r="N49" s="1"/>
      <c r="O49" s="1"/>
      <c r="P49" s="1">
        <f t="shared" si="11"/>
        <v>34.799999999999997</v>
      </c>
      <c r="Q49" s="5">
        <f t="shared" si="9"/>
        <v>339.19999999999993</v>
      </c>
      <c r="R49" s="5">
        <f t="shared" si="7"/>
        <v>360</v>
      </c>
      <c r="S49" s="1">
        <f t="shared" si="12"/>
        <v>14.597701149425289</v>
      </c>
      <c r="T49" s="1">
        <f t="shared" si="13"/>
        <v>4.2528735632183912</v>
      </c>
      <c r="U49" s="1">
        <v>56</v>
      </c>
      <c r="V49" s="1">
        <v>1</v>
      </c>
      <c r="W49" s="1">
        <v>48</v>
      </c>
      <c r="X49" s="1">
        <v>0</v>
      </c>
      <c r="Y49" s="1">
        <v>0</v>
      </c>
      <c r="Z49" s="1">
        <v>91.4</v>
      </c>
      <c r="AA49" s="1"/>
      <c r="AB49" s="1">
        <f>G49*Q49</f>
        <v>339.19999999999993</v>
      </c>
      <c r="AC49" s="7">
        <f>VLOOKUP(A49,[1]Sheet!$A:$AJ,32,0)</f>
        <v>5</v>
      </c>
      <c r="AD49" s="9">
        <f>MROUND(Q49, AC49*AF49)/AC49</f>
        <v>72</v>
      </c>
      <c r="AE49" s="1">
        <f>AD49*AC49*G49</f>
        <v>360</v>
      </c>
      <c r="AF49" s="1">
        <f>VLOOKUP(A49,[1]Sheet!$A:$AJ,35,0)</f>
        <v>12</v>
      </c>
      <c r="AG49" s="1">
        <f>VLOOKUP(A49,[1]Sheet!$A:$AJ,36,0)</f>
        <v>84</v>
      </c>
      <c r="AH49" s="9">
        <f t="shared" si="8"/>
        <v>0.8571428571428571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57</v>
      </c>
      <c r="C50" s="1">
        <v>262.7</v>
      </c>
      <c r="D50" s="1"/>
      <c r="E50" s="1">
        <v>3.7</v>
      </c>
      <c r="F50" s="1">
        <v>259</v>
      </c>
      <c r="G50" s="7">
        <f>VLOOKUP(A50,[1]Sheet!$A:$I,7,0)</f>
        <v>1</v>
      </c>
      <c r="H50" s="1">
        <f>VLOOKUP(A50,[1]Sheet!$A:$I,8,0)</f>
        <v>180</v>
      </c>
      <c r="I50" s="1" t="str">
        <f>VLOOKUP(A50,[1]Sheet!$A:$I,9,0)</f>
        <v>P004359</v>
      </c>
      <c r="J50" s="1"/>
      <c r="K50" s="1">
        <v>3.7</v>
      </c>
      <c r="L50" s="1">
        <f t="shared" si="10"/>
        <v>0</v>
      </c>
      <c r="M50" s="1"/>
      <c r="N50" s="1"/>
      <c r="O50" s="1"/>
      <c r="P50" s="1">
        <f t="shared" si="11"/>
        <v>0.74</v>
      </c>
      <c r="Q50" s="5"/>
      <c r="R50" s="5">
        <f t="shared" si="7"/>
        <v>0</v>
      </c>
      <c r="S50" s="1">
        <f t="shared" si="12"/>
        <v>350</v>
      </c>
      <c r="T50" s="1">
        <f t="shared" si="13"/>
        <v>350</v>
      </c>
      <c r="U50" s="1">
        <v>1.48</v>
      </c>
      <c r="V50" s="1">
        <v>0</v>
      </c>
      <c r="W50" s="1">
        <v>0.74</v>
      </c>
      <c r="X50" s="1">
        <v>1.48</v>
      </c>
      <c r="Y50" s="1">
        <v>2.96</v>
      </c>
      <c r="Z50" s="1">
        <v>3.8</v>
      </c>
      <c r="AA50" s="20" t="s">
        <v>77</v>
      </c>
      <c r="AB50" s="1">
        <f>G50*Q50</f>
        <v>0</v>
      </c>
      <c r="AC50" s="7">
        <f>VLOOKUP(A50,[1]Sheet!$A:$AJ,32,0)</f>
        <v>3.7</v>
      </c>
      <c r="AD50" s="9">
        <f>MROUND(Q50, AC50*AF50)/AC50</f>
        <v>0</v>
      </c>
      <c r="AE50" s="1">
        <f>AD50*AC50*G50</f>
        <v>0</v>
      </c>
      <c r="AF50" s="1">
        <f>VLOOKUP(A50,[1]Sheet!$A:$AJ,35,0)</f>
        <v>14</v>
      </c>
      <c r="AG50" s="1">
        <f>VLOOKUP(A50,[1]Sheet!$A:$AJ,36,0)</f>
        <v>126</v>
      </c>
      <c r="AH50" s="9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38</v>
      </c>
      <c r="C51" s="1">
        <v>287</v>
      </c>
      <c r="D51" s="1">
        <v>168</v>
      </c>
      <c r="E51" s="1">
        <v>188</v>
      </c>
      <c r="F51" s="1">
        <v>267</v>
      </c>
      <c r="G51" s="7">
        <f>VLOOKUP(A51,[1]Sheet!$A:$I,7,0)</f>
        <v>0.23</v>
      </c>
      <c r="H51" s="1">
        <f>VLOOKUP(A51,[1]Sheet!$A:$I,8,0)</f>
        <v>180</v>
      </c>
      <c r="I51" s="1" t="str">
        <f>VLOOKUP(A51,[1]Sheet!$A:$I,9,0)</f>
        <v>P005182</v>
      </c>
      <c r="J51" s="1"/>
      <c r="K51" s="1">
        <v>187</v>
      </c>
      <c r="L51" s="1">
        <f t="shared" si="10"/>
        <v>1</v>
      </c>
      <c r="M51" s="1"/>
      <c r="N51" s="1"/>
      <c r="O51" s="1"/>
      <c r="P51" s="1">
        <f t="shared" si="11"/>
        <v>37.6</v>
      </c>
      <c r="Q51" s="5">
        <f t="shared" si="9"/>
        <v>259.39999999999998</v>
      </c>
      <c r="R51" s="5">
        <f t="shared" si="7"/>
        <v>252</v>
      </c>
      <c r="S51" s="1">
        <f t="shared" si="12"/>
        <v>13.803191489361701</v>
      </c>
      <c r="T51" s="1">
        <f t="shared" si="13"/>
        <v>7.1010638297872335</v>
      </c>
      <c r="U51" s="1">
        <v>13.8</v>
      </c>
      <c r="V51" s="1">
        <v>38.200000000000003</v>
      </c>
      <c r="W51" s="1">
        <v>51.4</v>
      </c>
      <c r="X51" s="1">
        <v>0</v>
      </c>
      <c r="Y51" s="1">
        <v>0</v>
      </c>
      <c r="Z51" s="1">
        <v>21.6</v>
      </c>
      <c r="AA51" s="1"/>
      <c r="AB51" s="1">
        <f>G51*Q51</f>
        <v>59.661999999999999</v>
      </c>
      <c r="AC51" s="7">
        <f>VLOOKUP(A51,[1]Sheet!$A:$AJ,32,0)</f>
        <v>6</v>
      </c>
      <c r="AD51" s="9">
        <f>MROUND(Q51, AC51*AF51)/AC51</f>
        <v>42</v>
      </c>
      <c r="AE51" s="1">
        <f>AD51*AC51*G51</f>
        <v>57.96</v>
      </c>
      <c r="AF51" s="1">
        <f>VLOOKUP(A51,[1]Sheet!$A:$AJ,35,0)</f>
        <v>14</v>
      </c>
      <c r="AG51" s="1">
        <f>VLOOKUP(A51,[1]Sheet!$A:$AJ,36,0)</f>
        <v>140</v>
      </c>
      <c r="AH51" s="9">
        <f t="shared" si="8"/>
        <v>0.3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38</v>
      </c>
      <c r="C52" s="1">
        <v>193</v>
      </c>
      <c r="D52" s="1">
        <v>174</v>
      </c>
      <c r="E52" s="1">
        <v>328</v>
      </c>
      <c r="F52" s="1">
        <v>35</v>
      </c>
      <c r="G52" s="7">
        <f>VLOOKUP(A52,[1]Sheet!$A:$I,7,0)</f>
        <v>0.25</v>
      </c>
      <c r="H52" s="1">
        <f>VLOOKUP(A52,[1]Sheet!$A:$I,8,0)</f>
        <v>180</v>
      </c>
      <c r="I52" s="1" t="str">
        <f>VLOOKUP(A52,[1]Sheet!$A:$I,9,0)</f>
        <v>P004489</v>
      </c>
      <c r="J52" s="1"/>
      <c r="K52" s="1">
        <v>327</v>
      </c>
      <c r="L52" s="1">
        <f t="shared" si="10"/>
        <v>1</v>
      </c>
      <c r="M52" s="1"/>
      <c r="N52" s="1"/>
      <c r="O52" s="1"/>
      <c r="P52" s="1">
        <f t="shared" si="11"/>
        <v>65.599999999999994</v>
      </c>
      <c r="Q52" s="5">
        <f>11*P52-F52</f>
        <v>686.59999999999991</v>
      </c>
      <c r="R52" s="5">
        <f t="shared" si="7"/>
        <v>672</v>
      </c>
      <c r="S52" s="1">
        <f t="shared" si="12"/>
        <v>10.777439024390246</v>
      </c>
      <c r="T52" s="1">
        <f t="shared" si="13"/>
        <v>0.53353658536585369</v>
      </c>
      <c r="U52" s="1">
        <v>61.4</v>
      </c>
      <c r="V52" s="1">
        <v>38.4</v>
      </c>
      <c r="W52" s="1">
        <v>65.599999999999994</v>
      </c>
      <c r="X52" s="1">
        <v>0</v>
      </c>
      <c r="Y52" s="1">
        <v>0</v>
      </c>
      <c r="Z52" s="1">
        <v>39.799999999999997</v>
      </c>
      <c r="AA52" s="1"/>
      <c r="AB52" s="1">
        <f>G52*Q52</f>
        <v>171.64999999999998</v>
      </c>
      <c r="AC52" s="7">
        <f>VLOOKUP(A52,[1]Sheet!$A:$AJ,32,0)</f>
        <v>12</v>
      </c>
      <c r="AD52" s="9">
        <f>MROUND(Q52, AC52*AF52)/AC52</f>
        <v>56</v>
      </c>
      <c r="AE52" s="1">
        <f>AD52*AC52*G52</f>
        <v>168</v>
      </c>
      <c r="AF52" s="1">
        <f>VLOOKUP(A52,[1]Sheet!$A:$AJ,35,0)</f>
        <v>14</v>
      </c>
      <c r="AG52" s="1">
        <f>VLOOKUP(A52,[1]Sheet!$A:$AJ,36,0)</f>
        <v>70</v>
      </c>
      <c r="AH52" s="9">
        <f t="shared" si="8"/>
        <v>0.8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1215</v>
      </c>
      <c r="D53" s="1">
        <v>5</v>
      </c>
      <c r="E53" s="1">
        <v>126</v>
      </c>
      <c r="F53" s="1">
        <v>1089</v>
      </c>
      <c r="G53" s="7">
        <f>VLOOKUP(A53,[1]Sheet!$A:$I,7,0)</f>
        <v>0.25</v>
      </c>
      <c r="H53" s="1">
        <f>VLOOKUP(A53,[1]Sheet!$A:$I,8,0)</f>
        <v>180</v>
      </c>
      <c r="I53" s="1" t="str">
        <f>VLOOKUP(A53,[1]Sheet!$A:$I,9,0)</f>
        <v>P005058</v>
      </c>
      <c r="J53" s="1"/>
      <c r="K53" s="1">
        <v>127</v>
      </c>
      <c r="L53" s="1">
        <f t="shared" si="10"/>
        <v>-1</v>
      </c>
      <c r="M53" s="1"/>
      <c r="N53" s="1"/>
      <c r="O53" s="1"/>
      <c r="P53" s="1">
        <f t="shared" si="11"/>
        <v>25.2</v>
      </c>
      <c r="Q53" s="5"/>
      <c r="R53" s="5">
        <f t="shared" si="7"/>
        <v>0</v>
      </c>
      <c r="S53" s="1">
        <f t="shared" si="12"/>
        <v>43.214285714285715</v>
      </c>
      <c r="T53" s="1">
        <f t="shared" si="13"/>
        <v>43.214285714285715</v>
      </c>
      <c r="U53" s="1">
        <v>31</v>
      </c>
      <c r="V53" s="1">
        <v>26</v>
      </c>
      <c r="W53" s="1">
        <v>14.6</v>
      </c>
      <c r="X53" s="1">
        <v>53.4</v>
      </c>
      <c r="Y53" s="1">
        <v>17.399999999999999</v>
      </c>
      <c r="Z53" s="1">
        <v>39.6</v>
      </c>
      <c r="AA53" s="20" t="s">
        <v>77</v>
      </c>
      <c r="AB53" s="1">
        <f>G53*Q53</f>
        <v>0</v>
      </c>
      <c r="AC53" s="7">
        <f>VLOOKUP(A53,[1]Sheet!$A:$AJ,32,0)</f>
        <v>12</v>
      </c>
      <c r="AD53" s="9">
        <f>MROUND(Q53, AC53*AF53)/AC53</f>
        <v>0</v>
      </c>
      <c r="AE53" s="1">
        <f>AD53*AC53*G53</f>
        <v>0</v>
      </c>
      <c r="AF53" s="1">
        <f>VLOOKUP(A53,[1]Sheet!$A:$AJ,35,0)</f>
        <v>14</v>
      </c>
      <c r="AG53" s="1">
        <f>VLOOKUP(A53,[1]Sheet!$A:$AJ,36,0)</f>
        <v>70</v>
      </c>
      <c r="AH53" s="9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38</v>
      </c>
      <c r="C54" s="1">
        <v>268</v>
      </c>
      <c r="D54" s="1"/>
      <c r="E54" s="1">
        <v>2</v>
      </c>
      <c r="F54" s="1">
        <v>266</v>
      </c>
      <c r="G54" s="7">
        <f>VLOOKUP(A54,[1]Sheet!$A:$I,7,0)</f>
        <v>0.18</v>
      </c>
      <c r="H54" s="1">
        <f>VLOOKUP(A54,[1]Sheet!$A:$I,8,0)</f>
        <v>180</v>
      </c>
      <c r="I54" s="1" t="str">
        <f>VLOOKUP(A54,[1]Sheet!$A:$I,9,0)</f>
        <v>P005201</v>
      </c>
      <c r="J54" s="1"/>
      <c r="K54" s="1">
        <v>2</v>
      </c>
      <c r="L54" s="1">
        <f t="shared" si="10"/>
        <v>0</v>
      </c>
      <c r="M54" s="1"/>
      <c r="N54" s="1"/>
      <c r="O54" s="1"/>
      <c r="P54" s="1">
        <f t="shared" si="11"/>
        <v>0.4</v>
      </c>
      <c r="Q54" s="5"/>
      <c r="R54" s="5">
        <f t="shared" si="7"/>
        <v>0</v>
      </c>
      <c r="S54" s="1">
        <f t="shared" si="12"/>
        <v>665</v>
      </c>
      <c r="T54" s="1">
        <f t="shared" si="13"/>
        <v>665</v>
      </c>
      <c r="U54" s="1">
        <v>1</v>
      </c>
      <c r="V54" s="1">
        <v>2.8</v>
      </c>
      <c r="W54" s="1">
        <v>5.6</v>
      </c>
      <c r="X54" s="1">
        <v>0.4</v>
      </c>
      <c r="Y54" s="1">
        <v>0.8</v>
      </c>
      <c r="Z54" s="1">
        <v>20.6</v>
      </c>
      <c r="AA54" s="20" t="s">
        <v>77</v>
      </c>
      <c r="AB54" s="1">
        <f>G54*Q54</f>
        <v>0</v>
      </c>
      <c r="AC54" s="7">
        <f>VLOOKUP(A54,[1]Sheet!$A:$AJ,32,0)</f>
        <v>6</v>
      </c>
      <c r="AD54" s="9">
        <f>MROUND(Q54, AC54*AF54)/AC54</f>
        <v>0</v>
      </c>
      <c r="AE54" s="1">
        <f>AD54*AC54*G54</f>
        <v>0</v>
      </c>
      <c r="AF54" s="1">
        <f>VLOOKUP(A54,[1]Sheet!$A:$AJ,35,0)</f>
        <v>14</v>
      </c>
      <c r="AG54" s="1">
        <f>VLOOKUP(A54,[1]Sheet!$A:$AJ,36,0)</f>
        <v>140</v>
      </c>
      <c r="AH54" s="9">
        <f t="shared" si="8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38</v>
      </c>
      <c r="C55" s="1">
        <v>180</v>
      </c>
      <c r="D55" s="1"/>
      <c r="E55" s="1">
        <v>9</v>
      </c>
      <c r="F55" s="1">
        <v>171</v>
      </c>
      <c r="G55" s="7">
        <f>VLOOKUP(A55,[1]Sheet!$A:$I,7,0)</f>
        <v>0.18</v>
      </c>
      <c r="H55" s="1">
        <f>VLOOKUP(A55,[1]Sheet!$A:$I,8,0)</f>
        <v>180</v>
      </c>
      <c r="I55" s="1" t="str">
        <f>VLOOKUP(A55,[1]Sheet!$A:$I,9,0)</f>
        <v>P005199</v>
      </c>
      <c r="J55" s="1"/>
      <c r="K55" s="1">
        <v>9</v>
      </c>
      <c r="L55" s="1">
        <f t="shared" si="10"/>
        <v>0</v>
      </c>
      <c r="M55" s="1"/>
      <c r="N55" s="1"/>
      <c r="O55" s="1"/>
      <c r="P55" s="1">
        <f t="shared" si="11"/>
        <v>1.8</v>
      </c>
      <c r="Q55" s="5"/>
      <c r="R55" s="5">
        <f t="shared" si="7"/>
        <v>0</v>
      </c>
      <c r="S55" s="1">
        <f t="shared" si="12"/>
        <v>95</v>
      </c>
      <c r="T55" s="1">
        <f t="shared" si="13"/>
        <v>95</v>
      </c>
      <c r="U55" s="1">
        <v>1</v>
      </c>
      <c r="V55" s="1">
        <v>3</v>
      </c>
      <c r="W55" s="1">
        <v>1.4</v>
      </c>
      <c r="X55" s="1">
        <v>0.6</v>
      </c>
      <c r="Y55" s="1">
        <v>1.2</v>
      </c>
      <c r="Z55" s="1">
        <v>19.600000000000001</v>
      </c>
      <c r="AA55" s="20" t="s">
        <v>77</v>
      </c>
      <c r="AB55" s="1">
        <f>G55*Q55</f>
        <v>0</v>
      </c>
      <c r="AC55" s="7">
        <f>VLOOKUP(A55,[1]Sheet!$A:$AJ,32,0)</f>
        <v>6</v>
      </c>
      <c r="AD55" s="9">
        <f>MROUND(Q55, AC55*AF55)/AC55</f>
        <v>0</v>
      </c>
      <c r="AE55" s="1">
        <f>AD55*AC55*G55</f>
        <v>0</v>
      </c>
      <c r="AF55" s="1">
        <f>VLOOKUP(A55,[1]Sheet!$A:$AJ,35,0)</f>
        <v>14</v>
      </c>
      <c r="AG55" s="1">
        <f>VLOOKUP(A55,[1]Sheet!$A:$AJ,36,0)</f>
        <v>140</v>
      </c>
      <c r="AH55" s="9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19</v>
      </c>
      <c r="D56" s="1"/>
      <c r="E56" s="1">
        <v>2</v>
      </c>
      <c r="F56" s="1">
        <v>17</v>
      </c>
      <c r="G56" s="7">
        <f>VLOOKUP(A56,[1]Sheet!$A:$I,7,0)</f>
        <v>0.18</v>
      </c>
      <c r="H56" s="1">
        <f>VLOOKUP(A56,[1]Sheet!$A:$I,8,0)</f>
        <v>180</v>
      </c>
      <c r="I56" s="1" t="str">
        <f>VLOOKUP(A56,[1]Sheet!$A:$I,9,0)</f>
        <v>P005200</v>
      </c>
      <c r="J56" s="1"/>
      <c r="K56" s="1">
        <v>2</v>
      </c>
      <c r="L56" s="1">
        <f t="shared" si="10"/>
        <v>0</v>
      </c>
      <c r="M56" s="1"/>
      <c r="N56" s="1"/>
      <c r="O56" s="1"/>
      <c r="P56" s="1">
        <f t="shared" si="11"/>
        <v>0.4</v>
      </c>
      <c r="Q56" s="5"/>
      <c r="R56" s="5">
        <f t="shared" si="7"/>
        <v>0</v>
      </c>
      <c r="S56" s="1">
        <f t="shared" si="12"/>
        <v>42.5</v>
      </c>
      <c r="T56" s="1">
        <f t="shared" si="13"/>
        <v>42.5</v>
      </c>
      <c r="U56" s="1">
        <v>1.2</v>
      </c>
      <c r="V56" s="1">
        <v>2.2000000000000002</v>
      </c>
      <c r="W56" s="1">
        <v>2</v>
      </c>
      <c r="X56" s="1">
        <v>2.6</v>
      </c>
      <c r="Y56" s="1">
        <v>0</v>
      </c>
      <c r="Z56" s="1">
        <v>0</v>
      </c>
      <c r="AA56" s="20" t="s">
        <v>77</v>
      </c>
      <c r="AB56" s="1">
        <f>G56*Q56</f>
        <v>0</v>
      </c>
      <c r="AC56" s="7">
        <f>VLOOKUP(A56,[1]Sheet!$A:$AJ,32,0)</f>
        <v>6</v>
      </c>
      <c r="AD56" s="9">
        <f>MROUND(Q56, AC56*AF56)/AC56</f>
        <v>0</v>
      </c>
      <c r="AE56" s="1">
        <f>AD56*AC56*G56</f>
        <v>0</v>
      </c>
      <c r="AF56" s="1">
        <f>VLOOKUP(A56,[1]Sheet!$A:$AJ,35,0)</f>
        <v>14</v>
      </c>
      <c r="AG56" s="1">
        <f>VLOOKUP(A56,[1]Sheet!$A:$AJ,36,0)</f>
        <v>140</v>
      </c>
      <c r="AH56" s="9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-26</v>
      </c>
      <c r="D57" s="1">
        <v>336</v>
      </c>
      <c r="E57" s="1">
        <v>217</v>
      </c>
      <c r="F57" s="1">
        <v>93</v>
      </c>
      <c r="G57" s="7">
        <f>VLOOKUP(A57,[1]Sheet!$A:$I,7,0)</f>
        <v>0.3</v>
      </c>
      <c r="H57" s="1">
        <f>VLOOKUP(A57,[1]Sheet!$A:$I,8,0)</f>
        <v>180</v>
      </c>
      <c r="I57" s="1" t="str">
        <f>VLOOKUP(A57,[1]Sheet!$A:$I,9,0)</f>
        <v>P004588</v>
      </c>
      <c r="J57" s="1"/>
      <c r="K57" s="1">
        <v>200</v>
      </c>
      <c r="L57" s="1">
        <f t="shared" si="10"/>
        <v>17</v>
      </c>
      <c r="M57" s="1"/>
      <c r="N57" s="1"/>
      <c r="O57" s="1"/>
      <c r="P57" s="1">
        <f t="shared" si="11"/>
        <v>43.4</v>
      </c>
      <c r="Q57" s="5">
        <f>12*P57-F57</f>
        <v>427.79999999999995</v>
      </c>
      <c r="R57" s="5">
        <f t="shared" si="7"/>
        <v>504</v>
      </c>
      <c r="S57" s="1">
        <f t="shared" si="12"/>
        <v>13.755760368663594</v>
      </c>
      <c r="T57" s="1">
        <f t="shared" si="13"/>
        <v>2.1428571428571428</v>
      </c>
      <c r="U57" s="1">
        <v>18</v>
      </c>
      <c r="V57" s="1">
        <v>17.399999999999999</v>
      </c>
      <c r="W57" s="1">
        <v>4.8</v>
      </c>
      <c r="X57" s="1">
        <v>0</v>
      </c>
      <c r="Y57" s="1">
        <v>0</v>
      </c>
      <c r="Z57" s="1">
        <v>42.8</v>
      </c>
      <c r="AA57" s="1"/>
      <c r="AB57" s="1">
        <f>G57*Q57</f>
        <v>128.33999999999997</v>
      </c>
      <c r="AC57" s="7">
        <f>VLOOKUP(A57,[1]Sheet!$A:$AJ,32,0)</f>
        <v>12</v>
      </c>
      <c r="AD57" s="9">
        <f>MROUND(Q57, AC57*AF57)/AC57</f>
        <v>42</v>
      </c>
      <c r="AE57" s="1">
        <f>AD57*AC57*G57</f>
        <v>151.19999999999999</v>
      </c>
      <c r="AF57" s="1">
        <f>VLOOKUP(A57,[1]Sheet!$A:$AJ,35,0)</f>
        <v>14</v>
      </c>
      <c r="AG57" s="1">
        <f>VLOOKUP(A57,[1]Sheet!$A:$AJ,36,0)</f>
        <v>70</v>
      </c>
      <c r="AH57" s="9">
        <f t="shared" si="8"/>
        <v>0.6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38</v>
      </c>
      <c r="C58" s="1">
        <v>365</v>
      </c>
      <c r="D58" s="1">
        <v>843</v>
      </c>
      <c r="E58" s="1">
        <v>397</v>
      </c>
      <c r="F58" s="1">
        <v>808</v>
      </c>
      <c r="G58" s="7">
        <f>VLOOKUP(A58,[1]Sheet!$A:$I,7,0)</f>
        <v>0.3</v>
      </c>
      <c r="H58" s="1">
        <f>VLOOKUP(A58,[1]Sheet!$A:$I,8,0)</f>
        <v>180</v>
      </c>
      <c r="I58" s="1" t="str">
        <f>VLOOKUP(A58,[1]Sheet!$A:$I,9,0)</f>
        <v>P004589</v>
      </c>
      <c r="J58" s="1"/>
      <c r="K58" s="1">
        <v>389</v>
      </c>
      <c r="L58" s="1">
        <f t="shared" si="10"/>
        <v>8</v>
      </c>
      <c r="M58" s="1"/>
      <c r="N58" s="1"/>
      <c r="O58" s="1"/>
      <c r="P58" s="1">
        <f t="shared" si="11"/>
        <v>79.400000000000006</v>
      </c>
      <c r="Q58" s="5">
        <f t="shared" si="9"/>
        <v>303.60000000000014</v>
      </c>
      <c r="R58" s="5">
        <f t="shared" si="7"/>
        <v>336</v>
      </c>
      <c r="S58" s="1">
        <f t="shared" si="12"/>
        <v>14.408060453400502</v>
      </c>
      <c r="T58" s="1">
        <f t="shared" si="13"/>
        <v>10.176322418136019</v>
      </c>
      <c r="U58" s="1">
        <v>70.2</v>
      </c>
      <c r="V58" s="1">
        <v>80</v>
      </c>
      <c r="W58" s="1">
        <v>73.400000000000006</v>
      </c>
      <c r="X58" s="1">
        <v>56.8</v>
      </c>
      <c r="Y58" s="1">
        <v>25.4</v>
      </c>
      <c r="Z58" s="1">
        <v>59</v>
      </c>
      <c r="AA58" s="1"/>
      <c r="AB58" s="1">
        <f>G58*Q58</f>
        <v>91.080000000000041</v>
      </c>
      <c r="AC58" s="7">
        <f>VLOOKUP(A58,[1]Sheet!$A:$AJ,32,0)</f>
        <v>12</v>
      </c>
      <c r="AD58" s="9">
        <f>MROUND(Q58, AC58*AF58)/AC58</f>
        <v>28</v>
      </c>
      <c r="AE58" s="1">
        <f>AD58*AC58*G58</f>
        <v>100.8</v>
      </c>
      <c r="AF58" s="1">
        <f>VLOOKUP(A58,[1]Sheet!$A:$AJ,35,0)</f>
        <v>14</v>
      </c>
      <c r="AG58" s="1">
        <f>VLOOKUP(A58,[1]Sheet!$A:$AJ,36,0)</f>
        <v>70</v>
      </c>
      <c r="AH58" s="9">
        <f t="shared" si="8"/>
        <v>0.4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38</v>
      </c>
      <c r="C59" s="1">
        <v>62</v>
      </c>
      <c r="D59" s="1"/>
      <c r="E59" s="1">
        <v>49</v>
      </c>
      <c r="F59" s="1">
        <v>13</v>
      </c>
      <c r="G59" s="7">
        <f>VLOOKUP(A59,[1]Sheet!$A:$I,7,0)</f>
        <v>0.3</v>
      </c>
      <c r="H59" s="1">
        <f>VLOOKUP(A59,[1]Sheet!$A:$I,8,0)</f>
        <v>180</v>
      </c>
      <c r="I59" s="1" t="str">
        <f>VLOOKUP(A59,[1]Sheet!$A:$I,9,0)</f>
        <v>P004113</v>
      </c>
      <c r="J59" s="1"/>
      <c r="K59" s="1">
        <v>43</v>
      </c>
      <c r="L59" s="1">
        <f t="shared" si="10"/>
        <v>6</v>
      </c>
      <c r="M59" s="1"/>
      <c r="N59" s="1"/>
      <c r="O59" s="1"/>
      <c r="P59" s="1">
        <f t="shared" si="11"/>
        <v>9.8000000000000007</v>
      </c>
      <c r="Q59" s="5">
        <f t="shared" si="9"/>
        <v>124.20000000000002</v>
      </c>
      <c r="R59" s="5">
        <f t="shared" si="7"/>
        <v>196</v>
      </c>
      <c r="S59" s="1">
        <f t="shared" si="12"/>
        <v>21.326530612244895</v>
      </c>
      <c r="T59" s="1">
        <f t="shared" si="13"/>
        <v>1.3265306122448979</v>
      </c>
      <c r="U59" s="1">
        <v>6.8</v>
      </c>
      <c r="V59" s="1">
        <v>10.199999999999999</v>
      </c>
      <c r="W59" s="1">
        <v>9.8000000000000007</v>
      </c>
      <c r="X59" s="1">
        <v>7.6</v>
      </c>
      <c r="Y59" s="1">
        <v>10.8</v>
      </c>
      <c r="Z59" s="1">
        <v>10.6</v>
      </c>
      <c r="AA59" s="1"/>
      <c r="AB59" s="1">
        <f>G59*Q59</f>
        <v>37.260000000000005</v>
      </c>
      <c r="AC59" s="7">
        <f>VLOOKUP(A59,[1]Sheet!$A:$AJ,32,0)</f>
        <v>14</v>
      </c>
      <c r="AD59" s="9">
        <f>MROUND(Q59, AC59*AF59)/AC59</f>
        <v>14</v>
      </c>
      <c r="AE59" s="1">
        <f>AD59*AC59*G59</f>
        <v>58.8</v>
      </c>
      <c r="AF59" s="1">
        <f>VLOOKUP(A59,[1]Sheet!$A:$AJ,35,0)</f>
        <v>14</v>
      </c>
      <c r="AG59" s="1">
        <f>VLOOKUP(A59,[1]Sheet!$A:$AJ,36,0)</f>
        <v>70</v>
      </c>
      <c r="AH59" s="9">
        <f t="shared" si="8"/>
        <v>0.2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38</v>
      </c>
      <c r="C60" s="1">
        <v>344</v>
      </c>
      <c r="D60" s="1">
        <v>2199</v>
      </c>
      <c r="E60" s="1">
        <v>455</v>
      </c>
      <c r="F60" s="1">
        <v>2079</v>
      </c>
      <c r="G60" s="7">
        <f>VLOOKUP(A60,[1]Sheet!$A:$I,7,0)</f>
        <v>0.25</v>
      </c>
      <c r="H60" s="1">
        <f>VLOOKUP(A60,[1]Sheet!$A:$I,8,0)</f>
        <v>180</v>
      </c>
      <c r="I60" s="1" t="str">
        <f>VLOOKUP(A60,[1]Sheet!$A:$I,9,0)</f>
        <v>P004486</v>
      </c>
      <c r="J60" s="1"/>
      <c r="K60" s="1">
        <v>452</v>
      </c>
      <c r="L60" s="1">
        <f t="shared" si="10"/>
        <v>3</v>
      </c>
      <c r="M60" s="1"/>
      <c r="N60" s="1"/>
      <c r="O60" s="1"/>
      <c r="P60" s="1">
        <f t="shared" si="11"/>
        <v>91</v>
      </c>
      <c r="Q60" s="5"/>
      <c r="R60" s="5">
        <f t="shared" si="7"/>
        <v>0</v>
      </c>
      <c r="S60" s="1">
        <f t="shared" si="12"/>
        <v>22.846153846153847</v>
      </c>
      <c r="T60" s="1">
        <f t="shared" si="13"/>
        <v>22.846153846153847</v>
      </c>
      <c r="U60" s="1">
        <v>106.8</v>
      </c>
      <c r="V60" s="1">
        <v>147</v>
      </c>
      <c r="W60" s="1">
        <v>129.6</v>
      </c>
      <c r="X60" s="1">
        <v>22.2</v>
      </c>
      <c r="Y60" s="1">
        <v>0</v>
      </c>
      <c r="Z60" s="1">
        <v>54</v>
      </c>
      <c r="AA60" s="1"/>
      <c r="AB60" s="1">
        <f>G60*Q60</f>
        <v>0</v>
      </c>
      <c r="AC60" s="7">
        <f>VLOOKUP(A60,[1]Sheet!$A:$AJ,32,0)</f>
        <v>12</v>
      </c>
      <c r="AD60" s="9">
        <f>MROUND(Q60, AC60*AF60)/AC60</f>
        <v>0</v>
      </c>
      <c r="AE60" s="1">
        <f>AD60*AC60*G60</f>
        <v>0</v>
      </c>
      <c r="AF60" s="1">
        <f>VLOOKUP(A60,[1]Sheet!$A:$AJ,35,0)</f>
        <v>14</v>
      </c>
      <c r="AG60" s="1">
        <f>VLOOKUP(A60,[1]Sheet!$A:$AJ,36,0)</f>
        <v>70</v>
      </c>
      <c r="AH60" s="9">
        <f t="shared" si="8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44</v>
      </c>
      <c r="B61" s="1" t="s">
        <v>38</v>
      </c>
      <c r="C61" s="1">
        <v>651</v>
      </c>
      <c r="D61" s="1">
        <v>1016</v>
      </c>
      <c r="E61" s="18">
        <f>620+E8</f>
        <v>640</v>
      </c>
      <c r="F61" s="18">
        <f>1033+F8</f>
        <v>1098</v>
      </c>
      <c r="G61" s="7">
        <f>VLOOKUP(A61,[1]Sheet!$A:$I,7,0)</f>
        <v>0.25</v>
      </c>
      <c r="H61" s="1">
        <f>VLOOKUP(A61,[1]Sheet!$A:$I,8,0)</f>
        <v>180</v>
      </c>
      <c r="I61" s="1" t="str">
        <f>VLOOKUP(A61,[1]Sheet!$A:$I,9,0)</f>
        <v>P004484</v>
      </c>
      <c r="J61" s="1"/>
      <c r="K61" s="1">
        <v>624</v>
      </c>
      <c r="L61" s="1">
        <f t="shared" si="10"/>
        <v>16</v>
      </c>
      <c r="M61" s="1"/>
      <c r="N61" s="1"/>
      <c r="O61" s="1"/>
      <c r="P61" s="1">
        <f t="shared" si="11"/>
        <v>128</v>
      </c>
      <c r="Q61" s="5">
        <f t="shared" si="9"/>
        <v>694</v>
      </c>
      <c r="R61" s="5">
        <f t="shared" si="7"/>
        <v>672</v>
      </c>
      <c r="S61" s="1">
        <f t="shared" si="12"/>
        <v>13.828125</v>
      </c>
      <c r="T61" s="1">
        <f t="shared" si="13"/>
        <v>8.578125</v>
      </c>
      <c r="U61" s="1">
        <v>125.8</v>
      </c>
      <c r="V61" s="1">
        <v>120.8</v>
      </c>
      <c r="W61" s="1">
        <v>105.6</v>
      </c>
      <c r="X61" s="1">
        <v>12</v>
      </c>
      <c r="Y61" s="1">
        <v>0</v>
      </c>
      <c r="Z61" s="1">
        <v>55</v>
      </c>
      <c r="AA61" s="1"/>
      <c r="AB61" s="1">
        <f>G61*Q61</f>
        <v>173.5</v>
      </c>
      <c r="AC61" s="7">
        <f>VLOOKUP(A61,[1]Sheet!$A:$AJ,32,0)</f>
        <v>12</v>
      </c>
      <c r="AD61" s="9">
        <f>MROUND(Q61, AC61*AF61)/AC61</f>
        <v>56</v>
      </c>
      <c r="AE61" s="1">
        <f>AD61*AC61*G61</f>
        <v>168</v>
      </c>
      <c r="AF61" s="1">
        <f>VLOOKUP(A61,[1]Sheet!$A:$AJ,35,0)</f>
        <v>14</v>
      </c>
      <c r="AG61" s="1">
        <f>VLOOKUP(A61,[1]Sheet!$A:$AJ,36,0)</f>
        <v>70</v>
      </c>
      <c r="AH61" s="9">
        <f t="shared" si="8"/>
        <v>0.8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38</v>
      </c>
      <c r="C62" s="1">
        <v>112</v>
      </c>
      <c r="D62" s="1">
        <v>340</v>
      </c>
      <c r="E62" s="1">
        <v>79</v>
      </c>
      <c r="F62" s="1">
        <v>369</v>
      </c>
      <c r="G62" s="7">
        <f>VLOOKUP(A62,[1]Sheet!$A:$I,7,0)</f>
        <v>0.2</v>
      </c>
      <c r="H62" s="1">
        <f>VLOOKUP(A62,[1]Sheet!$A:$I,8,0)</f>
        <v>365</v>
      </c>
      <c r="I62" s="1" t="str">
        <f>VLOOKUP(A62,[1]Sheet!$A:$I,9,0)</f>
        <v>P004818</v>
      </c>
      <c r="J62" s="1"/>
      <c r="K62" s="1">
        <v>83</v>
      </c>
      <c r="L62" s="1">
        <f t="shared" si="10"/>
        <v>-4</v>
      </c>
      <c r="M62" s="1"/>
      <c r="N62" s="1"/>
      <c r="O62" s="1"/>
      <c r="P62" s="1">
        <f t="shared" si="11"/>
        <v>15.8</v>
      </c>
      <c r="Q62" s="5"/>
      <c r="R62" s="5">
        <f t="shared" si="7"/>
        <v>0</v>
      </c>
      <c r="S62" s="1">
        <f t="shared" si="12"/>
        <v>23.354430379746834</v>
      </c>
      <c r="T62" s="1">
        <f t="shared" si="13"/>
        <v>23.354430379746834</v>
      </c>
      <c r="U62" s="1">
        <v>17</v>
      </c>
      <c r="V62" s="1">
        <v>32.200000000000003</v>
      </c>
      <c r="W62" s="1">
        <v>30</v>
      </c>
      <c r="X62" s="1">
        <v>8.6</v>
      </c>
      <c r="Y62" s="1">
        <v>0</v>
      </c>
      <c r="Z62" s="1">
        <v>20</v>
      </c>
      <c r="AA62" s="1"/>
      <c r="AB62" s="1">
        <f>G62*Q62</f>
        <v>0</v>
      </c>
      <c r="AC62" s="7">
        <f>VLOOKUP(A62,[1]Sheet!$A:$AJ,32,0)</f>
        <v>6</v>
      </c>
      <c r="AD62" s="9">
        <f>MROUND(Q62, AC62*AF62)/AC62</f>
        <v>0</v>
      </c>
      <c r="AE62" s="1">
        <f>AD62*AC62*G62</f>
        <v>0</v>
      </c>
      <c r="AF62" s="1">
        <f>VLOOKUP(A62,[1]Sheet!$A:$AJ,35,0)</f>
        <v>14</v>
      </c>
      <c r="AG62" s="1">
        <f>VLOOKUP(A62,[1]Sheet!$A:$AJ,36,0)</f>
        <v>140</v>
      </c>
      <c r="AH62" s="9">
        <f t="shared" si="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38</v>
      </c>
      <c r="C63" s="1">
        <v>629</v>
      </c>
      <c r="D63" s="1">
        <v>340</v>
      </c>
      <c r="E63" s="1">
        <v>274</v>
      </c>
      <c r="F63" s="1">
        <v>691</v>
      </c>
      <c r="G63" s="7">
        <f>VLOOKUP(A63,[1]Sheet!$A:$I,7,0)</f>
        <v>0.23</v>
      </c>
      <c r="H63" s="1">
        <f>VLOOKUP(A63,[1]Sheet!$A:$I,8,0)</f>
        <v>180</v>
      </c>
      <c r="I63" s="1" t="str">
        <f>VLOOKUP(A63,[1]Sheet!$A:$I,9,0)</f>
        <v>P005180</v>
      </c>
      <c r="J63" s="1"/>
      <c r="K63" s="1">
        <v>276</v>
      </c>
      <c r="L63" s="1">
        <f t="shared" si="10"/>
        <v>-2</v>
      </c>
      <c r="M63" s="1"/>
      <c r="N63" s="1"/>
      <c r="O63" s="1"/>
      <c r="P63" s="1">
        <f t="shared" si="11"/>
        <v>54.8</v>
      </c>
      <c r="Q63" s="5">
        <f t="shared" si="9"/>
        <v>76.199999999999932</v>
      </c>
      <c r="R63" s="5">
        <f t="shared" si="7"/>
        <v>84</v>
      </c>
      <c r="S63" s="1">
        <f t="shared" si="12"/>
        <v>14.142335766423358</v>
      </c>
      <c r="T63" s="1">
        <f t="shared" si="13"/>
        <v>12.609489051094892</v>
      </c>
      <c r="U63" s="1">
        <v>24.8</v>
      </c>
      <c r="V63" s="1">
        <v>36</v>
      </c>
      <c r="W63" s="1">
        <v>77.8</v>
      </c>
      <c r="X63" s="1">
        <v>7.6</v>
      </c>
      <c r="Y63" s="1">
        <v>0</v>
      </c>
      <c r="Z63" s="1">
        <v>40.6</v>
      </c>
      <c r="AA63" s="1"/>
      <c r="AB63" s="1">
        <f>G63*Q63</f>
        <v>17.525999999999986</v>
      </c>
      <c r="AC63" s="7">
        <f>VLOOKUP(A63,[1]Sheet!$A:$AJ,32,0)</f>
        <v>6</v>
      </c>
      <c r="AD63" s="9">
        <f>MROUND(Q63, AC63*AF63)/AC63</f>
        <v>14</v>
      </c>
      <c r="AE63" s="1">
        <f>AD63*AC63*G63</f>
        <v>19.32</v>
      </c>
      <c r="AF63" s="1">
        <f>VLOOKUP(A63,[1]Sheet!$A:$AJ,35,0)</f>
        <v>14</v>
      </c>
      <c r="AG63" s="1">
        <f>VLOOKUP(A63,[1]Sheet!$A:$AJ,36,0)</f>
        <v>140</v>
      </c>
      <c r="AH63" s="9">
        <f t="shared" si="8"/>
        <v>0.1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57</v>
      </c>
      <c r="C64" s="1">
        <v>315.89999999999998</v>
      </c>
      <c r="D64" s="1">
        <v>5.4</v>
      </c>
      <c r="E64" s="1">
        <v>119.3</v>
      </c>
      <c r="F64" s="1">
        <v>196.6</v>
      </c>
      <c r="G64" s="7">
        <f>VLOOKUP(A64,[1]Sheet!$A:$I,7,0)</f>
        <v>1</v>
      </c>
      <c r="H64" s="1">
        <f>VLOOKUP(A64,[1]Sheet!$A:$I,8,0)</f>
        <v>180</v>
      </c>
      <c r="I64" s="1" t="str">
        <f>VLOOKUP(A64,[1]Sheet!$A:$I,9,0)</f>
        <v>P003478</v>
      </c>
      <c r="J64" s="1"/>
      <c r="K64" s="1">
        <v>122.2</v>
      </c>
      <c r="L64" s="1">
        <f t="shared" si="10"/>
        <v>-2.9000000000000057</v>
      </c>
      <c r="M64" s="1"/>
      <c r="N64" s="1"/>
      <c r="O64" s="1"/>
      <c r="P64" s="1">
        <f t="shared" si="11"/>
        <v>23.86</v>
      </c>
      <c r="Q64" s="5">
        <f t="shared" si="9"/>
        <v>137.43999999999997</v>
      </c>
      <c r="R64" s="5">
        <f t="shared" si="7"/>
        <v>151.20000000000002</v>
      </c>
      <c r="S64" s="1">
        <f t="shared" si="12"/>
        <v>14.576697401508802</v>
      </c>
      <c r="T64" s="1">
        <f t="shared" si="13"/>
        <v>8.2397317686504614</v>
      </c>
      <c r="U64" s="1">
        <v>12.42</v>
      </c>
      <c r="V64" s="1">
        <v>0.54</v>
      </c>
      <c r="W64" s="1">
        <v>11.34</v>
      </c>
      <c r="X64" s="1">
        <v>0</v>
      </c>
      <c r="Y64" s="1">
        <v>0</v>
      </c>
      <c r="Z64" s="1">
        <v>0</v>
      </c>
      <c r="AA64" s="1"/>
      <c r="AB64" s="1">
        <f>G64*Q64</f>
        <v>137.43999999999997</v>
      </c>
      <c r="AC64" s="7">
        <f>VLOOKUP(A64,[1]Sheet!$A:$AJ,32,0)</f>
        <v>2.7</v>
      </c>
      <c r="AD64" s="9">
        <f>MROUND(Q64, AC64*AF64)/AC64</f>
        <v>56</v>
      </c>
      <c r="AE64" s="1">
        <f>AD64*AC64*G64</f>
        <v>151.20000000000002</v>
      </c>
      <c r="AF64" s="1">
        <f>VLOOKUP(A64,[1]Sheet!$A:$AJ,35,0)</f>
        <v>14</v>
      </c>
      <c r="AG64" s="1">
        <f>VLOOKUP(A64,[1]Sheet!$A:$AJ,36,0)</f>
        <v>126</v>
      </c>
      <c r="AH64" s="9">
        <f t="shared" si="8"/>
        <v>0.44444444444444442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57</v>
      </c>
      <c r="C65" s="1">
        <v>12</v>
      </c>
      <c r="D65" s="1"/>
      <c r="E65" s="18">
        <f>35+E66</f>
        <v>224.95</v>
      </c>
      <c r="F65" s="18">
        <f>-23+F66</f>
        <v>1216</v>
      </c>
      <c r="G65" s="7">
        <f>VLOOKUP(A65,[1]Sheet!$A:$I,7,0)</f>
        <v>1</v>
      </c>
      <c r="H65" s="1"/>
      <c r="I65" s="1" t="str">
        <f>VLOOKUP(A65,[1]Sheet!$A:$I,9,0)</f>
        <v>P003476</v>
      </c>
      <c r="J65" s="1"/>
      <c r="K65" s="1">
        <v>35</v>
      </c>
      <c r="L65" s="1">
        <f t="shared" si="10"/>
        <v>189.95</v>
      </c>
      <c r="M65" s="1"/>
      <c r="N65" s="1"/>
      <c r="O65" s="1"/>
      <c r="P65" s="1">
        <f t="shared" si="11"/>
        <v>44.989999999999995</v>
      </c>
      <c r="Q65" s="5"/>
      <c r="R65" s="5">
        <f t="shared" si="7"/>
        <v>0</v>
      </c>
      <c r="S65" s="1">
        <f t="shared" si="12"/>
        <v>27.028228495221164</v>
      </c>
      <c r="T65" s="1">
        <f t="shared" si="13"/>
        <v>27.028228495221164</v>
      </c>
      <c r="U65" s="1">
        <v>108</v>
      </c>
      <c r="V65" s="1">
        <v>85.6</v>
      </c>
      <c r="W65" s="1">
        <v>12</v>
      </c>
      <c r="X65" s="1">
        <v>28</v>
      </c>
      <c r="Y65" s="1">
        <v>0</v>
      </c>
      <c r="Z65" s="1">
        <v>0</v>
      </c>
      <c r="AA65" s="19" t="s">
        <v>62</v>
      </c>
      <c r="AB65" s="1">
        <f>G65*Q65</f>
        <v>0</v>
      </c>
      <c r="AC65" s="7">
        <f>VLOOKUP(A65,[1]Sheet!$A:$AJ,32,0)</f>
        <v>5</v>
      </c>
      <c r="AD65" s="9">
        <f>MROUND(Q65, AC65*AF65)/AC65</f>
        <v>0</v>
      </c>
      <c r="AE65" s="1">
        <f>AD65*AC65*G65</f>
        <v>0</v>
      </c>
      <c r="AF65" s="1">
        <f>VLOOKUP(A65,[1]Sheet!$A:$AJ,35,0)</f>
        <v>12</v>
      </c>
      <c r="AG65" s="1">
        <f>VLOOKUP(A65,[1]Sheet!$A:$AJ,36,0)</f>
        <v>84</v>
      </c>
      <c r="AH65" s="9">
        <f t="shared" si="8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104</v>
      </c>
      <c r="B66" s="14" t="s">
        <v>57</v>
      </c>
      <c r="C66" s="14">
        <v>45</v>
      </c>
      <c r="D66" s="14">
        <v>1390</v>
      </c>
      <c r="E66" s="18">
        <v>189.95</v>
      </c>
      <c r="F66" s="18">
        <v>1239</v>
      </c>
      <c r="G66" s="15">
        <v>0</v>
      </c>
      <c r="H66" s="14"/>
      <c r="I66" s="14" t="s">
        <v>59</v>
      </c>
      <c r="J66" s="14" t="s">
        <v>103</v>
      </c>
      <c r="K66" s="14">
        <v>196</v>
      </c>
      <c r="L66" s="14">
        <f t="shared" si="10"/>
        <v>-6.0500000000000114</v>
      </c>
      <c r="M66" s="14"/>
      <c r="N66" s="14"/>
      <c r="O66" s="14"/>
      <c r="P66" s="14">
        <f t="shared" si="11"/>
        <v>37.989999999999995</v>
      </c>
      <c r="Q66" s="16"/>
      <c r="R66" s="16"/>
      <c r="S66" s="14">
        <f t="shared" si="12"/>
        <v>32.613845748881289</v>
      </c>
      <c r="T66" s="14">
        <f t="shared" si="13"/>
        <v>32.613845748881289</v>
      </c>
      <c r="U66" s="14">
        <v>39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7"/>
      <c r="AD67" s="9"/>
      <c r="AE67" s="1"/>
      <c r="AF67" s="1"/>
      <c r="AG67" s="1"/>
      <c r="AH67" s="9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7"/>
      <c r="AD68" s="9"/>
      <c r="AE68" s="1"/>
      <c r="AF68" s="1"/>
      <c r="AG68" s="1"/>
      <c r="AH68" s="9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7"/>
      <c r="AD69" s="9"/>
      <c r="AE69" s="1"/>
      <c r="AF69" s="1"/>
      <c r="AG69" s="1"/>
      <c r="AH69" s="9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7"/>
      <c r="AD70" s="9"/>
      <c r="AE70" s="1"/>
      <c r="AF70" s="1"/>
      <c r="AG70" s="1"/>
      <c r="AH70" s="9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7"/>
      <c r="AD71" s="9"/>
      <c r="AE71" s="1"/>
      <c r="AF71" s="1"/>
      <c r="AG71" s="1"/>
      <c r="AH71" s="9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7"/>
      <c r="AD72" s="9"/>
      <c r="AE72" s="1"/>
      <c r="AF72" s="1"/>
      <c r="AG72" s="1"/>
      <c r="AH72" s="9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7"/>
      <c r="AD73" s="9"/>
      <c r="AE73" s="1"/>
      <c r="AF73" s="1"/>
      <c r="AG73" s="1"/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7"/>
      <c r="AD74" s="9"/>
      <c r="AE74" s="1"/>
      <c r="AF74" s="1"/>
      <c r="AG74" s="1"/>
      <c r="AH74" s="9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7"/>
      <c r="AD75" s="9"/>
      <c r="AE75" s="1"/>
      <c r="AF75" s="1"/>
      <c r="AG75" s="1"/>
      <c r="AH75" s="9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7"/>
      <c r="AD76" s="9"/>
      <c r="AE76" s="1"/>
      <c r="AF76" s="1"/>
      <c r="AG76" s="1"/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7"/>
      <c r="AD77" s="9"/>
      <c r="AE77" s="1"/>
      <c r="AF77" s="1"/>
      <c r="AG77" s="1"/>
      <c r="AH77" s="9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7"/>
      <c r="AD78" s="9"/>
      <c r="AE78" s="1"/>
      <c r="AF78" s="1"/>
      <c r="AG78" s="1"/>
      <c r="AH78" s="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7"/>
      <c r="AD79" s="9"/>
      <c r="AE79" s="1"/>
      <c r="AF79" s="1"/>
      <c r="AG79" s="1"/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7"/>
      <c r="AD80" s="9"/>
      <c r="AE80" s="1"/>
      <c r="AF80" s="1"/>
      <c r="AG80" s="1"/>
      <c r="AH80" s="9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7"/>
      <c r="AD81" s="9"/>
      <c r="AE81" s="1"/>
      <c r="AF81" s="1"/>
      <c r="AG81" s="1"/>
      <c r="AH81" s="9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7"/>
      <c r="AD82" s="9"/>
      <c r="AE82" s="1"/>
      <c r="AF82" s="1"/>
      <c r="AG82" s="1"/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7"/>
      <c r="AD83" s="9"/>
      <c r="AE83" s="1"/>
      <c r="AF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7"/>
      <c r="AD84" s="9"/>
      <c r="AE84" s="1"/>
      <c r="AF84" s="1"/>
      <c r="AG84" s="1"/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2026-07-02T10:06:02Z</dcterms:created>
  <dcterms:modified xsi:type="dcterms:W3CDTF">2026-07-02T11:06:10Z</dcterms:modified>
</cp:coreProperties>
</file>