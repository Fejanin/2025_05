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72647932-6BE6-4544-BF45-82268E2C09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P282" i="1"/>
  <c r="BO282" i="1"/>
  <c r="BN282" i="1"/>
  <c r="BM282" i="1"/>
  <c r="Z282" i="1"/>
  <c r="Y282" i="1"/>
  <c r="P282" i="1"/>
  <c r="BO281" i="1"/>
  <c r="BM281" i="1"/>
  <c r="Z281" i="1"/>
  <c r="Y281" i="1"/>
  <c r="P281" i="1"/>
  <c r="BP280" i="1"/>
  <c r="BO280" i="1"/>
  <c r="BN280" i="1"/>
  <c r="BM280" i="1"/>
  <c r="Z280" i="1"/>
  <c r="Y280" i="1"/>
  <c r="P280" i="1"/>
  <c r="BO279" i="1"/>
  <c r="BM279" i="1"/>
  <c r="Z279" i="1"/>
  <c r="Y279" i="1"/>
  <c r="P279" i="1"/>
  <c r="BP278" i="1"/>
  <c r="BO278" i="1"/>
  <c r="BN278" i="1"/>
  <c r="BM278" i="1"/>
  <c r="Z278" i="1"/>
  <c r="Y278" i="1"/>
  <c r="P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Z283" i="1" s="1"/>
  <c r="Y273" i="1"/>
  <c r="P273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Z270" i="1" s="1"/>
  <c r="Y268" i="1"/>
  <c r="P268" i="1"/>
  <c r="BO267" i="1"/>
  <c r="BM267" i="1"/>
  <c r="Z267" i="1"/>
  <c r="Y267" i="1"/>
  <c r="P267" i="1"/>
  <c r="Y265" i="1"/>
  <c r="X265" i="1"/>
  <c r="Z264" i="1"/>
  <c r="X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1" i="1"/>
  <c r="Y220" i="1"/>
  <c r="X220" i="1"/>
  <c r="BP219" i="1"/>
  <c r="BO219" i="1"/>
  <c r="BN219" i="1"/>
  <c r="BM219" i="1"/>
  <c r="Z219" i="1"/>
  <c r="Z220" i="1" s="1"/>
  <c r="Y219" i="1"/>
  <c r="Y221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0" i="1"/>
  <c r="X210" i="1"/>
  <c r="Z209" i="1"/>
  <c r="X209" i="1"/>
  <c r="BO208" i="1"/>
  <c r="BM208" i="1"/>
  <c r="Z208" i="1"/>
  <c r="Y208" i="1"/>
  <c r="P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X204" i="1"/>
  <c r="Z203" i="1"/>
  <c r="X203" i="1"/>
  <c r="BO202" i="1"/>
  <c r="BM202" i="1"/>
  <c r="Z202" i="1"/>
  <c r="Y202" i="1"/>
  <c r="P202" i="1"/>
  <c r="Y198" i="1"/>
  <c r="X198" i="1"/>
  <c r="Z197" i="1"/>
  <c r="X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Y197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Z183" i="1" s="1"/>
  <c r="Y181" i="1"/>
  <c r="P181" i="1"/>
  <c r="X177" i="1"/>
  <c r="Z176" i="1"/>
  <c r="X176" i="1"/>
  <c r="BO175" i="1"/>
  <c r="BM175" i="1"/>
  <c r="Z175" i="1"/>
  <c r="Y175" i="1"/>
  <c r="P175" i="1"/>
  <c r="Y172" i="1"/>
  <c r="X172" i="1"/>
  <c r="Z171" i="1"/>
  <c r="X171" i="1"/>
  <c r="BO170" i="1"/>
  <c r="BM170" i="1"/>
  <c r="Z170" i="1"/>
  <c r="Y170" i="1"/>
  <c r="P170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BP159" i="1"/>
  <c r="BO159" i="1"/>
  <c r="BN159" i="1"/>
  <c r="BM159" i="1"/>
  <c r="Z159" i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Z155" i="1" s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BP141" i="1" s="1"/>
  <c r="P141" i="1"/>
  <c r="BP140" i="1"/>
  <c r="BO140" i="1"/>
  <c r="BN140" i="1"/>
  <c r="BM140" i="1"/>
  <c r="Z140" i="1"/>
  <c r="Z143" i="1" s="1"/>
  <c r="Y140" i="1"/>
  <c r="Y144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7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85" i="1" s="1"/>
  <c r="X30" i="1"/>
  <c r="X289" i="1" s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7" i="1" s="1"/>
  <c r="BM22" i="1"/>
  <c r="X286" i="1" s="1"/>
  <c r="Z22" i="1"/>
  <c r="Z30" i="1" s="1"/>
  <c r="Y22" i="1"/>
  <c r="Y31" i="1" s="1"/>
  <c r="P22" i="1"/>
  <c r="H10" i="1"/>
  <c r="A9" i="1"/>
  <c r="F10" i="1" s="1"/>
  <c r="D7" i="1"/>
  <c r="Q6" i="1"/>
  <c r="P2" i="1"/>
  <c r="X288" i="1" l="1"/>
  <c r="H9" i="1"/>
  <c r="A10" i="1"/>
  <c r="Y30" i="1"/>
  <c r="Y37" i="1"/>
  <c r="Y285" i="1" s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7" i="1"/>
  <c r="Y143" i="1"/>
  <c r="BP148" i="1"/>
  <c r="BN148" i="1"/>
  <c r="Y166" i="1"/>
  <c r="BP165" i="1"/>
  <c r="BN165" i="1"/>
  <c r="Y176" i="1"/>
  <c r="BP175" i="1"/>
  <c r="BN175" i="1"/>
  <c r="Y203" i="1"/>
  <c r="BP202" i="1"/>
  <c r="BN202" i="1"/>
  <c r="Y216" i="1"/>
  <c r="BP213" i="1"/>
  <c r="BN213" i="1"/>
  <c r="Y215" i="1"/>
  <c r="BP259" i="1"/>
  <c r="BN259" i="1"/>
  <c r="Y270" i="1"/>
  <c r="BP267" i="1"/>
  <c r="BN267" i="1"/>
  <c r="BP269" i="1"/>
  <c r="BN269" i="1"/>
  <c r="F9" i="1"/>
  <c r="J9" i="1"/>
  <c r="BN22" i="1"/>
  <c r="BP22" i="1"/>
  <c r="BN24" i="1"/>
  <c r="BN26" i="1"/>
  <c r="BN28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41" i="1"/>
  <c r="Y149" i="1"/>
  <c r="Y150" i="1"/>
  <c r="Y156" i="1"/>
  <c r="BP153" i="1"/>
  <c r="BN153" i="1"/>
  <c r="Y155" i="1"/>
  <c r="BP160" i="1"/>
  <c r="BN160" i="1"/>
  <c r="Y167" i="1"/>
  <c r="Y171" i="1"/>
  <c r="BP170" i="1"/>
  <c r="BN170" i="1"/>
  <c r="Y177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BP208" i="1"/>
  <c r="BN208" i="1"/>
  <c r="Z215" i="1"/>
  <c r="Z290" i="1" s="1"/>
  <c r="Y260" i="1"/>
  <c r="Y261" i="1"/>
  <c r="Y264" i="1"/>
  <c r="BP263" i="1"/>
  <c r="BN263" i="1"/>
  <c r="Y271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Y287" i="1" l="1"/>
  <c r="Y289" i="1"/>
  <c r="Y286" i="1"/>
  <c r="Y288" i="1" l="1"/>
  <c r="B298" i="1" s="1"/>
  <c r="A298" i="1"/>
  <c r="C298" i="1"/>
</calcChain>
</file>

<file path=xl/sharedStrings.xml><?xml version="1.0" encoding="utf-8"?>
<sst xmlns="http://schemas.openxmlformats.org/spreadsheetml/2006/main" count="1301" uniqueCount="418">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</sst>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298"/>
      <c r="F1" s="298"/>
      <c r="G1" s="12" t="s">
        <v>1</v>
      </c>
      <c r="H1" s="329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1" t="s">
        <v>8</v>
      </c>
      <c r="B5" s="362"/>
      <c r="C5" s="363"/>
      <c r="D5" s="332"/>
      <c r="E5" s="333"/>
      <c r="F5" s="452" t="s">
        <v>9</v>
      </c>
      <c r="G5" s="363"/>
      <c r="H5" s="332"/>
      <c r="I5" s="423"/>
      <c r="J5" s="423"/>
      <c r="K5" s="423"/>
      <c r="L5" s="423"/>
      <c r="M5" s="333"/>
      <c r="N5" s="61"/>
      <c r="P5" s="24" t="s">
        <v>10</v>
      </c>
      <c r="Q5" s="459">
        <v>46223</v>
      </c>
      <c r="R5" s="360"/>
      <c r="T5" s="386" t="s">
        <v>11</v>
      </c>
      <c r="U5" s="284"/>
      <c r="V5" s="388" t="s">
        <v>12</v>
      </c>
      <c r="W5" s="360"/>
      <c r="AB5" s="51"/>
      <c r="AC5" s="51"/>
      <c r="AD5" s="51"/>
      <c r="AE5" s="51"/>
    </row>
    <row r="6" spans="1:32" s="272" customFormat="1" ht="24" customHeight="1" x14ac:dyDescent="0.2">
      <c r="A6" s="361" t="s">
        <v>13</v>
      </c>
      <c r="B6" s="362"/>
      <c r="C6" s="363"/>
      <c r="D6" s="424"/>
      <c r="E6" s="425"/>
      <c r="F6" s="425"/>
      <c r="G6" s="425"/>
      <c r="H6" s="425"/>
      <c r="I6" s="425"/>
      <c r="J6" s="425"/>
      <c r="K6" s="425"/>
      <c r="L6" s="425"/>
      <c r="M6" s="360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91" t="s">
        <v>15</v>
      </c>
      <c r="U6" s="284"/>
      <c r="V6" s="412" t="s">
        <v>16</v>
      </c>
      <c r="W6" s="31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9">
        <f>IFERROR(VLOOKUP(DeliveryAddress,Table,3,0),1)</f>
        <v>1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83"/>
      <c r="U7" s="284"/>
      <c r="V7" s="413"/>
      <c r="W7" s="414"/>
      <c r="AB7" s="51"/>
      <c r="AC7" s="51"/>
      <c r="AD7" s="51"/>
      <c r="AE7" s="51"/>
    </row>
    <row r="8" spans="1:32" s="272" customFormat="1" ht="25.5" customHeight="1" x14ac:dyDescent="0.2">
      <c r="A8" s="470" t="s">
        <v>17</v>
      </c>
      <c r="B8" s="290"/>
      <c r="C8" s="291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70">
        <v>0.41666666666666669</v>
      </c>
      <c r="R8" s="321"/>
      <c r="T8" s="283"/>
      <c r="U8" s="284"/>
      <c r="V8" s="413"/>
      <c r="W8" s="414"/>
      <c r="AB8" s="51"/>
      <c r="AC8" s="51"/>
      <c r="AD8" s="51"/>
      <c r="AE8" s="51"/>
    </row>
    <row r="9" spans="1:32" s="272" customFormat="1" ht="39.950000000000003" customHeight="1" x14ac:dyDescent="0.2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76"/>
      <c r="E9" s="288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7"/>
      <c r="R9" s="358"/>
      <c r="T9" s="283"/>
      <c r="U9" s="284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76"/>
      <c r="E10" s="288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10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20</v>
      </c>
      <c r="Q10" s="392"/>
      <c r="R10" s="393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9"/>
      <c r="R11" s="360"/>
      <c r="U11" s="24" t="s">
        <v>25</v>
      </c>
      <c r="V11" s="433" t="s">
        <v>26</v>
      </c>
      <c r="W11" s="358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5" t="s">
        <v>27</v>
      </c>
      <c r="B12" s="362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3"/>
      <c r="N12" s="65"/>
      <c r="P12" s="24" t="s">
        <v>28</v>
      </c>
      <c r="Q12" s="370"/>
      <c r="R12" s="321"/>
      <c r="S12" s="23"/>
      <c r="U12" s="24"/>
      <c r="V12" s="298"/>
      <c r="W12" s="283"/>
      <c r="AB12" s="51"/>
      <c r="AC12" s="51"/>
      <c r="AD12" s="51"/>
      <c r="AE12" s="51"/>
    </row>
    <row r="13" spans="1:32" s="272" customFormat="1" ht="23.25" customHeight="1" x14ac:dyDescent="0.2">
      <c r="A13" s="385" t="s">
        <v>29</v>
      </c>
      <c r="B13" s="362"/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3"/>
      <c r="N13" s="65"/>
      <c r="O13" s="26"/>
      <c r="P13" s="26" t="s">
        <v>30</v>
      </c>
      <c r="Q13" s="433"/>
      <c r="R13" s="3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5" t="s">
        <v>31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9" t="s">
        <v>32</v>
      </c>
      <c r="B15" s="362"/>
      <c r="C15" s="362"/>
      <c r="D15" s="362"/>
      <c r="E15" s="362"/>
      <c r="F15" s="362"/>
      <c r="G15" s="362"/>
      <c r="H15" s="362"/>
      <c r="I15" s="362"/>
      <c r="J15" s="362"/>
      <c r="K15" s="362"/>
      <c r="L15" s="362"/>
      <c r="M15" s="363"/>
      <c r="N15" s="66"/>
      <c r="P15" s="379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74" t="s">
        <v>36</v>
      </c>
      <c r="D17" s="309" t="s">
        <v>37</v>
      </c>
      <c r="E17" s="344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3"/>
      <c r="R17" s="343"/>
      <c r="S17" s="343"/>
      <c r="T17" s="344"/>
      <c r="U17" s="467" t="s">
        <v>49</v>
      </c>
      <c r="V17" s="363"/>
      <c r="W17" s="309" t="s">
        <v>50</v>
      </c>
      <c r="X17" s="309" t="s">
        <v>51</v>
      </c>
      <c r="Y17" s="468" t="s">
        <v>52</v>
      </c>
      <c r="Z17" s="421" t="s">
        <v>53</v>
      </c>
      <c r="AA17" s="408" t="s">
        <v>54</v>
      </c>
      <c r="AB17" s="408" t="s">
        <v>55</v>
      </c>
      <c r="AC17" s="408" t="s">
        <v>56</v>
      </c>
      <c r="AD17" s="408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5"/>
      <c r="E18" s="347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5"/>
      <c r="Q18" s="346"/>
      <c r="R18" s="346"/>
      <c r="S18" s="346"/>
      <c r="T18" s="347"/>
      <c r="U18" s="70" t="s">
        <v>59</v>
      </c>
      <c r="V18" s="70" t="s">
        <v>60</v>
      </c>
      <c r="W18" s="310"/>
      <c r="X18" s="310"/>
      <c r="Y18" s="469"/>
      <c r="Z18" s="422"/>
      <c r="AA18" s="409"/>
      <c r="AB18" s="409"/>
      <c r="AC18" s="409"/>
      <c r="AD18" s="449"/>
      <c r="AE18" s="450"/>
      <c r="AF18" s="451"/>
      <c r="AG18" s="69"/>
      <c r="BD18" s="68"/>
    </row>
    <row r="19" spans="1:68" ht="27.75" customHeight="1" x14ac:dyDescent="0.2">
      <c r="A19" s="355" t="s">
        <v>61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48"/>
      <c r="AB19" s="48"/>
      <c r="AC19" s="48"/>
    </row>
    <row r="20" spans="1:68" ht="16.5" customHeight="1" x14ac:dyDescent="0.25">
      <c r="A20" s="293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customHeight="1" x14ac:dyDescent="0.25">
      <c r="A21" s="29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2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8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1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2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2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customHeight="1" x14ac:dyDescent="0.25">
      <c r="A32" s="293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customHeight="1" x14ac:dyDescent="0.25">
      <c r="A33" s="29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301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2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2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55" t="s">
        <v>95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48"/>
      <c r="AB38" s="48"/>
      <c r="AC38" s="48"/>
    </row>
    <row r="39" spans="1:68" ht="16.5" customHeight="1" x14ac:dyDescent="0.25">
      <c r="A39" s="293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customHeight="1" x14ac:dyDescent="0.25">
      <c r="A40" s="29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301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2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2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customHeight="1" x14ac:dyDescent="0.25">
      <c r="A45" s="293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customHeight="1" x14ac:dyDescent="0.25">
      <c r="A46" s="29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85">
        <v>4620207490044</v>
      </c>
      <c r="E49" s="286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301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2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2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293" t="s">
        <v>117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customHeight="1" x14ac:dyDescent="0.25">
      <c r="A53" s="292" t="s">
        <v>62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85">
        <v>4607111039385</v>
      </c>
      <c r="E54" s="286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85">
        <v>4607111038982</v>
      </c>
      <c r="E55" s="286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85">
        <v>4607111039354</v>
      </c>
      <c r="E56" s="286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85">
        <v>4607111039330</v>
      </c>
      <c r="E57" s="286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01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2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2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customHeight="1" x14ac:dyDescent="0.25">
      <c r="A60" s="293" t="s">
        <v>128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customHeight="1" x14ac:dyDescent="0.25">
      <c r="A61" s="292" t="s">
        <v>62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85">
        <v>4620207490822</v>
      </c>
      <c r="E62" s="286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01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2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2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2" t="s">
        <v>97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85">
        <v>4607111039712</v>
      </c>
      <c r="E66" s="286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01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2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2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2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85">
        <v>4607111037008</v>
      </c>
      <c r="E70" s="286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85">
        <v>4607111037398</v>
      </c>
      <c r="E71" s="286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01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2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2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85">
        <v>4607111039705</v>
      </c>
      <c r="E75" s="286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85">
        <v>4607111039729</v>
      </c>
      <c r="E76" s="286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85">
        <v>4620207490228</v>
      </c>
      <c r="E77" s="286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40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01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2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2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293" t="s">
        <v>149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customHeight="1" x14ac:dyDescent="0.25">
      <c r="A81" s="292" t="s">
        <v>62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85">
        <v>4607111037411</v>
      </c>
      <c r="E82" s="286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5">
        <v>4607111036728</v>
      </c>
      <c r="E83" s="286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4"/>
      <c r="V83" s="34"/>
      <c r="W83" s="35" t="s">
        <v>68</v>
      </c>
      <c r="X83" s="278">
        <v>0</v>
      </c>
      <c r="Y83" s="279">
        <f>IFERROR(IF(X83="","",X83),"")</f>
        <v>0</v>
      </c>
      <c r="Z83" s="36">
        <f>IFERROR(IF(X83="","",X83*0.00866),"")</f>
        <v>0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01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2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0</v>
      </c>
      <c r="Y84" s="280">
        <f>IFERROR(SUM(Y82:Y83),"0")</f>
        <v>0</v>
      </c>
      <c r="Z84" s="280">
        <f>IFERROR(IF(Z82="",0,Z82),"0")+IFERROR(IF(Z83="",0,Z83),"0")</f>
        <v>0</v>
      </c>
      <c r="AA84" s="281"/>
      <c r="AB84" s="281"/>
      <c r="AC84" s="281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2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0</v>
      </c>
      <c r="Y85" s="280">
        <f>IFERROR(SUMPRODUCT(Y82:Y83*H82:H83),"0")</f>
        <v>0</v>
      </c>
      <c r="Z85" s="37"/>
      <c r="AA85" s="281"/>
      <c r="AB85" s="281"/>
      <c r="AC85" s="281"/>
    </row>
    <row r="86" spans="1:68" ht="16.5" customHeight="1" x14ac:dyDescent="0.25">
      <c r="A86" s="293" t="s">
        <v>156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customHeight="1" x14ac:dyDescent="0.25">
      <c r="A87" s="292" t="s">
        <v>141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85">
        <v>4607111033659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301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2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2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293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customHeight="1" x14ac:dyDescent="0.25">
      <c r="A92" s="292" t="s">
        <v>161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5">
        <v>4607111034120</v>
      </c>
      <c r="E93" s="286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5">
        <v>4607111034137</v>
      </c>
      <c r="E94" s="286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x14ac:dyDescent="0.2">
      <c r="A95" s="301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2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2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customHeight="1" x14ac:dyDescent="0.25">
      <c r="A97" s="293" t="s">
        <v>168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customHeight="1" x14ac:dyDescent="0.25">
      <c r="A98" s="292" t="s">
        <v>141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5">
        <v>4620207491027</v>
      </c>
      <c r="E99" s="286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5">
        <v>4620207491003</v>
      </c>
      <c r="E100" s="286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4"/>
      <c r="V100" s="34"/>
      <c r="W100" s="35" t="s">
        <v>68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5">
        <v>4620207491034</v>
      </c>
      <c r="E101" s="286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4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4"/>
      <c r="V101" s="34"/>
      <c r="W101" s="35" t="s">
        <v>68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5">
        <v>4620207491010</v>
      </c>
      <c r="E102" s="286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4"/>
      <c r="V102" s="34"/>
      <c r="W102" s="35" t="s">
        <v>68</v>
      </c>
      <c r="X102" s="278">
        <v>210</v>
      </c>
      <c r="Y102" s="279">
        <f t="shared" si="6"/>
        <v>210</v>
      </c>
      <c r="Z102" s="36">
        <f t="shared" si="7"/>
        <v>3.7547999999999999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752.55600000000004</v>
      </c>
      <c r="BN102" s="67">
        <f t="shared" si="9"/>
        <v>752.55600000000004</v>
      </c>
      <c r="BO102" s="67">
        <f t="shared" si="10"/>
        <v>3</v>
      </c>
      <c r="BP102" s="67">
        <f t="shared" si="11"/>
        <v>3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85">
        <v>4607111035028</v>
      </c>
      <c r="E103" s="286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3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85">
        <v>4607111036407</v>
      </c>
      <c r="E104" s="286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1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2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210</v>
      </c>
      <c r="Y105" s="280">
        <f>IFERROR(SUM(Y99:Y104),"0")</f>
        <v>210</v>
      </c>
      <c r="Z105" s="280">
        <f>IFERROR(IF(Z99="",0,Z99),"0")+IFERROR(IF(Z100="",0,Z100),"0")+IFERROR(IF(Z101="",0,Z101),"0")+IFERROR(IF(Z102="",0,Z102),"0")+IFERROR(IF(Z103="",0,Z103),"0")+IFERROR(IF(Z104="",0,Z104),"0")</f>
        <v>3.7547999999999999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2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604.79999999999995</v>
      </c>
      <c r="Y106" s="280">
        <f>IFERROR(SUMPRODUCT(Y99:Y104*H99:H104),"0")</f>
        <v>604.79999999999995</v>
      </c>
      <c r="Z106" s="37"/>
      <c r="AA106" s="281"/>
      <c r="AB106" s="281"/>
      <c r="AC106" s="281"/>
    </row>
    <row r="107" spans="1:68" ht="16.5" customHeight="1" x14ac:dyDescent="0.25">
      <c r="A107" s="293" t="s">
        <v>183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customHeight="1" x14ac:dyDescent="0.25">
      <c r="A108" s="292" t="s">
        <v>135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5">
        <v>4607025784012</v>
      </c>
      <c r="E109" s="286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5">
        <v>4607025784319</v>
      </c>
      <c r="E110" s="286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4"/>
      <c r="V110" s="34"/>
      <c r="W110" s="35" t="s">
        <v>68</v>
      </c>
      <c r="X110" s="278">
        <v>70</v>
      </c>
      <c r="Y110" s="279">
        <f>IFERROR(IF(X110="","",X110),"")</f>
        <v>70</v>
      </c>
      <c r="Z110" s="36">
        <f>IFERROR(IF(X110="","",X110*0.01788),"")</f>
        <v>1.2516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297.08</v>
      </c>
      <c r="BN110" s="67">
        <f>IFERROR(Y110*I110,"0")</f>
        <v>297.08</v>
      </c>
      <c r="BO110" s="67">
        <f>IFERROR(X110/J110,"0")</f>
        <v>1</v>
      </c>
      <c r="BP110" s="67">
        <f>IFERROR(Y110/J110,"0")</f>
        <v>1</v>
      </c>
    </row>
    <row r="111" spans="1:68" x14ac:dyDescent="0.2">
      <c r="A111" s="301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2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70</v>
      </c>
      <c r="Y111" s="280">
        <f>IFERROR(SUM(Y109:Y110),"0")</f>
        <v>70</v>
      </c>
      <c r="Z111" s="280">
        <f>IFERROR(IF(Z109="",0,Z109),"0")+IFERROR(IF(Z110="",0,Z110),"0")</f>
        <v>1.2516</v>
      </c>
      <c r="AA111" s="281"/>
      <c r="AB111" s="281"/>
      <c r="AC111" s="281"/>
    </row>
    <row r="112" spans="1:68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2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252</v>
      </c>
      <c r="Y112" s="280">
        <f>IFERROR(SUMPRODUCT(Y109:Y110*H109:H110),"0")</f>
        <v>252</v>
      </c>
      <c r="Z112" s="37"/>
      <c r="AA112" s="281"/>
      <c r="AB112" s="281"/>
      <c r="AC112" s="281"/>
    </row>
    <row r="113" spans="1:68" ht="16.5" customHeight="1" x14ac:dyDescent="0.25">
      <c r="A113" s="293" t="s">
        <v>189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customHeight="1" x14ac:dyDescent="0.25">
      <c r="A114" s="292" t="s">
        <v>62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5">
        <v>4620207491157</v>
      </c>
      <c r="E115" s="286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85">
        <v>4620207491393</v>
      </c>
      <c r="E116" s="286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3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85">
        <v>4607111039262</v>
      </c>
      <c r="E117" s="286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5">
        <v>4607111039248</v>
      </c>
      <c r="E118" s="286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4"/>
      <c r="V118" s="34"/>
      <c r="W118" s="35" t="s">
        <v>68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85">
        <v>4607111037145</v>
      </c>
      <c r="E119" s="286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5">
        <v>4607111039293</v>
      </c>
      <c r="E120" s="286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5"/>
      <c r="R120" s="295"/>
      <c r="S120" s="295"/>
      <c r="T120" s="296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5">
        <v>4607111039279</v>
      </c>
      <c r="E121" s="286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5"/>
      <c r="R121" s="295"/>
      <c r="S121" s="295"/>
      <c r="T121" s="296"/>
      <c r="U121" s="34"/>
      <c r="V121" s="34"/>
      <c r="W121" s="35" t="s">
        <v>68</v>
      </c>
      <c r="X121" s="278">
        <v>0</v>
      </c>
      <c r="Y121" s="279">
        <f t="shared" si="12"/>
        <v>0</v>
      </c>
      <c r="Z121" s="36">
        <f t="shared" si="13"/>
        <v>0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301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2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0</v>
      </c>
      <c r="Y122" s="280">
        <f>IFERROR(SUM(Y115:Y121),"0")</f>
        <v>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281"/>
      <c r="AB122" s="281"/>
      <c r="AC122" s="281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2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0</v>
      </c>
      <c r="Y123" s="280">
        <f>IFERROR(SUMPRODUCT(Y115:Y121*H115:H121),"0")</f>
        <v>0</v>
      </c>
      <c r="Z123" s="37"/>
      <c r="AA123" s="281"/>
      <c r="AB123" s="281"/>
      <c r="AC123" s="281"/>
    </row>
    <row r="124" spans="1:68" ht="14.25" customHeight="1" x14ac:dyDescent="0.25">
      <c r="A124" s="292" t="s">
        <v>141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85">
        <v>4620207490983</v>
      </c>
      <c r="E125" s="286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3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5"/>
      <c r="R125" s="295"/>
      <c r="S125" s="295"/>
      <c r="T125" s="29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301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2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2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2" t="s">
        <v>210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85">
        <v>4620207491140</v>
      </c>
      <c r="E129" s="286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4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5"/>
      <c r="R129" s="295"/>
      <c r="S129" s="295"/>
      <c r="T129" s="29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301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2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2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293" t="s">
        <v>214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customHeight="1" x14ac:dyDescent="0.25">
      <c r="A133" s="292" t="s">
        <v>141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4301135850</v>
      </c>
      <c r="D134" s="285">
        <v>4620207491492</v>
      </c>
      <c r="E134" s="286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5"/>
      <c r="R134" s="295"/>
      <c r="S134" s="295"/>
      <c r="T134" s="296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4301190118</v>
      </c>
      <c r="D135" s="285">
        <v>4620207491461</v>
      </c>
      <c r="E135" s="286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5"/>
      <c r="R135" s="295"/>
      <c r="S135" s="295"/>
      <c r="T135" s="29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4301135865</v>
      </c>
      <c r="D136" s="285">
        <v>4620207491485</v>
      </c>
      <c r="E136" s="286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5"/>
      <c r="R136" s="295"/>
      <c r="S136" s="295"/>
      <c r="T136" s="296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x14ac:dyDescent="0.2">
      <c r="A137" s="301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2"/>
      <c r="P137" s="289" t="s">
        <v>87</v>
      </c>
      <c r="Q137" s="290"/>
      <c r="R137" s="290"/>
      <c r="S137" s="290"/>
      <c r="T137" s="290"/>
      <c r="U137" s="290"/>
      <c r="V137" s="291"/>
      <c r="W137" s="37" t="s">
        <v>68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2"/>
      <c r="P138" s="289" t="s">
        <v>87</v>
      </c>
      <c r="Q138" s="290"/>
      <c r="R138" s="290"/>
      <c r="S138" s="290"/>
      <c r="T138" s="290"/>
      <c r="U138" s="290"/>
      <c r="V138" s="291"/>
      <c r="W138" s="37" t="s">
        <v>88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customHeight="1" x14ac:dyDescent="0.25">
      <c r="A139" s="292" t="s">
        <v>222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customHeight="1" x14ac:dyDescent="0.25">
      <c r="A140" s="54" t="s">
        <v>223</v>
      </c>
      <c r="B140" s="54" t="s">
        <v>224</v>
      </c>
      <c r="C140" s="31">
        <v>4301190117</v>
      </c>
      <c r="D140" s="285">
        <v>4620207491386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5"/>
      <c r="R140" s="295"/>
      <c r="S140" s="295"/>
      <c r="T140" s="296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customHeight="1" x14ac:dyDescent="0.25">
      <c r="A141" s="54" t="s">
        <v>226</v>
      </c>
      <c r="B141" s="54" t="s">
        <v>227</v>
      </c>
      <c r="C141" s="31">
        <v>4301190115</v>
      </c>
      <c r="D141" s="285">
        <v>4620207491362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40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5"/>
      <c r="R141" s="295"/>
      <c r="S141" s="295"/>
      <c r="T141" s="296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4301190116</v>
      </c>
      <c r="D142" s="285">
        <v>4620207491379</v>
      </c>
      <c r="E142" s="286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5"/>
      <c r="R142" s="295"/>
      <c r="S142" s="295"/>
      <c r="T142" s="296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301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2"/>
      <c r="P143" s="289" t="s">
        <v>87</v>
      </c>
      <c r="Q143" s="290"/>
      <c r="R143" s="290"/>
      <c r="S143" s="290"/>
      <c r="T143" s="290"/>
      <c r="U143" s="290"/>
      <c r="V143" s="291"/>
      <c r="W143" s="37" t="s">
        <v>68</v>
      </c>
      <c r="X143" s="280">
        <f>IFERROR(SUM(X140:X142),"0")</f>
        <v>0</v>
      </c>
      <c r="Y143" s="280">
        <f>IFERROR(SUM(Y140:Y142),"0")</f>
        <v>0</v>
      </c>
      <c r="Z143" s="280">
        <f>IFERROR(IF(Z140="",0,Z140),"0")+IFERROR(IF(Z141="",0,Z141),"0")+IFERROR(IF(Z142="",0,Z142),"0")</f>
        <v>0</v>
      </c>
      <c r="AA143" s="281"/>
      <c r="AB143" s="281"/>
      <c r="AC143" s="281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2"/>
      <c r="P144" s="289" t="s">
        <v>87</v>
      </c>
      <c r="Q144" s="290"/>
      <c r="R144" s="290"/>
      <c r="S144" s="290"/>
      <c r="T144" s="290"/>
      <c r="U144" s="290"/>
      <c r="V144" s="291"/>
      <c r="W144" s="37" t="s">
        <v>88</v>
      </c>
      <c r="X144" s="280">
        <f>IFERROR(SUMPRODUCT(X140:X142*H140:H142),"0")</f>
        <v>0</v>
      </c>
      <c r="Y144" s="280">
        <f>IFERROR(SUMPRODUCT(Y140:Y142*H140:H142),"0")</f>
        <v>0</v>
      </c>
      <c r="Z144" s="37"/>
      <c r="AA144" s="281"/>
      <c r="AB144" s="281"/>
      <c r="AC144" s="281"/>
    </row>
    <row r="145" spans="1:68" ht="16.5" customHeight="1" x14ac:dyDescent="0.25">
      <c r="A145" s="293" t="s">
        <v>230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customHeight="1" x14ac:dyDescent="0.25">
      <c r="A146" s="292" t="s">
        <v>141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5">
        <v>4607111034014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5"/>
      <c r="R147" s="295"/>
      <c r="S147" s="295"/>
      <c r="T147" s="296"/>
      <c r="U147" s="34"/>
      <c r="V147" s="34"/>
      <c r="W147" s="35" t="s">
        <v>68</v>
      </c>
      <c r="X147" s="278">
        <v>140</v>
      </c>
      <c r="Y147" s="279">
        <f>IFERROR(IF(X147="","",X147),"")</f>
        <v>140</v>
      </c>
      <c r="Z147" s="36">
        <f>IFERROR(IF(X147="","",X147*0.01788),"")</f>
        <v>2.5032000000000001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518.50400000000002</v>
      </c>
      <c r="BN147" s="67">
        <f>IFERROR(Y147*I147,"0")</f>
        <v>518.50400000000002</v>
      </c>
      <c r="BO147" s="67">
        <f>IFERROR(X147/J147,"0")</f>
        <v>2</v>
      </c>
      <c r="BP147" s="67">
        <f>IFERROR(Y147/J147,"0")</f>
        <v>2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5">
        <v>4607111033994</v>
      </c>
      <c r="E148" s="286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3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5"/>
      <c r="R148" s="295"/>
      <c r="S148" s="295"/>
      <c r="T148" s="296"/>
      <c r="U148" s="34"/>
      <c r="V148" s="34"/>
      <c r="W148" s="35" t="s">
        <v>68</v>
      </c>
      <c r="X148" s="278">
        <v>210</v>
      </c>
      <c r="Y148" s="279">
        <f>IFERROR(IF(X148="","",X148),"")</f>
        <v>210</v>
      </c>
      <c r="Z148" s="36">
        <f>IFERROR(IF(X148="","",X148*0.01788),"")</f>
        <v>3.7547999999999999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777.75599999999997</v>
      </c>
      <c r="BN148" s="67">
        <f>IFERROR(Y148*I148,"0")</f>
        <v>777.75599999999997</v>
      </c>
      <c r="BO148" s="67">
        <f>IFERROR(X148/J148,"0")</f>
        <v>3</v>
      </c>
      <c r="BP148" s="67">
        <f>IFERROR(Y148/J148,"0")</f>
        <v>3</v>
      </c>
    </row>
    <row r="149" spans="1:68" x14ac:dyDescent="0.2">
      <c r="A149" s="301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2"/>
      <c r="P149" s="289" t="s">
        <v>87</v>
      </c>
      <c r="Q149" s="290"/>
      <c r="R149" s="290"/>
      <c r="S149" s="290"/>
      <c r="T149" s="290"/>
      <c r="U149" s="290"/>
      <c r="V149" s="291"/>
      <c r="W149" s="37" t="s">
        <v>68</v>
      </c>
      <c r="X149" s="280">
        <f>IFERROR(SUM(X147:X148),"0")</f>
        <v>350</v>
      </c>
      <c r="Y149" s="280">
        <f>IFERROR(SUM(Y147:Y148),"0")</f>
        <v>350</v>
      </c>
      <c r="Z149" s="280">
        <f>IFERROR(IF(Z147="",0,Z147),"0")+IFERROR(IF(Z148="",0,Z148),"0")</f>
        <v>6.258</v>
      </c>
      <c r="AA149" s="281"/>
      <c r="AB149" s="281"/>
      <c r="AC149" s="281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2"/>
      <c r="P150" s="289" t="s">
        <v>87</v>
      </c>
      <c r="Q150" s="290"/>
      <c r="R150" s="290"/>
      <c r="S150" s="290"/>
      <c r="T150" s="290"/>
      <c r="U150" s="290"/>
      <c r="V150" s="291"/>
      <c r="W150" s="37" t="s">
        <v>88</v>
      </c>
      <c r="X150" s="280">
        <f>IFERROR(SUMPRODUCT(X147:X148*H147:H148),"0")</f>
        <v>1050</v>
      </c>
      <c r="Y150" s="280">
        <f>IFERROR(SUMPRODUCT(Y147:Y148*H147:H148),"0")</f>
        <v>1050</v>
      </c>
      <c r="Z150" s="37"/>
      <c r="AA150" s="281"/>
      <c r="AB150" s="281"/>
      <c r="AC150" s="281"/>
    </row>
    <row r="151" spans="1:68" ht="16.5" customHeight="1" x14ac:dyDescent="0.25">
      <c r="A151" s="293" t="s">
        <v>236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customHeight="1" x14ac:dyDescent="0.25">
      <c r="A152" s="292" t="s">
        <v>141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customHeight="1" x14ac:dyDescent="0.25">
      <c r="A153" s="54" t="s">
        <v>237</v>
      </c>
      <c r="B153" s="54" t="s">
        <v>238</v>
      </c>
      <c r="C153" s="31">
        <v>4301135824</v>
      </c>
      <c r="D153" s="285">
        <v>4607111039095</v>
      </c>
      <c r="E153" s="286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5"/>
      <c r="R153" s="295"/>
      <c r="S153" s="295"/>
      <c r="T153" s="296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5">
        <v>4607111034199</v>
      </c>
      <c r="E154" s="286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40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5"/>
      <c r="R154" s="295"/>
      <c r="S154" s="295"/>
      <c r="T154" s="296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259.25200000000001</v>
      </c>
      <c r="BN154" s="67">
        <f>IFERROR(Y154*I154,"0")</f>
        <v>259.25200000000001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301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2"/>
      <c r="P155" s="289" t="s">
        <v>87</v>
      </c>
      <c r="Q155" s="290"/>
      <c r="R155" s="290"/>
      <c r="S155" s="290"/>
      <c r="T155" s="290"/>
      <c r="U155" s="290"/>
      <c r="V155" s="291"/>
      <c r="W155" s="37" t="s">
        <v>68</v>
      </c>
      <c r="X155" s="280">
        <f>IFERROR(SUM(X153:X154),"0")</f>
        <v>70</v>
      </c>
      <c r="Y155" s="280">
        <f>IFERROR(SUM(Y153:Y154),"0")</f>
        <v>70</v>
      </c>
      <c r="Z155" s="280">
        <f>IFERROR(IF(Z153="",0,Z153),"0")+IFERROR(IF(Z154="",0,Z154),"0")</f>
        <v>1.2516</v>
      </c>
      <c r="AA155" s="281"/>
      <c r="AB155" s="281"/>
      <c r="AC155" s="28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2"/>
      <c r="P156" s="289" t="s">
        <v>87</v>
      </c>
      <c r="Q156" s="290"/>
      <c r="R156" s="290"/>
      <c r="S156" s="290"/>
      <c r="T156" s="290"/>
      <c r="U156" s="290"/>
      <c r="V156" s="291"/>
      <c r="W156" s="37" t="s">
        <v>88</v>
      </c>
      <c r="X156" s="280">
        <f>IFERROR(SUMPRODUCT(X153:X154*H153:H154),"0")</f>
        <v>210</v>
      </c>
      <c r="Y156" s="280">
        <f>IFERROR(SUMPRODUCT(Y153:Y154*H153:H154),"0")</f>
        <v>210</v>
      </c>
      <c r="Z156" s="37"/>
      <c r="AA156" s="281"/>
      <c r="AB156" s="281"/>
      <c r="AC156" s="281"/>
    </row>
    <row r="157" spans="1:68" ht="16.5" customHeight="1" x14ac:dyDescent="0.25">
      <c r="A157" s="293" t="s">
        <v>243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customHeight="1" x14ac:dyDescent="0.25">
      <c r="A158" s="292" t="s">
        <v>141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customHeight="1" x14ac:dyDescent="0.25">
      <c r="A159" s="54" t="s">
        <v>244</v>
      </c>
      <c r="B159" s="54" t="s">
        <v>245</v>
      </c>
      <c r="C159" s="31">
        <v>4301135753</v>
      </c>
      <c r="D159" s="285">
        <v>4620207490914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5"/>
      <c r="R159" s="295"/>
      <c r="S159" s="295"/>
      <c r="T159" s="296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customHeight="1" x14ac:dyDescent="0.25">
      <c r="A160" s="54" t="s">
        <v>246</v>
      </c>
      <c r="B160" s="54" t="s">
        <v>247</v>
      </c>
      <c r="C160" s="31">
        <v>4301135778</v>
      </c>
      <c r="D160" s="285">
        <v>4620207490853</v>
      </c>
      <c r="E160" s="286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31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5"/>
      <c r="R160" s="295"/>
      <c r="S160" s="295"/>
      <c r="T160" s="296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01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2"/>
      <c r="P161" s="289" t="s">
        <v>87</v>
      </c>
      <c r="Q161" s="290"/>
      <c r="R161" s="290"/>
      <c r="S161" s="290"/>
      <c r="T161" s="290"/>
      <c r="U161" s="290"/>
      <c r="V161" s="291"/>
      <c r="W161" s="37" t="s">
        <v>68</v>
      </c>
      <c r="X161" s="280">
        <f>IFERROR(SUM(X159:X160),"0")</f>
        <v>0</v>
      </c>
      <c r="Y161" s="280">
        <f>IFERROR(SUM(Y159:Y160),"0")</f>
        <v>0</v>
      </c>
      <c r="Z161" s="280">
        <f>IFERROR(IF(Z159="",0,Z159),"0")+IFERROR(IF(Z160="",0,Z160),"0")</f>
        <v>0</v>
      </c>
      <c r="AA161" s="281"/>
      <c r="AB161" s="281"/>
      <c r="AC161" s="281"/>
    </row>
    <row r="162" spans="1:68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2"/>
      <c r="P162" s="289" t="s">
        <v>87</v>
      </c>
      <c r="Q162" s="290"/>
      <c r="R162" s="290"/>
      <c r="S162" s="290"/>
      <c r="T162" s="290"/>
      <c r="U162" s="290"/>
      <c r="V162" s="291"/>
      <c r="W162" s="37" t="s">
        <v>88</v>
      </c>
      <c r="X162" s="280">
        <f>IFERROR(SUMPRODUCT(X159:X160*H159:H160),"0")</f>
        <v>0</v>
      </c>
      <c r="Y162" s="280">
        <f>IFERROR(SUMPRODUCT(Y159:Y160*H159:H160),"0")</f>
        <v>0</v>
      </c>
      <c r="Z162" s="37"/>
      <c r="AA162" s="281"/>
      <c r="AB162" s="281"/>
      <c r="AC162" s="281"/>
    </row>
    <row r="163" spans="1:68" ht="16.5" customHeight="1" x14ac:dyDescent="0.25">
      <c r="A163" s="293" t="s">
        <v>248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customHeight="1" x14ac:dyDescent="0.25">
      <c r="A164" s="292" t="s">
        <v>141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customHeight="1" x14ac:dyDescent="0.25">
      <c r="A165" s="54" t="s">
        <v>249</v>
      </c>
      <c r="B165" s="54" t="s">
        <v>250</v>
      </c>
      <c r="C165" s="31">
        <v>4301135570</v>
      </c>
      <c r="D165" s="285">
        <v>4607111035806</v>
      </c>
      <c r="E165" s="286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3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5"/>
      <c r="R165" s="295"/>
      <c r="S165" s="295"/>
      <c r="T165" s="296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01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2"/>
      <c r="P166" s="289" t="s">
        <v>87</v>
      </c>
      <c r="Q166" s="290"/>
      <c r="R166" s="290"/>
      <c r="S166" s="290"/>
      <c r="T166" s="290"/>
      <c r="U166" s="290"/>
      <c r="V166" s="291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2"/>
      <c r="P167" s="289" t="s">
        <v>87</v>
      </c>
      <c r="Q167" s="290"/>
      <c r="R167" s="290"/>
      <c r="S167" s="290"/>
      <c r="T167" s="290"/>
      <c r="U167" s="290"/>
      <c r="V167" s="291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customHeight="1" x14ac:dyDescent="0.25">
      <c r="A168" s="293" t="s">
        <v>252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customHeight="1" x14ac:dyDescent="0.25">
      <c r="A169" s="292" t="s">
        <v>141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customHeight="1" x14ac:dyDescent="0.25">
      <c r="A170" s="54" t="s">
        <v>253</v>
      </c>
      <c r="B170" s="54" t="s">
        <v>254</v>
      </c>
      <c r="C170" s="31">
        <v>4301135607</v>
      </c>
      <c r="D170" s="285">
        <v>4607111039613</v>
      </c>
      <c r="E170" s="286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5"/>
      <c r="R170" s="295"/>
      <c r="S170" s="295"/>
      <c r="T170" s="296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301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2"/>
      <c r="P171" s="289" t="s">
        <v>87</v>
      </c>
      <c r="Q171" s="290"/>
      <c r="R171" s="290"/>
      <c r="S171" s="290"/>
      <c r="T171" s="290"/>
      <c r="U171" s="290"/>
      <c r="V171" s="291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2"/>
      <c r="P172" s="289" t="s">
        <v>87</v>
      </c>
      <c r="Q172" s="290"/>
      <c r="R172" s="290"/>
      <c r="S172" s="290"/>
      <c r="T172" s="290"/>
      <c r="U172" s="290"/>
      <c r="V172" s="291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customHeight="1" x14ac:dyDescent="0.25">
      <c r="A173" s="293" t="s">
        <v>255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customHeight="1" x14ac:dyDescent="0.25">
      <c r="A174" s="292" t="s">
        <v>141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customHeight="1" x14ac:dyDescent="0.25">
      <c r="A175" s="54" t="s">
        <v>256</v>
      </c>
      <c r="B175" s="54" t="s">
        <v>257</v>
      </c>
      <c r="C175" s="31">
        <v>4301135591</v>
      </c>
      <c r="D175" s="285">
        <v>4607111036568</v>
      </c>
      <c r="E175" s="286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42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5"/>
      <c r="R175" s="295"/>
      <c r="S175" s="295"/>
      <c r="T175" s="296"/>
      <c r="U175" s="34"/>
      <c r="V175" s="34"/>
      <c r="W175" s="35" t="s">
        <v>68</v>
      </c>
      <c r="X175" s="278">
        <v>0</v>
      </c>
      <c r="Y175" s="279">
        <f>IFERROR(IF(X175="","",X175),"")</f>
        <v>0</v>
      </c>
      <c r="Z175" s="36">
        <f>IFERROR(IF(X175="","",X175*0.00941),"")</f>
        <v>0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01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2"/>
      <c r="P176" s="289" t="s">
        <v>87</v>
      </c>
      <c r="Q176" s="290"/>
      <c r="R176" s="290"/>
      <c r="S176" s="290"/>
      <c r="T176" s="290"/>
      <c r="U176" s="290"/>
      <c r="V176" s="291"/>
      <c r="W176" s="37" t="s">
        <v>68</v>
      </c>
      <c r="X176" s="280">
        <f>IFERROR(SUM(X175:X175),"0")</f>
        <v>0</v>
      </c>
      <c r="Y176" s="280">
        <f>IFERROR(SUM(Y175:Y175),"0")</f>
        <v>0</v>
      </c>
      <c r="Z176" s="280">
        <f>IFERROR(IF(Z175="",0,Z175),"0")</f>
        <v>0</v>
      </c>
      <c r="AA176" s="281"/>
      <c r="AB176" s="281"/>
      <c r="AC176" s="281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2"/>
      <c r="P177" s="289" t="s">
        <v>87</v>
      </c>
      <c r="Q177" s="290"/>
      <c r="R177" s="290"/>
      <c r="S177" s="290"/>
      <c r="T177" s="290"/>
      <c r="U177" s="290"/>
      <c r="V177" s="291"/>
      <c r="W177" s="37" t="s">
        <v>88</v>
      </c>
      <c r="X177" s="280">
        <f>IFERROR(SUMPRODUCT(X175:X175*H175:H175),"0")</f>
        <v>0</v>
      </c>
      <c r="Y177" s="280">
        <f>IFERROR(SUMPRODUCT(Y175:Y175*H175:H175),"0")</f>
        <v>0</v>
      </c>
      <c r="Z177" s="37"/>
      <c r="AA177" s="281"/>
      <c r="AB177" s="281"/>
      <c r="AC177" s="281"/>
    </row>
    <row r="178" spans="1:68" ht="27.75" customHeight="1" x14ac:dyDescent="0.2">
      <c r="A178" s="355" t="s">
        <v>259</v>
      </c>
      <c r="B178" s="356"/>
      <c r="C178" s="356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6"/>
      <c r="V178" s="356"/>
      <c r="W178" s="356"/>
      <c r="X178" s="356"/>
      <c r="Y178" s="356"/>
      <c r="Z178" s="356"/>
      <c r="AA178" s="48"/>
      <c r="AB178" s="48"/>
      <c r="AC178" s="48"/>
    </row>
    <row r="179" spans="1:68" ht="16.5" customHeight="1" x14ac:dyDescent="0.25">
      <c r="A179" s="293" t="s">
        <v>260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customHeight="1" x14ac:dyDescent="0.25">
      <c r="A180" s="292" t="s">
        <v>62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customHeight="1" x14ac:dyDescent="0.25">
      <c r="A181" s="54" t="s">
        <v>261</v>
      </c>
      <c r="B181" s="54" t="s">
        <v>262</v>
      </c>
      <c r="C181" s="31">
        <v>4301071062</v>
      </c>
      <c r="D181" s="285">
        <v>4607111036384</v>
      </c>
      <c r="E181" s="286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5"/>
      <c r="R181" s="295"/>
      <c r="S181" s="295"/>
      <c r="T181" s="296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264</v>
      </c>
      <c r="B182" s="54" t="s">
        <v>265</v>
      </c>
      <c r="C182" s="31">
        <v>4301071050</v>
      </c>
      <c r="D182" s="285">
        <v>4607111036216</v>
      </c>
      <c r="E182" s="286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36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5"/>
      <c r="R182" s="295"/>
      <c r="S182" s="295"/>
      <c r="T182" s="296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301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2"/>
      <c r="P183" s="289" t="s">
        <v>87</v>
      </c>
      <c r="Q183" s="290"/>
      <c r="R183" s="290"/>
      <c r="S183" s="290"/>
      <c r="T183" s="290"/>
      <c r="U183" s="290"/>
      <c r="V183" s="291"/>
      <c r="W183" s="37" t="s">
        <v>68</v>
      </c>
      <c r="X183" s="280">
        <f>IFERROR(SUM(X181:X182),"0")</f>
        <v>0</v>
      </c>
      <c r="Y183" s="280">
        <f>IFERROR(SUM(Y181:Y182),"0")</f>
        <v>0</v>
      </c>
      <c r="Z183" s="280">
        <f>IFERROR(IF(Z181="",0,Z181),"0")+IFERROR(IF(Z182="",0,Z182),"0")</f>
        <v>0</v>
      </c>
      <c r="AA183" s="281"/>
      <c r="AB183" s="281"/>
      <c r="AC183" s="281"/>
    </row>
    <row r="184" spans="1:68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2"/>
      <c r="P184" s="289" t="s">
        <v>87</v>
      </c>
      <c r="Q184" s="290"/>
      <c r="R184" s="290"/>
      <c r="S184" s="290"/>
      <c r="T184" s="290"/>
      <c r="U184" s="290"/>
      <c r="V184" s="291"/>
      <c r="W184" s="37" t="s">
        <v>88</v>
      </c>
      <c r="X184" s="280">
        <f>IFERROR(SUMPRODUCT(X181:X182*H181:H182),"0")</f>
        <v>0</v>
      </c>
      <c r="Y184" s="280">
        <f>IFERROR(SUMPRODUCT(Y181:Y182*H181:H182),"0")</f>
        <v>0</v>
      </c>
      <c r="Z184" s="37"/>
      <c r="AA184" s="281"/>
      <c r="AB184" s="281"/>
      <c r="AC184" s="281"/>
    </row>
    <row r="185" spans="1:68" ht="16.5" customHeight="1" x14ac:dyDescent="0.25">
      <c r="A185" s="293" t="s">
        <v>267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3"/>
      <c r="AB185" s="273"/>
      <c r="AC185" s="273"/>
    </row>
    <row r="186" spans="1:68" ht="14.25" customHeight="1" x14ac:dyDescent="0.25">
      <c r="A186" s="292" t="s">
        <v>62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74"/>
      <c r="AB186" s="274"/>
      <c r="AC186" s="274"/>
    </row>
    <row r="187" spans="1:68" ht="27" customHeight="1" x14ac:dyDescent="0.25">
      <c r="A187" s="54" t="s">
        <v>268</v>
      </c>
      <c r="B187" s="54" t="s">
        <v>269</v>
      </c>
      <c r="C187" s="31">
        <v>4301071117</v>
      </c>
      <c r="D187" s="285">
        <v>4620207491737</v>
      </c>
      <c r="E187" s="286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5"/>
      <c r="R187" s="295"/>
      <c r="S187" s="295"/>
      <c r="T187" s="296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301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2"/>
      <c r="P188" s="289" t="s">
        <v>87</v>
      </c>
      <c r="Q188" s="290"/>
      <c r="R188" s="290"/>
      <c r="S188" s="290"/>
      <c r="T188" s="290"/>
      <c r="U188" s="290"/>
      <c r="V188" s="291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302"/>
      <c r="P189" s="289" t="s">
        <v>87</v>
      </c>
      <c r="Q189" s="290"/>
      <c r="R189" s="290"/>
      <c r="S189" s="290"/>
      <c r="T189" s="290"/>
      <c r="U189" s="290"/>
      <c r="V189" s="291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customHeight="1" x14ac:dyDescent="0.2">
      <c r="A190" s="355" t="s">
        <v>270</v>
      </c>
      <c r="B190" s="356"/>
      <c r="C190" s="356"/>
      <c r="D190" s="356"/>
      <c r="E190" s="356"/>
      <c r="F190" s="356"/>
      <c r="G190" s="356"/>
      <c r="H190" s="356"/>
      <c r="I190" s="356"/>
      <c r="J190" s="356"/>
      <c r="K190" s="356"/>
      <c r="L190" s="356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48"/>
      <c r="AB190" s="48"/>
      <c r="AC190" s="48"/>
    </row>
    <row r="191" spans="1:68" ht="16.5" customHeight="1" x14ac:dyDescent="0.25">
      <c r="A191" s="293" t="s">
        <v>271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73"/>
      <c r="AB191" s="273"/>
      <c r="AC191" s="273"/>
    </row>
    <row r="192" spans="1:68" ht="14.25" customHeight="1" x14ac:dyDescent="0.25">
      <c r="A192" s="292" t="s">
        <v>97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74"/>
      <c r="AB192" s="274"/>
      <c r="AC192" s="274"/>
    </row>
    <row r="193" spans="1:68" ht="16.5" customHeight="1" x14ac:dyDescent="0.25">
      <c r="A193" s="54" t="s">
        <v>272</v>
      </c>
      <c r="B193" s="54" t="s">
        <v>273</v>
      </c>
      <c r="C193" s="31">
        <v>4301132179</v>
      </c>
      <c r="D193" s="285">
        <v>4607111035691</v>
      </c>
      <c r="E193" s="286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5"/>
      <c r="R193" s="295"/>
      <c r="S193" s="295"/>
      <c r="T193" s="296"/>
      <c r="U193" s="34"/>
      <c r="V193" s="34"/>
      <c r="W193" s="35" t="s">
        <v>68</v>
      </c>
      <c r="X193" s="278">
        <v>0</v>
      </c>
      <c r="Y193" s="279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5">
        <v>4607111035721</v>
      </c>
      <c r="E194" s="286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5"/>
      <c r="R194" s="295"/>
      <c r="S194" s="295"/>
      <c r="T194" s="296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278</v>
      </c>
      <c r="B195" s="54" t="s">
        <v>279</v>
      </c>
      <c r="C195" s="31">
        <v>4301132170</v>
      </c>
      <c r="D195" s="285">
        <v>4607111038487</v>
      </c>
      <c r="E195" s="286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37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5"/>
      <c r="R195" s="295"/>
      <c r="S195" s="295"/>
      <c r="T195" s="296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281</v>
      </c>
      <c r="B196" s="54" t="s">
        <v>282</v>
      </c>
      <c r="C196" s="31">
        <v>4301132243</v>
      </c>
      <c r="D196" s="285">
        <v>4620207491195</v>
      </c>
      <c r="E196" s="286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4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5"/>
      <c r="R196" s="295"/>
      <c r="S196" s="295"/>
      <c r="T196" s="296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1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302"/>
      <c r="P197" s="289" t="s">
        <v>87</v>
      </c>
      <c r="Q197" s="290"/>
      <c r="R197" s="290"/>
      <c r="S197" s="290"/>
      <c r="T197" s="290"/>
      <c r="U197" s="290"/>
      <c r="V197" s="291"/>
      <c r="W197" s="37" t="s">
        <v>68</v>
      </c>
      <c r="X197" s="280">
        <f>IFERROR(SUM(X193:X196),"0")</f>
        <v>70</v>
      </c>
      <c r="Y197" s="280">
        <f>IFERROR(SUM(Y193:Y196),"0")</f>
        <v>70</v>
      </c>
      <c r="Z197" s="280">
        <f>IFERROR(IF(Z193="",0,Z193),"0")+IFERROR(IF(Z194="",0,Z194),"0")+IFERROR(IF(Z195="",0,Z195),"0")+IFERROR(IF(Z196="",0,Z196),"0")</f>
        <v>1.2516</v>
      </c>
      <c r="AA197" s="281"/>
      <c r="AB197" s="281"/>
      <c r="AC197" s="281"/>
    </row>
    <row r="198" spans="1:68" x14ac:dyDescent="0.2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302"/>
      <c r="P198" s="289" t="s">
        <v>87</v>
      </c>
      <c r="Q198" s="290"/>
      <c r="R198" s="290"/>
      <c r="S198" s="290"/>
      <c r="T198" s="290"/>
      <c r="U198" s="290"/>
      <c r="V198" s="291"/>
      <c r="W198" s="37" t="s">
        <v>88</v>
      </c>
      <c r="X198" s="280">
        <f>IFERROR(SUMPRODUCT(X193:X196*H193:H196),"0")</f>
        <v>210</v>
      </c>
      <c r="Y198" s="280">
        <f>IFERROR(SUMPRODUCT(Y193:Y196*H193:H196),"0")</f>
        <v>210</v>
      </c>
      <c r="Z198" s="37"/>
      <c r="AA198" s="281"/>
      <c r="AB198" s="281"/>
      <c r="AC198" s="281"/>
    </row>
    <row r="199" spans="1:68" ht="27.75" customHeight="1" x14ac:dyDescent="0.2">
      <c r="A199" s="355" t="s">
        <v>284</v>
      </c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  <c r="P199" s="356"/>
      <c r="Q199" s="356"/>
      <c r="R199" s="356"/>
      <c r="S199" s="356"/>
      <c r="T199" s="356"/>
      <c r="U199" s="356"/>
      <c r="V199" s="356"/>
      <c r="W199" s="356"/>
      <c r="X199" s="356"/>
      <c r="Y199" s="356"/>
      <c r="Z199" s="356"/>
      <c r="AA199" s="48"/>
      <c r="AB199" s="48"/>
      <c r="AC199" s="48"/>
    </row>
    <row r="200" spans="1:68" ht="16.5" customHeight="1" x14ac:dyDescent="0.25">
      <c r="A200" s="293" t="s">
        <v>285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3"/>
      <c r="AB200" s="273"/>
      <c r="AC200" s="273"/>
    </row>
    <row r="201" spans="1:68" ht="14.25" customHeight="1" x14ac:dyDescent="0.25">
      <c r="A201" s="292" t="s">
        <v>97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4"/>
      <c r="AB201" s="274"/>
      <c r="AC201" s="274"/>
    </row>
    <row r="202" spans="1:68" ht="27" customHeight="1" x14ac:dyDescent="0.25">
      <c r="A202" s="54" t="s">
        <v>286</v>
      </c>
      <c r="B202" s="54" t="s">
        <v>287</v>
      </c>
      <c r="C202" s="31">
        <v>4301132227</v>
      </c>
      <c r="D202" s="285">
        <v>4620207491133</v>
      </c>
      <c r="E202" s="286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4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5"/>
      <c r="R202" s="295"/>
      <c r="S202" s="295"/>
      <c r="T202" s="296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01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302"/>
      <c r="P203" s="289" t="s">
        <v>87</v>
      </c>
      <c r="Q203" s="290"/>
      <c r="R203" s="290"/>
      <c r="S203" s="290"/>
      <c r="T203" s="290"/>
      <c r="U203" s="290"/>
      <c r="V203" s="291"/>
      <c r="W203" s="37" t="s">
        <v>68</v>
      </c>
      <c r="X203" s="280">
        <f>IFERROR(SUM(X202:X202),"0")</f>
        <v>0</v>
      </c>
      <c r="Y203" s="280">
        <f>IFERROR(SUM(Y202:Y202),"0")</f>
        <v>0</v>
      </c>
      <c r="Z203" s="280">
        <f>IFERROR(IF(Z202="",0,Z202),"0")</f>
        <v>0</v>
      </c>
      <c r="AA203" s="281"/>
      <c r="AB203" s="281"/>
      <c r="AC203" s="281"/>
    </row>
    <row r="204" spans="1:68" x14ac:dyDescent="0.2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302"/>
      <c r="P204" s="289" t="s">
        <v>87</v>
      </c>
      <c r="Q204" s="290"/>
      <c r="R204" s="290"/>
      <c r="S204" s="290"/>
      <c r="T204" s="290"/>
      <c r="U204" s="290"/>
      <c r="V204" s="291"/>
      <c r="W204" s="37" t="s">
        <v>88</v>
      </c>
      <c r="X204" s="280">
        <f>IFERROR(SUMPRODUCT(X202:X202*H202:H202),"0")</f>
        <v>0</v>
      </c>
      <c r="Y204" s="280">
        <f>IFERROR(SUMPRODUCT(Y202:Y202*H202:H202),"0")</f>
        <v>0</v>
      </c>
      <c r="Z204" s="37"/>
      <c r="AA204" s="281"/>
      <c r="AB204" s="281"/>
      <c r="AC204" s="281"/>
    </row>
    <row r="205" spans="1:68" ht="14.25" customHeight="1" x14ac:dyDescent="0.25">
      <c r="A205" s="292" t="s">
        <v>141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4301135834</v>
      </c>
      <c r="D206" s="285">
        <v>4620207491188</v>
      </c>
      <c r="E206" s="286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40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5"/>
      <c r="R206" s="295"/>
      <c r="S206" s="295"/>
      <c r="T206" s="296"/>
      <c r="U206" s="34"/>
      <c r="V206" s="34"/>
      <c r="W206" s="35" t="s">
        <v>68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customHeight="1" x14ac:dyDescent="0.25">
      <c r="A207" s="54" t="s">
        <v>292</v>
      </c>
      <c r="B207" s="54" t="s">
        <v>293</v>
      </c>
      <c r="C207" s="31">
        <v>4301135829</v>
      </c>
      <c r="D207" s="285">
        <v>4620207490235</v>
      </c>
      <c r="E207" s="286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40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5"/>
      <c r="R207" s="295"/>
      <c r="S207" s="295"/>
      <c r="T207" s="29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295</v>
      </c>
      <c r="B208" s="54" t="s">
        <v>296</v>
      </c>
      <c r="C208" s="31">
        <v>4301135697</v>
      </c>
      <c r="D208" s="285">
        <v>4620207490259</v>
      </c>
      <c r="E208" s="286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37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5"/>
      <c r="R208" s="295"/>
      <c r="S208" s="295"/>
      <c r="T208" s="29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301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302"/>
      <c r="P209" s="289" t="s">
        <v>87</v>
      </c>
      <c r="Q209" s="290"/>
      <c r="R209" s="290"/>
      <c r="S209" s="290"/>
      <c r="T209" s="290"/>
      <c r="U209" s="290"/>
      <c r="V209" s="291"/>
      <c r="W209" s="37" t="s">
        <v>68</v>
      </c>
      <c r="X209" s="280">
        <f>IFERROR(SUM(X206:X208),"0")</f>
        <v>0</v>
      </c>
      <c r="Y209" s="280">
        <f>IFERROR(SUM(Y206:Y208),"0")</f>
        <v>0</v>
      </c>
      <c r="Z209" s="280">
        <f>IFERROR(IF(Z206="",0,Z206),"0")+IFERROR(IF(Z207="",0,Z207),"0")+IFERROR(IF(Z208="",0,Z208),"0")</f>
        <v>0</v>
      </c>
      <c r="AA209" s="281"/>
      <c r="AB209" s="281"/>
      <c r="AC209" s="281"/>
    </row>
    <row r="210" spans="1:68" x14ac:dyDescent="0.2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302"/>
      <c r="P210" s="289" t="s">
        <v>87</v>
      </c>
      <c r="Q210" s="290"/>
      <c r="R210" s="290"/>
      <c r="S210" s="290"/>
      <c r="T210" s="290"/>
      <c r="U210" s="290"/>
      <c r="V210" s="291"/>
      <c r="W210" s="37" t="s">
        <v>88</v>
      </c>
      <c r="X210" s="280">
        <f>IFERROR(SUMPRODUCT(X206:X208*H206:H208),"0")</f>
        <v>0</v>
      </c>
      <c r="Y210" s="280">
        <f>IFERROR(SUMPRODUCT(Y206:Y208*H206:H208),"0")</f>
        <v>0</v>
      </c>
      <c r="Z210" s="37"/>
      <c r="AA210" s="281"/>
      <c r="AB210" s="281"/>
      <c r="AC210" s="281"/>
    </row>
    <row r="211" spans="1:68" ht="16.5" customHeight="1" x14ac:dyDescent="0.25">
      <c r="A211" s="293" t="s">
        <v>298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73"/>
      <c r="AB211" s="273"/>
      <c r="AC211" s="273"/>
    </row>
    <row r="212" spans="1:68" ht="14.25" customHeight="1" x14ac:dyDescent="0.25">
      <c r="A212" s="292" t="s">
        <v>141</v>
      </c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74"/>
      <c r="AB212" s="274"/>
      <c r="AC212" s="274"/>
    </row>
    <row r="213" spans="1:68" ht="27" customHeight="1" x14ac:dyDescent="0.25">
      <c r="A213" s="54" t="s">
        <v>299</v>
      </c>
      <c r="B213" s="54" t="s">
        <v>300</v>
      </c>
      <c r="C213" s="31">
        <v>4301135854</v>
      </c>
      <c r="D213" s="285">
        <v>4620207491706</v>
      </c>
      <c r="E213" s="286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29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5"/>
      <c r="R213" s="295"/>
      <c r="S213" s="295"/>
      <c r="T213" s="296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302</v>
      </c>
      <c r="B214" s="54" t="s">
        <v>303</v>
      </c>
      <c r="C214" s="31">
        <v>4301135895</v>
      </c>
      <c r="D214" s="285">
        <v>4620207491522</v>
      </c>
      <c r="E214" s="286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5"/>
      <c r="R214" s="295"/>
      <c r="S214" s="295"/>
      <c r="T214" s="29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301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302"/>
      <c r="P215" s="289" t="s">
        <v>87</v>
      </c>
      <c r="Q215" s="290"/>
      <c r="R215" s="290"/>
      <c r="S215" s="290"/>
      <c r="T215" s="290"/>
      <c r="U215" s="290"/>
      <c r="V215" s="291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x14ac:dyDescent="0.2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302"/>
      <c r="P216" s="289" t="s">
        <v>87</v>
      </c>
      <c r="Q216" s="290"/>
      <c r="R216" s="290"/>
      <c r="S216" s="290"/>
      <c r="T216" s="290"/>
      <c r="U216" s="290"/>
      <c r="V216" s="291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customHeight="1" x14ac:dyDescent="0.25">
      <c r="A217" s="293" t="s">
        <v>305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73"/>
      <c r="AB217" s="273"/>
      <c r="AC217" s="273"/>
    </row>
    <row r="218" spans="1:68" ht="14.25" customHeight="1" x14ac:dyDescent="0.25">
      <c r="A218" s="292" t="s">
        <v>62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5">
        <v>4620207491096</v>
      </c>
      <c r="E219" s="286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38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5"/>
      <c r="R219" s="295"/>
      <c r="S219" s="295"/>
      <c r="T219" s="296"/>
      <c r="U219" s="34"/>
      <c r="V219" s="34"/>
      <c r="W219" s="35" t="s">
        <v>68</v>
      </c>
      <c r="X219" s="278">
        <v>168</v>
      </c>
      <c r="Y219" s="279">
        <f>IFERROR(IF(X219="","",X219),"")</f>
        <v>168</v>
      </c>
      <c r="Z219" s="36">
        <f>IFERROR(IF(X219="","",X219*0.0155),"")</f>
        <v>2.6040000000000001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878.6400000000001</v>
      </c>
      <c r="BN219" s="67">
        <f>IFERROR(Y219*I219,"0")</f>
        <v>878.6400000000001</v>
      </c>
      <c r="BO219" s="67">
        <f>IFERROR(X219/J219,"0")</f>
        <v>2</v>
      </c>
      <c r="BP219" s="67">
        <f>IFERROR(Y219/J219,"0")</f>
        <v>2</v>
      </c>
    </row>
    <row r="220" spans="1:68" x14ac:dyDescent="0.2">
      <c r="A220" s="301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2"/>
      <c r="P220" s="289" t="s">
        <v>87</v>
      </c>
      <c r="Q220" s="290"/>
      <c r="R220" s="290"/>
      <c r="S220" s="290"/>
      <c r="T220" s="290"/>
      <c r="U220" s="290"/>
      <c r="V220" s="291"/>
      <c r="W220" s="37" t="s">
        <v>68</v>
      </c>
      <c r="X220" s="280">
        <f>IFERROR(SUM(X219:X219),"0")</f>
        <v>168</v>
      </c>
      <c r="Y220" s="280">
        <f>IFERROR(SUM(Y219:Y219),"0")</f>
        <v>168</v>
      </c>
      <c r="Z220" s="280">
        <f>IFERROR(IF(Z219="",0,Z219),"0")</f>
        <v>2.6040000000000001</v>
      </c>
      <c r="AA220" s="281"/>
      <c r="AB220" s="281"/>
      <c r="AC220" s="281"/>
    </row>
    <row r="221" spans="1:68" x14ac:dyDescent="0.2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302"/>
      <c r="P221" s="289" t="s">
        <v>87</v>
      </c>
      <c r="Q221" s="290"/>
      <c r="R221" s="290"/>
      <c r="S221" s="290"/>
      <c r="T221" s="290"/>
      <c r="U221" s="290"/>
      <c r="V221" s="291"/>
      <c r="W221" s="37" t="s">
        <v>88</v>
      </c>
      <c r="X221" s="280">
        <f>IFERROR(SUMPRODUCT(X219:X219*H219:H219),"0")</f>
        <v>840</v>
      </c>
      <c r="Y221" s="280">
        <f>IFERROR(SUMPRODUCT(Y219:Y219*H219:H219),"0")</f>
        <v>840</v>
      </c>
      <c r="Z221" s="37"/>
      <c r="AA221" s="281"/>
      <c r="AB221" s="281"/>
      <c r="AC221" s="281"/>
    </row>
    <row r="222" spans="1:68" ht="16.5" customHeight="1" x14ac:dyDescent="0.25">
      <c r="A222" s="293" t="s">
        <v>309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3"/>
      <c r="AB222" s="273"/>
      <c r="AC222" s="273"/>
    </row>
    <row r="223" spans="1:68" ht="14.25" customHeight="1" x14ac:dyDescent="0.25">
      <c r="A223" s="292" t="s">
        <v>141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74"/>
      <c r="AB223" s="274"/>
      <c r="AC223" s="274"/>
    </row>
    <row r="224" spans="1:68" ht="27" customHeight="1" x14ac:dyDescent="0.25">
      <c r="A224" s="54" t="s">
        <v>310</v>
      </c>
      <c r="B224" s="54" t="s">
        <v>311</v>
      </c>
      <c r="C224" s="31">
        <v>4301135694</v>
      </c>
      <c r="D224" s="285">
        <v>4620207490501</v>
      </c>
      <c r="E224" s="286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5"/>
      <c r="R224" s="295"/>
      <c r="S224" s="295"/>
      <c r="T224" s="296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01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2"/>
      <c r="P225" s="289" t="s">
        <v>87</v>
      </c>
      <c r="Q225" s="290"/>
      <c r="R225" s="290"/>
      <c r="S225" s="290"/>
      <c r="T225" s="290"/>
      <c r="U225" s="290"/>
      <c r="V225" s="291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x14ac:dyDescent="0.2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302"/>
      <c r="P226" s="289" t="s">
        <v>87</v>
      </c>
      <c r="Q226" s="290"/>
      <c r="R226" s="290"/>
      <c r="S226" s="290"/>
      <c r="T226" s="290"/>
      <c r="U226" s="290"/>
      <c r="V226" s="291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customHeight="1" x14ac:dyDescent="0.2">
      <c r="A227" s="355" t="s">
        <v>313</v>
      </c>
      <c r="B227" s="356"/>
      <c r="C227" s="356"/>
      <c r="D227" s="356"/>
      <c r="E227" s="356"/>
      <c r="F227" s="356"/>
      <c r="G227" s="356"/>
      <c r="H227" s="356"/>
      <c r="I227" s="356"/>
      <c r="J227" s="356"/>
      <c r="K227" s="356"/>
      <c r="L227" s="356"/>
      <c r="M227" s="356"/>
      <c r="N227" s="356"/>
      <c r="O227" s="356"/>
      <c r="P227" s="356"/>
      <c r="Q227" s="356"/>
      <c r="R227" s="356"/>
      <c r="S227" s="356"/>
      <c r="T227" s="356"/>
      <c r="U227" s="356"/>
      <c r="V227" s="356"/>
      <c r="W227" s="356"/>
      <c r="X227" s="356"/>
      <c r="Y227" s="356"/>
      <c r="Z227" s="356"/>
      <c r="AA227" s="48"/>
      <c r="AB227" s="48"/>
      <c r="AC227" s="48"/>
    </row>
    <row r="228" spans="1:68" ht="16.5" customHeight="1" x14ac:dyDescent="0.25">
      <c r="A228" s="293" t="s">
        <v>314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73"/>
      <c r="AB228" s="273"/>
      <c r="AC228" s="273"/>
    </row>
    <row r="229" spans="1:68" ht="14.25" customHeight="1" x14ac:dyDescent="0.25">
      <c r="A229" s="292" t="s">
        <v>62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74"/>
      <c r="AB229" s="274"/>
      <c r="AC229" s="274"/>
    </row>
    <row r="230" spans="1:68" ht="27" customHeight="1" x14ac:dyDescent="0.25">
      <c r="A230" s="54" t="s">
        <v>315</v>
      </c>
      <c r="B230" s="54" t="s">
        <v>316</v>
      </c>
      <c r="C230" s="31">
        <v>4301071036</v>
      </c>
      <c r="D230" s="285">
        <v>4607111036162</v>
      </c>
      <c r="E230" s="286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5"/>
      <c r="R230" s="295"/>
      <c r="S230" s="295"/>
      <c r="T230" s="296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301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302"/>
      <c r="P231" s="289" t="s">
        <v>87</v>
      </c>
      <c r="Q231" s="290"/>
      <c r="R231" s="290"/>
      <c r="S231" s="290"/>
      <c r="T231" s="290"/>
      <c r="U231" s="290"/>
      <c r="V231" s="291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x14ac:dyDescent="0.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302"/>
      <c r="P232" s="289" t="s">
        <v>87</v>
      </c>
      <c r="Q232" s="290"/>
      <c r="R232" s="290"/>
      <c r="S232" s="290"/>
      <c r="T232" s="290"/>
      <c r="U232" s="290"/>
      <c r="V232" s="291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customHeight="1" x14ac:dyDescent="0.2">
      <c r="A233" s="355" t="s">
        <v>318</v>
      </c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6"/>
      <c r="P233" s="356"/>
      <c r="Q233" s="356"/>
      <c r="R233" s="356"/>
      <c r="S233" s="356"/>
      <c r="T233" s="356"/>
      <c r="U233" s="356"/>
      <c r="V233" s="356"/>
      <c r="W233" s="356"/>
      <c r="X233" s="356"/>
      <c r="Y233" s="356"/>
      <c r="Z233" s="356"/>
      <c r="AA233" s="48"/>
      <c r="AB233" s="48"/>
      <c r="AC233" s="48"/>
    </row>
    <row r="234" spans="1:68" ht="16.5" customHeight="1" x14ac:dyDescent="0.25">
      <c r="A234" s="293" t="s">
        <v>267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73"/>
      <c r="AB234" s="273"/>
      <c r="AC234" s="273"/>
    </row>
    <row r="235" spans="1:68" ht="14.25" customHeight="1" x14ac:dyDescent="0.25">
      <c r="A235" s="292" t="s">
        <v>62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4"/>
      <c r="AB235" s="274"/>
      <c r="AC235" s="274"/>
    </row>
    <row r="236" spans="1:68" ht="27" customHeight="1" x14ac:dyDescent="0.25">
      <c r="A236" s="54" t="s">
        <v>319</v>
      </c>
      <c r="B236" s="54" t="s">
        <v>320</v>
      </c>
      <c r="C236" s="31">
        <v>4301071029</v>
      </c>
      <c r="D236" s="285">
        <v>4607111035899</v>
      </c>
      <c r="E236" s="286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32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5"/>
      <c r="R236" s="295"/>
      <c r="S236" s="295"/>
      <c r="T236" s="296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01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302"/>
      <c r="P237" s="289" t="s">
        <v>87</v>
      </c>
      <c r="Q237" s="290"/>
      <c r="R237" s="290"/>
      <c r="S237" s="290"/>
      <c r="T237" s="290"/>
      <c r="U237" s="290"/>
      <c r="V237" s="291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302"/>
      <c r="P238" s="289" t="s">
        <v>87</v>
      </c>
      <c r="Q238" s="290"/>
      <c r="R238" s="290"/>
      <c r="S238" s="290"/>
      <c r="T238" s="290"/>
      <c r="U238" s="290"/>
      <c r="V238" s="291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customHeight="1" x14ac:dyDescent="0.2">
      <c r="A239" s="355" t="s">
        <v>321</v>
      </c>
      <c r="B239" s="356"/>
      <c r="C239" s="356"/>
      <c r="D239" s="356"/>
      <c r="E239" s="356"/>
      <c r="F239" s="356"/>
      <c r="G239" s="356"/>
      <c r="H239" s="356"/>
      <c r="I239" s="356"/>
      <c r="J239" s="356"/>
      <c r="K239" s="356"/>
      <c r="L239" s="356"/>
      <c r="M239" s="356"/>
      <c r="N239" s="356"/>
      <c r="O239" s="356"/>
      <c r="P239" s="356"/>
      <c r="Q239" s="356"/>
      <c r="R239" s="356"/>
      <c r="S239" s="356"/>
      <c r="T239" s="356"/>
      <c r="U239" s="356"/>
      <c r="V239" s="356"/>
      <c r="W239" s="356"/>
      <c r="X239" s="356"/>
      <c r="Y239" s="356"/>
      <c r="Z239" s="356"/>
      <c r="AA239" s="48"/>
      <c r="AB239" s="48"/>
      <c r="AC239" s="48"/>
    </row>
    <row r="240" spans="1:68" ht="16.5" customHeight="1" x14ac:dyDescent="0.25">
      <c r="A240" s="293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3"/>
      <c r="AB240" s="273"/>
      <c r="AC240" s="273"/>
    </row>
    <row r="241" spans="1:68" ht="14.25" customHeight="1" x14ac:dyDescent="0.25">
      <c r="A241" s="292" t="s">
        <v>323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4"/>
      <c r="AB241" s="274"/>
      <c r="AC241" s="274"/>
    </row>
    <row r="242" spans="1:68" ht="27" customHeight="1" x14ac:dyDescent="0.25">
      <c r="A242" s="54" t="s">
        <v>324</v>
      </c>
      <c r="B242" s="54" t="s">
        <v>325</v>
      </c>
      <c r="C242" s="31">
        <v>4301133004</v>
      </c>
      <c r="D242" s="285">
        <v>4607111039774</v>
      </c>
      <c r="E242" s="286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5"/>
      <c r="R242" s="295"/>
      <c r="S242" s="295"/>
      <c r="T242" s="296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01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302"/>
      <c r="P243" s="289" t="s">
        <v>87</v>
      </c>
      <c r="Q243" s="290"/>
      <c r="R243" s="290"/>
      <c r="S243" s="290"/>
      <c r="T243" s="290"/>
      <c r="U243" s="290"/>
      <c r="V243" s="291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302"/>
      <c r="P244" s="289" t="s">
        <v>87</v>
      </c>
      <c r="Q244" s="290"/>
      <c r="R244" s="290"/>
      <c r="S244" s="290"/>
      <c r="T244" s="290"/>
      <c r="U244" s="290"/>
      <c r="V244" s="291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customHeight="1" x14ac:dyDescent="0.25">
      <c r="A245" s="292" t="s">
        <v>141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4"/>
      <c r="AB245" s="274"/>
      <c r="AC245" s="274"/>
    </row>
    <row r="246" spans="1:68" ht="37.5" customHeight="1" x14ac:dyDescent="0.25">
      <c r="A246" s="54" t="s">
        <v>327</v>
      </c>
      <c r="B246" s="54" t="s">
        <v>328</v>
      </c>
      <c r="C246" s="31">
        <v>4301135400</v>
      </c>
      <c r="D246" s="285">
        <v>4607111039361</v>
      </c>
      <c r="E246" s="286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7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5"/>
      <c r="R246" s="295"/>
      <c r="S246" s="295"/>
      <c r="T246" s="296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01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302"/>
      <c r="P247" s="289" t="s">
        <v>87</v>
      </c>
      <c r="Q247" s="290"/>
      <c r="R247" s="290"/>
      <c r="S247" s="290"/>
      <c r="T247" s="290"/>
      <c r="U247" s="290"/>
      <c r="V247" s="291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302"/>
      <c r="P248" s="289" t="s">
        <v>87</v>
      </c>
      <c r="Q248" s="290"/>
      <c r="R248" s="290"/>
      <c r="S248" s="290"/>
      <c r="T248" s="290"/>
      <c r="U248" s="290"/>
      <c r="V248" s="291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customHeight="1" x14ac:dyDescent="0.2">
      <c r="A249" s="355" t="s">
        <v>329</v>
      </c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  <c r="AA249" s="48"/>
      <c r="AB249" s="48"/>
      <c r="AC249" s="48"/>
    </row>
    <row r="250" spans="1:68" ht="16.5" customHeight="1" x14ac:dyDescent="0.25">
      <c r="A250" s="293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3"/>
      <c r="AB250" s="273"/>
      <c r="AC250" s="273"/>
    </row>
    <row r="251" spans="1:68" ht="14.25" customHeight="1" x14ac:dyDescent="0.25">
      <c r="A251" s="292" t="s">
        <v>135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4"/>
      <c r="AB251" s="274"/>
      <c r="AC251" s="274"/>
    </row>
    <row r="252" spans="1:68" ht="27" customHeight="1" x14ac:dyDescent="0.25">
      <c r="A252" s="54" t="s">
        <v>330</v>
      </c>
      <c r="B252" s="54" t="s">
        <v>331</v>
      </c>
      <c r="C252" s="31">
        <v>4301136098</v>
      </c>
      <c r="D252" s="285">
        <v>4640242181943</v>
      </c>
      <c r="E252" s="286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31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5"/>
      <c r="R252" s="295"/>
      <c r="S252" s="295"/>
      <c r="T252" s="296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01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302"/>
      <c r="P253" s="289" t="s">
        <v>87</v>
      </c>
      <c r="Q253" s="290"/>
      <c r="R253" s="290"/>
      <c r="S253" s="290"/>
      <c r="T253" s="290"/>
      <c r="U253" s="290"/>
      <c r="V253" s="291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302"/>
      <c r="P254" s="289" t="s">
        <v>87</v>
      </c>
      <c r="Q254" s="290"/>
      <c r="R254" s="290"/>
      <c r="S254" s="290"/>
      <c r="T254" s="290"/>
      <c r="U254" s="290"/>
      <c r="V254" s="291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customHeight="1" x14ac:dyDescent="0.2">
      <c r="A255" s="355" t="s">
        <v>333</v>
      </c>
      <c r="B255" s="356"/>
      <c r="C255" s="356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48"/>
      <c r="AB255" s="48"/>
      <c r="AC255" s="48"/>
    </row>
    <row r="256" spans="1:68" ht="16.5" customHeight="1" x14ac:dyDescent="0.25">
      <c r="A256" s="293" t="s">
        <v>333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3"/>
      <c r="AB256" s="273"/>
      <c r="AC256" s="273"/>
    </row>
    <row r="257" spans="1:68" ht="14.25" customHeight="1" x14ac:dyDescent="0.25">
      <c r="A257" s="292" t="s">
        <v>62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4"/>
      <c r="AB257" s="274"/>
      <c r="AC257" s="274"/>
    </row>
    <row r="258" spans="1:68" ht="27" customHeight="1" x14ac:dyDescent="0.25">
      <c r="A258" s="54" t="s">
        <v>334</v>
      </c>
      <c r="B258" s="54" t="s">
        <v>335</v>
      </c>
      <c r="C258" s="31">
        <v>4301071014</v>
      </c>
      <c r="D258" s="285">
        <v>4640242181264</v>
      </c>
      <c r="E258" s="286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5"/>
      <c r="R258" s="295"/>
      <c r="S258" s="295"/>
      <c r="T258" s="296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337</v>
      </c>
      <c r="B259" s="54" t="s">
        <v>338</v>
      </c>
      <c r="C259" s="31">
        <v>4301071021</v>
      </c>
      <c r="D259" s="285">
        <v>4640242181325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3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5"/>
      <c r="R259" s="295"/>
      <c r="S259" s="295"/>
      <c r="T259" s="296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01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302"/>
      <c r="P260" s="289" t="s">
        <v>87</v>
      </c>
      <c r="Q260" s="290"/>
      <c r="R260" s="290"/>
      <c r="S260" s="290"/>
      <c r="T260" s="290"/>
      <c r="U260" s="290"/>
      <c r="V260" s="291"/>
      <c r="W260" s="37" t="s">
        <v>68</v>
      </c>
      <c r="X260" s="280">
        <f>IFERROR(SUM(X258:X259),"0")</f>
        <v>0</v>
      </c>
      <c r="Y260" s="280">
        <f>IFERROR(SUM(Y258:Y259),"0")</f>
        <v>0</v>
      </c>
      <c r="Z260" s="280">
        <f>IFERROR(IF(Z258="",0,Z258),"0")+IFERROR(IF(Z259="",0,Z259),"0")</f>
        <v>0</v>
      </c>
      <c r="AA260" s="281"/>
      <c r="AB260" s="281"/>
      <c r="AC260" s="281"/>
    </row>
    <row r="261" spans="1:68" x14ac:dyDescent="0.2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302"/>
      <c r="P261" s="289" t="s">
        <v>87</v>
      </c>
      <c r="Q261" s="290"/>
      <c r="R261" s="290"/>
      <c r="S261" s="290"/>
      <c r="T261" s="290"/>
      <c r="U261" s="290"/>
      <c r="V261" s="291"/>
      <c r="W261" s="37" t="s">
        <v>88</v>
      </c>
      <c r="X261" s="280">
        <f>IFERROR(SUMPRODUCT(X258:X259*H258:H259),"0")</f>
        <v>0</v>
      </c>
      <c r="Y261" s="280">
        <f>IFERROR(SUMPRODUCT(Y258:Y259*H258:H259),"0")</f>
        <v>0</v>
      </c>
      <c r="Z261" s="37"/>
      <c r="AA261" s="281"/>
      <c r="AB261" s="281"/>
      <c r="AC261" s="281"/>
    </row>
    <row r="262" spans="1:68" ht="14.25" customHeight="1" x14ac:dyDescent="0.25">
      <c r="A262" s="292" t="s">
        <v>97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74"/>
      <c r="AB262" s="274"/>
      <c r="AC262" s="274"/>
    </row>
    <row r="263" spans="1:68" ht="27" customHeight="1" x14ac:dyDescent="0.25">
      <c r="A263" s="54" t="s">
        <v>339</v>
      </c>
      <c r="B263" s="54" t="s">
        <v>340</v>
      </c>
      <c r="C263" s="31">
        <v>4301132080</v>
      </c>
      <c r="D263" s="285">
        <v>4640242180397</v>
      </c>
      <c r="E263" s="286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5"/>
      <c r="R263" s="295"/>
      <c r="S263" s="295"/>
      <c r="T263" s="296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301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302"/>
      <c r="P264" s="289" t="s">
        <v>87</v>
      </c>
      <c r="Q264" s="290"/>
      <c r="R264" s="290"/>
      <c r="S264" s="290"/>
      <c r="T264" s="290"/>
      <c r="U264" s="290"/>
      <c r="V264" s="291"/>
      <c r="W264" s="37" t="s">
        <v>68</v>
      </c>
      <c r="X264" s="280">
        <f>IFERROR(SUM(X263:X263),"0")</f>
        <v>0</v>
      </c>
      <c r="Y264" s="280">
        <f>IFERROR(SUM(Y263:Y263),"0")</f>
        <v>0</v>
      </c>
      <c r="Z264" s="280">
        <f>IFERROR(IF(Z263="",0,Z263),"0")</f>
        <v>0</v>
      </c>
      <c r="AA264" s="281"/>
      <c r="AB264" s="281"/>
      <c r="AC264" s="281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302"/>
      <c r="P265" s="289" t="s">
        <v>87</v>
      </c>
      <c r="Q265" s="290"/>
      <c r="R265" s="290"/>
      <c r="S265" s="290"/>
      <c r="T265" s="290"/>
      <c r="U265" s="290"/>
      <c r="V265" s="291"/>
      <c r="W265" s="37" t="s">
        <v>88</v>
      </c>
      <c r="X265" s="280">
        <f>IFERROR(SUMPRODUCT(X263:X263*H263:H263),"0")</f>
        <v>0</v>
      </c>
      <c r="Y265" s="280">
        <f>IFERROR(SUMPRODUCT(Y263:Y263*H263:H263),"0")</f>
        <v>0</v>
      </c>
      <c r="Z265" s="37"/>
      <c r="AA265" s="281"/>
      <c r="AB265" s="281"/>
      <c r="AC265" s="281"/>
    </row>
    <row r="266" spans="1:68" ht="14.25" customHeight="1" x14ac:dyDescent="0.25">
      <c r="A266" s="292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4"/>
      <c r="AB266" s="274"/>
      <c r="AC266" s="274"/>
    </row>
    <row r="267" spans="1:68" ht="27" customHeight="1" x14ac:dyDescent="0.25">
      <c r="A267" s="54" t="s">
        <v>342</v>
      </c>
      <c r="B267" s="54" t="s">
        <v>343</v>
      </c>
      <c r="C267" s="31">
        <v>4301136051</v>
      </c>
      <c r="D267" s="285">
        <v>4640242180304</v>
      </c>
      <c r="E267" s="286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9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5"/>
      <c r="R267" s="295"/>
      <c r="S267" s="295"/>
      <c r="T267" s="296"/>
      <c r="U267" s="34"/>
      <c r="V267" s="34"/>
      <c r="W267" s="35" t="s">
        <v>68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t="27" customHeight="1" x14ac:dyDescent="0.25">
      <c r="A268" s="54" t="s">
        <v>345</v>
      </c>
      <c r="B268" s="54" t="s">
        <v>346</v>
      </c>
      <c r="C268" s="31">
        <v>4301136053</v>
      </c>
      <c r="D268" s="285">
        <v>4640242180236</v>
      </c>
      <c r="E268" s="286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5"/>
      <c r="R268" s="295"/>
      <c r="S268" s="295"/>
      <c r="T268" s="296"/>
      <c r="U268" s="34"/>
      <c r="V268" s="34"/>
      <c r="W268" s="35" t="s">
        <v>68</v>
      </c>
      <c r="X268" s="278">
        <v>0</v>
      </c>
      <c r="Y268" s="279">
        <f>IFERROR(IF(X268="","",X268),"")</f>
        <v>0</v>
      </c>
      <c r="Z268" s="36">
        <f>IFERROR(IF(X268="","",X268*0.0155),"")</f>
        <v>0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t="27" customHeight="1" x14ac:dyDescent="0.25">
      <c r="A269" s="54" t="s">
        <v>347</v>
      </c>
      <c r="B269" s="54" t="s">
        <v>348</v>
      </c>
      <c r="C269" s="31">
        <v>4301136052</v>
      </c>
      <c r="D269" s="285">
        <v>4640242180410</v>
      </c>
      <c r="E269" s="286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4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5"/>
      <c r="R269" s="295"/>
      <c r="S269" s="295"/>
      <c r="T269" s="296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01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302"/>
      <c r="P270" s="289" t="s">
        <v>87</v>
      </c>
      <c r="Q270" s="290"/>
      <c r="R270" s="290"/>
      <c r="S270" s="290"/>
      <c r="T270" s="290"/>
      <c r="U270" s="290"/>
      <c r="V270" s="291"/>
      <c r="W270" s="37" t="s">
        <v>68</v>
      </c>
      <c r="X270" s="280">
        <f>IFERROR(SUM(X267:X269),"0")</f>
        <v>0</v>
      </c>
      <c r="Y270" s="280">
        <f>IFERROR(SUM(Y267:Y269),"0")</f>
        <v>0</v>
      </c>
      <c r="Z270" s="280">
        <f>IFERROR(IF(Z267="",0,Z267),"0")+IFERROR(IF(Z268="",0,Z268),"0")+IFERROR(IF(Z269="",0,Z269),"0")</f>
        <v>0</v>
      </c>
      <c r="AA270" s="281"/>
      <c r="AB270" s="281"/>
      <c r="AC270" s="281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302"/>
      <c r="P271" s="289" t="s">
        <v>87</v>
      </c>
      <c r="Q271" s="290"/>
      <c r="R271" s="290"/>
      <c r="S271" s="290"/>
      <c r="T271" s="290"/>
      <c r="U271" s="290"/>
      <c r="V271" s="291"/>
      <c r="W271" s="37" t="s">
        <v>88</v>
      </c>
      <c r="X271" s="280">
        <f>IFERROR(SUMPRODUCT(X267:X269*H267:H269),"0")</f>
        <v>0</v>
      </c>
      <c r="Y271" s="280">
        <f>IFERROR(SUMPRODUCT(Y267:Y269*H267:H269),"0")</f>
        <v>0</v>
      </c>
      <c r="Z271" s="37"/>
      <c r="AA271" s="281"/>
      <c r="AB271" s="281"/>
      <c r="AC271" s="281"/>
    </row>
    <row r="272" spans="1:68" ht="14.25" customHeight="1" x14ac:dyDescent="0.25">
      <c r="A272" s="292" t="s">
        <v>141</v>
      </c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74"/>
      <c r="AB272" s="274"/>
      <c r="AC272" s="274"/>
    </row>
    <row r="273" spans="1:68" ht="37.5" customHeight="1" x14ac:dyDescent="0.25">
      <c r="A273" s="54" t="s">
        <v>349</v>
      </c>
      <c r="B273" s="54" t="s">
        <v>350</v>
      </c>
      <c r="C273" s="31">
        <v>4301135504</v>
      </c>
      <c r="D273" s="285">
        <v>4640242181554</v>
      </c>
      <c r="E273" s="286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5"/>
      <c r="R273" s="295"/>
      <c r="S273" s="295"/>
      <c r="T273" s="296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5">
        <v>4640242182087</v>
      </c>
      <c r="E274" s="286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5"/>
      <c r="R274" s="295"/>
      <c r="S274" s="295"/>
      <c r="T274" s="296"/>
      <c r="U274" s="34"/>
      <c r="V274" s="34"/>
      <c r="W274" s="35" t="s">
        <v>68</v>
      </c>
      <c r="X274" s="278">
        <v>84</v>
      </c>
      <c r="Y274" s="279">
        <f t="shared" si="18"/>
        <v>84</v>
      </c>
      <c r="Z274" s="36">
        <f>IFERROR(IF(X274="","",X274*0.0155),"")</f>
        <v>1.302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439.32000000000005</v>
      </c>
      <c r="BN274" s="67">
        <f t="shared" si="20"/>
        <v>439.32000000000005</v>
      </c>
      <c r="BO274" s="67">
        <f t="shared" si="21"/>
        <v>1</v>
      </c>
      <c r="BP274" s="67">
        <f t="shared" si="22"/>
        <v>1</v>
      </c>
    </row>
    <row r="275" spans="1:68" ht="27" customHeight="1" x14ac:dyDescent="0.25">
      <c r="A275" s="54" t="s">
        <v>355</v>
      </c>
      <c r="B275" s="54" t="s">
        <v>356</v>
      </c>
      <c r="C275" s="31">
        <v>4301135374</v>
      </c>
      <c r="D275" s="285">
        <v>4640242181424</v>
      </c>
      <c r="E275" s="286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5"/>
      <c r="R275" s="295"/>
      <c r="S275" s="295"/>
      <c r="T275" s="296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>IFERROR(IF(X275="","",X275*0.0155),"")</f>
        <v>0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357</v>
      </c>
      <c r="B276" s="54" t="s">
        <v>358</v>
      </c>
      <c r="C276" s="31">
        <v>4301135405</v>
      </c>
      <c r="D276" s="285">
        <v>4640242181523</v>
      </c>
      <c r="E276" s="286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5"/>
      <c r="R276" s="295"/>
      <c r="S276" s="295"/>
      <c r="T276" s="296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ref="Z276:Z281" si="23">IFERROR(IF(X276="","",X276*0.00936),"")</f>
        <v>0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359</v>
      </c>
      <c r="B277" s="54" t="s">
        <v>360</v>
      </c>
      <c r="C277" s="31">
        <v>4301135375</v>
      </c>
      <c r="D277" s="285">
        <v>4640242181486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38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5"/>
      <c r="R277" s="295"/>
      <c r="S277" s="295"/>
      <c r="T277" s="296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37.5" customHeight="1" x14ac:dyDescent="0.25">
      <c r="A278" s="54" t="s">
        <v>361</v>
      </c>
      <c r="B278" s="54" t="s">
        <v>362</v>
      </c>
      <c r="C278" s="31">
        <v>4301135402</v>
      </c>
      <c r="D278" s="285">
        <v>4640242181493</v>
      </c>
      <c r="E278" s="286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5"/>
      <c r="R278" s="295"/>
      <c r="S278" s="295"/>
      <c r="T278" s="296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customHeight="1" x14ac:dyDescent="0.25">
      <c r="A279" s="54" t="s">
        <v>363</v>
      </c>
      <c r="B279" s="54" t="s">
        <v>364</v>
      </c>
      <c r="C279" s="31">
        <v>4301135403</v>
      </c>
      <c r="D279" s="285">
        <v>4640242181509</v>
      </c>
      <c r="E279" s="286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41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5"/>
      <c r="R279" s="295"/>
      <c r="S279" s="295"/>
      <c r="T279" s="296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365</v>
      </c>
      <c r="B280" s="54" t="s">
        <v>366</v>
      </c>
      <c r="C280" s="31">
        <v>4301135304</v>
      </c>
      <c r="D280" s="285">
        <v>4640242181240</v>
      </c>
      <c r="E280" s="286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36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5"/>
      <c r="R280" s="295"/>
      <c r="S280" s="295"/>
      <c r="T280" s="296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customHeight="1" x14ac:dyDescent="0.25">
      <c r="A281" s="54" t="s">
        <v>367</v>
      </c>
      <c r="B281" s="54" t="s">
        <v>368</v>
      </c>
      <c r="C281" s="31">
        <v>4301135610</v>
      </c>
      <c r="D281" s="285">
        <v>4640242181318</v>
      </c>
      <c r="E281" s="286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5"/>
      <c r="R281" s="295"/>
      <c r="S281" s="295"/>
      <c r="T281" s="296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customHeight="1" x14ac:dyDescent="0.25">
      <c r="A282" s="54" t="s">
        <v>369</v>
      </c>
      <c r="B282" s="54" t="s">
        <v>370</v>
      </c>
      <c r="C282" s="31">
        <v>4301135306</v>
      </c>
      <c r="D282" s="285">
        <v>4640242181387</v>
      </c>
      <c r="E282" s="286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43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5"/>
      <c r="R282" s="295"/>
      <c r="S282" s="295"/>
      <c r="T282" s="296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301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02"/>
      <c r="P283" s="289" t="s">
        <v>87</v>
      </c>
      <c r="Q283" s="290"/>
      <c r="R283" s="290"/>
      <c r="S283" s="290"/>
      <c r="T283" s="290"/>
      <c r="U283" s="290"/>
      <c r="V283" s="291"/>
      <c r="W283" s="37" t="s">
        <v>68</v>
      </c>
      <c r="X283" s="280">
        <f>IFERROR(SUM(X273:X282),"0")</f>
        <v>84</v>
      </c>
      <c r="Y283" s="280">
        <f>IFERROR(SUM(Y273:Y282),"0")</f>
        <v>84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1.302</v>
      </c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02"/>
      <c r="P284" s="289" t="s">
        <v>87</v>
      </c>
      <c r="Q284" s="290"/>
      <c r="R284" s="290"/>
      <c r="S284" s="290"/>
      <c r="T284" s="290"/>
      <c r="U284" s="290"/>
      <c r="V284" s="291"/>
      <c r="W284" s="37" t="s">
        <v>88</v>
      </c>
      <c r="X284" s="280">
        <f>IFERROR(SUMPRODUCT(X273:X282*H273:H282),"0")</f>
        <v>420</v>
      </c>
      <c r="Y284" s="280">
        <f>IFERROR(SUMPRODUCT(Y273:Y282*H273:H282),"0")</f>
        <v>420</v>
      </c>
      <c r="Z284" s="37"/>
      <c r="AA284" s="281"/>
      <c r="AB284" s="281"/>
      <c r="AC284" s="281"/>
    </row>
    <row r="285" spans="1:68" ht="15" customHeight="1" x14ac:dyDescent="0.2">
      <c r="A285" s="282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4"/>
      <c r="P285" s="384" t="s">
        <v>371</v>
      </c>
      <c r="Q285" s="362"/>
      <c r="R285" s="362"/>
      <c r="S285" s="362"/>
      <c r="T285" s="362"/>
      <c r="U285" s="362"/>
      <c r="V285" s="363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3586.8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3586.8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4"/>
      <c r="P286" s="384" t="s">
        <v>372</v>
      </c>
      <c r="Q286" s="362"/>
      <c r="R286" s="362"/>
      <c r="S286" s="362"/>
      <c r="T286" s="362"/>
      <c r="U286" s="362"/>
      <c r="V286" s="363"/>
      <c r="W286" s="37" t="s">
        <v>88</v>
      </c>
      <c r="X286" s="280">
        <f>IFERROR(SUM(BM22:BM282),"0")</f>
        <v>4160.2679999999991</v>
      </c>
      <c r="Y286" s="280">
        <f>IFERROR(SUM(BN22:BN282),"0")</f>
        <v>4160.2679999999991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4"/>
      <c r="P287" s="384" t="s">
        <v>373</v>
      </c>
      <c r="Q287" s="362"/>
      <c r="R287" s="362"/>
      <c r="S287" s="362"/>
      <c r="T287" s="362"/>
      <c r="U287" s="362"/>
      <c r="V287" s="363"/>
      <c r="W287" s="37" t="s">
        <v>374</v>
      </c>
      <c r="X287" s="38">
        <f>ROUNDUP(SUM(BO22:BO282),0)</f>
        <v>14</v>
      </c>
      <c r="Y287" s="38">
        <f>ROUNDUP(SUM(BP22:BP282),0)</f>
        <v>14</v>
      </c>
      <c r="Z287" s="37"/>
      <c r="AA287" s="281"/>
      <c r="AB287" s="281"/>
      <c r="AC287" s="281"/>
    </row>
    <row r="288" spans="1:68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4"/>
      <c r="P288" s="384" t="s">
        <v>375</v>
      </c>
      <c r="Q288" s="362"/>
      <c r="R288" s="362"/>
      <c r="S288" s="362"/>
      <c r="T288" s="362"/>
      <c r="U288" s="362"/>
      <c r="V288" s="363"/>
      <c r="W288" s="37" t="s">
        <v>88</v>
      </c>
      <c r="X288" s="280">
        <f>GrossWeightTotal+PalletQtyTotal*25</f>
        <v>4510.2679999999991</v>
      </c>
      <c r="Y288" s="280">
        <f>GrossWeightTotalR+PalletQtyTotalR*25</f>
        <v>4510.2679999999991</v>
      </c>
      <c r="Z288" s="37"/>
      <c r="AA288" s="281"/>
      <c r="AB288" s="281"/>
      <c r="AC288" s="281"/>
    </row>
    <row r="289" spans="1:33" x14ac:dyDescent="0.2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4"/>
      <c r="P289" s="384" t="s">
        <v>376</v>
      </c>
      <c r="Q289" s="362"/>
      <c r="R289" s="362"/>
      <c r="S289" s="362"/>
      <c r="T289" s="362"/>
      <c r="U289" s="362"/>
      <c r="V289" s="363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1022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1022</v>
      </c>
      <c r="Z289" s="37"/>
      <c r="AA289" s="281"/>
      <c r="AB289" s="281"/>
      <c r="AC289" s="281"/>
    </row>
    <row r="290" spans="1:33" ht="14.25" customHeight="1" x14ac:dyDescent="0.2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4"/>
      <c r="P290" s="384" t="s">
        <v>377</v>
      </c>
      <c r="Q290" s="362"/>
      <c r="R290" s="362"/>
      <c r="S290" s="362"/>
      <c r="T290" s="362"/>
      <c r="U290" s="362"/>
      <c r="V290" s="363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17.6736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303" t="s">
        <v>61</v>
      </c>
      <c r="C292" s="306"/>
      <c r="D292" s="303" t="s">
        <v>95</v>
      </c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6"/>
      <c r="V292" s="303" t="s">
        <v>259</v>
      </c>
      <c r="W292" s="306"/>
      <c r="X292" s="275" t="s">
        <v>270</v>
      </c>
      <c r="Y292" s="303" t="s">
        <v>284</v>
      </c>
      <c r="Z292" s="305"/>
      <c r="AA292" s="305"/>
      <c r="AB292" s="306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353" t="s">
        <v>380</v>
      </c>
      <c r="B293" s="303" t="s">
        <v>61</v>
      </c>
      <c r="C293" s="303" t="s">
        <v>89</v>
      </c>
      <c r="D293" s="303" t="s">
        <v>96</v>
      </c>
      <c r="E293" s="303" t="s">
        <v>107</v>
      </c>
      <c r="F293" s="303" t="s">
        <v>117</v>
      </c>
      <c r="G293" s="303" t="s">
        <v>128</v>
      </c>
      <c r="H293" s="303" t="s">
        <v>149</v>
      </c>
      <c r="I293" s="303" t="s">
        <v>156</v>
      </c>
      <c r="J293" s="303" t="s">
        <v>160</v>
      </c>
      <c r="K293" s="303" t="s">
        <v>168</v>
      </c>
      <c r="L293" s="303" t="s">
        <v>183</v>
      </c>
      <c r="M293" s="303" t="s">
        <v>189</v>
      </c>
      <c r="N293" s="276"/>
      <c r="O293" s="303" t="s">
        <v>214</v>
      </c>
      <c r="P293" s="303" t="s">
        <v>230</v>
      </c>
      <c r="Q293" s="303" t="s">
        <v>236</v>
      </c>
      <c r="R293" s="303" t="s">
        <v>243</v>
      </c>
      <c r="S293" s="303" t="s">
        <v>248</v>
      </c>
      <c r="T293" s="303" t="s">
        <v>252</v>
      </c>
      <c r="U293" s="303" t="s">
        <v>255</v>
      </c>
      <c r="V293" s="303" t="s">
        <v>260</v>
      </c>
      <c r="W293" s="303" t="s">
        <v>267</v>
      </c>
      <c r="X293" s="303" t="s">
        <v>271</v>
      </c>
      <c r="Y293" s="303" t="s">
        <v>285</v>
      </c>
      <c r="Z293" s="303" t="s">
        <v>298</v>
      </c>
      <c r="AA293" s="303" t="s">
        <v>305</v>
      </c>
      <c r="AB293" s="303" t="s">
        <v>309</v>
      </c>
      <c r="AC293" s="303" t="s">
        <v>314</v>
      </c>
      <c r="AD293" s="303" t="s">
        <v>267</v>
      </c>
      <c r="AE293" s="303" t="s">
        <v>322</v>
      </c>
      <c r="AF293" s="303" t="s">
        <v>329</v>
      </c>
      <c r="AG293" s="303" t="s">
        <v>333</v>
      </c>
    </row>
    <row r="294" spans="1:33" ht="13.5" customHeight="1" thickBot="1" x14ac:dyDescent="0.25">
      <c r="A294" s="354"/>
      <c r="B294" s="304"/>
      <c r="C294" s="304"/>
      <c r="D294" s="304"/>
      <c r="E294" s="304"/>
      <c r="F294" s="304"/>
      <c r="G294" s="304"/>
      <c r="H294" s="304"/>
      <c r="I294" s="304"/>
      <c r="J294" s="304"/>
      <c r="K294" s="304"/>
      <c r="L294" s="304"/>
      <c r="M294" s="304"/>
      <c r="N294" s="276"/>
      <c r="O294" s="304"/>
      <c r="P294" s="304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0</v>
      </c>
      <c r="C295" s="46">
        <f>IFERROR(X34*H34,"0")+IFERROR(X35*H35,"0")</f>
        <v>0</v>
      </c>
      <c r="D295" s="46">
        <f>IFERROR(X41*H41,"0")+IFERROR(X42*H42,"0")</f>
        <v>0</v>
      </c>
      <c r="E295" s="46">
        <f>IFERROR(X47*H47,"0")+IFERROR(X48*H48,"0")+IFERROR(X49*H49,"0")</f>
        <v>0</v>
      </c>
      <c r="F295" s="46">
        <f>IFERROR(X54*H54,"0")+IFERROR(X55*H55,"0")+IFERROR(X56*H56,"0")+IFERROR(X57*H57,"0")</f>
        <v>0</v>
      </c>
      <c r="G295" s="46">
        <f>IFERROR(X62*H62,"0")+IFERROR(X66*H66,"0")+IFERROR(X70*H70,"0")+IFERROR(X71*H71,"0")+IFERROR(X75*H75,"0")+IFERROR(X76*H76,"0")+IFERROR(X77*H77,"0")</f>
        <v>0</v>
      </c>
      <c r="H295" s="46">
        <f>IFERROR(X82*H82,"0")+IFERROR(X83*H83,"0")</f>
        <v>0</v>
      </c>
      <c r="I295" s="46">
        <f>IFERROR(X88*H88,"0")</f>
        <v>0</v>
      </c>
      <c r="J295" s="46">
        <f>IFERROR(X93*H93,"0")+IFERROR(X94*H94,"0")</f>
        <v>0</v>
      </c>
      <c r="K295" s="46">
        <f>IFERROR(X99*H99,"0")+IFERROR(X100*H100,"0")+IFERROR(X101*H101,"0")+IFERROR(X102*H102,"0")+IFERROR(X103*H103,"0")+IFERROR(X104*H104,"0")</f>
        <v>604.79999999999995</v>
      </c>
      <c r="L295" s="46">
        <f>IFERROR(X109*H109,"0")+IFERROR(X110*H110,"0")</f>
        <v>252</v>
      </c>
      <c r="M295" s="46">
        <f>IFERROR(X115*H115,"0")+IFERROR(X116*H116,"0")+IFERROR(X117*H117,"0")+IFERROR(X118*H118,"0")+IFERROR(X119*H119,"0")+IFERROR(X120*H120,"0")+IFERROR(X121*H121,"0")+IFERROR(X125*H125,"0")+IFERROR(X129*H129,"0")</f>
        <v>0</v>
      </c>
      <c r="N295" s="276"/>
      <c r="O295" s="46">
        <f>IFERROR(X134*H134,"0")+IFERROR(X135*H135,"0")+IFERROR(X136*H136,"0")+IFERROR(X140*H140,"0")+IFERROR(X141*H141,"0")+IFERROR(X142*H142,"0")</f>
        <v>0</v>
      </c>
      <c r="P295" s="46">
        <f>IFERROR(X147*H147,"0")+IFERROR(X148*H148,"0")</f>
        <v>1050</v>
      </c>
      <c r="Q295" s="46">
        <f>IFERROR(X153*H153,"0")+IFERROR(X154*H154,"0")</f>
        <v>210</v>
      </c>
      <c r="R295" s="46">
        <f>IFERROR(X159*H159,"0")+IFERROR(X160*H160,"0")</f>
        <v>0</v>
      </c>
      <c r="S295" s="46">
        <f>IFERROR(X165*H165,"0")</f>
        <v>0</v>
      </c>
      <c r="T295" s="46">
        <f>IFERROR(X170*H170,"0")</f>
        <v>0</v>
      </c>
      <c r="U295" s="46">
        <f>IFERROR(X175*H175,"0")</f>
        <v>0</v>
      </c>
      <c r="V295" s="46">
        <f>IFERROR(X181*H181,"0")+IFERROR(X182*H182,"0")</f>
        <v>0</v>
      </c>
      <c r="W295" s="46">
        <f>IFERROR(X187*H187,"0")</f>
        <v>0</v>
      </c>
      <c r="X295" s="46">
        <f>IFERROR(X193*H193,"0")+IFERROR(X194*H194,"0")+IFERROR(X195*H195,"0")+IFERROR(X196*H196,"0")</f>
        <v>210</v>
      </c>
      <c r="Y295" s="46">
        <f>IFERROR(X202*H202,"0")+IFERROR(X206*H206,"0")+IFERROR(X207*H207,"0")+IFERROR(X208*H208,"0")</f>
        <v>0</v>
      </c>
      <c r="Z295" s="46">
        <f>IFERROR(X213*H213,"0")+IFERROR(X214*H214,"0")</f>
        <v>0</v>
      </c>
      <c r="AA295" s="46">
        <f>IFERROR(X219*H219,"0")</f>
        <v>840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420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840</v>
      </c>
      <c r="B298" s="60">
        <f>SUMPRODUCT(--(BB:BB="ПГП"),--(W:W="кор"),H:H,Y:Y)+SUMPRODUCT(--(BB:BB="ПГП"),--(W:W="кг"),Y:Y)</f>
        <v>2746.8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6"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P287:V287"/>
    <mergeCell ref="R293:R294"/>
    <mergeCell ref="P62:T62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A201:Z201"/>
    <mergeCell ref="A223:Z223"/>
    <mergeCell ref="D279:E279"/>
    <mergeCell ref="P181:T181"/>
    <mergeCell ref="P263:T263"/>
    <mergeCell ref="H293:H294"/>
    <mergeCell ref="D102:E102"/>
    <mergeCell ref="A33:Z33"/>
    <mergeCell ref="D196:E196"/>
    <mergeCell ref="D25:E25"/>
    <mergeCell ref="A126:O127"/>
    <mergeCell ref="P210:V210"/>
    <mergeCell ref="P286:V286"/>
    <mergeCell ref="A233:Z233"/>
    <mergeCell ref="M17:M18"/>
    <mergeCell ref="O17:O18"/>
    <mergeCell ref="P131:V131"/>
    <mergeCell ref="A235:Z235"/>
    <mergeCell ref="P102:T102"/>
    <mergeCell ref="P189:V189"/>
    <mergeCell ref="A185:Z185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K293:K294"/>
    <mergeCell ref="D273:E273"/>
    <mergeCell ref="P105:V105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27:T27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T5:U5"/>
    <mergeCell ref="D119:E119"/>
    <mergeCell ref="P76:T76"/>
    <mergeCell ref="V5:W5"/>
    <mergeCell ref="D246:E246"/>
    <mergeCell ref="D282:E282"/>
    <mergeCell ref="Q8:R8"/>
    <mergeCell ref="P140:T140"/>
    <mergeCell ref="P267:T267"/>
    <mergeCell ref="D275:E275"/>
    <mergeCell ref="D219:E219"/>
    <mergeCell ref="P254:V254"/>
    <mergeCell ref="D104:E104"/>
    <mergeCell ref="T6:U9"/>
    <mergeCell ref="A30:O31"/>
    <mergeCell ref="Q10:R10"/>
    <mergeCell ref="D41:E41"/>
    <mergeCell ref="D277:E277"/>
    <mergeCell ref="P85:V85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A5:C5"/>
    <mergeCell ref="P64:V64"/>
    <mergeCell ref="P51:V51"/>
    <mergeCell ref="A174:Z174"/>
    <mergeCell ref="A108:Z108"/>
    <mergeCell ref="P195:T195"/>
    <mergeCell ref="A17:A18"/>
    <mergeCell ref="K17:K18"/>
    <mergeCell ref="C17:C18"/>
    <mergeCell ref="D103:E103"/>
    <mergeCell ref="P66:T66"/>
    <mergeCell ref="D9:E9"/>
    <mergeCell ref="D118:E118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Q9:R9"/>
    <mergeCell ref="A113:Z113"/>
    <mergeCell ref="P36:V36"/>
    <mergeCell ref="A32:Z32"/>
    <mergeCell ref="D24:E24"/>
    <mergeCell ref="A97:Z97"/>
    <mergeCell ref="Q11:R11"/>
    <mergeCell ref="A6:C6"/>
    <mergeCell ref="P118:T118"/>
    <mergeCell ref="D88:E88"/>
    <mergeCell ref="D26:E26"/>
    <mergeCell ref="P117:T117"/>
    <mergeCell ref="P55:T55"/>
    <mergeCell ref="D115:E115"/>
    <mergeCell ref="D93:E93"/>
    <mergeCell ref="J9:M9"/>
    <mergeCell ref="V6:W9"/>
    <mergeCell ref="A9:C9"/>
    <mergeCell ref="V12:W12"/>
    <mergeCell ref="A8:C8"/>
    <mergeCell ref="A10:C10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P176:V176"/>
    <mergeCell ref="D135:E135"/>
    <mergeCell ref="P203:V203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D8:M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59:V59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142:T142"/>
    <mergeCell ref="D148:E148"/>
    <mergeCell ref="A253:O254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6:T56"/>
    <mergeCell ref="D195:E195"/>
    <mergeCell ref="V10:W10"/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W17:W18"/>
    <mergeCell ref="A264:O265"/>
    <mergeCell ref="P96:V9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