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EEC7B8-75D6-47BD-BCB7-DC42F6EBD43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53" i="2" l="1"/>
  <c r="BO42" i="2"/>
  <c r="Y28" i="2"/>
  <c r="Z28" i="2" s="1"/>
  <c r="BM30" i="2"/>
  <c r="X473" i="2"/>
  <c r="BO460" i="2"/>
  <c r="BM452" i="2"/>
  <c r="Y445" i="2"/>
  <c r="BM427" i="2"/>
  <c r="Y429" i="2"/>
  <c r="Y431" i="2"/>
  <c r="BO387" i="2"/>
  <c r="BO389" i="2"/>
  <c r="BO347" i="2"/>
  <c r="BM337" i="2"/>
  <c r="X331" i="2"/>
  <c r="BO317" i="2"/>
  <c r="BO309" i="2"/>
  <c r="BM311" i="2"/>
  <c r="BO299" i="2"/>
  <c r="BO301" i="2"/>
  <c r="BM303" i="2"/>
  <c r="BO291" i="2"/>
  <c r="BO274" i="2"/>
  <c r="BM257" i="2"/>
  <c r="Y259" i="2"/>
  <c r="BP259" i="2" s="1"/>
  <c r="Y250" i="2"/>
  <c r="BM227" i="2"/>
  <c r="BO231" i="2"/>
  <c r="BO233" i="2"/>
  <c r="BO209" i="2"/>
  <c r="BO211" i="2"/>
  <c r="BO215" i="2"/>
  <c r="BO177" i="2"/>
  <c r="BO143" i="2"/>
  <c r="BO115" i="2"/>
  <c r="BO109" i="2"/>
  <c r="BO102" i="2"/>
  <c r="BO94" i="2"/>
  <c r="BO88" i="2"/>
  <c r="BM74" i="2"/>
  <c r="Y68" i="2"/>
  <c r="BO62" i="2"/>
  <c r="BO55" i="2"/>
  <c r="BO435" i="2"/>
  <c r="BM421" i="2"/>
  <c r="X404" i="2"/>
  <c r="X394" i="2"/>
  <c r="X375" i="2"/>
  <c r="X365" i="2"/>
  <c r="X313" i="2"/>
  <c r="X295" i="2"/>
  <c r="X281" i="2"/>
  <c r="BO246" i="2"/>
  <c r="X240" i="2"/>
  <c r="X222" i="2"/>
  <c r="X189" i="2"/>
  <c r="BM175" i="2"/>
  <c r="X160" i="2"/>
  <c r="BO135" i="2"/>
  <c r="X47" i="2"/>
  <c r="X35" i="2"/>
  <c r="X23" i="2"/>
  <c r="BO481" i="2"/>
  <c r="X468" i="2"/>
  <c r="Y443" i="2"/>
  <c r="Y425" i="2"/>
  <c r="BO409" i="2"/>
  <c r="BO393" i="2"/>
  <c r="BO345" i="2"/>
  <c r="BM299" i="2"/>
  <c r="BO293" i="2"/>
  <c r="BM274" i="2"/>
  <c r="Y257" i="2"/>
  <c r="Y248" i="2"/>
  <c r="BO229" i="2"/>
  <c r="BO213" i="2"/>
  <c r="BO200" i="2"/>
  <c r="X194" i="2"/>
  <c r="BO167" i="2"/>
  <c r="BO76" i="2"/>
  <c r="Y427" i="2"/>
  <c r="BP427" i="2" s="1"/>
  <c r="BO391" i="2"/>
  <c r="BM347" i="2"/>
  <c r="BM317" i="2"/>
  <c r="Y309" i="2"/>
  <c r="BO303" i="2"/>
  <c r="Y266" i="2"/>
  <c r="BP266" i="2" s="1"/>
  <c r="BO227" i="2"/>
  <c r="BM200" i="2"/>
  <c r="X110" i="2"/>
  <c r="BO68" i="2"/>
  <c r="BM393" i="2"/>
  <c r="BO349" i="2"/>
  <c r="BM231" i="2"/>
  <c r="BO202" i="2"/>
  <c r="BO171" i="2"/>
  <c r="BM115" i="2"/>
  <c r="BM458" i="2"/>
  <c r="BM397" i="2"/>
  <c r="X305" i="2"/>
  <c r="Y284" i="2"/>
  <c r="Z284" i="2" s="1"/>
  <c r="Z285" i="2" s="1"/>
  <c r="X276" i="2"/>
  <c r="X261" i="2"/>
  <c r="X244" i="2"/>
  <c r="Y225" i="2"/>
  <c r="X217" i="2"/>
  <c r="Y181" i="2"/>
  <c r="Y153" i="2"/>
  <c r="X133" i="2"/>
  <c r="X122" i="2"/>
  <c r="BM92" i="2"/>
  <c r="X82" i="2"/>
  <c r="BM66" i="2"/>
  <c r="BO452" i="2"/>
  <c r="X312" i="2"/>
  <c r="X488" i="2"/>
  <c r="X487" i="2"/>
  <c r="BO486" i="2"/>
  <c r="BM486" i="2"/>
  <c r="Y486" i="2"/>
  <c r="P486" i="2"/>
  <c r="BM481" i="2"/>
  <c r="Y481" i="2"/>
  <c r="P481" i="2"/>
  <c r="BM480" i="2"/>
  <c r="P480" i="2"/>
  <c r="X478" i="2"/>
  <c r="X477" i="2"/>
  <c r="BO476" i="2"/>
  <c r="BM476" i="2"/>
  <c r="Y476" i="2"/>
  <c r="P476" i="2"/>
  <c r="BO472" i="2"/>
  <c r="Y472" i="2"/>
  <c r="P472" i="2"/>
  <c r="P471" i="2"/>
  <c r="X469" i="2"/>
  <c r="P467" i="2"/>
  <c r="BO466" i="2"/>
  <c r="BM466" i="2"/>
  <c r="Y466" i="2"/>
  <c r="BP466" i="2" s="1"/>
  <c r="P466" i="2"/>
  <c r="BO465" i="2"/>
  <c r="BM465" i="2"/>
  <c r="Y465" i="2"/>
  <c r="P465" i="2"/>
  <c r="BO461" i="2"/>
  <c r="BM461" i="2"/>
  <c r="Y461" i="2"/>
  <c r="P461" i="2"/>
  <c r="Y460" i="2"/>
  <c r="P460" i="2"/>
  <c r="BO459" i="2"/>
  <c r="BM459" i="2"/>
  <c r="Y459" i="2"/>
  <c r="P459" i="2"/>
  <c r="P458" i="2"/>
  <c r="X454" i="2"/>
  <c r="P452" i="2"/>
  <c r="BO451" i="2"/>
  <c r="BM451" i="2"/>
  <c r="Y451" i="2"/>
  <c r="BP451" i="2" s="1"/>
  <c r="P451" i="2"/>
  <c r="BO450" i="2"/>
  <c r="BM450" i="2"/>
  <c r="Y450" i="2"/>
  <c r="P450" i="2"/>
  <c r="BO446" i="2"/>
  <c r="BM446" i="2"/>
  <c r="Y446" i="2"/>
  <c r="P446" i="2"/>
  <c r="P445" i="2"/>
  <c r="BO444" i="2"/>
  <c r="BM444" i="2"/>
  <c r="Y444" i="2"/>
  <c r="P444" i="2"/>
  <c r="P443" i="2"/>
  <c r="P442" i="2"/>
  <c r="P441" i="2"/>
  <c r="Y437" i="2"/>
  <c r="BP437" i="2" s="1"/>
  <c r="P437" i="2"/>
  <c r="BO436" i="2"/>
  <c r="BM436" i="2"/>
  <c r="Y436" i="2"/>
  <c r="Z436" i="2" s="1"/>
  <c r="P436" i="2"/>
  <c r="P435" i="2"/>
  <c r="P431" i="2"/>
  <c r="BO430" i="2"/>
  <c r="BM430" i="2"/>
  <c r="Y430" i="2"/>
  <c r="P430" i="2"/>
  <c r="P429" i="2"/>
  <c r="BO428" i="2"/>
  <c r="BM428" i="2"/>
  <c r="Y428" i="2"/>
  <c r="P428" i="2"/>
  <c r="P427" i="2"/>
  <c r="P426" i="2"/>
  <c r="P425" i="2"/>
  <c r="BO424" i="2"/>
  <c r="BM424" i="2"/>
  <c r="Y424" i="2"/>
  <c r="P424" i="2"/>
  <c r="P423" i="2"/>
  <c r="BO422" i="2"/>
  <c r="BM422" i="2"/>
  <c r="Y422" i="2"/>
  <c r="P422" i="2"/>
  <c r="P421" i="2"/>
  <c r="X417" i="2"/>
  <c r="X416" i="2"/>
  <c r="BO415" i="2"/>
  <c r="BM415" i="2"/>
  <c r="Y415" i="2"/>
  <c r="P415" i="2"/>
  <c r="BO410" i="2"/>
  <c r="BM410" i="2"/>
  <c r="Y410" i="2"/>
  <c r="P410" i="2"/>
  <c r="P409" i="2"/>
  <c r="BO408" i="2"/>
  <c r="BM408" i="2"/>
  <c r="Y408" i="2"/>
  <c r="P408" i="2"/>
  <c r="P407" i="2"/>
  <c r="X405" i="2"/>
  <c r="BO403" i="2"/>
  <c r="Y403" i="2"/>
  <c r="Z403" i="2" s="1"/>
  <c r="Z404" i="2" s="1"/>
  <c r="P403" i="2"/>
  <c r="BO398" i="2"/>
  <c r="BM398" i="2"/>
  <c r="Y398" i="2"/>
  <c r="P398" i="2"/>
  <c r="P397" i="2"/>
  <c r="P393" i="2"/>
  <c r="BO392" i="2"/>
  <c r="BM392" i="2"/>
  <c r="Y392" i="2"/>
  <c r="P392" i="2"/>
  <c r="P391" i="2"/>
  <c r="BO390" i="2"/>
  <c r="BM390" i="2"/>
  <c r="Y390" i="2"/>
  <c r="Z390" i="2" s="1"/>
  <c r="P390" i="2"/>
  <c r="P389" i="2"/>
  <c r="BO388" i="2"/>
  <c r="BM388" i="2"/>
  <c r="Y388" i="2"/>
  <c r="P388" i="2"/>
  <c r="P387" i="2"/>
  <c r="BO386" i="2"/>
  <c r="BM386" i="2"/>
  <c r="Y386" i="2"/>
  <c r="P386" i="2"/>
  <c r="BO385" i="2"/>
  <c r="Y385" i="2"/>
  <c r="P385" i="2"/>
  <c r="X380" i="2"/>
  <c r="BO379" i="2"/>
  <c r="BM379" i="2"/>
  <c r="Y379" i="2"/>
  <c r="BP379" i="2" s="1"/>
  <c r="P379" i="2"/>
  <c r="P378" i="2"/>
  <c r="X376" i="2"/>
  <c r="BO374" i="2"/>
  <c r="BM374" i="2"/>
  <c r="Y374" i="2"/>
  <c r="BP374" i="2" s="1"/>
  <c r="P374" i="2"/>
  <c r="BO373" i="2"/>
  <c r="Y373" i="2"/>
  <c r="P373" i="2"/>
  <c r="BO369" i="2"/>
  <c r="BM369" i="2"/>
  <c r="Y369" i="2"/>
  <c r="P369" i="2"/>
  <c r="P368" i="2"/>
  <c r="X364" i="2"/>
  <c r="BM363" i="2"/>
  <c r="P363" i="2"/>
  <c r="X360" i="2"/>
  <c r="BO359" i="2"/>
  <c r="BM359" i="2"/>
  <c r="Y359" i="2"/>
  <c r="P359" i="2"/>
  <c r="P358" i="2"/>
  <c r="BO354" i="2"/>
  <c r="BM354" i="2"/>
  <c r="Y354" i="2"/>
  <c r="P354" i="2"/>
  <c r="P353" i="2"/>
  <c r="P349" i="2"/>
  <c r="BO348" i="2"/>
  <c r="BM348" i="2"/>
  <c r="Y348" i="2"/>
  <c r="P348" i="2"/>
  <c r="P347" i="2"/>
  <c r="P346" i="2"/>
  <c r="P345" i="2"/>
  <c r="P344" i="2"/>
  <c r="P343" i="2"/>
  <c r="X339" i="2"/>
  <c r="P337" i="2"/>
  <c r="BO336" i="2"/>
  <c r="BM336" i="2"/>
  <c r="Y336" i="2"/>
  <c r="P336" i="2"/>
  <c r="BO335" i="2"/>
  <c r="Y335" i="2"/>
  <c r="P335" i="2"/>
  <c r="P330" i="2"/>
  <c r="BO329" i="2"/>
  <c r="BM329" i="2"/>
  <c r="Y329" i="2"/>
  <c r="P329" i="2"/>
  <c r="P328" i="2"/>
  <c r="X326" i="2"/>
  <c r="BO324" i="2"/>
  <c r="BM324" i="2"/>
  <c r="Y324" i="2"/>
  <c r="P324" i="2"/>
  <c r="P323" i="2"/>
  <c r="BO322" i="2"/>
  <c r="BM322" i="2"/>
  <c r="Y322" i="2"/>
  <c r="BM321" i="2"/>
  <c r="P321" i="2"/>
  <c r="P317" i="2"/>
  <c r="BO316" i="2"/>
  <c r="BM316" i="2"/>
  <c r="Y316" i="2"/>
  <c r="BP316" i="2" s="1"/>
  <c r="P316" i="2"/>
  <c r="Y315" i="2"/>
  <c r="P315" i="2"/>
  <c r="P311" i="2"/>
  <c r="BO310" i="2"/>
  <c r="BM310" i="2"/>
  <c r="Y310" i="2"/>
  <c r="P310" i="2"/>
  <c r="P309" i="2"/>
  <c r="BO308" i="2"/>
  <c r="BM308" i="2"/>
  <c r="Y308" i="2"/>
  <c r="P308" i="2"/>
  <c r="BO307" i="2"/>
  <c r="Y307" i="2"/>
  <c r="P307" i="2"/>
  <c r="P303" i="2"/>
  <c r="BO302" i="2"/>
  <c r="BM302" i="2"/>
  <c r="Y302" i="2"/>
  <c r="P302" i="2"/>
  <c r="P301" i="2"/>
  <c r="BO300" i="2"/>
  <c r="BM300" i="2"/>
  <c r="Y300" i="2"/>
  <c r="Z300" i="2" s="1"/>
  <c r="P300" i="2"/>
  <c r="P299" i="2"/>
  <c r="BO298" i="2"/>
  <c r="BM298" i="2"/>
  <c r="Y298" i="2"/>
  <c r="P298" i="2"/>
  <c r="Y297" i="2"/>
  <c r="P297" i="2"/>
  <c r="P293" i="2"/>
  <c r="BO292" i="2"/>
  <c r="BM292" i="2"/>
  <c r="Y292" i="2"/>
  <c r="P292" i="2"/>
  <c r="P291" i="2"/>
  <c r="BO290" i="2"/>
  <c r="BM290" i="2"/>
  <c r="Y290" i="2"/>
  <c r="P290" i="2"/>
  <c r="BO289" i="2"/>
  <c r="Y289" i="2"/>
  <c r="P289" i="2"/>
  <c r="X286" i="2"/>
  <c r="P284" i="2"/>
  <c r="X282" i="2"/>
  <c r="BO280" i="2"/>
  <c r="BM280" i="2"/>
  <c r="Y280" i="2"/>
  <c r="P280" i="2"/>
  <c r="BO279" i="2"/>
  <c r="Y279" i="2"/>
  <c r="P279" i="2"/>
  <c r="P274" i="2"/>
  <c r="BO273" i="2"/>
  <c r="BM273" i="2"/>
  <c r="Y273" i="2"/>
  <c r="P273" i="2"/>
  <c r="P272" i="2"/>
  <c r="X269" i="2"/>
  <c r="BO267" i="2"/>
  <c r="BM267" i="2"/>
  <c r="Y267" i="2"/>
  <c r="P267" i="2"/>
  <c r="P266" i="2"/>
  <c r="BO265" i="2"/>
  <c r="BM265" i="2"/>
  <c r="Y265" i="2"/>
  <c r="P265" i="2"/>
  <c r="BO264" i="2"/>
  <c r="Y264" i="2"/>
  <c r="P264" i="2"/>
  <c r="P259" i="2"/>
  <c r="BO258" i="2"/>
  <c r="BM258" i="2"/>
  <c r="Y258" i="2"/>
  <c r="P258" i="2"/>
  <c r="P257" i="2"/>
  <c r="BO256" i="2"/>
  <c r="BM256" i="2"/>
  <c r="Y256" i="2"/>
  <c r="P256" i="2"/>
  <c r="Y255" i="2"/>
  <c r="BP255" i="2" s="1"/>
  <c r="P255" i="2"/>
  <c r="X252" i="2"/>
  <c r="P250" i="2"/>
  <c r="BO249" i="2"/>
  <c r="BM249" i="2"/>
  <c r="Y249" i="2"/>
  <c r="P249" i="2"/>
  <c r="P248" i="2"/>
  <c r="BO247" i="2"/>
  <c r="BM247" i="2"/>
  <c r="Y247" i="2"/>
  <c r="P247" i="2"/>
  <c r="BM246" i="2"/>
  <c r="P246" i="2"/>
  <c r="Y242" i="2"/>
  <c r="P242" i="2"/>
  <c r="X239" i="2"/>
  <c r="BM238" i="2"/>
  <c r="P238" i="2"/>
  <c r="X236" i="2"/>
  <c r="BO234" i="2"/>
  <c r="BM234" i="2"/>
  <c r="Y234" i="2"/>
  <c r="P234" i="2"/>
  <c r="P233" i="2"/>
  <c r="BO232" i="2"/>
  <c r="BM232" i="2"/>
  <c r="Y232" i="2"/>
  <c r="BP232" i="2" s="1"/>
  <c r="P232" i="2"/>
  <c r="P231" i="2"/>
  <c r="BO230" i="2"/>
  <c r="BM230" i="2"/>
  <c r="Y230" i="2"/>
  <c r="P230" i="2"/>
  <c r="P229" i="2"/>
  <c r="BO228" i="2"/>
  <c r="BM228" i="2"/>
  <c r="Y228" i="2"/>
  <c r="P228" i="2"/>
  <c r="P227" i="2"/>
  <c r="BO226" i="2"/>
  <c r="BM226" i="2"/>
  <c r="Y226" i="2"/>
  <c r="Z226" i="2" s="1"/>
  <c r="P226" i="2"/>
  <c r="P225" i="2"/>
  <c r="X221" i="2"/>
  <c r="BO220" i="2"/>
  <c r="BM220" i="2"/>
  <c r="Y220" i="2"/>
  <c r="Z220" i="2" s="1"/>
  <c r="P220" i="2"/>
  <c r="BM219" i="2"/>
  <c r="P219" i="2"/>
  <c r="BM215" i="2"/>
  <c r="P215" i="2"/>
  <c r="BO214" i="2"/>
  <c r="BM214" i="2"/>
  <c r="Y214" i="2"/>
  <c r="P214" i="2"/>
  <c r="BM213" i="2"/>
  <c r="P213" i="2"/>
  <c r="BO212" i="2"/>
  <c r="BM212" i="2"/>
  <c r="Y212" i="2"/>
  <c r="P212" i="2"/>
  <c r="BM211" i="2"/>
  <c r="P211" i="2"/>
  <c r="BO210" i="2"/>
  <c r="BM210" i="2"/>
  <c r="Y210" i="2"/>
  <c r="Z210" i="2" s="1"/>
  <c r="P210" i="2"/>
  <c r="BM209" i="2"/>
  <c r="P209" i="2"/>
  <c r="BO208" i="2"/>
  <c r="BM208" i="2"/>
  <c r="Y208" i="2"/>
  <c r="P208" i="2"/>
  <c r="Y207" i="2"/>
  <c r="Z207" i="2" s="1"/>
  <c r="P207" i="2"/>
  <c r="BO203" i="2"/>
  <c r="BM203" i="2"/>
  <c r="Y203" i="2"/>
  <c r="P203" i="2"/>
  <c r="P202" i="2"/>
  <c r="BO201" i="2"/>
  <c r="BM201" i="2"/>
  <c r="Y201" i="2"/>
  <c r="BP201" i="2" s="1"/>
  <c r="P201" i="2"/>
  <c r="P200" i="2"/>
  <c r="P199" i="2"/>
  <c r="P198" i="2"/>
  <c r="P197" i="2"/>
  <c r="P196" i="2"/>
  <c r="BO192" i="2"/>
  <c r="BM192" i="2"/>
  <c r="Y192" i="2"/>
  <c r="P192" i="2"/>
  <c r="Y191" i="2"/>
  <c r="BP191" i="2" s="1"/>
  <c r="P191" i="2"/>
  <c r="X188" i="2"/>
  <c r="BO187" i="2"/>
  <c r="BM187" i="2"/>
  <c r="Y187" i="2"/>
  <c r="P187" i="2"/>
  <c r="BM186" i="2"/>
  <c r="P186" i="2"/>
  <c r="X183" i="2"/>
  <c r="P181" i="2"/>
  <c r="P177" i="2"/>
  <c r="BO176" i="2"/>
  <c r="BM176" i="2"/>
  <c r="Y176" i="2"/>
  <c r="P176" i="2"/>
  <c r="BO175" i="2"/>
  <c r="Y175" i="2"/>
  <c r="BN175" i="2" s="1"/>
  <c r="P175" i="2"/>
  <c r="P171" i="2"/>
  <c r="BO170" i="2"/>
  <c r="BM170" i="2"/>
  <c r="Y170" i="2"/>
  <c r="P170" i="2"/>
  <c r="P169" i="2"/>
  <c r="BO168" i="2"/>
  <c r="BM168" i="2"/>
  <c r="Y168" i="2"/>
  <c r="P168" i="2"/>
  <c r="P167" i="2"/>
  <c r="P166" i="2"/>
  <c r="P165" i="2"/>
  <c r="BO164" i="2"/>
  <c r="BM164" i="2"/>
  <c r="Y164" i="2"/>
  <c r="P164" i="2"/>
  <c r="P163" i="2"/>
  <c r="X161" i="2"/>
  <c r="BO159" i="2"/>
  <c r="Y159" i="2"/>
  <c r="Z159" i="2" s="1"/>
  <c r="Z160" i="2" s="1"/>
  <c r="P159" i="2"/>
  <c r="X155" i="2"/>
  <c r="P149" i="2"/>
  <c r="BO148" i="2"/>
  <c r="BM148" i="2"/>
  <c r="Y148" i="2"/>
  <c r="P148" i="2"/>
  <c r="BM147" i="2"/>
  <c r="P147" i="2"/>
  <c r="P143" i="2"/>
  <c r="BO142" i="2"/>
  <c r="BM142" i="2"/>
  <c r="Y142" i="2"/>
  <c r="P142" i="2"/>
  <c r="BM141" i="2"/>
  <c r="P141" i="2"/>
  <c r="X138" i="2"/>
  <c r="BM136" i="2"/>
  <c r="P136" i="2"/>
  <c r="BM135" i="2"/>
  <c r="P135" i="2"/>
  <c r="X132" i="2"/>
  <c r="BO131" i="2"/>
  <c r="BM131" i="2"/>
  <c r="Y131" i="2"/>
  <c r="P131" i="2"/>
  <c r="BM130" i="2"/>
  <c r="P130" i="2"/>
  <c r="X127" i="2"/>
  <c r="BO126" i="2"/>
  <c r="BM126" i="2"/>
  <c r="Y126" i="2"/>
  <c r="P126" i="2"/>
  <c r="P125" i="2"/>
  <c r="X121" i="2"/>
  <c r="BM120" i="2"/>
  <c r="P120" i="2"/>
  <c r="BO116" i="2"/>
  <c r="BM116" i="2"/>
  <c r="Y116" i="2"/>
  <c r="BP116" i="2" s="1"/>
  <c r="P116" i="2"/>
  <c r="P115" i="2"/>
  <c r="BO114" i="2"/>
  <c r="BM114" i="2"/>
  <c r="Y114" i="2"/>
  <c r="Z114" i="2" s="1"/>
  <c r="P114" i="2"/>
  <c r="BM113" i="2"/>
  <c r="P113" i="2"/>
  <c r="X111" i="2"/>
  <c r="P109" i="2"/>
  <c r="BO108" i="2"/>
  <c r="BM108" i="2"/>
  <c r="Y108" i="2"/>
  <c r="P108" i="2"/>
  <c r="BO107" i="2"/>
  <c r="Y107" i="2"/>
  <c r="BP107" i="2" s="1"/>
  <c r="P107" i="2"/>
  <c r="BO103" i="2"/>
  <c r="BM103" i="2"/>
  <c r="Y103" i="2"/>
  <c r="P103" i="2"/>
  <c r="P102" i="2"/>
  <c r="BO101" i="2"/>
  <c r="BM101" i="2"/>
  <c r="Y101" i="2"/>
  <c r="P101" i="2"/>
  <c r="P100" i="2"/>
  <c r="X97" i="2"/>
  <c r="BO95" i="2"/>
  <c r="BM95" i="2"/>
  <c r="Y95" i="2"/>
  <c r="P95" i="2"/>
  <c r="P94" i="2"/>
  <c r="BO93" i="2"/>
  <c r="BM93" i="2"/>
  <c r="Y93" i="2"/>
  <c r="Z93" i="2" s="1"/>
  <c r="P93" i="2"/>
  <c r="BO92" i="2"/>
  <c r="Y92" i="2"/>
  <c r="P92" i="2"/>
  <c r="P88" i="2"/>
  <c r="BO87" i="2"/>
  <c r="BM87" i="2"/>
  <c r="Y87" i="2"/>
  <c r="BP87" i="2" s="1"/>
  <c r="P87" i="2"/>
  <c r="P86" i="2"/>
  <c r="X83" i="2"/>
  <c r="BO81" i="2"/>
  <c r="BM81" i="2"/>
  <c r="Y81" i="2"/>
  <c r="P81" i="2"/>
  <c r="BO80" i="2"/>
  <c r="Y80" i="2"/>
  <c r="P80" i="2"/>
  <c r="P76" i="2"/>
  <c r="BO75" i="2"/>
  <c r="BM75" i="2"/>
  <c r="Y75" i="2"/>
  <c r="P75" i="2"/>
  <c r="P74" i="2"/>
  <c r="BO73" i="2"/>
  <c r="BM73" i="2"/>
  <c r="Y73" i="2"/>
  <c r="P73" i="2"/>
  <c r="P72" i="2"/>
  <c r="X70" i="2"/>
  <c r="P68" i="2"/>
  <c r="BO67" i="2"/>
  <c r="BM67" i="2"/>
  <c r="Y67" i="2"/>
  <c r="P67" i="2"/>
  <c r="BO66" i="2"/>
  <c r="Y66" i="2"/>
  <c r="Z66" i="2" s="1"/>
  <c r="P66" i="2"/>
  <c r="P62" i="2"/>
  <c r="BO61" i="2"/>
  <c r="BM61" i="2"/>
  <c r="Y61" i="2"/>
  <c r="P61" i="2"/>
  <c r="P60" i="2"/>
  <c r="BO56" i="2"/>
  <c r="BM56" i="2"/>
  <c r="Y56" i="2"/>
  <c r="P56" i="2"/>
  <c r="P55" i="2"/>
  <c r="BO54" i="2"/>
  <c r="BM54" i="2"/>
  <c r="Y54" i="2"/>
  <c r="BP54" i="2" s="1"/>
  <c r="P54" i="2"/>
  <c r="P53" i="2"/>
  <c r="P52" i="2"/>
  <c r="P51" i="2"/>
  <c r="Y46" i="2"/>
  <c r="P46" i="2"/>
  <c r="P42" i="2"/>
  <c r="BO41" i="2"/>
  <c r="BM41" i="2"/>
  <c r="Y41" i="2"/>
  <c r="P41" i="2"/>
  <c r="P40" i="2"/>
  <c r="BO34" i="2"/>
  <c r="P34" i="2"/>
  <c r="X32" i="2"/>
  <c r="P30" i="2"/>
  <c r="BO29" i="2"/>
  <c r="BM29" i="2"/>
  <c r="Y29" i="2"/>
  <c r="BP29" i="2" s="1"/>
  <c r="P29" i="2"/>
  <c r="P28" i="2"/>
  <c r="BO27" i="2"/>
  <c r="BM27" i="2"/>
  <c r="Y27" i="2"/>
  <c r="P27" i="2"/>
  <c r="BO26" i="2"/>
  <c r="BM26" i="2"/>
  <c r="Y26" i="2"/>
  <c r="P26" i="2"/>
  <c r="P22" i="2"/>
  <c r="H10" i="2"/>
  <c r="A9" i="2"/>
  <c r="D7" i="2"/>
  <c r="Q6" i="2"/>
  <c r="P2" i="2"/>
  <c r="X31" i="2" l="1"/>
  <c r="BM472" i="2"/>
  <c r="BM445" i="2"/>
  <c r="BM429" i="2"/>
  <c r="BO337" i="2"/>
  <c r="X338" i="2"/>
  <c r="X325" i="2"/>
  <c r="X268" i="2"/>
  <c r="X178" i="2"/>
  <c r="X150" i="2"/>
  <c r="BM62" i="2"/>
  <c r="BM435" i="2"/>
  <c r="X439" i="2"/>
  <c r="X438" i="2"/>
  <c r="Y34" i="2"/>
  <c r="Y36" i="2" s="1"/>
  <c r="X36" i="2"/>
  <c r="Y135" i="2"/>
  <c r="BP135" i="2" s="1"/>
  <c r="Y147" i="2"/>
  <c r="BP147" i="2" s="1"/>
  <c r="BO147" i="2"/>
  <c r="X151" i="2"/>
  <c r="BM159" i="2"/>
  <c r="Y186" i="2"/>
  <c r="Y188" i="2" s="1"/>
  <c r="BO186" i="2"/>
  <c r="Y219" i="2"/>
  <c r="BP219" i="2" s="1"/>
  <c r="BO219" i="2"/>
  <c r="Y238" i="2"/>
  <c r="Z238" i="2" s="1"/>
  <c r="Z239" i="2" s="1"/>
  <c r="BO238" i="2"/>
  <c r="Y246" i="2"/>
  <c r="BN246" i="2" s="1"/>
  <c r="BM264" i="2"/>
  <c r="BM279" i="2"/>
  <c r="BM289" i="2"/>
  <c r="BM307" i="2"/>
  <c r="Y321" i="2"/>
  <c r="BN321" i="2" s="1"/>
  <c r="BO321" i="2"/>
  <c r="BM335" i="2"/>
  <c r="Y363" i="2"/>
  <c r="Y365" i="2" s="1"/>
  <c r="BO363" i="2"/>
  <c r="BM373" i="2"/>
  <c r="BM385" i="2"/>
  <c r="X395" i="2"/>
  <c r="BM403" i="2"/>
  <c r="Y435" i="2"/>
  <c r="Z435" i="2" s="1"/>
  <c r="Y22" i="2"/>
  <c r="Y24" i="2" s="1"/>
  <c r="BO22" i="2"/>
  <c r="X24" i="2"/>
  <c r="BM22" i="2"/>
  <c r="BO467" i="2"/>
  <c r="BM460" i="2"/>
  <c r="X453" i="2"/>
  <c r="BM425" i="2"/>
  <c r="BM389" i="2"/>
  <c r="BO330" i="2"/>
  <c r="BO323" i="2"/>
  <c r="BO259" i="2"/>
  <c r="X251" i="2"/>
  <c r="BM229" i="2"/>
  <c r="Y94" i="2"/>
  <c r="Y96" i="2" s="1"/>
  <c r="BM55" i="2"/>
  <c r="BO28" i="2"/>
  <c r="Y30" i="2"/>
  <c r="BN30" i="2" s="1"/>
  <c r="BO443" i="2"/>
  <c r="BO427" i="2"/>
  <c r="BO431" i="2"/>
  <c r="BM431" i="2"/>
  <c r="Y387" i="2"/>
  <c r="BP387" i="2" s="1"/>
  <c r="Y391" i="2"/>
  <c r="BP391" i="2" s="1"/>
  <c r="BM391" i="2"/>
  <c r="BM323" i="2"/>
  <c r="Y317" i="2"/>
  <c r="BP317" i="2" s="1"/>
  <c r="BO311" i="2"/>
  <c r="BM291" i="2"/>
  <c r="BM293" i="2"/>
  <c r="Y274" i="2"/>
  <c r="BP274" i="2" s="1"/>
  <c r="BM259" i="2"/>
  <c r="BO250" i="2"/>
  <c r="BM250" i="2"/>
  <c r="Y229" i="2"/>
  <c r="BP229" i="2" s="1"/>
  <c r="Y233" i="2"/>
  <c r="BP233" i="2" s="1"/>
  <c r="BM233" i="2"/>
  <c r="BM149" i="2"/>
  <c r="BO149" i="2"/>
  <c r="BM109" i="2"/>
  <c r="Y102" i="2"/>
  <c r="Z102" i="2" s="1"/>
  <c r="X96" i="2"/>
  <c r="BM88" i="2"/>
  <c r="X77" i="2"/>
  <c r="BO74" i="2"/>
  <c r="X69" i="2"/>
  <c r="Y53" i="2"/>
  <c r="Z53" i="2" s="1"/>
  <c r="Y467" i="2"/>
  <c r="BP467" i="2" s="1"/>
  <c r="BO445" i="2"/>
  <c r="BO437" i="2"/>
  <c r="BO425" i="2"/>
  <c r="BO429" i="2"/>
  <c r="BM409" i="2"/>
  <c r="X411" i="2"/>
  <c r="Y389" i="2"/>
  <c r="Z389" i="2" s="1"/>
  <c r="Y393" i="2"/>
  <c r="BP393" i="2" s="1"/>
  <c r="BM345" i="2"/>
  <c r="BM349" i="2"/>
  <c r="Y330" i="2"/>
  <c r="BP330" i="2" s="1"/>
  <c r="X319" i="2"/>
  <c r="Y311" i="2"/>
  <c r="BP311" i="2" s="1"/>
  <c r="BM301" i="2"/>
  <c r="X294" i="2"/>
  <c r="BO266" i="2"/>
  <c r="BO257" i="2"/>
  <c r="BO248" i="2"/>
  <c r="Y227" i="2"/>
  <c r="BP227" i="2" s="1"/>
  <c r="Y231" i="2"/>
  <c r="BP231" i="2" s="1"/>
  <c r="BM202" i="2"/>
  <c r="Y177" i="2"/>
  <c r="Z177" i="2" s="1"/>
  <c r="X179" i="2"/>
  <c r="BM167" i="2"/>
  <c r="BM171" i="2"/>
  <c r="BM143" i="2"/>
  <c r="Y115" i="2"/>
  <c r="BP115" i="2" s="1"/>
  <c r="BM76" i="2"/>
  <c r="Y62" i="2"/>
  <c r="Z62" i="2" s="1"/>
  <c r="Y55" i="2"/>
  <c r="BP55" i="2" s="1"/>
  <c r="Y42" i="2"/>
  <c r="BP42" i="2" s="1"/>
  <c r="BO30" i="2"/>
  <c r="BM80" i="2"/>
  <c r="BM107" i="2"/>
  <c r="Y120" i="2"/>
  <c r="BP120" i="2" s="1"/>
  <c r="BO120" i="2"/>
  <c r="Y130" i="2"/>
  <c r="Y133" i="2" s="1"/>
  <c r="BO130" i="2"/>
  <c r="Y272" i="2"/>
  <c r="BP272" i="2" s="1"/>
  <c r="BM467" i="2"/>
  <c r="Y452" i="2"/>
  <c r="Y454" i="2" s="1"/>
  <c r="BM443" i="2"/>
  <c r="BM437" i="2"/>
  <c r="Y409" i="2"/>
  <c r="BP409" i="2" s="1"/>
  <c r="BM387" i="2"/>
  <c r="Y345" i="2"/>
  <c r="BP345" i="2" s="1"/>
  <c r="Y347" i="2"/>
  <c r="BN347" i="2" s="1"/>
  <c r="Y349" i="2"/>
  <c r="BP349" i="2" s="1"/>
  <c r="Y337" i="2"/>
  <c r="Y339" i="2" s="1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09" i="2"/>
  <c r="BP209" i="2" s="1"/>
  <c r="Y211" i="2"/>
  <c r="BP211" i="2" s="1"/>
  <c r="Y213" i="2"/>
  <c r="BN213" i="2" s="1"/>
  <c r="Y215" i="2"/>
  <c r="BP215" i="2" s="1"/>
  <c r="Y200" i="2"/>
  <c r="Z200" i="2" s="1"/>
  <c r="Y202" i="2"/>
  <c r="BP202" i="2" s="1"/>
  <c r="BM177" i="2"/>
  <c r="Y167" i="2"/>
  <c r="Z167" i="2" s="1"/>
  <c r="Y171" i="2"/>
  <c r="BN171" i="2" s="1"/>
  <c r="Y149" i="2"/>
  <c r="Y143" i="2"/>
  <c r="Z143" i="2" s="1"/>
  <c r="Y109" i="2"/>
  <c r="BP109" i="2" s="1"/>
  <c r="BM102" i="2"/>
  <c r="BM94" i="2"/>
  <c r="Y88" i="2"/>
  <c r="BP88" i="2" s="1"/>
  <c r="Y74" i="2"/>
  <c r="BN74" i="2" s="1"/>
  <c r="Y76" i="2"/>
  <c r="Z76" i="2" s="1"/>
  <c r="BM68" i="2"/>
  <c r="BM53" i="2"/>
  <c r="BM42" i="2"/>
  <c r="BM28" i="2"/>
  <c r="X48" i="2"/>
  <c r="BO46" i="2"/>
  <c r="X78" i="2"/>
  <c r="BO72" i="2"/>
  <c r="Y72" i="2"/>
  <c r="X118" i="2"/>
  <c r="BO113" i="2"/>
  <c r="Y113" i="2"/>
  <c r="BP113" i="2" s="1"/>
  <c r="X128" i="2"/>
  <c r="BO125" i="2"/>
  <c r="Y125" i="2"/>
  <c r="Y128" i="2" s="1"/>
  <c r="BO136" i="2"/>
  <c r="Y136" i="2"/>
  <c r="Y138" i="2" s="1"/>
  <c r="X145" i="2"/>
  <c r="BO141" i="2"/>
  <c r="Y141" i="2"/>
  <c r="BN141" i="2" s="1"/>
  <c r="X154" i="2"/>
  <c r="BM153" i="2"/>
  <c r="X182" i="2"/>
  <c r="BM181" i="2"/>
  <c r="X193" i="2"/>
  <c r="BM191" i="2"/>
  <c r="X216" i="2"/>
  <c r="BM207" i="2"/>
  <c r="X235" i="2"/>
  <c r="BM225" i="2"/>
  <c r="X243" i="2"/>
  <c r="BM242" i="2"/>
  <c r="X260" i="2"/>
  <c r="BM255" i="2"/>
  <c r="X275" i="2"/>
  <c r="BM272" i="2"/>
  <c r="X285" i="2"/>
  <c r="BM284" i="2"/>
  <c r="X304" i="2"/>
  <c r="BM297" i="2"/>
  <c r="X318" i="2"/>
  <c r="BM315" i="2"/>
  <c r="X332" i="2"/>
  <c r="BO328" i="2"/>
  <c r="Y328" i="2"/>
  <c r="X361" i="2"/>
  <c r="BO358" i="2"/>
  <c r="Y358" i="2"/>
  <c r="BP358" i="2" s="1"/>
  <c r="X381" i="2"/>
  <c r="BO378" i="2"/>
  <c r="Y378" i="2"/>
  <c r="BP378" i="2" s="1"/>
  <c r="X400" i="2"/>
  <c r="BO397" i="2"/>
  <c r="Y397" i="2"/>
  <c r="Y400" i="2" s="1"/>
  <c r="X412" i="2"/>
  <c r="BO407" i="2"/>
  <c r="Y407" i="2"/>
  <c r="BP407" i="2" s="1"/>
  <c r="X433" i="2"/>
  <c r="BO421" i="2"/>
  <c r="Y421" i="2"/>
  <c r="X463" i="2"/>
  <c r="BO458" i="2"/>
  <c r="Y458" i="2"/>
  <c r="Y463" i="2" s="1"/>
  <c r="X474" i="2"/>
  <c r="BO471" i="2"/>
  <c r="Y471" i="2"/>
  <c r="BP471" i="2" s="1"/>
  <c r="X483" i="2"/>
  <c r="BO480" i="2"/>
  <c r="Y480" i="2"/>
  <c r="Y483" i="2" s="1"/>
  <c r="BM34" i="2"/>
  <c r="BM46" i="2"/>
  <c r="BM72" i="2"/>
  <c r="X117" i="2"/>
  <c r="BM125" i="2"/>
  <c r="X137" i="2"/>
  <c r="X144" i="2"/>
  <c r="BO153" i="2"/>
  <c r="BO181" i="2"/>
  <c r="BO191" i="2"/>
  <c r="BO207" i="2"/>
  <c r="BO225" i="2"/>
  <c r="BO242" i="2"/>
  <c r="BO255" i="2"/>
  <c r="BO272" i="2"/>
  <c r="BO284" i="2"/>
  <c r="BO297" i="2"/>
  <c r="BO315" i="2"/>
  <c r="BM328" i="2"/>
  <c r="BM358" i="2"/>
  <c r="BM378" i="2"/>
  <c r="X399" i="2"/>
  <c r="BM407" i="2"/>
  <c r="X462" i="2"/>
  <c r="BM471" i="2"/>
  <c r="X482" i="2"/>
  <c r="F10" i="2"/>
  <c r="A10" i="2"/>
  <c r="BN22" i="2"/>
  <c r="BP26" i="2"/>
  <c r="BN26" i="2"/>
  <c r="Z26" i="2"/>
  <c r="Z27" i="2"/>
  <c r="BP27" i="2"/>
  <c r="BN27" i="2"/>
  <c r="Y35" i="2"/>
  <c r="BN34" i="2"/>
  <c r="BN41" i="2"/>
  <c r="BP41" i="2"/>
  <c r="Y48" i="2"/>
  <c r="Y47" i="2"/>
  <c r="BP46" i="2"/>
  <c r="BN46" i="2"/>
  <c r="Z46" i="2"/>
  <c r="Z47" i="2" s="1"/>
  <c r="BP56" i="2"/>
  <c r="BN56" i="2"/>
  <c r="BP61" i="2"/>
  <c r="BN61" i="2"/>
  <c r="Z61" i="2"/>
  <c r="BP67" i="2"/>
  <c r="BN67" i="2"/>
  <c r="Z67" i="2"/>
  <c r="BN73" i="2"/>
  <c r="BP73" i="2"/>
  <c r="BP75" i="2"/>
  <c r="Z75" i="2"/>
  <c r="Y83" i="2"/>
  <c r="Z80" i="2"/>
  <c r="BP92" i="2"/>
  <c r="BN92" i="2"/>
  <c r="Z92" i="2"/>
  <c r="Z95" i="2"/>
  <c r="BP95" i="2"/>
  <c r="BN95" i="2"/>
  <c r="BP101" i="2"/>
  <c r="BN101" i="2"/>
  <c r="Z101" i="2"/>
  <c r="BP103" i="2"/>
  <c r="BN103" i="2"/>
  <c r="Z103" i="2"/>
  <c r="BN108" i="2"/>
  <c r="BP108" i="2"/>
  <c r="BP126" i="2"/>
  <c r="BN126" i="2"/>
  <c r="Z126" i="2"/>
  <c r="BN131" i="2"/>
  <c r="BP131" i="2"/>
  <c r="BN135" i="2"/>
  <c r="Z142" i="2"/>
  <c r="BP142" i="2"/>
  <c r="BN142" i="2"/>
  <c r="BN164" i="2"/>
  <c r="BP164" i="2"/>
  <c r="BN170" i="2"/>
  <c r="BP170" i="2"/>
  <c r="BP176" i="2"/>
  <c r="BN176" i="2"/>
  <c r="Z176" i="2"/>
  <c r="Z181" i="2"/>
  <c r="Z182" i="2" s="1"/>
  <c r="Y183" i="2"/>
  <c r="Y182" i="2"/>
  <c r="BP181" i="2"/>
  <c r="BN181" i="2"/>
  <c r="BP187" i="2"/>
  <c r="BN187" i="2"/>
  <c r="Z187" i="2"/>
  <c r="BN203" i="2"/>
  <c r="BP203" i="2"/>
  <c r="BP208" i="2"/>
  <c r="BN208" i="2"/>
  <c r="Z212" i="2"/>
  <c r="BP212" i="2"/>
  <c r="BN212" i="2"/>
  <c r="BN214" i="2"/>
  <c r="BP214" i="2"/>
  <c r="BP225" i="2"/>
  <c r="BN225" i="2"/>
  <c r="Z228" i="2"/>
  <c r="BP228" i="2"/>
  <c r="BN228" i="2"/>
  <c r="BP230" i="2"/>
  <c r="BN230" i="2"/>
  <c r="Z230" i="2"/>
  <c r="BN234" i="2"/>
  <c r="BP234" i="2"/>
  <c r="Y244" i="2"/>
  <c r="Y243" i="2"/>
  <c r="BP242" i="2"/>
  <c r="BN242" i="2"/>
  <c r="Z242" i="2"/>
  <c r="Z243" i="2" s="1"/>
  <c r="BN247" i="2"/>
  <c r="BP247" i="2"/>
  <c r="BP248" i="2"/>
  <c r="BN248" i="2"/>
  <c r="Z248" i="2"/>
  <c r="BP249" i="2"/>
  <c r="Z249" i="2"/>
  <c r="BP250" i="2"/>
  <c r="BN250" i="2"/>
  <c r="Z250" i="2"/>
  <c r="BN256" i="2"/>
  <c r="Z256" i="2"/>
  <c r="BN257" i="2"/>
  <c r="BP257" i="2"/>
  <c r="BN258" i="2"/>
  <c r="BP258" i="2"/>
  <c r="BP264" i="2"/>
  <c r="BN264" i="2"/>
  <c r="Z264" i="2"/>
  <c r="BP267" i="2"/>
  <c r="BN267" i="2"/>
  <c r="BN273" i="2"/>
  <c r="Z273" i="2"/>
  <c r="BP280" i="2"/>
  <c r="BN280" i="2"/>
  <c r="Z280" i="2"/>
  <c r="BP289" i="2"/>
  <c r="BN289" i="2"/>
  <c r="Z289" i="2"/>
  <c r="BP292" i="2"/>
  <c r="BN292" i="2"/>
  <c r="Z292" i="2"/>
  <c r="BP298" i="2"/>
  <c r="BN298" i="2"/>
  <c r="BN302" i="2"/>
  <c r="BP302" i="2"/>
  <c r="BP307" i="2"/>
  <c r="Z307" i="2"/>
  <c r="BP308" i="2"/>
  <c r="BN308" i="2"/>
  <c r="BP309" i="2"/>
  <c r="BN309" i="2"/>
  <c r="Z309" i="2"/>
  <c r="BP321" i="2"/>
  <c r="Z321" i="2"/>
  <c r="BP322" i="2"/>
  <c r="BN322" i="2"/>
  <c r="BP324" i="2"/>
  <c r="BN324" i="2"/>
  <c r="Z324" i="2"/>
  <c r="Z329" i="2"/>
  <c r="BP329" i="2"/>
  <c r="BN329" i="2"/>
  <c r="BP335" i="2"/>
  <c r="BN335" i="2"/>
  <c r="Z335" i="2"/>
  <c r="BN354" i="2"/>
  <c r="BP354" i="2"/>
  <c r="BP359" i="2"/>
  <c r="BN359" i="2"/>
  <c r="Z359" i="2"/>
  <c r="BP369" i="2"/>
  <c r="Z369" i="2"/>
  <c r="BP386" i="2"/>
  <c r="BN386" i="2"/>
  <c r="Z386" i="2"/>
  <c r="BP388" i="2"/>
  <c r="BN388" i="2"/>
  <c r="Z388" i="2"/>
  <c r="BP392" i="2"/>
  <c r="BN392" i="2"/>
  <c r="Z392" i="2"/>
  <c r="BP398" i="2"/>
  <c r="BN398" i="2"/>
  <c r="Z398" i="2"/>
  <c r="BP410" i="2"/>
  <c r="Z410" i="2"/>
  <c r="BP415" i="2"/>
  <c r="Y417" i="2"/>
  <c r="Y416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BP443" i="2"/>
  <c r="Z443" i="2"/>
  <c r="BP444" i="2"/>
  <c r="BN444" i="2"/>
  <c r="Z444" i="2"/>
  <c r="Z445" i="2"/>
  <c r="BP445" i="2"/>
  <c r="BN445" i="2"/>
  <c r="BP450" i="2"/>
  <c r="BN450" i="2"/>
  <c r="Z450" i="2"/>
  <c r="BN459" i="2"/>
  <c r="BP459" i="2"/>
  <c r="BP461" i="2"/>
  <c r="Z461" i="2"/>
  <c r="BN476" i="2"/>
  <c r="Y478" i="2"/>
  <c r="Y477" i="2"/>
  <c r="BP476" i="2"/>
  <c r="Z476" i="2"/>
  <c r="Z477" i="2" s="1"/>
  <c r="BN481" i="2"/>
  <c r="BP481" i="2"/>
  <c r="Z499" i="2"/>
  <c r="Y488" i="2"/>
  <c r="BP114" i="2"/>
  <c r="BN114" i="2"/>
  <c r="Y161" i="2"/>
  <c r="Y160" i="2"/>
  <c r="Y286" i="2"/>
  <c r="Y285" i="2"/>
  <c r="BP284" i="2"/>
  <c r="BP168" i="2"/>
  <c r="BN168" i="2"/>
  <c r="Z168" i="2"/>
  <c r="Y269" i="2"/>
  <c r="BP265" i="2"/>
  <c r="Y268" i="2"/>
  <c r="BN265" i="2"/>
  <c r="M499" i="2"/>
  <c r="Z265" i="2"/>
  <c r="Y281" i="2"/>
  <c r="P499" i="2"/>
  <c r="BP279" i="2"/>
  <c r="BP348" i="2"/>
  <c r="BN348" i="2"/>
  <c r="Z348" i="2"/>
  <c r="BN159" i="2"/>
  <c r="Z279" i="2"/>
  <c r="BN284" i="2"/>
  <c r="BN410" i="2"/>
  <c r="BP373" i="2"/>
  <c r="BN373" i="2"/>
  <c r="BP431" i="2"/>
  <c r="BN431" i="2"/>
  <c r="BN68" i="2"/>
  <c r="Z68" i="2"/>
  <c r="BP159" i="2"/>
  <c r="Z192" i="2"/>
  <c r="L499" i="2"/>
  <c r="Z259" i="2"/>
  <c r="BN279" i="2"/>
  <c r="Z297" i="2"/>
  <c r="BP300" i="2"/>
  <c r="BN300" i="2"/>
  <c r="Z373" i="2"/>
  <c r="Z431" i="2"/>
  <c r="BP465" i="2"/>
  <c r="BN465" i="2"/>
  <c r="BP210" i="2"/>
  <c r="BN210" i="2"/>
  <c r="BP226" i="2"/>
  <c r="BN226" i="2"/>
  <c r="BN428" i="2"/>
  <c r="Z465" i="2"/>
  <c r="BN192" i="2"/>
  <c r="BN259" i="2"/>
  <c r="BN297" i="2"/>
  <c r="BP446" i="2"/>
  <c r="Z446" i="2"/>
  <c r="BN446" i="2"/>
  <c r="BP68" i="2"/>
  <c r="BN80" i="2"/>
  <c r="BP80" i="2"/>
  <c r="BN207" i="2"/>
  <c r="BP390" i="2"/>
  <c r="BN390" i="2"/>
  <c r="BP192" i="2"/>
  <c r="BP297" i="2"/>
  <c r="BP315" i="2"/>
  <c r="BN315" i="2"/>
  <c r="BP408" i="2"/>
  <c r="BN408" i="2"/>
  <c r="BN443" i="2"/>
  <c r="BP460" i="2"/>
  <c r="BN460" i="2"/>
  <c r="BP472" i="2"/>
  <c r="Z116" i="2"/>
  <c r="BP207" i="2"/>
  <c r="BP256" i="2"/>
  <c r="BP273" i="2"/>
  <c r="Z315" i="2"/>
  <c r="Z408" i="2"/>
  <c r="Z460" i="2"/>
  <c r="Z472" i="2"/>
  <c r="Y70" i="2"/>
  <c r="Y155" i="2"/>
  <c r="Y154" i="2"/>
  <c r="Z153" i="2"/>
  <c r="Z154" i="2" s="1"/>
  <c r="BN153" i="2"/>
  <c r="BP220" i="2"/>
  <c r="BN220" i="2"/>
  <c r="Z267" i="2"/>
  <c r="BP336" i="2"/>
  <c r="BN336" i="2"/>
  <c r="Z336" i="2"/>
  <c r="BP93" i="2"/>
  <c r="BN116" i="2"/>
  <c r="Y405" i="2"/>
  <c r="Y404" i="2"/>
  <c r="BP403" i="2"/>
  <c r="BN472" i="2"/>
  <c r="BP310" i="2"/>
  <c r="BN310" i="2"/>
  <c r="Y375" i="2"/>
  <c r="BN75" i="2"/>
  <c r="BP153" i="2"/>
  <c r="Z164" i="2"/>
  <c r="Z310" i="2"/>
  <c r="BP385" i="2"/>
  <c r="BN385" i="2"/>
  <c r="Z385" i="2"/>
  <c r="BP81" i="2"/>
  <c r="Z81" i="2"/>
  <c r="BN81" i="2"/>
  <c r="BN148" i="2"/>
  <c r="Z148" i="2"/>
  <c r="BN93" i="2"/>
  <c r="BP290" i="2"/>
  <c r="BN290" i="2"/>
  <c r="Z302" i="2"/>
  <c r="BN307" i="2"/>
  <c r="BN403" i="2"/>
  <c r="BP148" i="2"/>
  <c r="Y282" i="2"/>
  <c r="Z290" i="2"/>
  <c r="Z322" i="2"/>
  <c r="Y376" i="2"/>
  <c r="BP28" i="2"/>
  <c r="BN28" i="2"/>
  <c r="Y82" i="2"/>
  <c r="BP436" i="2"/>
  <c r="BN436" i="2"/>
  <c r="Z451" i="2"/>
  <c r="Y193" i="2"/>
  <c r="Z107" i="2"/>
  <c r="Z170" i="2"/>
  <c r="Z234" i="2"/>
  <c r="F9" i="2"/>
  <c r="Z73" i="2"/>
  <c r="Z203" i="2"/>
  <c r="Z257" i="2"/>
  <c r="H9" i="2"/>
  <c r="Z56" i="2"/>
  <c r="Z175" i="2"/>
  <c r="Z208" i="2"/>
  <c r="Z298" i="2"/>
  <c r="Z308" i="2"/>
  <c r="Z429" i="2"/>
  <c r="BN451" i="2"/>
  <c r="Z486" i="2"/>
  <c r="Z487" i="2" s="1"/>
  <c r="J9" i="2"/>
  <c r="BN107" i="2"/>
  <c r="Y194" i="2"/>
  <c r="Y260" i="2"/>
  <c r="BN486" i="2"/>
  <c r="Z374" i="2"/>
  <c r="Z466" i="2"/>
  <c r="Z29" i="2"/>
  <c r="Z54" i="2"/>
  <c r="BN66" i="2"/>
  <c r="Y69" i="2"/>
  <c r="Z87" i="2"/>
  <c r="BP175" i="2"/>
  <c r="BN249" i="2"/>
  <c r="Y261" i="2"/>
  <c r="Z316" i="2"/>
  <c r="BN369" i="2"/>
  <c r="Z379" i="2"/>
  <c r="Z415" i="2"/>
  <c r="Z416" i="2" s="1"/>
  <c r="Z427" i="2"/>
  <c r="Z437" i="2"/>
  <c r="BN461" i="2"/>
  <c r="BP486" i="2"/>
  <c r="Z201" i="2"/>
  <c r="BN232" i="2"/>
  <c r="BN266" i="2"/>
  <c r="BN374" i="2"/>
  <c r="BN466" i="2"/>
  <c r="W499" i="2"/>
  <c r="Z232" i="2"/>
  <c r="Z255" i="2"/>
  <c r="Z266" i="2"/>
  <c r="BN191" i="2"/>
  <c r="BN201" i="2"/>
  <c r="BN255" i="2"/>
  <c r="BN29" i="2"/>
  <c r="Z41" i="2"/>
  <c r="BN54" i="2"/>
  <c r="BP66" i="2"/>
  <c r="BN87" i="2"/>
  <c r="Z108" i="2"/>
  <c r="Z131" i="2"/>
  <c r="Z214" i="2"/>
  <c r="Z247" i="2"/>
  <c r="Z258" i="2"/>
  <c r="BN316" i="2"/>
  <c r="Z354" i="2"/>
  <c r="BN379" i="2"/>
  <c r="BN415" i="2"/>
  <c r="BN427" i="2"/>
  <c r="BN437" i="2"/>
  <c r="Z459" i="2"/>
  <c r="Z481" i="2"/>
  <c r="Y487" i="2"/>
  <c r="Z191" i="2"/>
  <c r="Z225" i="2"/>
  <c r="Y221" i="2" l="1"/>
  <c r="BN238" i="2"/>
  <c r="Y239" i="2"/>
  <c r="BP435" i="2"/>
  <c r="Y364" i="2"/>
  <c r="BP246" i="2"/>
  <c r="BN219" i="2"/>
  <c r="BP186" i="2"/>
  <c r="BN186" i="2"/>
  <c r="Y439" i="2"/>
  <c r="BN363" i="2"/>
  <c r="Z186" i="2"/>
  <c r="BN147" i="2"/>
  <c r="Y23" i="2"/>
  <c r="Z135" i="2"/>
  <c r="Z34" i="2"/>
  <c r="Z35" i="2" s="1"/>
  <c r="BP34" i="2"/>
  <c r="Z22" i="2"/>
  <c r="Z23" i="2" s="1"/>
  <c r="BP22" i="2"/>
  <c r="Y252" i="2"/>
  <c r="Y189" i="2"/>
  <c r="Z246" i="2"/>
  <c r="Y251" i="2"/>
  <c r="Y222" i="2"/>
  <c r="BP238" i="2"/>
  <c r="Y240" i="2"/>
  <c r="BN435" i="2"/>
  <c r="Y438" i="2"/>
  <c r="Z363" i="2"/>
  <c r="Z364" i="2" s="1"/>
  <c r="BP363" i="2"/>
  <c r="Z219" i="2"/>
  <c r="Z221" i="2" s="1"/>
  <c r="Z147" i="2"/>
  <c r="Y150" i="2"/>
  <c r="BP62" i="2"/>
  <c r="BN115" i="2"/>
  <c r="BN467" i="2"/>
  <c r="Y97" i="2"/>
  <c r="BN94" i="2"/>
  <c r="BP76" i="2"/>
  <c r="Z291" i="2"/>
  <c r="Z136" i="2"/>
  <c r="Z137" i="2" s="1"/>
  <c r="BN480" i="2"/>
  <c r="BP53" i="2"/>
  <c r="BN102" i="2"/>
  <c r="BP30" i="2"/>
  <c r="Z281" i="2"/>
  <c r="Z452" i="2"/>
  <c r="Z453" i="2" s="1"/>
  <c r="Z303" i="2"/>
  <c r="Z120" i="2"/>
  <c r="Z121" i="2" s="1"/>
  <c r="BN397" i="2"/>
  <c r="Y31" i="2"/>
  <c r="BN330" i="2"/>
  <c r="BP102" i="2"/>
  <c r="Y32" i="2"/>
  <c r="Z233" i="2"/>
  <c r="BN109" i="2"/>
  <c r="Y178" i="2"/>
  <c r="BP480" i="2"/>
  <c r="BP293" i="2"/>
  <c r="BP141" i="2"/>
  <c r="Y132" i="2"/>
  <c r="Y332" i="2"/>
  <c r="BP213" i="2"/>
  <c r="BN209" i="2"/>
  <c r="Z391" i="2"/>
  <c r="BP458" i="2"/>
  <c r="BN458" i="2"/>
  <c r="Y462" i="2"/>
  <c r="B499" i="2"/>
  <c r="Y399" i="2"/>
  <c r="Z30" i="2"/>
  <c r="Z31" i="2" s="1"/>
  <c r="Z115" i="2"/>
  <c r="BN421" i="2"/>
  <c r="Y482" i="2"/>
  <c r="Z458" i="2"/>
  <c r="Z462" i="2" s="1"/>
  <c r="BN452" i="2"/>
  <c r="Y453" i="2"/>
  <c r="BP337" i="2"/>
  <c r="Y338" i="2"/>
  <c r="Z299" i="2"/>
  <c r="BP149" i="2"/>
  <c r="BN130" i="2"/>
  <c r="Y122" i="2"/>
  <c r="BN62" i="2"/>
  <c r="Y144" i="2"/>
  <c r="Z330" i="2"/>
  <c r="Y318" i="2"/>
  <c r="Y319" i="2"/>
  <c r="BN229" i="2"/>
  <c r="Z231" i="2"/>
  <c r="Y276" i="2"/>
  <c r="BP389" i="2"/>
  <c r="BN387" i="2"/>
  <c r="Y360" i="2"/>
  <c r="BN317" i="2"/>
  <c r="Z317" i="2"/>
  <c r="Z318" i="2" s="1"/>
  <c r="BN311" i="2"/>
  <c r="Y313" i="2"/>
  <c r="Y275" i="2"/>
  <c r="Z274" i="2"/>
  <c r="BN274" i="2"/>
  <c r="Z229" i="2"/>
  <c r="Z227" i="2"/>
  <c r="K499" i="2"/>
  <c r="Y179" i="2"/>
  <c r="BP177" i="2"/>
  <c r="BN113" i="2"/>
  <c r="Z94" i="2"/>
  <c r="Z96" i="2" s="1"/>
  <c r="BP94" i="2"/>
  <c r="Z82" i="2"/>
  <c r="BP303" i="2"/>
  <c r="BN233" i="2"/>
  <c r="Z141" i="2"/>
  <c r="Z144" i="2" s="1"/>
  <c r="Y118" i="2"/>
  <c r="Z480" i="2"/>
  <c r="Z482" i="2" s="1"/>
  <c r="Z467" i="2"/>
  <c r="Z468" i="2" s="1"/>
  <c r="Y468" i="2"/>
  <c r="Y469" i="2"/>
  <c r="BP452" i="2"/>
  <c r="Z421" i="2"/>
  <c r="BP421" i="2"/>
  <c r="Z397" i="2"/>
  <c r="Z399" i="2" s="1"/>
  <c r="BP397" i="2"/>
  <c r="Z393" i="2"/>
  <c r="BN391" i="2"/>
  <c r="BP347" i="2"/>
  <c r="Z337" i="2"/>
  <c r="Z338" i="2" s="1"/>
  <c r="R499" i="2"/>
  <c r="BN323" i="2"/>
  <c r="BP299" i="2"/>
  <c r="Y295" i="2"/>
  <c r="Z293" i="2"/>
  <c r="Z272" i="2"/>
  <c r="BN215" i="2"/>
  <c r="Z215" i="2"/>
  <c r="BN143" i="2"/>
  <c r="BN55" i="2"/>
  <c r="BN42" i="2"/>
  <c r="Z387" i="2"/>
  <c r="Y326" i="2"/>
  <c r="BP167" i="2"/>
  <c r="BN53" i="2"/>
  <c r="BP125" i="2"/>
  <c r="BN125" i="2"/>
  <c r="BN378" i="2"/>
  <c r="Z438" i="2"/>
  <c r="BN409" i="2"/>
  <c r="BN407" i="2"/>
  <c r="U499" i="2"/>
  <c r="BN389" i="2"/>
  <c r="Y395" i="2"/>
  <c r="BN349" i="2"/>
  <c r="BN345" i="2"/>
  <c r="Z345" i="2"/>
  <c r="BP328" i="2"/>
  <c r="Z311" i="2"/>
  <c r="Z312" i="2" s="1"/>
  <c r="Y312" i="2"/>
  <c r="BN291" i="2"/>
  <c r="BN227" i="2"/>
  <c r="Y236" i="2"/>
  <c r="Y235" i="2"/>
  <c r="Z213" i="2"/>
  <c r="BP200" i="2"/>
  <c r="Z193" i="2"/>
  <c r="BN177" i="2"/>
  <c r="BP171" i="2"/>
  <c r="BP143" i="2"/>
  <c r="BP136" i="2"/>
  <c r="Y137" i="2"/>
  <c r="Y127" i="2"/>
  <c r="Z88" i="2"/>
  <c r="BN88" i="2"/>
  <c r="BN76" i="2"/>
  <c r="Z42" i="2"/>
  <c r="Y394" i="2"/>
  <c r="BN393" i="2"/>
  <c r="Z349" i="2"/>
  <c r="BN231" i="2"/>
  <c r="Z209" i="2"/>
  <c r="Z149" i="2"/>
  <c r="Z150" i="2" s="1"/>
  <c r="Z55" i="2"/>
  <c r="BN272" i="2"/>
  <c r="BN120" i="2"/>
  <c r="Z358" i="2"/>
  <c r="Z360" i="2" s="1"/>
  <c r="Z130" i="2"/>
  <c r="Z132" i="2" s="1"/>
  <c r="Y361" i="2"/>
  <c r="Y381" i="2"/>
  <c r="Y380" i="2"/>
  <c r="Z378" i="2"/>
  <c r="Z380" i="2" s="1"/>
  <c r="Z328" i="2"/>
  <c r="O499" i="2"/>
  <c r="BP130" i="2"/>
  <c r="Y121" i="2"/>
  <c r="Y78" i="2"/>
  <c r="Y499" i="2"/>
  <c r="Z471" i="2"/>
  <c r="Z473" i="2" s="1"/>
  <c r="Y473" i="2"/>
  <c r="Z409" i="2"/>
  <c r="Z347" i="2"/>
  <c r="BN337" i="2"/>
  <c r="Z323" i="2"/>
  <c r="Z325" i="2" s="1"/>
  <c r="Y325" i="2"/>
  <c r="Y304" i="2"/>
  <c r="Y294" i="2"/>
  <c r="Y216" i="2"/>
  <c r="BN202" i="2"/>
  <c r="Z202" i="2"/>
  <c r="BN149" i="2"/>
  <c r="Y151" i="2"/>
  <c r="Y145" i="2"/>
  <c r="H499" i="2"/>
  <c r="Y117" i="2"/>
  <c r="Z113" i="2"/>
  <c r="Y110" i="2"/>
  <c r="Y111" i="2"/>
  <c r="Z109" i="2"/>
  <c r="Z110" i="2" s="1"/>
  <c r="Z74" i="2"/>
  <c r="BP74" i="2"/>
  <c r="Y77" i="2"/>
  <c r="BN72" i="2"/>
  <c r="Z69" i="2"/>
  <c r="BN301" i="2"/>
  <c r="Z301" i="2"/>
  <c r="Q499" i="2"/>
  <c r="Y305" i="2"/>
  <c r="Z211" i="2"/>
  <c r="BN211" i="2"/>
  <c r="Y217" i="2"/>
  <c r="BN200" i="2"/>
  <c r="Z178" i="2"/>
  <c r="Z171" i="2"/>
  <c r="BN167" i="2"/>
  <c r="BN471" i="2"/>
  <c r="Y331" i="2"/>
  <c r="Y474" i="2"/>
  <c r="BP72" i="2"/>
  <c r="V499" i="2"/>
  <c r="Z125" i="2"/>
  <c r="Z127" i="2" s="1"/>
  <c r="G499" i="2"/>
  <c r="Y411" i="2"/>
  <c r="Y412" i="2"/>
  <c r="Z407" i="2"/>
  <c r="BN358" i="2"/>
  <c r="BN328" i="2"/>
  <c r="BN136" i="2"/>
  <c r="Z72" i="2"/>
  <c r="Z260" i="2"/>
  <c r="Z251" i="2"/>
  <c r="Z375" i="2"/>
  <c r="Z188" i="2"/>
  <c r="Z268" i="2"/>
  <c r="Z294" i="2" l="1"/>
  <c r="Z275" i="2"/>
  <c r="Z331" i="2"/>
  <c r="Z117" i="2"/>
  <c r="Z77" i="2"/>
  <c r="Z304" i="2"/>
  <c r="Z394" i="2"/>
  <c r="Z235" i="2"/>
  <c r="Z216" i="2"/>
  <c r="Z411" i="2"/>
  <c r="BM343" i="2" l="1"/>
  <c r="Y343" i="2"/>
  <c r="BO343" i="2"/>
  <c r="BO346" i="2"/>
  <c r="Y346" i="2"/>
  <c r="BM346" i="2"/>
  <c r="BM344" i="2"/>
  <c r="BO344" i="2"/>
  <c r="Y344" i="2"/>
  <c r="X351" i="2"/>
  <c r="X350" i="2"/>
  <c r="BO52" i="2"/>
  <c r="Y52" i="2"/>
  <c r="BM52" i="2"/>
  <c r="BP343" i="2" l="1"/>
  <c r="BN343" i="2"/>
  <c r="Z343" i="2"/>
  <c r="Z346" i="2"/>
  <c r="BN346" i="2"/>
  <c r="BP346" i="2"/>
  <c r="BN344" i="2"/>
  <c r="Z344" i="2"/>
  <c r="BP344" i="2"/>
  <c r="Y350" i="2"/>
  <c r="Y351" i="2"/>
  <c r="BP52" i="2"/>
  <c r="Z52" i="2"/>
  <c r="BN52" i="2"/>
  <c r="Z350" i="2" l="1"/>
  <c r="BM199" i="2" l="1"/>
  <c r="BO199" i="2"/>
  <c r="Y199" i="2"/>
  <c r="BM86" i="2"/>
  <c r="X90" i="2"/>
  <c r="Y86" i="2"/>
  <c r="X89" i="2"/>
  <c r="BO86" i="2"/>
  <c r="BO198" i="2"/>
  <c r="BM198" i="2"/>
  <c r="Y198" i="2"/>
  <c r="BM197" i="2"/>
  <c r="BO197" i="2"/>
  <c r="Y197" i="2"/>
  <c r="BP199" i="2" l="1"/>
  <c r="Z199" i="2"/>
  <c r="BN199" i="2"/>
  <c r="Z86" i="2"/>
  <c r="Z89" i="2" s="1"/>
  <c r="Y89" i="2"/>
  <c r="E499" i="2"/>
  <c r="BP86" i="2"/>
  <c r="BN86" i="2"/>
  <c r="Y90" i="2"/>
  <c r="BN198" i="2"/>
  <c r="Z198" i="2"/>
  <c r="BP198" i="2"/>
  <c r="BP197" i="2"/>
  <c r="Z197" i="2"/>
  <c r="BN197" i="2"/>
  <c r="Y51" i="2" l="1"/>
  <c r="BO51" i="2"/>
  <c r="BM51" i="2"/>
  <c r="X57" i="2"/>
  <c r="X58" i="2"/>
  <c r="BN51" i="2" l="1"/>
  <c r="BP51" i="2"/>
  <c r="Z51" i="2"/>
  <c r="Z57" i="2" s="1"/>
  <c r="Y57" i="2"/>
  <c r="Y58" i="2"/>
  <c r="Y423" i="2" l="1"/>
  <c r="BO423" i="2"/>
  <c r="BM423" i="2"/>
  <c r="BP423" i="2" l="1"/>
  <c r="Z423" i="2"/>
  <c r="BN423" i="2"/>
  <c r="BM368" i="2"/>
  <c r="X371" i="2"/>
  <c r="Y368" i="2"/>
  <c r="BO368" i="2"/>
  <c r="X370" i="2"/>
  <c r="BM169" i="2" l="1"/>
  <c r="BO169" i="2"/>
  <c r="Y169" i="2"/>
  <c r="BO196" i="2"/>
  <c r="Y196" i="2"/>
  <c r="X204" i="2"/>
  <c r="BM196" i="2"/>
  <c r="X205" i="2"/>
  <c r="Y163" i="2"/>
  <c r="X173" i="2"/>
  <c r="BO163" i="2"/>
  <c r="BM163" i="2"/>
  <c r="BO166" i="2"/>
  <c r="Y166" i="2"/>
  <c r="BM166" i="2"/>
  <c r="BM165" i="2"/>
  <c r="BO165" i="2"/>
  <c r="X172" i="2"/>
  <c r="Y165" i="2"/>
  <c r="BO442" i="2"/>
  <c r="Y442" i="2"/>
  <c r="BM442" i="2"/>
  <c r="X448" i="2"/>
  <c r="Y441" i="2"/>
  <c r="X447" i="2"/>
  <c r="BO441" i="2"/>
  <c r="BM441" i="2"/>
  <c r="BM60" i="2"/>
  <c r="X64" i="2"/>
  <c r="Y60" i="2"/>
  <c r="X63" i="2"/>
  <c r="BO60" i="2"/>
  <c r="X356" i="2"/>
  <c r="BO353" i="2"/>
  <c r="Y353" i="2"/>
  <c r="X355" i="2"/>
  <c r="BM353" i="2"/>
  <c r="BM426" i="2"/>
  <c r="BO426" i="2"/>
  <c r="Y426" i="2"/>
  <c r="X432" i="2"/>
  <c r="X104" i="2"/>
  <c r="X105" i="2"/>
  <c r="Y100" i="2"/>
  <c r="BO100" i="2"/>
  <c r="BM100" i="2"/>
  <c r="X44" i="2"/>
  <c r="BM40" i="2"/>
  <c r="X43" i="2"/>
  <c r="Y40" i="2"/>
  <c r="BO40" i="2"/>
  <c r="Y371" i="2"/>
  <c r="Z368" i="2"/>
  <c r="Z370" i="2" s="1"/>
  <c r="BP368" i="2"/>
  <c r="Y370" i="2"/>
  <c r="T499" i="2"/>
  <c r="BN368" i="2"/>
  <c r="BP169" i="2" l="1"/>
  <c r="Z169" i="2"/>
  <c r="BN169" i="2"/>
  <c r="X489" i="2"/>
  <c r="Z196" i="2"/>
  <c r="Z204" i="2" s="1"/>
  <c r="BN196" i="2"/>
  <c r="BP196" i="2"/>
  <c r="Y204" i="2"/>
  <c r="Y205" i="2"/>
  <c r="J499" i="2"/>
  <c r="BP163" i="2"/>
  <c r="BN163" i="2"/>
  <c r="Z163" i="2"/>
  <c r="BP166" i="2"/>
  <c r="Z166" i="2"/>
  <c r="BN166" i="2"/>
  <c r="BP165" i="2"/>
  <c r="Z165" i="2"/>
  <c r="Y172" i="2"/>
  <c r="BN165" i="2"/>
  <c r="Y173" i="2"/>
  <c r="I499" i="2"/>
  <c r="BP442" i="2"/>
  <c r="Z442" i="2"/>
  <c r="BN442" i="2"/>
  <c r="Y447" i="2"/>
  <c r="BN441" i="2"/>
  <c r="Z441" i="2"/>
  <c r="Z447" i="2" s="1"/>
  <c r="Y448" i="2"/>
  <c r="BP441" i="2"/>
  <c r="BP60" i="2"/>
  <c r="Z60" i="2"/>
  <c r="Z63" i="2" s="1"/>
  <c r="BN60" i="2"/>
  <c r="Y64" i="2"/>
  <c r="Y63" i="2"/>
  <c r="D499" i="2"/>
  <c r="X491" i="2"/>
  <c r="X490" i="2"/>
  <c r="BP353" i="2"/>
  <c r="Y355" i="2"/>
  <c r="Z353" i="2"/>
  <c r="Z355" i="2" s="1"/>
  <c r="Y356" i="2"/>
  <c r="BN353" i="2"/>
  <c r="S499" i="2"/>
  <c r="Z426" i="2"/>
  <c r="Z432" i="2" s="1"/>
  <c r="BP426" i="2"/>
  <c r="BN426" i="2"/>
  <c r="Y432" i="2"/>
  <c r="Y433" i="2"/>
  <c r="X499" i="2"/>
  <c r="X493" i="2"/>
  <c r="Y104" i="2"/>
  <c r="BN100" i="2"/>
  <c r="Y105" i="2"/>
  <c r="BP100" i="2"/>
  <c r="Z100" i="2"/>
  <c r="Z104" i="2" s="1"/>
  <c r="F499" i="2"/>
  <c r="BP40" i="2"/>
  <c r="Y44" i="2"/>
  <c r="BN40" i="2"/>
  <c r="Z40" i="2"/>
  <c r="Z43" i="2" s="1"/>
  <c r="Y43" i="2"/>
  <c r="C499" i="2"/>
  <c r="Z172" i="2" l="1"/>
  <c r="X492" i="2"/>
  <c r="Z494" i="2"/>
  <c r="Y489" i="2"/>
  <c r="Y493" i="2"/>
  <c r="Y490" i="2"/>
  <c r="Y491" i="2"/>
  <c r="Y492" i="2" l="1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<sst xmlns="http://schemas.openxmlformats.org/spreadsheetml/2006/main" count="3606" uniqueCount="771">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</sst>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D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3" t="s">
        <v>26</v>
      </c>
      <c r="E1" s="853"/>
      <c r="F1" s="853"/>
      <c r="G1" s="14" t="s">
        <v>66</v>
      </c>
      <c r="H1" s="853" t="s">
        <v>46</v>
      </c>
      <c r="I1" s="853"/>
      <c r="J1" s="853"/>
      <c r="K1" s="853"/>
      <c r="L1" s="853"/>
      <c r="M1" s="853"/>
      <c r="N1" s="853"/>
      <c r="O1" s="853"/>
      <c r="P1" s="853"/>
      <c r="Q1" s="853"/>
      <c r="R1" s="854" t="s">
        <v>67</v>
      </c>
      <c r="S1" s="855"/>
      <c r="T1" s="85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56"/>
      <c r="R2" s="856"/>
      <c r="S2" s="856"/>
      <c r="T2" s="856"/>
      <c r="U2" s="856"/>
      <c r="V2" s="856"/>
      <c r="W2" s="85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56"/>
      <c r="Q3" s="856"/>
      <c r="R3" s="856"/>
      <c r="S3" s="856"/>
      <c r="T3" s="856"/>
      <c r="U3" s="856"/>
      <c r="V3" s="856"/>
      <c r="W3" s="85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35" t="s">
        <v>8</v>
      </c>
      <c r="B5" s="835"/>
      <c r="C5" s="835"/>
      <c r="D5" s="857"/>
      <c r="E5" s="857"/>
      <c r="F5" s="858" t="s">
        <v>14</v>
      </c>
      <c r="G5" s="858"/>
      <c r="H5" s="857"/>
      <c r="I5" s="857"/>
      <c r="J5" s="857"/>
      <c r="K5" s="857"/>
      <c r="L5" s="857"/>
      <c r="M5" s="857"/>
      <c r="N5" s="69"/>
      <c r="P5" s="26" t="s">
        <v>4</v>
      </c>
      <c r="Q5" s="859">
        <v>46020</v>
      </c>
      <c r="R5" s="859"/>
      <c r="T5" s="860" t="s">
        <v>3</v>
      </c>
      <c r="U5" s="861"/>
      <c r="V5" s="862" t="s">
        <v>742</v>
      </c>
      <c r="W5" s="863"/>
      <c r="AB5" s="57"/>
      <c r="AC5" s="57"/>
      <c r="AD5" s="57"/>
      <c r="AE5" s="57"/>
    </row>
    <row r="6" spans="1:32" s="17" customFormat="1" ht="24" customHeight="1" x14ac:dyDescent="0.2">
      <c r="A6" s="835" t="s">
        <v>1</v>
      </c>
      <c r="B6" s="835"/>
      <c r="C6" s="835"/>
      <c r="D6" s="836" t="s">
        <v>747</v>
      </c>
      <c r="E6" s="836"/>
      <c r="F6" s="836"/>
      <c r="G6" s="836"/>
      <c r="H6" s="836"/>
      <c r="I6" s="836"/>
      <c r="J6" s="836"/>
      <c r="K6" s="836"/>
      <c r="L6" s="836"/>
      <c r="M6" s="836"/>
      <c r="N6" s="70"/>
      <c r="P6" s="26" t="s">
        <v>27</v>
      </c>
      <c r="Q6" s="837" t="str">
        <f>IF(Q5=0," ",CHOOSE(WEEKDAY(Q5,2),"Понедельник","Вторник","Среда","Четверг","Пятница","Суббота","Воскресенье"))</f>
        <v>Понедельник</v>
      </c>
      <c r="R6" s="837"/>
      <c r="T6" s="838" t="s">
        <v>5</v>
      </c>
      <c r="U6" s="839"/>
      <c r="V6" s="840" t="s">
        <v>69</v>
      </c>
      <c r="W6" s="84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46" t="str">
        <f>IFERROR(VLOOKUP(DeliveryAddress,Table,3,0),1)</f>
        <v>2</v>
      </c>
      <c r="E7" s="847"/>
      <c r="F7" s="847"/>
      <c r="G7" s="847"/>
      <c r="H7" s="847"/>
      <c r="I7" s="847"/>
      <c r="J7" s="847"/>
      <c r="K7" s="847"/>
      <c r="L7" s="847"/>
      <c r="M7" s="848"/>
      <c r="N7" s="71"/>
      <c r="P7" s="26"/>
      <c r="Q7" s="46"/>
      <c r="R7" s="46"/>
      <c r="T7" s="838"/>
      <c r="U7" s="839"/>
      <c r="V7" s="842"/>
      <c r="W7" s="843"/>
      <c r="AB7" s="57"/>
      <c r="AC7" s="57"/>
      <c r="AD7" s="57"/>
      <c r="AE7" s="57"/>
    </row>
    <row r="8" spans="1:32" s="17" customFormat="1" ht="25.5" customHeight="1" x14ac:dyDescent="0.2">
      <c r="A8" s="849" t="s">
        <v>57</v>
      </c>
      <c r="B8" s="849"/>
      <c r="C8" s="849"/>
      <c r="D8" s="850"/>
      <c r="E8" s="850"/>
      <c r="F8" s="850"/>
      <c r="G8" s="850"/>
      <c r="H8" s="850"/>
      <c r="I8" s="850"/>
      <c r="J8" s="850"/>
      <c r="K8" s="850"/>
      <c r="L8" s="850"/>
      <c r="M8" s="850"/>
      <c r="N8" s="72"/>
      <c r="P8" s="26" t="s">
        <v>11</v>
      </c>
      <c r="Q8" s="833"/>
      <c r="R8" s="833"/>
      <c r="T8" s="838"/>
      <c r="U8" s="839"/>
      <c r="V8" s="842"/>
      <c r="W8" s="843"/>
      <c r="AB8" s="57"/>
      <c r="AC8" s="57"/>
      <c r="AD8" s="57"/>
      <c r="AE8" s="57"/>
    </row>
    <row r="9" spans="1:32" s="17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25"/>
      <c r="C9" s="825"/>
      <c r="D9" s="826" t="s">
        <v>45</v>
      </c>
      <c r="E9" s="827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25"/>
      <c r="H9" s="851" t="str">
        <f>IF(AND($A$9="Тип доверенности/получателя при получении в адресе перегруза:",$D$9="Разовая доверенность"),"Введите ФИО","")</f>
        <v/>
      </c>
      <c r="I9" s="851"/>
      <c r="J9" s="8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1"/>
      <c r="L9" s="851"/>
      <c r="M9" s="851"/>
      <c r="N9" s="67"/>
      <c r="P9" s="29" t="s">
        <v>15</v>
      </c>
      <c r="Q9" s="852">
        <v>46020</v>
      </c>
      <c r="R9" s="852"/>
      <c r="T9" s="838"/>
      <c r="U9" s="839"/>
      <c r="V9" s="844"/>
      <c r="W9" s="84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25"/>
      <c r="C10" s="825"/>
      <c r="D10" s="826"/>
      <c r="E10" s="827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25"/>
      <c r="H10" s="828" t="str">
        <f>IFERROR(VLOOKUP($D$10,Proxy,2,FALSE),"")</f>
        <v/>
      </c>
      <c r="I10" s="828"/>
      <c r="J10" s="828"/>
      <c r="K10" s="828"/>
      <c r="L10" s="828"/>
      <c r="M10" s="828"/>
      <c r="N10" s="68"/>
      <c r="P10" s="29" t="s">
        <v>32</v>
      </c>
      <c r="Q10" s="829">
        <v>0.54166666666666663</v>
      </c>
      <c r="R10" s="829"/>
      <c r="U10" s="26" t="s">
        <v>12</v>
      </c>
      <c r="V10" s="830" t="s">
        <v>70</v>
      </c>
      <c r="W10" s="83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2"/>
      <c r="R11" s="832"/>
      <c r="U11" s="26" t="s">
        <v>28</v>
      </c>
      <c r="V11" s="811" t="s">
        <v>54</v>
      </c>
      <c r="W11" s="81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0" t="s">
        <v>71</v>
      </c>
      <c r="B12" s="810"/>
      <c r="C12" s="810"/>
      <c r="D12" s="810"/>
      <c r="E12" s="810"/>
      <c r="F12" s="810"/>
      <c r="G12" s="810"/>
      <c r="H12" s="810"/>
      <c r="I12" s="810"/>
      <c r="J12" s="810"/>
      <c r="K12" s="810"/>
      <c r="L12" s="810"/>
      <c r="M12" s="810"/>
      <c r="N12" s="73"/>
      <c r="P12" s="26" t="s">
        <v>30</v>
      </c>
      <c r="Q12" s="833"/>
      <c r="R12" s="833"/>
      <c r="S12" s="27"/>
      <c r="T12"/>
      <c r="U12" s="26" t="s">
        <v>45</v>
      </c>
      <c r="V12" s="834"/>
      <c r="W12" s="834"/>
      <c r="X12"/>
      <c r="AB12" s="57"/>
      <c r="AC12" s="57"/>
      <c r="AD12" s="57"/>
      <c r="AE12" s="57"/>
    </row>
    <row r="13" spans="1:32" s="17" customFormat="1" ht="23.25" customHeight="1" x14ac:dyDescent="0.2">
      <c r="A13" s="810" t="s">
        <v>72</v>
      </c>
      <c r="B13" s="810"/>
      <c r="C13" s="810"/>
      <c r="D13" s="810"/>
      <c r="E13" s="810"/>
      <c r="F13" s="810"/>
      <c r="G13" s="810"/>
      <c r="H13" s="810"/>
      <c r="I13" s="810"/>
      <c r="J13" s="810"/>
      <c r="K13" s="810"/>
      <c r="L13" s="810"/>
      <c r="M13" s="810"/>
      <c r="N13" s="73"/>
      <c r="O13" s="29"/>
      <c r="P13" s="29" t="s">
        <v>31</v>
      </c>
      <c r="Q13" s="811"/>
      <c r="R13" s="81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0" t="s">
        <v>73</v>
      </c>
      <c r="B14" s="810"/>
      <c r="C14" s="810"/>
      <c r="D14" s="810"/>
      <c r="E14" s="810"/>
      <c r="F14" s="810"/>
      <c r="G14" s="810"/>
      <c r="H14" s="810"/>
      <c r="I14" s="810"/>
      <c r="J14" s="810"/>
      <c r="K14" s="810"/>
      <c r="L14" s="810"/>
      <c r="M14" s="81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2" t="s">
        <v>74</v>
      </c>
      <c r="B15" s="812"/>
      <c r="C15" s="812"/>
      <c r="D15" s="812"/>
      <c r="E15" s="812"/>
      <c r="F15" s="812"/>
      <c r="G15" s="812"/>
      <c r="H15" s="812"/>
      <c r="I15" s="812"/>
      <c r="J15" s="812"/>
      <c r="K15" s="812"/>
      <c r="L15" s="812"/>
      <c r="M15" s="812"/>
      <c r="N15" s="74"/>
      <c r="O15"/>
      <c r="P15" s="813" t="s">
        <v>60</v>
      </c>
      <c r="Q15" s="813"/>
      <c r="R15" s="813"/>
      <c r="S15" s="813"/>
      <c r="T15" s="81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4"/>
      <c r="Q16" s="814"/>
      <c r="R16" s="814"/>
      <c r="S16" s="814"/>
      <c r="T16" s="8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96" t="s">
        <v>58</v>
      </c>
      <c r="B17" s="796" t="s">
        <v>48</v>
      </c>
      <c r="C17" s="817" t="s">
        <v>47</v>
      </c>
      <c r="D17" s="819" t="s">
        <v>49</v>
      </c>
      <c r="E17" s="820"/>
      <c r="F17" s="796" t="s">
        <v>21</v>
      </c>
      <c r="G17" s="796" t="s">
        <v>24</v>
      </c>
      <c r="H17" s="796" t="s">
        <v>22</v>
      </c>
      <c r="I17" s="796" t="s">
        <v>23</v>
      </c>
      <c r="J17" s="796" t="s">
        <v>16</v>
      </c>
      <c r="K17" s="796" t="s">
        <v>65</v>
      </c>
      <c r="L17" s="796" t="s">
        <v>63</v>
      </c>
      <c r="M17" s="796" t="s">
        <v>2</v>
      </c>
      <c r="N17" s="796" t="s">
        <v>62</v>
      </c>
      <c r="O17" s="796" t="s">
        <v>25</v>
      </c>
      <c r="P17" s="819" t="s">
        <v>17</v>
      </c>
      <c r="Q17" s="823"/>
      <c r="R17" s="823"/>
      <c r="S17" s="823"/>
      <c r="T17" s="820"/>
      <c r="U17" s="815" t="s">
        <v>55</v>
      </c>
      <c r="V17" s="816"/>
      <c r="W17" s="796" t="s">
        <v>6</v>
      </c>
      <c r="X17" s="796" t="s">
        <v>41</v>
      </c>
      <c r="Y17" s="798" t="s">
        <v>53</v>
      </c>
      <c r="Z17" s="800" t="s">
        <v>18</v>
      </c>
      <c r="AA17" s="802" t="s">
        <v>59</v>
      </c>
      <c r="AB17" s="802" t="s">
        <v>19</v>
      </c>
      <c r="AC17" s="802" t="s">
        <v>64</v>
      </c>
      <c r="AD17" s="804" t="s">
        <v>56</v>
      </c>
      <c r="AE17" s="805"/>
      <c r="AF17" s="806"/>
      <c r="AG17" s="77"/>
      <c r="BD17" s="76" t="s">
        <v>61</v>
      </c>
    </row>
    <row r="18" spans="1:68" ht="14.25" customHeight="1" x14ac:dyDescent="0.2">
      <c r="A18" s="797"/>
      <c r="B18" s="797"/>
      <c r="C18" s="818"/>
      <c r="D18" s="821"/>
      <c r="E18" s="822"/>
      <c r="F18" s="797"/>
      <c r="G18" s="797"/>
      <c r="H18" s="797"/>
      <c r="I18" s="797"/>
      <c r="J18" s="797"/>
      <c r="K18" s="797"/>
      <c r="L18" s="797"/>
      <c r="M18" s="797"/>
      <c r="N18" s="797"/>
      <c r="O18" s="797"/>
      <c r="P18" s="821"/>
      <c r="Q18" s="824"/>
      <c r="R18" s="824"/>
      <c r="S18" s="824"/>
      <c r="T18" s="822"/>
      <c r="U18" s="78" t="s">
        <v>44</v>
      </c>
      <c r="V18" s="78" t="s">
        <v>43</v>
      </c>
      <c r="W18" s="797"/>
      <c r="X18" s="797"/>
      <c r="Y18" s="799"/>
      <c r="Z18" s="801"/>
      <c r="AA18" s="803"/>
      <c r="AB18" s="803"/>
      <c r="AC18" s="803"/>
      <c r="AD18" s="807"/>
      <c r="AE18" s="808"/>
      <c r="AF18" s="809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65" t="s">
        <v>75</v>
      </c>
      <c r="B20" s="565"/>
      <c r="C20" s="565"/>
      <c r="D20" s="565"/>
      <c r="E20" s="565"/>
      <c r="F20" s="565"/>
      <c r="G20" s="565"/>
      <c r="H20" s="565"/>
      <c r="I20" s="565"/>
      <c r="J20" s="565"/>
      <c r="K20" s="565"/>
      <c r="L20" s="565"/>
      <c r="M20" s="565"/>
      <c r="N20" s="565"/>
      <c r="O20" s="565"/>
      <c r="P20" s="565"/>
      <c r="Q20" s="565"/>
      <c r="R20" s="565"/>
      <c r="S20" s="565"/>
      <c r="T20" s="565"/>
      <c r="U20" s="565"/>
      <c r="V20" s="565"/>
      <c r="W20" s="565"/>
      <c r="X20" s="565"/>
      <c r="Y20" s="565"/>
      <c r="Z20" s="565"/>
      <c r="AA20" s="62"/>
      <c r="AB20" s="62"/>
      <c r="AC20" s="62"/>
    </row>
    <row r="21" spans="1:68" ht="14.25" customHeight="1" x14ac:dyDescent="0.25">
      <c r="A21" s="549" t="s">
        <v>76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550">
        <v>4680115886643</v>
      </c>
      <c r="E22" s="55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7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2"/>
      <c r="R22" s="552"/>
      <c r="S22" s="552"/>
      <c r="T22" s="55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x14ac:dyDescent="0.2">
      <c r="A23" s="557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8"/>
      <c r="P23" s="554" t="s">
        <v>40</v>
      </c>
      <c r="Q23" s="555"/>
      <c r="R23" s="555"/>
      <c r="S23" s="555"/>
      <c r="T23" s="555"/>
      <c r="U23" s="555"/>
      <c r="V23" s="556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54" t="s">
        <v>40</v>
      </c>
      <c r="Q24" s="555"/>
      <c r="R24" s="555"/>
      <c r="S24" s="555"/>
      <c r="T24" s="555"/>
      <c r="U24" s="555"/>
      <c r="V24" s="556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customHeight="1" x14ac:dyDescent="0.25">
      <c r="A25" s="549" t="s">
        <v>82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63"/>
      <c r="AB25" s="63"/>
      <c r="AC25" s="63"/>
    </row>
    <row r="26" spans="1:68" ht="27" customHeight="1" x14ac:dyDescent="0.25">
      <c r="A26" s="60" t="s">
        <v>83</v>
      </c>
      <c r="B26" s="60" t="s">
        <v>84</v>
      </c>
      <c r="C26" s="34">
        <v>4301051866</v>
      </c>
      <c r="D26" s="550">
        <v>4680115885912</v>
      </c>
      <c r="E26" s="550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79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2"/>
      <c r="R26" s="552"/>
      <c r="S26" s="552"/>
      <c r="T26" s="553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customHeight="1" x14ac:dyDescent="0.25">
      <c r="A27" s="60" t="s">
        <v>88</v>
      </c>
      <c r="B27" s="60" t="s">
        <v>89</v>
      </c>
      <c r="C27" s="34">
        <v>4301051776</v>
      </c>
      <c r="D27" s="550">
        <v>4607091388237</v>
      </c>
      <c r="E27" s="550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7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2"/>
      <c r="R27" s="552"/>
      <c r="S27" s="552"/>
      <c r="T27" s="553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4301052063</v>
      </c>
      <c r="D28" s="550">
        <v>4680115887350</v>
      </c>
      <c r="E28" s="550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7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2"/>
      <c r="R28" s="552"/>
      <c r="S28" s="552"/>
      <c r="T28" s="553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95</v>
      </c>
      <c r="B29" s="60" t="s">
        <v>96</v>
      </c>
      <c r="C29" s="34">
        <v>4301051863</v>
      </c>
      <c r="D29" s="550">
        <v>4680115885905</v>
      </c>
      <c r="E29" s="55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7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2"/>
      <c r="R29" s="552"/>
      <c r="S29" s="552"/>
      <c r="T29" s="553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4301051851</v>
      </c>
      <c r="D30" s="550">
        <v>4607091388244</v>
      </c>
      <c r="E30" s="550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79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2"/>
      <c r="R30" s="552"/>
      <c r="S30" s="552"/>
      <c r="T30" s="553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557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54" t="s">
        <v>40</v>
      </c>
      <c r="Q31" s="555"/>
      <c r="R31" s="555"/>
      <c r="S31" s="555"/>
      <c r="T31" s="555"/>
      <c r="U31" s="555"/>
      <c r="V31" s="556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54" t="s">
        <v>40</v>
      </c>
      <c r="Q32" s="555"/>
      <c r="R32" s="555"/>
      <c r="S32" s="555"/>
      <c r="T32" s="555"/>
      <c r="U32" s="555"/>
      <c r="V32" s="556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customHeight="1" x14ac:dyDescent="0.25">
      <c r="A33" s="549" t="s">
        <v>100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63"/>
      <c r="AB33" s="63"/>
      <c r="AC33" s="63"/>
    </row>
    <row r="34" spans="1:68" ht="27" customHeight="1" x14ac:dyDescent="0.25">
      <c r="A34" s="60" t="s">
        <v>101</v>
      </c>
      <c r="B34" s="60" t="s">
        <v>102</v>
      </c>
      <c r="C34" s="34">
        <v>4301032013</v>
      </c>
      <c r="D34" s="550">
        <v>4607091388503</v>
      </c>
      <c r="E34" s="550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7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x14ac:dyDescent="0.2">
      <c r="A35" s="557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54" t="s">
        <v>40</v>
      </c>
      <c r="Q35" s="555"/>
      <c r="R35" s="555"/>
      <c r="S35" s="555"/>
      <c r="T35" s="555"/>
      <c r="U35" s="555"/>
      <c r="V35" s="556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54" t="s">
        <v>40</v>
      </c>
      <c r="Q36" s="555"/>
      <c r="R36" s="555"/>
      <c r="S36" s="555"/>
      <c r="T36" s="555"/>
      <c r="U36" s="555"/>
      <c r="V36" s="556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customHeight="1" x14ac:dyDescent="0.2">
      <c r="A37" s="574" t="s">
        <v>106</v>
      </c>
      <c r="B37" s="574"/>
      <c r="C37" s="574"/>
      <c r="D37" s="574"/>
      <c r="E37" s="574"/>
      <c r="F37" s="574"/>
      <c r="G37" s="574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4"/>
      <c r="AA37" s="52"/>
      <c r="AB37" s="52"/>
      <c r="AC37" s="52"/>
    </row>
    <row r="38" spans="1:68" ht="16.5" customHeight="1" x14ac:dyDescent="0.25">
      <c r="A38" s="565" t="s">
        <v>107</v>
      </c>
      <c r="B38" s="565"/>
      <c r="C38" s="565"/>
      <c r="D38" s="565"/>
      <c r="E38" s="565"/>
      <c r="F38" s="565"/>
      <c r="G38" s="565"/>
      <c r="H38" s="565"/>
      <c r="I38" s="565"/>
      <c r="J38" s="565"/>
      <c r="K38" s="565"/>
      <c r="L38" s="565"/>
      <c r="M38" s="565"/>
      <c r="N38" s="565"/>
      <c r="O38" s="565"/>
      <c r="P38" s="565"/>
      <c r="Q38" s="565"/>
      <c r="R38" s="565"/>
      <c r="S38" s="565"/>
      <c r="T38" s="565"/>
      <c r="U38" s="565"/>
      <c r="V38" s="565"/>
      <c r="W38" s="565"/>
      <c r="X38" s="565"/>
      <c r="Y38" s="565"/>
      <c r="Z38" s="565"/>
      <c r="AA38" s="62"/>
      <c r="AB38" s="62"/>
      <c r="AC38" s="62"/>
    </row>
    <row r="39" spans="1:68" ht="14.25" customHeight="1" x14ac:dyDescent="0.25">
      <c r="A39" s="549" t="s">
        <v>108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550">
        <v>4607091385670</v>
      </c>
      <c r="E40" s="550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78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7" t="s">
        <v>45</v>
      </c>
      <c r="V40" s="37" t="s">
        <v>45</v>
      </c>
      <c r="W40" s="38" t="s">
        <v>0</v>
      </c>
      <c r="X40" s="56">
        <v>518.4</v>
      </c>
      <c r="Y40" s="53">
        <f>IFERROR(IF(X40="",0,CEILING((X40/$H40),1)*$H40),"")</f>
        <v>518.40000000000009</v>
      </c>
      <c r="Z40" s="39">
        <f>IFERROR(IF(Y40=0,"",ROUNDUP(Y40/H40,0)*0.01898),"")</f>
        <v>0.91104000000000007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539.27999999999986</v>
      </c>
      <c r="BN40" s="75">
        <f>IFERROR(Y40*I40/H40,"0")</f>
        <v>539.28000000000009</v>
      </c>
      <c r="BO40" s="75">
        <f>IFERROR(1/J40*(X40/H40),"0")</f>
        <v>0.74999999999999989</v>
      </c>
      <c r="BP40" s="75">
        <f>IFERROR(1/J40*(Y40/H40),"0")</f>
        <v>0.75000000000000011</v>
      </c>
    </row>
    <row r="41" spans="1:68" ht="27" customHeight="1" x14ac:dyDescent="0.25">
      <c r="A41" s="60" t="s">
        <v>114</v>
      </c>
      <c r="B41" s="60" t="s">
        <v>115</v>
      </c>
      <c r="C41" s="34">
        <v>4301011382</v>
      </c>
      <c r="D41" s="550">
        <v>4607091385687</v>
      </c>
      <c r="E41" s="550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7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2"/>
      <c r="R41" s="552"/>
      <c r="S41" s="552"/>
      <c r="T41" s="553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117</v>
      </c>
      <c r="B42" s="60" t="s">
        <v>118</v>
      </c>
      <c r="C42" s="34">
        <v>4301011565</v>
      </c>
      <c r="D42" s="550">
        <v>4680115882539</v>
      </c>
      <c r="E42" s="550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78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557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54" t="s">
        <v>40</v>
      </c>
      <c r="Q43" s="555"/>
      <c r="R43" s="555"/>
      <c r="S43" s="555"/>
      <c r="T43" s="555"/>
      <c r="U43" s="555"/>
      <c r="V43" s="556"/>
      <c r="W43" s="40" t="s">
        <v>39</v>
      </c>
      <c r="X43" s="41">
        <f>IFERROR(X40/H40,"0")+IFERROR(X41/H41,"0")+IFERROR(X42/H42,"0")</f>
        <v>47.999999999999993</v>
      </c>
      <c r="Y43" s="41">
        <f>IFERROR(Y40/H40,"0")+IFERROR(Y41/H41,"0")+IFERROR(Y42/H42,"0")</f>
        <v>48.000000000000007</v>
      </c>
      <c r="Z43" s="41">
        <f>IFERROR(IF(Z40="",0,Z40),"0")+IFERROR(IF(Z41="",0,Z41),"0")+IFERROR(IF(Z42="",0,Z42),"0")</f>
        <v>0.91104000000000007</v>
      </c>
      <c r="AA43" s="64"/>
      <c r="AB43" s="64"/>
      <c r="AC43" s="64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54" t="s">
        <v>40</v>
      </c>
      <c r="Q44" s="555"/>
      <c r="R44" s="555"/>
      <c r="S44" s="555"/>
      <c r="T44" s="555"/>
      <c r="U44" s="555"/>
      <c r="V44" s="556"/>
      <c r="W44" s="40" t="s">
        <v>0</v>
      </c>
      <c r="X44" s="41">
        <f>IFERROR(SUM(X40:X42),"0")</f>
        <v>518.4</v>
      </c>
      <c r="Y44" s="41">
        <f>IFERROR(SUM(Y40:Y42),"0")</f>
        <v>518.40000000000009</v>
      </c>
      <c r="Z44" s="40"/>
      <c r="AA44" s="64"/>
      <c r="AB44" s="64"/>
      <c r="AC44" s="64"/>
    </row>
    <row r="45" spans="1:68" ht="14.25" customHeight="1" x14ac:dyDescent="0.25">
      <c r="A45" s="549" t="s">
        <v>82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63"/>
      <c r="AB45" s="63"/>
      <c r="AC45" s="63"/>
    </row>
    <row r="46" spans="1:68" ht="16.5" customHeight="1" x14ac:dyDescent="0.25">
      <c r="A46" s="60" t="s">
        <v>119</v>
      </c>
      <c r="B46" s="60" t="s">
        <v>120</v>
      </c>
      <c r="C46" s="34">
        <v>4301051820</v>
      </c>
      <c r="D46" s="550">
        <v>4680115884915</v>
      </c>
      <c r="E46" s="550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78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x14ac:dyDescent="0.2">
      <c r="A47" s="557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54" t="s">
        <v>40</v>
      </c>
      <c r="Q47" s="555"/>
      <c r="R47" s="555"/>
      <c r="S47" s="555"/>
      <c r="T47" s="555"/>
      <c r="U47" s="555"/>
      <c r="V47" s="556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54" t="s">
        <v>40</v>
      </c>
      <c r="Q48" s="555"/>
      <c r="R48" s="555"/>
      <c r="S48" s="555"/>
      <c r="T48" s="555"/>
      <c r="U48" s="555"/>
      <c r="V48" s="556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customHeight="1" x14ac:dyDescent="0.25">
      <c r="A49" s="565" t="s">
        <v>122</v>
      </c>
      <c r="B49" s="565"/>
      <c r="C49" s="565"/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  <c r="Z49" s="565"/>
      <c r="AA49" s="62"/>
      <c r="AB49" s="62"/>
      <c r="AC49" s="62"/>
    </row>
    <row r="50" spans="1:68" ht="14.25" customHeight="1" x14ac:dyDescent="0.25">
      <c r="A50" s="549" t="s">
        <v>108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550">
        <v>4680115885882</v>
      </c>
      <c r="E51" s="550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7" t="s">
        <v>45</v>
      </c>
      <c r="V51" s="37" t="s">
        <v>45</v>
      </c>
      <c r="W51" s="38" t="s">
        <v>0</v>
      </c>
      <c r="X51" s="56">
        <v>179.2</v>
      </c>
      <c r="Y51" s="53">
        <f t="shared" ref="Y51:Y56" si="0">IFERROR(IF(X51="",0,CEILING((X51/$H51),1)*$H51),"")</f>
        <v>179.2</v>
      </c>
      <c r="Z51" s="39">
        <f>IFERROR(IF(Y51=0,"",ROUNDUP(Y51/H51,0)*0.01898),"")</f>
        <v>0.30368000000000001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186.16</v>
      </c>
      <c r="BN51" s="75">
        <f t="shared" ref="BN51:BN56" si="2">IFERROR(Y51*I51/H51,"0")</f>
        <v>186.16</v>
      </c>
      <c r="BO51" s="75">
        <f t="shared" ref="BO51:BO56" si="3">IFERROR(1/J51*(X51/H51),"0")</f>
        <v>0.25</v>
      </c>
      <c r="BP51" s="75">
        <f t="shared" ref="BP51:BP56" si="4">IFERROR(1/J51*(Y51/H51),"0")</f>
        <v>0.25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550">
        <v>4680115881426</v>
      </c>
      <c r="E52" s="550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77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7" t="s">
        <v>45</v>
      </c>
      <c r="V52" s="37" t="s">
        <v>45</v>
      </c>
      <c r="W52" s="38" t="s">
        <v>0</v>
      </c>
      <c r="X52" s="56">
        <v>259.2</v>
      </c>
      <c r="Y52" s="53">
        <f t="shared" si="0"/>
        <v>259.20000000000005</v>
      </c>
      <c r="Z52" s="39">
        <f>IFERROR(IF(Y52=0,"",ROUNDUP(Y52/H52,0)*0.01898),"")</f>
        <v>0.45552000000000004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269.63999999999993</v>
      </c>
      <c r="BN52" s="75">
        <f t="shared" si="2"/>
        <v>269.64000000000004</v>
      </c>
      <c r="BO52" s="75">
        <f t="shared" si="3"/>
        <v>0.37499999999999994</v>
      </c>
      <c r="BP52" s="75">
        <f t="shared" si="4"/>
        <v>0.37500000000000006</v>
      </c>
    </row>
    <row r="53" spans="1:68" ht="27" customHeight="1" x14ac:dyDescent="0.25">
      <c r="A53" s="60" t="s">
        <v>129</v>
      </c>
      <c r="B53" s="60" t="s">
        <v>130</v>
      </c>
      <c r="C53" s="34">
        <v>4301011386</v>
      </c>
      <c r="D53" s="550">
        <v>4680115880283</v>
      </c>
      <c r="E53" s="550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7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customHeight="1" x14ac:dyDescent="0.25">
      <c r="A54" s="60" t="s">
        <v>132</v>
      </c>
      <c r="B54" s="60" t="s">
        <v>133</v>
      </c>
      <c r="C54" s="34">
        <v>4301011806</v>
      </c>
      <c r="D54" s="550">
        <v>4680115881525</v>
      </c>
      <c r="E54" s="550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78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4301011589</v>
      </c>
      <c r="D55" s="550">
        <v>4680115885899</v>
      </c>
      <c r="E55" s="550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4301011801</v>
      </c>
      <c r="D56" s="550">
        <v>4680115881419</v>
      </c>
      <c r="E56" s="550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557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54" t="s">
        <v>40</v>
      </c>
      <c r="Q57" s="555"/>
      <c r="R57" s="555"/>
      <c r="S57" s="555"/>
      <c r="T57" s="555"/>
      <c r="U57" s="555"/>
      <c r="V57" s="556"/>
      <c r="W57" s="40" t="s">
        <v>39</v>
      </c>
      <c r="X57" s="41">
        <f>IFERROR(X51/H51,"0")+IFERROR(X52/H52,"0")+IFERROR(X53/H53,"0")+IFERROR(X54/H54,"0")+IFERROR(X55/H55,"0")+IFERROR(X56/H56,"0")</f>
        <v>40</v>
      </c>
      <c r="Y57" s="41">
        <f>IFERROR(Y51/H51,"0")+IFERROR(Y52/H52,"0")+IFERROR(Y53/H53,"0")+IFERROR(Y54/H54,"0")+IFERROR(Y55/H55,"0")+IFERROR(Y56/H56,"0")</f>
        <v>40</v>
      </c>
      <c r="Z57" s="41">
        <f>IFERROR(IF(Z51="",0,Z51),"0")+IFERROR(IF(Z52="",0,Z52),"0")+IFERROR(IF(Z53="",0,Z53),"0")+IFERROR(IF(Z54="",0,Z54),"0")+IFERROR(IF(Z55="",0,Z55),"0")+IFERROR(IF(Z56="",0,Z56),"0")</f>
        <v>0.7592000000000001</v>
      </c>
      <c r="AA57" s="64"/>
      <c r="AB57" s="64"/>
      <c r="AC57" s="64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54" t="s">
        <v>40</v>
      </c>
      <c r="Q58" s="555"/>
      <c r="R58" s="555"/>
      <c r="S58" s="555"/>
      <c r="T58" s="555"/>
      <c r="U58" s="555"/>
      <c r="V58" s="556"/>
      <c r="W58" s="40" t="s">
        <v>0</v>
      </c>
      <c r="X58" s="41">
        <f>IFERROR(SUM(X51:X56),"0")</f>
        <v>438.4</v>
      </c>
      <c r="Y58" s="41">
        <f>IFERROR(SUM(Y51:Y56),"0")</f>
        <v>438.40000000000003</v>
      </c>
      <c r="Z58" s="40"/>
      <c r="AA58" s="64"/>
      <c r="AB58" s="64"/>
      <c r="AC58" s="64"/>
    </row>
    <row r="59" spans="1:68" ht="14.25" customHeight="1" x14ac:dyDescent="0.25">
      <c r="A59" s="549" t="s">
        <v>141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550">
        <v>4680115881440</v>
      </c>
      <c r="E60" s="550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7" t="s">
        <v>45</v>
      </c>
      <c r="V60" s="37" t="s">
        <v>45</v>
      </c>
      <c r="W60" s="38" t="s">
        <v>0</v>
      </c>
      <c r="X60" s="56">
        <v>259.2</v>
      </c>
      <c r="Y60" s="53">
        <f>IFERROR(IF(X60="",0,CEILING((X60/$H60),1)*$H60),"")</f>
        <v>259.20000000000005</v>
      </c>
      <c r="Z60" s="39">
        <f>IFERROR(IF(Y60=0,"",ROUNDUP(Y60/H60,0)*0.01898),"")</f>
        <v>0.45552000000000004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269.63999999999993</v>
      </c>
      <c r="BN60" s="75">
        <f>IFERROR(Y60*I60/H60,"0")</f>
        <v>269.64000000000004</v>
      </c>
      <c r="BO60" s="75">
        <f>IFERROR(1/J60*(X60/H60),"0")</f>
        <v>0.37499999999999994</v>
      </c>
      <c r="BP60" s="75">
        <f>IFERROR(1/J60*(Y60/H60),"0")</f>
        <v>0.37500000000000006</v>
      </c>
    </row>
    <row r="61" spans="1:68" ht="16.5" customHeight="1" x14ac:dyDescent="0.25">
      <c r="A61" s="60" t="s">
        <v>145</v>
      </c>
      <c r="B61" s="60" t="s">
        <v>146</v>
      </c>
      <c r="C61" s="34">
        <v>4301020358</v>
      </c>
      <c r="D61" s="550">
        <v>4680115885950</v>
      </c>
      <c r="E61" s="550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147</v>
      </c>
      <c r="B62" s="60" t="s">
        <v>148</v>
      </c>
      <c r="C62" s="34">
        <v>4301020296</v>
      </c>
      <c r="D62" s="550">
        <v>4680115881433</v>
      </c>
      <c r="E62" s="550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77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557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54" t="s">
        <v>40</v>
      </c>
      <c r="Q63" s="555"/>
      <c r="R63" s="555"/>
      <c r="S63" s="555"/>
      <c r="T63" s="555"/>
      <c r="U63" s="555"/>
      <c r="V63" s="556"/>
      <c r="W63" s="40" t="s">
        <v>39</v>
      </c>
      <c r="X63" s="41">
        <f>IFERROR(X60/H60,"0")+IFERROR(X61/H61,"0")+IFERROR(X62/H62,"0")</f>
        <v>23.999999999999996</v>
      </c>
      <c r="Y63" s="41">
        <f>IFERROR(Y60/H60,"0")+IFERROR(Y61/H61,"0")+IFERROR(Y62/H62,"0")</f>
        <v>24.000000000000004</v>
      </c>
      <c r="Z63" s="41">
        <f>IFERROR(IF(Z60="",0,Z60),"0")+IFERROR(IF(Z61="",0,Z61),"0")+IFERROR(IF(Z62="",0,Z62),"0")</f>
        <v>0.45552000000000004</v>
      </c>
      <c r="AA63" s="64"/>
      <c r="AB63" s="64"/>
      <c r="AC63" s="64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54" t="s">
        <v>40</v>
      </c>
      <c r="Q64" s="555"/>
      <c r="R64" s="555"/>
      <c r="S64" s="555"/>
      <c r="T64" s="555"/>
      <c r="U64" s="555"/>
      <c r="V64" s="556"/>
      <c r="W64" s="40" t="s">
        <v>0</v>
      </c>
      <c r="X64" s="41">
        <f>IFERROR(SUM(X60:X62),"0")</f>
        <v>259.2</v>
      </c>
      <c r="Y64" s="41">
        <f>IFERROR(SUM(Y60:Y62),"0")</f>
        <v>259.20000000000005</v>
      </c>
      <c r="Z64" s="40"/>
      <c r="AA64" s="64"/>
      <c r="AB64" s="64"/>
      <c r="AC64" s="64"/>
    </row>
    <row r="65" spans="1:68" ht="14.25" customHeight="1" x14ac:dyDescent="0.25">
      <c r="A65" s="549" t="s">
        <v>76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63"/>
      <c r="AB65" s="63"/>
      <c r="AC65" s="63"/>
    </row>
    <row r="66" spans="1:68" ht="27" customHeight="1" x14ac:dyDescent="0.25">
      <c r="A66" s="60" t="s">
        <v>149</v>
      </c>
      <c r="B66" s="60" t="s">
        <v>150</v>
      </c>
      <c r="C66" s="34">
        <v>4301031243</v>
      </c>
      <c r="D66" s="550">
        <v>4680115885073</v>
      </c>
      <c r="E66" s="55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7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152</v>
      </c>
      <c r="B67" s="60" t="s">
        <v>153</v>
      </c>
      <c r="C67" s="34">
        <v>4301031241</v>
      </c>
      <c r="D67" s="550">
        <v>4680115885059</v>
      </c>
      <c r="E67" s="55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77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2"/>
      <c r="R67" s="552"/>
      <c r="S67" s="552"/>
      <c r="T67" s="553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155</v>
      </c>
      <c r="B68" s="60" t="s">
        <v>156</v>
      </c>
      <c r="C68" s="34">
        <v>4301031316</v>
      </c>
      <c r="D68" s="550">
        <v>4680115885097</v>
      </c>
      <c r="E68" s="550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7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54" t="s">
        <v>40</v>
      </c>
      <c r="Q69" s="555"/>
      <c r="R69" s="555"/>
      <c r="S69" s="555"/>
      <c r="T69" s="555"/>
      <c r="U69" s="555"/>
      <c r="V69" s="556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8"/>
      <c r="P70" s="554" t="s">
        <v>40</v>
      </c>
      <c r="Q70" s="555"/>
      <c r="R70" s="555"/>
      <c r="S70" s="555"/>
      <c r="T70" s="555"/>
      <c r="U70" s="555"/>
      <c r="V70" s="556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customHeight="1" x14ac:dyDescent="0.25">
      <c r="A71" s="549" t="s">
        <v>82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63"/>
      <c r="AB71" s="63"/>
      <c r="AC71" s="63"/>
    </row>
    <row r="72" spans="1:68" ht="16.5" customHeight="1" x14ac:dyDescent="0.25">
      <c r="A72" s="60" t="s">
        <v>158</v>
      </c>
      <c r="B72" s="60" t="s">
        <v>159</v>
      </c>
      <c r="C72" s="34">
        <v>4301051838</v>
      </c>
      <c r="D72" s="550">
        <v>4680115881891</v>
      </c>
      <c r="E72" s="550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77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2"/>
      <c r="R72" s="552"/>
      <c r="S72" s="552"/>
      <c r="T72" s="553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161</v>
      </c>
      <c r="B73" s="60" t="s">
        <v>162</v>
      </c>
      <c r="C73" s="34">
        <v>4301051846</v>
      </c>
      <c r="D73" s="550">
        <v>4680115885769</v>
      </c>
      <c r="E73" s="550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77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164</v>
      </c>
      <c r="B74" s="60" t="s">
        <v>165</v>
      </c>
      <c r="C74" s="34">
        <v>4301051837</v>
      </c>
      <c r="D74" s="550">
        <v>4680115884311</v>
      </c>
      <c r="E74" s="55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7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166</v>
      </c>
      <c r="B75" s="60" t="s">
        <v>167</v>
      </c>
      <c r="C75" s="34">
        <v>4301051844</v>
      </c>
      <c r="D75" s="550">
        <v>4680115885929</v>
      </c>
      <c r="E75" s="55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7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168</v>
      </c>
      <c r="B76" s="60" t="s">
        <v>169</v>
      </c>
      <c r="C76" s="34">
        <v>4301051929</v>
      </c>
      <c r="D76" s="550">
        <v>4680115884403</v>
      </c>
      <c r="E76" s="55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8"/>
      <c r="P77" s="554" t="s">
        <v>40</v>
      </c>
      <c r="Q77" s="555"/>
      <c r="R77" s="555"/>
      <c r="S77" s="555"/>
      <c r="T77" s="555"/>
      <c r="U77" s="555"/>
      <c r="V77" s="556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8"/>
      <c r="P78" s="554" t="s">
        <v>40</v>
      </c>
      <c r="Q78" s="555"/>
      <c r="R78" s="555"/>
      <c r="S78" s="555"/>
      <c r="T78" s="555"/>
      <c r="U78" s="555"/>
      <c r="V78" s="556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customHeight="1" x14ac:dyDescent="0.25">
      <c r="A79" s="549" t="s">
        <v>171</v>
      </c>
      <c r="B79" s="549"/>
      <c r="C79" s="549"/>
      <c r="D79" s="549"/>
      <c r="E79" s="549"/>
      <c r="F79" s="549"/>
      <c r="G79" s="549"/>
      <c r="H79" s="549"/>
      <c r="I79" s="549"/>
      <c r="J79" s="549"/>
      <c r="K79" s="549"/>
      <c r="L79" s="549"/>
      <c r="M79" s="549"/>
      <c r="N79" s="549"/>
      <c r="O79" s="549"/>
      <c r="P79" s="549"/>
      <c r="Q79" s="549"/>
      <c r="R79" s="549"/>
      <c r="S79" s="549"/>
      <c r="T79" s="549"/>
      <c r="U79" s="549"/>
      <c r="V79" s="549"/>
      <c r="W79" s="549"/>
      <c r="X79" s="549"/>
      <c r="Y79" s="549"/>
      <c r="Z79" s="549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550">
        <v>4680115881532</v>
      </c>
      <c r="E80" s="550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131.76</v>
      </c>
      <c r="BN80" s="75">
        <f>IFERROR(Y80*I80/H80,"0")</f>
        <v>131.76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175</v>
      </c>
      <c r="B81" s="60" t="s">
        <v>176</v>
      </c>
      <c r="C81" s="34">
        <v>4301060351</v>
      </c>
      <c r="D81" s="550">
        <v>4680115881464</v>
      </c>
      <c r="E81" s="550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8"/>
      <c r="P82" s="554" t="s">
        <v>40</v>
      </c>
      <c r="Q82" s="555"/>
      <c r="R82" s="555"/>
      <c r="S82" s="555"/>
      <c r="T82" s="555"/>
      <c r="U82" s="555"/>
      <c r="V82" s="556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8"/>
      <c r="P83" s="554" t="s">
        <v>40</v>
      </c>
      <c r="Q83" s="555"/>
      <c r="R83" s="555"/>
      <c r="S83" s="555"/>
      <c r="T83" s="555"/>
      <c r="U83" s="555"/>
      <c r="V83" s="556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565" t="s">
        <v>178</v>
      </c>
      <c r="B84" s="565"/>
      <c r="C84" s="565"/>
      <c r="D84" s="565"/>
      <c r="E84" s="565"/>
      <c r="F84" s="565"/>
      <c r="G84" s="565"/>
      <c r="H84" s="565"/>
      <c r="I84" s="565"/>
      <c r="J84" s="565"/>
      <c r="K84" s="565"/>
      <c r="L84" s="565"/>
      <c r="M84" s="565"/>
      <c r="N84" s="565"/>
      <c r="O84" s="565"/>
      <c r="P84" s="565"/>
      <c r="Q84" s="565"/>
      <c r="R84" s="565"/>
      <c r="S84" s="565"/>
      <c r="T84" s="565"/>
      <c r="U84" s="565"/>
      <c r="V84" s="565"/>
      <c r="W84" s="565"/>
      <c r="X84" s="565"/>
      <c r="Y84" s="565"/>
      <c r="Z84" s="565"/>
      <c r="AA84" s="62"/>
      <c r="AB84" s="62"/>
      <c r="AC84" s="62"/>
    </row>
    <row r="85" spans="1:68" ht="14.25" customHeight="1" x14ac:dyDescent="0.25">
      <c r="A85" s="549" t="s">
        <v>108</v>
      </c>
      <c r="B85" s="549"/>
      <c r="C85" s="549"/>
      <c r="D85" s="549"/>
      <c r="E85" s="549"/>
      <c r="F85" s="549"/>
      <c r="G85" s="549"/>
      <c r="H85" s="549"/>
      <c r="I85" s="549"/>
      <c r="J85" s="549"/>
      <c r="K85" s="549"/>
      <c r="L85" s="549"/>
      <c r="M85" s="549"/>
      <c r="N85" s="549"/>
      <c r="O85" s="549"/>
      <c r="P85" s="549"/>
      <c r="Q85" s="549"/>
      <c r="R85" s="549"/>
      <c r="S85" s="549"/>
      <c r="T85" s="549"/>
      <c r="U85" s="549"/>
      <c r="V85" s="549"/>
      <c r="W85" s="549"/>
      <c r="X85" s="549"/>
      <c r="Y85" s="549"/>
      <c r="Z85" s="549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550">
        <v>4680115881327</v>
      </c>
      <c r="E86" s="550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7" t="s">
        <v>45</v>
      </c>
      <c r="V86" s="37" t="s">
        <v>45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IFERROR(IF(Y86=0,"",ROUNDUP(Y86/H86,0)*0.01898),"")</f>
        <v/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182</v>
      </c>
      <c r="B87" s="60" t="s">
        <v>183</v>
      </c>
      <c r="C87" s="34">
        <v>4301011476</v>
      </c>
      <c r="D87" s="550">
        <v>4680115881518</v>
      </c>
      <c r="E87" s="550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184</v>
      </c>
      <c r="B88" s="60" t="s">
        <v>185</v>
      </c>
      <c r="C88" s="34">
        <v>4301011443</v>
      </c>
      <c r="D88" s="550">
        <v>4680115881303</v>
      </c>
      <c r="E88" s="550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54" t="s">
        <v>40</v>
      </c>
      <c r="Q89" s="555"/>
      <c r="R89" s="555"/>
      <c r="S89" s="555"/>
      <c r="T89" s="555"/>
      <c r="U89" s="555"/>
      <c r="V89" s="556"/>
      <c r="W89" s="40" t="s">
        <v>39</v>
      </c>
      <c r="X89" s="41">
        <f>IFERROR(X86/H86,"0")+IFERROR(X87/H87,"0")+IFERROR(X88/H88,"0")</f>
        <v>0</v>
      </c>
      <c r="Y89" s="41">
        <f>IFERROR(Y86/H86,"0")+IFERROR(Y87/H87,"0")+IFERROR(Y88/H88,"0")</f>
        <v>0</v>
      </c>
      <c r="Z89" s="41">
        <f>IFERROR(IF(Z86="",0,Z86),"0")+IFERROR(IF(Z87="",0,Z87),"0")+IFERROR(IF(Z88="",0,Z88),"0")</f>
        <v>0</v>
      </c>
      <c r="AA89" s="64"/>
      <c r="AB89" s="64"/>
      <c r="AC89" s="64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8"/>
      <c r="P90" s="554" t="s">
        <v>40</v>
      </c>
      <c r="Q90" s="555"/>
      <c r="R90" s="555"/>
      <c r="S90" s="555"/>
      <c r="T90" s="555"/>
      <c r="U90" s="555"/>
      <c r="V90" s="556"/>
      <c r="W90" s="40" t="s">
        <v>0</v>
      </c>
      <c r="X90" s="41">
        <f>IFERROR(SUM(X86:X88),"0")</f>
        <v>0</v>
      </c>
      <c r="Y90" s="41">
        <f>IFERROR(SUM(Y86:Y88),"0")</f>
        <v>0</v>
      </c>
      <c r="Z90" s="40"/>
      <c r="AA90" s="64"/>
      <c r="AB90" s="64"/>
      <c r="AC90" s="64"/>
    </row>
    <row r="91" spans="1:68" ht="14.25" customHeight="1" x14ac:dyDescent="0.25">
      <c r="A91" s="549" t="s">
        <v>82</v>
      </c>
      <c r="B91" s="549"/>
      <c r="C91" s="549"/>
      <c r="D91" s="549"/>
      <c r="E91" s="549"/>
      <c r="F91" s="549"/>
      <c r="G91" s="549"/>
      <c r="H91" s="549"/>
      <c r="I91" s="549"/>
      <c r="J91" s="549"/>
      <c r="K91" s="549"/>
      <c r="L91" s="549"/>
      <c r="M91" s="549"/>
      <c r="N91" s="549"/>
      <c r="O91" s="549"/>
      <c r="P91" s="549"/>
      <c r="Q91" s="549"/>
      <c r="R91" s="549"/>
      <c r="S91" s="549"/>
      <c r="T91" s="549"/>
      <c r="U91" s="549"/>
      <c r="V91" s="549"/>
      <c r="W91" s="549"/>
      <c r="X91" s="549"/>
      <c r="Y91" s="549"/>
      <c r="Z91" s="549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550">
        <v>4607091386967</v>
      </c>
      <c r="E92" s="550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7" t="s">
        <v>45</v>
      </c>
      <c r="V92" s="37" t="s">
        <v>45</v>
      </c>
      <c r="W92" s="38" t="s">
        <v>0</v>
      </c>
      <c r="X92" s="56">
        <v>388.8</v>
      </c>
      <c r="Y92" s="53">
        <f>IFERROR(IF(X92="",0,CEILING((X92/$H92),1)*$H92),"")</f>
        <v>388.79999999999995</v>
      </c>
      <c r="Z92" s="39">
        <f>IFERROR(IF(Y92=0,"",ROUNDUP(Y92/H92,0)*0.01898),"")</f>
        <v>0.91104000000000007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413.71199999999999</v>
      </c>
      <c r="BN92" s="75">
        <f>IFERROR(Y92*I92/H92,"0")</f>
        <v>413.71199999999993</v>
      </c>
      <c r="BO92" s="75">
        <f>IFERROR(1/J92*(X92/H92),"0")</f>
        <v>0.75</v>
      </c>
      <c r="BP92" s="75">
        <f>IFERROR(1/J92*(Y92/H92),"0")</f>
        <v>0.75</v>
      </c>
    </row>
    <row r="93" spans="1:68" ht="27" customHeight="1" x14ac:dyDescent="0.25">
      <c r="A93" s="60" t="s">
        <v>189</v>
      </c>
      <c r="B93" s="60" t="s">
        <v>190</v>
      </c>
      <c r="C93" s="34">
        <v>4301051788</v>
      </c>
      <c r="D93" s="550">
        <v>4680115884953</v>
      </c>
      <c r="E93" s="550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7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192</v>
      </c>
      <c r="B94" s="60" t="s">
        <v>193</v>
      </c>
      <c r="C94" s="34">
        <v>4301051718</v>
      </c>
      <c r="D94" s="550">
        <v>4607091385731</v>
      </c>
      <c r="E94" s="550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7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7" t="s">
        <v>45</v>
      </c>
      <c r="V94" s="37" t="s">
        <v>45</v>
      </c>
      <c r="W94" s="38" t="s">
        <v>0</v>
      </c>
      <c r="X94" s="56">
        <v>75.599999999999994</v>
      </c>
      <c r="Y94" s="53">
        <f>IFERROR(IF(X94="",0,CEILING((X94/$H94),1)*$H94),"")</f>
        <v>75.600000000000009</v>
      </c>
      <c r="Z94" s="39">
        <f>IFERROR(IF(Y94=0,"",ROUNDUP(Y94/H94,0)*0.00651),"")</f>
        <v>0.18228</v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82.655999999999977</v>
      </c>
      <c r="BN94" s="75">
        <f>IFERROR(Y94*I94/H94,"0")</f>
        <v>82.656000000000006</v>
      </c>
      <c r="BO94" s="75">
        <f>IFERROR(1/J94*(X94/H94),"0")</f>
        <v>0.15384615384615383</v>
      </c>
      <c r="BP94" s="75">
        <f>IFERROR(1/J94*(Y94/H94),"0")</f>
        <v>0.15384615384615385</v>
      </c>
    </row>
    <row r="95" spans="1:68" ht="16.5" customHeight="1" x14ac:dyDescent="0.25">
      <c r="A95" s="60" t="s">
        <v>194</v>
      </c>
      <c r="B95" s="60" t="s">
        <v>195</v>
      </c>
      <c r="C95" s="34">
        <v>4301051438</v>
      </c>
      <c r="D95" s="550">
        <v>4680115880894</v>
      </c>
      <c r="E95" s="550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76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54" t="s">
        <v>40</v>
      </c>
      <c r="Q96" s="555"/>
      <c r="R96" s="555"/>
      <c r="S96" s="555"/>
      <c r="T96" s="555"/>
      <c r="U96" s="555"/>
      <c r="V96" s="556"/>
      <c r="W96" s="40" t="s">
        <v>39</v>
      </c>
      <c r="X96" s="41">
        <f>IFERROR(X92/H92,"0")+IFERROR(X93/H93,"0")+IFERROR(X94/H94,"0")+IFERROR(X95/H95,"0")</f>
        <v>76</v>
      </c>
      <c r="Y96" s="41">
        <f>IFERROR(Y92/H92,"0")+IFERROR(Y93/H93,"0")+IFERROR(Y94/H94,"0")+IFERROR(Y95/H95,"0")</f>
        <v>76</v>
      </c>
      <c r="Z96" s="41">
        <f>IFERROR(IF(Z92="",0,Z92),"0")+IFERROR(IF(Z93="",0,Z93),"0")+IFERROR(IF(Z94="",0,Z94),"0")+IFERROR(IF(Z95="",0,Z95),"0")</f>
        <v>1.0933200000000001</v>
      </c>
      <c r="AA96" s="64"/>
      <c r="AB96" s="64"/>
      <c r="AC96" s="64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8"/>
      <c r="P97" s="554" t="s">
        <v>40</v>
      </c>
      <c r="Q97" s="555"/>
      <c r="R97" s="555"/>
      <c r="S97" s="555"/>
      <c r="T97" s="555"/>
      <c r="U97" s="555"/>
      <c r="V97" s="556"/>
      <c r="W97" s="40" t="s">
        <v>0</v>
      </c>
      <c r="X97" s="41">
        <f>IFERROR(SUM(X92:X95),"0")</f>
        <v>464.4</v>
      </c>
      <c r="Y97" s="41">
        <f>IFERROR(SUM(Y92:Y95),"0")</f>
        <v>464.4</v>
      </c>
      <c r="Z97" s="40"/>
      <c r="AA97" s="64"/>
      <c r="AB97" s="64"/>
      <c r="AC97" s="64"/>
    </row>
    <row r="98" spans="1:68" ht="16.5" customHeight="1" x14ac:dyDescent="0.25">
      <c r="A98" s="565" t="s">
        <v>197</v>
      </c>
      <c r="B98" s="565"/>
      <c r="C98" s="565"/>
      <c r="D98" s="565"/>
      <c r="E98" s="565"/>
      <c r="F98" s="565"/>
      <c r="G98" s="565"/>
      <c r="H98" s="565"/>
      <c r="I98" s="565"/>
      <c r="J98" s="565"/>
      <c r="K98" s="565"/>
      <c r="L98" s="565"/>
      <c r="M98" s="565"/>
      <c r="N98" s="565"/>
      <c r="O98" s="565"/>
      <c r="P98" s="565"/>
      <c r="Q98" s="565"/>
      <c r="R98" s="565"/>
      <c r="S98" s="565"/>
      <c r="T98" s="565"/>
      <c r="U98" s="565"/>
      <c r="V98" s="565"/>
      <c r="W98" s="565"/>
      <c r="X98" s="565"/>
      <c r="Y98" s="565"/>
      <c r="Z98" s="565"/>
      <c r="AA98" s="62"/>
      <c r="AB98" s="62"/>
      <c r="AC98" s="62"/>
    </row>
    <row r="99" spans="1:68" ht="14.25" customHeight="1" x14ac:dyDescent="0.25">
      <c r="A99" s="549" t="s">
        <v>108</v>
      </c>
      <c r="B99" s="549"/>
      <c r="C99" s="549"/>
      <c r="D99" s="549"/>
      <c r="E99" s="549"/>
      <c r="F99" s="549"/>
      <c r="G99" s="549"/>
      <c r="H99" s="549"/>
      <c r="I99" s="549"/>
      <c r="J99" s="549"/>
      <c r="K99" s="549"/>
      <c r="L99" s="549"/>
      <c r="M99" s="549"/>
      <c r="N99" s="549"/>
      <c r="O99" s="549"/>
      <c r="P99" s="549"/>
      <c r="Q99" s="549"/>
      <c r="R99" s="549"/>
      <c r="S99" s="549"/>
      <c r="T99" s="549"/>
      <c r="U99" s="549"/>
      <c r="V99" s="549"/>
      <c r="W99" s="549"/>
      <c r="X99" s="549"/>
      <c r="Y99" s="549"/>
      <c r="Z99" s="549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550">
        <v>4680115882133</v>
      </c>
      <c r="E100" s="550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7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7" t="s">
        <v>45</v>
      </c>
      <c r="V100" s="37" t="s">
        <v>45</v>
      </c>
      <c r="W100" s="38" t="s">
        <v>0</v>
      </c>
      <c r="X100" s="56">
        <v>172.8</v>
      </c>
      <c r="Y100" s="53">
        <f>IFERROR(IF(X100="",0,CEILING((X100/$H100),1)*$H100),"")</f>
        <v>172.8</v>
      </c>
      <c r="Z100" s="39">
        <f>IFERROR(IF(Y100=0,"",ROUNDUP(Y100/H100,0)*0.01898),"")</f>
        <v>0.30368000000000001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179.76</v>
      </c>
      <c r="BN100" s="75">
        <f>IFERROR(Y100*I100/H100,"0")</f>
        <v>179.76</v>
      </c>
      <c r="BO100" s="75">
        <f>IFERROR(1/J100*(X100/H100),"0")</f>
        <v>0.25</v>
      </c>
      <c r="BP100" s="75">
        <f>IFERROR(1/J100*(Y100/H100),"0")</f>
        <v>0.25</v>
      </c>
    </row>
    <row r="101" spans="1:68" ht="37.5" customHeight="1" x14ac:dyDescent="0.25">
      <c r="A101" s="60" t="s">
        <v>201</v>
      </c>
      <c r="B101" s="60" t="s">
        <v>202</v>
      </c>
      <c r="C101" s="34">
        <v>4301011417</v>
      </c>
      <c r="D101" s="550">
        <v>4680115880269</v>
      </c>
      <c r="E101" s="550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203</v>
      </c>
      <c r="B102" s="60" t="s">
        <v>204</v>
      </c>
      <c r="C102" s="34">
        <v>4301011415</v>
      </c>
      <c r="D102" s="550">
        <v>4680115880429</v>
      </c>
      <c r="E102" s="550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205</v>
      </c>
      <c r="B103" s="60" t="s">
        <v>206</v>
      </c>
      <c r="C103" s="34">
        <v>4301011462</v>
      </c>
      <c r="D103" s="550">
        <v>4680115881457</v>
      </c>
      <c r="E103" s="550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54" t="s">
        <v>40</v>
      </c>
      <c r="Q104" s="555"/>
      <c r="R104" s="555"/>
      <c r="S104" s="555"/>
      <c r="T104" s="555"/>
      <c r="U104" s="555"/>
      <c r="V104" s="556"/>
      <c r="W104" s="40" t="s">
        <v>39</v>
      </c>
      <c r="X104" s="41">
        <f>IFERROR(X100/H100,"0")+IFERROR(X101/H101,"0")+IFERROR(X102/H102,"0")+IFERROR(X103/H103,"0")</f>
        <v>16</v>
      </c>
      <c r="Y104" s="41">
        <f>IFERROR(Y100/H100,"0")+IFERROR(Y101/H101,"0")+IFERROR(Y102/H102,"0")+IFERROR(Y103/H103,"0")</f>
        <v>16</v>
      </c>
      <c r="Z104" s="41">
        <f>IFERROR(IF(Z100="",0,Z100),"0")+IFERROR(IF(Z101="",0,Z101),"0")+IFERROR(IF(Z102="",0,Z102),"0")+IFERROR(IF(Z103="",0,Z103),"0")</f>
        <v>0.30368000000000001</v>
      </c>
      <c r="AA104" s="64"/>
      <c r="AB104" s="64"/>
      <c r="AC104" s="64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54" t="s">
        <v>40</v>
      </c>
      <c r="Q105" s="555"/>
      <c r="R105" s="555"/>
      <c r="S105" s="555"/>
      <c r="T105" s="555"/>
      <c r="U105" s="555"/>
      <c r="V105" s="556"/>
      <c r="W105" s="40" t="s">
        <v>0</v>
      </c>
      <c r="X105" s="41">
        <f>IFERROR(SUM(X100:X103),"0")</f>
        <v>172.8</v>
      </c>
      <c r="Y105" s="41">
        <f>IFERROR(SUM(Y100:Y103),"0")</f>
        <v>172.8</v>
      </c>
      <c r="Z105" s="40"/>
      <c r="AA105" s="64"/>
      <c r="AB105" s="64"/>
      <c r="AC105" s="64"/>
    </row>
    <row r="106" spans="1:68" ht="14.25" customHeight="1" x14ac:dyDescent="0.25">
      <c r="A106" s="549" t="s">
        <v>141</v>
      </c>
      <c r="B106" s="549"/>
      <c r="C106" s="549"/>
      <c r="D106" s="549"/>
      <c r="E106" s="549"/>
      <c r="F106" s="549"/>
      <c r="G106" s="549"/>
      <c r="H106" s="549"/>
      <c r="I106" s="549"/>
      <c r="J106" s="549"/>
      <c r="K106" s="549"/>
      <c r="L106" s="549"/>
      <c r="M106" s="549"/>
      <c r="N106" s="549"/>
      <c r="O106" s="549"/>
      <c r="P106" s="549"/>
      <c r="Q106" s="549"/>
      <c r="R106" s="549"/>
      <c r="S106" s="549"/>
      <c r="T106" s="549"/>
      <c r="U106" s="549"/>
      <c r="V106" s="549"/>
      <c r="W106" s="549"/>
      <c r="X106" s="549"/>
      <c r="Y106" s="549"/>
      <c r="Z106" s="549"/>
      <c r="AA106" s="63"/>
      <c r="AB106" s="63"/>
      <c r="AC106" s="63"/>
    </row>
    <row r="107" spans="1:68" ht="16.5" customHeight="1" x14ac:dyDescent="0.25">
      <c r="A107" s="60" t="s">
        <v>207</v>
      </c>
      <c r="B107" s="60" t="s">
        <v>208</v>
      </c>
      <c r="C107" s="34">
        <v>4301020345</v>
      </c>
      <c r="D107" s="550">
        <v>4680115881488</v>
      </c>
      <c r="E107" s="550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75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210</v>
      </c>
      <c r="B108" s="60" t="s">
        <v>211</v>
      </c>
      <c r="C108" s="34">
        <v>4301020346</v>
      </c>
      <c r="D108" s="550">
        <v>4680115882775</v>
      </c>
      <c r="E108" s="550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7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212</v>
      </c>
      <c r="B109" s="60" t="s">
        <v>213</v>
      </c>
      <c r="C109" s="34">
        <v>4301020344</v>
      </c>
      <c r="D109" s="550">
        <v>4680115880658</v>
      </c>
      <c r="E109" s="550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75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58"/>
      <c r="P110" s="554" t="s">
        <v>40</v>
      </c>
      <c r="Q110" s="555"/>
      <c r="R110" s="555"/>
      <c r="S110" s="555"/>
      <c r="T110" s="555"/>
      <c r="U110" s="555"/>
      <c r="V110" s="556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54" t="s">
        <v>40</v>
      </c>
      <c r="Q111" s="555"/>
      <c r="R111" s="555"/>
      <c r="S111" s="555"/>
      <c r="T111" s="555"/>
      <c r="U111" s="555"/>
      <c r="V111" s="556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customHeight="1" x14ac:dyDescent="0.25">
      <c r="A112" s="549" t="s">
        <v>82</v>
      </c>
      <c r="B112" s="549"/>
      <c r="C112" s="549"/>
      <c r="D112" s="549"/>
      <c r="E112" s="549"/>
      <c r="F112" s="549"/>
      <c r="G112" s="549"/>
      <c r="H112" s="549"/>
      <c r="I112" s="549"/>
      <c r="J112" s="549"/>
      <c r="K112" s="549"/>
      <c r="L112" s="549"/>
      <c r="M112" s="549"/>
      <c r="N112" s="549"/>
      <c r="O112" s="549"/>
      <c r="P112" s="549"/>
      <c r="Q112" s="549"/>
      <c r="R112" s="549"/>
      <c r="S112" s="549"/>
      <c r="T112" s="549"/>
      <c r="U112" s="549"/>
      <c r="V112" s="549"/>
      <c r="W112" s="549"/>
      <c r="X112" s="549"/>
      <c r="Y112" s="549"/>
      <c r="Z112" s="549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550">
        <v>4607091385168</v>
      </c>
      <c r="E113" s="550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7" t="s">
        <v>45</v>
      </c>
      <c r="V113" s="37" t="s">
        <v>45</v>
      </c>
      <c r="W113" s="38" t="s">
        <v>0</v>
      </c>
      <c r="X113" s="56">
        <v>583.20000000000005</v>
      </c>
      <c r="Y113" s="53">
        <f>IFERROR(IF(X113="",0,CEILING((X113/$H113),1)*$H113),"")</f>
        <v>583.19999999999993</v>
      </c>
      <c r="Z113" s="39">
        <f>IFERROR(IF(Y113=0,"",ROUNDUP(Y113/H113,0)*0.01898),"")</f>
        <v>1.36656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620.13599999999997</v>
      </c>
      <c r="BN113" s="75">
        <f>IFERROR(Y113*I113/H113,"0")</f>
        <v>620.13599999999985</v>
      </c>
      <c r="BO113" s="75">
        <f>IFERROR(1/J113*(X113/H113),"0")</f>
        <v>1.1250000000000002</v>
      </c>
      <c r="BP113" s="75">
        <f>IFERROR(1/J113*(Y113/H113),"0")</f>
        <v>1.125</v>
      </c>
    </row>
    <row r="114" spans="1:68" ht="27" customHeight="1" x14ac:dyDescent="0.25">
      <c r="A114" s="60" t="s">
        <v>217</v>
      </c>
      <c r="B114" s="60" t="s">
        <v>218</v>
      </c>
      <c r="C114" s="34">
        <v>4301051730</v>
      </c>
      <c r="D114" s="550">
        <v>4607091383256</v>
      </c>
      <c r="E114" s="550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219</v>
      </c>
      <c r="B115" s="60" t="s">
        <v>220</v>
      </c>
      <c r="C115" s="34">
        <v>4301051721</v>
      </c>
      <c r="D115" s="550">
        <v>4607091385748</v>
      </c>
      <c r="E115" s="550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7" t="s">
        <v>45</v>
      </c>
      <c r="V115" s="37" t="s">
        <v>45</v>
      </c>
      <c r="W115" s="38" t="s">
        <v>0</v>
      </c>
      <c r="X115" s="56">
        <v>97.2</v>
      </c>
      <c r="Y115" s="53">
        <f>IFERROR(IF(X115="",0,CEILING((X115/$H115),1)*$H115),"")</f>
        <v>97.2</v>
      </c>
      <c r="Z115" s="39">
        <f>IFERROR(IF(Y115=0,"",ROUNDUP(Y115/H115,0)*0.00651),"")</f>
        <v>0.23436000000000001</v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106.27199999999999</v>
      </c>
      <c r="BN115" s="75">
        <f>IFERROR(Y115*I115/H115,"0")</f>
        <v>106.27199999999999</v>
      </c>
      <c r="BO115" s="75">
        <f>IFERROR(1/J115*(X115/H115),"0")</f>
        <v>0.19780219780219782</v>
      </c>
      <c r="BP115" s="75">
        <f>IFERROR(1/J115*(Y115/H115),"0")</f>
        <v>0.19780219780219782</v>
      </c>
    </row>
    <row r="116" spans="1:68" ht="16.5" customHeight="1" x14ac:dyDescent="0.25">
      <c r="A116" s="60" t="s">
        <v>221</v>
      </c>
      <c r="B116" s="60" t="s">
        <v>222</v>
      </c>
      <c r="C116" s="34">
        <v>4301051740</v>
      </c>
      <c r="D116" s="550">
        <v>4680115884533</v>
      </c>
      <c r="E116" s="550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74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8"/>
      <c r="P117" s="554" t="s">
        <v>40</v>
      </c>
      <c r="Q117" s="555"/>
      <c r="R117" s="555"/>
      <c r="S117" s="555"/>
      <c r="T117" s="555"/>
      <c r="U117" s="555"/>
      <c r="V117" s="556"/>
      <c r="W117" s="40" t="s">
        <v>39</v>
      </c>
      <c r="X117" s="41">
        <f>IFERROR(X113/H113,"0")+IFERROR(X114/H114,"0")+IFERROR(X115/H115,"0")+IFERROR(X116/H116,"0")</f>
        <v>108.00000000000001</v>
      </c>
      <c r="Y117" s="41">
        <f>IFERROR(Y113/H113,"0")+IFERROR(Y114/H114,"0")+IFERROR(Y115/H115,"0")+IFERROR(Y116/H116,"0")</f>
        <v>108</v>
      </c>
      <c r="Z117" s="41">
        <f>IFERROR(IF(Z113="",0,Z113),"0")+IFERROR(IF(Z114="",0,Z114),"0")+IFERROR(IF(Z115="",0,Z115),"0")+IFERROR(IF(Z116="",0,Z116),"0")</f>
        <v>1.6009199999999999</v>
      </c>
      <c r="AA117" s="64"/>
      <c r="AB117" s="64"/>
      <c r="AC117" s="64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54" t="s">
        <v>40</v>
      </c>
      <c r="Q118" s="555"/>
      <c r="R118" s="555"/>
      <c r="S118" s="555"/>
      <c r="T118" s="555"/>
      <c r="U118" s="555"/>
      <c r="V118" s="556"/>
      <c r="W118" s="40" t="s">
        <v>0</v>
      </c>
      <c r="X118" s="41">
        <f>IFERROR(SUM(X113:X116),"0")</f>
        <v>680.40000000000009</v>
      </c>
      <c r="Y118" s="41">
        <f>IFERROR(SUM(Y113:Y116),"0")</f>
        <v>680.4</v>
      </c>
      <c r="Z118" s="40"/>
      <c r="AA118" s="64"/>
      <c r="AB118" s="64"/>
      <c r="AC118" s="64"/>
    </row>
    <row r="119" spans="1:68" ht="14.25" customHeight="1" x14ac:dyDescent="0.25">
      <c r="A119" s="549" t="s">
        <v>171</v>
      </c>
      <c r="B119" s="549"/>
      <c r="C119" s="549"/>
      <c r="D119" s="549"/>
      <c r="E119" s="549"/>
      <c r="F119" s="549"/>
      <c r="G119" s="549"/>
      <c r="H119" s="549"/>
      <c r="I119" s="549"/>
      <c r="J119" s="549"/>
      <c r="K119" s="549"/>
      <c r="L119" s="549"/>
      <c r="M119" s="549"/>
      <c r="N119" s="549"/>
      <c r="O119" s="549"/>
      <c r="P119" s="549"/>
      <c r="Q119" s="549"/>
      <c r="R119" s="549"/>
      <c r="S119" s="549"/>
      <c r="T119" s="549"/>
      <c r="U119" s="549"/>
      <c r="V119" s="549"/>
      <c r="W119" s="549"/>
      <c r="X119" s="549"/>
      <c r="Y119" s="549"/>
      <c r="Z119" s="549"/>
      <c r="AA119" s="63"/>
      <c r="AB119" s="63"/>
      <c r="AC119" s="63"/>
    </row>
    <row r="120" spans="1:68" ht="16.5" customHeight="1" x14ac:dyDescent="0.25">
      <c r="A120" s="60" t="s">
        <v>224</v>
      </c>
      <c r="B120" s="60" t="s">
        <v>225</v>
      </c>
      <c r="C120" s="34">
        <v>4301060317</v>
      </c>
      <c r="D120" s="550">
        <v>4680115880238</v>
      </c>
      <c r="E120" s="550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8"/>
      <c r="P121" s="554" t="s">
        <v>40</v>
      </c>
      <c r="Q121" s="555"/>
      <c r="R121" s="555"/>
      <c r="S121" s="555"/>
      <c r="T121" s="555"/>
      <c r="U121" s="555"/>
      <c r="V121" s="556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54" t="s">
        <v>40</v>
      </c>
      <c r="Q122" s="555"/>
      <c r="R122" s="555"/>
      <c r="S122" s="555"/>
      <c r="T122" s="555"/>
      <c r="U122" s="555"/>
      <c r="V122" s="556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customHeight="1" x14ac:dyDescent="0.25">
      <c r="A123" s="565" t="s">
        <v>227</v>
      </c>
      <c r="B123" s="565"/>
      <c r="C123" s="565"/>
      <c r="D123" s="565"/>
      <c r="E123" s="565"/>
      <c r="F123" s="565"/>
      <c r="G123" s="565"/>
      <c r="H123" s="565"/>
      <c r="I123" s="565"/>
      <c r="J123" s="565"/>
      <c r="K123" s="565"/>
      <c r="L123" s="565"/>
      <c r="M123" s="565"/>
      <c r="N123" s="565"/>
      <c r="O123" s="565"/>
      <c r="P123" s="565"/>
      <c r="Q123" s="565"/>
      <c r="R123" s="565"/>
      <c r="S123" s="565"/>
      <c r="T123" s="565"/>
      <c r="U123" s="565"/>
      <c r="V123" s="565"/>
      <c r="W123" s="565"/>
      <c r="X123" s="565"/>
      <c r="Y123" s="565"/>
      <c r="Z123" s="565"/>
      <c r="AA123" s="62"/>
      <c r="AB123" s="62"/>
      <c r="AC123" s="62"/>
    </row>
    <row r="124" spans="1:68" ht="14.25" customHeight="1" x14ac:dyDescent="0.25">
      <c r="A124" s="549" t="s">
        <v>108</v>
      </c>
      <c r="B124" s="549"/>
      <c r="C124" s="549"/>
      <c r="D124" s="549"/>
      <c r="E124" s="549"/>
      <c r="F124" s="549"/>
      <c r="G124" s="549"/>
      <c r="H124" s="549"/>
      <c r="I124" s="549"/>
      <c r="J124" s="549"/>
      <c r="K124" s="549"/>
      <c r="L124" s="549"/>
      <c r="M124" s="549"/>
      <c r="N124" s="549"/>
      <c r="O124" s="549"/>
      <c r="P124" s="549"/>
      <c r="Q124" s="549"/>
      <c r="R124" s="549"/>
      <c r="S124" s="549"/>
      <c r="T124" s="549"/>
      <c r="U124" s="549"/>
      <c r="V124" s="549"/>
      <c r="W124" s="549"/>
      <c r="X124" s="549"/>
      <c r="Y124" s="549"/>
      <c r="Z124" s="549"/>
      <c r="AA124" s="63"/>
      <c r="AB124" s="63"/>
      <c r="AC124" s="63"/>
    </row>
    <row r="125" spans="1:68" ht="27" customHeight="1" x14ac:dyDescent="0.25">
      <c r="A125" s="60" t="s">
        <v>228</v>
      </c>
      <c r="B125" s="60" t="s">
        <v>229</v>
      </c>
      <c r="C125" s="34">
        <v>4301011562</v>
      </c>
      <c r="D125" s="550">
        <v>4680115882577</v>
      </c>
      <c r="E125" s="550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7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228</v>
      </c>
      <c r="B126" s="60" t="s">
        <v>231</v>
      </c>
      <c r="C126" s="34">
        <v>4301011564</v>
      </c>
      <c r="D126" s="550">
        <v>4680115882577</v>
      </c>
      <c r="E126" s="550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7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8"/>
      <c r="P127" s="554" t="s">
        <v>40</v>
      </c>
      <c r="Q127" s="555"/>
      <c r="R127" s="555"/>
      <c r="S127" s="555"/>
      <c r="T127" s="555"/>
      <c r="U127" s="555"/>
      <c r="V127" s="556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54" t="s">
        <v>40</v>
      </c>
      <c r="Q128" s="555"/>
      <c r="R128" s="555"/>
      <c r="S128" s="555"/>
      <c r="T128" s="555"/>
      <c r="U128" s="555"/>
      <c r="V128" s="556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customHeight="1" x14ac:dyDescent="0.25">
      <c r="A129" s="549" t="s">
        <v>76</v>
      </c>
      <c r="B129" s="549"/>
      <c r="C129" s="549"/>
      <c r="D129" s="549"/>
      <c r="E129" s="549"/>
      <c r="F129" s="549"/>
      <c r="G129" s="549"/>
      <c r="H129" s="549"/>
      <c r="I129" s="549"/>
      <c r="J129" s="549"/>
      <c r="K129" s="549"/>
      <c r="L129" s="549"/>
      <c r="M129" s="549"/>
      <c r="N129" s="549"/>
      <c r="O129" s="549"/>
      <c r="P129" s="549"/>
      <c r="Q129" s="549"/>
      <c r="R129" s="549"/>
      <c r="S129" s="549"/>
      <c r="T129" s="549"/>
      <c r="U129" s="549"/>
      <c r="V129" s="549"/>
      <c r="W129" s="549"/>
      <c r="X129" s="549"/>
      <c r="Y129" s="549"/>
      <c r="Z129" s="549"/>
      <c r="AA129" s="63"/>
      <c r="AB129" s="63"/>
      <c r="AC129" s="63"/>
    </row>
    <row r="130" spans="1:68" ht="27" customHeight="1" x14ac:dyDescent="0.25">
      <c r="A130" s="60" t="s">
        <v>232</v>
      </c>
      <c r="B130" s="60" t="s">
        <v>233</v>
      </c>
      <c r="C130" s="34">
        <v>4301031235</v>
      </c>
      <c r="D130" s="550">
        <v>4680115883444</v>
      </c>
      <c r="E130" s="550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74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232</v>
      </c>
      <c r="B131" s="60" t="s">
        <v>235</v>
      </c>
      <c r="C131" s="34">
        <v>4301031234</v>
      </c>
      <c r="D131" s="550">
        <v>4680115883444</v>
      </c>
      <c r="E131" s="550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7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8"/>
      <c r="P132" s="554" t="s">
        <v>40</v>
      </c>
      <c r="Q132" s="555"/>
      <c r="R132" s="555"/>
      <c r="S132" s="555"/>
      <c r="T132" s="555"/>
      <c r="U132" s="555"/>
      <c r="V132" s="556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54" t="s">
        <v>40</v>
      </c>
      <c r="Q133" s="555"/>
      <c r="R133" s="555"/>
      <c r="S133" s="555"/>
      <c r="T133" s="555"/>
      <c r="U133" s="555"/>
      <c r="V133" s="556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customHeight="1" x14ac:dyDescent="0.25">
      <c r="A134" s="549" t="s">
        <v>82</v>
      </c>
      <c r="B134" s="549"/>
      <c r="C134" s="549"/>
      <c r="D134" s="549"/>
      <c r="E134" s="549"/>
      <c r="F134" s="549"/>
      <c r="G134" s="549"/>
      <c r="H134" s="549"/>
      <c r="I134" s="549"/>
      <c r="J134" s="549"/>
      <c r="K134" s="549"/>
      <c r="L134" s="549"/>
      <c r="M134" s="549"/>
      <c r="N134" s="549"/>
      <c r="O134" s="549"/>
      <c r="P134" s="549"/>
      <c r="Q134" s="549"/>
      <c r="R134" s="549"/>
      <c r="S134" s="549"/>
      <c r="T134" s="549"/>
      <c r="U134" s="549"/>
      <c r="V134" s="549"/>
      <c r="W134" s="549"/>
      <c r="X134" s="549"/>
      <c r="Y134" s="549"/>
      <c r="Z134" s="549"/>
      <c r="AA134" s="63"/>
      <c r="AB134" s="63"/>
      <c r="AC134" s="63"/>
    </row>
    <row r="135" spans="1:68" ht="16.5" customHeight="1" x14ac:dyDescent="0.25">
      <c r="A135" s="60" t="s">
        <v>236</v>
      </c>
      <c r="B135" s="60" t="s">
        <v>237</v>
      </c>
      <c r="C135" s="34">
        <v>4301051477</v>
      </c>
      <c r="D135" s="550">
        <v>4680115882584</v>
      </c>
      <c r="E135" s="550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7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customHeight="1" x14ac:dyDescent="0.25">
      <c r="A136" s="60" t="s">
        <v>236</v>
      </c>
      <c r="B136" s="60" t="s">
        <v>238</v>
      </c>
      <c r="C136" s="34">
        <v>4301051476</v>
      </c>
      <c r="D136" s="550">
        <v>4680115882584</v>
      </c>
      <c r="E136" s="550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8"/>
      <c r="P137" s="554" t="s">
        <v>40</v>
      </c>
      <c r="Q137" s="555"/>
      <c r="R137" s="555"/>
      <c r="S137" s="555"/>
      <c r="T137" s="555"/>
      <c r="U137" s="555"/>
      <c r="V137" s="556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54" t="s">
        <v>40</v>
      </c>
      <c r="Q138" s="555"/>
      <c r="R138" s="555"/>
      <c r="S138" s="555"/>
      <c r="T138" s="555"/>
      <c r="U138" s="555"/>
      <c r="V138" s="556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customHeight="1" x14ac:dyDescent="0.25">
      <c r="A139" s="565" t="s">
        <v>106</v>
      </c>
      <c r="B139" s="565"/>
      <c r="C139" s="565"/>
      <c r="D139" s="565"/>
      <c r="E139" s="565"/>
      <c r="F139" s="565"/>
      <c r="G139" s="565"/>
      <c r="H139" s="565"/>
      <c r="I139" s="565"/>
      <c r="J139" s="565"/>
      <c r="K139" s="565"/>
      <c r="L139" s="565"/>
      <c r="M139" s="565"/>
      <c r="N139" s="565"/>
      <c r="O139" s="565"/>
      <c r="P139" s="565"/>
      <c r="Q139" s="565"/>
      <c r="R139" s="565"/>
      <c r="S139" s="565"/>
      <c r="T139" s="565"/>
      <c r="U139" s="565"/>
      <c r="V139" s="565"/>
      <c r="W139" s="565"/>
      <c r="X139" s="565"/>
      <c r="Y139" s="565"/>
      <c r="Z139" s="565"/>
      <c r="AA139" s="62"/>
      <c r="AB139" s="62"/>
      <c r="AC139" s="62"/>
    </row>
    <row r="140" spans="1:68" ht="14.25" customHeight="1" x14ac:dyDescent="0.25">
      <c r="A140" s="549" t="s">
        <v>108</v>
      </c>
      <c r="B140" s="549"/>
      <c r="C140" s="549"/>
      <c r="D140" s="549"/>
      <c r="E140" s="549"/>
      <c r="F140" s="549"/>
      <c r="G140" s="549"/>
      <c r="H140" s="549"/>
      <c r="I140" s="549"/>
      <c r="J140" s="549"/>
      <c r="K140" s="549"/>
      <c r="L140" s="549"/>
      <c r="M140" s="549"/>
      <c r="N140" s="549"/>
      <c r="O140" s="549"/>
      <c r="P140" s="549"/>
      <c r="Q140" s="549"/>
      <c r="R140" s="549"/>
      <c r="S140" s="549"/>
      <c r="T140" s="549"/>
      <c r="U140" s="549"/>
      <c r="V140" s="549"/>
      <c r="W140" s="549"/>
      <c r="X140" s="549"/>
      <c r="Y140" s="549"/>
      <c r="Z140" s="549"/>
      <c r="AA140" s="63"/>
      <c r="AB140" s="63"/>
      <c r="AC140" s="63"/>
    </row>
    <row r="141" spans="1:68" ht="27" customHeight="1" x14ac:dyDescent="0.25">
      <c r="A141" s="60" t="s">
        <v>239</v>
      </c>
      <c r="B141" s="60" t="s">
        <v>240</v>
      </c>
      <c r="C141" s="34">
        <v>4301012244</v>
      </c>
      <c r="D141" s="550">
        <v>4680115887374</v>
      </c>
      <c r="E141" s="550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73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243</v>
      </c>
      <c r="B142" s="60" t="s">
        <v>244</v>
      </c>
      <c r="C142" s="34">
        <v>4301011705</v>
      </c>
      <c r="D142" s="550">
        <v>4607091384604</v>
      </c>
      <c r="E142" s="550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73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247</v>
      </c>
      <c r="C143" s="34">
        <v>4301012179</v>
      </c>
      <c r="D143" s="550">
        <v>4680115886810</v>
      </c>
      <c r="E143" s="550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74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2"/>
      <c r="R143" s="552"/>
      <c r="S143" s="552"/>
      <c r="T143" s="553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54" t="s">
        <v>40</v>
      </c>
      <c r="Q144" s="555"/>
      <c r="R144" s="555"/>
      <c r="S144" s="555"/>
      <c r="T144" s="555"/>
      <c r="U144" s="555"/>
      <c r="V144" s="556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54" t="s">
        <v>40</v>
      </c>
      <c r="Q145" s="555"/>
      <c r="R145" s="555"/>
      <c r="S145" s="555"/>
      <c r="T145" s="555"/>
      <c r="U145" s="555"/>
      <c r="V145" s="556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customHeight="1" x14ac:dyDescent="0.25">
      <c r="A146" s="549" t="s">
        <v>76</v>
      </c>
      <c r="B146" s="549"/>
      <c r="C146" s="549"/>
      <c r="D146" s="549"/>
      <c r="E146" s="549"/>
      <c r="F146" s="549"/>
      <c r="G146" s="549"/>
      <c r="H146" s="549"/>
      <c r="I146" s="549"/>
      <c r="J146" s="549"/>
      <c r="K146" s="549"/>
      <c r="L146" s="549"/>
      <c r="M146" s="549"/>
      <c r="N146" s="549"/>
      <c r="O146" s="549"/>
      <c r="P146" s="549"/>
      <c r="Q146" s="549"/>
      <c r="R146" s="549"/>
      <c r="S146" s="549"/>
      <c r="T146" s="549"/>
      <c r="U146" s="549"/>
      <c r="V146" s="549"/>
      <c r="W146" s="549"/>
      <c r="X146" s="549"/>
      <c r="Y146" s="549"/>
      <c r="Z146" s="549"/>
      <c r="AA146" s="63"/>
      <c r="AB146" s="63"/>
      <c r="AC146" s="63"/>
    </row>
    <row r="147" spans="1:68" ht="16.5" customHeight="1" x14ac:dyDescent="0.25">
      <c r="A147" s="60" t="s">
        <v>249</v>
      </c>
      <c r="B147" s="60" t="s">
        <v>250</v>
      </c>
      <c r="C147" s="34">
        <v>4301030895</v>
      </c>
      <c r="D147" s="550">
        <v>4607091387667</v>
      </c>
      <c r="E147" s="550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73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2"/>
      <c r="R147" s="552"/>
      <c r="S147" s="552"/>
      <c r="T147" s="55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252</v>
      </c>
      <c r="B148" s="60" t="s">
        <v>253</v>
      </c>
      <c r="C148" s="34">
        <v>4301030961</v>
      </c>
      <c r="D148" s="550">
        <v>4607091387636</v>
      </c>
      <c r="E148" s="550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7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255</v>
      </c>
      <c r="B149" s="60" t="s">
        <v>256</v>
      </c>
      <c r="C149" s="34">
        <v>4301030963</v>
      </c>
      <c r="D149" s="550">
        <v>4607091382426</v>
      </c>
      <c r="E149" s="550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2"/>
      <c r="R149" s="552"/>
      <c r="S149" s="552"/>
      <c r="T149" s="55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8"/>
      <c r="P150" s="554" t="s">
        <v>40</v>
      </c>
      <c r="Q150" s="555"/>
      <c r="R150" s="555"/>
      <c r="S150" s="555"/>
      <c r="T150" s="555"/>
      <c r="U150" s="555"/>
      <c r="V150" s="556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557"/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8"/>
      <c r="P151" s="554" t="s">
        <v>40</v>
      </c>
      <c r="Q151" s="555"/>
      <c r="R151" s="555"/>
      <c r="S151" s="555"/>
      <c r="T151" s="555"/>
      <c r="U151" s="555"/>
      <c r="V151" s="556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customHeight="1" x14ac:dyDescent="0.25">
      <c r="A152" s="549" t="s">
        <v>82</v>
      </c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49"/>
      <c r="P152" s="549"/>
      <c r="Q152" s="549"/>
      <c r="R152" s="549"/>
      <c r="S152" s="549"/>
      <c r="T152" s="549"/>
      <c r="U152" s="549"/>
      <c r="V152" s="549"/>
      <c r="W152" s="549"/>
      <c r="X152" s="549"/>
      <c r="Y152" s="549"/>
      <c r="Z152" s="549"/>
      <c r="AA152" s="63"/>
      <c r="AB152" s="63"/>
      <c r="AC152" s="63"/>
    </row>
    <row r="153" spans="1:68" ht="27" customHeight="1" x14ac:dyDescent="0.25">
      <c r="A153" s="60" t="s">
        <v>258</v>
      </c>
      <c r="B153" s="60" t="s">
        <v>259</v>
      </c>
      <c r="C153" s="34">
        <v>4301052064</v>
      </c>
      <c r="D153" s="550">
        <v>4680115887459</v>
      </c>
      <c r="E153" s="550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734" t="s">
        <v>260</v>
      </c>
      <c r="Q153" s="552"/>
      <c r="R153" s="552"/>
      <c r="S153" s="552"/>
      <c r="T153" s="55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54" t="s">
        <v>40</v>
      </c>
      <c r="Q154" s="555"/>
      <c r="R154" s="555"/>
      <c r="S154" s="555"/>
      <c r="T154" s="555"/>
      <c r="U154" s="555"/>
      <c r="V154" s="556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8"/>
      <c r="P155" s="554" t="s">
        <v>40</v>
      </c>
      <c r="Q155" s="555"/>
      <c r="R155" s="555"/>
      <c r="S155" s="555"/>
      <c r="T155" s="555"/>
      <c r="U155" s="555"/>
      <c r="V155" s="556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customHeight="1" x14ac:dyDescent="0.2">
      <c r="A156" s="574" t="s">
        <v>262</v>
      </c>
      <c r="B156" s="574"/>
      <c r="C156" s="574"/>
      <c r="D156" s="574"/>
      <c r="E156" s="574"/>
      <c r="F156" s="574"/>
      <c r="G156" s="574"/>
      <c r="H156" s="574"/>
      <c r="I156" s="574"/>
      <c r="J156" s="574"/>
      <c r="K156" s="574"/>
      <c r="L156" s="574"/>
      <c r="M156" s="574"/>
      <c r="N156" s="574"/>
      <c r="O156" s="574"/>
      <c r="P156" s="574"/>
      <c r="Q156" s="574"/>
      <c r="R156" s="574"/>
      <c r="S156" s="574"/>
      <c r="T156" s="574"/>
      <c r="U156" s="574"/>
      <c r="V156" s="574"/>
      <c r="W156" s="574"/>
      <c r="X156" s="574"/>
      <c r="Y156" s="574"/>
      <c r="Z156" s="574"/>
      <c r="AA156" s="52"/>
      <c r="AB156" s="52"/>
      <c r="AC156" s="52"/>
    </row>
    <row r="157" spans="1:68" ht="16.5" customHeight="1" x14ac:dyDescent="0.25">
      <c r="A157" s="565" t="s">
        <v>263</v>
      </c>
      <c r="B157" s="565"/>
      <c r="C157" s="565"/>
      <c r="D157" s="565"/>
      <c r="E157" s="565"/>
      <c r="F157" s="565"/>
      <c r="G157" s="565"/>
      <c r="H157" s="565"/>
      <c r="I157" s="565"/>
      <c r="J157" s="565"/>
      <c r="K157" s="565"/>
      <c r="L157" s="565"/>
      <c r="M157" s="565"/>
      <c r="N157" s="565"/>
      <c r="O157" s="565"/>
      <c r="P157" s="565"/>
      <c r="Q157" s="565"/>
      <c r="R157" s="565"/>
      <c r="S157" s="565"/>
      <c r="T157" s="565"/>
      <c r="U157" s="565"/>
      <c r="V157" s="565"/>
      <c r="W157" s="565"/>
      <c r="X157" s="565"/>
      <c r="Y157" s="565"/>
      <c r="Z157" s="565"/>
      <c r="AA157" s="62"/>
      <c r="AB157" s="62"/>
      <c r="AC157" s="62"/>
    </row>
    <row r="158" spans="1:68" ht="14.25" customHeight="1" x14ac:dyDescent="0.25">
      <c r="A158" s="549" t="s">
        <v>141</v>
      </c>
      <c r="B158" s="549"/>
      <c r="C158" s="549"/>
      <c r="D158" s="549"/>
      <c r="E158" s="549"/>
      <c r="F158" s="549"/>
      <c r="G158" s="549"/>
      <c r="H158" s="549"/>
      <c r="I158" s="549"/>
      <c r="J158" s="549"/>
      <c r="K158" s="549"/>
      <c r="L158" s="549"/>
      <c r="M158" s="549"/>
      <c r="N158" s="549"/>
      <c r="O158" s="549"/>
      <c r="P158" s="549"/>
      <c r="Q158" s="549"/>
      <c r="R158" s="549"/>
      <c r="S158" s="549"/>
      <c r="T158" s="549"/>
      <c r="U158" s="549"/>
      <c r="V158" s="549"/>
      <c r="W158" s="549"/>
      <c r="X158" s="549"/>
      <c r="Y158" s="549"/>
      <c r="Z158" s="549"/>
      <c r="AA158" s="63"/>
      <c r="AB158" s="63"/>
      <c r="AC158" s="63"/>
    </row>
    <row r="159" spans="1:68" ht="27" customHeight="1" x14ac:dyDescent="0.25">
      <c r="A159" s="60" t="s">
        <v>264</v>
      </c>
      <c r="B159" s="60" t="s">
        <v>265</v>
      </c>
      <c r="C159" s="34">
        <v>4301020323</v>
      </c>
      <c r="D159" s="550">
        <v>4680115886223</v>
      </c>
      <c r="E159" s="550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7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2"/>
      <c r="R159" s="552"/>
      <c r="S159" s="552"/>
      <c r="T159" s="55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8"/>
      <c r="P160" s="554" t="s">
        <v>40</v>
      </c>
      <c r="Q160" s="555"/>
      <c r="R160" s="555"/>
      <c r="S160" s="555"/>
      <c r="T160" s="555"/>
      <c r="U160" s="555"/>
      <c r="V160" s="556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557"/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8"/>
      <c r="P161" s="554" t="s">
        <v>40</v>
      </c>
      <c r="Q161" s="555"/>
      <c r="R161" s="555"/>
      <c r="S161" s="555"/>
      <c r="T161" s="555"/>
      <c r="U161" s="555"/>
      <c r="V161" s="556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customHeight="1" x14ac:dyDescent="0.25">
      <c r="A162" s="549" t="s">
        <v>76</v>
      </c>
      <c r="B162" s="549"/>
      <c r="C162" s="549"/>
      <c r="D162" s="549"/>
      <c r="E162" s="549"/>
      <c r="F162" s="549"/>
      <c r="G162" s="549"/>
      <c r="H162" s="549"/>
      <c r="I162" s="549"/>
      <c r="J162" s="549"/>
      <c r="K162" s="549"/>
      <c r="L162" s="549"/>
      <c r="M162" s="549"/>
      <c r="N162" s="549"/>
      <c r="O162" s="549"/>
      <c r="P162" s="549"/>
      <c r="Q162" s="549"/>
      <c r="R162" s="549"/>
      <c r="S162" s="549"/>
      <c r="T162" s="549"/>
      <c r="U162" s="549"/>
      <c r="V162" s="549"/>
      <c r="W162" s="549"/>
      <c r="X162" s="549"/>
      <c r="Y162" s="549"/>
      <c r="Z162" s="549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550">
        <v>4680115880993</v>
      </c>
      <c r="E163" s="550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7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2"/>
      <c r="R163" s="552"/>
      <c r="S163" s="552"/>
      <c r="T163" s="553"/>
      <c r="U163" s="37" t="s">
        <v>45</v>
      </c>
      <c r="V163" s="37" t="s">
        <v>45</v>
      </c>
      <c r="W163" s="38" t="s">
        <v>0</v>
      </c>
      <c r="X163" s="56">
        <v>50.4</v>
      </c>
      <c r="Y163" s="53">
        <f t="shared" ref="Y163:Y171" si="5">IFERROR(IF(X163="",0,CEILING((X163/$H163),1)*$H163),"")</f>
        <v>50.400000000000006</v>
      </c>
      <c r="Z163" s="39">
        <f>IFERROR(IF(Y163=0,"",ROUNDUP(Y163/H163,0)*0.00902),"")</f>
        <v>0.10824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53.639999999999993</v>
      </c>
      <c r="BN163" s="75">
        <f t="shared" ref="BN163:BN171" si="7">IFERROR(Y163*I163/H163,"0")</f>
        <v>53.64</v>
      </c>
      <c r="BO163" s="75">
        <f t="shared" ref="BO163:BO171" si="8">IFERROR(1/J163*(X163/H163),"0")</f>
        <v>9.0909090909090912E-2</v>
      </c>
      <c r="BP163" s="75">
        <f t="shared" ref="BP163:BP171" si="9">IFERROR(1/J163*(Y163/H163),"0")</f>
        <v>9.0909090909090912E-2</v>
      </c>
    </row>
    <row r="164" spans="1:68" ht="27" customHeight="1" x14ac:dyDescent="0.25">
      <c r="A164" s="60" t="s">
        <v>270</v>
      </c>
      <c r="B164" s="60" t="s">
        <v>271</v>
      </c>
      <c r="C164" s="34">
        <v>4301031204</v>
      </c>
      <c r="D164" s="550">
        <v>4680115881761</v>
      </c>
      <c r="E164" s="550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7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2"/>
      <c r="R164" s="552"/>
      <c r="S164" s="552"/>
      <c r="T164" s="553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550">
        <v>4680115881563</v>
      </c>
      <c r="E165" s="550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2"/>
      <c r="R165" s="552"/>
      <c r="S165" s="552"/>
      <c r="T165" s="553"/>
      <c r="U165" s="37" t="s">
        <v>45</v>
      </c>
      <c r="V165" s="37" t="s">
        <v>45</v>
      </c>
      <c r="W165" s="38" t="s">
        <v>0</v>
      </c>
      <c r="X165" s="56">
        <v>0</v>
      </c>
      <c r="Y165" s="53">
        <f t="shared" si="5"/>
        <v>0</v>
      </c>
      <c r="Z165" s="39" t="str">
        <f>IFERROR(IF(Y165=0,"",ROUNDUP(Y165/H165,0)*0.00902),"")</f>
        <v/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0</v>
      </c>
      <c r="BN165" s="75">
        <f t="shared" si="7"/>
        <v>0</v>
      </c>
      <c r="BO165" s="75">
        <f t="shared" si="8"/>
        <v>0</v>
      </c>
      <c r="BP165" s="75">
        <f t="shared" si="9"/>
        <v>0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550">
        <v>4680115880986</v>
      </c>
      <c r="E166" s="550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7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2"/>
      <c r="R166" s="552"/>
      <c r="S166" s="552"/>
      <c r="T166" s="553"/>
      <c r="U166" s="37" t="s">
        <v>45</v>
      </c>
      <c r="V166" s="37" t="s">
        <v>45</v>
      </c>
      <c r="W166" s="38" t="s">
        <v>0</v>
      </c>
      <c r="X166" s="56">
        <v>75.599999999999994</v>
      </c>
      <c r="Y166" s="53">
        <f t="shared" si="5"/>
        <v>75.600000000000009</v>
      </c>
      <c r="Z166" s="39">
        <f>IFERROR(IF(Y166=0,"",ROUNDUP(Y166/H166,0)*0.00502),"")</f>
        <v>0.18071999999999999</v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80.279999999999987</v>
      </c>
      <c r="BN166" s="75">
        <f t="shared" si="7"/>
        <v>80.28</v>
      </c>
      <c r="BO166" s="75">
        <f t="shared" si="8"/>
        <v>0.15384615384615383</v>
      </c>
      <c r="BP166" s="75">
        <f t="shared" si="9"/>
        <v>0.15384615384615385</v>
      </c>
    </row>
    <row r="167" spans="1:68" ht="27" customHeight="1" x14ac:dyDescent="0.25">
      <c r="A167" s="60" t="s">
        <v>278</v>
      </c>
      <c r="B167" s="60" t="s">
        <v>279</v>
      </c>
      <c r="C167" s="34">
        <v>4301031205</v>
      </c>
      <c r="D167" s="550">
        <v>4680115881785</v>
      </c>
      <c r="E167" s="550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7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4301031399</v>
      </c>
      <c r="D168" s="550">
        <v>4680115886537</v>
      </c>
      <c r="E168" s="550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7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283</v>
      </c>
      <c r="B169" s="60" t="s">
        <v>284</v>
      </c>
      <c r="C169" s="34">
        <v>4301031202</v>
      </c>
      <c r="D169" s="550">
        <v>4680115881679</v>
      </c>
      <c r="E169" s="550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7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7" t="s">
        <v>45</v>
      </c>
      <c r="V169" s="37" t="s">
        <v>45</v>
      </c>
      <c r="W169" s="38" t="s">
        <v>0</v>
      </c>
      <c r="X169" s="56">
        <v>0</v>
      </c>
      <c r="Y169" s="53">
        <f t="shared" si="5"/>
        <v>0</v>
      </c>
      <c r="Z169" s="39" t="str">
        <f>IFERROR(IF(Y169=0,"",ROUNDUP(Y169/H169,0)*0.00502),"")</f>
        <v/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0</v>
      </c>
      <c r="BN169" s="75">
        <f t="shared" si="7"/>
        <v>0</v>
      </c>
      <c r="BO169" s="75">
        <f t="shared" si="8"/>
        <v>0</v>
      </c>
      <c r="BP169" s="75">
        <f t="shared" si="9"/>
        <v>0</v>
      </c>
    </row>
    <row r="170" spans="1:68" ht="27" customHeight="1" x14ac:dyDescent="0.25">
      <c r="A170" s="60" t="s">
        <v>285</v>
      </c>
      <c r="B170" s="60" t="s">
        <v>286</v>
      </c>
      <c r="C170" s="34">
        <v>4301031158</v>
      </c>
      <c r="D170" s="550">
        <v>4680115880191</v>
      </c>
      <c r="E170" s="550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7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customHeight="1" x14ac:dyDescent="0.25">
      <c r="A171" s="60" t="s">
        <v>287</v>
      </c>
      <c r="B171" s="60" t="s">
        <v>288</v>
      </c>
      <c r="C171" s="34">
        <v>4301031245</v>
      </c>
      <c r="D171" s="550">
        <v>4680115883963</v>
      </c>
      <c r="E171" s="550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7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8"/>
      <c r="P172" s="554" t="s">
        <v>40</v>
      </c>
      <c r="Q172" s="555"/>
      <c r="R172" s="555"/>
      <c r="S172" s="555"/>
      <c r="T172" s="555"/>
      <c r="U172" s="555"/>
      <c r="V172" s="556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47.999999999999993</v>
      </c>
      <c r="Y172" s="41">
        <f>IFERROR(Y163/H163,"0")+IFERROR(Y164/H164,"0")+IFERROR(Y165/H165,"0")+IFERROR(Y166/H166,"0")+IFERROR(Y167/H167,"0")+IFERROR(Y168/H168,"0")+IFERROR(Y169/H169,"0")+IFERROR(Y170/H170,"0")+IFERROR(Y171/H171,"0")</f>
        <v>48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0.28895999999999999</v>
      </c>
      <c r="AA172" s="64"/>
      <c r="AB172" s="64"/>
      <c r="AC172" s="64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8"/>
      <c r="P173" s="554" t="s">
        <v>40</v>
      </c>
      <c r="Q173" s="555"/>
      <c r="R173" s="555"/>
      <c r="S173" s="555"/>
      <c r="T173" s="555"/>
      <c r="U173" s="555"/>
      <c r="V173" s="556"/>
      <c r="W173" s="40" t="s">
        <v>0</v>
      </c>
      <c r="X173" s="41">
        <f>IFERROR(SUM(X163:X171),"0")</f>
        <v>126</v>
      </c>
      <c r="Y173" s="41">
        <f>IFERROR(SUM(Y163:Y171),"0")</f>
        <v>126.00000000000001</v>
      </c>
      <c r="Z173" s="40"/>
      <c r="AA173" s="64"/>
      <c r="AB173" s="64"/>
      <c r="AC173" s="64"/>
    </row>
    <row r="174" spans="1:68" ht="14.25" customHeight="1" x14ac:dyDescent="0.25">
      <c r="A174" s="549" t="s">
        <v>100</v>
      </c>
      <c r="B174" s="549"/>
      <c r="C174" s="549"/>
      <c r="D174" s="549"/>
      <c r="E174" s="549"/>
      <c r="F174" s="549"/>
      <c r="G174" s="549"/>
      <c r="H174" s="549"/>
      <c r="I174" s="549"/>
      <c r="J174" s="549"/>
      <c r="K174" s="549"/>
      <c r="L174" s="549"/>
      <c r="M174" s="549"/>
      <c r="N174" s="549"/>
      <c r="O174" s="549"/>
      <c r="P174" s="549"/>
      <c r="Q174" s="549"/>
      <c r="R174" s="549"/>
      <c r="S174" s="549"/>
      <c r="T174" s="549"/>
      <c r="U174" s="549"/>
      <c r="V174" s="549"/>
      <c r="W174" s="549"/>
      <c r="X174" s="549"/>
      <c r="Y174" s="549"/>
      <c r="Z174" s="549"/>
      <c r="AA174" s="63"/>
      <c r="AB174" s="63"/>
      <c r="AC174" s="63"/>
    </row>
    <row r="175" spans="1:68" ht="27" customHeight="1" x14ac:dyDescent="0.25">
      <c r="A175" s="60" t="s">
        <v>290</v>
      </c>
      <c r="B175" s="60" t="s">
        <v>291</v>
      </c>
      <c r="C175" s="34">
        <v>4301032053</v>
      </c>
      <c r="D175" s="550">
        <v>4680115886780</v>
      </c>
      <c r="E175" s="550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7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customHeight="1" x14ac:dyDescent="0.25">
      <c r="A176" s="60" t="s">
        <v>295</v>
      </c>
      <c r="B176" s="60" t="s">
        <v>296</v>
      </c>
      <c r="C176" s="34">
        <v>4301032051</v>
      </c>
      <c r="D176" s="550">
        <v>4680115886742</v>
      </c>
      <c r="E176" s="550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customHeight="1" x14ac:dyDescent="0.25">
      <c r="A177" s="60" t="s">
        <v>298</v>
      </c>
      <c r="B177" s="60" t="s">
        <v>299</v>
      </c>
      <c r="C177" s="34">
        <v>4301032052</v>
      </c>
      <c r="D177" s="550">
        <v>4680115886766</v>
      </c>
      <c r="E177" s="550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7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8"/>
      <c r="P178" s="554" t="s">
        <v>40</v>
      </c>
      <c r="Q178" s="555"/>
      <c r="R178" s="555"/>
      <c r="S178" s="555"/>
      <c r="T178" s="555"/>
      <c r="U178" s="555"/>
      <c r="V178" s="556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8"/>
      <c r="P179" s="554" t="s">
        <v>40</v>
      </c>
      <c r="Q179" s="555"/>
      <c r="R179" s="555"/>
      <c r="S179" s="555"/>
      <c r="T179" s="555"/>
      <c r="U179" s="555"/>
      <c r="V179" s="556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customHeight="1" x14ac:dyDescent="0.25">
      <c r="A180" s="549" t="s">
        <v>300</v>
      </c>
      <c r="B180" s="549"/>
      <c r="C180" s="549"/>
      <c r="D180" s="549"/>
      <c r="E180" s="549"/>
      <c r="F180" s="549"/>
      <c r="G180" s="549"/>
      <c r="H180" s="549"/>
      <c r="I180" s="549"/>
      <c r="J180" s="549"/>
      <c r="K180" s="549"/>
      <c r="L180" s="549"/>
      <c r="M180" s="549"/>
      <c r="N180" s="549"/>
      <c r="O180" s="549"/>
      <c r="P180" s="549"/>
      <c r="Q180" s="549"/>
      <c r="R180" s="549"/>
      <c r="S180" s="549"/>
      <c r="T180" s="549"/>
      <c r="U180" s="549"/>
      <c r="V180" s="549"/>
      <c r="W180" s="549"/>
      <c r="X180" s="549"/>
      <c r="Y180" s="549"/>
      <c r="Z180" s="549"/>
      <c r="AA180" s="63"/>
      <c r="AB180" s="63"/>
      <c r="AC180" s="63"/>
    </row>
    <row r="181" spans="1:68" ht="27" customHeight="1" x14ac:dyDescent="0.25">
      <c r="A181" s="60" t="s">
        <v>301</v>
      </c>
      <c r="B181" s="60" t="s">
        <v>302</v>
      </c>
      <c r="C181" s="34">
        <v>4301170013</v>
      </c>
      <c r="D181" s="550">
        <v>4680115886797</v>
      </c>
      <c r="E181" s="550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7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8"/>
      <c r="P182" s="554" t="s">
        <v>40</v>
      </c>
      <c r="Q182" s="555"/>
      <c r="R182" s="555"/>
      <c r="S182" s="555"/>
      <c r="T182" s="555"/>
      <c r="U182" s="555"/>
      <c r="V182" s="556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8"/>
      <c r="P183" s="554" t="s">
        <v>40</v>
      </c>
      <c r="Q183" s="555"/>
      <c r="R183" s="555"/>
      <c r="S183" s="555"/>
      <c r="T183" s="555"/>
      <c r="U183" s="555"/>
      <c r="V183" s="556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customHeight="1" x14ac:dyDescent="0.25">
      <c r="A184" s="565" t="s">
        <v>303</v>
      </c>
      <c r="B184" s="565"/>
      <c r="C184" s="565"/>
      <c r="D184" s="565"/>
      <c r="E184" s="565"/>
      <c r="F184" s="565"/>
      <c r="G184" s="565"/>
      <c r="H184" s="565"/>
      <c r="I184" s="565"/>
      <c r="J184" s="565"/>
      <c r="K184" s="565"/>
      <c r="L184" s="565"/>
      <c r="M184" s="565"/>
      <c r="N184" s="565"/>
      <c r="O184" s="565"/>
      <c r="P184" s="565"/>
      <c r="Q184" s="565"/>
      <c r="R184" s="565"/>
      <c r="S184" s="565"/>
      <c r="T184" s="565"/>
      <c r="U184" s="565"/>
      <c r="V184" s="565"/>
      <c r="W184" s="565"/>
      <c r="X184" s="565"/>
      <c r="Y184" s="565"/>
      <c r="Z184" s="565"/>
      <c r="AA184" s="62"/>
      <c r="AB184" s="62"/>
      <c r="AC184" s="62"/>
    </row>
    <row r="185" spans="1:68" ht="14.25" customHeight="1" x14ac:dyDescent="0.25">
      <c r="A185" s="549" t="s">
        <v>108</v>
      </c>
      <c r="B185" s="549"/>
      <c r="C185" s="549"/>
      <c r="D185" s="549"/>
      <c r="E185" s="549"/>
      <c r="F185" s="549"/>
      <c r="G185" s="549"/>
      <c r="H185" s="549"/>
      <c r="I185" s="549"/>
      <c r="J185" s="549"/>
      <c r="K185" s="549"/>
      <c r="L185" s="549"/>
      <c r="M185" s="549"/>
      <c r="N185" s="549"/>
      <c r="O185" s="549"/>
      <c r="P185" s="549"/>
      <c r="Q185" s="549"/>
      <c r="R185" s="549"/>
      <c r="S185" s="549"/>
      <c r="T185" s="549"/>
      <c r="U185" s="549"/>
      <c r="V185" s="549"/>
      <c r="W185" s="549"/>
      <c r="X185" s="549"/>
      <c r="Y185" s="549"/>
      <c r="Z185" s="549"/>
      <c r="AA185" s="63"/>
      <c r="AB185" s="63"/>
      <c r="AC185" s="63"/>
    </row>
    <row r="186" spans="1:68" ht="16.5" customHeight="1" x14ac:dyDescent="0.25">
      <c r="A186" s="60" t="s">
        <v>304</v>
      </c>
      <c r="B186" s="60" t="s">
        <v>305</v>
      </c>
      <c r="C186" s="34">
        <v>4301011450</v>
      </c>
      <c r="D186" s="550">
        <v>4680115881402</v>
      </c>
      <c r="E186" s="550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307</v>
      </c>
      <c r="B187" s="60" t="s">
        <v>308</v>
      </c>
      <c r="C187" s="34">
        <v>4301011768</v>
      </c>
      <c r="D187" s="550">
        <v>4680115881396</v>
      </c>
      <c r="E187" s="550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8"/>
      <c r="P188" s="554" t="s">
        <v>40</v>
      </c>
      <c r="Q188" s="555"/>
      <c r="R188" s="555"/>
      <c r="S188" s="555"/>
      <c r="T188" s="555"/>
      <c r="U188" s="555"/>
      <c r="V188" s="556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8"/>
      <c r="P189" s="554" t="s">
        <v>40</v>
      </c>
      <c r="Q189" s="555"/>
      <c r="R189" s="555"/>
      <c r="S189" s="555"/>
      <c r="T189" s="555"/>
      <c r="U189" s="555"/>
      <c r="V189" s="556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549" t="s">
        <v>141</v>
      </c>
      <c r="B190" s="549"/>
      <c r="C190" s="549"/>
      <c r="D190" s="549"/>
      <c r="E190" s="549"/>
      <c r="F190" s="549"/>
      <c r="G190" s="549"/>
      <c r="H190" s="549"/>
      <c r="I190" s="549"/>
      <c r="J190" s="549"/>
      <c r="K190" s="549"/>
      <c r="L190" s="549"/>
      <c r="M190" s="549"/>
      <c r="N190" s="549"/>
      <c r="O190" s="549"/>
      <c r="P190" s="549"/>
      <c r="Q190" s="549"/>
      <c r="R190" s="549"/>
      <c r="S190" s="549"/>
      <c r="T190" s="549"/>
      <c r="U190" s="549"/>
      <c r="V190" s="549"/>
      <c r="W190" s="549"/>
      <c r="X190" s="549"/>
      <c r="Y190" s="549"/>
      <c r="Z190" s="549"/>
      <c r="AA190" s="63"/>
      <c r="AB190" s="63"/>
      <c r="AC190" s="63"/>
    </row>
    <row r="191" spans="1:68" ht="16.5" customHeight="1" x14ac:dyDescent="0.25">
      <c r="A191" s="60" t="s">
        <v>309</v>
      </c>
      <c r="B191" s="60" t="s">
        <v>310</v>
      </c>
      <c r="C191" s="34">
        <v>4301020261</v>
      </c>
      <c r="D191" s="550">
        <v>4680115882935</v>
      </c>
      <c r="E191" s="55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312</v>
      </c>
      <c r="B192" s="60" t="s">
        <v>313</v>
      </c>
      <c r="C192" s="34">
        <v>4301020220</v>
      </c>
      <c r="D192" s="550">
        <v>4680115880764</v>
      </c>
      <c r="E192" s="550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8"/>
      <c r="P193" s="554" t="s">
        <v>40</v>
      </c>
      <c r="Q193" s="555"/>
      <c r="R193" s="555"/>
      <c r="S193" s="555"/>
      <c r="T193" s="555"/>
      <c r="U193" s="555"/>
      <c r="V193" s="556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8"/>
      <c r="P194" s="554" t="s">
        <v>40</v>
      </c>
      <c r="Q194" s="555"/>
      <c r="R194" s="555"/>
      <c r="S194" s="555"/>
      <c r="T194" s="555"/>
      <c r="U194" s="555"/>
      <c r="V194" s="556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549" t="s">
        <v>76</v>
      </c>
      <c r="B195" s="549"/>
      <c r="C195" s="549"/>
      <c r="D195" s="549"/>
      <c r="E195" s="549"/>
      <c r="F195" s="549"/>
      <c r="G195" s="549"/>
      <c r="H195" s="549"/>
      <c r="I195" s="549"/>
      <c r="J195" s="549"/>
      <c r="K195" s="549"/>
      <c r="L195" s="549"/>
      <c r="M195" s="549"/>
      <c r="N195" s="549"/>
      <c r="O195" s="549"/>
      <c r="P195" s="549"/>
      <c r="Q195" s="549"/>
      <c r="R195" s="549"/>
      <c r="S195" s="549"/>
      <c r="T195" s="549"/>
      <c r="U195" s="549"/>
      <c r="V195" s="549"/>
      <c r="W195" s="549"/>
      <c r="X195" s="549"/>
      <c r="Y195" s="549"/>
      <c r="Z195" s="549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550">
        <v>4680115882683</v>
      </c>
      <c r="E196" s="550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7" t="s">
        <v>45</v>
      </c>
      <c r="V196" s="37" t="s">
        <v>45</v>
      </c>
      <c r="W196" s="38" t="s">
        <v>0</v>
      </c>
      <c r="X196" s="56">
        <v>0</v>
      </c>
      <c r="Y196" s="53">
        <f t="shared" ref="Y196:Y203" si="10">IFERROR(IF(X196="",0,CEILING((X196/$H196),1)*$H196),"")</f>
        <v>0</v>
      </c>
      <c r="Z196" s="39" t="str">
        <f>IFERROR(IF(Y196=0,"",ROUNDUP(Y196/H196,0)*0.00902),"")</f>
        <v/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0</v>
      </c>
      <c r="BN196" s="75">
        <f t="shared" ref="BN196:BN203" si="12">IFERROR(Y196*I196/H196,"0")</f>
        <v>0</v>
      </c>
      <c r="BO196" s="75">
        <f t="shared" ref="BO196:BO203" si="13">IFERROR(1/J196*(X196/H196),"0")</f>
        <v>0</v>
      </c>
      <c r="BP196" s="75">
        <f t="shared" ref="BP196:BP203" si="14">IFERROR(1/J196*(Y196/H196),"0")</f>
        <v>0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550">
        <v>4680115882690</v>
      </c>
      <c r="E197" s="550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7" t="s">
        <v>45</v>
      </c>
      <c r="V197" s="37" t="s">
        <v>45</v>
      </c>
      <c r="W197" s="38" t="s">
        <v>0</v>
      </c>
      <c r="X197" s="56">
        <v>0</v>
      </c>
      <c r="Y197" s="53">
        <f t="shared" si="10"/>
        <v>0</v>
      </c>
      <c r="Z197" s="39" t="str">
        <f>IFERROR(IF(Y197=0,"",ROUNDUP(Y197/H197,0)*0.00902),"")</f>
        <v/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0</v>
      </c>
      <c r="BN197" s="75">
        <f t="shared" si="12"/>
        <v>0</v>
      </c>
      <c r="BO197" s="75">
        <f t="shared" si="13"/>
        <v>0</v>
      </c>
      <c r="BP197" s="75">
        <f t="shared" si="14"/>
        <v>0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550">
        <v>4680115882669</v>
      </c>
      <c r="E198" s="550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7" t="s">
        <v>45</v>
      </c>
      <c r="V198" s="37" t="s">
        <v>45</v>
      </c>
      <c r="W198" s="38" t="s">
        <v>0</v>
      </c>
      <c r="X198" s="56">
        <v>0</v>
      </c>
      <c r="Y198" s="53">
        <f t="shared" si="10"/>
        <v>0</v>
      </c>
      <c r="Z198" s="39" t="str">
        <f>IFERROR(IF(Y198=0,"",ROUNDUP(Y198/H198,0)*0.00902),"")</f>
        <v/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0</v>
      </c>
      <c r="BN198" s="75">
        <f t="shared" si="12"/>
        <v>0</v>
      </c>
      <c r="BO198" s="75">
        <f t="shared" si="13"/>
        <v>0</v>
      </c>
      <c r="BP198" s="75">
        <f t="shared" si="14"/>
        <v>0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550">
        <v>4680115882676</v>
      </c>
      <c r="E199" s="550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7" t="s">
        <v>45</v>
      </c>
      <c r="V199" s="37" t="s">
        <v>45</v>
      </c>
      <c r="W199" s="38" t="s">
        <v>0</v>
      </c>
      <c r="X199" s="56">
        <v>0</v>
      </c>
      <c r="Y199" s="53">
        <f t="shared" si="10"/>
        <v>0</v>
      </c>
      <c r="Z199" s="39" t="str">
        <f>IFERROR(IF(Y199=0,"",ROUNDUP(Y199/H199,0)*0.00902),"")</f>
        <v/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0</v>
      </c>
      <c r="BN199" s="75">
        <f t="shared" si="12"/>
        <v>0</v>
      </c>
      <c r="BO199" s="75">
        <f t="shared" si="13"/>
        <v>0</v>
      </c>
      <c r="BP199" s="75">
        <f t="shared" si="14"/>
        <v>0</v>
      </c>
    </row>
    <row r="200" spans="1:68" ht="27" customHeight="1" x14ac:dyDescent="0.25">
      <c r="A200" s="60" t="s">
        <v>326</v>
      </c>
      <c r="B200" s="60" t="s">
        <v>327</v>
      </c>
      <c r="C200" s="34">
        <v>4301031223</v>
      </c>
      <c r="D200" s="550">
        <v>4680115884014</v>
      </c>
      <c r="E200" s="550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customHeight="1" x14ac:dyDescent="0.25">
      <c r="A201" s="60" t="s">
        <v>328</v>
      </c>
      <c r="B201" s="60" t="s">
        <v>329</v>
      </c>
      <c r="C201" s="34">
        <v>4301031222</v>
      </c>
      <c r="D201" s="550">
        <v>4680115884007</v>
      </c>
      <c r="E201" s="550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customHeight="1" x14ac:dyDescent="0.25">
      <c r="A202" s="60" t="s">
        <v>330</v>
      </c>
      <c r="B202" s="60" t="s">
        <v>331</v>
      </c>
      <c r="C202" s="34">
        <v>4301031229</v>
      </c>
      <c r="D202" s="550">
        <v>4680115884038</v>
      </c>
      <c r="E202" s="55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customHeight="1" x14ac:dyDescent="0.25">
      <c r="A203" s="60" t="s">
        <v>332</v>
      </c>
      <c r="B203" s="60" t="s">
        <v>333</v>
      </c>
      <c r="C203" s="34">
        <v>4301031225</v>
      </c>
      <c r="D203" s="550">
        <v>4680115884021</v>
      </c>
      <c r="E203" s="550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8"/>
      <c r="P204" s="554" t="s">
        <v>40</v>
      </c>
      <c r="Q204" s="555"/>
      <c r="R204" s="555"/>
      <c r="S204" s="555"/>
      <c r="T204" s="555"/>
      <c r="U204" s="555"/>
      <c r="V204" s="556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0</v>
      </c>
      <c r="Y204" s="41">
        <f>IFERROR(Y196/H196,"0")+IFERROR(Y197/H197,"0")+IFERROR(Y198/H198,"0")+IFERROR(Y199/H199,"0")+IFERROR(Y200/H200,"0")+IFERROR(Y201/H201,"0")+IFERROR(Y202/H202,"0")+IFERROR(Y203/H203,"0")</f>
        <v>0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4"/>
      <c r="AB204" s="64"/>
      <c r="AC204" s="64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8"/>
      <c r="P205" s="554" t="s">
        <v>40</v>
      </c>
      <c r="Q205" s="555"/>
      <c r="R205" s="555"/>
      <c r="S205" s="555"/>
      <c r="T205" s="555"/>
      <c r="U205" s="555"/>
      <c r="V205" s="556"/>
      <c r="W205" s="40" t="s">
        <v>0</v>
      </c>
      <c r="X205" s="41">
        <f>IFERROR(SUM(X196:X203),"0")</f>
        <v>0</v>
      </c>
      <c r="Y205" s="41">
        <f>IFERROR(SUM(Y196:Y203),"0")</f>
        <v>0</v>
      </c>
      <c r="Z205" s="40"/>
      <c r="AA205" s="64"/>
      <c r="AB205" s="64"/>
      <c r="AC205" s="64"/>
    </row>
    <row r="206" spans="1:68" ht="14.25" customHeight="1" x14ac:dyDescent="0.25">
      <c r="A206" s="549" t="s">
        <v>82</v>
      </c>
      <c r="B206" s="549"/>
      <c r="C206" s="549"/>
      <c r="D206" s="549"/>
      <c r="E206" s="549"/>
      <c r="F206" s="549"/>
      <c r="G206" s="549"/>
      <c r="H206" s="549"/>
      <c r="I206" s="549"/>
      <c r="J206" s="549"/>
      <c r="K206" s="549"/>
      <c r="L206" s="549"/>
      <c r="M206" s="549"/>
      <c r="N206" s="549"/>
      <c r="O206" s="549"/>
      <c r="P206" s="549"/>
      <c r="Q206" s="549"/>
      <c r="R206" s="549"/>
      <c r="S206" s="549"/>
      <c r="T206" s="549"/>
      <c r="U206" s="549"/>
      <c r="V206" s="549"/>
      <c r="W206" s="549"/>
      <c r="X206" s="549"/>
      <c r="Y206" s="549"/>
      <c r="Z206" s="549"/>
      <c r="AA206" s="63"/>
      <c r="AB206" s="63"/>
      <c r="AC206" s="63"/>
    </row>
    <row r="207" spans="1:68" ht="27" customHeight="1" x14ac:dyDescent="0.25">
      <c r="A207" s="60" t="s">
        <v>334</v>
      </c>
      <c r="B207" s="60" t="s">
        <v>335</v>
      </c>
      <c r="C207" s="34">
        <v>4301051408</v>
      </c>
      <c r="D207" s="550">
        <v>4680115881594</v>
      </c>
      <c r="E207" s="550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customHeight="1" x14ac:dyDescent="0.25">
      <c r="A208" s="60" t="s">
        <v>337</v>
      </c>
      <c r="B208" s="60" t="s">
        <v>338</v>
      </c>
      <c r="C208" s="34">
        <v>4301051411</v>
      </c>
      <c r="D208" s="550">
        <v>4680115881617</v>
      </c>
      <c r="E208" s="550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550">
        <v>4680115880573</v>
      </c>
      <c r="E209" s="550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7" t="s">
        <v>45</v>
      </c>
      <c r="V209" s="37" t="s">
        <v>45</v>
      </c>
      <c r="W209" s="38" t="s">
        <v>0</v>
      </c>
      <c r="X209" s="56">
        <v>1183.2</v>
      </c>
      <c r="Y209" s="53">
        <f t="shared" si="15"/>
        <v>1183.1999999999998</v>
      </c>
      <c r="Z209" s="39">
        <f>IFERROR(IF(Y209=0,"",ROUNDUP(Y209/H209,0)*0.01898),"")</f>
        <v>2.58128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1253.7840000000001</v>
      </c>
      <c r="BN209" s="75">
        <f t="shared" si="17"/>
        <v>1253.7839999999999</v>
      </c>
      <c r="BO209" s="75">
        <f t="shared" si="18"/>
        <v>2.1250000000000004</v>
      </c>
      <c r="BP209" s="75">
        <f t="shared" si="19"/>
        <v>2.125</v>
      </c>
    </row>
    <row r="210" spans="1:68" ht="27" customHeight="1" x14ac:dyDescent="0.25">
      <c r="A210" s="60" t="s">
        <v>343</v>
      </c>
      <c r="B210" s="60" t="s">
        <v>344</v>
      </c>
      <c r="C210" s="34">
        <v>4301051407</v>
      </c>
      <c r="D210" s="550">
        <v>4680115882195</v>
      </c>
      <c r="E210" s="550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7" t="s">
        <v>45</v>
      </c>
      <c r="V210" s="37" t="s">
        <v>45</v>
      </c>
      <c r="W210" s="38" t="s">
        <v>0</v>
      </c>
      <c r="X210" s="56">
        <v>230.4</v>
      </c>
      <c r="Y210" s="53">
        <f t="shared" si="15"/>
        <v>230.39999999999998</v>
      </c>
      <c r="Z210" s="39">
        <f t="shared" ref="Z210:Z215" si="20">IFERROR(IF(Y210=0,"",ROUNDUP(Y210/H210,0)*0.00651),"")</f>
        <v>0.62495999999999996</v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256.32</v>
      </c>
      <c r="BN210" s="75">
        <f t="shared" si="17"/>
        <v>256.31999999999994</v>
      </c>
      <c r="BO210" s="75">
        <f t="shared" si="18"/>
        <v>0.52747252747252749</v>
      </c>
      <c r="BP210" s="75">
        <f t="shared" si="19"/>
        <v>0.52747252747252749</v>
      </c>
    </row>
    <row r="211" spans="1:68" ht="27" customHeight="1" x14ac:dyDescent="0.25">
      <c r="A211" s="60" t="s">
        <v>345</v>
      </c>
      <c r="B211" s="60" t="s">
        <v>346</v>
      </c>
      <c r="C211" s="34">
        <v>4301051752</v>
      </c>
      <c r="D211" s="550">
        <v>4680115882607</v>
      </c>
      <c r="E211" s="550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69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348</v>
      </c>
      <c r="B212" s="60" t="s">
        <v>349</v>
      </c>
      <c r="C212" s="34">
        <v>4301051666</v>
      </c>
      <c r="D212" s="550">
        <v>4680115880092</v>
      </c>
      <c r="E212" s="550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0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7" t="s">
        <v>45</v>
      </c>
      <c r="V212" s="37" t="s">
        <v>45</v>
      </c>
      <c r="W212" s="38" t="s">
        <v>0</v>
      </c>
      <c r="X212" s="56">
        <v>115.2</v>
      </c>
      <c r="Y212" s="53">
        <f t="shared" si="15"/>
        <v>115.19999999999999</v>
      </c>
      <c r="Z212" s="39">
        <f t="shared" si="20"/>
        <v>0.31247999999999998</v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127.29600000000001</v>
      </c>
      <c r="BN212" s="75">
        <f t="shared" si="17"/>
        <v>127.29600000000001</v>
      </c>
      <c r="BO212" s="75">
        <f t="shared" si="18"/>
        <v>0.26373626373626374</v>
      </c>
      <c r="BP212" s="75">
        <f t="shared" si="19"/>
        <v>0.26373626373626374</v>
      </c>
    </row>
    <row r="213" spans="1:68" ht="27" customHeight="1" x14ac:dyDescent="0.25">
      <c r="A213" s="60" t="s">
        <v>350</v>
      </c>
      <c r="B213" s="60" t="s">
        <v>351</v>
      </c>
      <c r="C213" s="34">
        <v>4301051668</v>
      </c>
      <c r="D213" s="550">
        <v>4680115880221</v>
      </c>
      <c r="E213" s="550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5"/>
        <v>0</v>
      </c>
      <c r="Z213" s="39" t="str">
        <f t="shared" si="20"/>
        <v/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0</v>
      </c>
      <c r="BN213" s="75">
        <f t="shared" si="17"/>
        <v>0</v>
      </c>
      <c r="BO213" s="75">
        <f t="shared" si="18"/>
        <v>0</v>
      </c>
      <c r="BP213" s="75">
        <f t="shared" si="19"/>
        <v>0</v>
      </c>
    </row>
    <row r="214" spans="1:68" ht="27" customHeight="1" x14ac:dyDescent="0.25">
      <c r="A214" s="60" t="s">
        <v>352</v>
      </c>
      <c r="B214" s="60" t="s">
        <v>353</v>
      </c>
      <c r="C214" s="34">
        <v>4301051945</v>
      </c>
      <c r="D214" s="550">
        <v>4680115880504</v>
      </c>
      <c r="E214" s="550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355</v>
      </c>
      <c r="B215" s="60" t="s">
        <v>356</v>
      </c>
      <c r="C215" s="34">
        <v>4301051410</v>
      </c>
      <c r="D215" s="550">
        <v>4680115882164</v>
      </c>
      <c r="E215" s="550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7" t="s">
        <v>45</v>
      </c>
      <c r="V215" s="37" t="s">
        <v>45</v>
      </c>
      <c r="W215" s="38" t="s">
        <v>0</v>
      </c>
      <c r="X215" s="56">
        <v>172.8</v>
      </c>
      <c r="Y215" s="53">
        <f t="shared" si="15"/>
        <v>172.79999999999998</v>
      </c>
      <c r="Z215" s="39">
        <f t="shared" si="20"/>
        <v>0.46872000000000003</v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191.37600000000003</v>
      </c>
      <c r="BN215" s="75">
        <f t="shared" si="17"/>
        <v>191.37599999999998</v>
      </c>
      <c r="BO215" s="75">
        <f t="shared" si="18"/>
        <v>0.3956043956043957</v>
      </c>
      <c r="BP215" s="75">
        <f t="shared" si="19"/>
        <v>0.39560439560439564</v>
      </c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58"/>
      <c r="P216" s="554" t="s">
        <v>40</v>
      </c>
      <c r="Q216" s="555"/>
      <c r="R216" s="555"/>
      <c r="S216" s="555"/>
      <c r="T216" s="555"/>
      <c r="U216" s="555"/>
      <c r="V216" s="556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352</v>
      </c>
      <c r="Y216" s="41">
        <f>IFERROR(Y207/H207,"0")+IFERROR(Y208/H208,"0")+IFERROR(Y209/H209,"0")+IFERROR(Y210/H210,"0")+IFERROR(Y211/H211,"0")+IFERROR(Y212/H212,"0")+IFERROR(Y213/H213,"0")+IFERROR(Y214/H214,"0")+IFERROR(Y215/H215,"0")</f>
        <v>352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3.9874400000000003</v>
      </c>
      <c r="AA216" s="64"/>
      <c r="AB216" s="64"/>
      <c r="AC216" s="64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8"/>
      <c r="P217" s="554" t="s">
        <v>40</v>
      </c>
      <c r="Q217" s="555"/>
      <c r="R217" s="555"/>
      <c r="S217" s="555"/>
      <c r="T217" s="555"/>
      <c r="U217" s="555"/>
      <c r="V217" s="556"/>
      <c r="W217" s="40" t="s">
        <v>0</v>
      </c>
      <c r="X217" s="41">
        <f>IFERROR(SUM(X207:X215),"0")</f>
        <v>1701.6000000000001</v>
      </c>
      <c r="Y217" s="41">
        <f>IFERROR(SUM(Y207:Y215),"0")</f>
        <v>1701.6</v>
      </c>
      <c r="Z217" s="40"/>
      <c r="AA217" s="64"/>
      <c r="AB217" s="64"/>
      <c r="AC217" s="64"/>
    </row>
    <row r="218" spans="1:68" ht="14.25" customHeight="1" x14ac:dyDescent="0.25">
      <c r="A218" s="549" t="s">
        <v>171</v>
      </c>
      <c r="B218" s="549"/>
      <c r="C218" s="549"/>
      <c r="D218" s="549"/>
      <c r="E218" s="549"/>
      <c r="F218" s="549"/>
      <c r="G218" s="549"/>
      <c r="H218" s="549"/>
      <c r="I218" s="549"/>
      <c r="J218" s="549"/>
      <c r="K218" s="549"/>
      <c r="L218" s="549"/>
      <c r="M218" s="549"/>
      <c r="N218" s="549"/>
      <c r="O218" s="549"/>
      <c r="P218" s="549"/>
      <c r="Q218" s="549"/>
      <c r="R218" s="549"/>
      <c r="S218" s="549"/>
      <c r="T218" s="549"/>
      <c r="U218" s="549"/>
      <c r="V218" s="549"/>
      <c r="W218" s="549"/>
      <c r="X218" s="549"/>
      <c r="Y218" s="549"/>
      <c r="Z218" s="549"/>
      <c r="AA218" s="63"/>
      <c r="AB218" s="63"/>
      <c r="AC218" s="63"/>
    </row>
    <row r="219" spans="1:68" ht="27" customHeight="1" x14ac:dyDescent="0.25">
      <c r="A219" s="60" t="s">
        <v>357</v>
      </c>
      <c r="B219" s="60" t="s">
        <v>358</v>
      </c>
      <c r="C219" s="34">
        <v>4301060463</v>
      </c>
      <c r="D219" s="550">
        <v>4680115880818</v>
      </c>
      <c r="E219" s="55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6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customHeight="1" x14ac:dyDescent="0.25">
      <c r="A220" s="60" t="s">
        <v>360</v>
      </c>
      <c r="B220" s="60" t="s">
        <v>361</v>
      </c>
      <c r="C220" s="34">
        <v>4301060389</v>
      </c>
      <c r="D220" s="550">
        <v>4680115880801</v>
      </c>
      <c r="E220" s="550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6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8"/>
      <c r="P221" s="554" t="s">
        <v>40</v>
      </c>
      <c r="Q221" s="555"/>
      <c r="R221" s="555"/>
      <c r="S221" s="555"/>
      <c r="T221" s="555"/>
      <c r="U221" s="555"/>
      <c r="V221" s="556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8"/>
      <c r="P222" s="554" t="s">
        <v>40</v>
      </c>
      <c r="Q222" s="555"/>
      <c r="R222" s="555"/>
      <c r="S222" s="555"/>
      <c r="T222" s="555"/>
      <c r="U222" s="555"/>
      <c r="V222" s="556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customHeight="1" x14ac:dyDescent="0.25">
      <c r="A223" s="565" t="s">
        <v>363</v>
      </c>
      <c r="B223" s="565"/>
      <c r="C223" s="565"/>
      <c r="D223" s="565"/>
      <c r="E223" s="565"/>
      <c r="F223" s="565"/>
      <c r="G223" s="565"/>
      <c r="H223" s="565"/>
      <c r="I223" s="565"/>
      <c r="J223" s="565"/>
      <c r="K223" s="565"/>
      <c r="L223" s="565"/>
      <c r="M223" s="565"/>
      <c r="N223" s="565"/>
      <c r="O223" s="565"/>
      <c r="P223" s="565"/>
      <c r="Q223" s="565"/>
      <c r="R223" s="565"/>
      <c r="S223" s="565"/>
      <c r="T223" s="565"/>
      <c r="U223" s="565"/>
      <c r="V223" s="565"/>
      <c r="W223" s="565"/>
      <c r="X223" s="565"/>
      <c r="Y223" s="565"/>
      <c r="Z223" s="565"/>
      <c r="AA223" s="62"/>
      <c r="AB223" s="62"/>
      <c r="AC223" s="62"/>
    </row>
    <row r="224" spans="1:68" ht="14.25" customHeight="1" x14ac:dyDescent="0.25">
      <c r="A224" s="549" t="s">
        <v>108</v>
      </c>
      <c r="B224" s="549"/>
      <c r="C224" s="549"/>
      <c r="D224" s="549"/>
      <c r="E224" s="549"/>
      <c r="F224" s="549"/>
      <c r="G224" s="549"/>
      <c r="H224" s="549"/>
      <c r="I224" s="549"/>
      <c r="J224" s="549"/>
      <c r="K224" s="549"/>
      <c r="L224" s="549"/>
      <c r="M224" s="549"/>
      <c r="N224" s="549"/>
      <c r="O224" s="549"/>
      <c r="P224" s="549"/>
      <c r="Q224" s="549"/>
      <c r="R224" s="549"/>
      <c r="S224" s="549"/>
      <c r="T224" s="549"/>
      <c r="U224" s="549"/>
      <c r="V224" s="549"/>
      <c r="W224" s="549"/>
      <c r="X224" s="549"/>
      <c r="Y224" s="549"/>
      <c r="Z224" s="549"/>
      <c r="AA224" s="63"/>
      <c r="AB224" s="63"/>
      <c r="AC224" s="63"/>
    </row>
    <row r="225" spans="1:68" ht="27" customHeight="1" x14ac:dyDescent="0.25">
      <c r="A225" s="60" t="s">
        <v>364</v>
      </c>
      <c r="B225" s="60" t="s">
        <v>365</v>
      </c>
      <c r="C225" s="34">
        <v>4301011826</v>
      </c>
      <c r="D225" s="550">
        <v>4680115884137</v>
      </c>
      <c r="E225" s="550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customHeight="1" x14ac:dyDescent="0.25">
      <c r="A226" s="60" t="s">
        <v>367</v>
      </c>
      <c r="B226" s="60" t="s">
        <v>368</v>
      </c>
      <c r="C226" s="34">
        <v>4301011724</v>
      </c>
      <c r="D226" s="550">
        <v>4680115884236</v>
      </c>
      <c r="E226" s="550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6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370</v>
      </c>
      <c r="B227" s="60" t="s">
        <v>371</v>
      </c>
      <c r="C227" s="34">
        <v>4301011721</v>
      </c>
      <c r="D227" s="550">
        <v>4680115884175</v>
      </c>
      <c r="E227" s="550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373</v>
      </c>
      <c r="B228" s="60" t="s">
        <v>374</v>
      </c>
      <c r="C228" s="34">
        <v>4301011824</v>
      </c>
      <c r="D228" s="550">
        <v>4680115884144</v>
      </c>
      <c r="E228" s="550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6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373</v>
      </c>
      <c r="B229" s="60" t="s">
        <v>375</v>
      </c>
      <c r="C229" s="34">
        <v>4301012196</v>
      </c>
      <c r="D229" s="550">
        <v>4680115884144</v>
      </c>
      <c r="E229" s="550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68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376</v>
      </c>
      <c r="B230" s="60" t="s">
        <v>377</v>
      </c>
      <c r="C230" s="34">
        <v>4301012149</v>
      </c>
      <c r="D230" s="550">
        <v>4680115886551</v>
      </c>
      <c r="E230" s="550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6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379</v>
      </c>
      <c r="B231" s="60" t="s">
        <v>380</v>
      </c>
      <c r="C231" s="34">
        <v>4301011726</v>
      </c>
      <c r="D231" s="550">
        <v>4680115884182</v>
      </c>
      <c r="E231" s="550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69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381</v>
      </c>
      <c r="B232" s="60" t="s">
        <v>382</v>
      </c>
      <c r="C232" s="34">
        <v>4301012228</v>
      </c>
      <c r="D232" s="550">
        <v>4680115887282</v>
      </c>
      <c r="E232" s="550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6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383</v>
      </c>
      <c r="B233" s="60" t="s">
        <v>384</v>
      </c>
      <c r="C233" s="34">
        <v>4301011722</v>
      </c>
      <c r="D233" s="550">
        <v>4680115884205</v>
      </c>
      <c r="E233" s="550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6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customHeight="1" x14ac:dyDescent="0.25">
      <c r="A234" s="60" t="s">
        <v>383</v>
      </c>
      <c r="B234" s="60" t="s">
        <v>385</v>
      </c>
      <c r="C234" s="34">
        <v>4301012195</v>
      </c>
      <c r="D234" s="550">
        <v>4680115884205</v>
      </c>
      <c r="E234" s="550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68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58"/>
      <c r="P235" s="554" t="s">
        <v>40</v>
      </c>
      <c r="Q235" s="555"/>
      <c r="R235" s="555"/>
      <c r="S235" s="555"/>
      <c r="T235" s="555"/>
      <c r="U235" s="555"/>
      <c r="V235" s="556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8"/>
      <c r="P236" s="554" t="s">
        <v>40</v>
      </c>
      <c r="Q236" s="555"/>
      <c r="R236" s="555"/>
      <c r="S236" s="555"/>
      <c r="T236" s="555"/>
      <c r="U236" s="555"/>
      <c r="V236" s="556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customHeight="1" x14ac:dyDescent="0.25">
      <c r="A237" s="549" t="s">
        <v>141</v>
      </c>
      <c r="B237" s="549"/>
      <c r="C237" s="549"/>
      <c r="D237" s="549"/>
      <c r="E237" s="549"/>
      <c r="F237" s="549"/>
      <c r="G237" s="549"/>
      <c r="H237" s="549"/>
      <c r="I237" s="549"/>
      <c r="J237" s="549"/>
      <c r="K237" s="549"/>
      <c r="L237" s="549"/>
      <c r="M237" s="549"/>
      <c r="N237" s="549"/>
      <c r="O237" s="549"/>
      <c r="P237" s="549"/>
      <c r="Q237" s="549"/>
      <c r="R237" s="549"/>
      <c r="S237" s="549"/>
      <c r="T237" s="549"/>
      <c r="U237" s="549"/>
      <c r="V237" s="549"/>
      <c r="W237" s="549"/>
      <c r="X237" s="549"/>
      <c r="Y237" s="549"/>
      <c r="Z237" s="549"/>
      <c r="AA237" s="63"/>
      <c r="AB237" s="63"/>
      <c r="AC237" s="63"/>
    </row>
    <row r="238" spans="1:68" ht="27" customHeight="1" x14ac:dyDescent="0.25">
      <c r="A238" s="60" t="s">
        <v>386</v>
      </c>
      <c r="B238" s="60" t="s">
        <v>387</v>
      </c>
      <c r="C238" s="34">
        <v>4301020377</v>
      </c>
      <c r="D238" s="550">
        <v>4680115885981</v>
      </c>
      <c r="E238" s="550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6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8"/>
      <c r="P239" s="554" t="s">
        <v>40</v>
      </c>
      <c r="Q239" s="555"/>
      <c r="R239" s="555"/>
      <c r="S239" s="555"/>
      <c r="T239" s="555"/>
      <c r="U239" s="555"/>
      <c r="V239" s="556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8"/>
      <c r="P240" s="554" t="s">
        <v>40</v>
      </c>
      <c r="Q240" s="555"/>
      <c r="R240" s="555"/>
      <c r="S240" s="555"/>
      <c r="T240" s="555"/>
      <c r="U240" s="555"/>
      <c r="V240" s="556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customHeight="1" x14ac:dyDescent="0.25">
      <c r="A241" s="549" t="s">
        <v>389</v>
      </c>
      <c r="B241" s="549"/>
      <c r="C241" s="549"/>
      <c r="D241" s="549"/>
      <c r="E241" s="549"/>
      <c r="F241" s="549"/>
      <c r="G241" s="549"/>
      <c r="H241" s="549"/>
      <c r="I241" s="549"/>
      <c r="J241" s="549"/>
      <c r="K241" s="549"/>
      <c r="L241" s="549"/>
      <c r="M241" s="549"/>
      <c r="N241" s="549"/>
      <c r="O241" s="549"/>
      <c r="P241" s="549"/>
      <c r="Q241" s="549"/>
      <c r="R241" s="549"/>
      <c r="S241" s="549"/>
      <c r="T241" s="549"/>
      <c r="U241" s="549"/>
      <c r="V241" s="549"/>
      <c r="W241" s="549"/>
      <c r="X241" s="549"/>
      <c r="Y241" s="549"/>
      <c r="Z241" s="549"/>
      <c r="AA241" s="63"/>
      <c r="AB241" s="63"/>
      <c r="AC241" s="63"/>
    </row>
    <row r="242" spans="1:68" ht="27" customHeight="1" x14ac:dyDescent="0.25">
      <c r="A242" s="60" t="s">
        <v>390</v>
      </c>
      <c r="B242" s="60" t="s">
        <v>391</v>
      </c>
      <c r="C242" s="34">
        <v>4301040362</v>
      </c>
      <c r="D242" s="550">
        <v>4680115886803</v>
      </c>
      <c r="E242" s="550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6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54" t="s">
        <v>40</v>
      </c>
      <c r="Q243" s="555"/>
      <c r="R243" s="555"/>
      <c r="S243" s="555"/>
      <c r="T243" s="555"/>
      <c r="U243" s="555"/>
      <c r="V243" s="556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8"/>
      <c r="P244" s="554" t="s">
        <v>40</v>
      </c>
      <c r="Q244" s="555"/>
      <c r="R244" s="555"/>
      <c r="S244" s="555"/>
      <c r="T244" s="555"/>
      <c r="U244" s="555"/>
      <c r="V244" s="556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customHeight="1" x14ac:dyDescent="0.25">
      <c r="A245" s="549" t="s">
        <v>393</v>
      </c>
      <c r="B245" s="549"/>
      <c r="C245" s="549"/>
      <c r="D245" s="549"/>
      <c r="E245" s="549"/>
      <c r="F245" s="549"/>
      <c r="G245" s="549"/>
      <c r="H245" s="549"/>
      <c r="I245" s="549"/>
      <c r="J245" s="549"/>
      <c r="K245" s="549"/>
      <c r="L245" s="549"/>
      <c r="M245" s="549"/>
      <c r="N245" s="549"/>
      <c r="O245" s="549"/>
      <c r="P245" s="549"/>
      <c r="Q245" s="549"/>
      <c r="R245" s="549"/>
      <c r="S245" s="549"/>
      <c r="T245" s="549"/>
      <c r="U245" s="549"/>
      <c r="V245" s="549"/>
      <c r="W245" s="549"/>
      <c r="X245" s="549"/>
      <c r="Y245" s="549"/>
      <c r="Z245" s="549"/>
      <c r="AA245" s="63"/>
      <c r="AB245" s="63"/>
      <c r="AC245" s="63"/>
    </row>
    <row r="246" spans="1:68" ht="27" customHeight="1" x14ac:dyDescent="0.25">
      <c r="A246" s="60" t="s">
        <v>394</v>
      </c>
      <c r="B246" s="60" t="s">
        <v>395</v>
      </c>
      <c r="C246" s="34">
        <v>4301041004</v>
      </c>
      <c r="D246" s="550">
        <v>4680115886704</v>
      </c>
      <c r="E246" s="550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397</v>
      </c>
      <c r="B247" s="60" t="s">
        <v>398</v>
      </c>
      <c r="C247" s="34">
        <v>4301041008</v>
      </c>
      <c r="D247" s="550">
        <v>4680115886681</v>
      </c>
      <c r="E247" s="550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6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399</v>
      </c>
      <c r="B248" s="60" t="s">
        <v>400</v>
      </c>
      <c r="C248" s="34">
        <v>4301041007</v>
      </c>
      <c r="D248" s="550">
        <v>4680115886735</v>
      </c>
      <c r="E248" s="550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401</v>
      </c>
      <c r="B249" s="60" t="s">
        <v>402</v>
      </c>
      <c r="C249" s="34">
        <v>4301041006</v>
      </c>
      <c r="D249" s="550">
        <v>4680115886728</v>
      </c>
      <c r="E249" s="550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6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403</v>
      </c>
      <c r="B250" s="60" t="s">
        <v>404</v>
      </c>
      <c r="C250" s="34">
        <v>4301041005</v>
      </c>
      <c r="D250" s="550">
        <v>4680115886711</v>
      </c>
      <c r="E250" s="550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6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54" t="s">
        <v>40</v>
      </c>
      <c r="Q251" s="555"/>
      <c r="R251" s="555"/>
      <c r="S251" s="555"/>
      <c r="T251" s="555"/>
      <c r="U251" s="555"/>
      <c r="V251" s="556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8"/>
      <c r="P252" s="554" t="s">
        <v>40</v>
      </c>
      <c r="Q252" s="555"/>
      <c r="R252" s="555"/>
      <c r="S252" s="555"/>
      <c r="T252" s="555"/>
      <c r="U252" s="555"/>
      <c r="V252" s="556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customHeight="1" x14ac:dyDescent="0.25">
      <c r="A253" s="565" t="s">
        <v>405</v>
      </c>
      <c r="B253" s="565"/>
      <c r="C253" s="565"/>
      <c r="D253" s="565"/>
      <c r="E253" s="565"/>
      <c r="F253" s="565"/>
      <c r="G253" s="565"/>
      <c r="H253" s="565"/>
      <c r="I253" s="565"/>
      <c r="J253" s="565"/>
      <c r="K253" s="565"/>
      <c r="L253" s="565"/>
      <c r="M253" s="565"/>
      <c r="N253" s="565"/>
      <c r="O253" s="565"/>
      <c r="P253" s="565"/>
      <c r="Q253" s="565"/>
      <c r="R253" s="565"/>
      <c r="S253" s="565"/>
      <c r="T253" s="565"/>
      <c r="U253" s="565"/>
      <c r="V253" s="565"/>
      <c r="W253" s="565"/>
      <c r="X253" s="565"/>
      <c r="Y253" s="565"/>
      <c r="Z253" s="565"/>
      <c r="AA253" s="62"/>
      <c r="AB253" s="62"/>
      <c r="AC253" s="62"/>
    </row>
    <row r="254" spans="1:68" ht="14.25" customHeight="1" x14ac:dyDescent="0.25">
      <c r="A254" s="549" t="s">
        <v>108</v>
      </c>
      <c r="B254" s="549"/>
      <c r="C254" s="549"/>
      <c r="D254" s="549"/>
      <c r="E254" s="549"/>
      <c r="F254" s="549"/>
      <c r="G254" s="549"/>
      <c r="H254" s="549"/>
      <c r="I254" s="549"/>
      <c r="J254" s="549"/>
      <c r="K254" s="549"/>
      <c r="L254" s="549"/>
      <c r="M254" s="549"/>
      <c r="N254" s="549"/>
      <c r="O254" s="549"/>
      <c r="P254" s="549"/>
      <c r="Q254" s="549"/>
      <c r="R254" s="549"/>
      <c r="S254" s="549"/>
      <c r="T254" s="549"/>
      <c r="U254" s="549"/>
      <c r="V254" s="549"/>
      <c r="W254" s="549"/>
      <c r="X254" s="549"/>
      <c r="Y254" s="549"/>
      <c r="Z254" s="549"/>
      <c r="AA254" s="63"/>
      <c r="AB254" s="63"/>
      <c r="AC254" s="63"/>
    </row>
    <row r="255" spans="1:68" ht="27" customHeight="1" x14ac:dyDescent="0.25">
      <c r="A255" s="60" t="s">
        <v>406</v>
      </c>
      <c r="B255" s="60" t="s">
        <v>407</v>
      </c>
      <c r="C255" s="34">
        <v>4301011855</v>
      </c>
      <c r="D255" s="550">
        <v>4680115885837</v>
      </c>
      <c r="E255" s="55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6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customHeight="1" x14ac:dyDescent="0.25">
      <c r="A256" s="60" t="s">
        <v>409</v>
      </c>
      <c r="B256" s="60" t="s">
        <v>410</v>
      </c>
      <c r="C256" s="34">
        <v>4301011853</v>
      </c>
      <c r="D256" s="550">
        <v>4680115885851</v>
      </c>
      <c r="E256" s="550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67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412</v>
      </c>
      <c r="B257" s="60" t="s">
        <v>413</v>
      </c>
      <c r="C257" s="34">
        <v>4301011850</v>
      </c>
      <c r="D257" s="550">
        <v>4680115885806</v>
      </c>
      <c r="E257" s="550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415</v>
      </c>
      <c r="B258" s="60" t="s">
        <v>416</v>
      </c>
      <c r="C258" s="34">
        <v>4301011852</v>
      </c>
      <c r="D258" s="550">
        <v>4680115885844</v>
      </c>
      <c r="E258" s="550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6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customHeight="1" x14ac:dyDescent="0.25">
      <c r="A259" s="60" t="s">
        <v>418</v>
      </c>
      <c r="B259" s="60" t="s">
        <v>419</v>
      </c>
      <c r="C259" s="34">
        <v>4301011851</v>
      </c>
      <c r="D259" s="550">
        <v>4680115885820</v>
      </c>
      <c r="E259" s="55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6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8"/>
      <c r="P260" s="554" t="s">
        <v>40</v>
      </c>
      <c r="Q260" s="555"/>
      <c r="R260" s="555"/>
      <c r="S260" s="555"/>
      <c r="T260" s="555"/>
      <c r="U260" s="555"/>
      <c r="V260" s="556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8"/>
      <c r="P261" s="554" t="s">
        <v>40</v>
      </c>
      <c r="Q261" s="555"/>
      <c r="R261" s="555"/>
      <c r="S261" s="555"/>
      <c r="T261" s="555"/>
      <c r="U261" s="555"/>
      <c r="V261" s="556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customHeight="1" x14ac:dyDescent="0.25">
      <c r="A262" s="565" t="s">
        <v>421</v>
      </c>
      <c r="B262" s="565"/>
      <c r="C262" s="565"/>
      <c r="D262" s="565"/>
      <c r="E262" s="565"/>
      <c r="F262" s="565"/>
      <c r="G262" s="565"/>
      <c r="H262" s="565"/>
      <c r="I262" s="565"/>
      <c r="J262" s="565"/>
      <c r="K262" s="565"/>
      <c r="L262" s="565"/>
      <c r="M262" s="565"/>
      <c r="N262" s="565"/>
      <c r="O262" s="565"/>
      <c r="P262" s="565"/>
      <c r="Q262" s="565"/>
      <c r="R262" s="565"/>
      <c r="S262" s="565"/>
      <c r="T262" s="565"/>
      <c r="U262" s="565"/>
      <c r="V262" s="565"/>
      <c r="W262" s="565"/>
      <c r="X262" s="565"/>
      <c r="Y262" s="565"/>
      <c r="Z262" s="565"/>
      <c r="AA262" s="62"/>
      <c r="AB262" s="62"/>
      <c r="AC262" s="62"/>
    </row>
    <row r="263" spans="1:68" ht="14.25" customHeight="1" x14ac:dyDescent="0.25">
      <c r="A263" s="549" t="s">
        <v>108</v>
      </c>
      <c r="B263" s="549"/>
      <c r="C263" s="549"/>
      <c r="D263" s="549"/>
      <c r="E263" s="549"/>
      <c r="F263" s="549"/>
      <c r="G263" s="549"/>
      <c r="H263" s="549"/>
      <c r="I263" s="549"/>
      <c r="J263" s="549"/>
      <c r="K263" s="549"/>
      <c r="L263" s="549"/>
      <c r="M263" s="549"/>
      <c r="N263" s="549"/>
      <c r="O263" s="549"/>
      <c r="P263" s="549"/>
      <c r="Q263" s="549"/>
      <c r="R263" s="549"/>
      <c r="S263" s="549"/>
      <c r="T263" s="549"/>
      <c r="U263" s="549"/>
      <c r="V263" s="549"/>
      <c r="W263" s="549"/>
      <c r="X263" s="549"/>
      <c r="Y263" s="549"/>
      <c r="Z263" s="549"/>
      <c r="AA263" s="63"/>
      <c r="AB263" s="63"/>
      <c r="AC263" s="63"/>
    </row>
    <row r="264" spans="1:68" ht="27" customHeight="1" x14ac:dyDescent="0.25">
      <c r="A264" s="60" t="s">
        <v>422</v>
      </c>
      <c r="B264" s="60" t="s">
        <v>423</v>
      </c>
      <c r="C264" s="34">
        <v>4301011223</v>
      </c>
      <c r="D264" s="550">
        <v>4607091383423</v>
      </c>
      <c r="E264" s="550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6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424</v>
      </c>
      <c r="B265" s="60" t="s">
        <v>425</v>
      </c>
      <c r="C265" s="34">
        <v>4301012199</v>
      </c>
      <c r="D265" s="550">
        <v>4680115886957</v>
      </c>
      <c r="E265" s="550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67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427</v>
      </c>
      <c r="B266" s="60" t="s">
        <v>428</v>
      </c>
      <c r="C266" s="34">
        <v>4301012098</v>
      </c>
      <c r="D266" s="550">
        <v>4680115885660</v>
      </c>
      <c r="E266" s="550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67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429</v>
      </c>
      <c r="B267" s="60" t="s">
        <v>430</v>
      </c>
      <c r="C267" s="34">
        <v>4301012176</v>
      </c>
      <c r="D267" s="550">
        <v>4680115886773</v>
      </c>
      <c r="E267" s="550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67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54" t="s">
        <v>40</v>
      </c>
      <c r="Q268" s="555"/>
      <c r="R268" s="555"/>
      <c r="S268" s="555"/>
      <c r="T268" s="555"/>
      <c r="U268" s="555"/>
      <c r="V268" s="556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8"/>
      <c r="P269" s="554" t="s">
        <v>40</v>
      </c>
      <c r="Q269" s="555"/>
      <c r="R269" s="555"/>
      <c r="S269" s="555"/>
      <c r="T269" s="555"/>
      <c r="U269" s="555"/>
      <c r="V269" s="556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customHeight="1" x14ac:dyDescent="0.25">
      <c r="A270" s="565" t="s">
        <v>432</v>
      </c>
      <c r="B270" s="565"/>
      <c r="C270" s="565"/>
      <c r="D270" s="565"/>
      <c r="E270" s="565"/>
      <c r="F270" s="565"/>
      <c r="G270" s="565"/>
      <c r="H270" s="565"/>
      <c r="I270" s="565"/>
      <c r="J270" s="565"/>
      <c r="K270" s="565"/>
      <c r="L270" s="565"/>
      <c r="M270" s="565"/>
      <c r="N270" s="565"/>
      <c r="O270" s="565"/>
      <c r="P270" s="565"/>
      <c r="Q270" s="565"/>
      <c r="R270" s="565"/>
      <c r="S270" s="565"/>
      <c r="T270" s="565"/>
      <c r="U270" s="565"/>
      <c r="V270" s="565"/>
      <c r="W270" s="565"/>
      <c r="X270" s="565"/>
      <c r="Y270" s="565"/>
      <c r="Z270" s="565"/>
      <c r="AA270" s="62"/>
      <c r="AB270" s="62"/>
      <c r="AC270" s="62"/>
    </row>
    <row r="271" spans="1:68" ht="14.25" customHeight="1" x14ac:dyDescent="0.25">
      <c r="A271" s="549" t="s">
        <v>82</v>
      </c>
      <c r="B271" s="549"/>
      <c r="C271" s="549"/>
      <c r="D271" s="549"/>
      <c r="E271" s="549"/>
      <c r="F271" s="549"/>
      <c r="G271" s="549"/>
      <c r="H271" s="549"/>
      <c r="I271" s="549"/>
      <c r="J271" s="549"/>
      <c r="K271" s="549"/>
      <c r="L271" s="549"/>
      <c r="M271" s="549"/>
      <c r="N271" s="549"/>
      <c r="O271" s="549"/>
      <c r="P271" s="549"/>
      <c r="Q271" s="549"/>
      <c r="R271" s="549"/>
      <c r="S271" s="549"/>
      <c r="T271" s="549"/>
      <c r="U271" s="549"/>
      <c r="V271" s="549"/>
      <c r="W271" s="549"/>
      <c r="X271" s="549"/>
      <c r="Y271" s="549"/>
      <c r="Z271" s="549"/>
      <c r="AA271" s="63"/>
      <c r="AB271" s="63"/>
      <c r="AC271" s="63"/>
    </row>
    <row r="272" spans="1:68" ht="27" customHeight="1" x14ac:dyDescent="0.25">
      <c r="A272" s="60" t="s">
        <v>433</v>
      </c>
      <c r="B272" s="60" t="s">
        <v>434</v>
      </c>
      <c r="C272" s="34">
        <v>4301051893</v>
      </c>
      <c r="D272" s="550">
        <v>4680115886186</v>
      </c>
      <c r="E272" s="550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6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436</v>
      </c>
      <c r="B273" s="60" t="s">
        <v>437</v>
      </c>
      <c r="C273" s="34">
        <v>4301051795</v>
      </c>
      <c r="D273" s="550">
        <v>4680115881228</v>
      </c>
      <c r="E273" s="550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7" t="s">
        <v>45</v>
      </c>
      <c r="V273" s="37" t="s">
        <v>45</v>
      </c>
      <c r="W273" s="38" t="s">
        <v>0</v>
      </c>
      <c r="X273" s="56">
        <v>115.2</v>
      </c>
      <c r="Y273" s="53">
        <f>IFERROR(IF(X273="",0,CEILING((X273/$H273),1)*$H273),"")</f>
        <v>115.19999999999999</v>
      </c>
      <c r="Z273" s="39">
        <f>IFERROR(IF(Y273=0,"",ROUNDUP(Y273/H273,0)*0.00651),"")</f>
        <v>0.31247999999999998</v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127.29600000000001</v>
      </c>
      <c r="BN273" s="75">
        <f>IFERROR(Y273*I273/H273,"0")</f>
        <v>127.29600000000001</v>
      </c>
      <c r="BO273" s="75">
        <f>IFERROR(1/J273*(X273/H273),"0")</f>
        <v>0.26373626373626374</v>
      </c>
      <c r="BP273" s="75">
        <f>IFERROR(1/J273*(Y273/H273),"0")</f>
        <v>0.26373626373626374</v>
      </c>
    </row>
    <row r="274" spans="1:68" ht="27" customHeight="1" x14ac:dyDescent="0.25">
      <c r="A274" s="60" t="s">
        <v>439</v>
      </c>
      <c r="B274" s="60" t="s">
        <v>440</v>
      </c>
      <c r="C274" s="34">
        <v>4301051388</v>
      </c>
      <c r="D274" s="550">
        <v>4680115881211</v>
      </c>
      <c r="E274" s="550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6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7" t="s">
        <v>45</v>
      </c>
      <c r="V274" s="37" t="s">
        <v>45</v>
      </c>
      <c r="W274" s="38" t="s">
        <v>0</v>
      </c>
      <c r="X274" s="56">
        <v>115.2</v>
      </c>
      <c r="Y274" s="53">
        <f>IFERROR(IF(X274="",0,CEILING((X274/$H274),1)*$H274),"")</f>
        <v>115.19999999999999</v>
      </c>
      <c r="Z274" s="39">
        <f>IFERROR(IF(Y274=0,"",ROUNDUP(Y274/H274,0)*0.00651),"")</f>
        <v>0.31247999999999998</v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123.84</v>
      </c>
      <c r="BN274" s="75">
        <f>IFERROR(Y274*I274/H274,"0")</f>
        <v>123.83999999999999</v>
      </c>
      <c r="BO274" s="75">
        <f>IFERROR(1/J274*(X274/H274),"0")</f>
        <v>0.26373626373626374</v>
      </c>
      <c r="BP274" s="75">
        <f>IFERROR(1/J274*(Y274/H274),"0")</f>
        <v>0.26373626373626374</v>
      </c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54" t="s">
        <v>40</v>
      </c>
      <c r="Q275" s="555"/>
      <c r="R275" s="555"/>
      <c r="S275" s="555"/>
      <c r="T275" s="555"/>
      <c r="U275" s="555"/>
      <c r="V275" s="556"/>
      <c r="W275" s="40" t="s">
        <v>39</v>
      </c>
      <c r="X275" s="41">
        <f>IFERROR(X272/H272,"0")+IFERROR(X273/H273,"0")+IFERROR(X274/H274,"0")</f>
        <v>96</v>
      </c>
      <c r="Y275" s="41">
        <f>IFERROR(Y272/H272,"0")+IFERROR(Y273/H273,"0")+IFERROR(Y274/H274,"0")</f>
        <v>96</v>
      </c>
      <c r="Z275" s="41">
        <f>IFERROR(IF(Z272="",0,Z272),"0")+IFERROR(IF(Z273="",0,Z273),"0")+IFERROR(IF(Z274="",0,Z274),"0")</f>
        <v>0.62495999999999996</v>
      </c>
      <c r="AA275" s="64"/>
      <c r="AB275" s="64"/>
      <c r="AC275" s="64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54" t="s">
        <v>40</v>
      </c>
      <c r="Q276" s="555"/>
      <c r="R276" s="555"/>
      <c r="S276" s="555"/>
      <c r="T276" s="555"/>
      <c r="U276" s="555"/>
      <c r="V276" s="556"/>
      <c r="W276" s="40" t="s">
        <v>0</v>
      </c>
      <c r="X276" s="41">
        <f>IFERROR(SUM(X272:X274),"0")</f>
        <v>230.4</v>
      </c>
      <c r="Y276" s="41">
        <f>IFERROR(SUM(Y272:Y274),"0")</f>
        <v>230.39999999999998</v>
      </c>
      <c r="Z276" s="40"/>
      <c r="AA276" s="64"/>
      <c r="AB276" s="64"/>
      <c r="AC276" s="64"/>
    </row>
    <row r="277" spans="1:68" ht="16.5" customHeight="1" x14ac:dyDescent="0.25">
      <c r="A277" s="565" t="s">
        <v>441</v>
      </c>
      <c r="B277" s="565"/>
      <c r="C277" s="565"/>
      <c r="D277" s="565"/>
      <c r="E277" s="565"/>
      <c r="F277" s="565"/>
      <c r="G277" s="565"/>
      <c r="H277" s="565"/>
      <c r="I277" s="565"/>
      <c r="J277" s="565"/>
      <c r="K277" s="565"/>
      <c r="L277" s="565"/>
      <c r="M277" s="565"/>
      <c r="N277" s="565"/>
      <c r="O277" s="565"/>
      <c r="P277" s="565"/>
      <c r="Q277" s="565"/>
      <c r="R277" s="565"/>
      <c r="S277" s="565"/>
      <c r="T277" s="565"/>
      <c r="U277" s="565"/>
      <c r="V277" s="565"/>
      <c r="W277" s="565"/>
      <c r="X277" s="565"/>
      <c r="Y277" s="565"/>
      <c r="Z277" s="565"/>
      <c r="AA277" s="62"/>
      <c r="AB277" s="62"/>
      <c r="AC277" s="62"/>
    </row>
    <row r="278" spans="1:68" ht="14.25" customHeight="1" x14ac:dyDescent="0.25">
      <c r="A278" s="549" t="s">
        <v>76</v>
      </c>
      <c r="B278" s="549"/>
      <c r="C278" s="549"/>
      <c r="D278" s="549"/>
      <c r="E278" s="549"/>
      <c r="F278" s="549"/>
      <c r="G278" s="549"/>
      <c r="H278" s="549"/>
      <c r="I278" s="549"/>
      <c r="J278" s="549"/>
      <c r="K278" s="549"/>
      <c r="L278" s="549"/>
      <c r="M278" s="549"/>
      <c r="N278" s="549"/>
      <c r="O278" s="549"/>
      <c r="P278" s="549"/>
      <c r="Q278" s="549"/>
      <c r="R278" s="549"/>
      <c r="S278" s="549"/>
      <c r="T278" s="549"/>
      <c r="U278" s="549"/>
      <c r="V278" s="549"/>
      <c r="W278" s="549"/>
      <c r="X278" s="549"/>
      <c r="Y278" s="549"/>
      <c r="Z278" s="549"/>
      <c r="AA278" s="63"/>
      <c r="AB278" s="63"/>
      <c r="AC278" s="63"/>
    </row>
    <row r="279" spans="1:68" ht="27" customHeight="1" x14ac:dyDescent="0.25">
      <c r="A279" s="60" t="s">
        <v>442</v>
      </c>
      <c r="B279" s="60" t="s">
        <v>443</v>
      </c>
      <c r="C279" s="34">
        <v>4301031307</v>
      </c>
      <c r="D279" s="550">
        <v>4680115880344</v>
      </c>
      <c r="E279" s="550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445</v>
      </c>
      <c r="B280" s="60" t="s">
        <v>446</v>
      </c>
      <c r="C280" s="34">
        <v>4301031429</v>
      </c>
      <c r="D280" s="550">
        <v>4680115886919</v>
      </c>
      <c r="E280" s="55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8"/>
      <c r="P281" s="554" t="s">
        <v>40</v>
      </c>
      <c r="Q281" s="555"/>
      <c r="R281" s="555"/>
      <c r="S281" s="555"/>
      <c r="T281" s="555"/>
      <c r="U281" s="555"/>
      <c r="V281" s="556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54" t="s">
        <v>40</v>
      </c>
      <c r="Q282" s="555"/>
      <c r="R282" s="555"/>
      <c r="S282" s="555"/>
      <c r="T282" s="555"/>
      <c r="U282" s="555"/>
      <c r="V282" s="556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customHeight="1" x14ac:dyDescent="0.25">
      <c r="A283" s="549" t="s">
        <v>82</v>
      </c>
      <c r="B283" s="549"/>
      <c r="C283" s="549"/>
      <c r="D283" s="549"/>
      <c r="E283" s="549"/>
      <c r="F283" s="549"/>
      <c r="G283" s="549"/>
      <c r="H283" s="549"/>
      <c r="I283" s="549"/>
      <c r="J283" s="549"/>
      <c r="K283" s="549"/>
      <c r="L283" s="549"/>
      <c r="M283" s="549"/>
      <c r="N283" s="549"/>
      <c r="O283" s="549"/>
      <c r="P283" s="549"/>
      <c r="Q283" s="549"/>
      <c r="R283" s="549"/>
      <c r="S283" s="549"/>
      <c r="T283" s="549"/>
      <c r="U283" s="549"/>
      <c r="V283" s="549"/>
      <c r="W283" s="549"/>
      <c r="X283" s="549"/>
      <c r="Y283" s="549"/>
      <c r="Z283" s="549"/>
      <c r="AA283" s="63"/>
      <c r="AB283" s="63"/>
      <c r="AC283" s="63"/>
    </row>
    <row r="284" spans="1:68" ht="37.5" customHeight="1" x14ac:dyDescent="0.25">
      <c r="A284" s="60" t="s">
        <v>448</v>
      </c>
      <c r="B284" s="60" t="s">
        <v>449</v>
      </c>
      <c r="C284" s="34">
        <v>4301051782</v>
      </c>
      <c r="D284" s="550">
        <v>4680115884618</v>
      </c>
      <c r="E284" s="550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6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x14ac:dyDescent="0.2">
      <c r="A285" s="55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8"/>
      <c r="P285" s="554" t="s">
        <v>40</v>
      </c>
      <c r="Q285" s="555"/>
      <c r="R285" s="555"/>
      <c r="S285" s="555"/>
      <c r="T285" s="555"/>
      <c r="U285" s="555"/>
      <c r="V285" s="556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8"/>
      <c r="P286" s="554" t="s">
        <v>40</v>
      </c>
      <c r="Q286" s="555"/>
      <c r="R286" s="555"/>
      <c r="S286" s="555"/>
      <c r="T286" s="555"/>
      <c r="U286" s="555"/>
      <c r="V286" s="556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customHeight="1" x14ac:dyDescent="0.25">
      <c r="A287" s="565" t="s">
        <v>451</v>
      </c>
      <c r="B287" s="565"/>
      <c r="C287" s="565"/>
      <c r="D287" s="565"/>
      <c r="E287" s="565"/>
      <c r="F287" s="565"/>
      <c r="G287" s="565"/>
      <c r="H287" s="565"/>
      <c r="I287" s="565"/>
      <c r="J287" s="565"/>
      <c r="K287" s="565"/>
      <c r="L287" s="565"/>
      <c r="M287" s="565"/>
      <c r="N287" s="565"/>
      <c r="O287" s="565"/>
      <c r="P287" s="565"/>
      <c r="Q287" s="565"/>
      <c r="R287" s="565"/>
      <c r="S287" s="565"/>
      <c r="T287" s="565"/>
      <c r="U287" s="565"/>
      <c r="V287" s="565"/>
      <c r="W287" s="565"/>
      <c r="X287" s="565"/>
      <c r="Y287" s="565"/>
      <c r="Z287" s="565"/>
      <c r="AA287" s="62"/>
      <c r="AB287" s="62"/>
      <c r="AC287" s="62"/>
    </row>
    <row r="288" spans="1:68" ht="14.25" customHeight="1" x14ac:dyDescent="0.25">
      <c r="A288" s="549" t="s">
        <v>108</v>
      </c>
      <c r="B288" s="549"/>
      <c r="C288" s="549"/>
      <c r="D288" s="549"/>
      <c r="E288" s="549"/>
      <c r="F288" s="549"/>
      <c r="G288" s="549"/>
      <c r="H288" s="549"/>
      <c r="I288" s="549"/>
      <c r="J288" s="549"/>
      <c r="K288" s="549"/>
      <c r="L288" s="549"/>
      <c r="M288" s="549"/>
      <c r="N288" s="549"/>
      <c r="O288" s="549"/>
      <c r="P288" s="549"/>
      <c r="Q288" s="549"/>
      <c r="R288" s="549"/>
      <c r="S288" s="549"/>
      <c r="T288" s="549"/>
      <c r="U288" s="549"/>
      <c r="V288" s="549"/>
      <c r="W288" s="549"/>
      <c r="X288" s="549"/>
      <c r="Y288" s="549"/>
      <c r="Z288" s="549"/>
      <c r="AA288" s="63"/>
      <c r="AB288" s="63"/>
      <c r="AC288" s="63"/>
    </row>
    <row r="289" spans="1:68" ht="27" customHeight="1" x14ac:dyDescent="0.25">
      <c r="A289" s="60" t="s">
        <v>452</v>
      </c>
      <c r="B289" s="60" t="s">
        <v>453</v>
      </c>
      <c r="C289" s="34">
        <v>4301012024</v>
      </c>
      <c r="D289" s="550">
        <v>4680115885615</v>
      </c>
      <c r="E289" s="550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66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2"/>
      <c r="R289" s="552"/>
      <c r="S289" s="552"/>
      <c r="T289" s="553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customHeight="1" x14ac:dyDescent="0.25">
      <c r="A290" s="60" t="s">
        <v>455</v>
      </c>
      <c r="B290" s="60" t="s">
        <v>456</v>
      </c>
      <c r="C290" s="34">
        <v>4301011858</v>
      </c>
      <c r="D290" s="550">
        <v>4680115885646</v>
      </c>
      <c r="E290" s="550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2"/>
      <c r="R290" s="552"/>
      <c r="S290" s="552"/>
      <c r="T290" s="55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customHeight="1" x14ac:dyDescent="0.25">
      <c r="A291" s="60" t="s">
        <v>458</v>
      </c>
      <c r="B291" s="60" t="s">
        <v>459</v>
      </c>
      <c r="C291" s="34">
        <v>4301012016</v>
      </c>
      <c r="D291" s="550">
        <v>4680115885554</v>
      </c>
      <c r="E291" s="550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2"/>
      <c r="R291" s="552"/>
      <c r="S291" s="552"/>
      <c r="T291" s="55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461</v>
      </c>
      <c r="B292" s="60" t="s">
        <v>462</v>
      </c>
      <c r="C292" s="34">
        <v>4301011857</v>
      </c>
      <c r="D292" s="550">
        <v>4680115885622</v>
      </c>
      <c r="E292" s="550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2"/>
      <c r="R292" s="552"/>
      <c r="S292" s="552"/>
      <c r="T292" s="55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463</v>
      </c>
      <c r="B293" s="60" t="s">
        <v>464</v>
      </c>
      <c r="C293" s="34">
        <v>4301011859</v>
      </c>
      <c r="D293" s="550">
        <v>4680115885608</v>
      </c>
      <c r="E293" s="550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66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2"/>
      <c r="R293" s="552"/>
      <c r="S293" s="552"/>
      <c r="T293" s="553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54" t="s">
        <v>40</v>
      </c>
      <c r="Q294" s="555"/>
      <c r="R294" s="555"/>
      <c r="S294" s="555"/>
      <c r="T294" s="555"/>
      <c r="U294" s="555"/>
      <c r="V294" s="556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x14ac:dyDescent="0.2">
      <c r="A295" s="55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8"/>
      <c r="P295" s="554" t="s">
        <v>40</v>
      </c>
      <c r="Q295" s="555"/>
      <c r="R295" s="555"/>
      <c r="S295" s="555"/>
      <c r="T295" s="555"/>
      <c r="U295" s="555"/>
      <c r="V295" s="556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customHeight="1" x14ac:dyDescent="0.25">
      <c r="A296" s="549" t="s">
        <v>76</v>
      </c>
      <c r="B296" s="549"/>
      <c r="C296" s="549"/>
      <c r="D296" s="549"/>
      <c r="E296" s="549"/>
      <c r="F296" s="549"/>
      <c r="G296" s="549"/>
      <c r="H296" s="549"/>
      <c r="I296" s="549"/>
      <c r="J296" s="549"/>
      <c r="K296" s="549"/>
      <c r="L296" s="549"/>
      <c r="M296" s="549"/>
      <c r="N296" s="549"/>
      <c r="O296" s="549"/>
      <c r="P296" s="549"/>
      <c r="Q296" s="549"/>
      <c r="R296" s="549"/>
      <c r="S296" s="549"/>
      <c r="T296" s="549"/>
      <c r="U296" s="549"/>
      <c r="V296" s="549"/>
      <c r="W296" s="549"/>
      <c r="X296" s="549"/>
      <c r="Y296" s="549"/>
      <c r="Z296" s="549"/>
      <c r="AA296" s="63"/>
      <c r="AB296" s="63"/>
      <c r="AC296" s="63"/>
    </row>
    <row r="297" spans="1:68" ht="27" customHeight="1" x14ac:dyDescent="0.25">
      <c r="A297" s="60" t="s">
        <v>466</v>
      </c>
      <c r="B297" s="60" t="s">
        <v>467</v>
      </c>
      <c r="C297" s="34">
        <v>4301030878</v>
      </c>
      <c r="D297" s="550">
        <v>4607091387193</v>
      </c>
      <c r="E297" s="550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6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2"/>
      <c r="R297" s="552"/>
      <c r="S297" s="552"/>
      <c r="T297" s="553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customHeight="1" x14ac:dyDescent="0.25">
      <c r="A298" s="60" t="s">
        <v>469</v>
      </c>
      <c r="B298" s="60" t="s">
        <v>470</v>
      </c>
      <c r="C298" s="34">
        <v>4301031153</v>
      </c>
      <c r="D298" s="550">
        <v>4607091387230</v>
      </c>
      <c r="E298" s="550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65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2"/>
      <c r="R298" s="552"/>
      <c r="S298" s="552"/>
      <c r="T298" s="553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customHeight="1" x14ac:dyDescent="0.25">
      <c r="A299" s="60" t="s">
        <v>472</v>
      </c>
      <c r="B299" s="60" t="s">
        <v>473</v>
      </c>
      <c r="C299" s="34">
        <v>4301031154</v>
      </c>
      <c r="D299" s="550">
        <v>4607091387292</v>
      </c>
      <c r="E299" s="550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6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2"/>
      <c r="R299" s="552"/>
      <c r="S299" s="552"/>
      <c r="T299" s="553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customHeight="1" x14ac:dyDescent="0.25">
      <c r="A300" s="60" t="s">
        <v>475</v>
      </c>
      <c r="B300" s="60" t="s">
        <v>476</v>
      </c>
      <c r="C300" s="34">
        <v>4301031152</v>
      </c>
      <c r="D300" s="550">
        <v>4607091387285</v>
      </c>
      <c r="E300" s="550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65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2"/>
      <c r="R300" s="552"/>
      <c r="S300" s="552"/>
      <c r="T300" s="553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customHeight="1" x14ac:dyDescent="0.25">
      <c r="A301" s="60" t="s">
        <v>477</v>
      </c>
      <c r="B301" s="60" t="s">
        <v>478</v>
      </c>
      <c r="C301" s="34">
        <v>4301031305</v>
      </c>
      <c r="D301" s="550">
        <v>4607091389845</v>
      </c>
      <c r="E301" s="550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2"/>
      <c r="R301" s="552"/>
      <c r="S301" s="552"/>
      <c r="T301" s="553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customHeight="1" x14ac:dyDescent="0.25">
      <c r="A302" s="60" t="s">
        <v>480</v>
      </c>
      <c r="B302" s="60" t="s">
        <v>481</v>
      </c>
      <c r="C302" s="34">
        <v>4301031306</v>
      </c>
      <c r="D302" s="550">
        <v>4680115882881</v>
      </c>
      <c r="E302" s="550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6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2"/>
      <c r="R302" s="552"/>
      <c r="S302" s="552"/>
      <c r="T302" s="553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customHeight="1" x14ac:dyDescent="0.25">
      <c r="A303" s="60" t="s">
        <v>482</v>
      </c>
      <c r="B303" s="60" t="s">
        <v>483</v>
      </c>
      <c r="C303" s="34">
        <v>4301031066</v>
      </c>
      <c r="D303" s="550">
        <v>4607091383836</v>
      </c>
      <c r="E303" s="550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2"/>
      <c r="R303" s="552"/>
      <c r="S303" s="552"/>
      <c r="T303" s="553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x14ac:dyDescent="0.2">
      <c r="A304" s="55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8"/>
      <c r="P304" s="554" t="s">
        <v>40</v>
      </c>
      <c r="Q304" s="555"/>
      <c r="R304" s="555"/>
      <c r="S304" s="555"/>
      <c r="T304" s="555"/>
      <c r="U304" s="555"/>
      <c r="V304" s="556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8"/>
      <c r="P305" s="554" t="s">
        <v>40</v>
      </c>
      <c r="Q305" s="555"/>
      <c r="R305" s="555"/>
      <c r="S305" s="555"/>
      <c r="T305" s="555"/>
      <c r="U305" s="555"/>
      <c r="V305" s="556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549" t="s">
        <v>82</v>
      </c>
      <c r="B306" s="549"/>
      <c r="C306" s="549"/>
      <c r="D306" s="549"/>
      <c r="E306" s="549"/>
      <c r="F306" s="549"/>
      <c r="G306" s="549"/>
      <c r="H306" s="549"/>
      <c r="I306" s="549"/>
      <c r="J306" s="549"/>
      <c r="K306" s="549"/>
      <c r="L306" s="549"/>
      <c r="M306" s="549"/>
      <c r="N306" s="549"/>
      <c r="O306" s="549"/>
      <c r="P306" s="549"/>
      <c r="Q306" s="549"/>
      <c r="R306" s="549"/>
      <c r="S306" s="549"/>
      <c r="T306" s="549"/>
      <c r="U306" s="549"/>
      <c r="V306" s="549"/>
      <c r="W306" s="549"/>
      <c r="X306" s="549"/>
      <c r="Y306" s="549"/>
      <c r="Z306" s="549"/>
      <c r="AA306" s="63"/>
      <c r="AB306" s="63"/>
      <c r="AC306" s="63"/>
    </row>
    <row r="307" spans="1:68" ht="27" customHeight="1" x14ac:dyDescent="0.25">
      <c r="A307" s="60" t="s">
        <v>485</v>
      </c>
      <c r="B307" s="60" t="s">
        <v>486</v>
      </c>
      <c r="C307" s="34">
        <v>4301051100</v>
      </c>
      <c r="D307" s="550">
        <v>4607091387766</v>
      </c>
      <c r="E307" s="550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6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2"/>
      <c r="R307" s="552"/>
      <c r="S307" s="552"/>
      <c r="T307" s="553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customHeight="1" x14ac:dyDescent="0.25">
      <c r="A308" s="60" t="s">
        <v>488</v>
      </c>
      <c r="B308" s="60" t="s">
        <v>489</v>
      </c>
      <c r="C308" s="34">
        <v>4301051818</v>
      </c>
      <c r="D308" s="550">
        <v>4607091387957</v>
      </c>
      <c r="E308" s="550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6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2"/>
      <c r="R308" s="552"/>
      <c r="S308" s="552"/>
      <c r="T308" s="55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491</v>
      </c>
      <c r="B309" s="60" t="s">
        <v>492</v>
      </c>
      <c r="C309" s="34">
        <v>4301051819</v>
      </c>
      <c r="D309" s="550">
        <v>4607091387964</v>
      </c>
      <c r="E309" s="550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6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2"/>
      <c r="R309" s="552"/>
      <c r="S309" s="552"/>
      <c r="T309" s="55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494</v>
      </c>
      <c r="B310" s="60" t="s">
        <v>495</v>
      </c>
      <c r="C310" s="34">
        <v>4301051734</v>
      </c>
      <c r="D310" s="550">
        <v>4680115884588</v>
      </c>
      <c r="E310" s="550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65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2"/>
      <c r="R310" s="552"/>
      <c r="S310" s="552"/>
      <c r="T310" s="553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497</v>
      </c>
      <c r="B311" s="60" t="s">
        <v>498</v>
      </c>
      <c r="C311" s="34">
        <v>4301051578</v>
      </c>
      <c r="D311" s="550">
        <v>4607091387513</v>
      </c>
      <c r="E311" s="550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64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2"/>
      <c r="R311" s="552"/>
      <c r="S311" s="552"/>
      <c r="T311" s="553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54" t="s">
        <v>40</v>
      </c>
      <c r="Q312" s="555"/>
      <c r="R312" s="555"/>
      <c r="S312" s="555"/>
      <c r="T312" s="555"/>
      <c r="U312" s="555"/>
      <c r="V312" s="556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8"/>
      <c r="P313" s="554" t="s">
        <v>40</v>
      </c>
      <c r="Q313" s="555"/>
      <c r="R313" s="555"/>
      <c r="S313" s="555"/>
      <c r="T313" s="555"/>
      <c r="U313" s="555"/>
      <c r="V313" s="556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customHeight="1" x14ac:dyDescent="0.25">
      <c r="A314" s="549" t="s">
        <v>171</v>
      </c>
      <c r="B314" s="549"/>
      <c r="C314" s="549"/>
      <c r="D314" s="549"/>
      <c r="E314" s="549"/>
      <c r="F314" s="549"/>
      <c r="G314" s="549"/>
      <c r="H314" s="549"/>
      <c r="I314" s="549"/>
      <c r="J314" s="549"/>
      <c r="K314" s="549"/>
      <c r="L314" s="549"/>
      <c r="M314" s="549"/>
      <c r="N314" s="549"/>
      <c r="O314" s="549"/>
      <c r="P314" s="549"/>
      <c r="Q314" s="549"/>
      <c r="R314" s="549"/>
      <c r="S314" s="549"/>
      <c r="T314" s="549"/>
      <c r="U314" s="549"/>
      <c r="V314" s="549"/>
      <c r="W314" s="549"/>
      <c r="X314" s="549"/>
      <c r="Y314" s="549"/>
      <c r="Z314" s="549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550">
        <v>4607091380880</v>
      </c>
      <c r="E315" s="550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6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7" t="s">
        <v>45</v>
      </c>
      <c r="V315" s="37" t="s">
        <v>45</v>
      </c>
      <c r="W315" s="38" t="s">
        <v>0</v>
      </c>
      <c r="X315" s="56">
        <v>369.6</v>
      </c>
      <c r="Y315" s="53">
        <f>IFERROR(IF(X315="",0,CEILING((X315/$H315),1)*$H315),"")</f>
        <v>369.6</v>
      </c>
      <c r="Z315" s="39">
        <f>IFERROR(IF(Y315=0,"",ROUNDUP(Y315/H315,0)*0.01898),"")</f>
        <v>0.83511999999999997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392.43600000000004</v>
      </c>
      <c r="BN315" s="75">
        <f>IFERROR(Y315*I315/H315,"0")</f>
        <v>392.43600000000004</v>
      </c>
      <c r="BO315" s="75">
        <f>IFERROR(1/J315*(X315/H315),"0")</f>
        <v>0.6875</v>
      </c>
      <c r="BP315" s="75">
        <f>IFERROR(1/J315*(Y315/H315),"0")</f>
        <v>0.6875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550">
        <v>4607091384482</v>
      </c>
      <c r="E316" s="550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6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7" t="s">
        <v>45</v>
      </c>
      <c r="V316" s="37" t="s">
        <v>45</v>
      </c>
      <c r="W316" s="38" t="s">
        <v>0</v>
      </c>
      <c r="X316" s="56">
        <v>374.4</v>
      </c>
      <c r="Y316" s="53">
        <f>IFERROR(IF(X316="",0,CEILING((X316/$H316),1)*$H316),"")</f>
        <v>374.4</v>
      </c>
      <c r="Z316" s="39">
        <f>IFERROR(IF(Y316=0,"",ROUNDUP(Y316/H316,0)*0.01898),"")</f>
        <v>0.91104000000000007</v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399.31200000000001</v>
      </c>
      <c r="BN316" s="75">
        <f>IFERROR(Y316*I316/H316,"0")</f>
        <v>399.31200000000001</v>
      </c>
      <c r="BO316" s="75">
        <f>IFERROR(1/J316*(X316/H316),"0")</f>
        <v>0.75</v>
      </c>
      <c r="BP316" s="75">
        <f>IFERROR(1/J316*(Y316/H316),"0")</f>
        <v>0.75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550">
        <v>4607091380897</v>
      </c>
      <c r="E317" s="550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7" t="s">
        <v>45</v>
      </c>
      <c r="V317" s="37" t="s">
        <v>45</v>
      </c>
      <c r="W317" s="38" t="s">
        <v>0</v>
      </c>
      <c r="X317" s="56">
        <v>201.6</v>
      </c>
      <c r="Y317" s="53">
        <f>IFERROR(IF(X317="",0,CEILING((X317/$H317),1)*$H317),"")</f>
        <v>201.60000000000002</v>
      </c>
      <c r="Z317" s="39">
        <f>IFERROR(IF(Y317=0,"",ROUNDUP(Y317/H317,0)*0.01898),"")</f>
        <v>0.45552000000000004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214.05600000000001</v>
      </c>
      <c r="BN317" s="75">
        <f>IFERROR(Y317*I317/H317,"0")</f>
        <v>214.05600000000001</v>
      </c>
      <c r="BO317" s="75">
        <f>IFERROR(1/J317*(X317/H317),"0")</f>
        <v>0.375</v>
      </c>
      <c r="BP317" s="75">
        <f>IFERROR(1/J317*(Y317/H317),"0")</f>
        <v>0.375</v>
      </c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54" t="s">
        <v>40</v>
      </c>
      <c r="Q318" s="555"/>
      <c r="R318" s="555"/>
      <c r="S318" s="555"/>
      <c r="T318" s="555"/>
      <c r="U318" s="555"/>
      <c r="V318" s="556"/>
      <c r="W318" s="40" t="s">
        <v>39</v>
      </c>
      <c r="X318" s="41">
        <f>IFERROR(X315/H315,"0")+IFERROR(X316/H316,"0")+IFERROR(X317/H317,"0")</f>
        <v>116</v>
      </c>
      <c r="Y318" s="41">
        <f>IFERROR(Y315/H315,"0")+IFERROR(Y316/H316,"0")+IFERROR(Y317/H317,"0")</f>
        <v>116</v>
      </c>
      <c r="Z318" s="41">
        <f>IFERROR(IF(Z315="",0,Z315),"0")+IFERROR(IF(Z316="",0,Z316),"0")+IFERROR(IF(Z317="",0,Z317),"0")</f>
        <v>2.2016800000000001</v>
      </c>
      <c r="AA318" s="64"/>
      <c r="AB318" s="64"/>
      <c r="AC318" s="64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54" t="s">
        <v>40</v>
      </c>
      <c r="Q319" s="555"/>
      <c r="R319" s="555"/>
      <c r="S319" s="555"/>
      <c r="T319" s="555"/>
      <c r="U319" s="555"/>
      <c r="V319" s="556"/>
      <c r="W319" s="40" t="s">
        <v>0</v>
      </c>
      <c r="X319" s="41">
        <f>IFERROR(SUM(X315:X317),"0")</f>
        <v>945.6</v>
      </c>
      <c r="Y319" s="41">
        <f>IFERROR(SUM(Y315:Y317),"0")</f>
        <v>945.6</v>
      </c>
      <c r="Z319" s="40"/>
      <c r="AA319" s="64"/>
      <c r="AB319" s="64"/>
      <c r="AC319" s="64"/>
    </row>
    <row r="320" spans="1:68" ht="14.25" customHeight="1" x14ac:dyDescent="0.25">
      <c r="A320" s="549" t="s">
        <v>100</v>
      </c>
      <c r="B320" s="549"/>
      <c r="C320" s="549"/>
      <c r="D320" s="549"/>
      <c r="E320" s="549"/>
      <c r="F320" s="549"/>
      <c r="G320" s="549"/>
      <c r="H320" s="549"/>
      <c r="I320" s="549"/>
      <c r="J320" s="549"/>
      <c r="K320" s="549"/>
      <c r="L320" s="549"/>
      <c r="M320" s="549"/>
      <c r="N320" s="549"/>
      <c r="O320" s="549"/>
      <c r="P320" s="549"/>
      <c r="Q320" s="549"/>
      <c r="R320" s="549"/>
      <c r="S320" s="549"/>
      <c r="T320" s="549"/>
      <c r="U320" s="549"/>
      <c r="V320" s="549"/>
      <c r="W320" s="549"/>
      <c r="X320" s="549"/>
      <c r="Y320" s="549"/>
      <c r="Z320" s="549"/>
      <c r="AA320" s="63"/>
      <c r="AB320" s="63"/>
      <c r="AC320" s="63"/>
    </row>
    <row r="321" spans="1:68" ht="27" customHeight="1" x14ac:dyDescent="0.25">
      <c r="A321" s="60" t="s">
        <v>509</v>
      </c>
      <c r="B321" s="60" t="s">
        <v>510</v>
      </c>
      <c r="C321" s="34">
        <v>4301030235</v>
      </c>
      <c r="D321" s="550">
        <v>4607091388381</v>
      </c>
      <c r="E321" s="550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6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512</v>
      </c>
      <c r="B322" s="60" t="s">
        <v>513</v>
      </c>
      <c r="C322" s="34">
        <v>4301030232</v>
      </c>
      <c r="D322" s="550">
        <v>4607091388374</v>
      </c>
      <c r="E322" s="550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645" t="s">
        <v>514</v>
      </c>
      <c r="Q322" s="552"/>
      <c r="R322" s="552"/>
      <c r="S322" s="552"/>
      <c r="T322" s="553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4301032015</v>
      </c>
      <c r="D323" s="550">
        <v>4607091383102</v>
      </c>
      <c r="E323" s="550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6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4301030233</v>
      </c>
      <c r="D324" s="550">
        <v>4607091388404</v>
      </c>
      <c r="E324" s="550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6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54" t="s">
        <v>40</v>
      </c>
      <c r="Q325" s="555"/>
      <c r="R325" s="555"/>
      <c r="S325" s="555"/>
      <c r="T325" s="555"/>
      <c r="U325" s="555"/>
      <c r="V325" s="556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8"/>
      <c r="P326" s="554" t="s">
        <v>40</v>
      </c>
      <c r="Q326" s="555"/>
      <c r="R326" s="555"/>
      <c r="S326" s="555"/>
      <c r="T326" s="555"/>
      <c r="U326" s="555"/>
      <c r="V326" s="556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customHeight="1" x14ac:dyDescent="0.25">
      <c r="A327" s="549" t="s">
        <v>520</v>
      </c>
      <c r="B327" s="549"/>
      <c r="C327" s="549"/>
      <c r="D327" s="549"/>
      <c r="E327" s="549"/>
      <c r="F327" s="549"/>
      <c r="G327" s="549"/>
      <c r="H327" s="549"/>
      <c r="I327" s="549"/>
      <c r="J327" s="549"/>
      <c r="K327" s="549"/>
      <c r="L327" s="549"/>
      <c r="M327" s="549"/>
      <c r="N327" s="549"/>
      <c r="O327" s="549"/>
      <c r="P327" s="549"/>
      <c r="Q327" s="549"/>
      <c r="R327" s="549"/>
      <c r="S327" s="549"/>
      <c r="T327" s="549"/>
      <c r="U327" s="549"/>
      <c r="V327" s="549"/>
      <c r="W327" s="549"/>
      <c r="X327" s="549"/>
      <c r="Y327" s="549"/>
      <c r="Z327" s="549"/>
      <c r="AA327" s="63"/>
      <c r="AB327" s="63"/>
      <c r="AC327" s="63"/>
    </row>
    <row r="328" spans="1:68" ht="16.5" customHeight="1" x14ac:dyDescent="0.25">
      <c r="A328" s="60" t="s">
        <v>521</v>
      </c>
      <c r="B328" s="60" t="s">
        <v>522</v>
      </c>
      <c r="C328" s="34">
        <v>4301180007</v>
      </c>
      <c r="D328" s="550">
        <v>4680115881808</v>
      </c>
      <c r="E328" s="550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6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525</v>
      </c>
      <c r="B329" s="60" t="s">
        <v>526</v>
      </c>
      <c r="C329" s="34">
        <v>4301180006</v>
      </c>
      <c r="D329" s="550">
        <v>4680115881822</v>
      </c>
      <c r="E329" s="550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6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527</v>
      </c>
      <c r="B330" s="60" t="s">
        <v>528</v>
      </c>
      <c r="C330" s="34">
        <v>4301180001</v>
      </c>
      <c r="D330" s="550">
        <v>4680115880016</v>
      </c>
      <c r="E330" s="550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6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54" t="s">
        <v>40</v>
      </c>
      <c r="Q331" s="555"/>
      <c r="R331" s="555"/>
      <c r="S331" s="555"/>
      <c r="T331" s="555"/>
      <c r="U331" s="555"/>
      <c r="V331" s="556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54" t="s">
        <v>40</v>
      </c>
      <c r="Q332" s="555"/>
      <c r="R332" s="555"/>
      <c r="S332" s="555"/>
      <c r="T332" s="555"/>
      <c r="U332" s="555"/>
      <c r="V332" s="556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customHeight="1" x14ac:dyDescent="0.25">
      <c r="A333" s="565" t="s">
        <v>529</v>
      </c>
      <c r="B333" s="565"/>
      <c r="C333" s="565"/>
      <c r="D333" s="565"/>
      <c r="E333" s="565"/>
      <c r="F333" s="565"/>
      <c r="G333" s="565"/>
      <c r="H333" s="565"/>
      <c r="I333" s="565"/>
      <c r="J333" s="565"/>
      <c r="K333" s="565"/>
      <c r="L333" s="565"/>
      <c r="M333" s="565"/>
      <c r="N333" s="565"/>
      <c r="O333" s="565"/>
      <c r="P333" s="565"/>
      <c r="Q333" s="565"/>
      <c r="R333" s="565"/>
      <c r="S333" s="565"/>
      <c r="T333" s="565"/>
      <c r="U333" s="565"/>
      <c r="V333" s="565"/>
      <c r="W333" s="565"/>
      <c r="X333" s="565"/>
      <c r="Y333" s="565"/>
      <c r="Z333" s="565"/>
      <c r="AA333" s="62"/>
      <c r="AB333" s="62"/>
      <c r="AC333" s="62"/>
    </row>
    <row r="334" spans="1:68" ht="14.25" customHeight="1" x14ac:dyDescent="0.25">
      <c r="A334" s="549" t="s">
        <v>82</v>
      </c>
      <c r="B334" s="549"/>
      <c r="C334" s="549"/>
      <c r="D334" s="549"/>
      <c r="E334" s="549"/>
      <c r="F334" s="549"/>
      <c r="G334" s="549"/>
      <c r="H334" s="549"/>
      <c r="I334" s="549"/>
      <c r="J334" s="549"/>
      <c r="K334" s="549"/>
      <c r="L334" s="549"/>
      <c r="M334" s="549"/>
      <c r="N334" s="549"/>
      <c r="O334" s="549"/>
      <c r="P334" s="549"/>
      <c r="Q334" s="549"/>
      <c r="R334" s="549"/>
      <c r="S334" s="549"/>
      <c r="T334" s="549"/>
      <c r="U334" s="549"/>
      <c r="V334" s="549"/>
      <c r="W334" s="549"/>
      <c r="X334" s="549"/>
      <c r="Y334" s="549"/>
      <c r="Z334" s="549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550">
        <v>4607091387919</v>
      </c>
      <c r="E335" s="550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63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4301051461</v>
      </c>
      <c r="D336" s="550">
        <v>4680115883604</v>
      </c>
      <c r="E336" s="550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4301051864</v>
      </c>
      <c r="D337" s="550">
        <v>4680115883567</v>
      </c>
      <c r="E337" s="550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6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54" t="s">
        <v>40</v>
      </c>
      <c r="Q338" s="555"/>
      <c r="R338" s="555"/>
      <c r="S338" s="555"/>
      <c r="T338" s="555"/>
      <c r="U338" s="555"/>
      <c r="V338" s="556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8"/>
      <c r="P339" s="554" t="s">
        <v>40</v>
      </c>
      <c r="Q339" s="555"/>
      <c r="R339" s="555"/>
      <c r="S339" s="555"/>
      <c r="T339" s="555"/>
      <c r="U339" s="555"/>
      <c r="V339" s="556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27.75" customHeight="1" x14ac:dyDescent="0.2">
      <c r="A340" s="574" t="s">
        <v>539</v>
      </c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  <c r="Z340" s="574"/>
      <c r="AA340" s="52"/>
      <c r="AB340" s="52"/>
      <c r="AC340" s="52"/>
    </row>
    <row r="341" spans="1:68" ht="16.5" customHeight="1" x14ac:dyDescent="0.25">
      <c r="A341" s="565" t="s">
        <v>540</v>
      </c>
      <c r="B341" s="565"/>
      <c r="C341" s="565"/>
      <c r="D341" s="565"/>
      <c r="E341" s="565"/>
      <c r="F341" s="565"/>
      <c r="G341" s="565"/>
      <c r="H341" s="565"/>
      <c r="I341" s="565"/>
      <c r="J341" s="565"/>
      <c r="K341" s="565"/>
      <c r="L341" s="565"/>
      <c r="M341" s="565"/>
      <c r="N341" s="565"/>
      <c r="O341" s="565"/>
      <c r="P341" s="565"/>
      <c r="Q341" s="565"/>
      <c r="R341" s="565"/>
      <c r="S341" s="565"/>
      <c r="T341" s="565"/>
      <c r="U341" s="565"/>
      <c r="V341" s="565"/>
      <c r="W341" s="565"/>
      <c r="X341" s="565"/>
      <c r="Y341" s="565"/>
      <c r="Z341" s="565"/>
      <c r="AA341" s="62"/>
      <c r="AB341" s="62"/>
      <c r="AC341" s="62"/>
    </row>
    <row r="342" spans="1:68" ht="14.25" customHeight="1" x14ac:dyDescent="0.25">
      <c r="A342" s="549" t="s">
        <v>108</v>
      </c>
      <c r="B342" s="549"/>
      <c r="C342" s="549"/>
      <c r="D342" s="549"/>
      <c r="E342" s="549"/>
      <c r="F342" s="549"/>
      <c r="G342" s="549"/>
      <c r="H342" s="549"/>
      <c r="I342" s="549"/>
      <c r="J342" s="549"/>
      <c r="K342" s="549"/>
      <c r="L342" s="549"/>
      <c r="M342" s="549"/>
      <c r="N342" s="549"/>
      <c r="O342" s="549"/>
      <c r="P342" s="549"/>
      <c r="Q342" s="549"/>
      <c r="R342" s="549"/>
      <c r="S342" s="549"/>
      <c r="T342" s="549"/>
      <c r="U342" s="549"/>
      <c r="V342" s="549"/>
      <c r="W342" s="549"/>
      <c r="X342" s="549"/>
      <c r="Y342" s="549"/>
      <c r="Z342" s="549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550">
        <v>4680115884847</v>
      </c>
      <c r="E343" s="550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6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7" t="s">
        <v>45</v>
      </c>
      <c r="V343" s="37" t="s">
        <v>45</v>
      </c>
      <c r="W343" s="38" t="s">
        <v>0</v>
      </c>
      <c r="X343" s="56">
        <v>0</v>
      </c>
      <c r="Y343" s="53">
        <f t="shared" ref="Y343:Y349" si="31">IFERROR(IF(X343="",0,CEILING((X343/$H343),1)*$H343),"")</f>
        <v>0</v>
      </c>
      <c r="Z343" s="39" t="str">
        <f>IFERROR(IF(Y343=0,"",ROUNDUP(Y343/H343,0)*0.02175),"")</f>
        <v/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0</v>
      </c>
      <c r="BN343" s="75">
        <f t="shared" ref="BN343:BN349" si="33">IFERROR(Y343*I343/H343,"0")</f>
        <v>0</v>
      </c>
      <c r="BO343" s="75">
        <f t="shared" ref="BO343:BO349" si="34">IFERROR(1/J343*(X343/H343),"0")</f>
        <v>0</v>
      </c>
      <c r="BP343" s="75">
        <f t="shared" ref="BP343:BP349" si="35">IFERROR(1/J343*(Y343/H343),"0")</f>
        <v>0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550">
        <v>4680115884854</v>
      </c>
      <c r="E344" s="550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6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7" t="s">
        <v>45</v>
      </c>
      <c r="V344" s="37" t="s">
        <v>45</v>
      </c>
      <c r="W344" s="38" t="s">
        <v>0</v>
      </c>
      <c r="X344" s="56">
        <v>360</v>
      </c>
      <c r="Y344" s="53">
        <f t="shared" si="31"/>
        <v>360</v>
      </c>
      <c r="Z344" s="39">
        <f>IFERROR(IF(Y344=0,"",ROUNDUP(Y344/H344,0)*0.02175),"")</f>
        <v>0.52200000000000002</v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371.52000000000004</v>
      </c>
      <c r="BN344" s="75">
        <f t="shared" si="33"/>
        <v>371.52000000000004</v>
      </c>
      <c r="BO344" s="75">
        <f t="shared" si="34"/>
        <v>0.5</v>
      </c>
      <c r="BP344" s="75">
        <f t="shared" si="35"/>
        <v>0.5</v>
      </c>
    </row>
    <row r="345" spans="1:68" ht="27" customHeight="1" x14ac:dyDescent="0.25">
      <c r="A345" s="60" t="s">
        <v>547</v>
      </c>
      <c r="B345" s="60" t="s">
        <v>548</v>
      </c>
      <c r="C345" s="34">
        <v>4301011832</v>
      </c>
      <c r="D345" s="550">
        <v>4607091383997</v>
      </c>
      <c r="E345" s="550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63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2"/>
      <c r="R345" s="552"/>
      <c r="S345" s="552"/>
      <c r="T345" s="553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550">
        <v>4680115884830</v>
      </c>
      <c r="E346" s="550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6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2"/>
      <c r="R346" s="552"/>
      <c r="S346" s="552"/>
      <c r="T346" s="553"/>
      <c r="U346" s="37" t="s">
        <v>45</v>
      </c>
      <c r="V346" s="37" t="s">
        <v>45</v>
      </c>
      <c r="W346" s="38" t="s">
        <v>0</v>
      </c>
      <c r="X346" s="56">
        <v>135</v>
      </c>
      <c r="Y346" s="53">
        <f t="shared" si="31"/>
        <v>135</v>
      </c>
      <c r="Z346" s="39">
        <f>IFERROR(IF(Y346=0,"",ROUNDUP(Y346/H346,0)*0.02175),"")</f>
        <v>0.19574999999999998</v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139.32000000000002</v>
      </c>
      <c r="BN346" s="75">
        <f t="shared" si="33"/>
        <v>139.32000000000002</v>
      </c>
      <c r="BO346" s="75">
        <f t="shared" si="34"/>
        <v>0.1875</v>
      </c>
      <c r="BP346" s="75">
        <f t="shared" si="35"/>
        <v>0.1875</v>
      </c>
    </row>
    <row r="347" spans="1:68" ht="27" customHeight="1" x14ac:dyDescent="0.25">
      <c r="A347" s="60" t="s">
        <v>553</v>
      </c>
      <c r="B347" s="60" t="s">
        <v>554</v>
      </c>
      <c r="C347" s="34">
        <v>4301011433</v>
      </c>
      <c r="D347" s="550">
        <v>4680115882638</v>
      </c>
      <c r="E347" s="550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6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customHeight="1" x14ac:dyDescent="0.25">
      <c r="A348" s="60" t="s">
        <v>556</v>
      </c>
      <c r="B348" s="60" t="s">
        <v>557</v>
      </c>
      <c r="C348" s="34">
        <v>4301011952</v>
      </c>
      <c r="D348" s="550">
        <v>4680115884922</v>
      </c>
      <c r="E348" s="550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6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customHeight="1" x14ac:dyDescent="0.25">
      <c r="A349" s="60" t="s">
        <v>558</v>
      </c>
      <c r="B349" s="60" t="s">
        <v>559</v>
      </c>
      <c r="C349" s="34">
        <v>4301011868</v>
      </c>
      <c r="D349" s="550">
        <v>4680115884861</v>
      </c>
      <c r="E349" s="550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6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8"/>
      <c r="P350" s="554" t="s">
        <v>40</v>
      </c>
      <c r="Q350" s="555"/>
      <c r="R350" s="555"/>
      <c r="S350" s="555"/>
      <c r="T350" s="555"/>
      <c r="U350" s="555"/>
      <c r="V350" s="556"/>
      <c r="W350" s="40" t="s">
        <v>39</v>
      </c>
      <c r="X350" s="41">
        <f>IFERROR(X343/H343,"0")+IFERROR(X344/H344,"0")+IFERROR(X345/H345,"0")+IFERROR(X346/H346,"0")+IFERROR(X347/H347,"0")+IFERROR(X348/H348,"0")+IFERROR(X349/H349,"0")</f>
        <v>33</v>
      </c>
      <c r="Y350" s="41">
        <f>IFERROR(Y343/H343,"0")+IFERROR(Y344/H344,"0")+IFERROR(Y345/H345,"0")+IFERROR(Y346/H346,"0")+IFERROR(Y347/H347,"0")+IFERROR(Y348/H348,"0")+IFERROR(Y349/H349,"0")</f>
        <v>33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0.71775</v>
      </c>
      <c r="AA350" s="64"/>
      <c r="AB350" s="64"/>
      <c r="AC350" s="64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8"/>
      <c r="P351" s="554" t="s">
        <v>40</v>
      </c>
      <c r="Q351" s="555"/>
      <c r="R351" s="555"/>
      <c r="S351" s="555"/>
      <c r="T351" s="555"/>
      <c r="U351" s="555"/>
      <c r="V351" s="556"/>
      <c r="W351" s="40" t="s">
        <v>0</v>
      </c>
      <c r="X351" s="41">
        <f>IFERROR(SUM(X343:X349),"0")</f>
        <v>495</v>
      </c>
      <c r="Y351" s="41">
        <f>IFERROR(SUM(Y343:Y349),"0")</f>
        <v>495</v>
      </c>
      <c r="Z351" s="40"/>
      <c r="AA351" s="64"/>
      <c r="AB351" s="64"/>
      <c r="AC351" s="64"/>
    </row>
    <row r="352" spans="1:68" ht="14.25" customHeight="1" x14ac:dyDescent="0.25">
      <c r="A352" s="549" t="s">
        <v>141</v>
      </c>
      <c r="B352" s="549"/>
      <c r="C352" s="549"/>
      <c r="D352" s="549"/>
      <c r="E352" s="549"/>
      <c r="F352" s="549"/>
      <c r="G352" s="549"/>
      <c r="H352" s="549"/>
      <c r="I352" s="549"/>
      <c r="J352" s="549"/>
      <c r="K352" s="549"/>
      <c r="L352" s="549"/>
      <c r="M352" s="549"/>
      <c r="N352" s="549"/>
      <c r="O352" s="549"/>
      <c r="P352" s="549"/>
      <c r="Q352" s="549"/>
      <c r="R352" s="549"/>
      <c r="S352" s="549"/>
      <c r="T352" s="549"/>
      <c r="U352" s="549"/>
      <c r="V352" s="549"/>
      <c r="W352" s="549"/>
      <c r="X352" s="549"/>
      <c r="Y352" s="549"/>
      <c r="Z352" s="549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550">
        <v>4607091383980</v>
      </c>
      <c r="E353" s="550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6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7" t="s">
        <v>45</v>
      </c>
      <c r="V353" s="37" t="s">
        <v>45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16.5" customHeight="1" x14ac:dyDescent="0.25">
      <c r="A354" s="60" t="s">
        <v>563</v>
      </c>
      <c r="B354" s="60" t="s">
        <v>564</v>
      </c>
      <c r="C354" s="34">
        <v>4301020179</v>
      </c>
      <c r="D354" s="550">
        <v>4607091384178</v>
      </c>
      <c r="E354" s="550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6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8"/>
      <c r="P355" s="554" t="s">
        <v>40</v>
      </c>
      <c r="Q355" s="555"/>
      <c r="R355" s="555"/>
      <c r="S355" s="555"/>
      <c r="T355" s="555"/>
      <c r="U355" s="555"/>
      <c r="V355" s="556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54" t="s">
        <v>40</v>
      </c>
      <c r="Q356" s="555"/>
      <c r="R356" s="555"/>
      <c r="S356" s="555"/>
      <c r="T356" s="555"/>
      <c r="U356" s="555"/>
      <c r="V356" s="556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4.25" customHeight="1" x14ac:dyDescent="0.25">
      <c r="A357" s="549" t="s">
        <v>82</v>
      </c>
      <c r="B357" s="549"/>
      <c r="C357" s="549"/>
      <c r="D357" s="549"/>
      <c r="E357" s="549"/>
      <c r="F357" s="549"/>
      <c r="G357" s="549"/>
      <c r="H357" s="549"/>
      <c r="I357" s="549"/>
      <c r="J357" s="549"/>
      <c r="K357" s="549"/>
      <c r="L357" s="549"/>
      <c r="M357" s="549"/>
      <c r="N357" s="549"/>
      <c r="O357" s="549"/>
      <c r="P357" s="549"/>
      <c r="Q357" s="549"/>
      <c r="R357" s="549"/>
      <c r="S357" s="549"/>
      <c r="T357" s="549"/>
      <c r="U357" s="549"/>
      <c r="V357" s="549"/>
      <c r="W357" s="549"/>
      <c r="X357" s="549"/>
      <c r="Y357" s="549"/>
      <c r="Z357" s="549"/>
      <c r="AA357" s="63"/>
      <c r="AB357" s="63"/>
      <c r="AC357" s="63"/>
    </row>
    <row r="358" spans="1:68" ht="27" customHeight="1" x14ac:dyDescent="0.25">
      <c r="A358" s="60" t="s">
        <v>565</v>
      </c>
      <c r="B358" s="60" t="s">
        <v>566</v>
      </c>
      <c r="C358" s="34">
        <v>4301051903</v>
      </c>
      <c r="D358" s="550">
        <v>4607091383928</v>
      </c>
      <c r="E358" s="550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6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568</v>
      </c>
      <c r="B359" s="60" t="s">
        <v>569</v>
      </c>
      <c r="C359" s="34">
        <v>4301051897</v>
      </c>
      <c r="D359" s="550">
        <v>4607091384260</v>
      </c>
      <c r="E359" s="550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6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8"/>
      <c r="P360" s="554" t="s">
        <v>40</v>
      </c>
      <c r="Q360" s="555"/>
      <c r="R360" s="555"/>
      <c r="S360" s="555"/>
      <c r="T360" s="555"/>
      <c r="U360" s="555"/>
      <c r="V360" s="556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54" t="s">
        <v>40</v>
      </c>
      <c r="Q361" s="555"/>
      <c r="R361" s="555"/>
      <c r="S361" s="555"/>
      <c r="T361" s="555"/>
      <c r="U361" s="555"/>
      <c r="V361" s="556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customHeight="1" x14ac:dyDescent="0.25">
      <c r="A362" s="549" t="s">
        <v>171</v>
      </c>
      <c r="B362" s="549"/>
      <c r="C362" s="549"/>
      <c r="D362" s="549"/>
      <c r="E362" s="549"/>
      <c r="F362" s="549"/>
      <c r="G362" s="549"/>
      <c r="H362" s="549"/>
      <c r="I362" s="549"/>
      <c r="J362" s="549"/>
      <c r="K362" s="549"/>
      <c r="L362" s="549"/>
      <c r="M362" s="549"/>
      <c r="N362" s="549"/>
      <c r="O362" s="549"/>
      <c r="P362" s="549"/>
      <c r="Q362" s="549"/>
      <c r="R362" s="549"/>
      <c r="S362" s="549"/>
      <c r="T362" s="549"/>
      <c r="U362" s="549"/>
      <c r="V362" s="549"/>
      <c r="W362" s="549"/>
      <c r="X362" s="549"/>
      <c r="Y362" s="549"/>
      <c r="Z362" s="549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550">
        <v>4607091384673</v>
      </c>
      <c r="E363" s="550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6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7" t="s">
        <v>45</v>
      </c>
      <c r="V363" s="37" t="s">
        <v>45</v>
      </c>
      <c r="W363" s="38" t="s">
        <v>0</v>
      </c>
      <c r="X363" s="56">
        <v>216</v>
      </c>
      <c r="Y363" s="53">
        <f>IFERROR(IF(X363="",0,CEILING((X363/$H363),1)*$H363),"")</f>
        <v>216</v>
      </c>
      <c r="Z363" s="39">
        <f>IFERROR(IF(Y363=0,"",ROUNDUP(Y363/H363,0)*0.01898),"")</f>
        <v>0.45552000000000004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228.45599999999999</v>
      </c>
      <c r="BN363" s="75">
        <f>IFERROR(Y363*I363/H363,"0")</f>
        <v>228.45599999999999</v>
      </c>
      <c r="BO363" s="75">
        <f>IFERROR(1/J363*(X363/H363),"0")</f>
        <v>0.375</v>
      </c>
      <c r="BP363" s="75">
        <f>IFERROR(1/J363*(Y363/H363),"0")</f>
        <v>0.375</v>
      </c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8"/>
      <c r="P364" s="554" t="s">
        <v>40</v>
      </c>
      <c r="Q364" s="555"/>
      <c r="R364" s="555"/>
      <c r="S364" s="555"/>
      <c r="T364" s="555"/>
      <c r="U364" s="555"/>
      <c r="V364" s="556"/>
      <c r="W364" s="40" t="s">
        <v>39</v>
      </c>
      <c r="X364" s="41">
        <f>IFERROR(X363/H363,"0")</f>
        <v>24</v>
      </c>
      <c r="Y364" s="41">
        <f>IFERROR(Y363/H363,"0")</f>
        <v>24</v>
      </c>
      <c r="Z364" s="41">
        <f>IFERROR(IF(Z363="",0,Z363),"0")</f>
        <v>0.45552000000000004</v>
      </c>
      <c r="AA364" s="64"/>
      <c r="AB364" s="64"/>
      <c r="AC364" s="64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8"/>
      <c r="P365" s="554" t="s">
        <v>40</v>
      </c>
      <c r="Q365" s="555"/>
      <c r="R365" s="555"/>
      <c r="S365" s="555"/>
      <c r="T365" s="555"/>
      <c r="U365" s="555"/>
      <c r="V365" s="556"/>
      <c r="W365" s="40" t="s">
        <v>0</v>
      </c>
      <c r="X365" s="41">
        <f>IFERROR(SUM(X363:X363),"0")</f>
        <v>216</v>
      </c>
      <c r="Y365" s="41">
        <f>IFERROR(SUM(Y363:Y363),"0")</f>
        <v>216</v>
      </c>
      <c r="Z365" s="40"/>
      <c r="AA365" s="64"/>
      <c r="AB365" s="64"/>
      <c r="AC365" s="64"/>
    </row>
    <row r="366" spans="1:68" ht="16.5" customHeight="1" x14ac:dyDescent="0.25">
      <c r="A366" s="565" t="s">
        <v>574</v>
      </c>
      <c r="B366" s="565"/>
      <c r="C366" s="565"/>
      <c r="D366" s="565"/>
      <c r="E366" s="565"/>
      <c r="F366" s="565"/>
      <c r="G366" s="565"/>
      <c r="H366" s="565"/>
      <c r="I366" s="565"/>
      <c r="J366" s="565"/>
      <c r="K366" s="565"/>
      <c r="L366" s="565"/>
      <c r="M366" s="565"/>
      <c r="N366" s="565"/>
      <c r="O366" s="565"/>
      <c r="P366" s="565"/>
      <c r="Q366" s="565"/>
      <c r="R366" s="565"/>
      <c r="S366" s="565"/>
      <c r="T366" s="565"/>
      <c r="U366" s="565"/>
      <c r="V366" s="565"/>
      <c r="W366" s="565"/>
      <c r="X366" s="565"/>
      <c r="Y366" s="565"/>
      <c r="Z366" s="565"/>
      <c r="AA366" s="62"/>
      <c r="AB366" s="62"/>
      <c r="AC366" s="62"/>
    </row>
    <row r="367" spans="1:68" ht="14.25" customHeight="1" x14ac:dyDescent="0.25">
      <c r="A367" s="549" t="s">
        <v>108</v>
      </c>
      <c r="B367" s="549"/>
      <c r="C367" s="549"/>
      <c r="D367" s="549"/>
      <c r="E367" s="549"/>
      <c r="F367" s="549"/>
      <c r="G367" s="549"/>
      <c r="H367" s="549"/>
      <c r="I367" s="549"/>
      <c r="J367" s="549"/>
      <c r="K367" s="549"/>
      <c r="L367" s="549"/>
      <c r="M367" s="549"/>
      <c r="N367" s="549"/>
      <c r="O367" s="549"/>
      <c r="P367" s="549"/>
      <c r="Q367" s="549"/>
      <c r="R367" s="549"/>
      <c r="S367" s="549"/>
      <c r="T367" s="549"/>
      <c r="U367" s="549"/>
      <c r="V367" s="549"/>
      <c r="W367" s="549"/>
      <c r="X367" s="549"/>
      <c r="Y367" s="549"/>
      <c r="Z367" s="549"/>
      <c r="AA367" s="63"/>
      <c r="AB367" s="63"/>
      <c r="AC367" s="63"/>
    </row>
    <row r="368" spans="1:68" ht="37.5" customHeight="1" x14ac:dyDescent="0.25">
      <c r="A368" s="60" t="s">
        <v>575</v>
      </c>
      <c r="B368" s="60" t="s">
        <v>576</v>
      </c>
      <c r="C368" s="34">
        <v>4301011875</v>
      </c>
      <c r="D368" s="550">
        <v>4680115884885</v>
      </c>
      <c r="E368" s="550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6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7" t="s">
        <v>45</v>
      </c>
      <c r="V368" s="37" t="s">
        <v>45</v>
      </c>
      <c r="W368" s="38" t="s">
        <v>0</v>
      </c>
      <c r="X368" s="56">
        <v>240</v>
      </c>
      <c r="Y368" s="53">
        <f>IFERROR(IF(X368="",0,CEILING((X368/$H368),1)*$H368),"")</f>
        <v>240</v>
      </c>
      <c r="Z368" s="39">
        <f>IFERROR(IF(Y368=0,"",ROUNDUP(Y368/H368,0)*0.01898),"")</f>
        <v>0.37959999999999999</v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248.70000000000002</v>
      </c>
      <c r="BN368" s="75">
        <f>IFERROR(Y368*I368/H368,"0")</f>
        <v>248.70000000000002</v>
      </c>
      <c r="BO368" s="75">
        <f>IFERROR(1/J368*(X368/H368),"0")</f>
        <v>0.3125</v>
      </c>
      <c r="BP368" s="75">
        <f>IFERROR(1/J368*(Y368/H368),"0")</f>
        <v>0.3125</v>
      </c>
    </row>
    <row r="369" spans="1:68" ht="37.5" customHeight="1" x14ac:dyDescent="0.25">
      <c r="A369" s="60" t="s">
        <v>578</v>
      </c>
      <c r="B369" s="60" t="s">
        <v>579</v>
      </c>
      <c r="C369" s="34">
        <v>4301011871</v>
      </c>
      <c r="D369" s="550">
        <v>4680115884908</v>
      </c>
      <c r="E369" s="550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6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54" t="s">
        <v>40</v>
      </c>
      <c r="Q370" s="555"/>
      <c r="R370" s="555"/>
      <c r="S370" s="555"/>
      <c r="T370" s="555"/>
      <c r="U370" s="555"/>
      <c r="V370" s="556"/>
      <c r="W370" s="40" t="s">
        <v>39</v>
      </c>
      <c r="X370" s="41">
        <f>IFERROR(X368/H368,"0")+IFERROR(X369/H369,"0")</f>
        <v>20</v>
      </c>
      <c r="Y370" s="41">
        <f>IFERROR(Y368/H368,"0")+IFERROR(Y369/H369,"0")</f>
        <v>20</v>
      </c>
      <c r="Z370" s="41">
        <f>IFERROR(IF(Z368="",0,Z368),"0")+IFERROR(IF(Z369="",0,Z369),"0")</f>
        <v>0.37959999999999999</v>
      </c>
      <c r="AA370" s="64"/>
      <c r="AB370" s="64"/>
      <c r="AC370" s="64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54" t="s">
        <v>40</v>
      </c>
      <c r="Q371" s="555"/>
      <c r="R371" s="555"/>
      <c r="S371" s="555"/>
      <c r="T371" s="555"/>
      <c r="U371" s="555"/>
      <c r="V371" s="556"/>
      <c r="W371" s="40" t="s">
        <v>0</v>
      </c>
      <c r="X371" s="41">
        <f>IFERROR(SUM(X368:X369),"0")</f>
        <v>240</v>
      </c>
      <c r="Y371" s="41">
        <f>IFERROR(SUM(Y368:Y369),"0")</f>
        <v>240</v>
      </c>
      <c r="Z371" s="40"/>
      <c r="AA371" s="64"/>
      <c r="AB371" s="64"/>
      <c r="AC371" s="64"/>
    </row>
    <row r="372" spans="1:68" ht="14.25" customHeight="1" x14ac:dyDescent="0.25">
      <c r="A372" s="549" t="s">
        <v>76</v>
      </c>
      <c r="B372" s="549"/>
      <c r="C372" s="549"/>
      <c r="D372" s="549"/>
      <c r="E372" s="549"/>
      <c r="F372" s="549"/>
      <c r="G372" s="549"/>
      <c r="H372" s="549"/>
      <c r="I372" s="549"/>
      <c r="J372" s="549"/>
      <c r="K372" s="549"/>
      <c r="L372" s="549"/>
      <c r="M372" s="549"/>
      <c r="N372" s="549"/>
      <c r="O372" s="549"/>
      <c r="P372" s="549"/>
      <c r="Q372" s="549"/>
      <c r="R372" s="549"/>
      <c r="S372" s="549"/>
      <c r="T372" s="549"/>
      <c r="U372" s="549"/>
      <c r="V372" s="549"/>
      <c r="W372" s="549"/>
      <c r="X372" s="549"/>
      <c r="Y372" s="549"/>
      <c r="Z372" s="549"/>
      <c r="AA372" s="63"/>
      <c r="AB372" s="63"/>
      <c r="AC372" s="63"/>
    </row>
    <row r="373" spans="1:68" ht="27" customHeight="1" x14ac:dyDescent="0.25">
      <c r="A373" s="60" t="s">
        <v>580</v>
      </c>
      <c r="B373" s="60" t="s">
        <v>581</v>
      </c>
      <c r="C373" s="34">
        <v>4301031303</v>
      </c>
      <c r="D373" s="550">
        <v>4607091384802</v>
      </c>
      <c r="E373" s="550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6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580</v>
      </c>
      <c r="B374" s="60" t="s">
        <v>583</v>
      </c>
      <c r="C374" s="34">
        <v>4301031457</v>
      </c>
      <c r="D374" s="550">
        <v>4607091384802</v>
      </c>
      <c r="E374" s="550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6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8"/>
      <c r="P375" s="554" t="s">
        <v>40</v>
      </c>
      <c r="Q375" s="555"/>
      <c r="R375" s="555"/>
      <c r="S375" s="555"/>
      <c r="T375" s="555"/>
      <c r="U375" s="555"/>
      <c r="V375" s="556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54" t="s">
        <v>40</v>
      </c>
      <c r="Q376" s="555"/>
      <c r="R376" s="555"/>
      <c r="S376" s="555"/>
      <c r="T376" s="555"/>
      <c r="U376" s="555"/>
      <c r="V376" s="556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customHeight="1" x14ac:dyDescent="0.25">
      <c r="A377" s="549" t="s">
        <v>82</v>
      </c>
      <c r="B377" s="549"/>
      <c r="C377" s="549"/>
      <c r="D377" s="549"/>
      <c r="E377" s="549"/>
      <c r="F377" s="549"/>
      <c r="G377" s="549"/>
      <c r="H377" s="549"/>
      <c r="I377" s="549"/>
      <c r="J377" s="549"/>
      <c r="K377" s="549"/>
      <c r="L377" s="549"/>
      <c r="M377" s="549"/>
      <c r="N377" s="549"/>
      <c r="O377" s="549"/>
      <c r="P377" s="549"/>
      <c r="Q377" s="549"/>
      <c r="R377" s="549"/>
      <c r="S377" s="549"/>
      <c r="T377" s="549"/>
      <c r="U377" s="549"/>
      <c r="V377" s="549"/>
      <c r="W377" s="549"/>
      <c r="X377" s="549"/>
      <c r="Y377" s="549"/>
      <c r="Z377" s="549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550">
        <v>4607091384246</v>
      </c>
      <c r="E378" s="550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6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7" t="s">
        <v>45</v>
      </c>
      <c r="V378" s="37" t="s">
        <v>45</v>
      </c>
      <c r="W378" s="38" t="s">
        <v>0</v>
      </c>
      <c r="X378" s="56">
        <v>504</v>
      </c>
      <c r="Y378" s="53">
        <f>IFERROR(IF(X378="",0,CEILING((X378/$H378),1)*$H378),"")</f>
        <v>504</v>
      </c>
      <c r="Z378" s="39">
        <f>IFERROR(IF(Y378=0,"",ROUNDUP(Y378/H378,0)*0.01898),"")</f>
        <v>1.06288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533.06399999999996</v>
      </c>
      <c r="BN378" s="75">
        <f>IFERROR(Y378*I378/H378,"0")</f>
        <v>533.06399999999996</v>
      </c>
      <c r="BO378" s="75">
        <f>IFERROR(1/J378*(X378/H378),"0")</f>
        <v>0.875</v>
      </c>
      <c r="BP378" s="75">
        <f>IFERROR(1/J378*(Y378/H378),"0")</f>
        <v>0.875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550">
        <v>4607091384253</v>
      </c>
      <c r="E379" s="550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6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7" t="s">
        <v>45</v>
      </c>
      <c r="V379" s="37" t="s">
        <v>45</v>
      </c>
      <c r="W379" s="38" t="s">
        <v>0</v>
      </c>
      <c r="X379" s="56">
        <v>115.2</v>
      </c>
      <c r="Y379" s="53">
        <f>IFERROR(IF(X379="",0,CEILING((X379/$H379),1)*$H379),"")</f>
        <v>115.19999999999999</v>
      </c>
      <c r="Z379" s="39">
        <f>IFERROR(IF(Y379=0,"",ROUNDUP(Y379/H379,0)*0.00651),"")</f>
        <v>0.31247999999999998</v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127.87200000000001</v>
      </c>
      <c r="BN379" s="75">
        <f>IFERROR(Y379*I379/H379,"0")</f>
        <v>127.87199999999999</v>
      </c>
      <c r="BO379" s="75">
        <f>IFERROR(1/J379*(X379/H379),"0")</f>
        <v>0.26373626373626374</v>
      </c>
      <c r="BP379" s="75">
        <f>IFERROR(1/J379*(Y379/H379),"0")</f>
        <v>0.26373626373626374</v>
      </c>
    </row>
    <row r="380" spans="1:68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8"/>
      <c r="P380" s="554" t="s">
        <v>40</v>
      </c>
      <c r="Q380" s="555"/>
      <c r="R380" s="555"/>
      <c r="S380" s="555"/>
      <c r="T380" s="555"/>
      <c r="U380" s="555"/>
      <c r="V380" s="556"/>
      <c r="W380" s="40" t="s">
        <v>39</v>
      </c>
      <c r="X380" s="41">
        <f>IFERROR(X378/H378,"0")+IFERROR(X379/H379,"0")</f>
        <v>104</v>
      </c>
      <c r="Y380" s="41">
        <f>IFERROR(Y378/H378,"0")+IFERROR(Y379/H379,"0")</f>
        <v>104</v>
      </c>
      <c r="Z380" s="41">
        <f>IFERROR(IF(Z378="",0,Z378),"0")+IFERROR(IF(Z379="",0,Z379),"0")</f>
        <v>1.3753600000000001</v>
      </c>
      <c r="AA380" s="64"/>
      <c r="AB380" s="64"/>
      <c r="AC380" s="64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54" t="s">
        <v>40</v>
      </c>
      <c r="Q381" s="555"/>
      <c r="R381" s="555"/>
      <c r="S381" s="555"/>
      <c r="T381" s="555"/>
      <c r="U381" s="555"/>
      <c r="V381" s="556"/>
      <c r="W381" s="40" t="s">
        <v>0</v>
      </c>
      <c r="X381" s="41">
        <f>IFERROR(SUM(X378:X379),"0")</f>
        <v>619.20000000000005</v>
      </c>
      <c r="Y381" s="41">
        <f>IFERROR(SUM(Y378:Y379),"0")</f>
        <v>619.20000000000005</v>
      </c>
      <c r="Z381" s="40"/>
      <c r="AA381" s="64"/>
      <c r="AB381" s="64"/>
      <c r="AC381" s="64"/>
    </row>
    <row r="382" spans="1:68" ht="27.75" customHeight="1" x14ac:dyDescent="0.2">
      <c r="A382" s="574" t="s">
        <v>590</v>
      </c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  <c r="Z382" s="574"/>
      <c r="AA382" s="52"/>
      <c r="AB382" s="52"/>
      <c r="AC382" s="52"/>
    </row>
    <row r="383" spans="1:68" ht="16.5" customHeight="1" x14ac:dyDescent="0.25">
      <c r="A383" s="565" t="s">
        <v>591</v>
      </c>
      <c r="B383" s="565"/>
      <c r="C383" s="565"/>
      <c r="D383" s="565"/>
      <c r="E383" s="565"/>
      <c r="F383" s="565"/>
      <c r="G383" s="565"/>
      <c r="H383" s="565"/>
      <c r="I383" s="565"/>
      <c r="J383" s="565"/>
      <c r="K383" s="565"/>
      <c r="L383" s="565"/>
      <c r="M383" s="565"/>
      <c r="N383" s="565"/>
      <c r="O383" s="565"/>
      <c r="P383" s="565"/>
      <c r="Q383" s="565"/>
      <c r="R383" s="565"/>
      <c r="S383" s="565"/>
      <c r="T383" s="565"/>
      <c r="U383" s="565"/>
      <c r="V383" s="565"/>
      <c r="W383" s="565"/>
      <c r="X383" s="565"/>
      <c r="Y383" s="565"/>
      <c r="Z383" s="565"/>
      <c r="AA383" s="62"/>
      <c r="AB383" s="62"/>
      <c r="AC383" s="62"/>
    </row>
    <row r="384" spans="1:68" ht="14.25" customHeight="1" x14ac:dyDescent="0.25">
      <c r="A384" s="549" t="s">
        <v>76</v>
      </c>
      <c r="B384" s="549"/>
      <c r="C384" s="549"/>
      <c r="D384" s="549"/>
      <c r="E384" s="549"/>
      <c r="F384" s="549"/>
      <c r="G384" s="549"/>
      <c r="H384" s="549"/>
      <c r="I384" s="549"/>
      <c r="J384" s="549"/>
      <c r="K384" s="549"/>
      <c r="L384" s="549"/>
      <c r="M384" s="549"/>
      <c r="N384" s="549"/>
      <c r="O384" s="549"/>
      <c r="P384" s="549"/>
      <c r="Q384" s="549"/>
      <c r="R384" s="549"/>
      <c r="S384" s="549"/>
      <c r="T384" s="549"/>
      <c r="U384" s="549"/>
      <c r="V384" s="549"/>
      <c r="W384" s="549"/>
      <c r="X384" s="549"/>
      <c r="Y384" s="549"/>
      <c r="Z384" s="549"/>
      <c r="AA384" s="63"/>
      <c r="AB384" s="63"/>
      <c r="AC384" s="63"/>
    </row>
    <row r="385" spans="1:68" ht="27" customHeight="1" x14ac:dyDescent="0.25">
      <c r="A385" s="60" t="s">
        <v>592</v>
      </c>
      <c r="B385" s="60" t="s">
        <v>593</v>
      </c>
      <c r="C385" s="34">
        <v>4301031405</v>
      </c>
      <c r="D385" s="550">
        <v>4680115886100</v>
      </c>
      <c r="E385" s="550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2"/>
      <c r="R385" s="552"/>
      <c r="S385" s="552"/>
      <c r="T385" s="553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customHeight="1" x14ac:dyDescent="0.25">
      <c r="A386" s="60" t="s">
        <v>595</v>
      </c>
      <c r="B386" s="60" t="s">
        <v>596</v>
      </c>
      <c r="C386" s="34">
        <v>4301031406</v>
      </c>
      <c r="D386" s="550">
        <v>4680115886117</v>
      </c>
      <c r="E386" s="550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2"/>
      <c r="R386" s="552"/>
      <c r="S386" s="552"/>
      <c r="T386" s="553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customHeight="1" x14ac:dyDescent="0.25">
      <c r="A387" s="60" t="s">
        <v>598</v>
      </c>
      <c r="B387" s="60" t="s">
        <v>599</v>
      </c>
      <c r="C387" s="34">
        <v>4301031402</v>
      </c>
      <c r="D387" s="550">
        <v>4680115886124</v>
      </c>
      <c r="E387" s="550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2"/>
      <c r="R387" s="552"/>
      <c r="S387" s="552"/>
      <c r="T387" s="553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customHeight="1" x14ac:dyDescent="0.25">
      <c r="A388" s="60" t="s">
        <v>601</v>
      </c>
      <c r="B388" s="60" t="s">
        <v>602</v>
      </c>
      <c r="C388" s="34">
        <v>4301031366</v>
      </c>
      <c r="D388" s="550">
        <v>4680115883147</v>
      </c>
      <c r="E388" s="550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2"/>
      <c r="R388" s="552"/>
      <c r="S388" s="552"/>
      <c r="T388" s="553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customHeight="1" x14ac:dyDescent="0.25">
      <c r="A389" s="60" t="s">
        <v>603</v>
      </c>
      <c r="B389" s="60" t="s">
        <v>604</v>
      </c>
      <c r="C389" s="34">
        <v>4301031362</v>
      </c>
      <c r="D389" s="550">
        <v>4607091384338</v>
      </c>
      <c r="E389" s="550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6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2"/>
      <c r="R389" s="552"/>
      <c r="S389" s="552"/>
      <c r="T389" s="553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customHeight="1" x14ac:dyDescent="0.25">
      <c r="A390" s="60" t="s">
        <v>605</v>
      </c>
      <c r="B390" s="60" t="s">
        <v>606</v>
      </c>
      <c r="C390" s="34">
        <v>4301031361</v>
      </c>
      <c r="D390" s="550">
        <v>4607091389524</v>
      </c>
      <c r="E390" s="550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2"/>
      <c r="R390" s="552"/>
      <c r="S390" s="552"/>
      <c r="T390" s="553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customHeight="1" x14ac:dyDescent="0.25">
      <c r="A391" s="60" t="s">
        <v>608</v>
      </c>
      <c r="B391" s="60" t="s">
        <v>609</v>
      </c>
      <c r="C391" s="34">
        <v>4301031364</v>
      </c>
      <c r="D391" s="550">
        <v>4680115883161</v>
      </c>
      <c r="E391" s="550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6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2"/>
      <c r="R391" s="552"/>
      <c r="S391" s="552"/>
      <c r="T391" s="553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customHeight="1" x14ac:dyDescent="0.25">
      <c r="A392" s="60" t="s">
        <v>611</v>
      </c>
      <c r="B392" s="60" t="s">
        <v>612</v>
      </c>
      <c r="C392" s="34">
        <v>4301031358</v>
      </c>
      <c r="D392" s="550">
        <v>4607091389531</v>
      </c>
      <c r="E392" s="550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6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2"/>
      <c r="R392" s="552"/>
      <c r="S392" s="552"/>
      <c r="T392" s="55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customHeight="1" x14ac:dyDescent="0.25">
      <c r="A393" s="60" t="s">
        <v>614</v>
      </c>
      <c r="B393" s="60" t="s">
        <v>615</v>
      </c>
      <c r="C393" s="34">
        <v>4301031360</v>
      </c>
      <c r="D393" s="550">
        <v>4607091384345</v>
      </c>
      <c r="E393" s="550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2"/>
      <c r="R393" s="552"/>
      <c r="S393" s="552"/>
      <c r="T393" s="55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x14ac:dyDescent="0.2">
      <c r="A394" s="55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8"/>
      <c r="P394" s="554" t="s">
        <v>40</v>
      </c>
      <c r="Q394" s="555"/>
      <c r="R394" s="555"/>
      <c r="S394" s="555"/>
      <c r="T394" s="555"/>
      <c r="U394" s="555"/>
      <c r="V394" s="556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8"/>
      <c r="P395" s="554" t="s">
        <v>40</v>
      </c>
      <c r="Q395" s="555"/>
      <c r="R395" s="555"/>
      <c r="S395" s="555"/>
      <c r="T395" s="555"/>
      <c r="U395" s="555"/>
      <c r="V395" s="556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customHeight="1" x14ac:dyDescent="0.25">
      <c r="A396" s="549" t="s">
        <v>82</v>
      </c>
      <c r="B396" s="549"/>
      <c r="C396" s="549"/>
      <c r="D396" s="549"/>
      <c r="E396" s="549"/>
      <c r="F396" s="549"/>
      <c r="G396" s="549"/>
      <c r="H396" s="549"/>
      <c r="I396" s="549"/>
      <c r="J396" s="549"/>
      <c r="K396" s="549"/>
      <c r="L396" s="549"/>
      <c r="M396" s="549"/>
      <c r="N396" s="549"/>
      <c r="O396" s="549"/>
      <c r="P396" s="549"/>
      <c r="Q396" s="549"/>
      <c r="R396" s="549"/>
      <c r="S396" s="549"/>
      <c r="T396" s="549"/>
      <c r="U396" s="549"/>
      <c r="V396" s="549"/>
      <c r="W396" s="549"/>
      <c r="X396" s="549"/>
      <c r="Y396" s="549"/>
      <c r="Z396" s="549"/>
      <c r="AA396" s="63"/>
      <c r="AB396" s="63"/>
      <c r="AC396" s="63"/>
    </row>
    <row r="397" spans="1:68" ht="27" customHeight="1" x14ac:dyDescent="0.25">
      <c r="A397" s="60" t="s">
        <v>616</v>
      </c>
      <c r="B397" s="60" t="s">
        <v>617</v>
      </c>
      <c r="C397" s="34">
        <v>4301051284</v>
      </c>
      <c r="D397" s="550">
        <v>4607091384352</v>
      </c>
      <c r="E397" s="550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2"/>
      <c r="R397" s="552"/>
      <c r="S397" s="552"/>
      <c r="T397" s="553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619</v>
      </c>
      <c r="B398" s="60" t="s">
        <v>620</v>
      </c>
      <c r="C398" s="34">
        <v>4301051431</v>
      </c>
      <c r="D398" s="550">
        <v>4607091389654</v>
      </c>
      <c r="E398" s="550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2"/>
      <c r="R398" s="552"/>
      <c r="S398" s="552"/>
      <c r="T398" s="55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8"/>
      <c r="P399" s="554" t="s">
        <v>40</v>
      </c>
      <c r="Q399" s="555"/>
      <c r="R399" s="555"/>
      <c r="S399" s="555"/>
      <c r="T399" s="555"/>
      <c r="U399" s="555"/>
      <c r="V399" s="556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8"/>
      <c r="P400" s="554" t="s">
        <v>40</v>
      </c>
      <c r="Q400" s="555"/>
      <c r="R400" s="555"/>
      <c r="S400" s="555"/>
      <c r="T400" s="555"/>
      <c r="U400" s="555"/>
      <c r="V400" s="556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customHeight="1" x14ac:dyDescent="0.25">
      <c r="A401" s="565" t="s">
        <v>622</v>
      </c>
      <c r="B401" s="565"/>
      <c r="C401" s="565"/>
      <c r="D401" s="565"/>
      <c r="E401" s="565"/>
      <c r="F401" s="565"/>
      <c r="G401" s="565"/>
      <c r="H401" s="565"/>
      <c r="I401" s="565"/>
      <c r="J401" s="565"/>
      <c r="K401" s="565"/>
      <c r="L401" s="565"/>
      <c r="M401" s="565"/>
      <c r="N401" s="565"/>
      <c r="O401" s="565"/>
      <c r="P401" s="565"/>
      <c r="Q401" s="565"/>
      <c r="R401" s="565"/>
      <c r="S401" s="565"/>
      <c r="T401" s="565"/>
      <c r="U401" s="565"/>
      <c r="V401" s="565"/>
      <c r="W401" s="565"/>
      <c r="X401" s="565"/>
      <c r="Y401" s="565"/>
      <c r="Z401" s="565"/>
      <c r="AA401" s="62"/>
      <c r="AB401" s="62"/>
      <c r="AC401" s="62"/>
    </row>
    <row r="402" spans="1:68" ht="14.25" customHeight="1" x14ac:dyDescent="0.25">
      <c r="A402" s="549" t="s">
        <v>141</v>
      </c>
      <c r="B402" s="549"/>
      <c r="C402" s="549"/>
      <c r="D402" s="549"/>
      <c r="E402" s="549"/>
      <c r="F402" s="549"/>
      <c r="G402" s="549"/>
      <c r="H402" s="549"/>
      <c r="I402" s="549"/>
      <c r="J402" s="549"/>
      <c r="K402" s="549"/>
      <c r="L402" s="549"/>
      <c r="M402" s="549"/>
      <c r="N402" s="549"/>
      <c r="O402" s="549"/>
      <c r="P402" s="549"/>
      <c r="Q402" s="549"/>
      <c r="R402" s="549"/>
      <c r="S402" s="549"/>
      <c r="T402" s="549"/>
      <c r="U402" s="549"/>
      <c r="V402" s="549"/>
      <c r="W402" s="549"/>
      <c r="X402" s="549"/>
      <c r="Y402" s="549"/>
      <c r="Z402" s="549"/>
      <c r="AA402" s="63"/>
      <c r="AB402" s="63"/>
      <c r="AC402" s="63"/>
    </row>
    <row r="403" spans="1:68" ht="27" customHeight="1" x14ac:dyDescent="0.25">
      <c r="A403" s="60" t="s">
        <v>623</v>
      </c>
      <c r="B403" s="60" t="s">
        <v>624</v>
      </c>
      <c r="C403" s="34">
        <v>4301020319</v>
      </c>
      <c r="D403" s="550">
        <v>4680115885240</v>
      </c>
      <c r="E403" s="550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2"/>
      <c r="R403" s="552"/>
      <c r="S403" s="552"/>
      <c r="T403" s="553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8"/>
      <c r="P404" s="554" t="s">
        <v>40</v>
      </c>
      <c r="Q404" s="555"/>
      <c r="R404" s="555"/>
      <c r="S404" s="555"/>
      <c r="T404" s="555"/>
      <c r="U404" s="555"/>
      <c r="V404" s="556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8"/>
      <c r="P405" s="554" t="s">
        <v>40</v>
      </c>
      <c r="Q405" s="555"/>
      <c r="R405" s="555"/>
      <c r="S405" s="555"/>
      <c r="T405" s="555"/>
      <c r="U405" s="555"/>
      <c r="V405" s="556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customHeight="1" x14ac:dyDescent="0.25">
      <c r="A406" s="549" t="s">
        <v>76</v>
      </c>
      <c r="B406" s="549"/>
      <c r="C406" s="549"/>
      <c r="D406" s="549"/>
      <c r="E406" s="549"/>
      <c r="F406" s="549"/>
      <c r="G406" s="549"/>
      <c r="H406" s="549"/>
      <c r="I406" s="549"/>
      <c r="J406" s="549"/>
      <c r="K406" s="549"/>
      <c r="L406" s="549"/>
      <c r="M406" s="549"/>
      <c r="N406" s="549"/>
      <c r="O406" s="549"/>
      <c r="P406" s="549"/>
      <c r="Q406" s="549"/>
      <c r="R406" s="549"/>
      <c r="S406" s="549"/>
      <c r="T406" s="549"/>
      <c r="U406" s="549"/>
      <c r="V406" s="549"/>
      <c r="W406" s="549"/>
      <c r="X406" s="549"/>
      <c r="Y406" s="549"/>
      <c r="Z406" s="549"/>
      <c r="AA406" s="63"/>
      <c r="AB406" s="63"/>
      <c r="AC406" s="63"/>
    </row>
    <row r="407" spans="1:68" ht="27" customHeight="1" x14ac:dyDescent="0.25">
      <c r="A407" s="60" t="s">
        <v>626</v>
      </c>
      <c r="B407" s="60" t="s">
        <v>627</v>
      </c>
      <c r="C407" s="34">
        <v>4301031403</v>
      </c>
      <c r="D407" s="550">
        <v>4680115886094</v>
      </c>
      <c r="E407" s="550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6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2"/>
      <c r="R407" s="552"/>
      <c r="S407" s="552"/>
      <c r="T407" s="553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629</v>
      </c>
      <c r="B408" s="60" t="s">
        <v>630</v>
      </c>
      <c r="C408" s="34">
        <v>4301031363</v>
      </c>
      <c r="D408" s="550">
        <v>4607091389425</v>
      </c>
      <c r="E408" s="550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60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2"/>
      <c r="R408" s="552"/>
      <c r="S408" s="552"/>
      <c r="T408" s="553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632</v>
      </c>
      <c r="B409" s="60" t="s">
        <v>633</v>
      </c>
      <c r="C409" s="34">
        <v>4301031373</v>
      </c>
      <c r="D409" s="550">
        <v>4680115880771</v>
      </c>
      <c r="E409" s="550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2"/>
      <c r="R409" s="552"/>
      <c r="S409" s="552"/>
      <c r="T409" s="553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customHeight="1" x14ac:dyDescent="0.25">
      <c r="A410" s="60" t="s">
        <v>635</v>
      </c>
      <c r="B410" s="60" t="s">
        <v>636</v>
      </c>
      <c r="C410" s="34">
        <v>4301031359</v>
      </c>
      <c r="D410" s="550">
        <v>4607091389500</v>
      </c>
      <c r="E410" s="550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2"/>
      <c r="R410" s="552"/>
      <c r="S410" s="552"/>
      <c r="T410" s="55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54" t="s">
        <v>40</v>
      </c>
      <c r="Q411" s="555"/>
      <c r="R411" s="555"/>
      <c r="S411" s="555"/>
      <c r="T411" s="555"/>
      <c r="U411" s="555"/>
      <c r="V411" s="556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54" t="s">
        <v>40</v>
      </c>
      <c r="Q412" s="555"/>
      <c r="R412" s="555"/>
      <c r="S412" s="555"/>
      <c r="T412" s="555"/>
      <c r="U412" s="555"/>
      <c r="V412" s="556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customHeight="1" x14ac:dyDescent="0.25">
      <c r="A413" s="565" t="s">
        <v>637</v>
      </c>
      <c r="B413" s="565"/>
      <c r="C413" s="565"/>
      <c r="D413" s="565"/>
      <c r="E413" s="565"/>
      <c r="F413" s="565"/>
      <c r="G413" s="565"/>
      <c r="H413" s="565"/>
      <c r="I413" s="565"/>
      <c r="J413" s="565"/>
      <c r="K413" s="565"/>
      <c r="L413" s="565"/>
      <c r="M413" s="565"/>
      <c r="N413" s="565"/>
      <c r="O413" s="565"/>
      <c r="P413" s="565"/>
      <c r="Q413" s="565"/>
      <c r="R413" s="565"/>
      <c r="S413" s="565"/>
      <c r="T413" s="565"/>
      <c r="U413" s="565"/>
      <c r="V413" s="565"/>
      <c r="W413" s="565"/>
      <c r="X413" s="565"/>
      <c r="Y413" s="565"/>
      <c r="Z413" s="565"/>
      <c r="AA413" s="62"/>
      <c r="AB413" s="62"/>
      <c r="AC413" s="62"/>
    </row>
    <row r="414" spans="1:68" ht="14.25" customHeight="1" x14ac:dyDescent="0.25">
      <c r="A414" s="549" t="s">
        <v>76</v>
      </c>
      <c r="B414" s="549"/>
      <c r="C414" s="549"/>
      <c r="D414" s="549"/>
      <c r="E414" s="549"/>
      <c r="F414" s="549"/>
      <c r="G414" s="549"/>
      <c r="H414" s="549"/>
      <c r="I414" s="549"/>
      <c r="J414" s="549"/>
      <c r="K414" s="549"/>
      <c r="L414" s="549"/>
      <c r="M414" s="549"/>
      <c r="N414" s="549"/>
      <c r="O414" s="549"/>
      <c r="P414" s="549"/>
      <c r="Q414" s="549"/>
      <c r="R414" s="549"/>
      <c r="S414" s="549"/>
      <c r="T414" s="549"/>
      <c r="U414" s="549"/>
      <c r="V414" s="549"/>
      <c r="W414" s="549"/>
      <c r="X414" s="549"/>
      <c r="Y414" s="549"/>
      <c r="Z414" s="549"/>
      <c r="AA414" s="63"/>
      <c r="AB414" s="63"/>
      <c r="AC414" s="63"/>
    </row>
    <row r="415" spans="1:68" ht="27" customHeight="1" x14ac:dyDescent="0.25">
      <c r="A415" s="60" t="s">
        <v>638</v>
      </c>
      <c r="B415" s="60" t="s">
        <v>639</v>
      </c>
      <c r="C415" s="34">
        <v>4301031347</v>
      </c>
      <c r="D415" s="550">
        <v>4680115885110</v>
      </c>
      <c r="E415" s="550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2"/>
      <c r="R415" s="552"/>
      <c r="S415" s="552"/>
      <c r="T415" s="55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8"/>
      <c r="P416" s="554" t="s">
        <v>40</v>
      </c>
      <c r="Q416" s="555"/>
      <c r="R416" s="555"/>
      <c r="S416" s="555"/>
      <c r="T416" s="555"/>
      <c r="U416" s="555"/>
      <c r="V416" s="556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8"/>
      <c r="P417" s="554" t="s">
        <v>40</v>
      </c>
      <c r="Q417" s="555"/>
      <c r="R417" s="555"/>
      <c r="S417" s="555"/>
      <c r="T417" s="555"/>
      <c r="U417" s="555"/>
      <c r="V417" s="556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customHeight="1" x14ac:dyDescent="0.2">
      <c r="A418" s="574" t="s">
        <v>641</v>
      </c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  <c r="Z418" s="574"/>
      <c r="AA418" s="52"/>
      <c r="AB418" s="52"/>
      <c r="AC418" s="52"/>
    </row>
    <row r="419" spans="1:68" ht="16.5" customHeight="1" x14ac:dyDescent="0.25">
      <c r="A419" s="565" t="s">
        <v>641</v>
      </c>
      <c r="B419" s="565"/>
      <c r="C419" s="565"/>
      <c r="D419" s="565"/>
      <c r="E419" s="565"/>
      <c r="F419" s="565"/>
      <c r="G419" s="565"/>
      <c r="H419" s="565"/>
      <c r="I419" s="565"/>
      <c r="J419" s="565"/>
      <c r="K419" s="565"/>
      <c r="L419" s="565"/>
      <c r="M419" s="565"/>
      <c r="N419" s="565"/>
      <c r="O419" s="565"/>
      <c r="P419" s="565"/>
      <c r="Q419" s="565"/>
      <c r="R419" s="565"/>
      <c r="S419" s="565"/>
      <c r="T419" s="565"/>
      <c r="U419" s="565"/>
      <c r="V419" s="565"/>
      <c r="W419" s="565"/>
      <c r="X419" s="565"/>
      <c r="Y419" s="565"/>
      <c r="Z419" s="565"/>
      <c r="AA419" s="62"/>
      <c r="AB419" s="62"/>
      <c r="AC419" s="62"/>
    </row>
    <row r="420" spans="1:68" ht="14.25" customHeight="1" x14ac:dyDescent="0.25">
      <c r="A420" s="549" t="s">
        <v>108</v>
      </c>
      <c r="B420" s="549"/>
      <c r="C420" s="549"/>
      <c r="D420" s="549"/>
      <c r="E420" s="549"/>
      <c r="F420" s="549"/>
      <c r="G420" s="549"/>
      <c r="H420" s="549"/>
      <c r="I420" s="549"/>
      <c r="J420" s="549"/>
      <c r="K420" s="549"/>
      <c r="L420" s="549"/>
      <c r="M420" s="549"/>
      <c r="N420" s="549"/>
      <c r="O420" s="549"/>
      <c r="P420" s="549"/>
      <c r="Q420" s="549"/>
      <c r="R420" s="549"/>
      <c r="S420" s="549"/>
      <c r="T420" s="549"/>
      <c r="U420" s="549"/>
      <c r="V420" s="549"/>
      <c r="W420" s="549"/>
      <c r="X420" s="549"/>
      <c r="Y420" s="549"/>
      <c r="Z420" s="549"/>
      <c r="AA420" s="63"/>
      <c r="AB420" s="63"/>
      <c r="AC420" s="63"/>
    </row>
    <row r="421" spans="1:68" ht="27" customHeight="1" x14ac:dyDescent="0.25">
      <c r="A421" s="60" t="s">
        <v>642</v>
      </c>
      <c r="B421" s="60" t="s">
        <v>643</v>
      </c>
      <c r="C421" s="34">
        <v>4301011795</v>
      </c>
      <c r="D421" s="550">
        <v>4607091389067</v>
      </c>
      <c r="E421" s="550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2"/>
      <c r="R421" s="552"/>
      <c r="S421" s="552"/>
      <c r="T421" s="553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customHeight="1" x14ac:dyDescent="0.25">
      <c r="A422" s="60" t="s">
        <v>644</v>
      </c>
      <c r="B422" s="60" t="s">
        <v>645</v>
      </c>
      <c r="C422" s="34">
        <v>4301011961</v>
      </c>
      <c r="D422" s="550">
        <v>4680115885271</v>
      </c>
      <c r="E422" s="550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5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2"/>
      <c r="R422" s="552"/>
      <c r="S422" s="552"/>
      <c r="T422" s="553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550">
        <v>4680115885226</v>
      </c>
      <c r="E423" s="550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5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2"/>
      <c r="R423" s="552"/>
      <c r="S423" s="552"/>
      <c r="T423" s="553"/>
      <c r="U423" s="37" t="s">
        <v>45</v>
      </c>
      <c r="V423" s="37" t="s">
        <v>45</v>
      </c>
      <c r="W423" s="38" t="s">
        <v>0</v>
      </c>
      <c r="X423" s="56">
        <v>211.2</v>
      </c>
      <c r="Y423" s="53">
        <f t="shared" si="42"/>
        <v>211.20000000000002</v>
      </c>
      <c r="Z423" s="39">
        <f t="shared" si="43"/>
        <v>0.47839999999999999</v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225.59999999999997</v>
      </c>
      <c r="BN423" s="75">
        <f t="shared" si="45"/>
        <v>225.60000000000002</v>
      </c>
      <c r="BO423" s="75">
        <f t="shared" si="46"/>
        <v>0.38461538461538458</v>
      </c>
      <c r="BP423" s="75">
        <f t="shared" si="47"/>
        <v>0.38461538461538464</v>
      </c>
    </row>
    <row r="424" spans="1:68" ht="27" customHeight="1" x14ac:dyDescent="0.25">
      <c r="A424" s="60" t="s">
        <v>650</v>
      </c>
      <c r="B424" s="60" t="s">
        <v>651</v>
      </c>
      <c r="C424" s="34">
        <v>4301012145</v>
      </c>
      <c r="D424" s="550">
        <v>4607091383522</v>
      </c>
      <c r="E424" s="550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5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customHeight="1" x14ac:dyDescent="0.25">
      <c r="A425" s="60" t="s">
        <v>653</v>
      </c>
      <c r="B425" s="60" t="s">
        <v>654</v>
      </c>
      <c r="C425" s="34">
        <v>4301011774</v>
      </c>
      <c r="D425" s="550">
        <v>4680115884502</v>
      </c>
      <c r="E425" s="550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5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2"/>
      <c r="R425" s="552"/>
      <c r="S425" s="552"/>
      <c r="T425" s="553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550">
        <v>4607091389104</v>
      </c>
      <c r="E426" s="550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5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2"/>
      <c r="R426" s="552"/>
      <c r="S426" s="552"/>
      <c r="T426" s="553"/>
      <c r="U426" s="37" t="s">
        <v>45</v>
      </c>
      <c r="V426" s="37" t="s">
        <v>45</v>
      </c>
      <c r="W426" s="38" t="s">
        <v>0</v>
      </c>
      <c r="X426" s="56">
        <v>0</v>
      </c>
      <c r="Y426" s="53">
        <f t="shared" si="42"/>
        <v>0</v>
      </c>
      <c r="Z426" s="39" t="str">
        <f t="shared" si="43"/>
        <v/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0</v>
      </c>
      <c r="BN426" s="75">
        <f t="shared" si="45"/>
        <v>0</v>
      </c>
      <c r="BO426" s="75">
        <f t="shared" si="46"/>
        <v>0</v>
      </c>
      <c r="BP426" s="75">
        <f t="shared" si="47"/>
        <v>0</v>
      </c>
    </row>
    <row r="427" spans="1:68" ht="27" customHeight="1" x14ac:dyDescent="0.25">
      <c r="A427" s="60" t="s">
        <v>659</v>
      </c>
      <c r="B427" s="60" t="s">
        <v>660</v>
      </c>
      <c r="C427" s="34">
        <v>4301012125</v>
      </c>
      <c r="D427" s="550">
        <v>4680115886391</v>
      </c>
      <c r="E427" s="550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5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2"/>
      <c r="R427" s="552"/>
      <c r="S427" s="552"/>
      <c r="T427" s="55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customHeight="1" x14ac:dyDescent="0.25">
      <c r="A428" s="60" t="s">
        <v>661</v>
      </c>
      <c r="B428" s="60" t="s">
        <v>662</v>
      </c>
      <c r="C428" s="34">
        <v>4301012035</v>
      </c>
      <c r="D428" s="550">
        <v>4680115880603</v>
      </c>
      <c r="E428" s="550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59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2"/>
      <c r="R428" s="552"/>
      <c r="S428" s="552"/>
      <c r="T428" s="55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customHeight="1" x14ac:dyDescent="0.25">
      <c r="A429" s="60" t="s">
        <v>663</v>
      </c>
      <c r="B429" s="60" t="s">
        <v>664</v>
      </c>
      <c r="C429" s="34">
        <v>4301012036</v>
      </c>
      <c r="D429" s="550">
        <v>4680115882782</v>
      </c>
      <c r="E429" s="550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59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2"/>
      <c r="R429" s="552"/>
      <c r="S429" s="552"/>
      <c r="T429" s="55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customHeight="1" x14ac:dyDescent="0.25">
      <c r="A430" s="60" t="s">
        <v>665</v>
      </c>
      <c r="B430" s="60" t="s">
        <v>666</v>
      </c>
      <c r="C430" s="34">
        <v>4301012050</v>
      </c>
      <c r="D430" s="550">
        <v>4680115885479</v>
      </c>
      <c r="E430" s="550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2"/>
      <c r="R430" s="552"/>
      <c r="S430" s="552"/>
      <c r="T430" s="55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customHeight="1" x14ac:dyDescent="0.25">
      <c r="A431" s="60" t="s">
        <v>668</v>
      </c>
      <c r="B431" s="60" t="s">
        <v>669</v>
      </c>
      <c r="C431" s="34">
        <v>4301012034</v>
      </c>
      <c r="D431" s="550">
        <v>4607091389982</v>
      </c>
      <c r="E431" s="550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5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2"/>
      <c r="R431" s="552"/>
      <c r="S431" s="552"/>
      <c r="T431" s="55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557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8"/>
      <c r="P432" s="554" t="s">
        <v>40</v>
      </c>
      <c r="Q432" s="555"/>
      <c r="R432" s="555"/>
      <c r="S432" s="555"/>
      <c r="T432" s="555"/>
      <c r="U432" s="555"/>
      <c r="V432" s="556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39.999999999999993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40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0.47839999999999999</v>
      </c>
      <c r="AA432" s="64"/>
      <c r="AB432" s="64"/>
      <c r="AC432" s="64"/>
    </row>
    <row r="433" spans="1:68" x14ac:dyDescent="0.2">
      <c r="A433" s="55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8"/>
      <c r="P433" s="554" t="s">
        <v>40</v>
      </c>
      <c r="Q433" s="555"/>
      <c r="R433" s="555"/>
      <c r="S433" s="555"/>
      <c r="T433" s="555"/>
      <c r="U433" s="555"/>
      <c r="V433" s="556"/>
      <c r="W433" s="40" t="s">
        <v>0</v>
      </c>
      <c r="X433" s="41">
        <f>IFERROR(SUM(X421:X431),"0")</f>
        <v>211.2</v>
      </c>
      <c r="Y433" s="41">
        <f>IFERROR(SUM(Y421:Y431),"0")</f>
        <v>211.20000000000002</v>
      </c>
      <c r="Z433" s="40"/>
      <c r="AA433" s="64"/>
      <c r="AB433" s="64"/>
      <c r="AC433" s="64"/>
    </row>
    <row r="434" spans="1:68" ht="14.25" customHeight="1" x14ac:dyDescent="0.25">
      <c r="A434" s="549" t="s">
        <v>141</v>
      </c>
      <c r="B434" s="549"/>
      <c r="C434" s="549"/>
      <c r="D434" s="549"/>
      <c r="E434" s="549"/>
      <c r="F434" s="549"/>
      <c r="G434" s="549"/>
      <c r="H434" s="549"/>
      <c r="I434" s="549"/>
      <c r="J434" s="549"/>
      <c r="K434" s="549"/>
      <c r="L434" s="549"/>
      <c r="M434" s="549"/>
      <c r="N434" s="549"/>
      <c r="O434" s="549"/>
      <c r="P434" s="549"/>
      <c r="Q434" s="549"/>
      <c r="R434" s="549"/>
      <c r="S434" s="549"/>
      <c r="T434" s="549"/>
      <c r="U434" s="549"/>
      <c r="V434" s="549"/>
      <c r="W434" s="549"/>
      <c r="X434" s="549"/>
      <c r="Y434" s="549"/>
      <c r="Z434" s="549"/>
      <c r="AA434" s="63"/>
      <c r="AB434" s="63"/>
      <c r="AC434" s="63"/>
    </row>
    <row r="435" spans="1:68" ht="16.5" customHeight="1" x14ac:dyDescent="0.25">
      <c r="A435" s="60" t="s">
        <v>670</v>
      </c>
      <c r="B435" s="60" t="s">
        <v>671</v>
      </c>
      <c r="C435" s="34">
        <v>4301020334</v>
      </c>
      <c r="D435" s="550">
        <v>4607091388930</v>
      </c>
      <c r="E435" s="550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2"/>
      <c r="R435" s="552"/>
      <c r="S435" s="552"/>
      <c r="T435" s="553"/>
      <c r="U435" s="37" t="s">
        <v>45</v>
      </c>
      <c r="V435" s="37" t="s">
        <v>45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customHeight="1" x14ac:dyDescent="0.25">
      <c r="A436" s="60" t="s">
        <v>673</v>
      </c>
      <c r="B436" s="60" t="s">
        <v>674</v>
      </c>
      <c r="C436" s="34">
        <v>4301020384</v>
      </c>
      <c r="D436" s="550">
        <v>4680115886407</v>
      </c>
      <c r="E436" s="550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5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2"/>
      <c r="R436" s="552"/>
      <c r="S436" s="552"/>
      <c r="T436" s="553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675</v>
      </c>
      <c r="B437" s="60" t="s">
        <v>676</v>
      </c>
      <c r="C437" s="34">
        <v>4301020385</v>
      </c>
      <c r="D437" s="550">
        <v>4680115880054</v>
      </c>
      <c r="E437" s="550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5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2"/>
      <c r="R437" s="552"/>
      <c r="S437" s="552"/>
      <c r="T437" s="553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8"/>
      <c r="P438" s="554" t="s">
        <v>40</v>
      </c>
      <c r="Q438" s="555"/>
      <c r="R438" s="555"/>
      <c r="S438" s="555"/>
      <c r="T438" s="555"/>
      <c r="U438" s="555"/>
      <c r="V438" s="556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8"/>
      <c r="P439" s="554" t="s">
        <v>40</v>
      </c>
      <c r="Q439" s="555"/>
      <c r="R439" s="555"/>
      <c r="S439" s="555"/>
      <c r="T439" s="555"/>
      <c r="U439" s="555"/>
      <c r="V439" s="556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customHeight="1" x14ac:dyDescent="0.25">
      <c r="A440" s="549" t="s">
        <v>76</v>
      </c>
      <c r="B440" s="549"/>
      <c r="C440" s="549"/>
      <c r="D440" s="549"/>
      <c r="E440" s="549"/>
      <c r="F440" s="549"/>
      <c r="G440" s="549"/>
      <c r="H440" s="549"/>
      <c r="I440" s="549"/>
      <c r="J440" s="549"/>
      <c r="K440" s="549"/>
      <c r="L440" s="549"/>
      <c r="M440" s="549"/>
      <c r="N440" s="549"/>
      <c r="O440" s="549"/>
      <c r="P440" s="549"/>
      <c r="Q440" s="549"/>
      <c r="R440" s="549"/>
      <c r="S440" s="549"/>
      <c r="T440" s="549"/>
      <c r="U440" s="549"/>
      <c r="V440" s="549"/>
      <c r="W440" s="549"/>
      <c r="X440" s="549"/>
      <c r="Y440" s="549"/>
      <c r="Z440" s="549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550">
        <v>4680115883116</v>
      </c>
      <c r="E441" s="550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5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2"/>
      <c r="R441" s="552"/>
      <c r="S441" s="552"/>
      <c r="T441" s="55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ref="Y441:Y446" si="48">IFERROR(IF(X441="",0,CEILING((X441/$H441),1)*$H441),"")</f>
        <v>0</v>
      </c>
      <c r="Z441" s="39" t="str">
        <f>IFERROR(IF(Y441=0,"",ROUNDUP(Y441/H441,0)*0.01196),"")</f>
        <v/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0</v>
      </c>
      <c r="BN441" s="75">
        <f t="shared" ref="BN441:BN446" si="50">IFERROR(Y441*I441/H441,"0")</f>
        <v>0</v>
      </c>
      <c r="BO441" s="75">
        <f t="shared" ref="BO441:BO446" si="51">IFERROR(1/J441*(X441/H441),"0")</f>
        <v>0</v>
      </c>
      <c r="BP441" s="75">
        <f t="shared" ref="BP441:BP446" si="52">IFERROR(1/J441*(Y441/H441),"0")</f>
        <v>0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550">
        <v>4680115883093</v>
      </c>
      <c r="E442" s="550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5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2"/>
      <c r="R442" s="552"/>
      <c r="S442" s="552"/>
      <c r="T442" s="553"/>
      <c r="U442" s="37" t="s">
        <v>45</v>
      </c>
      <c r="V442" s="37" t="s">
        <v>45</v>
      </c>
      <c r="W442" s="38" t="s">
        <v>0</v>
      </c>
      <c r="X442" s="56">
        <v>84.48</v>
      </c>
      <c r="Y442" s="53">
        <f t="shared" si="48"/>
        <v>84.48</v>
      </c>
      <c r="Z442" s="39">
        <f>IFERROR(IF(Y442=0,"",ROUNDUP(Y442/H442,0)*0.01196),"")</f>
        <v>0.19136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90.24</v>
      </c>
      <c r="BN442" s="75">
        <f t="shared" si="50"/>
        <v>90.24</v>
      </c>
      <c r="BO442" s="75">
        <f t="shared" si="51"/>
        <v>0.15384615384615385</v>
      </c>
      <c r="BP442" s="75">
        <f t="shared" si="52"/>
        <v>0.15384615384615385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550">
        <v>4680115883109</v>
      </c>
      <c r="E443" s="550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5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2"/>
      <c r="R443" s="552"/>
      <c r="S443" s="552"/>
      <c r="T443" s="553"/>
      <c r="U443" s="37" t="s">
        <v>45</v>
      </c>
      <c r="V443" s="37" t="s">
        <v>45</v>
      </c>
      <c r="W443" s="38" t="s">
        <v>0</v>
      </c>
      <c r="X443" s="56">
        <v>84.48</v>
      </c>
      <c r="Y443" s="53">
        <f t="shared" si="48"/>
        <v>84.48</v>
      </c>
      <c r="Z443" s="39">
        <f>IFERROR(IF(Y443=0,"",ROUNDUP(Y443/H443,0)*0.01196),"")</f>
        <v>0.19136</v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90.24</v>
      </c>
      <c r="BN443" s="75">
        <f t="shared" si="50"/>
        <v>90.24</v>
      </c>
      <c r="BO443" s="75">
        <f t="shared" si="51"/>
        <v>0.15384615384615385</v>
      </c>
      <c r="BP443" s="75">
        <f t="shared" si="52"/>
        <v>0.15384615384615385</v>
      </c>
    </row>
    <row r="444" spans="1:68" ht="27" customHeight="1" x14ac:dyDescent="0.25">
      <c r="A444" s="60" t="s">
        <v>686</v>
      </c>
      <c r="B444" s="60" t="s">
        <v>687</v>
      </c>
      <c r="C444" s="34">
        <v>4301031419</v>
      </c>
      <c r="D444" s="550">
        <v>4680115882072</v>
      </c>
      <c r="E444" s="550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2"/>
      <c r="R444" s="552"/>
      <c r="S444" s="552"/>
      <c r="T444" s="553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customHeight="1" x14ac:dyDescent="0.25">
      <c r="A445" s="60" t="s">
        <v>688</v>
      </c>
      <c r="B445" s="60" t="s">
        <v>689</v>
      </c>
      <c r="C445" s="34">
        <v>4301031418</v>
      </c>
      <c r="D445" s="550">
        <v>4680115882102</v>
      </c>
      <c r="E445" s="550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5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2"/>
      <c r="R445" s="552"/>
      <c r="S445" s="552"/>
      <c r="T445" s="553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customHeight="1" x14ac:dyDescent="0.25">
      <c r="A446" s="60" t="s">
        <v>690</v>
      </c>
      <c r="B446" s="60" t="s">
        <v>691</v>
      </c>
      <c r="C446" s="34">
        <v>4301031417</v>
      </c>
      <c r="D446" s="550">
        <v>4680115882096</v>
      </c>
      <c r="E446" s="550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5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2"/>
      <c r="R446" s="552"/>
      <c r="S446" s="552"/>
      <c r="T446" s="553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54" t="s">
        <v>40</v>
      </c>
      <c r="Q447" s="555"/>
      <c r="R447" s="555"/>
      <c r="S447" s="555"/>
      <c r="T447" s="555"/>
      <c r="U447" s="555"/>
      <c r="V447" s="556"/>
      <c r="W447" s="40" t="s">
        <v>39</v>
      </c>
      <c r="X447" s="41">
        <f>IFERROR(X441/H441,"0")+IFERROR(X442/H442,"0")+IFERROR(X443/H443,"0")+IFERROR(X444/H444,"0")+IFERROR(X445/H445,"0")+IFERROR(X446/H446,"0")</f>
        <v>32</v>
      </c>
      <c r="Y447" s="41">
        <f>IFERROR(Y441/H441,"0")+IFERROR(Y442/H442,"0")+IFERROR(Y443/H443,"0")+IFERROR(Y444/H444,"0")+IFERROR(Y445/H445,"0")+IFERROR(Y446/H446,"0")</f>
        <v>32</v>
      </c>
      <c r="Z447" s="41">
        <f>IFERROR(IF(Z441="",0,Z441),"0")+IFERROR(IF(Z442="",0,Z442),"0")+IFERROR(IF(Z443="",0,Z443),"0")+IFERROR(IF(Z444="",0,Z444),"0")+IFERROR(IF(Z445="",0,Z445),"0")+IFERROR(IF(Z446="",0,Z446),"0")</f>
        <v>0.38272</v>
      </c>
      <c r="AA447" s="64"/>
      <c r="AB447" s="64"/>
      <c r="AC447" s="64"/>
    </row>
    <row r="448" spans="1:68" x14ac:dyDescent="0.2">
      <c r="A448" s="55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8"/>
      <c r="P448" s="554" t="s">
        <v>40</v>
      </c>
      <c r="Q448" s="555"/>
      <c r="R448" s="555"/>
      <c r="S448" s="555"/>
      <c r="T448" s="555"/>
      <c r="U448" s="555"/>
      <c r="V448" s="556"/>
      <c r="W448" s="40" t="s">
        <v>0</v>
      </c>
      <c r="X448" s="41">
        <f>IFERROR(SUM(X441:X446),"0")</f>
        <v>168.96</v>
      </c>
      <c r="Y448" s="41">
        <f>IFERROR(SUM(Y441:Y446),"0")</f>
        <v>168.96</v>
      </c>
      <c r="Z448" s="40"/>
      <c r="AA448" s="64"/>
      <c r="AB448" s="64"/>
      <c r="AC448" s="64"/>
    </row>
    <row r="449" spans="1:68" ht="14.25" customHeight="1" x14ac:dyDescent="0.25">
      <c r="A449" s="549" t="s">
        <v>82</v>
      </c>
      <c r="B449" s="549"/>
      <c r="C449" s="549"/>
      <c r="D449" s="549"/>
      <c r="E449" s="549"/>
      <c r="F449" s="549"/>
      <c r="G449" s="549"/>
      <c r="H449" s="549"/>
      <c r="I449" s="549"/>
      <c r="J449" s="549"/>
      <c r="K449" s="549"/>
      <c r="L449" s="549"/>
      <c r="M449" s="549"/>
      <c r="N449" s="549"/>
      <c r="O449" s="549"/>
      <c r="P449" s="549"/>
      <c r="Q449" s="549"/>
      <c r="R449" s="549"/>
      <c r="S449" s="549"/>
      <c r="T449" s="549"/>
      <c r="U449" s="549"/>
      <c r="V449" s="549"/>
      <c r="W449" s="549"/>
      <c r="X449" s="549"/>
      <c r="Y449" s="549"/>
      <c r="Z449" s="549"/>
      <c r="AA449" s="63"/>
      <c r="AB449" s="63"/>
      <c r="AC449" s="63"/>
    </row>
    <row r="450" spans="1:68" ht="16.5" customHeight="1" x14ac:dyDescent="0.25">
      <c r="A450" s="60" t="s">
        <v>692</v>
      </c>
      <c r="B450" s="60" t="s">
        <v>693</v>
      </c>
      <c r="C450" s="34">
        <v>4301051232</v>
      </c>
      <c r="D450" s="550">
        <v>4607091383409</v>
      </c>
      <c r="E450" s="550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57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2"/>
      <c r="R450" s="552"/>
      <c r="S450" s="552"/>
      <c r="T450" s="553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695</v>
      </c>
      <c r="B451" s="60" t="s">
        <v>696</v>
      </c>
      <c r="C451" s="34">
        <v>4301051233</v>
      </c>
      <c r="D451" s="550">
        <v>4607091383416</v>
      </c>
      <c r="E451" s="550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57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2"/>
      <c r="R451" s="552"/>
      <c r="S451" s="552"/>
      <c r="T451" s="553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698</v>
      </c>
      <c r="B452" s="60" t="s">
        <v>699</v>
      </c>
      <c r="C452" s="34">
        <v>4301051064</v>
      </c>
      <c r="D452" s="550">
        <v>4680115883536</v>
      </c>
      <c r="E452" s="550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2"/>
      <c r="R452" s="552"/>
      <c r="S452" s="552"/>
      <c r="T452" s="55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8"/>
      <c r="P453" s="554" t="s">
        <v>40</v>
      </c>
      <c r="Q453" s="555"/>
      <c r="R453" s="555"/>
      <c r="S453" s="555"/>
      <c r="T453" s="555"/>
      <c r="U453" s="555"/>
      <c r="V453" s="556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8"/>
      <c r="P454" s="554" t="s">
        <v>40</v>
      </c>
      <c r="Q454" s="555"/>
      <c r="R454" s="555"/>
      <c r="S454" s="555"/>
      <c r="T454" s="555"/>
      <c r="U454" s="555"/>
      <c r="V454" s="556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574" t="s">
        <v>701</v>
      </c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  <c r="Z455" s="574"/>
      <c r="AA455" s="52"/>
      <c r="AB455" s="52"/>
      <c r="AC455" s="52"/>
    </row>
    <row r="456" spans="1:68" ht="16.5" customHeight="1" x14ac:dyDescent="0.25">
      <c r="A456" s="565" t="s">
        <v>701</v>
      </c>
      <c r="B456" s="565"/>
      <c r="C456" s="565"/>
      <c r="D456" s="565"/>
      <c r="E456" s="565"/>
      <c r="F456" s="565"/>
      <c r="G456" s="565"/>
      <c r="H456" s="565"/>
      <c r="I456" s="565"/>
      <c r="J456" s="565"/>
      <c r="K456" s="565"/>
      <c r="L456" s="565"/>
      <c r="M456" s="565"/>
      <c r="N456" s="565"/>
      <c r="O456" s="565"/>
      <c r="P456" s="565"/>
      <c r="Q456" s="565"/>
      <c r="R456" s="565"/>
      <c r="S456" s="565"/>
      <c r="T456" s="565"/>
      <c r="U456" s="565"/>
      <c r="V456" s="565"/>
      <c r="W456" s="565"/>
      <c r="X456" s="565"/>
      <c r="Y456" s="565"/>
      <c r="Z456" s="565"/>
      <c r="AA456" s="62"/>
      <c r="AB456" s="62"/>
      <c r="AC456" s="62"/>
    </row>
    <row r="457" spans="1:68" ht="14.25" customHeight="1" x14ac:dyDescent="0.25">
      <c r="A457" s="549" t="s">
        <v>108</v>
      </c>
      <c r="B457" s="549"/>
      <c r="C457" s="549"/>
      <c r="D457" s="549"/>
      <c r="E457" s="549"/>
      <c r="F457" s="549"/>
      <c r="G457" s="549"/>
      <c r="H457" s="549"/>
      <c r="I457" s="549"/>
      <c r="J457" s="549"/>
      <c r="K457" s="549"/>
      <c r="L457" s="549"/>
      <c r="M457" s="549"/>
      <c r="N457" s="549"/>
      <c r="O457" s="549"/>
      <c r="P457" s="549"/>
      <c r="Q457" s="549"/>
      <c r="R457" s="549"/>
      <c r="S457" s="549"/>
      <c r="T457" s="549"/>
      <c r="U457" s="549"/>
      <c r="V457" s="549"/>
      <c r="W457" s="549"/>
      <c r="X457" s="549"/>
      <c r="Y457" s="549"/>
      <c r="Z457" s="549"/>
      <c r="AA457" s="63"/>
      <c r="AB457" s="63"/>
      <c r="AC457" s="63"/>
    </row>
    <row r="458" spans="1:68" ht="27" customHeight="1" x14ac:dyDescent="0.25">
      <c r="A458" s="60" t="s">
        <v>702</v>
      </c>
      <c r="B458" s="60" t="s">
        <v>703</v>
      </c>
      <c r="C458" s="34">
        <v>4301011763</v>
      </c>
      <c r="D458" s="550">
        <v>4640242181011</v>
      </c>
      <c r="E458" s="550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2"/>
      <c r="R458" s="552"/>
      <c r="S458" s="552"/>
      <c r="T458" s="55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705</v>
      </c>
      <c r="B459" s="60" t="s">
        <v>706</v>
      </c>
      <c r="C459" s="34">
        <v>4301011585</v>
      </c>
      <c r="D459" s="550">
        <v>4640242180441</v>
      </c>
      <c r="E459" s="550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2"/>
      <c r="R459" s="552"/>
      <c r="S459" s="552"/>
      <c r="T459" s="55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708</v>
      </c>
      <c r="B460" s="60" t="s">
        <v>709</v>
      </c>
      <c r="C460" s="34">
        <v>4301011584</v>
      </c>
      <c r="D460" s="550">
        <v>4640242180564</v>
      </c>
      <c r="E460" s="550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5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2"/>
      <c r="R460" s="552"/>
      <c r="S460" s="552"/>
      <c r="T460" s="55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711</v>
      </c>
      <c r="B461" s="60" t="s">
        <v>712</v>
      </c>
      <c r="C461" s="34">
        <v>4301011764</v>
      </c>
      <c r="D461" s="550">
        <v>4640242181189</v>
      </c>
      <c r="E461" s="550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2"/>
      <c r="R461" s="552"/>
      <c r="S461" s="552"/>
      <c r="T461" s="55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x14ac:dyDescent="0.2">
      <c r="A462" s="557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8"/>
      <c r="P462" s="554" t="s">
        <v>40</v>
      </c>
      <c r="Q462" s="555"/>
      <c r="R462" s="555"/>
      <c r="S462" s="555"/>
      <c r="T462" s="555"/>
      <c r="U462" s="555"/>
      <c r="V462" s="556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x14ac:dyDescent="0.2">
      <c r="A463" s="55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8"/>
      <c r="P463" s="554" t="s">
        <v>40</v>
      </c>
      <c r="Q463" s="555"/>
      <c r="R463" s="555"/>
      <c r="S463" s="555"/>
      <c r="T463" s="555"/>
      <c r="U463" s="555"/>
      <c r="V463" s="556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customHeight="1" x14ac:dyDescent="0.25">
      <c r="A464" s="549" t="s">
        <v>141</v>
      </c>
      <c r="B464" s="549"/>
      <c r="C464" s="549"/>
      <c r="D464" s="549"/>
      <c r="E464" s="549"/>
      <c r="F464" s="549"/>
      <c r="G464" s="549"/>
      <c r="H464" s="549"/>
      <c r="I464" s="549"/>
      <c r="J464" s="549"/>
      <c r="K464" s="549"/>
      <c r="L464" s="549"/>
      <c r="M464" s="549"/>
      <c r="N464" s="549"/>
      <c r="O464" s="549"/>
      <c r="P464" s="549"/>
      <c r="Q464" s="549"/>
      <c r="R464" s="549"/>
      <c r="S464" s="549"/>
      <c r="T464" s="549"/>
      <c r="U464" s="549"/>
      <c r="V464" s="549"/>
      <c r="W464" s="549"/>
      <c r="X464" s="549"/>
      <c r="Y464" s="549"/>
      <c r="Z464" s="549"/>
      <c r="AA464" s="63"/>
      <c r="AB464" s="63"/>
      <c r="AC464" s="63"/>
    </row>
    <row r="465" spans="1:68" ht="27" customHeight="1" x14ac:dyDescent="0.25">
      <c r="A465" s="60" t="s">
        <v>713</v>
      </c>
      <c r="B465" s="60" t="s">
        <v>714</v>
      </c>
      <c r="C465" s="34">
        <v>4301020400</v>
      </c>
      <c r="D465" s="550">
        <v>4640242180519</v>
      </c>
      <c r="E465" s="550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2"/>
      <c r="R465" s="552"/>
      <c r="S465" s="552"/>
      <c r="T465" s="55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716</v>
      </c>
      <c r="B466" s="60" t="s">
        <v>717</v>
      </c>
      <c r="C466" s="34">
        <v>4301020260</v>
      </c>
      <c r="D466" s="550">
        <v>4640242180526</v>
      </c>
      <c r="E466" s="550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2"/>
      <c r="R466" s="552"/>
      <c r="S466" s="552"/>
      <c r="T466" s="553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719</v>
      </c>
      <c r="B467" s="60" t="s">
        <v>720</v>
      </c>
      <c r="C467" s="34">
        <v>4301020295</v>
      </c>
      <c r="D467" s="550">
        <v>4640242181363</v>
      </c>
      <c r="E467" s="550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56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2"/>
      <c r="R467" s="552"/>
      <c r="S467" s="552"/>
      <c r="T467" s="55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54" t="s">
        <v>40</v>
      </c>
      <c r="Q468" s="555"/>
      <c r="R468" s="555"/>
      <c r="S468" s="555"/>
      <c r="T468" s="555"/>
      <c r="U468" s="555"/>
      <c r="V468" s="556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54" t="s">
        <v>40</v>
      </c>
      <c r="Q469" s="555"/>
      <c r="R469" s="555"/>
      <c r="S469" s="555"/>
      <c r="T469" s="555"/>
      <c r="U469" s="555"/>
      <c r="V469" s="556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customHeight="1" x14ac:dyDescent="0.25">
      <c r="A470" s="549" t="s">
        <v>76</v>
      </c>
      <c r="B470" s="549"/>
      <c r="C470" s="549"/>
      <c r="D470" s="549"/>
      <c r="E470" s="549"/>
      <c r="F470" s="549"/>
      <c r="G470" s="549"/>
      <c r="H470" s="549"/>
      <c r="I470" s="549"/>
      <c r="J470" s="549"/>
      <c r="K470" s="549"/>
      <c r="L470" s="549"/>
      <c r="M470" s="549"/>
      <c r="N470" s="549"/>
      <c r="O470" s="549"/>
      <c r="P470" s="549"/>
      <c r="Q470" s="549"/>
      <c r="R470" s="549"/>
      <c r="S470" s="549"/>
      <c r="T470" s="549"/>
      <c r="U470" s="549"/>
      <c r="V470" s="549"/>
      <c r="W470" s="549"/>
      <c r="X470" s="549"/>
      <c r="Y470" s="549"/>
      <c r="Z470" s="549"/>
      <c r="AA470" s="63"/>
      <c r="AB470" s="63"/>
      <c r="AC470" s="63"/>
    </row>
    <row r="471" spans="1:68" ht="27" customHeight="1" x14ac:dyDescent="0.25">
      <c r="A471" s="60" t="s">
        <v>722</v>
      </c>
      <c r="B471" s="60" t="s">
        <v>723</v>
      </c>
      <c r="C471" s="34">
        <v>4301031280</v>
      </c>
      <c r="D471" s="550">
        <v>4640242180816</v>
      </c>
      <c r="E471" s="550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2"/>
      <c r="R471" s="552"/>
      <c r="S471" s="552"/>
      <c r="T471" s="55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725</v>
      </c>
      <c r="B472" s="60" t="s">
        <v>726</v>
      </c>
      <c r="C472" s="34">
        <v>4301031244</v>
      </c>
      <c r="D472" s="550">
        <v>4640242180595</v>
      </c>
      <c r="E472" s="550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5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2"/>
      <c r="R472" s="552"/>
      <c r="S472" s="552"/>
      <c r="T472" s="553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54" t="s">
        <v>40</v>
      </c>
      <c r="Q473" s="555"/>
      <c r="R473" s="555"/>
      <c r="S473" s="555"/>
      <c r="T473" s="555"/>
      <c r="U473" s="555"/>
      <c r="V473" s="556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54" t="s">
        <v>40</v>
      </c>
      <c r="Q474" s="555"/>
      <c r="R474" s="555"/>
      <c r="S474" s="555"/>
      <c r="T474" s="555"/>
      <c r="U474" s="555"/>
      <c r="V474" s="556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customHeight="1" x14ac:dyDescent="0.25">
      <c r="A475" s="549" t="s">
        <v>82</v>
      </c>
      <c r="B475" s="549"/>
      <c r="C475" s="549"/>
      <c r="D475" s="549"/>
      <c r="E475" s="549"/>
      <c r="F475" s="549"/>
      <c r="G475" s="549"/>
      <c r="H475" s="549"/>
      <c r="I475" s="549"/>
      <c r="J475" s="549"/>
      <c r="K475" s="549"/>
      <c r="L475" s="549"/>
      <c r="M475" s="549"/>
      <c r="N475" s="549"/>
      <c r="O475" s="549"/>
      <c r="P475" s="549"/>
      <c r="Q475" s="549"/>
      <c r="R475" s="549"/>
      <c r="S475" s="549"/>
      <c r="T475" s="549"/>
      <c r="U475" s="549"/>
      <c r="V475" s="549"/>
      <c r="W475" s="549"/>
      <c r="X475" s="549"/>
      <c r="Y475" s="549"/>
      <c r="Z475" s="549"/>
      <c r="AA475" s="63"/>
      <c r="AB475" s="63"/>
      <c r="AC475" s="63"/>
    </row>
    <row r="476" spans="1:68" ht="27" customHeight="1" x14ac:dyDescent="0.25">
      <c r="A476" s="60" t="s">
        <v>728</v>
      </c>
      <c r="B476" s="60" t="s">
        <v>729</v>
      </c>
      <c r="C476" s="34">
        <v>4301052046</v>
      </c>
      <c r="D476" s="550">
        <v>4640242180533</v>
      </c>
      <c r="E476" s="550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5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54" t="s">
        <v>40</v>
      </c>
      <c r="Q477" s="555"/>
      <c r="R477" s="555"/>
      <c r="S477" s="555"/>
      <c r="T477" s="555"/>
      <c r="U477" s="555"/>
      <c r="V477" s="556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54" t="s">
        <v>40</v>
      </c>
      <c r="Q478" s="555"/>
      <c r="R478" s="555"/>
      <c r="S478" s="555"/>
      <c r="T478" s="555"/>
      <c r="U478" s="555"/>
      <c r="V478" s="556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549" t="s">
        <v>171</v>
      </c>
      <c r="B479" s="549"/>
      <c r="C479" s="549"/>
      <c r="D479" s="549"/>
      <c r="E479" s="549"/>
      <c r="F479" s="549"/>
      <c r="G479" s="549"/>
      <c r="H479" s="549"/>
      <c r="I479" s="549"/>
      <c r="J479" s="549"/>
      <c r="K479" s="549"/>
      <c r="L479" s="549"/>
      <c r="M479" s="549"/>
      <c r="N479" s="549"/>
      <c r="O479" s="549"/>
      <c r="P479" s="549"/>
      <c r="Q479" s="549"/>
      <c r="R479" s="549"/>
      <c r="S479" s="549"/>
      <c r="T479" s="549"/>
      <c r="U479" s="549"/>
      <c r="V479" s="549"/>
      <c r="W479" s="549"/>
      <c r="X479" s="549"/>
      <c r="Y479" s="549"/>
      <c r="Z479" s="549"/>
      <c r="AA479" s="63"/>
      <c r="AB479" s="63"/>
      <c r="AC479" s="63"/>
    </row>
    <row r="480" spans="1:68" ht="27" customHeight="1" x14ac:dyDescent="0.25">
      <c r="A480" s="60" t="s">
        <v>731</v>
      </c>
      <c r="B480" s="60" t="s">
        <v>732</v>
      </c>
      <c r="C480" s="34">
        <v>4301060491</v>
      </c>
      <c r="D480" s="550">
        <v>4640242180120</v>
      </c>
      <c r="E480" s="550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5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customHeight="1" x14ac:dyDescent="0.25">
      <c r="A481" s="60" t="s">
        <v>734</v>
      </c>
      <c r="B481" s="60" t="s">
        <v>735</v>
      </c>
      <c r="C481" s="34">
        <v>4301060493</v>
      </c>
      <c r="D481" s="550">
        <v>4640242180137</v>
      </c>
      <c r="E481" s="550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56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54" t="s">
        <v>40</v>
      </c>
      <c r="Q482" s="555"/>
      <c r="R482" s="555"/>
      <c r="S482" s="555"/>
      <c r="T482" s="555"/>
      <c r="U482" s="555"/>
      <c r="V482" s="556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x14ac:dyDescent="0.2">
      <c r="A483" s="55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8"/>
      <c r="P483" s="554" t="s">
        <v>40</v>
      </c>
      <c r="Q483" s="555"/>
      <c r="R483" s="555"/>
      <c r="S483" s="555"/>
      <c r="T483" s="555"/>
      <c r="U483" s="555"/>
      <c r="V483" s="556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customHeight="1" x14ac:dyDescent="0.25">
      <c r="A484" s="565" t="s">
        <v>737</v>
      </c>
      <c r="B484" s="565"/>
      <c r="C484" s="565"/>
      <c r="D484" s="565"/>
      <c r="E484" s="565"/>
      <c r="F484" s="565"/>
      <c r="G484" s="565"/>
      <c r="H484" s="565"/>
      <c r="I484" s="565"/>
      <c r="J484" s="565"/>
      <c r="K484" s="565"/>
      <c r="L484" s="565"/>
      <c r="M484" s="565"/>
      <c r="N484" s="565"/>
      <c r="O484" s="565"/>
      <c r="P484" s="565"/>
      <c r="Q484" s="565"/>
      <c r="R484" s="565"/>
      <c r="S484" s="565"/>
      <c r="T484" s="565"/>
      <c r="U484" s="565"/>
      <c r="V484" s="565"/>
      <c r="W484" s="565"/>
      <c r="X484" s="565"/>
      <c r="Y484" s="565"/>
      <c r="Z484" s="565"/>
      <c r="AA484" s="62"/>
      <c r="AB484" s="62"/>
      <c r="AC484" s="62"/>
    </row>
    <row r="485" spans="1:68" ht="14.25" customHeight="1" x14ac:dyDescent="0.25">
      <c r="A485" s="549" t="s">
        <v>141</v>
      </c>
      <c r="B485" s="549"/>
      <c r="C485" s="549"/>
      <c r="D485" s="549"/>
      <c r="E485" s="549"/>
      <c r="F485" s="549"/>
      <c r="G485" s="549"/>
      <c r="H485" s="549"/>
      <c r="I485" s="549"/>
      <c r="J485" s="549"/>
      <c r="K485" s="549"/>
      <c r="L485" s="549"/>
      <c r="M485" s="549"/>
      <c r="N485" s="549"/>
      <c r="O485" s="549"/>
      <c r="P485" s="549"/>
      <c r="Q485" s="549"/>
      <c r="R485" s="549"/>
      <c r="S485" s="549"/>
      <c r="T485" s="549"/>
      <c r="U485" s="549"/>
      <c r="V485" s="549"/>
      <c r="W485" s="549"/>
      <c r="X485" s="549"/>
      <c r="Y485" s="549"/>
      <c r="Z485" s="549"/>
      <c r="AA485" s="63"/>
      <c r="AB485" s="63"/>
      <c r="AC485" s="63"/>
    </row>
    <row r="486" spans="1:68" ht="27" customHeight="1" x14ac:dyDescent="0.25">
      <c r="A486" s="60" t="s">
        <v>738</v>
      </c>
      <c r="B486" s="60" t="s">
        <v>739</v>
      </c>
      <c r="C486" s="34">
        <v>4301020314</v>
      </c>
      <c r="D486" s="550">
        <v>4640242180090</v>
      </c>
      <c r="E486" s="550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55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54" t="s">
        <v>40</v>
      </c>
      <c r="Q487" s="555"/>
      <c r="R487" s="555"/>
      <c r="S487" s="555"/>
      <c r="T487" s="555"/>
      <c r="U487" s="555"/>
      <c r="V487" s="556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x14ac:dyDescent="0.2">
      <c r="A488" s="55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8"/>
      <c r="P488" s="554" t="s">
        <v>40</v>
      </c>
      <c r="Q488" s="555"/>
      <c r="R488" s="555"/>
      <c r="S488" s="555"/>
      <c r="T488" s="555"/>
      <c r="U488" s="555"/>
      <c r="V488" s="556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2"/>
      <c r="P489" s="559" t="s">
        <v>33</v>
      </c>
      <c r="Q489" s="560"/>
      <c r="R489" s="560"/>
      <c r="S489" s="560"/>
      <c r="T489" s="560"/>
      <c r="U489" s="560"/>
      <c r="V489" s="561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7612.36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7612.36</v>
      </c>
      <c r="Z489" s="40"/>
      <c r="AA489" s="64"/>
      <c r="AB489" s="64"/>
      <c r="AC489" s="64"/>
    </row>
    <row r="490" spans="1:68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2"/>
      <c r="P490" s="559" t="s">
        <v>34</v>
      </c>
      <c r="Q490" s="560"/>
      <c r="R490" s="560"/>
      <c r="S490" s="560"/>
      <c r="T490" s="560"/>
      <c r="U490" s="560"/>
      <c r="V490" s="561"/>
      <c r="W490" s="40" t="s">
        <v>0</v>
      </c>
      <c r="X490" s="41">
        <f>IFERROR(SUM(BM22:BM486),"0")</f>
        <v>8073.6639999999998</v>
      </c>
      <c r="Y490" s="41">
        <f>IFERROR(SUM(BN22:BN486),"0")</f>
        <v>8073.6640000000007</v>
      </c>
      <c r="Z490" s="40"/>
      <c r="AA490" s="64"/>
      <c r="AB490" s="64"/>
      <c r="AC490" s="64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2"/>
      <c r="P491" s="559" t="s">
        <v>35</v>
      </c>
      <c r="Q491" s="560"/>
      <c r="R491" s="560"/>
      <c r="S491" s="560"/>
      <c r="T491" s="560"/>
      <c r="U491" s="560"/>
      <c r="V491" s="561"/>
      <c r="W491" s="40" t="s">
        <v>20</v>
      </c>
      <c r="X491" s="42">
        <f>ROUNDUP(SUM(BO22:BO486),0)</f>
        <v>14</v>
      </c>
      <c r="Y491" s="42">
        <f>ROUNDUP(SUM(BP22:BP486),0)</f>
        <v>14</v>
      </c>
      <c r="Z491" s="40"/>
      <c r="AA491" s="64"/>
      <c r="AB491" s="64"/>
      <c r="AC491" s="64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62"/>
      <c r="P492" s="559" t="s">
        <v>36</v>
      </c>
      <c r="Q492" s="560"/>
      <c r="R492" s="560"/>
      <c r="S492" s="560"/>
      <c r="T492" s="560"/>
      <c r="U492" s="560"/>
      <c r="V492" s="561"/>
      <c r="W492" s="40" t="s">
        <v>0</v>
      </c>
      <c r="X492" s="41">
        <f>GrossWeightTotal+PalletQtyTotal*25</f>
        <v>8423.6640000000007</v>
      </c>
      <c r="Y492" s="41">
        <f>GrossWeightTotalR+PalletQtyTotalR*25</f>
        <v>8423.6640000000007</v>
      </c>
      <c r="Z492" s="40"/>
      <c r="AA492" s="64"/>
      <c r="AB492" s="64"/>
      <c r="AC492" s="64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62"/>
      <c r="P493" s="559" t="s">
        <v>37</v>
      </c>
      <c r="Q493" s="560"/>
      <c r="R493" s="560"/>
      <c r="S493" s="560"/>
      <c r="T493" s="560"/>
      <c r="U493" s="560"/>
      <c r="V493" s="561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1193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1193</v>
      </c>
      <c r="Z493" s="40"/>
      <c r="AA493" s="64"/>
      <c r="AB493" s="64"/>
      <c r="AC493" s="64"/>
    </row>
    <row r="494" spans="1:68" ht="14.25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62"/>
      <c r="P494" s="559" t="s">
        <v>38</v>
      </c>
      <c r="Q494" s="560"/>
      <c r="R494" s="560"/>
      <c r="S494" s="560"/>
      <c r="T494" s="560"/>
      <c r="U494" s="560"/>
      <c r="V494" s="561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16.319750000000003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545" t="s">
        <v>106</v>
      </c>
      <c r="D496" s="545" t="s">
        <v>106</v>
      </c>
      <c r="E496" s="545" t="s">
        <v>106</v>
      </c>
      <c r="F496" s="545" t="s">
        <v>106</v>
      </c>
      <c r="G496" s="545" t="s">
        <v>106</v>
      </c>
      <c r="H496" s="545" t="s">
        <v>106</v>
      </c>
      <c r="I496" s="545" t="s">
        <v>262</v>
      </c>
      <c r="J496" s="545" t="s">
        <v>262</v>
      </c>
      <c r="K496" s="545" t="s">
        <v>262</v>
      </c>
      <c r="L496" s="545" t="s">
        <v>262</v>
      </c>
      <c r="M496" s="545" t="s">
        <v>262</v>
      </c>
      <c r="N496" s="546"/>
      <c r="O496" s="545" t="s">
        <v>262</v>
      </c>
      <c r="P496" s="545" t="s">
        <v>262</v>
      </c>
      <c r="Q496" s="545" t="s">
        <v>262</v>
      </c>
      <c r="R496" s="545" t="s">
        <v>262</v>
      </c>
      <c r="S496" s="545" t="s">
        <v>539</v>
      </c>
      <c r="T496" s="545" t="s">
        <v>539</v>
      </c>
      <c r="U496" s="545" t="s">
        <v>590</v>
      </c>
      <c r="V496" s="545" t="s">
        <v>590</v>
      </c>
      <c r="W496" s="545" t="s">
        <v>590</v>
      </c>
      <c r="X496" s="80" t="s">
        <v>641</v>
      </c>
      <c r="Y496" s="545" t="s">
        <v>701</v>
      </c>
      <c r="Z496" s="545" t="s">
        <v>701</v>
      </c>
      <c r="AB496" s="9"/>
      <c r="AC496" s="9"/>
      <c r="AF496" s="1"/>
    </row>
    <row r="497" spans="1:32" ht="14.25" customHeight="1" thickTop="1" x14ac:dyDescent="0.2">
      <c r="A497" s="547" t="s">
        <v>10</v>
      </c>
      <c r="B497" s="545" t="s">
        <v>75</v>
      </c>
      <c r="C497" s="545" t="s">
        <v>107</v>
      </c>
      <c r="D497" s="545" t="s">
        <v>122</v>
      </c>
      <c r="E497" s="545" t="s">
        <v>178</v>
      </c>
      <c r="F497" s="545" t="s">
        <v>197</v>
      </c>
      <c r="G497" s="545" t="s">
        <v>227</v>
      </c>
      <c r="H497" s="545" t="s">
        <v>106</v>
      </c>
      <c r="I497" s="545" t="s">
        <v>263</v>
      </c>
      <c r="J497" s="545" t="s">
        <v>303</v>
      </c>
      <c r="K497" s="545" t="s">
        <v>363</v>
      </c>
      <c r="L497" s="545" t="s">
        <v>405</v>
      </c>
      <c r="M497" s="545" t="s">
        <v>421</v>
      </c>
      <c r="N497" s="1"/>
      <c r="O497" s="545" t="s">
        <v>432</v>
      </c>
      <c r="P497" s="545" t="s">
        <v>441</v>
      </c>
      <c r="Q497" s="545" t="s">
        <v>451</v>
      </c>
      <c r="R497" s="545" t="s">
        <v>529</v>
      </c>
      <c r="S497" s="545" t="s">
        <v>540</v>
      </c>
      <c r="T497" s="545" t="s">
        <v>574</v>
      </c>
      <c r="U497" s="545" t="s">
        <v>591</v>
      </c>
      <c r="V497" s="545" t="s">
        <v>622</v>
      </c>
      <c r="W497" s="545" t="s">
        <v>637</v>
      </c>
      <c r="X497" s="545" t="s">
        <v>641</v>
      </c>
      <c r="Y497" s="545" t="s">
        <v>701</v>
      </c>
      <c r="Z497" s="545" t="s">
        <v>737</v>
      </c>
      <c r="AB497" s="9"/>
      <c r="AC497" s="9"/>
      <c r="AF497" s="1"/>
    </row>
    <row r="498" spans="1:32" ht="13.5" thickBot="1" x14ac:dyDescent="0.25">
      <c r="A498" s="548"/>
      <c r="B498" s="545"/>
      <c r="C498" s="545"/>
      <c r="D498" s="545"/>
      <c r="E498" s="545"/>
      <c r="F498" s="545"/>
      <c r="G498" s="545"/>
      <c r="H498" s="545"/>
      <c r="I498" s="545"/>
      <c r="J498" s="545"/>
      <c r="K498" s="545"/>
      <c r="L498" s="545"/>
      <c r="M498" s="545"/>
      <c r="N498" s="1"/>
      <c r="O498" s="545"/>
      <c r="P498" s="545"/>
      <c r="Q498" s="545"/>
      <c r="R498" s="545"/>
      <c r="S498" s="545"/>
      <c r="T498" s="545"/>
      <c r="U498" s="545"/>
      <c r="V498" s="545"/>
      <c r="W498" s="545"/>
      <c r="X498" s="545"/>
      <c r="Y498" s="545"/>
      <c r="Z498" s="545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518.40000000000009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822.40000000000009</v>
      </c>
      <c r="E499" s="50">
        <f>IFERROR(Y86*1,"0")+IFERROR(Y87*1,"0")+IFERROR(Y88*1,"0")+IFERROR(Y92*1,"0")+IFERROR(Y93*1,"0")+IFERROR(Y94*1,"0")+IFERROR(Y95*1,"0")</f>
        <v>464.4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853.2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126.00000000000001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1701.6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230.39999999999998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945.6</v>
      </c>
      <c r="R499" s="50">
        <f>IFERROR(Y335*1,"0")+IFERROR(Y336*1,"0")+IFERROR(Y337*1,"0")</f>
        <v>0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711</v>
      </c>
      <c r="T499" s="50">
        <f>IFERROR(Y368*1,"0")+IFERROR(Y369*1,"0")+IFERROR(Y373*1,"0")+IFERROR(Y374*1,"0")+IFERROR(Y378*1,"0")+IFERROR(Y379*1,"0")</f>
        <v>859.2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380.16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2025-12-22T06:33:11Z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