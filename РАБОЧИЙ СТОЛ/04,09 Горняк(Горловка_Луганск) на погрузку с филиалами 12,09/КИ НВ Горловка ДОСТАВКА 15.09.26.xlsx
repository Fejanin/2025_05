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Y:\Стародворье\НОВОЕ ВРЕМЯ\93-15.09.26_Г+Л\"/>
    </mc:Choice>
  </mc:AlternateContent>
  <xr:revisionPtr revIDLastSave="0" documentId="13_ncr:1_{E0E5AF8E-516F-474E-9E8F-054A855BF09C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<sst xmlns="http://schemas.openxmlformats.org/spreadsheetml/2006/main" count="3643" uniqueCount="787">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</sst>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B1" zoomScale="92" zoomScaleNormal="92" zoomScaleSheetLayoutView="100" workbookViewId="0">
      <selection activeCell="Q8" sqref="Q8:R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64" t="s">
        <v>26</v>
      </c>
      <c r="E1" s="864"/>
      <c r="F1" s="864"/>
      <c r="G1" s="14" t="s">
        <v>66</v>
      </c>
      <c r="H1" s="864" t="s">
        <v>46</v>
      </c>
      <c r="I1" s="864"/>
      <c r="J1" s="864"/>
      <c r="K1" s="864"/>
      <c r="L1" s="864"/>
      <c r="M1" s="864"/>
      <c r="N1" s="864"/>
      <c r="O1" s="864"/>
      <c r="P1" s="864"/>
      <c r="Q1" s="864"/>
      <c r="R1" s="865" t="s">
        <v>67</v>
      </c>
      <c r="S1" s="866"/>
      <c r="T1" s="86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7"/>
      <c r="R2" s="867"/>
      <c r="S2" s="867"/>
      <c r="T2" s="867"/>
      <c r="U2" s="867"/>
      <c r="V2" s="867"/>
      <c r="W2" s="86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7"/>
      <c r="Q3" s="867"/>
      <c r="R3" s="867"/>
      <c r="S3" s="867"/>
      <c r="T3" s="867"/>
      <c r="U3" s="867"/>
      <c r="V3" s="867"/>
      <c r="W3" s="86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6" t="s">
        <v>8</v>
      </c>
      <c r="B5" s="846"/>
      <c r="C5" s="846"/>
      <c r="D5" s="868"/>
      <c r="E5" s="868"/>
      <c r="F5" s="869" t="s">
        <v>14</v>
      </c>
      <c r="G5" s="869"/>
      <c r="H5" s="868"/>
      <c r="I5" s="868"/>
      <c r="J5" s="868"/>
      <c r="K5" s="868"/>
      <c r="L5" s="868"/>
      <c r="M5" s="868"/>
      <c r="N5" s="72"/>
      <c r="P5" s="27" t="s">
        <v>4</v>
      </c>
      <c r="Q5" s="870">
        <v>46280</v>
      </c>
      <c r="R5" s="870"/>
      <c r="T5" s="871" t="s">
        <v>3</v>
      </c>
      <c r="U5" s="872"/>
      <c r="V5" s="873" t="s">
        <v>751</v>
      </c>
      <c r="W5" s="874"/>
      <c r="AB5" s="59"/>
      <c r="AC5" s="59"/>
      <c r="AD5" s="59"/>
      <c r="AE5" s="59"/>
    </row>
    <row r="6" spans="1:32" s="17" customFormat="1" ht="24" customHeight="1" x14ac:dyDescent="0.2">
      <c r="A6" s="846" t="s">
        <v>1</v>
      </c>
      <c r="B6" s="846"/>
      <c r="C6" s="846"/>
      <c r="D6" s="847"/>
      <c r="E6" s="847"/>
      <c r="F6" s="847"/>
      <c r="G6" s="847"/>
      <c r="H6" s="847"/>
      <c r="I6" s="847"/>
      <c r="J6" s="847"/>
      <c r="K6" s="847"/>
      <c r="L6" s="847"/>
      <c r="M6" s="847"/>
      <c r="N6" s="73"/>
      <c r="P6" s="27" t="s">
        <v>27</v>
      </c>
      <c r="Q6" s="848" t="str">
        <f>IF(Q5=0," ",CHOOSE(WEEKDAY(Q5,2),"Понедельник","Вторник","Среда","Четверг","Пятница","Суббота","Воскресенье"))</f>
        <v>Вторник</v>
      </c>
      <c r="R6" s="848"/>
      <c r="T6" s="849" t="s">
        <v>5</v>
      </c>
      <c r="U6" s="850"/>
      <c r="V6" s="851" t="s">
        <v>69</v>
      </c>
      <c r="W6" s="85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7">
        <f>IFERROR(VLOOKUP(DeliveryAddress,Table,3,0),1)</f>
        <v>1</v>
      </c>
      <c r="E7" s="858"/>
      <c r="F7" s="858"/>
      <c r="G7" s="858"/>
      <c r="H7" s="858"/>
      <c r="I7" s="858"/>
      <c r="J7" s="858"/>
      <c r="K7" s="858"/>
      <c r="L7" s="858"/>
      <c r="M7" s="859"/>
      <c r="N7" s="74"/>
      <c r="P7" s="29"/>
      <c r="Q7" s="48"/>
      <c r="R7" s="48"/>
      <c r="T7" s="849"/>
      <c r="U7" s="850"/>
      <c r="V7" s="853"/>
      <c r="W7" s="854"/>
      <c r="AB7" s="59"/>
      <c r="AC7" s="59"/>
      <c r="AD7" s="59"/>
      <c r="AE7" s="59"/>
    </row>
    <row r="8" spans="1:32" s="17" customFormat="1" ht="25.5" customHeight="1" x14ac:dyDescent="0.2">
      <c r="A8" s="860" t="s">
        <v>57</v>
      </c>
      <c r="B8" s="860"/>
      <c r="C8" s="860"/>
      <c r="D8" s="861"/>
      <c r="E8" s="861"/>
      <c r="F8" s="861"/>
      <c r="G8" s="861"/>
      <c r="H8" s="861"/>
      <c r="I8" s="861"/>
      <c r="J8" s="861"/>
      <c r="K8" s="861"/>
      <c r="L8" s="861"/>
      <c r="M8" s="861"/>
      <c r="N8" s="75"/>
      <c r="P8" s="27" t="s">
        <v>11</v>
      </c>
      <c r="Q8" s="844"/>
      <c r="R8" s="844"/>
      <c r="T8" s="849"/>
      <c r="U8" s="850"/>
      <c r="V8" s="853"/>
      <c r="W8" s="854"/>
      <c r="AB8" s="59"/>
      <c r="AC8" s="59"/>
      <c r="AD8" s="59"/>
      <c r="AE8" s="59"/>
    </row>
    <row r="9" spans="1:32" s="17" customFormat="1" ht="39.950000000000003" customHeight="1" x14ac:dyDescent="0.2">
      <c r="A9" s="8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6"/>
      <c r="C9" s="836"/>
      <c r="D9" s="837" t="s">
        <v>45</v>
      </c>
      <c r="E9" s="838"/>
      <c r="F9" s="8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6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862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2"/>
      <c r="L9" s="862"/>
      <c r="M9" s="862"/>
      <c r="N9" s="70"/>
      <c r="P9" s="31" t="s">
        <v>15</v>
      </c>
      <c r="Q9" s="863"/>
      <c r="R9" s="863"/>
      <c r="T9" s="849"/>
      <c r="U9" s="850"/>
      <c r="V9" s="855"/>
      <c r="W9" s="85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6"/>
      <c r="C10" s="836"/>
      <c r="D10" s="837"/>
      <c r="E10" s="838"/>
      <c r="F10" s="8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6"/>
      <c r="H10" s="839" t="str">
        <f>IFERROR(VLOOKUP($D$10,Proxy,2,FALSE),"")</f>
        <v/>
      </c>
      <c r="I10" s="839"/>
      <c r="J10" s="839"/>
      <c r="K10" s="839"/>
      <c r="L10" s="839"/>
      <c r="M10" s="839"/>
      <c r="N10" s="71"/>
      <c r="P10" s="31" t="s">
        <v>32</v>
      </c>
      <c r="Q10" s="840"/>
      <c r="R10" s="840"/>
      <c r="U10" s="29" t="s">
        <v>12</v>
      </c>
      <c r="V10" s="841" t="s">
        <v>70</v>
      </c>
      <c r="W10" s="84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3"/>
      <c r="R11" s="843"/>
      <c r="U11" s="29" t="s">
        <v>28</v>
      </c>
      <c r="V11" s="822" t="s">
        <v>54</v>
      </c>
      <c r="W11" s="82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1" t="s">
        <v>71</v>
      </c>
      <c r="B12" s="821"/>
      <c r="C12" s="821"/>
      <c r="D12" s="821"/>
      <c r="E12" s="821"/>
      <c r="F12" s="821"/>
      <c r="G12" s="821"/>
      <c r="H12" s="821"/>
      <c r="I12" s="821"/>
      <c r="J12" s="821"/>
      <c r="K12" s="821"/>
      <c r="L12" s="821"/>
      <c r="M12" s="821"/>
      <c r="N12" s="76"/>
      <c r="P12" s="27" t="s">
        <v>30</v>
      </c>
      <c r="Q12" s="844"/>
      <c r="R12" s="844"/>
      <c r="S12" s="28"/>
      <c r="T12"/>
      <c r="U12" s="29" t="s">
        <v>45</v>
      </c>
      <c r="V12" s="845"/>
      <c r="W12" s="845"/>
      <c r="X12"/>
      <c r="AB12" s="59"/>
      <c r="AC12" s="59"/>
      <c r="AD12" s="59"/>
      <c r="AE12" s="59"/>
    </row>
    <row r="13" spans="1:32" s="17" customFormat="1" ht="23.25" customHeight="1" x14ac:dyDescent="0.2">
      <c r="A13" s="821" t="s">
        <v>72</v>
      </c>
      <c r="B13" s="821"/>
      <c r="C13" s="821"/>
      <c r="D13" s="821"/>
      <c r="E13" s="821"/>
      <c r="F13" s="821"/>
      <c r="G13" s="821"/>
      <c r="H13" s="821"/>
      <c r="I13" s="821"/>
      <c r="J13" s="821"/>
      <c r="K13" s="821"/>
      <c r="L13" s="821"/>
      <c r="M13" s="821"/>
      <c r="N13" s="76"/>
      <c r="O13" s="31"/>
      <c r="P13" s="31" t="s">
        <v>31</v>
      </c>
      <c r="Q13" s="822"/>
      <c r="R13" s="82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1" t="s">
        <v>73</v>
      </c>
      <c r="B14" s="821"/>
      <c r="C14" s="821"/>
      <c r="D14" s="821"/>
      <c r="E14" s="821"/>
      <c r="F14" s="821"/>
      <c r="G14" s="821"/>
      <c r="H14" s="821"/>
      <c r="I14" s="821"/>
      <c r="J14" s="821"/>
      <c r="K14" s="821"/>
      <c r="L14" s="821"/>
      <c r="M14" s="82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3" t="s">
        <v>74</v>
      </c>
      <c r="B15" s="823"/>
      <c r="C15" s="823"/>
      <c r="D15" s="823"/>
      <c r="E15" s="823"/>
      <c r="F15" s="823"/>
      <c r="G15" s="823"/>
      <c r="H15" s="823"/>
      <c r="I15" s="823"/>
      <c r="J15" s="823"/>
      <c r="K15" s="823"/>
      <c r="L15" s="823"/>
      <c r="M15" s="823"/>
      <c r="N15" s="77"/>
      <c r="O15"/>
      <c r="P15" s="824" t="s">
        <v>60</v>
      </c>
      <c r="Q15" s="824"/>
      <c r="R15" s="824"/>
      <c r="S15" s="824"/>
      <c r="T15" s="82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5"/>
      <c r="Q16" s="825"/>
      <c r="R16" s="825"/>
      <c r="S16" s="825"/>
      <c r="T16" s="82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7" t="s">
        <v>58</v>
      </c>
      <c r="B17" s="807" t="s">
        <v>48</v>
      </c>
      <c r="C17" s="828" t="s">
        <v>47</v>
      </c>
      <c r="D17" s="830" t="s">
        <v>49</v>
      </c>
      <c r="E17" s="831"/>
      <c r="F17" s="807" t="s">
        <v>21</v>
      </c>
      <c r="G17" s="807" t="s">
        <v>24</v>
      </c>
      <c r="H17" s="807" t="s">
        <v>22</v>
      </c>
      <c r="I17" s="807" t="s">
        <v>23</v>
      </c>
      <c r="J17" s="807" t="s">
        <v>16</v>
      </c>
      <c r="K17" s="807" t="s">
        <v>65</v>
      </c>
      <c r="L17" s="807" t="s">
        <v>63</v>
      </c>
      <c r="M17" s="807" t="s">
        <v>2</v>
      </c>
      <c r="N17" s="807" t="s">
        <v>62</v>
      </c>
      <c r="O17" s="807" t="s">
        <v>25</v>
      </c>
      <c r="P17" s="830" t="s">
        <v>17</v>
      </c>
      <c r="Q17" s="834"/>
      <c r="R17" s="834"/>
      <c r="S17" s="834"/>
      <c r="T17" s="831"/>
      <c r="U17" s="826" t="s">
        <v>55</v>
      </c>
      <c r="V17" s="827"/>
      <c r="W17" s="807" t="s">
        <v>6</v>
      </c>
      <c r="X17" s="807" t="s">
        <v>41</v>
      </c>
      <c r="Y17" s="809" t="s">
        <v>53</v>
      </c>
      <c r="Z17" s="811" t="s">
        <v>18</v>
      </c>
      <c r="AA17" s="813" t="s">
        <v>59</v>
      </c>
      <c r="AB17" s="813" t="s">
        <v>19</v>
      </c>
      <c r="AC17" s="813" t="s">
        <v>64</v>
      </c>
      <c r="AD17" s="815" t="s">
        <v>56</v>
      </c>
      <c r="AE17" s="816"/>
      <c r="AF17" s="817"/>
      <c r="AG17" s="82"/>
      <c r="BD17" s="81" t="s">
        <v>61</v>
      </c>
    </row>
    <row r="18" spans="1:68" ht="14.25" customHeight="1" x14ac:dyDescent="0.2">
      <c r="A18" s="808"/>
      <c r="B18" s="808"/>
      <c r="C18" s="829"/>
      <c r="D18" s="832"/>
      <c r="E18" s="833"/>
      <c r="F18" s="808"/>
      <c r="G18" s="808"/>
      <c r="H18" s="808"/>
      <c r="I18" s="808"/>
      <c r="J18" s="808"/>
      <c r="K18" s="808"/>
      <c r="L18" s="808"/>
      <c r="M18" s="808"/>
      <c r="N18" s="808"/>
      <c r="O18" s="808"/>
      <c r="P18" s="832"/>
      <c r="Q18" s="835"/>
      <c r="R18" s="835"/>
      <c r="S18" s="835"/>
      <c r="T18" s="833"/>
      <c r="U18" s="83" t="s">
        <v>44</v>
      </c>
      <c r="V18" s="83" t="s">
        <v>43</v>
      </c>
      <c r="W18" s="808"/>
      <c r="X18" s="808"/>
      <c r="Y18" s="810"/>
      <c r="Z18" s="812"/>
      <c r="AA18" s="814"/>
      <c r="AB18" s="814"/>
      <c r="AC18" s="814"/>
      <c r="AD18" s="818"/>
      <c r="AE18" s="819"/>
      <c r="AF18" s="820"/>
      <c r="AG18" s="82"/>
      <c r="BD18" s="81"/>
    </row>
    <row r="19" spans="1:68" ht="27.75" customHeight="1" x14ac:dyDescent="0.2">
      <c r="A19" s="579" t="s">
        <v>75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customHeight="1" x14ac:dyDescent="0.25">
      <c r="A20" s="558" t="s">
        <v>75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65"/>
      <c r="AB20" s="65"/>
      <c r="AC20" s="79"/>
    </row>
    <row r="21" spans="1:68" ht="14.25" customHeight="1" x14ac:dyDescent="0.25">
      <c r="A21" s="559" t="s">
        <v>76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560">
        <v>4680115887510</v>
      </c>
      <c r="E22" s="560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80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2"/>
      <c r="R22" s="562"/>
      <c r="S22" s="562"/>
      <c r="T22" s="563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560">
        <v>4680115886643</v>
      </c>
      <c r="E23" s="560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8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2"/>
      <c r="R23" s="562"/>
      <c r="S23" s="562"/>
      <c r="T23" s="563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67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8"/>
      <c r="P24" s="564" t="s">
        <v>40</v>
      </c>
      <c r="Q24" s="565"/>
      <c r="R24" s="565"/>
      <c r="S24" s="565"/>
      <c r="T24" s="565"/>
      <c r="U24" s="565"/>
      <c r="V24" s="5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67"/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8"/>
      <c r="P25" s="564" t="s">
        <v>40</v>
      </c>
      <c r="Q25" s="565"/>
      <c r="R25" s="565"/>
      <c r="S25" s="565"/>
      <c r="T25" s="565"/>
      <c r="U25" s="565"/>
      <c r="V25" s="5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59" t="s">
        <v>86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560">
        <v>4680115885912</v>
      </c>
      <c r="E27" s="56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8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2"/>
      <c r="R27" s="562"/>
      <c r="S27" s="562"/>
      <c r="T27" s="563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560">
        <v>4607091388237</v>
      </c>
      <c r="E28" s="56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80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2"/>
      <c r="R28" s="562"/>
      <c r="S28" s="562"/>
      <c r="T28" s="563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560">
        <v>4680115887350</v>
      </c>
      <c r="E29" s="56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8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2"/>
      <c r="R29" s="562"/>
      <c r="S29" s="562"/>
      <c r="T29" s="563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560">
        <v>4680115885905</v>
      </c>
      <c r="E30" s="56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80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2"/>
      <c r="R30" s="562"/>
      <c r="S30" s="562"/>
      <c r="T30" s="563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4301052078</v>
      </c>
      <c r="D31" s="560">
        <v>4680115887657</v>
      </c>
      <c r="E31" s="56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79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62"/>
      <c r="R31" s="562"/>
      <c r="S31" s="562"/>
      <c r="T31" s="563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103</v>
      </c>
      <c r="B32" s="63" t="s">
        <v>104</v>
      </c>
      <c r="C32" s="36">
        <v>4301052071</v>
      </c>
      <c r="D32" s="560">
        <v>4680115887619</v>
      </c>
      <c r="E32" s="560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7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62"/>
      <c r="R32" s="562"/>
      <c r="S32" s="562"/>
      <c r="T32" s="563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8"/>
      <c r="P33" s="564" t="s">
        <v>40</v>
      </c>
      <c r="Q33" s="565"/>
      <c r="R33" s="565"/>
      <c r="S33" s="565"/>
      <c r="T33" s="565"/>
      <c r="U33" s="565"/>
      <c r="V33" s="56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8"/>
      <c r="P34" s="564" t="s">
        <v>40</v>
      </c>
      <c r="Q34" s="565"/>
      <c r="R34" s="565"/>
      <c r="S34" s="565"/>
      <c r="T34" s="565"/>
      <c r="U34" s="565"/>
      <c r="V34" s="56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559" t="s">
        <v>106</v>
      </c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66"/>
      <c r="AB35" s="66"/>
      <c r="AC35" s="80"/>
    </row>
    <row r="36" spans="1:68" ht="27" customHeight="1" x14ac:dyDescent="0.25">
      <c r="A36" s="63" t="s">
        <v>107</v>
      </c>
      <c r="B36" s="63" t="s">
        <v>108</v>
      </c>
      <c r="C36" s="36">
        <v>4301032013</v>
      </c>
      <c r="D36" s="560">
        <v>4607091388503</v>
      </c>
      <c r="E36" s="560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8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62"/>
      <c r="R36" s="562"/>
      <c r="S36" s="562"/>
      <c r="T36" s="563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8"/>
      <c r="P37" s="564" t="s">
        <v>40</v>
      </c>
      <c r="Q37" s="565"/>
      <c r="R37" s="565"/>
      <c r="S37" s="565"/>
      <c r="T37" s="565"/>
      <c r="U37" s="565"/>
      <c r="V37" s="56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8"/>
      <c r="P38" s="564" t="s">
        <v>40</v>
      </c>
      <c r="Q38" s="565"/>
      <c r="R38" s="565"/>
      <c r="S38" s="565"/>
      <c r="T38" s="565"/>
      <c r="U38" s="565"/>
      <c r="V38" s="56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579" t="s">
        <v>112</v>
      </c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79"/>
      <c r="P39" s="579"/>
      <c r="Q39" s="579"/>
      <c r="R39" s="579"/>
      <c r="S39" s="579"/>
      <c r="T39" s="579"/>
      <c r="U39" s="579"/>
      <c r="V39" s="579"/>
      <c r="W39" s="579"/>
      <c r="X39" s="579"/>
      <c r="Y39" s="579"/>
      <c r="Z39" s="579"/>
      <c r="AA39" s="54"/>
      <c r="AB39" s="54"/>
      <c r="AC39" s="54"/>
    </row>
    <row r="40" spans="1:68" ht="16.5" customHeight="1" x14ac:dyDescent="0.25">
      <c r="A40" s="558" t="s">
        <v>113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65"/>
      <c r="AB40" s="65"/>
      <c r="AC40" s="79"/>
    </row>
    <row r="41" spans="1:68" ht="14.25" customHeight="1" x14ac:dyDescent="0.25">
      <c r="A41" s="559" t="s">
        <v>114</v>
      </c>
      <c r="B41" s="559"/>
      <c r="C41" s="559"/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560">
        <v>4607091385670</v>
      </c>
      <c r="E42" s="560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7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62"/>
      <c r="R42" s="562"/>
      <c r="S42" s="562"/>
      <c r="T42" s="563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120</v>
      </c>
      <c r="B43" s="63" t="s">
        <v>121</v>
      </c>
      <c r="C43" s="36">
        <v>4301011565</v>
      </c>
      <c r="D43" s="560">
        <v>4680115882539</v>
      </c>
      <c r="E43" s="560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7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2"/>
      <c r="R43" s="562"/>
      <c r="S43" s="562"/>
      <c r="T43" s="563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123</v>
      </c>
      <c r="B44" s="63" t="s">
        <v>124</v>
      </c>
      <c r="C44" s="36">
        <v>4301011382</v>
      </c>
      <c r="D44" s="560">
        <v>4607091385687</v>
      </c>
      <c r="E44" s="560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62"/>
      <c r="R44" s="562"/>
      <c r="S44" s="562"/>
      <c r="T44" s="563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8"/>
      <c r="P45" s="564" t="s">
        <v>40</v>
      </c>
      <c r="Q45" s="565"/>
      <c r="R45" s="565"/>
      <c r="S45" s="565"/>
      <c r="T45" s="565"/>
      <c r="U45" s="565"/>
      <c r="V45" s="566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8"/>
      <c r="P46" s="564" t="s">
        <v>40</v>
      </c>
      <c r="Q46" s="565"/>
      <c r="R46" s="565"/>
      <c r="S46" s="565"/>
      <c r="T46" s="565"/>
      <c r="U46" s="565"/>
      <c r="V46" s="566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customHeight="1" x14ac:dyDescent="0.25">
      <c r="A47" s="559" t="s">
        <v>86</v>
      </c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  <c r="AA47" s="66"/>
      <c r="AB47" s="66"/>
      <c r="AC47" s="80"/>
    </row>
    <row r="48" spans="1:68" ht="16.5" customHeight="1" x14ac:dyDescent="0.25">
      <c r="A48" s="63" t="s">
        <v>125</v>
      </c>
      <c r="B48" s="63" t="s">
        <v>126</v>
      </c>
      <c r="C48" s="36">
        <v>4301051820</v>
      </c>
      <c r="D48" s="560">
        <v>4680115884915</v>
      </c>
      <c r="E48" s="560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62"/>
      <c r="R48" s="562"/>
      <c r="S48" s="562"/>
      <c r="T48" s="563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x14ac:dyDescent="0.2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8"/>
      <c r="P49" s="564" t="s">
        <v>40</v>
      </c>
      <c r="Q49" s="565"/>
      <c r="R49" s="565"/>
      <c r="S49" s="565"/>
      <c r="T49" s="565"/>
      <c r="U49" s="565"/>
      <c r="V49" s="566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x14ac:dyDescent="0.2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8"/>
      <c r="P50" s="564" t="s">
        <v>40</v>
      </c>
      <c r="Q50" s="565"/>
      <c r="R50" s="565"/>
      <c r="S50" s="565"/>
      <c r="T50" s="565"/>
      <c r="U50" s="565"/>
      <c r="V50" s="566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customHeight="1" x14ac:dyDescent="0.25">
      <c r="A51" s="558" t="s">
        <v>128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65"/>
      <c r="AB51" s="65"/>
      <c r="AC51" s="79"/>
    </row>
    <row r="52" spans="1:68" ht="14.25" customHeight="1" x14ac:dyDescent="0.25">
      <c r="A52" s="559" t="s">
        <v>114</v>
      </c>
      <c r="B52" s="559"/>
      <c r="C52" s="559"/>
      <c r="D52" s="559"/>
      <c r="E52" s="559"/>
      <c r="F52" s="559"/>
      <c r="G52" s="559"/>
      <c r="H52" s="559"/>
      <c r="I52" s="559"/>
      <c r="J52" s="559"/>
      <c r="K52" s="559"/>
      <c r="L52" s="559"/>
      <c r="M52" s="559"/>
      <c r="N52" s="559"/>
      <c r="O52" s="559"/>
      <c r="P52" s="559"/>
      <c r="Q52" s="559"/>
      <c r="R52" s="559"/>
      <c r="S52" s="559"/>
      <c r="T52" s="559"/>
      <c r="U52" s="559"/>
      <c r="V52" s="559"/>
      <c r="W52" s="559"/>
      <c r="X52" s="559"/>
      <c r="Y52" s="559"/>
      <c r="Z52" s="559"/>
      <c r="AA52" s="66"/>
      <c r="AB52" s="66"/>
      <c r="AC52" s="80"/>
    </row>
    <row r="53" spans="1:68" ht="27" customHeight="1" x14ac:dyDescent="0.25">
      <c r="A53" s="63" t="s">
        <v>129</v>
      </c>
      <c r="B53" s="63" t="s">
        <v>130</v>
      </c>
      <c r="C53" s="36">
        <v>4301012030</v>
      </c>
      <c r="D53" s="560">
        <v>4680115885882</v>
      </c>
      <c r="E53" s="560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62"/>
      <c r="R53" s="562"/>
      <c r="S53" s="562"/>
      <c r="T53" s="563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4301011816</v>
      </c>
      <c r="D54" s="560">
        <v>4680115881426</v>
      </c>
      <c r="E54" s="560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7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62"/>
      <c r="R54" s="562"/>
      <c r="S54" s="562"/>
      <c r="T54" s="563"/>
      <c r="U54" s="39" t="s">
        <v>45</v>
      </c>
      <c r="V54" s="39" t="s">
        <v>45</v>
      </c>
      <c r="W54" s="40" t="s">
        <v>0</v>
      </c>
      <c r="X54" s="58">
        <v>86.4</v>
      </c>
      <c r="Y54" s="55">
        <f t="shared" si="6"/>
        <v>86.4</v>
      </c>
      <c r="Z54" s="41">
        <f>IFERROR(IF(Y54=0,"",ROUNDUP(Y54/H54,0)*0.01898),"")</f>
        <v>0.15184</v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89.68</v>
      </c>
      <c r="BN54" s="78">
        <f t="shared" si="8"/>
        <v>89.68</v>
      </c>
      <c r="BO54" s="78">
        <f t="shared" si="9"/>
        <v>0.125</v>
      </c>
      <c r="BP54" s="78">
        <f t="shared" si="10"/>
        <v>0.125</v>
      </c>
    </row>
    <row r="55" spans="1:68" ht="27" customHeight="1" x14ac:dyDescent="0.25">
      <c r="A55" s="63" t="s">
        <v>135</v>
      </c>
      <c r="B55" s="63" t="s">
        <v>136</v>
      </c>
      <c r="C55" s="36">
        <v>4301011386</v>
      </c>
      <c r="D55" s="560">
        <v>4680115880283</v>
      </c>
      <c r="E55" s="560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7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62"/>
      <c r="R55" s="562"/>
      <c r="S55" s="562"/>
      <c r="T55" s="563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4301011806</v>
      </c>
      <c r="D56" s="560">
        <v>4680115881525</v>
      </c>
      <c r="E56" s="560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79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62"/>
      <c r="R56" s="562"/>
      <c r="S56" s="562"/>
      <c r="T56" s="563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4301011589</v>
      </c>
      <c r="D57" s="560">
        <v>4680115885899</v>
      </c>
      <c r="E57" s="560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62"/>
      <c r="R57" s="562"/>
      <c r="S57" s="562"/>
      <c r="T57" s="563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customHeight="1" x14ac:dyDescent="0.25">
      <c r="A58" s="63" t="s">
        <v>144</v>
      </c>
      <c r="B58" s="63" t="s">
        <v>145</v>
      </c>
      <c r="C58" s="36">
        <v>4301011801</v>
      </c>
      <c r="D58" s="560">
        <v>4680115881419</v>
      </c>
      <c r="E58" s="560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62"/>
      <c r="R58" s="562"/>
      <c r="S58" s="562"/>
      <c r="T58" s="563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x14ac:dyDescent="0.2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8"/>
      <c r="P59" s="564" t="s">
        <v>40</v>
      </c>
      <c r="Q59" s="565"/>
      <c r="R59" s="565"/>
      <c r="S59" s="565"/>
      <c r="T59" s="565"/>
      <c r="U59" s="565"/>
      <c r="V59" s="566"/>
      <c r="W59" s="42" t="s">
        <v>39</v>
      </c>
      <c r="X59" s="43">
        <f>IFERROR(X53/H53,"0")+IFERROR(X54/H54,"0")+IFERROR(X55/H55,"0")+IFERROR(X56/H56,"0")+IFERROR(X57/H57,"0")+IFERROR(X58/H58,"0")</f>
        <v>8</v>
      </c>
      <c r="Y59" s="43">
        <f>IFERROR(Y53/H53,"0")+IFERROR(Y54/H54,"0")+IFERROR(Y55/H55,"0")+IFERROR(Y56/H56,"0")+IFERROR(Y57/H57,"0")+IFERROR(Y58/H58,"0")</f>
        <v>8</v>
      </c>
      <c r="Z59" s="43">
        <f>IFERROR(IF(Z53="",0,Z53),"0")+IFERROR(IF(Z54="",0,Z54),"0")+IFERROR(IF(Z55="",0,Z55),"0")+IFERROR(IF(Z56="",0,Z56),"0")+IFERROR(IF(Z57="",0,Z57),"0")+IFERROR(IF(Z58="",0,Z58),"0")</f>
        <v>0.15184</v>
      </c>
      <c r="AA59" s="67"/>
      <c r="AB59" s="67"/>
      <c r="AC59" s="67"/>
    </row>
    <row r="60" spans="1:68" x14ac:dyDescent="0.2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8"/>
      <c r="P60" s="564" t="s">
        <v>40</v>
      </c>
      <c r="Q60" s="565"/>
      <c r="R60" s="565"/>
      <c r="S60" s="565"/>
      <c r="T60" s="565"/>
      <c r="U60" s="565"/>
      <c r="V60" s="566"/>
      <c r="W60" s="42" t="s">
        <v>0</v>
      </c>
      <c r="X60" s="43">
        <f>IFERROR(SUM(X53:X58),"0")</f>
        <v>86.4</v>
      </c>
      <c r="Y60" s="43">
        <f>IFERROR(SUM(Y53:Y58),"0")</f>
        <v>86.4</v>
      </c>
      <c r="Z60" s="42"/>
      <c r="AA60" s="67"/>
      <c r="AB60" s="67"/>
      <c r="AC60" s="67"/>
    </row>
    <row r="61" spans="1:68" ht="14.25" customHeight="1" x14ac:dyDescent="0.25">
      <c r="A61" s="559" t="s">
        <v>147</v>
      </c>
      <c r="B61" s="559"/>
      <c r="C61" s="559"/>
      <c r="D61" s="559"/>
      <c r="E61" s="559"/>
      <c r="F61" s="559"/>
      <c r="G61" s="559"/>
      <c r="H61" s="559"/>
      <c r="I61" s="559"/>
      <c r="J61" s="559"/>
      <c r="K61" s="559"/>
      <c r="L61" s="559"/>
      <c r="M61" s="559"/>
      <c r="N61" s="559"/>
      <c r="O61" s="559"/>
      <c r="P61" s="559"/>
      <c r="Q61" s="559"/>
      <c r="R61" s="559"/>
      <c r="S61" s="559"/>
      <c r="T61" s="559"/>
      <c r="U61" s="559"/>
      <c r="V61" s="559"/>
      <c r="W61" s="559"/>
      <c r="X61" s="559"/>
      <c r="Y61" s="559"/>
      <c r="Z61" s="559"/>
      <c r="AA61" s="66"/>
      <c r="AB61" s="66"/>
      <c r="AC61" s="80"/>
    </row>
    <row r="62" spans="1:68" ht="16.5" customHeight="1" x14ac:dyDescent="0.25">
      <c r="A62" s="63" t="s">
        <v>148</v>
      </c>
      <c r="B62" s="63" t="s">
        <v>149</v>
      </c>
      <c r="C62" s="36">
        <v>4301020298</v>
      </c>
      <c r="D62" s="560">
        <v>4680115881440</v>
      </c>
      <c r="E62" s="560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7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62"/>
      <c r="R62" s="562"/>
      <c r="S62" s="562"/>
      <c r="T62" s="563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151</v>
      </c>
      <c r="B63" s="63" t="s">
        <v>152</v>
      </c>
      <c r="C63" s="36">
        <v>4301020358</v>
      </c>
      <c r="D63" s="560">
        <v>4680115885950</v>
      </c>
      <c r="E63" s="560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78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62"/>
      <c r="R63" s="562"/>
      <c r="S63" s="562"/>
      <c r="T63" s="563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customHeight="1" x14ac:dyDescent="0.25">
      <c r="A64" s="63" t="s">
        <v>153</v>
      </c>
      <c r="B64" s="63" t="s">
        <v>154</v>
      </c>
      <c r="C64" s="36">
        <v>4301020371</v>
      </c>
      <c r="D64" s="560">
        <v>4680115887688</v>
      </c>
      <c r="E64" s="560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7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62"/>
      <c r="R64" s="562"/>
      <c r="S64" s="562"/>
      <c r="T64" s="563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customHeight="1" x14ac:dyDescent="0.25">
      <c r="A65" s="63" t="s">
        <v>157</v>
      </c>
      <c r="B65" s="63" t="s">
        <v>158</v>
      </c>
      <c r="C65" s="36">
        <v>4301020296</v>
      </c>
      <c r="D65" s="560">
        <v>4680115881433</v>
      </c>
      <c r="E65" s="560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7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62"/>
      <c r="R65" s="562"/>
      <c r="S65" s="562"/>
      <c r="T65" s="563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x14ac:dyDescent="0.2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8"/>
      <c r="P66" s="564" t="s">
        <v>40</v>
      </c>
      <c r="Q66" s="565"/>
      <c r="R66" s="565"/>
      <c r="S66" s="565"/>
      <c r="T66" s="565"/>
      <c r="U66" s="565"/>
      <c r="V66" s="566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8"/>
      <c r="P67" s="564" t="s">
        <v>40</v>
      </c>
      <c r="Q67" s="565"/>
      <c r="R67" s="565"/>
      <c r="S67" s="565"/>
      <c r="T67" s="565"/>
      <c r="U67" s="565"/>
      <c r="V67" s="566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customHeight="1" x14ac:dyDescent="0.25">
      <c r="A68" s="559" t="s">
        <v>76</v>
      </c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59"/>
      <c r="P68" s="559"/>
      <c r="Q68" s="559"/>
      <c r="R68" s="559"/>
      <c r="S68" s="559"/>
      <c r="T68" s="559"/>
      <c r="U68" s="559"/>
      <c r="V68" s="559"/>
      <c r="W68" s="559"/>
      <c r="X68" s="559"/>
      <c r="Y68" s="559"/>
      <c r="Z68" s="559"/>
      <c r="AA68" s="66"/>
      <c r="AB68" s="66"/>
      <c r="AC68" s="80"/>
    </row>
    <row r="69" spans="1:68" ht="27" customHeight="1" x14ac:dyDescent="0.25">
      <c r="A69" s="63" t="s">
        <v>159</v>
      </c>
      <c r="B69" s="63" t="s">
        <v>160</v>
      </c>
      <c r="C69" s="36">
        <v>4301031316</v>
      </c>
      <c r="D69" s="560">
        <v>4680115885097</v>
      </c>
      <c r="E69" s="560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78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2"/>
      <c r="R69" s="562"/>
      <c r="S69" s="562"/>
      <c r="T69" s="563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8"/>
      <c r="P70" s="564" t="s">
        <v>40</v>
      </c>
      <c r="Q70" s="565"/>
      <c r="R70" s="565"/>
      <c r="S70" s="565"/>
      <c r="T70" s="565"/>
      <c r="U70" s="565"/>
      <c r="V70" s="566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x14ac:dyDescent="0.2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8"/>
      <c r="P71" s="564" t="s">
        <v>40</v>
      </c>
      <c r="Q71" s="565"/>
      <c r="R71" s="565"/>
      <c r="S71" s="565"/>
      <c r="T71" s="565"/>
      <c r="U71" s="565"/>
      <c r="V71" s="566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customHeight="1" x14ac:dyDescent="0.25">
      <c r="A72" s="559" t="s">
        <v>86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66"/>
      <c r="AB72" s="66"/>
      <c r="AC72" s="80"/>
    </row>
    <row r="73" spans="1:68" ht="27" customHeight="1" x14ac:dyDescent="0.25">
      <c r="A73" s="63" t="s">
        <v>162</v>
      </c>
      <c r="B73" s="63" t="s">
        <v>163</v>
      </c>
      <c r="C73" s="36">
        <v>4301051846</v>
      </c>
      <c r="D73" s="560">
        <v>4680115885769</v>
      </c>
      <c r="E73" s="560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78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2"/>
      <c r="R73" s="562"/>
      <c r="S73" s="562"/>
      <c r="T73" s="563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165</v>
      </c>
      <c r="B74" s="63" t="s">
        <v>166</v>
      </c>
      <c r="C74" s="36">
        <v>4301051837</v>
      </c>
      <c r="D74" s="560">
        <v>4680115884311</v>
      </c>
      <c r="E74" s="560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77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2"/>
      <c r="R74" s="562"/>
      <c r="S74" s="562"/>
      <c r="T74" s="563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4301051844</v>
      </c>
      <c r="D75" s="560">
        <v>4680115885929</v>
      </c>
      <c r="E75" s="560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78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2"/>
      <c r="R75" s="562"/>
      <c r="S75" s="562"/>
      <c r="T75" s="563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170</v>
      </c>
      <c r="B76" s="63" t="s">
        <v>171</v>
      </c>
      <c r="C76" s="36">
        <v>4301051929</v>
      </c>
      <c r="D76" s="560">
        <v>4680115884403</v>
      </c>
      <c r="E76" s="56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7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2"/>
      <c r="R76" s="562"/>
      <c r="S76" s="562"/>
      <c r="T76" s="563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8"/>
      <c r="P77" s="564" t="s">
        <v>40</v>
      </c>
      <c r="Q77" s="565"/>
      <c r="R77" s="565"/>
      <c r="S77" s="565"/>
      <c r="T77" s="565"/>
      <c r="U77" s="565"/>
      <c r="V77" s="566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8"/>
      <c r="P78" s="564" t="s">
        <v>40</v>
      </c>
      <c r="Q78" s="565"/>
      <c r="R78" s="565"/>
      <c r="S78" s="565"/>
      <c r="T78" s="565"/>
      <c r="U78" s="565"/>
      <c r="V78" s="566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559" t="s">
        <v>173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560">
        <v>4680115881532</v>
      </c>
      <c r="E80" s="56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2"/>
      <c r="R80" s="562"/>
      <c r="S80" s="562"/>
      <c r="T80" s="563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177</v>
      </c>
      <c r="B81" s="63" t="s">
        <v>178</v>
      </c>
      <c r="C81" s="36">
        <v>4301060351</v>
      </c>
      <c r="D81" s="560">
        <v>4680115881464</v>
      </c>
      <c r="E81" s="560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2"/>
      <c r="R81" s="562"/>
      <c r="S81" s="562"/>
      <c r="T81" s="563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8"/>
      <c r="P82" s="564" t="s">
        <v>40</v>
      </c>
      <c r="Q82" s="565"/>
      <c r="R82" s="565"/>
      <c r="S82" s="565"/>
      <c r="T82" s="565"/>
      <c r="U82" s="565"/>
      <c r="V82" s="566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8"/>
      <c r="P83" s="564" t="s">
        <v>40</v>
      </c>
      <c r="Q83" s="565"/>
      <c r="R83" s="565"/>
      <c r="S83" s="565"/>
      <c r="T83" s="565"/>
      <c r="U83" s="565"/>
      <c r="V83" s="566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558" t="s">
        <v>180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65"/>
      <c r="AB84" s="65"/>
      <c r="AC84" s="79"/>
    </row>
    <row r="85" spans="1:68" ht="14.25" customHeight="1" x14ac:dyDescent="0.25">
      <c r="A85" s="559" t="s">
        <v>114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66"/>
      <c r="AB85" s="66"/>
      <c r="AC85" s="80"/>
    </row>
    <row r="86" spans="1:68" ht="27" customHeight="1" x14ac:dyDescent="0.25">
      <c r="A86" s="63" t="s">
        <v>181</v>
      </c>
      <c r="B86" s="63" t="s">
        <v>182</v>
      </c>
      <c r="C86" s="36">
        <v>4301011468</v>
      </c>
      <c r="D86" s="560">
        <v>4680115881327</v>
      </c>
      <c r="E86" s="560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2"/>
      <c r="R86" s="562"/>
      <c r="S86" s="562"/>
      <c r="T86" s="563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4301011261</v>
      </c>
      <c r="D87" s="560">
        <v>4680115887732</v>
      </c>
      <c r="E87" s="560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7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62"/>
      <c r="R87" s="562"/>
      <c r="S87" s="562"/>
      <c r="T87" s="563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187</v>
      </c>
      <c r="B88" s="63" t="s">
        <v>188</v>
      </c>
      <c r="C88" s="36">
        <v>4301011476</v>
      </c>
      <c r="D88" s="560">
        <v>4680115881518</v>
      </c>
      <c r="E88" s="560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7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2"/>
      <c r="R88" s="562"/>
      <c r="S88" s="562"/>
      <c r="T88" s="563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189</v>
      </c>
      <c r="B89" s="63" t="s">
        <v>190</v>
      </c>
      <c r="C89" s="36">
        <v>4301011443</v>
      </c>
      <c r="D89" s="560">
        <v>4680115881303</v>
      </c>
      <c r="E89" s="560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77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2"/>
      <c r="R89" s="562"/>
      <c r="S89" s="562"/>
      <c r="T89" s="563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8"/>
      <c r="P90" s="564" t="s">
        <v>40</v>
      </c>
      <c r="Q90" s="565"/>
      <c r="R90" s="565"/>
      <c r="S90" s="565"/>
      <c r="T90" s="565"/>
      <c r="U90" s="565"/>
      <c r="V90" s="566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8"/>
      <c r="P91" s="564" t="s">
        <v>40</v>
      </c>
      <c r="Q91" s="565"/>
      <c r="R91" s="565"/>
      <c r="S91" s="565"/>
      <c r="T91" s="565"/>
      <c r="U91" s="565"/>
      <c r="V91" s="566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559" t="s">
        <v>86</v>
      </c>
      <c r="B92" s="559"/>
      <c r="C92" s="559"/>
      <c r="D92" s="559"/>
      <c r="E92" s="559"/>
      <c r="F92" s="559"/>
      <c r="G92" s="559"/>
      <c r="H92" s="559"/>
      <c r="I92" s="559"/>
      <c r="J92" s="559"/>
      <c r="K92" s="559"/>
      <c r="L92" s="559"/>
      <c r="M92" s="559"/>
      <c r="N92" s="559"/>
      <c r="O92" s="559"/>
      <c r="P92" s="559"/>
      <c r="Q92" s="559"/>
      <c r="R92" s="559"/>
      <c r="S92" s="559"/>
      <c r="T92" s="559"/>
      <c r="U92" s="559"/>
      <c r="V92" s="559"/>
      <c r="W92" s="559"/>
      <c r="X92" s="559"/>
      <c r="Y92" s="559"/>
      <c r="Z92" s="559"/>
      <c r="AA92" s="66"/>
      <c r="AB92" s="66"/>
      <c r="AC92" s="80"/>
    </row>
    <row r="93" spans="1:68" ht="27" customHeight="1" x14ac:dyDescent="0.25">
      <c r="A93" s="63" t="s">
        <v>191</v>
      </c>
      <c r="B93" s="63" t="s">
        <v>192</v>
      </c>
      <c r="C93" s="36">
        <v>4301051712</v>
      </c>
      <c r="D93" s="560">
        <v>4607091386967</v>
      </c>
      <c r="E93" s="560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7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2"/>
      <c r="R93" s="562"/>
      <c r="S93" s="562"/>
      <c r="T93" s="563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194</v>
      </c>
      <c r="B94" s="63" t="s">
        <v>195</v>
      </c>
      <c r="C94" s="36">
        <v>4301051788</v>
      </c>
      <c r="D94" s="560">
        <v>4680115884953</v>
      </c>
      <c r="E94" s="560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2"/>
      <c r="R94" s="562"/>
      <c r="S94" s="562"/>
      <c r="T94" s="563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196</v>
      </c>
      <c r="B95" s="63" t="s">
        <v>197</v>
      </c>
      <c r="C95" s="36">
        <v>4301051718</v>
      </c>
      <c r="D95" s="560">
        <v>4607091385731</v>
      </c>
      <c r="E95" s="560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2"/>
      <c r="R95" s="562"/>
      <c r="S95" s="562"/>
      <c r="T95" s="563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198</v>
      </c>
      <c r="B96" s="63" t="s">
        <v>199</v>
      </c>
      <c r="C96" s="36">
        <v>4301051438</v>
      </c>
      <c r="D96" s="560">
        <v>4680115880894</v>
      </c>
      <c r="E96" s="560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2"/>
      <c r="R96" s="562"/>
      <c r="S96" s="562"/>
      <c r="T96" s="563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8"/>
      <c r="P97" s="564" t="s">
        <v>40</v>
      </c>
      <c r="Q97" s="565"/>
      <c r="R97" s="565"/>
      <c r="S97" s="565"/>
      <c r="T97" s="565"/>
      <c r="U97" s="565"/>
      <c r="V97" s="56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8"/>
      <c r="P98" s="564" t="s">
        <v>40</v>
      </c>
      <c r="Q98" s="565"/>
      <c r="R98" s="565"/>
      <c r="S98" s="565"/>
      <c r="T98" s="565"/>
      <c r="U98" s="565"/>
      <c r="V98" s="56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558" t="s">
        <v>201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65"/>
      <c r="AB99" s="65"/>
      <c r="AC99" s="79"/>
    </row>
    <row r="100" spans="1:68" ht="14.25" customHeight="1" x14ac:dyDescent="0.25">
      <c r="A100" s="559" t="s">
        <v>114</v>
      </c>
      <c r="B100" s="559"/>
      <c r="C100" s="559"/>
      <c r="D100" s="559"/>
      <c r="E100" s="559"/>
      <c r="F100" s="559"/>
      <c r="G100" s="559"/>
      <c r="H100" s="559"/>
      <c r="I100" s="559"/>
      <c r="J100" s="559"/>
      <c r="K100" s="559"/>
      <c r="L100" s="559"/>
      <c r="M100" s="559"/>
      <c r="N100" s="559"/>
      <c r="O100" s="559"/>
      <c r="P100" s="559"/>
      <c r="Q100" s="559"/>
      <c r="R100" s="559"/>
      <c r="S100" s="559"/>
      <c r="T100" s="559"/>
      <c r="U100" s="559"/>
      <c r="V100" s="559"/>
      <c r="W100" s="559"/>
      <c r="X100" s="559"/>
      <c r="Y100" s="559"/>
      <c r="Z100" s="559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560">
        <v>4680115882133</v>
      </c>
      <c r="E101" s="560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2"/>
      <c r="R101" s="562"/>
      <c r="S101" s="562"/>
      <c r="T101" s="563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customHeight="1" x14ac:dyDescent="0.25">
      <c r="A102" s="63" t="s">
        <v>205</v>
      </c>
      <c r="B102" s="63" t="s">
        <v>206</v>
      </c>
      <c r="C102" s="36">
        <v>4301012051</v>
      </c>
      <c r="D102" s="560">
        <v>4680115887718</v>
      </c>
      <c r="E102" s="560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62"/>
      <c r="R102" s="562"/>
      <c r="S102" s="562"/>
      <c r="T102" s="563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208</v>
      </c>
      <c r="B103" s="63" t="s">
        <v>209</v>
      </c>
      <c r="C103" s="36">
        <v>4301011417</v>
      </c>
      <c r="D103" s="560">
        <v>4680115880269</v>
      </c>
      <c r="E103" s="560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7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2"/>
      <c r="R103" s="562"/>
      <c r="S103" s="562"/>
      <c r="T103" s="563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210</v>
      </c>
      <c r="B104" s="63" t="s">
        <v>211</v>
      </c>
      <c r="C104" s="36">
        <v>4301011415</v>
      </c>
      <c r="D104" s="560">
        <v>4680115880429</v>
      </c>
      <c r="E104" s="560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7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2"/>
      <c r="R104" s="562"/>
      <c r="S104" s="562"/>
      <c r="T104" s="563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4301011462</v>
      </c>
      <c r="D105" s="560">
        <v>4680115881457</v>
      </c>
      <c r="E105" s="560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7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2"/>
      <c r="R105" s="562"/>
      <c r="S105" s="562"/>
      <c r="T105" s="563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8"/>
      <c r="P106" s="564" t="s">
        <v>40</v>
      </c>
      <c r="Q106" s="565"/>
      <c r="R106" s="565"/>
      <c r="S106" s="565"/>
      <c r="T106" s="565"/>
      <c r="U106" s="565"/>
      <c r="V106" s="566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8"/>
      <c r="P107" s="564" t="s">
        <v>40</v>
      </c>
      <c r="Q107" s="565"/>
      <c r="R107" s="565"/>
      <c r="S107" s="565"/>
      <c r="T107" s="565"/>
      <c r="U107" s="565"/>
      <c r="V107" s="566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customHeight="1" x14ac:dyDescent="0.25">
      <c r="A108" s="559" t="s">
        <v>147</v>
      </c>
      <c r="B108" s="559"/>
      <c r="C108" s="559"/>
      <c r="D108" s="559"/>
      <c r="E108" s="559"/>
      <c r="F108" s="559"/>
      <c r="G108" s="559"/>
      <c r="H108" s="559"/>
      <c r="I108" s="559"/>
      <c r="J108" s="559"/>
      <c r="K108" s="559"/>
      <c r="L108" s="559"/>
      <c r="M108" s="559"/>
      <c r="N108" s="559"/>
      <c r="O108" s="559"/>
      <c r="P108" s="559"/>
      <c r="Q108" s="559"/>
      <c r="R108" s="559"/>
      <c r="S108" s="559"/>
      <c r="T108" s="559"/>
      <c r="U108" s="559"/>
      <c r="V108" s="559"/>
      <c r="W108" s="559"/>
      <c r="X108" s="559"/>
      <c r="Y108" s="559"/>
      <c r="Z108" s="559"/>
      <c r="AA108" s="66"/>
      <c r="AB108" s="66"/>
      <c r="AC108" s="80"/>
    </row>
    <row r="109" spans="1:68" ht="16.5" customHeight="1" x14ac:dyDescent="0.25">
      <c r="A109" s="63" t="s">
        <v>214</v>
      </c>
      <c r="B109" s="63" t="s">
        <v>215</v>
      </c>
      <c r="C109" s="36">
        <v>4301020345</v>
      </c>
      <c r="D109" s="560">
        <v>4680115881488</v>
      </c>
      <c r="E109" s="560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76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2"/>
      <c r="R109" s="562"/>
      <c r="S109" s="562"/>
      <c r="T109" s="563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217</v>
      </c>
      <c r="B110" s="63" t="s">
        <v>218</v>
      </c>
      <c r="C110" s="36">
        <v>4301020186</v>
      </c>
      <c r="D110" s="560">
        <v>4680115887664</v>
      </c>
      <c r="E110" s="560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62"/>
      <c r="R110" s="562"/>
      <c r="S110" s="562"/>
      <c r="T110" s="563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221</v>
      </c>
      <c r="B111" s="63" t="s">
        <v>222</v>
      </c>
      <c r="C111" s="36">
        <v>4301020346</v>
      </c>
      <c r="D111" s="560">
        <v>4680115882775</v>
      </c>
      <c r="E111" s="560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2"/>
      <c r="R111" s="562"/>
      <c r="S111" s="562"/>
      <c r="T111" s="563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223</v>
      </c>
      <c r="B112" s="63" t="s">
        <v>224</v>
      </c>
      <c r="C112" s="36">
        <v>4301020344</v>
      </c>
      <c r="D112" s="560">
        <v>4680115880658</v>
      </c>
      <c r="E112" s="560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76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2"/>
      <c r="R112" s="562"/>
      <c r="S112" s="562"/>
      <c r="T112" s="563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8"/>
      <c r="P113" s="564" t="s">
        <v>40</v>
      </c>
      <c r="Q113" s="565"/>
      <c r="R113" s="565"/>
      <c r="S113" s="565"/>
      <c r="T113" s="565"/>
      <c r="U113" s="565"/>
      <c r="V113" s="566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8"/>
      <c r="P114" s="564" t="s">
        <v>40</v>
      </c>
      <c r="Q114" s="565"/>
      <c r="R114" s="565"/>
      <c r="S114" s="565"/>
      <c r="T114" s="565"/>
      <c r="U114" s="565"/>
      <c r="V114" s="566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559" t="s">
        <v>86</v>
      </c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66"/>
      <c r="AB115" s="66"/>
      <c r="AC115" s="80"/>
    </row>
    <row r="116" spans="1:68" ht="27" customHeight="1" x14ac:dyDescent="0.25">
      <c r="A116" s="63" t="s">
        <v>225</v>
      </c>
      <c r="B116" s="63" t="s">
        <v>226</v>
      </c>
      <c r="C116" s="36">
        <v>4301051724</v>
      </c>
      <c r="D116" s="560">
        <v>4607091385168</v>
      </c>
      <c r="E116" s="560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2"/>
      <c r="R116" s="562"/>
      <c r="S116" s="562"/>
      <c r="T116" s="563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228</v>
      </c>
      <c r="B117" s="63" t="s">
        <v>229</v>
      </c>
      <c r="C117" s="36">
        <v>4301051730</v>
      </c>
      <c r="D117" s="560">
        <v>4607091383256</v>
      </c>
      <c r="E117" s="560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2"/>
      <c r="R117" s="562"/>
      <c r="S117" s="562"/>
      <c r="T117" s="563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230</v>
      </c>
      <c r="B118" s="63" t="s">
        <v>231</v>
      </c>
      <c r="C118" s="36">
        <v>4301051721</v>
      </c>
      <c r="D118" s="560">
        <v>4607091385748</v>
      </c>
      <c r="E118" s="560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2"/>
      <c r="R118" s="562"/>
      <c r="S118" s="562"/>
      <c r="T118" s="563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232</v>
      </c>
      <c r="B119" s="63" t="s">
        <v>233</v>
      </c>
      <c r="C119" s="36">
        <v>4301051740</v>
      </c>
      <c r="D119" s="560">
        <v>4680115884533</v>
      </c>
      <c r="E119" s="560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2"/>
      <c r="R119" s="562"/>
      <c r="S119" s="562"/>
      <c r="T119" s="563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8"/>
      <c r="P120" s="564" t="s">
        <v>40</v>
      </c>
      <c r="Q120" s="565"/>
      <c r="R120" s="565"/>
      <c r="S120" s="565"/>
      <c r="T120" s="565"/>
      <c r="U120" s="565"/>
      <c r="V120" s="56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8"/>
      <c r="P121" s="564" t="s">
        <v>40</v>
      </c>
      <c r="Q121" s="565"/>
      <c r="R121" s="565"/>
      <c r="S121" s="565"/>
      <c r="T121" s="565"/>
      <c r="U121" s="565"/>
      <c r="V121" s="56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559" t="s">
        <v>173</v>
      </c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66"/>
      <c r="AB122" s="66"/>
      <c r="AC122" s="80"/>
    </row>
    <row r="123" spans="1:68" ht="16.5" customHeight="1" x14ac:dyDescent="0.25">
      <c r="A123" s="63" t="s">
        <v>235</v>
      </c>
      <c r="B123" s="63" t="s">
        <v>236</v>
      </c>
      <c r="C123" s="36">
        <v>4301060317</v>
      </c>
      <c r="D123" s="560">
        <v>4680115880238</v>
      </c>
      <c r="E123" s="560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2"/>
      <c r="R123" s="562"/>
      <c r="S123" s="562"/>
      <c r="T123" s="563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8"/>
      <c r="P124" s="564" t="s">
        <v>40</v>
      </c>
      <c r="Q124" s="565"/>
      <c r="R124" s="565"/>
      <c r="S124" s="565"/>
      <c r="T124" s="565"/>
      <c r="U124" s="565"/>
      <c r="V124" s="56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8"/>
      <c r="P125" s="564" t="s">
        <v>40</v>
      </c>
      <c r="Q125" s="565"/>
      <c r="R125" s="565"/>
      <c r="S125" s="565"/>
      <c r="T125" s="565"/>
      <c r="U125" s="565"/>
      <c r="V125" s="56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558" t="s">
        <v>238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65"/>
      <c r="AB126" s="65"/>
      <c r="AC126" s="79"/>
    </row>
    <row r="127" spans="1:68" ht="14.25" customHeight="1" x14ac:dyDescent="0.25">
      <c r="A127" s="559" t="s">
        <v>114</v>
      </c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66"/>
      <c r="AB127" s="66"/>
      <c r="AC127" s="80"/>
    </row>
    <row r="128" spans="1:68" ht="27" customHeight="1" x14ac:dyDescent="0.25">
      <c r="A128" s="63" t="s">
        <v>239</v>
      </c>
      <c r="B128" s="63" t="s">
        <v>240</v>
      </c>
      <c r="C128" s="36">
        <v>4301011564</v>
      </c>
      <c r="D128" s="560">
        <v>4680115882577</v>
      </c>
      <c r="E128" s="560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7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2"/>
      <c r="R128" s="562"/>
      <c r="S128" s="562"/>
      <c r="T128" s="563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239</v>
      </c>
      <c r="B129" s="63" t="s">
        <v>242</v>
      </c>
      <c r="C129" s="36">
        <v>4301011562</v>
      </c>
      <c r="D129" s="560">
        <v>4680115882577</v>
      </c>
      <c r="E129" s="560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62"/>
      <c r="R129" s="562"/>
      <c r="S129" s="562"/>
      <c r="T129" s="563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8"/>
      <c r="P130" s="564" t="s">
        <v>40</v>
      </c>
      <c r="Q130" s="565"/>
      <c r="R130" s="565"/>
      <c r="S130" s="565"/>
      <c r="T130" s="565"/>
      <c r="U130" s="565"/>
      <c r="V130" s="566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8"/>
      <c r="P131" s="564" t="s">
        <v>40</v>
      </c>
      <c r="Q131" s="565"/>
      <c r="R131" s="565"/>
      <c r="S131" s="565"/>
      <c r="T131" s="565"/>
      <c r="U131" s="565"/>
      <c r="V131" s="566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559" t="s">
        <v>76</v>
      </c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66"/>
      <c r="AB132" s="66"/>
      <c r="AC132" s="80"/>
    </row>
    <row r="133" spans="1:68" ht="27" customHeight="1" x14ac:dyDescent="0.25">
      <c r="A133" s="63" t="s">
        <v>243</v>
      </c>
      <c r="B133" s="63" t="s">
        <v>244</v>
      </c>
      <c r="C133" s="36">
        <v>4301031234</v>
      </c>
      <c r="D133" s="560">
        <v>4680115883444</v>
      </c>
      <c r="E133" s="560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7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2"/>
      <c r="R133" s="562"/>
      <c r="S133" s="562"/>
      <c r="T133" s="563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243</v>
      </c>
      <c r="B134" s="63" t="s">
        <v>246</v>
      </c>
      <c r="C134" s="36">
        <v>4301031235</v>
      </c>
      <c r="D134" s="560">
        <v>4680115883444</v>
      </c>
      <c r="E134" s="560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75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62"/>
      <c r="R134" s="562"/>
      <c r="S134" s="562"/>
      <c r="T134" s="563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8"/>
      <c r="P135" s="564" t="s">
        <v>40</v>
      </c>
      <c r="Q135" s="565"/>
      <c r="R135" s="565"/>
      <c r="S135" s="565"/>
      <c r="T135" s="565"/>
      <c r="U135" s="565"/>
      <c r="V135" s="566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8"/>
      <c r="P136" s="564" t="s">
        <v>40</v>
      </c>
      <c r="Q136" s="565"/>
      <c r="R136" s="565"/>
      <c r="S136" s="565"/>
      <c r="T136" s="565"/>
      <c r="U136" s="565"/>
      <c r="V136" s="566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559" t="s">
        <v>86</v>
      </c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66"/>
      <c r="AB137" s="66"/>
      <c r="AC137" s="80"/>
    </row>
    <row r="138" spans="1:68" ht="16.5" customHeight="1" x14ac:dyDescent="0.25">
      <c r="A138" s="63" t="s">
        <v>247</v>
      </c>
      <c r="B138" s="63" t="s">
        <v>248</v>
      </c>
      <c r="C138" s="36">
        <v>4301051477</v>
      </c>
      <c r="D138" s="560">
        <v>4680115882584</v>
      </c>
      <c r="E138" s="560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2"/>
      <c r="R138" s="562"/>
      <c r="S138" s="562"/>
      <c r="T138" s="563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247</v>
      </c>
      <c r="B139" s="63" t="s">
        <v>249</v>
      </c>
      <c r="C139" s="36">
        <v>4301051476</v>
      </c>
      <c r="D139" s="560">
        <v>4680115882584</v>
      </c>
      <c r="E139" s="560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2"/>
      <c r="R139" s="562"/>
      <c r="S139" s="562"/>
      <c r="T139" s="563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8"/>
      <c r="P140" s="564" t="s">
        <v>40</v>
      </c>
      <c r="Q140" s="565"/>
      <c r="R140" s="565"/>
      <c r="S140" s="565"/>
      <c r="T140" s="565"/>
      <c r="U140" s="565"/>
      <c r="V140" s="566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8"/>
      <c r="P141" s="564" t="s">
        <v>40</v>
      </c>
      <c r="Q141" s="565"/>
      <c r="R141" s="565"/>
      <c r="S141" s="565"/>
      <c r="T141" s="565"/>
      <c r="U141" s="565"/>
      <c r="V141" s="566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558" t="s">
        <v>112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65"/>
      <c r="AB142" s="65"/>
      <c r="AC142" s="79"/>
    </row>
    <row r="143" spans="1:68" ht="14.25" customHeight="1" x14ac:dyDescent="0.25">
      <c r="A143" s="559" t="s">
        <v>114</v>
      </c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66"/>
      <c r="AB143" s="66"/>
      <c r="AC143" s="80"/>
    </row>
    <row r="144" spans="1:68" ht="27" customHeight="1" x14ac:dyDescent="0.25">
      <c r="A144" s="63" t="s">
        <v>250</v>
      </c>
      <c r="B144" s="63" t="s">
        <v>251</v>
      </c>
      <c r="C144" s="36">
        <v>4301012244</v>
      </c>
      <c r="D144" s="560">
        <v>4680115887374</v>
      </c>
      <c r="E144" s="560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2"/>
      <c r="R144" s="562"/>
      <c r="S144" s="562"/>
      <c r="T144" s="563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253</v>
      </c>
      <c r="B145" s="63" t="s">
        <v>254</v>
      </c>
      <c r="C145" s="36">
        <v>4301011705</v>
      </c>
      <c r="D145" s="560">
        <v>4607091384604</v>
      </c>
      <c r="E145" s="560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2"/>
      <c r="R145" s="562"/>
      <c r="S145" s="562"/>
      <c r="T145" s="563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8"/>
      <c r="P146" s="564" t="s">
        <v>40</v>
      </c>
      <c r="Q146" s="565"/>
      <c r="R146" s="565"/>
      <c r="S146" s="565"/>
      <c r="T146" s="565"/>
      <c r="U146" s="565"/>
      <c r="V146" s="566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8"/>
      <c r="P147" s="564" t="s">
        <v>40</v>
      </c>
      <c r="Q147" s="565"/>
      <c r="R147" s="565"/>
      <c r="S147" s="565"/>
      <c r="T147" s="565"/>
      <c r="U147" s="565"/>
      <c r="V147" s="566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559" t="s">
        <v>76</v>
      </c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66"/>
      <c r="AB148" s="66"/>
      <c r="AC148" s="80"/>
    </row>
    <row r="149" spans="1:68" ht="16.5" customHeight="1" x14ac:dyDescent="0.25">
      <c r="A149" s="63" t="s">
        <v>256</v>
      </c>
      <c r="B149" s="63" t="s">
        <v>257</v>
      </c>
      <c r="C149" s="36">
        <v>4301031450</v>
      </c>
      <c r="D149" s="560">
        <v>4680115887428</v>
      </c>
      <c r="E149" s="560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74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2"/>
      <c r="R149" s="562"/>
      <c r="S149" s="562"/>
      <c r="T149" s="563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259</v>
      </c>
      <c r="B150" s="63" t="s">
        <v>260</v>
      </c>
      <c r="C150" s="36">
        <v>4301031453</v>
      </c>
      <c r="D150" s="560">
        <v>4680115887336</v>
      </c>
      <c r="E150" s="560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74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2"/>
      <c r="R150" s="562"/>
      <c r="S150" s="562"/>
      <c r="T150" s="563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262</v>
      </c>
      <c r="B151" s="63" t="s">
        <v>263</v>
      </c>
      <c r="C151" s="36">
        <v>4301030963</v>
      </c>
      <c r="D151" s="560">
        <v>4607091382426</v>
      </c>
      <c r="E151" s="560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2"/>
      <c r="R151" s="562"/>
      <c r="S151" s="562"/>
      <c r="T151" s="563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265</v>
      </c>
      <c r="B152" s="63" t="s">
        <v>266</v>
      </c>
      <c r="C152" s="36">
        <v>4301031456</v>
      </c>
      <c r="D152" s="560">
        <v>4680115887398</v>
      </c>
      <c r="E152" s="560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74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2"/>
      <c r="R152" s="562"/>
      <c r="S152" s="562"/>
      <c r="T152" s="563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268</v>
      </c>
      <c r="B153" s="63" t="s">
        <v>269</v>
      </c>
      <c r="C153" s="36">
        <v>4301031389</v>
      </c>
      <c r="D153" s="560">
        <v>4680115887763</v>
      </c>
      <c r="E153" s="560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745" t="s">
        <v>270</v>
      </c>
      <c r="Q153" s="562"/>
      <c r="R153" s="562"/>
      <c r="S153" s="562"/>
      <c r="T153" s="563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8"/>
      <c r="P154" s="564" t="s">
        <v>40</v>
      </c>
      <c r="Q154" s="565"/>
      <c r="R154" s="565"/>
      <c r="S154" s="565"/>
      <c r="T154" s="565"/>
      <c r="U154" s="565"/>
      <c r="V154" s="566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8"/>
      <c r="P155" s="564" t="s">
        <v>40</v>
      </c>
      <c r="Q155" s="565"/>
      <c r="R155" s="565"/>
      <c r="S155" s="565"/>
      <c r="T155" s="565"/>
      <c r="U155" s="565"/>
      <c r="V155" s="566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customHeight="1" x14ac:dyDescent="0.25">
      <c r="A156" s="559" t="s">
        <v>86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66"/>
      <c r="AB156" s="66"/>
      <c r="AC156" s="80"/>
    </row>
    <row r="157" spans="1:68" ht="27" customHeight="1" x14ac:dyDescent="0.25">
      <c r="A157" s="63" t="s">
        <v>272</v>
      </c>
      <c r="B157" s="63" t="s">
        <v>273</v>
      </c>
      <c r="C157" s="36">
        <v>4301052064</v>
      </c>
      <c r="D157" s="560">
        <v>4680115887459</v>
      </c>
      <c r="E157" s="560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74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2"/>
      <c r="R157" s="562"/>
      <c r="S157" s="562"/>
      <c r="T157" s="563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8"/>
      <c r="P158" s="564" t="s">
        <v>40</v>
      </c>
      <c r="Q158" s="565"/>
      <c r="R158" s="565"/>
      <c r="S158" s="565"/>
      <c r="T158" s="565"/>
      <c r="U158" s="565"/>
      <c r="V158" s="56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8"/>
      <c r="P159" s="564" t="s">
        <v>40</v>
      </c>
      <c r="Q159" s="565"/>
      <c r="R159" s="565"/>
      <c r="S159" s="565"/>
      <c r="T159" s="565"/>
      <c r="U159" s="565"/>
      <c r="V159" s="56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579" t="s">
        <v>275</v>
      </c>
      <c r="B160" s="579"/>
      <c r="C160" s="579"/>
      <c r="D160" s="579"/>
      <c r="E160" s="579"/>
      <c r="F160" s="579"/>
      <c r="G160" s="579"/>
      <c r="H160" s="579"/>
      <c r="I160" s="579"/>
      <c r="J160" s="579"/>
      <c r="K160" s="579"/>
      <c r="L160" s="579"/>
      <c r="M160" s="579"/>
      <c r="N160" s="579"/>
      <c r="O160" s="579"/>
      <c r="P160" s="579"/>
      <c r="Q160" s="579"/>
      <c r="R160" s="579"/>
      <c r="S160" s="579"/>
      <c r="T160" s="579"/>
      <c r="U160" s="579"/>
      <c r="V160" s="579"/>
      <c r="W160" s="579"/>
      <c r="X160" s="579"/>
      <c r="Y160" s="579"/>
      <c r="Z160" s="579"/>
      <c r="AA160" s="54"/>
      <c r="AB160" s="54"/>
      <c r="AC160" s="54"/>
    </row>
    <row r="161" spans="1:68" ht="16.5" customHeight="1" x14ac:dyDescent="0.25">
      <c r="A161" s="558" t="s">
        <v>276</v>
      </c>
      <c r="B161" s="558"/>
      <c r="C161" s="558"/>
      <c r="D161" s="558"/>
      <c r="E161" s="558"/>
      <c r="F161" s="558"/>
      <c r="G161" s="558"/>
      <c r="H161" s="558"/>
      <c r="I161" s="558"/>
      <c r="J161" s="558"/>
      <c r="K161" s="558"/>
      <c r="L161" s="558"/>
      <c r="M161" s="558"/>
      <c r="N161" s="558"/>
      <c r="O161" s="558"/>
      <c r="P161" s="558"/>
      <c r="Q161" s="558"/>
      <c r="R161" s="558"/>
      <c r="S161" s="558"/>
      <c r="T161" s="558"/>
      <c r="U161" s="558"/>
      <c r="V161" s="558"/>
      <c r="W161" s="558"/>
      <c r="X161" s="558"/>
      <c r="Y161" s="558"/>
      <c r="Z161" s="558"/>
      <c r="AA161" s="65"/>
      <c r="AB161" s="65"/>
      <c r="AC161" s="79"/>
    </row>
    <row r="162" spans="1:68" ht="14.25" customHeight="1" x14ac:dyDescent="0.25">
      <c r="A162" s="559" t="s">
        <v>147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66"/>
      <c r="AB162" s="66"/>
      <c r="AC162" s="80"/>
    </row>
    <row r="163" spans="1:68" ht="27" customHeight="1" x14ac:dyDescent="0.25">
      <c r="A163" s="63" t="s">
        <v>277</v>
      </c>
      <c r="B163" s="63" t="s">
        <v>278</v>
      </c>
      <c r="C163" s="36">
        <v>4301020323</v>
      </c>
      <c r="D163" s="560">
        <v>4680115886223</v>
      </c>
      <c r="E163" s="560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2"/>
      <c r="R163" s="562"/>
      <c r="S163" s="562"/>
      <c r="T163" s="563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8"/>
      <c r="P164" s="564" t="s">
        <v>40</v>
      </c>
      <c r="Q164" s="565"/>
      <c r="R164" s="565"/>
      <c r="S164" s="565"/>
      <c r="T164" s="565"/>
      <c r="U164" s="565"/>
      <c r="V164" s="56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8"/>
      <c r="P165" s="564" t="s">
        <v>40</v>
      </c>
      <c r="Q165" s="565"/>
      <c r="R165" s="565"/>
      <c r="S165" s="565"/>
      <c r="T165" s="565"/>
      <c r="U165" s="565"/>
      <c r="V165" s="56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559" t="s">
        <v>76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66"/>
      <c r="AB166" s="66"/>
      <c r="AC166" s="80"/>
    </row>
    <row r="167" spans="1:68" ht="27" customHeight="1" x14ac:dyDescent="0.25">
      <c r="A167" s="63" t="s">
        <v>280</v>
      </c>
      <c r="B167" s="63" t="s">
        <v>281</v>
      </c>
      <c r="C167" s="36">
        <v>4301031191</v>
      </c>
      <c r="D167" s="560">
        <v>4680115880993</v>
      </c>
      <c r="E167" s="560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2"/>
      <c r="R167" s="562"/>
      <c r="S167" s="562"/>
      <c r="T167" s="563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customHeight="1" x14ac:dyDescent="0.25">
      <c r="A168" s="63" t="s">
        <v>283</v>
      </c>
      <c r="B168" s="63" t="s">
        <v>284</v>
      </c>
      <c r="C168" s="36">
        <v>4301031204</v>
      </c>
      <c r="D168" s="560">
        <v>4680115881761</v>
      </c>
      <c r="E168" s="560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4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2"/>
      <c r="R168" s="562"/>
      <c r="S168" s="562"/>
      <c r="T168" s="563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customHeight="1" x14ac:dyDescent="0.25">
      <c r="A169" s="63" t="s">
        <v>286</v>
      </c>
      <c r="B169" s="63" t="s">
        <v>287</v>
      </c>
      <c r="C169" s="36">
        <v>4301031201</v>
      </c>
      <c r="D169" s="560">
        <v>4680115881563</v>
      </c>
      <c r="E169" s="560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2"/>
      <c r="R169" s="562"/>
      <c r="S169" s="562"/>
      <c r="T169" s="563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customHeight="1" x14ac:dyDescent="0.25">
      <c r="A170" s="63" t="s">
        <v>289</v>
      </c>
      <c r="B170" s="63" t="s">
        <v>290</v>
      </c>
      <c r="C170" s="36">
        <v>4301031447</v>
      </c>
      <c r="D170" s="560">
        <v>4680115887565</v>
      </c>
      <c r="E170" s="560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2"/>
      <c r="R170" s="562"/>
      <c r="S170" s="562"/>
      <c r="T170" s="563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customHeight="1" x14ac:dyDescent="0.25">
      <c r="A171" s="63" t="s">
        <v>292</v>
      </c>
      <c r="B171" s="63" t="s">
        <v>293</v>
      </c>
      <c r="C171" s="36">
        <v>4301031199</v>
      </c>
      <c r="D171" s="560">
        <v>4680115880986</v>
      </c>
      <c r="E171" s="560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2"/>
      <c r="R171" s="562"/>
      <c r="S171" s="562"/>
      <c r="T171" s="563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customHeight="1" x14ac:dyDescent="0.25">
      <c r="A172" s="63" t="s">
        <v>294</v>
      </c>
      <c r="B172" s="63" t="s">
        <v>295</v>
      </c>
      <c r="C172" s="36">
        <v>4301031443</v>
      </c>
      <c r="D172" s="560">
        <v>4680115887213</v>
      </c>
      <c r="E172" s="560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2"/>
      <c r="R172" s="562"/>
      <c r="S172" s="562"/>
      <c r="T172" s="563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customHeight="1" x14ac:dyDescent="0.25">
      <c r="A173" s="63" t="s">
        <v>297</v>
      </c>
      <c r="B173" s="63" t="s">
        <v>298</v>
      </c>
      <c r="C173" s="36">
        <v>4301031205</v>
      </c>
      <c r="D173" s="560">
        <v>4680115881785</v>
      </c>
      <c r="E173" s="560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2"/>
      <c r="R173" s="562"/>
      <c r="S173" s="562"/>
      <c r="T173" s="563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customHeight="1" x14ac:dyDescent="0.25">
      <c r="A174" s="63" t="s">
        <v>299</v>
      </c>
      <c r="B174" s="63" t="s">
        <v>300</v>
      </c>
      <c r="C174" s="36">
        <v>4301031463</v>
      </c>
      <c r="D174" s="560">
        <v>4680115887824</v>
      </c>
      <c r="E174" s="560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2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62"/>
      <c r="R174" s="562"/>
      <c r="S174" s="562"/>
      <c r="T174" s="563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customHeight="1" x14ac:dyDescent="0.25">
      <c r="A175" s="63" t="s">
        <v>303</v>
      </c>
      <c r="B175" s="63" t="s">
        <v>304</v>
      </c>
      <c r="C175" s="36">
        <v>4301031464</v>
      </c>
      <c r="D175" s="560">
        <v>4680115887701</v>
      </c>
      <c r="E175" s="560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29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62"/>
      <c r="R175" s="562"/>
      <c r="S175" s="562"/>
      <c r="T175" s="563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4301031427</v>
      </c>
      <c r="D176" s="560">
        <v>4680115888104</v>
      </c>
      <c r="E176" s="560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30" t="s">
        <v>307</v>
      </c>
      <c r="Q176" s="562"/>
      <c r="R176" s="562"/>
      <c r="S176" s="562"/>
      <c r="T176" s="563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customHeight="1" x14ac:dyDescent="0.25">
      <c r="A177" s="63" t="s">
        <v>309</v>
      </c>
      <c r="B177" s="63" t="s">
        <v>310</v>
      </c>
      <c r="C177" s="36">
        <v>4301031399</v>
      </c>
      <c r="D177" s="560">
        <v>4680115886537</v>
      </c>
      <c r="E177" s="560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62"/>
      <c r="R177" s="562"/>
      <c r="S177" s="562"/>
      <c r="T177" s="563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customHeight="1" x14ac:dyDescent="0.25">
      <c r="A178" s="63" t="s">
        <v>312</v>
      </c>
      <c r="B178" s="63" t="s">
        <v>313</v>
      </c>
      <c r="C178" s="36">
        <v>4301031279</v>
      </c>
      <c r="D178" s="560">
        <v>4680115887596</v>
      </c>
      <c r="E178" s="560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62"/>
      <c r="R178" s="562"/>
      <c r="S178" s="562"/>
      <c r="T178" s="563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customHeight="1" x14ac:dyDescent="0.25">
      <c r="A179" s="63" t="s">
        <v>315</v>
      </c>
      <c r="B179" s="63" t="s">
        <v>316</v>
      </c>
      <c r="C179" s="36">
        <v>4301031202</v>
      </c>
      <c r="D179" s="560">
        <v>4680115881679</v>
      </c>
      <c r="E179" s="560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62"/>
      <c r="R179" s="562"/>
      <c r="S179" s="562"/>
      <c r="T179" s="563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4301031158</v>
      </c>
      <c r="D180" s="560">
        <v>4680115880191</v>
      </c>
      <c r="E180" s="560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62"/>
      <c r="R180" s="562"/>
      <c r="S180" s="562"/>
      <c r="T180" s="563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4301031245</v>
      </c>
      <c r="D181" s="560">
        <v>4680115883963</v>
      </c>
      <c r="E181" s="560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62"/>
      <c r="R181" s="562"/>
      <c r="S181" s="562"/>
      <c r="T181" s="563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x14ac:dyDescent="0.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8"/>
      <c r="P182" s="564" t="s">
        <v>40</v>
      </c>
      <c r="Q182" s="565"/>
      <c r="R182" s="565"/>
      <c r="S182" s="565"/>
      <c r="T182" s="565"/>
      <c r="U182" s="565"/>
      <c r="V182" s="566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8"/>
      <c r="P183" s="564" t="s">
        <v>40</v>
      </c>
      <c r="Q183" s="565"/>
      <c r="R183" s="565"/>
      <c r="S183" s="565"/>
      <c r="T183" s="565"/>
      <c r="U183" s="565"/>
      <c r="V183" s="566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customHeight="1" x14ac:dyDescent="0.25">
      <c r="A184" s="559" t="s">
        <v>106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66"/>
      <c r="AB184" s="66"/>
      <c r="AC184" s="80"/>
    </row>
    <row r="185" spans="1:68" ht="27" customHeight="1" x14ac:dyDescent="0.25">
      <c r="A185" s="63" t="s">
        <v>322</v>
      </c>
      <c r="B185" s="63" t="s">
        <v>323</v>
      </c>
      <c r="C185" s="36">
        <v>4301032053</v>
      </c>
      <c r="D185" s="560">
        <v>4680115886780</v>
      </c>
      <c r="E185" s="560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62"/>
      <c r="R185" s="562"/>
      <c r="S185" s="562"/>
      <c r="T185" s="563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4301032051</v>
      </c>
      <c r="D186" s="560">
        <v>4680115886742</v>
      </c>
      <c r="E186" s="560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62"/>
      <c r="R186" s="562"/>
      <c r="S186" s="562"/>
      <c r="T186" s="563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329</v>
      </c>
      <c r="B187" s="63" t="s">
        <v>330</v>
      </c>
      <c r="C187" s="36">
        <v>4301032052</v>
      </c>
      <c r="D187" s="560">
        <v>4680115886766</v>
      </c>
      <c r="E187" s="560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62"/>
      <c r="R187" s="562"/>
      <c r="S187" s="562"/>
      <c r="T187" s="563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8"/>
      <c r="P188" s="564" t="s">
        <v>40</v>
      </c>
      <c r="Q188" s="565"/>
      <c r="R188" s="565"/>
      <c r="S188" s="565"/>
      <c r="T188" s="565"/>
      <c r="U188" s="565"/>
      <c r="V188" s="566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8"/>
      <c r="P189" s="564" t="s">
        <v>40</v>
      </c>
      <c r="Q189" s="565"/>
      <c r="R189" s="565"/>
      <c r="S189" s="565"/>
      <c r="T189" s="565"/>
      <c r="U189" s="565"/>
      <c r="V189" s="566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customHeight="1" x14ac:dyDescent="0.25">
      <c r="A190" s="559" t="s">
        <v>331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66"/>
      <c r="AB190" s="66"/>
      <c r="AC190" s="80"/>
    </row>
    <row r="191" spans="1:68" ht="27" customHeight="1" x14ac:dyDescent="0.25">
      <c r="A191" s="63" t="s">
        <v>332</v>
      </c>
      <c r="B191" s="63" t="s">
        <v>333</v>
      </c>
      <c r="C191" s="36">
        <v>4301170013</v>
      </c>
      <c r="D191" s="560">
        <v>4680115886797</v>
      </c>
      <c r="E191" s="560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62"/>
      <c r="R191" s="562"/>
      <c r="S191" s="562"/>
      <c r="T191" s="563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8"/>
      <c r="P192" s="564" t="s">
        <v>40</v>
      </c>
      <c r="Q192" s="565"/>
      <c r="R192" s="565"/>
      <c r="S192" s="565"/>
      <c r="T192" s="565"/>
      <c r="U192" s="565"/>
      <c r="V192" s="566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8"/>
      <c r="P193" s="564" t="s">
        <v>40</v>
      </c>
      <c r="Q193" s="565"/>
      <c r="R193" s="565"/>
      <c r="S193" s="565"/>
      <c r="T193" s="565"/>
      <c r="U193" s="565"/>
      <c r="V193" s="566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customHeight="1" x14ac:dyDescent="0.25">
      <c r="A194" s="558" t="s">
        <v>334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65"/>
      <c r="AB194" s="65"/>
      <c r="AC194" s="79"/>
    </row>
    <row r="195" spans="1:68" ht="14.25" customHeight="1" x14ac:dyDescent="0.25">
      <c r="A195" s="559" t="s">
        <v>114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4301011450</v>
      </c>
      <c r="D196" s="560">
        <v>4680115881402</v>
      </c>
      <c r="E196" s="560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62"/>
      <c r="R196" s="562"/>
      <c r="S196" s="562"/>
      <c r="T196" s="563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338</v>
      </c>
      <c r="B197" s="63" t="s">
        <v>339</v>
      </c>
      <c r="C197" s="36">
        <v>4301011768</v>
      </c>
      <c r="D197" s="560">
        <v>4680115881396</v>
      </c>
      <c r="E197" s="560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62"/>
      <c r="R197" s="562"/>
      <c r="S197" s="562"/>
      <c r="T197" s="563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8"/>
      <c r="P198" s="564" t="s">
        <v>40</v>
      </c>
      <c r="Q198" s="565"/>
      <c r="R198" s="565"/>
      <c r="S198" s="565"/>
      <c r="T198" s="565"/>
      <c r="U198" s="565"/>
      <c r="V198" s="566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8"/>
      <c r="P199" s="564" t="s">
        <v>40</v>
      </c>
      <c r="Q199" s="565"/>
      <c r="R199" s="565"/>
      <c r="S199" s="565"/>
      <c r="T199" s="565"/>
      <c r="U199" s="565"/>
      <c r="V199" s="566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559" t="s">
        <v>147</v>
      </c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59"/>
      <c r="P200" s="559"/>
      <c r="Q200" s="559"/>
      <c r="R200" s="559"/>
      <c r="S200" s="559"/>
      <c r="T200" s="559"/>
      <c r="U200" s="559"/>
      <c r="V200" s="559"/>
      <c r="W200" s="559"/>
      <c r="X200" s="559"/>
      <c r="Y200" s="559"/>
      <c r="Z200" s="559"/>
      <c r="AA200" s="66"/>
      <c r="AB200" s="66"/>
      <c r="AC200" s="80"/>
    </row>
    <row r="201" spans="1:68" ht="16.5" customHeight="1" x14ac:dyDescent="0.25">
      <c r="A201" s="63" t="s">
        <v>340</v>
      </c>
      <c r="B201" s="63" t="s">
        <v>341</v>
      </c>
      <c r="C201" s="36">
        <v>4301020261</v>
      </c>
      <c r="D201" s="560">
        <v>4680115882935</v>
      </c>
      <c r="E201" s="560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62"/>
      <c r="R201" s="562"/>
      <c r="S201" s="562"/>
      <c r="T201" s="563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customHeight="1" x14ac:dyDescent="0.25">
      <c r="A202" s="63" t="s">
        <v>343</v>
      </c>
      <c r="B202" s="63" t="s">
        <v>344</v>
      </c>
      <c r="C202" s="36">
        <v>4301020220</v>
      </c>
      <c r="D202" s="560">
        <v>4680115880764</v>
      </c>
      <c r="E202" s="560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62"/>
      <c r="R202" s="562"/>
      <c r="S202" s="562"/>
      <c r="T202" s="563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8"/>
      <c r="P203" s="564" t="s">
        <v>40</v>
      </c>
      <c r="Q203" s="565"/>
      <c r="R203" s="565"/>
      <c r="S203" s="565"/>
      <c r="T203" s="565"/>
      <c r="U203" s="565"/>
      <c r="V203" s="566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x14ac:dyDescent="0.2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8"/>
      <c r="P204" s="564" t="s">
        <v>40</v>
      </c>
      <c r="Q204" s="565"/>
      <c r="R204" s="565"/>
      <c r="S204" s="565"/>
      <c r="T204" s="565"/>
      <c r="U204" s="565"/>
      <c r="V204" s="566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customHeight="1" x14ac:dyDescent="0.25">
      <c r="A205" s="559" t="s">
        <v>76</v>
      </c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  <c r="Y205" s="559"/>
      <c r="Z205" s="559"/>
      <c r="AA205" s="66"/>
      <c r="AB205" s="66"/>
      <c r="AC205" s="80"/>
    </row>
    <row r="206" spans="1:68" ht="27" customHeight="1" x14ac:dyDescent="0.25">
      <c r="A206" s="63" t="s">
        <v>345</v>
      </c>
      <c r="B206" s="63" t="s">
        <v>346</v>
      </c>
      <c r="C206" s="36">
        <v>4301031224</v>
      </c>
      <c r="D206" s="560">
        <v>4680115882683</v>
      </c>
      <c r="E206" s="560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62"/>
      <c r="R206" s="562"/>
      <c r="S206" s="562"/>
      <c r="T206" s="563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customHeight="1" x14ac:dyDescent="0.25">
      <c r="A207" s="63" t="s">
        <v>348</v>
      </c>
      <c r="B207" s="63" t="s">
        <v>349</v>
      </c>
      <c r="C207" s="36">
        <v>4301031230</v>
      </c>
      <c r="D207" s="560">
        <v>4680115882690</v>
      </c>
      <c r="E207" s="560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62"/>
      <c r="R207" s="562"/>
      <c r="S207" s="562"/>
      <c r="T207" s="563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customHeight="1" x14ac:dyDescent="0.25">
      <c r="A208" s="63" t="s">
        <v>351</v>
      </c>
      <c r="B208" s="63" t="s">
        <v>352</v>
      </c>
      <c r="C208" s="36">
        <v>4301031220</v>
      </c>
      <c r="D208" s="560">
        <v>4680115882669</v>
      </c>
      <c r="E208" s="560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62"/>
      <c r="R208" s="562"/>
      <c r="S208" s="562"/>
      <c r="T208" s="563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customHeight="1" x14ac:dyDescent="0.25">
      <c r="A209" s="63" t="s">
        <v>354</v>
      </c>
      <c r="B209" s="63" t="s">
        <v>355</v>
      </c>
      <c r="C209" s="36">
        <v>4301031221</v>
      </c>
      <c r="D209" s="560">
        <v>4680115882676</v>
      </c>
      <c r="E209" s="560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62"/>
      <c r="R209" s="562"/>
      <c r="S209" s="562"/>
      <c r="T209" s="563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357</v>
      </c>
      <c r="B210" s="63" t="s">
        <v>358</v>
      </c>
      <c r="C210" s="36">
        <v>4301031223</v>
      </c>
      <c r="D210" s="560">
        <v>4680115884014</v>
      </c>
      <c r="E210" s="560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62"/>
      <c r="R210" s="562"/>
      <c r="S210" s="562"/>
      <c r="T210" s="563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359</v>
      </c>
      <c r="B211" s="63" t="s">
        <v>360</v>
      </c>
      <c r="C211" s="36">
        <v>4301031222</v>
      </c>
      <c r="D211" s="560">
        <v>4680115884007</v>
      </c>
      <c r="E211" s="560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62"/>
      <c r="R211" s="562"/>
      <c r="S211" s="562"/>
      <c r="T211" s="563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customHeight="1" x14ac:dyDescent="0.25">
      <c r="A212" s="63" t="s">
        <v>361</v>
      </c>
      <c r="B212" s="63" t="s">
        <v>362</v>
      </c>
      <c r="C212" s="36">
        <v>4301031229</v>
      </c>
      <c r="D212" s="560">
        <v>4680115884038</v>
      </c>
      <c r="E212" s="560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62"/>
      <c r="R212" s="562"/>
      <c r="S212" s="562"/>
      <c r="T212" s="563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363</v>
      </c>
      <c r="B213" s="63" t="s">
        <v>364</v>
      </c>
      <c r="C213" s="36">
        <v>4301031225</v>
      </c>
      <c r="D213" s="560">
        <v>4680115884021</v>
      </c>
      <c r="E213" s="560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62"/>
      <c r="R213" s="562"/>
      <c r="S213" s="562"/>
      <c r="T213" s="563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x14ac:dyDescent="0.2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8"/>
      <c r="P214" s="564" t="s">
        <v>40</v>
      </c>
      <c r="Q214" s="565"/>
      <c r="R214" s="565"/>
      <c r="S214" s="565"/>
      <c r="T214" s="565"/>
      <c r="U214" s="565"/>
      <c r="V214" s="566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x14ac:dyDescent="0.2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8"/>
      <c r="P215" s="564" t="s">
        <v>40</v>
      </c>
      <c r="Q215" s="565"/>
      <c r="R215" s="565"/>
      <c r="S215" s="565"/>
      <c r="T215" s="565"/>
      <c r="U215" s="565"/>
      <c r="V215" s="566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customHeight="1" x14ac:dyDescent="0.25">
      <c r="A216" s="559" t="s">
        <v>86</v>
      </c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  <c r="Y216" s="559"/>
      <c r="Z216" s="559"/>
      <c r="AA216" s="66"/>
      <c r="AB216" s="66"/>
      <c r="AC216" s="80"/>
    </row>
    <row r="217" spans="1:68" ht="37.5" customHeight="1" x14ac:dyDescent="0.25">
      <c r="A217" s="63" t="s">
        <v>365</v>
      </c>
      <c r="B217" s="63" t="s">
        <v>366</v>
      </c>
      <c r="C217" s="36">
        <v>4301051408</v>
      </c>
      <c r="D217" s="560">
        <v>4680115881594</v>
      </c>
      <c r="E217" s="560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62"/>
      <c r="R217" s="562"/>
      <c r="S217" s="562"/>
      <c r="T217" s="563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customHeight="1" x14ac:dyDescent="0.25">
      <c r="A218" s="63" t="s">
        <v>368</v>
      </c>
      <c r="B218" s="63" t="s">
        <v>369</v>
      </c>
      <c r="C218" s="36">
        <v>4301051411</v>
      </c>
      <c r="D218" s="560">
        <v>4680115881617</v>
      </c>
      <c r="E218" s="560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62"/>
      <c r="R218" s="562"/>
      <c r="S218" s="562"/>
      <c r="T218" s="563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371</v>
      </c>
      <c r="B219" s="63" t="s">
        <v>372</v>
      </c>
      <c r="C219" s="36">
        <v>4301051656</v>
      </c>
      <c r="D219" s="560">
        <v>4680115880573</v>
      </c>
      <c r="E219" s="560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62"/>
      <c r="R219" s="562"/>
      <c r="S219" s="562"/>
      <c r="T219" s="563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customHeight="1" x14ac:dyDescent="0.25">
      <c r="A220" s="63" t="s">
        <v>374</v>
      </c>
      <c r="B220" s="63" t="s">
        <v>375</v>
      </c>
      <c r="C220" s="36">
        <v>4301051407</v>
      </c>
      <c r="D220" s="560">
        <v>4680115882195</v>
      </c>
      <c r="E220" s="560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62"/>
      <c r="R220" s="562"/>
      <c r="S220" s="562"/>
      <c r="T220" s="563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376</v>
      </c>
      <c r="B221" s="63" t="s">
        <v>377</v>
      </c>
      <c r="C221" s="36">
        <v>4301051752</v>
      </c>
      <c r="D221" s="560">
        <v>4680115882607</v>
      </c>
      <c r="E221" s="560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62"/>
      <c r="R221" s="562"/>
      <c r="S221" s="562"/>
      <c r="T221" s="563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378</v>
      </c>
      <c r="B222" s="63" t="s">
        <v>379</v>
      </c>
      <c r="C222" s="36">
        <v>4301051666</v>
      </c>
      <c r="D222" s="560">
        <v>4680115880092</v>
      </c>
      <c r="E222" s="560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62"/>
      <c r="R222" s="562"/>
      <c r="S222" s="562"/>
      <c r="T222" s="563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380</v>
      </c>
      <c r="B223" s="63" t="s">
        <v>381</v>
      </c>
      <c r="C223" s="36">
        <v>4301051668</v>
      </c>
      <c r="D223" s="560">
        <v>4680115880221</v>
      </c>
      <c r="E223" s="560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62"/>
      <c r="R223" s="562"/>
      <c r="S223" s="562"/>
      <c r="T223" s="563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382</v>
      </c>
      <c r="B224" s="63" t="s">
        <v>383</v>
      </c>
      <c r="C224" s="36">
        <v>4301051945</v>
      </c>
      <c r="D224" s="560">
        <v>4680115880504</v>
      </c>
      <c r="E224" s="560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62"/>
      <c r="R224" s="562"/>
      <c r="S224" s="562"/>
      <c r="T224" s="563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385</v>
      </c>
      <c r="B225" s="63" t="s">
        <v>386</v>
      </c>
      <c r="C225" s="36">
        <v>4301051410</v>
      </c>
      <c r="D225" s="560">
        <v>4680115882164</v>
      </c>
      <c r="E225" s="560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6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62"/>
      <c r="R225" s="562"/>
      <c r="S225" s="562"/>
      <c r="T225" s="563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x14ac:dyDescent="0.2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8"/>
      <c r="P226" s="564" t="s">
        <v>40</v>
      </c>
      <c r="Q226" s="565"/>
      <c r="R226" s="565"/>
      <c r="S226" s="565"/>
      <c r="T226" s="565"/>
      <c r="U226" s="565"/>
      <c r="V226" s="566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x14ac:dyDescent="0.2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8"/>
      <c r="P227" s="564" t="s">
        <v>40</v>
      </c>
      <c r="Q227" s="565"/>
      <c r="R227" s="565"/>
      <c r="S227" s="565"/>
      <c r="T227" s="565"/>
      <c r="U227" s="565"/>
      <c r="V227" s="566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customHeight="1" x14ac:dyDescent="0.25">
      <c r="A228" s="559" t="s">
        <v>173</v>
      </c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  <c r="AA228" s="66"/>
      <c r="AB228" s="66"/>
      <c r="AC228" s="80"/>
    </row>
    <row r="229" spans="1:68" ht="27" customHeight="1" x14ac:dyDescent="0.25">
      <c r="A229" s="63" t="s">
        <v>387</v>
      </c>
      <c r="B229" s="63" t="s">
        <v>388</v>
      </c>
      <c r="C229" s="36">
        <v>4301060463</v>
      </c>
      <c r="D229" s="560">
        <v>4680115880818</v>
      </c>
      <c r="E229" s="560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69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62"/>
      <c r="R229" s="562"/>
      <c r="S229" s="562"/>
      <c r="T229" s="563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4301060389</v>
      </c>
      <c r="D230" s="560">
        <v>4680115880801</v>
      </c>
      <c r="E230" s="560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62"/>
      <c r="R230" s="562"/>
      <c r="S230" s="562"/>
      <c r="T230" s="563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8"/>
      <c r="P231" s="564" t="s">
        <v>40</v>
      </c>
      <c r="Q231" s="565"/>
      <c r="R231" s="565"/>
      <c r="S231" s="565"/>
      <c r="T231" s="565"/>
      <c r="U231" s="565"/>
      <c r="V231" s="566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x14ac:dyDescent="0.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8"/>
      <c r="P232" s="564" t="s">
        <v>40</v>
      </c>
      <c r="Q232" s="565"/>
      <c r="R232" s="565"/>
      <c r="S232" s="565"/>
      <c r="T232" s="565"/>
      <c r="U232" s="565"/>
      <c r="V232" s="566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customHeight="1" x14ac:dyDescent="0.25">
      <c r="A233" s="558" t="s">
        <v>393</v>
      </c>
      <c r="B233" s="558"/>
      <c r="C233" s="558"/>
      <c r="D233" s="558"/>
      <c r="E233" s="558"/>
      <c r="F233" s="558"/>
      <c r="G233" s="558"/>
      <c r="H233" s="558"/>
      <c r="I233" s="558"/>
      <c r="J233" s="558"/>
      <c r="K233" s="558"/>
      <c r="L233" s="558"/>
      <c r="M233" s="558"/>
      <c r="N233" s="558"/>
      <c r="O233" s="558"/>
      <c r="P233" s="558"/>
      <c r="Q233" s="558"/>
      <c r="R233" s="558"/>
      <c r="S233" s="558"/>
      <c r="T233" s="558"/>
      <c r="U233" s="558"/>
      <c r="V233" s="558"/>
      <c r="W233" s="558"/>
      <c r="X233" s="558"/>
      <c r="Y233" s="558"/>
      <c r="Z233" s="558"/>
      <c r="AA233" s="65"/>
      <c r="AB233" s="65"/>
      <c r="AC233" s="79"/>
    </row>
    <row r="234" spans="1:68" ht="14.25" customHeight="1" x14ac:dyDescent="0.25">
      <c r="A234" s="559" t="s">
        <v>114</v>
      </c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  <c r="Y234" s="559"/>
      <c r="Z234" s="559"/>
      <c r="AA234" s="66"/>
      <c r="AB234" s="66"/>
      <c r="AC234" s="80"/>
    </row>
    <row r="235" spans="1:68" ht="27" customHeight="1" x14ac:dyDescent="0.25">
      <c r="A235" s="63" t="s">
        <v>394</v>
      </c>
      <c r="B235" s="63" t="s">
        <v>395</v>
      </c>
      <c r="C235" s="36">
        <v>4301011826</v>
      </c>
      <c r="D235" s="560">
        <v>4680115884137</v>
      </c>
      <c r="E235" s="560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6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62"/>
      <c r="R235" s="562"/>
      <c r="S235" s="562"/>
      <c r="T235" s="563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customHeight="1" x14ac:dyDescent="0.25">
      <c r="A236" s="63" t="s">
        <v>397</v>
      </c>
      <c r="B236" s="63" t="s">
        <v>398</v>
      </c>
      <c r="C236" s="36">
        <v>4301011724</v>
      </c>
      <c r="D236" s="560">
        <v>4680115884236</v>
      </c>
      <c r="E236" s="560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6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62"/>
      <c r="R236" s="562"/>
      <c r="S236" s="562"/>
      <c r="T236" s="563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customHeight="1" x14ac:dyDescent="0.25">
      <c r="A237" s="63" t="s">
        <v>400</v>
      </c>
      <c r="B237" s="63" t="s">
        <v>401</v>
      </c>
      <c r="C237" s="36">
        <v>4301011721</v>
      </c>
      <c r="D237" s="560">
        <v>4680115884175</v>
      </c>
      <c r="E237" s="560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6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62"/>
      <c r="R237" s="562"/>
      <c r="S237" s="562"/>
      <c r="T237" s="563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customHeight="1" x14ac:dyDescent="0.25">
      <c r="A238" s="63" t="s">
        <v>403</v>
      </c>
      <c r="B238" s="63" t="s">
        <v>404</v>
      </c>
      <c r="C238" s="36">
        <v>4301011824</v>
      </c>
      <c r="D238" s="560">
        <v>4680115884144</v>
      </c>
      <c r="E238" s="560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6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62"/>
      <c r="R238" s="562"/>
      <c r="S238" s="562"/>
      <c r="T238" s="563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customHeight="1" x14ac:dyDescent="0.25">
      <c r="A239" s="63" t="s">
        <v>405</v>
      </c>
      <c r="B239" s="63" t="s">
        <v>406</v>
      </c>
      <c r="C239" s="36">
        <v>4301012149</v>
      </c>
      <c r="D239" s="560">
        <v>4680115886551</v>
      </c>
      <c r="E239" s="560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6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2"/>
      <c r="R239" s="562"/>
      <c r="S239" s="562"/>
      <c r="T239" s="563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customHeight="1" x14ac:dyDescent="0.25">
      <c r="A240" s="63" t="s">
        <v>408</v>
      </c>
      <c r="B240" s="63" t="s">
        <v>409</v>
      </c>
      <c r="C240" s="36">
        <v>4301012228</v>
      </c>
      <c r="D240" s="560">
        <v>4680115887282</v>
      </c>
      <c r="E240" s="560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2"/>
      <c r="R240" s="562"/>
      <c r="S240" s="562"/>
      <c r="T240" s="563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customHeight="1" x14ac:dyDescent="0.25">
      <c r="A241" s="63" t="s">
        <v>411</v>
      </c>
      <c r="B241" s="63" t="s">
        <v>412</v>
      </c>
      <c r="C241" s="36">
        <v>4301011722</v>
      </c>
      <c r="D241" s="560">
        <v>4680115884205</v>
      </c>
      <c r="E241" s="560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2"/>
      <c r="R241" s="562"/>
      <c r="S241" s="562"/>
      <c r="T241" s="563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x14ac:dyDescent="0.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8"/>
      <c r="P242" s="564" t="s">
        <v>40</v>
      </c>
      <c r="Q242" s="565"/>
      <c r="R242" s="565"/>
      <c r="S242" s="565"/>
      <c r="T242" s="565"/>
      <c r="U242" s="565"/>
      <c r="V242" s="566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8"/>
      <c r="P243" s="564" t="s">
        <v>40</v>
      </c>
      <c r="Q243" s="565"/>
      <c r="R243" s="565"/>
      <c r="S243" s="565"/>
      <c r="T243" s="565"/>
      <c r="U243" s="565"/>
      <c r="V243" s="566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customHeight="1" x14ac:dyDescent="0.25">
      <c r="A244" s="559" t="s">
        <v>147</v>
      </c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  <c r="AA244" s="66"/>
      <c r="AB244" s="66"/>
      <c r="AC244" s="80"/>
    </row>
    <row r="245" spans="1:68" ht="27" customHeight="1" x14ac:dyDescent="0.25">
      <c r="A245" s="63" t="s">
        <v>413</v>
      </c>
      <c r="B245" s="63" t="s">
        <v>414</v>
      </c>
      <c r="C245" s="36">
        <v>4301020377</v>
      </c>
      <c r="D245" s="560">
        <v>4680115885981</v>
      </c>
      <c r="E245" s="560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6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2"/>
      <c r="R245" s="562"/>
      <c r="S245" s="562"/>
      <c r="T245" s="563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8"/>
      <c r="P246" s="564" t="s">
        <v>40</v>
      </c>
      <c r="Q246" s="565"/>
      <c r="R246" s="565"/>
      <c r="S246" s="565"/>
      <c r="T246" s="565"/>
      <c r="U246" s="565"/>
      <c r="V246" s="566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8"/>
      <c r="P247" s="564" t="s">
        <v>40</v>
      </c>
      <c r="Q247" s="565"/>
      <c r="R247" s="565"/>
      <c r="S247" s="565"/>
      <c r="T247" s="565"/>
      <c r="U247" s="565"/>
      <c r="V247" s="566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559" t="s">
        <v>416</v>
      </c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  <c r="AA248" s="66"/>
      <c r="AB248" s="66"/>
      <c r="AC248" s="80"/>
    </row>
    <row r="249" spans="1:68" ht="27" customHeight="1" x14ac:dyDescent="0.25">
      <c r="A249" s="63" t="s">
        <v>417</v>
      </c>
      <c r="B249" s="63" t="s">
        <v>418</v>
      </c>
      <c r="C249" s="36">
        <v>4301040362</v>
      </c>
      <c r="D249" s="560">
        <v>4680115886803</v>
      </c>
      <c r="E249" s="560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6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2"/>
      <c r="R249" s="562"/>
      <c r="S249" s="562"/>
      <c r="T249" s="563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8"/>
      <c r="P250" s="564" t="s">
        <v>40</v>
      </c>
      <c r="Q250" s="565"/>
      <c r="R250" s="565"/>
      <c r="S250" s="565"/>
      <c r="T250" s="565"/>
      <c r="U250" s="565"/>
      <c r="V250" s="566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8"/>
      <c r="P251" s="564" t="s">
        <v>40</v>
      </c>
      <c r="Q251" s="565"/>
      <c r="R251" s="565"/>
      <c r="S251" s="565"/>
      <c r="T251" s="565"/>
      <c r="U251" s="565"/>
      <c r="V251" s="566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559" t="s">
        <v>420</v>
      </c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  <c r="AA252" s="66"/>
      <c r="AB252" s="66"/>
      <c r="AC252" s="80"/>
    </row>
    <row r="253" spans="1:68" ht="27" customHeight="1" x14ac:dyDescent="0.25">
      <c r="A253" s="63" t="s">
        <v>421</v>
      </c>
      <c r="B253" s="63" t="s">
        <v>422</v>
      </c>
      <c r="C253" s="36">
        <v>4301041004</v>
      </c>
      <c r="D253" s="560">
        <v>4680115886704</v>
      </c>
      <c r="E253" s="560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6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2"/>
      <c r="R253" s="562"/>
      <c r="S253" s="562"/>
      <c r="T253" s="563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4301041008</v>
      </c>
      <c r="D254" s="560">
        <v>4680115886681</v>
      </c>
      <c r="E254" s="560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6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2"/>
      <c r="R254" s="562"/>
      <c r="S254" s="562"/>
      <c r="T254" s="563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4301041007</v>
      </c>
      <c r="D255" s="560">
        <v>4680115886735</v>
      </c>
      <c r="E255" s="560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2"/>
      <c r="R255" s="562"/>
      <c r="S255" s="562"/>
      <c r="T255" s="563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428</v>
      </c>
      <c r="B256" s="63" t="s">
        <v>429</v>
      </c>
      <c r="C256" s="36">
        <v>4301041006</v>
      </c>
      <c r="D256" s="560">
        <v>4680115886728</v>
      </c>
      <c r="E256" s="560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68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2"/>
      <c r="R256" s="562"/>
      <c r="S256" s="562"/>
      <c r="T256" s="563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430</v>
      </c>
      <c r="B257" s="63" t="s">
        <v>431</v>
      </c>
      <c r="C257" s="36">
        <v>4301041005</v>
      </c>
      <c r="D257" s="560">
        <v>4680115886711</v>
      </c>
      <c r="E257" s="560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68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2"/>
      <c r="R257" s="562"/>
      <c r="S257" s="562"/>
      <c r="T257" s="563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8"/>
      <c r="P258" s="564" t="s">
        <v>40</v>
      </c>
      <c r="Q258" s="565"/>
      <c r="R258" s="565"/>
      <c r="S258" s="565"/>
      <c r="T258" s="565"/>
      <c r="U258" s="565"/>
      <c r="V258" s="566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8"/>
      <c r="P259" s="564" t="s">
        <v>40</v>
      </c>
      <c r="Q259" s="565"/>
      <c r="R259" s="565"/>
      <c r="S259" s="565"/>
      <c r="T259" s="565"/>
      <c r="U259" s="565"/>
      <c r="V259" s="566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558" t="s">
        <v>432</v>
      </c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58"/>
      <c r="P260" s="558"/>
      <c r="Q260" s="558"/>
      <c r="R260" s="558"/>
      <c r="S260" s="558"/>
      <c r="T260" s="558"/>
      <c r="U260" s="558"/>
      <c r="V260" s="558"/>
      <c r="W260" s="558"/>
      <c r="X260" s="558"/>
      <c r="Y260" s="558"/>
      <c r="Z260" s="558"/>
      <c r="AA260" s="65"/>
      <c r="AB260" s="65"/>
      <c r="AC260" s="79"/>
    </row>
    <row r="261" spans="1:68" ht="14.25" customHeight="1" x14ac:dyDescent="0.25">
      <c r="A261" s="559" t="s">
        <v>114</v>
      </c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  <c r="AA261" s="66"/>
      <c r="AB261" s="66"/>
      <c r="AC261" s="80"/>
    </row>
    <row r="262" spans="1:68" ht="27" customHeight="1" x14ac:dyDescent="0.25">
      <c r="A262" s="63" t="s">
        <v>433</v>
      </c>
      <c r="B262" s="63" t="s">
        <v>434</v>
      </c>
      <c r="C262" s="36">
        <v>4301011855</v>
      </c>
      <c r="D262" s="560">
        <v>4680115885837</v>
      </c>
      <c r="E262" s="560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6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2"/>
      <c r="R262" s="562"/>
      <c r="S262" s="562"/>
      <c r="T262" s="563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436</v>
      </c>
      <c r="B263" s="63" t="s">
        <v>437</v>
      </c>
      <c r="C263" s="36">
        <v>4301011853</v>
      </c>
      <c r="D263" s="560">
        <v>4680115885851</v>
      </c>
      <c r="E263" s="56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6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2"/>
      <c r="R263" s="562"/>
      <c r="S263" s="562"/>
      <c r="T263" s="563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439</v>
      </c>
      <c r="B264" s="63" t="s">
        <v>440</v>
      </c>
      <c r="C264" s="36">
        <v>4301011850</v>
      </c>
      <c r="D264" s="560">
        <v>4680115885806</v>
      </c>
      <c r="E264" s="560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6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2"/>
      <c r="R264" s="562"/>
      <c r="S264" s="562"/>
      <c r="T264" s="563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442</v>
      </c>
      <c r="B265" s="63" t="s">
        <v>443</v>
      </c>
      <c r="C265" s="36">
        <v>4301011852</v>
      </c>
      <c r="D265" s="560">
        <v>4680115885844</v>
      </c>
      <c r="E265" s="560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6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2"/>
      <c r="R265" s="562"/>
      <c r="S265" s="562"/>
      <c r="T265" s="563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445</v>
      </c>
      <c r="B266" s="63" t="s">
        <v>446</v>
      </c>
      <c r="C266" s="36">
        <v>4301011851</v>
      </c>
      <c r="D266" s="560">
        <v>4680115885820</v>
      </c>
      <c r="E266" s="560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6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2"/>
      <c r="R266" s="562"/>
      <c r="S266" s="562"/>
      <c r="T266" s="563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8"/>
      <c r="P267" s="564" t="s">
        <v>40</v>
      </c>
      <c r="Q267" s="565"/>
      <c r="R267" s="565"/>
      <c r="S267" s="565"/>
      <c r="T267" s="565"/>
      <c r="U267" s="565"/>
      <c r="V267" s="566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8"/>
      <c r="P268" s="564" t="s">
        <v>40</v>
      </c>
      <c r="Q268" s="565"/>
      <c r="R268" s="565"/>
      <c r="S268" s="565"/>
      <c r="T268" s="565"/>
      <c r="U268" s="565"/>
      <c r="V268" s="566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558" t="s">
        <v>448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65"/>
      <c r="AB269" s="65"/>
      <c r="AC269" s="79"/>
    </row>
    <row r="270" spans="1:68" ht="14.25" customHeight="1" x14ac:dyDescent="0.25">
      <c r="A270" s="559" t="s">
        <v>114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66"/>
      <c r="AB270" s="66"/>
      <c r="AC270" s="80"/>
    </row>
    <row r="271" spans="1:68" ht="27" customHeight="1" x14ac:dyDescent="0.25">
      <c r="A271" s="63" t="s">
        <v>449</v>
      </c>
      <c r="B271" s="63" t="s">
        <v>450</v>
      </c>
      <c r="C271" s="36">
        <v>4301011223</v>
      </c>
      <c r="D271" s="560">
        <v>4607091383423</v>
      </c>
      <c r="E271" s="560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6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2"/>
      <c r="R271" s="562"/>
      <c r="S271" s="562"/>
      <c r="T271" s="563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451</v>
      </c>
      <c r="B272" s="63" t="s">
        <v>452</v>
      </c>
      <c r="C272" s="36">
        <v>4301012199</v>
      </c>
      <c r="D272" s="560">
        <v>4680115886957</v>
      </c>
      <c r="E272" s="560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2"/>
      <c r="R272" s="562"/>
      <c r="S272" s="562"/>
      <c r="T272" s="563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454</v>
      </c>
      <c r="B273" s="63" t="s">
        <v>455</v>
      </c>
      <c r="C273" s="36">
        <v>4301012098</v>
      </c>
      <c r="D273" s="560">
        <v>4680115885660</v>
      </c>
      <c r="E273" s="560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67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2"/>
      <c r="R273" s="562"/>
      <c r="S273" s="562"/>
      <c r="T273" s="563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456</v>
      </c>
      <c r="B274" s="63" t="s">
        <v>457</v>
      </c>
      <c r="C274" s="36">
        <v>4301012176</v>
      </c>
      <c r="D274" s="560">
        <v>4680115886773</v>
      </c>
      <c r="E274" s="560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67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2"/>
      <c r="R274" s="562"/>
      <c r="S274" s="562"/>
      <c r="T274" s="563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8"/>
      <c r="P275" s="564" t="s">
        <v>40</v>
      </c>
      <c r="Q275" s="565"/>
      <c r="R275" s="565"/>
      <c r="S275" s="565"/>
      <c r="T275" s="565"/>
      <c r="U275" s="565"/>
      <c r="V275" s="566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8"/>
      <c r="P276" s="564" t="s">
        <v>40</v>
      </c>
      <c r="Q276" s="565"/>
      <c r="R276" s="565"/>
      <c r="S276" s="565"/>
      <c r="T276" s="565"/>
      <c r="U276" s="565"/>
      <c r="V276" s="566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558" t="s">
        <v>459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65"/>
      <c r="AB277" s="65"/>
      <c r="AC277" s="79"/>
    </row>
    <row r="278" spans="1:68" ht="14.25" customHeight="1" x14ac:dyDescent="0.25">
      <c r="A278" s="559" t="s">
        <v>86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66"/>
      <c r="AB278" s="66"/>
      <c r="AC278" s="80"/>
    </row>
    <row r="279" spans="1:68" ht="27" customHeight="1" x14ac:dyDescent="0.25">
      <c r="A279" s="63" t="s">
        <v>460</v>
      </c>
      <c r="B279" s="63" t="s">
        <v>461</v>
      </c>
      <c r="C279" s="36">
        <v>4301051893</v>
      </c>
      <c r="D279" s="560">
        <v>4680115886186</v>
      </c>
      <c r="E279" s="560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6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2"/>
      <c r="R279" s="562"/>
      <c r="S279" s="562"/>
      <c r="T279" s="563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463</v>
      </c>
      <c r="B280" s="63" t="s">
        <v>464</v>
      </c>
      <c r="C280" s="36">
        <v>4301051795</v>
      </c>
      <c r="D280" s="560">
        <v>4680115881228</v>
      </c>
      <c r="E280" s="560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6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2"/>
      <c r="R280" s="562"/>
      <c r="S280" s="562"/>
      <c r="T280" s="563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466</v>
      </c>
      <c r="B281" s="63" t="s">
        <v>467</v>
      </c>
      <c r="C281" s="36">
        <v>4301051388</v>
      </c>
      <c r="D281" s="560">
        <v>4680115881211</v>
      </c>
      <c r="E281" s="560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6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2"/>
      <c r="R281" s="562"/>
      <c r="S281" s="562"/>
      <c r="T281" s="563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8"/>
      <c r="P282" s="564" t="s">
        <v>40</v>
      </c>
      <c r="Q282" s="565"/>
      <c r="R282" s="565"/>
      <c r="S282" s="565"/>
      <c r="T282" s="565"/>
      <c r="U282" s="565"/>
      <c r="V282" s="566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8"/>
      <c r="P283" s="564" t="s">
        <v>40</v>
      </c>
      <c r="Q283" s="565"/>
      <c r="R283" s="565"/>
      <c r="S283" s="565"/>
      <c r="T283" s="565"/>
      <c r="U283" s="565"/>
      <c r="V283" s="566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558" t="s">
        <v>468</v>
      </c>
      <c r="B284" s="558"/>
      <c r="C284" s="558"/>
      <c r="D284" s="558"/>
      <c r="E284" s="558"/>
      <c r="F284" s="558"/>
      <c r="G284" s="558"/>
      <c r="H284" s="558"/>
      <c r="I284" s="558"/>
      <c r="J284" s="558"/>
      <c r="K284" s="558"/>
      <c r="L284" s="558"/>
      <c r="M284" s="558"/>
      <c r="N284" s="558"/>
      <c r="O284" s="558"/>
      <c r="P284" s="558"/>
      <c r="Q284" s="558"/>
      <c r="R284" s="558"/>
      <c r="S284" s="558"/>
      <c r="T284" s="558"/>
      <c r="U284" s="558"/>
      <c r="V284" s="558"/>
      <c r="W284" s="558"/>
      <c r="X284" s="558"/>
      <c r="Y284" s="558"/>
      <c r="Z284" s="558"/>
      <c r="AA284" s="65"/>
      <c r="AB284" s="65"/>
      <c r="AC284" s="79"/>
    </row>
    <row r="285" spans="1:68" ht="14.25" customHeight="1" x14ac:dyDescent="0.25">
      <c r="A285" s="559" t="s">
        <v>76</v>
      </c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66"/>
      <c r="AB285" s="66"/>
      <c r="AC285" s="80"/>
    </row>
    <row r="286" spans="1:68" ht="27" customHeight="1" x14ac:dyDescent="0.25">
      <c r="A286" s="63" t="s">
        <v>469</v>
      </c>
      <c r="B286" s="63" t="s">
        <v>470</v>
      </c>
      <c r="C286" s="36">
        <v>4301031307</v>
      </c>
      <c r="D286" s="560">
        <v>4680115880344</v>
      </c>
      <c r="E286" s="560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2"/>
      <c r="R286" s="562"/>
      <c r="S286" s="562"/>
      <c r="T286" s="563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472</v>
      </c>
      <c r="B287" s="63" t="s">
        <v>473</v>
      </c>
      <c r="C287" s="36">
        <v>4301031429</v>
      </c>
      <c r="D287" s="560">
        <v>4680115886919</v>
      </c>
      <c r="E287" s="560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6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2"/>
      <c r="R287" s="562"/>
      <c r="S287" s="562"/>
      <c r="T287" s="563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8"/>
      <c r="P288" s="564" t="s">
        <v>40</v>
      </c>
      <c r="Q288" s="565"/>
      <c r="R288" s="565"/>
      <c r="S288" s="565"/>
      <c r="T288" s="565"/>
      <c r="U288" s="565"/>
      <c r="V288" s="566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8"/>
      <c r="P289" s="564" t="s">
        <v>40</v>
      </c>
      <c r="Q289" s="565"/>
      <c r="R289" s="565"/>
      <c r="S289" s="565"/>
      <c r="T289" s="565"/>
      <c r="U289" s="565"/>
      <c r="V289" s="566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559" t="s">
        <v>86</v>
      </c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66"/>
      <c r="AB290" s="66"/>
      <c r="AC290" s="80"/>
    </row>
    <row r="291" spans="1:68" ht="37.5" customHeight="1" x14ac:dyDescent="0.25">
      <c r="A291" s="63" t="s">
        <v>475</v>
      </c>
      <c r="B291" s="63" t="s">
        <v>476</v>
      </c>
      <c r="C291" s="36">
        <v>4301051782</v>
      </c>
      <c r="D291" s="560">
        <v>4680115884618</v>
      </c>
      <c r="E291" s="560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6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2"/>
      <c r="R291" s="562"/>
      <c r="S291" s="562"/>
      <c r="T291" s="563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478</v>
      </c>
      <c r="B292" s="63" t="s">
        <v>479</v>
      </c>
      <c r="C292" s="36">
        <v>4301052057</v>
      </c>
      <c r="D292" s="560">
        <v>4680115887114</v>
      </c>
      <c r="E292" s="560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66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2"/>
      <c r="R292" s="562"/>
      <c r="S292" s="562"/>
      <c r="T292" s="563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8"/>
      <c r="P293" s="564" t="s">
        <v>40</v>
      </c>
      <c r="Q293" s="565"/>
      <c r="R293" s="565"/>
      <c r="S293" s="565"/>
      <c r="T293" s="565"/>
      <c r="U293" s="565"/>
      <c r="V293" s="56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8"/>
      <c r="P294" s="564" t="s">
        <v>40</v>
      </c>
      <c r="Q294" s="565"/>
      <c r="R294" s="565"/>
      <c r="S294" s="565"/>
      <c r="T294" s="565"/>
      <c r="U294" s="565"/>
      <c r="V294" s="56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558" t="s">
        <v>481</v>
      </c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58"/>
      <c r="P295" s="558"/>
      <c r="Q295" s="558"/>
      <c r="R295" s="558"/>
      <c r="S295" s="558"/>
      <c r="T295" s="558"/>
      <c r="U295" s="558"/>
      <c r="V295" s="558"/>
      <c r="W295" s="558"/>
      <c r="X295" s="558"/>
      <c r="Y295" s="558"/>
      <c r="Z295" s="558"/>
      <c r="AA295" s="65"/>
      <c r="AB295" s="65"/>
      <c r="AC295" s="79"/>
    </row>
    <row r="296" spans="1:68" ht="14.25" customHeight="1" x14ac:dyDescent="0.25">
      <c r="A296" s="559" t="s">
        <v>114</v>
      </c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66"/>
      <c r="AB296" s="66"/>
      <c r="AC296" s="80"/>
    </row>
    <row r="297" spans="1:68" ht="27" customHeight="1" x14ac:dyDescent="0.25">
      <c r="A297" s="63" t="s">
        <v>482</v>
      </c>
      <c r="B297" s="63" t="s">
        <v>483</v>
      </c>
      <c r="C297" s="36">
        <v>4301012024</v>
      </c>
      <c r="D297" s="560">
        <v>4680115885615</v>
      </c>
      <c r="E297" s="560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66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2"/>
      <c r="R297" s="562"/>
      <c r="S297" s="562"/>
      <c r="T297" s="563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485</v>
      </c>
      <c r="B298" s="63" t="s">
        <v>486</v>
      </c>
      <c r="C298" s="36">
        <v>4301011858</v>
      </c>
      <c r="D298" s="560">
        <v>4680115885646</v>
      </c>
      <c r="E298" s="560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6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2"/>
      <c r="R298" s="562"/>
      <c r="S298" s="562"/>
      <c r="T298" s="563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488</v>
      </c>
      <c r="B299" s="63" t="s">
        <v>489</v>
      </c>
      <c r="C299" s="36">
        <v>4301012016</v>
      </c>
      <c r="D299" s="560">
        <v>4680115885554</v>
      </c>
      <c r="E299" s="560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6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2"/>
      <c r="R299" s="562"/>
      <c r="S299" s="562"/>
      <c r="T299" s="563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491</v>
      </c>
      <c r="B300" s="63" t="s">
        <v>492</v>
      </c>
      <c r="C300" s="36">
        <v>4301011857</v>
      </c>
      <c r="D300" s="560">
        <v>4680115885622</v>
      </c>
      <c r="E300" s="560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6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2"/>
      <c r="R300" s="562"/>
      <c r="S300" s="562"/>
      <c r="T300" s="563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493</v>
      </c>
      <c r="B301" s="63" t="s">
        <v>494</v>
      </c>
      <c r="C301" s="36">
        <v>4301011859</v>
      </c>
      <c r="D301" s="560">
        <v>4680115885608</v>
      </c>
      <c r="E301" s="560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6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2"/>
      <c r="R301" s="562"/>
      <c r="S301" s="562"/>
      <c r="T301" s="563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8"/>
      <c r="P302" s="564" t="s">
        <v>40</v>
      </c>
      <c r="Q302" s="565"/>
      <c r="R302" s="565"/>
      <c r="S302" s="565"/>
      <c r="T302" s="565"/>
      <c r="U302" s="565"/>
      <c r="V302" s="566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8"/>
      <c r="P303" s="564" t="s">
        <v>40</v>
      </c>
      <c r="Q303" s="565"/>
      <c r="R303" s="565"/>
      <c r="S303" s="565"/>
      <c r="T303" s="565"/>
      <c r="U303" s="565"/>
      <c r="V303" s="566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559" t="s">
        <v>76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66"/>
      <c r="AB304" s="66"/>
      <c r="AC304" s="80"/>
    </row>
    <row r="305" spans="1:68" ht="27" customHeight="1" x14ac:dyDescent="0.25">
      <c r="A305" s="63" t="s">
        <v>496</v>
      </c>
      <c r="B305" s="63" t="s">
        <v>497</v>
      </c>
      <c r="C305" s="36">
        <v>4301030878</v>
      </c>
      <c r="D305" s="560">
        <v>4607091387193</v>
      </c>
      <c r="E305" s="560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6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2"/>
      <c r="R305" s="562"/>
      <c r="S305" s="562"/>
      <c r="T305" s="563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customHeight="1" x14ac:dyDescent="0.25">
      <c r="A306" s="63" t="s">
        <v>499</v>
      </c>
      <c r="B306" s="63" t="s">
        <v>500</v>
      </c>
      <c r="C306" s="36">
        <v>4301031153</v>
      </c>
      <c r="D306" s="560">
        <v>4607091387230</v>
      </c>
      <c r="E306" s="560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6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2"/>
      <c r="R306" s="562"/>
      <c r="S306" s="562"/>
      <c r="T306" s="563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customHeight="1" x14ac:dyDescent="0.25">
      <c r="A307" s="63" t="s">
        <v>502</v>
      </c>
      <c r="B307" s="63" t="s">
        <v>503</v>
      </c>
      <c r="C307" s="36">
        <v>4301031154</v>
      </c>
      <c r="D307" s="560">
        <v>4607091387292</v>
      </c>
      <c r="E307" s="560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65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2"/>
      <c r="R307" s="562"/>
      <c r="S307" s="562"/>
      <c r="T307" s="563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4301031152</v>
      </c>
      <c r="D308" s="560">
        <v>4607091387285</v>
      </c>
      <c r="E308" s="560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6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2"/>
      <c r="R308" s="562"/>
      <c r="S308" s="562"/>
      <c r="T308" s="563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customHeight="1" x14ac:dyDescent="0.25">
      <c r="A309" s="63" t="s">
        <v>507</v>
      </c>
      <c r="B309" s="63" t="s">
        <v>508</v>
      </c>
      <c r="C309" s="36">
        <v>4301031305</v>
      </c>
      <c r="D309" s="560">
        <v>4607091389845</v>
      </c>
      <c r="E309" s="560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6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2"/>
      <c r="R309" s="562"/>
      <c r="S309" s="562"/>
      <c r="T309" s="563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customHeight="1" x14ac:dyDescent="0.25">
      <c r="A310" s="63" t="s">
        <v>510</v>
      </c>
      <c r="B310" s="63" t="s">
        <v>511</v>
      </c>
      <c r="C310" s="36">
        <v>4301031460</v>
      </c>
      <c r="D310" s="560">
        <v>4680115887442</v>
      </c>
      <c r="E310" s="560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659" t="s">
        <v>512</v>
      </c>
      <c r="Q310" s="562"/>
      <c r="R310" s="562"/>
      <c r="S310" s="562"/>
      <c r="T310" s="563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customHeight="1" x14ac:dyDescent="0.25">
      <c r="A311" s="63" t="s">
        <v>513</v>
      </c>
      <c r="B311" s="63" t="s">
        <v>514</v>
      </c>
      <c r="C311" s="36">
        <v>4301031066</v>
      </c>
      <c r="D311" s="560">
        <v>4607091383836</v>
      </c>
      <c r="E311" s="560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6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2"/>
      <c r="R311" s="562"/>
      <c r="S311" s="562"/>
      <c r="T311" s="563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x14ac:dyDescent="0.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8"/>
      <c r="P312" s="564" t="s">
        <v>40</v>
      </c>
      <c r="Q312" s="565"/>
      <c r="R312" s="565"/>
      <c r="S312" s="565"/>
      <c r="T312" s="565"/>
      <c r="U312" s="565"/>
      <c r="V312" s="566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8"/>
      <c r="P313" s="564" t="s">
        <v>40</v>
      </c>
      <c r="Q313" s="565"/>
      <c r="R313" s="565"/>
      <c r="S313" s="565"/>
      <c r="T313" s="565"/>
      <c r="U313" s="565"/>
      <c r="V313" s="566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customHeight="1" x14ac:dyDescent="0.25">
      <c r="A314" s="559" t="s">
        <v>86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66"/>
      <c r="AB314" s="66"/>
      <c r="AC314" s="80"/>
    </row>
    <row r="315" spans="1:68" ht="27" customHeight="1" x14ac:dyDescent="0.25">
      <c r="A315" s="63" t="s">
        <v>516</v>
      </c>
      <c r="B315" s="63" t="s">
        <v>517</v>
      </c>
      <c r="C315" s="36">
        <v>4301051100</v>
      </c>
      <c r="D315" s="560">
        <v>4607091387766</v>
      </c>
      <c r="E315" s="560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6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2"/>
      <c r="R315" s="562"/>
      <c r="S315" s="562"/>
      <c r="T315" s="563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519</v>
      </c>
      <c r="B316" s="63" t="s">
        <v>520</v>
      </c>
      <c r="C316" s="36">
        <v>4301051818</v>
      </c>
      <c r="D316" s="560">
        <v>4607091387957</v>
      </c>
      <c r="E316" s="560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6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2"/>
      <c r="R316" s="562"/>
      <c r="S316" s="562"/>
      <c r="T316" s="563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522</v>
      </c>
      <c r="B317" s="63" t="s">
        <v>523</v>
      </c>
      <c r="C317" s="36">
        <v>4301051819</v>
      </c>
      <c r="D317" s="560">
        <v>4607091387964</v>
      </c>
      <c r="E317" s="560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6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2"/>
      <c r="R317" s="562"/>
      <c r="S317" s="562"/>
      <c r="T317" s="563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525</v>
      </c>
      <c r="B318" s="63" t="s">
        <v>526</v>
      </c>
      <c r="C318" s="36">
        <v>4301051734</v>
      </c>
      <c r="D318" s="560">
        <v>4680115884588</v>
      </c>
      <c r="E318" s="560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6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2"/>
      <c r="R318" s="562"/>
      <c r="S318" s="562"/>
      <c r="T318" s="563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8"/>
      <c r="P319" s="564" t="s">
        <v>40</v>
      </c>
      <c r="Q319" s="565"/>
      <c r="R319" s="565"/>
      <c r="S319" s="565"/>
      <c r="T319" s="565"/>
      <c r="U319" s="565"/>
      <c r="V319" s="566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8"/>
      <c r="P320" s="564" t="s">
        <v>40</v>
      </c>
      <c r="Q320" s="565"/>
      <c r="R320" s="565"/>
      <c r="S320" s="565"/>
      <c r="T320" s="565"/>
      <c r="U320" s="565"/>
      <c r="V320" s="566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559" t="s">
        <v>173</v>
      </c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66"/>
      <c r="AB321" s="66"/>
      <c r="AC321" s="80"/>
    </row>
    <row r="322" spans="1:68" ht="27" customHeight="1" x14ac:dyDescent="0.25">
      <c r="A322" s="63" t="s">
        <v>528</v>
      </c>
      <c r="B322" s="63" t="s">
        <v>529</v>
      </c>
      <c r="C322" s="36">
        <v>4301060387</v>
      </c>
      <c r="D322" s="560">
        <v>4607091380880</v>
      </c>
      <c r="E322" s="560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6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2"/>
      <c r="R322" s="562"/>
      <c r="S322" s="562"/>
      <c r="T322" s="563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560">
        <v>4607091384482</v>
      </c>
      <c r="E323" s="560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2"/>
      <c r="R323" s="562"/>
      <c r="S323" s="562"/>
      <c r="T323" s="563"/>
      <c r="U323" s="39" t="s">
        <v>45</v>
      </c>
      <c r="V323" s="39" t="s">
        <v>45</v>
      </c>
      <c r="W323" s="40" t="s">
        <v>0</v>
      </c>
      <c r="X323" s="58">
        <v>249.6</v>
      </c>
      <c r="Y323" s="55">
        <f>IFERROR(IF(X323="",0,CEILING((X323/$H323),1)*$H323),"")</f>
        <v>249.6</v>
      </c>
      <c r="Z323" s="41">
        <f>IFERROR(IF(Y323=0,"",ROUNDUP(Y323/H323,0)*0.01898),"")</f>
        <v>0.60736000000000001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265.40800000000002</v>
      </c>
      <c r="BN323" s="78">
        <f>IFERROR(Y323*I323/H323,"0")</f>
        <v>265.40800000000002</v>
      </c>
      <c r="BO323" s="78">
        <f>IFERROR(1/J323*(X323/H323),"0")</f>
        <v>0.5</v>
      </c>
      <c r="BP323" s="78">
        <f>IFERROR(1/J323*(Y323/H323),"0")</f>
        <v>0.5</v>
      </c>
    </row>
    <row r="324" spans="1:68" ht="16.5" customHeight="1" x14ac:dyDescent="0.25">
      <c r="A324" s="63" t="s">
        <v>534</v>
      </c>
      <c r="B324" s="63" t="s">
        <v>535</v>
      </c>
      <c r="C324" s="36">
        <v>4301060484</v>
      </c>
      <c r="D324" s="560">
        <v>4607091380897</v>
      </c>
      <c r="E324" s="560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6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2"/>
      <c r="R324" s="562"/>
      <c r="S324" s="562"/>
      <c r="T324" s="563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8"/>
      <c r="P325" s="564" t="s">
        <v>40</v>
      </c>
      <c r="Q325" s="565"/>
      <c r="R325" s="565"/>
      <c r="S325" s="565"/>
      <c r="T325" s="565"/>
      <c r="U325" s="565"/>
      <c r="V325" s="566"/>
      <c r="W325" s="42" t="s">
        <v>39</v>
      </c>
      <c r="X325" s="43">
        <f>IFERROR(X322/H322,"0")+IFERROR(X323/H323,"0")+IFERROR(X324/H324,"0")</f>
        <v>32</v>
      </c>
      <c r="Y325" s="43">
        <f>IFERROR(Y322/H322,"0")+IFERROR(Y323/H323,"0")+IFERROR(Y324/H324,"0")</f>
        <v>32</v>
      </c>
      <c r="Z325" s="43">
        <f>IFERROR(IF(Z322="",0,Z322),"0")+IFERROR(IF(Z323="",0,Z323),"0")+IFERROR(IF(Z324="",0,Z324),"0")</f>
        <v>0.60736000000000001</v>
      </c>
      <c r="AA325" s="67"/>
      <c r="AB325" s="67"/>
      <c r="AC325" s="67"/>
    </row>
    <row r="326" spans="1:68" x14ac:dyDescent="0.2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8"/>
      <c r="P326" s="564" t="s">
        <v>40</v>
      </c>
      <c r="Q326" s="565"/>
      <c r="R326" s="565"/>
      <c r="S326" s="565"/>
      <c r="T326" s="565"/>
      <c r="U326" s="565"/>
      <c r="V326" s="566"/>
      <c r="W326" s="42" t="s">
        <v>0</v>
      </c>
      <c r="X326" s="43">
        <f>IFERROR(SUM(X322:X324),"0")</f>
        <v>249.6</v>
      </c>
      <c r="Y326" s="43">
        <f>IFERROR(SUM(Y322:Y324),"0")</f>
        <v>249.6</v>
      </c>
      <c r="Z326" s="42"/>
      <c r="AA326" s="67"/>
      <c r="AB326" s="67"/>
      <c r="AC326" s="67"/>
    </row>
    <row r="327" spans="1:68" ht="14.25" customHeight="1" x14ac:dyDescent="0.25">
      <c r="A327" s="559" t="s">
        <v>106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66"/>
      <c r="AB327" s="66"/>
      <c r="AC327" s="80"/>
    </row>
    <row r="328" spans="1:68" ht="27" customHeight="1" x14ac:dyDescent="0.25">
      <c r="A328" s="63" t="s">
        <v>537</v>
      </c>
      <c r="B328" s="63" t="s">
        <v>538</v>
      </c>
      <c r="C328" s="36">
        <v>4301030235</v>
      </c>
      <c r="D328" s="560">
        <v>4607091388381</v>
      </c>
      <c r="E328" s="560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6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2"/>
      <c r="R328" s="562"/>
      <c r="S328" s="562"/>
      <c r="T328" s="563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4301030232</v>
      </c>
      <c r="D329" s="560">
        <v>4607091388374</v>
      </c>
      <c r="E329" s="560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6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2"/>
      <c r="R329" s="562"/>
      <c r="S329" s="562"/>
      <c r="T329" s="563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542</v>
      </c>
      <c r="B330" s="63" t="s">
        <v>543</v>
      </c>
      <c r="C330" s="36">
        <v>4301032015</v>
      </c>
      <c r="D330" s="560">
        <v>4607091383102</v>
      </c>
      <c r="E330" s="560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6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2"/>
      <c r="R330" s="562"/>
      <c r="S330" s="562"/>
      <c r="T330" s="563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544</v>
      </c>
      <c r="B331" s="63" t="s">
        <v>545</v>
      </c>
      <c r="C331" s="36">
        <v>4301030233</v>
      </c>
      <c r="D331" s="560">
        <v>4607091388404</v>
      </c>
      <c r="E331" s="560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6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2"/>
      <c r="R331" s="562"/>
      <c r="S331" s="562"/>
      <c r="T331" s="563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8"/>
      <c r="P332" s="564" t="s">
        <v>40</v>
      </c>
      <c r="Q332" s="565"/>
      <c r="R332" s="565"/>
      <c r="S332" s="565"/>
      <c r="T332" s="565"/>
      <c r="U332" s="565"/>
      <c r="V332" s="566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8"/>
      <c r="P333" s="564" t="s">
        <v>40</v>
      </c>
      <c r="Q333" s="565"/>
      <c r="R333" s="565"/>
      <c r="S333" s="565"/>
      <c r="T333" s="565"/>
      <c r="U333" s="565"/>
      <c r="V333" s="566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559" t="s">
        <v>546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66"/>
      <c r="AB334" s="66"/>
      <c r="AC334" s="80"/>
    </row>
    <row r="335" spans="1:68" ht="16.5" customHeight="1" x14ac:dyDescent="0.25">
      <c r="A335" s="63" t="s">
        <v>547</v>
      </c>
      <c r="B335" s="63" t="s">
        <v>548</v>
      </c>
      <c r="C335" s="36">
        <v>4301180007</v>
      </c>
      <c r="D335" s="560">
        <v>4680115881808</v>
      </c>
      <c r="E335" s="560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6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2"/>
      <c r="R335" s="562"/>
      <c r="S335" s="562"/>
      <c r="T335" s="563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551</v>
      </c>
      <c r="B336" s="63" t="s">
        <v>552</v>
      </c>
      <c r="C336" s="36">
        <v>4301180006</v>
      </c>
      <c r="D336" s="560">
        <v>4680115881822</v>
      </c>
      <c r="E336" s="560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6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2"/>
      <c r="R336" s="562"/>
      <c r="S336" s="562"/>
      <c r="T336" s="563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553</v>
      </c>
      <c r="B337" s="63" t="s">
        <v>554</v>
      </c>
      <c r="C337" s="36">
        <v>4301180001</v>
      </c>
      <c r="D337" s="560">
        <v>4680115880016</v>
      </c>
      <c r="E337" s="560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6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2"/>
      <c r="R337" s="562"/>
      <c r="S337" s="562"/>
      <c r="T337" s="563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8"/>
      <c r="P338" s="564" t="s">
        <v>40</v>
      </c>
      <c r="Q338" s="565"/>
      <c r="R338" s="565"/>
      <c r="S338" s="565"/>
      <c r="T338" s="565"/>
      <c r="U338" s="565"/>
      <c r="V338" s="56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8"/>
      <c r="P339" s="564" t="s">
        <v>40</v>
      </c>
      <c r="Q339" s="565"/>
      <c r="R339" s="565"/>
      <c r="S339" s="565"/>
      <c r="T339" s="565"/>
      <c r="U339" s="565"/>
      <c r="V339" s="56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558" t="s">
        <v>555</v>
      </c>
      <c r="B340" s="558"/>
      <c r="C340" s="558"/>
      <c r="D340" s="558"/>
      <c r="E340" s="558"/>
      <c r="F340" s="558"/>
      <c r="G340" s="558"/>
      <c r="H340" s="558"/>
      <c r="I340" s="558"/>
      <c r="J340" s="558"/>
      <c r="K340" s="558"/>
      <c r="L340" s="558"/>
      <c r="M340" s="558"/>
      <c r="N340" s="558"/>
      <c r="O340" s="558"/>
      <c r="P340" s="558"/>
      <c r="Q340" s="558"/>
      <c r="R340" s="558"/>
      <c r="S340" s="558"/>
      <c r="T340" s="558"/>
      <c r="U340" s="558"/>
      <c r="V340" s="558"/>
      <c r="W340" s="558"/>
      <c r="X340" s="558"/>
      <c r="Y340" s="558"/>
      <c r="Z340" s="558"/>
      <c r="AA340" s="65"/>
      <c r="AB340" s="65"/>
      <c r="AC340" s="79"/>
    </row>
    <row r="341" spans="1:68" ht="14.25" customHeight="1" x14ac:dyDescent="0.25">
      <c r="A341" s="559" t="s">
        <v>86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66"/>
      <c r="AB341" s="66"/>
      <c r="AC341" s="80"/>
    </row>
    <row r="342" spans="1:68" ht="27" customHeight="1" x14ac:dyDescent="0.25">
      <c r="A342" s="63" t="s">
        <v>556</v>
      </c>
      <c r="B342" s="63" t="s">
        <v>557</v>
      </c>
      <c r="C342" s="36">
        <v>4301051489</v>
      </c>
      <c r="D342" s="560">
        <v>4607091387919</v>
      </c>
      <c r="E342" s="560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2"/>
      <c r="R342" s="562"/>
      <c r="S342" s="562"/>
      <c r="T342" s="563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559</v>
      </c>
      <c r="B343" s="63" t="s">
        <v>560</v>
      </c>
      <c r="C343" s="36">
        <v>4301051461</v>
      </c>
      <c r="D343" s="560">
        <v>4680115883604</v>
      </c>
      <c r="E343" s="560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2"/>
      <c r="R343" s="562"/>
      <c r="S343" s="562"/>
      <c r="T343" s="563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562</v>
      </c>
      <c r="B344" s="63" t="s">
        <v>563</v>
      </c>
      <c r="C344" s="36">
        <v>4301051864</v>
      </c>
      <c r="D344" s="560">
        <v>4680115883567</v>
      </c>
      <c r="E344" s="560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6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2"/>
      <c r="R344" s="562"/>
      <c r="S344" s="562"/>
      <c r="T344" s="563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8"/>
      <c r="P345" s="564" t="s">
        <v>40</v>
      </c>
      <c r="Q345" s="565"/>
      <c r="R345" s="565"/>
      <c r="S345" s="565"/>
      <c r="T345" s="565"/>
      <c r="U345" s="565"/>
      <c r="V345" s="56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8"/>
      <c r="P346" s="564" t="s">
        <v>40</v>
      </c>
      <c r="Q346" s="565"/>
      <c r="R346" s="565"/>
      <c r="S346" s="565"/>
      <c r="T346" s="565"/>
      <c r="U346" s="565"/>
      <c r="V346" s="56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">
      <c r="A347" s="579" t="s">
        <v>565</v>
      </c>
      <c r="B347" s="579"/>
      <c r="C347" s="579"/>
      <c r="D347" s="579"/>
      <c r="E347" s="579"/>
      <c r="F347" s="579"/>
      <c r="G347" s="579"/>
      <c r="H347" s="579"/>
      <c r="I347" s="579"/>
      <c r="J347" s="579"/>
      <c r="K347" s="579"/>
      <c r="L347" s="579"/>
      <c r="M347" s="579"/>
      <c r="N347" s="579"/>
      <c r="O347" s="579"/>
      <c r="P347" s="579"/>
      <c r="Q347" s="579"/>
      <c r="R347" s="579"/>
      <c r="S347" s="579"/>
      <c r="T347" s="579"/>
      <c r="U347" s="579"/>
      <c r="V347" s="579"/>
      <c r="W347" s="579"/>
      <c r="X347" s="579"/>
      <c r="Y347" s="579"/>
      <c r="Z347" s="579"/>
      <c r="AA347" s="54"/>
      <c r="AB347" s="54"/>
      <c r="AC347" s="54"/>
    </row>
    <row r="348" spans="1:68" ht="16.5" customHeight="1" x14ac:dyDescent="0.25">
      <c r="A348" s="558" t="s">
        <v>566</v>
      </c>
      <c r="B348" s="558"/>
      <c r="C348" s="558"/>
      <c r="D348" s="558"/>
      <c r="E348" s="558"/>
      <c r="F348" s="558"/>
      <c r="G348" s="558"/>
      <c r="H348" s="558"/>
      <c r="I348" s="558"/>
      <c r="J348" s="558"/>
      <c r="K348" s="558"/>
      <c r="L348" s="558"/>
      <c r="M348" s="558"/>
      <c r="N348" s="558"/>
      <c r="O348" s="558"/>
      <c r="P348" s="558"/>
      <c r="Q348" s="558"/>
      <c r="R348" s="558"/>
      <c r="S348" s="558"/>
      <c r="T348" s="558"/>
      <c r="U348" s="558"/>
      <c r="V348" s="558"/>
      <c r="W348" s="558"/>
      <c r="X348" s="558"/>
      <c r="Y348" s="558"/>
      <c r="Z348" s="558"/>
      <c r="AA348" s="65"/>
      <c r="AB348" s="65"/>
      <c r="AC348" s="79"/>
    </row>
    <row r="349" spans="1:68" ht="14.25" customHeight="1" x14ac:dyDescent="0.25">
      <c r="A349" s="559" t="s">
        <v>114</v>
      </c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560">
        <v>4680115884847</v>
      </c>
      <c r="E350" s="560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63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2"/>
      <c r="R350" s="562"/>
      <c r="S350" s="562"/>
      <c r="T350" s="563"/>
      <c r="U350" s="39" t="s">
        <v>45</v>
      </c>
      <c r="V350" s="39" t="s">
        <v>45</v>
      </c>
      <c r="W350" s="40" t="s">
        <v>0</v>
      </c>
      <c r="X350" s="58">
        <v>120</v>
      </c>
      <c r="Y350" s="55">
        <f t="shared" ref="Y350:Y356" si="37">IFERROR(IF(X350="",0,CEILING((X350/$H350),1)*$H350),"")</f>
        <v>120</v>
      </c>
      <c r="Z350" s="41">
        <f>IFERROR(IF(Y350=0,"",ROUNDUP(Y350/H350,0)*0.02175),"")</f>
        <v>0.17399999999999999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123.76</v>
      </c>
      <c r="BN350" s="78">
        <f t="shared" ref="BN350:BN356" si="39">IFERROR(Y350*I350/H350,"0")</f>
        <v>123.76</v>
      </c>
      <c r="BO350" s="78">
        <f t="shared" ref="BO350:BO356" si="40">IFERROR(1/J350*(X350/H350),"0")</f>
        <v>0.16666666666666666</v>
      </c>
      <c r="BP350" s="78">
        <f t="shared" ref="BP350:BP356" si="41">IFERROR(1/J350*(Y350/H350),"0")</f>
        <v>0.16666666666666666</v>
      </c>
    </row>
    <row r="351" spans="1:68" ht="27" customHeight="1" x14ac:dyDescent="0.25">
      <c r="A351" s="63" t="s">
        <v>570</v>
      </c>
      <c r="B351" s="63" t="s">
        <v>571</v>
      </c>
      <c r="C351" s="36">
        <v>4301012083</v>
      </c>
      <c r="D351" s="560">
        <v>4680115884854</v>
      </c>
      <c r="E351" s="560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63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2"/>
      <c r="R351" s="562"/>
      <c r="S351" s="562"/>
      <c r="T351" s="563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560">
        <v>4680115884830</v>
      </c>
      <c r="E352" s="560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6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2"/>
      <c r="R352" s="562"/>
      <c r="S352" s="562"/>
      <c r="T352" s="563"/>
      <c r="U352" s="39" t="s">
        <v>45</v>
      </c>
      <c r="V352" s="39" t="s">
        <v>45</v>
      </c>
      <c r="W352" s="40" t="s">
        <v>0</v>
      </c>
      <c r="X352" s="58">
        <v>120</v>
      </c>
      <c r="Y352" s="55">
        <f t="shared" si="37"/>
        <v>120</v>
      </c>
      <c r="Z352" s="41">
        <f>IFERROR(IF(Y352=0,"",ROUNDUP(Y352/H352,0)*0.02175),"")</f>
        <v>0.17399999999999999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123.76</v>
      </c>
      <c r="BN352" s="78">
        <f t="shared" si="39"/>
        <v>123.76</v>
      </c>
      <c r="BO352" s="78">
        <f t="shared" si="40"/>
        <v>0.16666666666666666</v>
      </c>
      <c r="BP352" s="78">
        <f t="shared" si="41"/>
        <v>0.16666666666666666</v>
      </c>
    </row>
    <row r="353" spans="1:68" ht="27" customHeight="1" x14ac:dyDescent="0.25">
      <c r="A353" s="63" t="s">
        <v>576</v>
      </c>
      <c r="B353" s="63" t="s">
        <v>577</v>
      </c>
      <c r="C353" s="36">
        <v>4301012215</v>
      </c>
      <c r="D353" s="560">
        <v>4680115887046</v>
      </c>
      <c r="E353" s="560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6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2"/>
      <c r="R353" s="562"/>
      <c r="S353" s="562"/>
      <c r="T353" s="563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customHeight="1" x14ac:dyDescent="0.25">
      <c r="A354" s="63" t="s">
        <v>579</v>
      </c>
      <c r="B354" s="63" t="s">
        <v>580</v>
      </c>
      <c r="C354" s="36">
        <v>4301011433</v>
      </c>
      <c r="D354" s="560">
        <v>4680115882638</v>
      </c>
      <c r="E354" s="560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6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2"/>
      <c r="R354" s="562"/>
      <c r="S354" s="562"/>
      <c r="T354" s="563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customHeight="1" x14ac:dyDescent="0.25">
      <c r="A355" s="63" t="s">
        <v>582</v>
      </c>
      <c r="B355" s="63" t="s">
        <v>583</v>
      </c>
      <c r="C355" s="36">
        <v>4301011952</v>
      </c>
      <c r="D355" s="560">
        <v>4680115884922</v>
      </c>
      <c r="E355" s="560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6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2"/>
      <c r="R355" s="562"/>
      <c r="S355" s="562"/>
      <c r="T355" s="563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customHeight="1" x14ac:dyDescent="0.25">
      <c r="A356" s="63" t="s">
        <v>585</v>
      </c>
      <c r="B356" s="63" t="s">
        <v>586</v>
      </c>
      <c r="C356" s="36">
        <v>4301011868</v>
      </c>
      <c r="D356" s="560">
        <v>4680115884861</v>
      </c>
      <c r="E356" s="560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6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2"/>
      <c r="R356" s="562"/>
      <c r="S356" s="562"/>
      <c r="T356" s="563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8"/>
      <c r="P357" s="564" t="s">
        <v>40</v>
      </c>
      <c r="Q357" s="565"/>
      <c r="R357" s="565"/>
      <c r="S357" s="565"/>
      <c r="T357" s="565"/>
      <c r="U357" s="565"/>
      <c r="V357" s="566"/>
      <c r="W357" s="42" t="s">
        <v>39</v>
      </c>
      <c r="X357" s="43">
        <f>IFERROR(X350/H350,"0")+IFERROR(X351/H351,"0")+IFERROR(X352/H352,"0")+IFERROR(X353/H353,"0")+IFERROR(X354/H354,"0")+IFERROR(X355/H355,"0")+IFERROR(X356/H356,"0")</f>
        <v>16</v>
      </c>
      <c r="Y357" s="43">
        <f>IFERROR(Y350/H350,"0")+IFERROR(Y351/H351,"0")+IFERROR(Y352/H352,"0")+IFERROR(Y353/H353,"0")+IFERROR(Y354/H354,"0")+IFERROR(Y355/H355,"0")+IFERROR(Y356/H356,"0")</f>
        <v>16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0.34799999999999998</v>
      </c>
      <c r="AA357" s="67"/>
      <c r="AB357" s="67"/>
      <c r="AC357" s="67"/>
    </row>
    <row r="358" spans="1:68" x14ac:dyDescent="0.2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8"/>
      <c r="P358" s="564" t="s">
        <v>40</v>
      </c>
      <c r="Q358" s="565"/>
      <c r="R358" s="565"/>
      <c r="S358" s="565"/>
      <c r="T358" s="565"/>
      <c r="U358" s="565"/>
      <c r="V358" s="566"/>
      <c r="W358" s="42" t="s">
        <v>0</v>
      </c>
      <c r="X358" s="43">
        <f>IFERROR(SUM(X350:X356),"0")</f>
        <v>240</v>
      </c>
      <c r="Y358" s="43">
        <f>IFERROR(SUM(Y350:Y356),"0")</f>
        <v>240</v>
      </c>
      <c r="Z358" s="42"/>
      <c r="AA358" s="67"/>
      <c r="AB358" s="67"/>
      <c r="AC358" s="67"/>
    </row>
    <row r="359" spans="1:68" ht="14.25" customHeight="1" x14ac:dyDescent="0.25">
      <c r="A359" s="559" t="s">
        <v>147</v>
      </c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66"/>
      <c r="AB359" s="66"/>
      <c r="AC359" s="80"/>
    </row>
    <row r="360" spans="1:68" ht="27" customHeight="1" x14ac:dyDescent="0.25">
      <c r="A360" s="63" t="s">
        <v>587</v>
      </c>
      <c r="B360" s="63" t="s">
        <v>588</v>
      </c>
      <c r="C360" s="36">
        <v>4301020178</v>
      </c>
      <c r="D360" s="560">
        <v>4607091383980</v>
      </c>
      <c r="E360" s="560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6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2"/>
      <c r="R360" s="562"/>
      <c r="S360" s="562"/>
      <c r="T360" s="563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590</v>
      </c>
      <c r="B361" s="63" t="s">
        <v>591</v>
      </c>
      <c r="C361" s="36">
        <v>4301020179</v>
      </c>
      <c r="D361" s="560">
        <v>4607091384178</v>
      </c>
      <c r="E361" s="560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6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2"/>
      <c r="R361" s="562"/>
      <c r="S361" s="562"/>
      <c r="T361" s="563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8"/>
      <c r="P362" s="564" t="s">
        <v>40</v>
      </c>
      <c r="Q362" s="565"/>
      <c r="R362" s="565"/>
      <c r="S362" s="565"/>
      <c r="T362" s="565"/>
      <c r="U362" s="565"/>
      <c r="V362" s="566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8"/>
      <c r="P363" s="564" t="s">
        <v>40</v>
      </c>
      <c r="Q363" s="565"/>
      <c r="R363" s="565"/>
      <c r="S363" s="565"/>
      <c r="T363" s="565"/>
      <c r="U363" s="565"/>
      <c r="V363" s="566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559" t="s">
        <v>86</v>
      </c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66"/>
      <c r="AB364" s="66"/>
      <c r="AC364" s="80"/>
    </row>
    <row r="365" spans="1:68" ht="27" customHeight="1" x14ac:dyDescent="0.25">
      <c r="A365" s="63" t="s">
        <v>593</v>
      </c>
      <c r="B365" s="63" t="s">
        <v>594</v>
      </c>
      <c r="C365" s="36">
        <v>4301051903</v>
      </c>
      <c r="D365" s="560">
        <v>4607091383928</v>
      </c>
      <c r="E365" s="560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2"/>
      <c r="R365" s="562"/>
      <c r="S365" s="562"/>
      <c r="T365" s="563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596</v>
      </c>
      <c r="B366" s="63" t="s">
        <v>597</v>
      </c>
      <c r="C366" s="36">
        <v>4301051897</v>
      </c>
      <c r="D366" s="560">
        <v>4607091384260</v>
      </c>
      <c r="E366" s="560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6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2"/>
      <c r="R366" s="562"/>
      <c r="S366" s="562"/>
      <c r="T366" s="563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8"/>
      <c r="P367" s="564" t="s">
        <v>40</v>
      </c>
      <c r="Q367" s="565"/>
      <c r="R367" s="565"/>
      <c r="S367" s="565"/>
      <c r="T367" s="565"/>
      <c r="U367" s="565"/>
      <c r="V367" s="566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8"/>
      <c r="P368" s="564" t="s">
        <v>40</v>
      </c>
      <c r="Q368" s="565"/>
      <c r="R368" s="565"/>
      <c r="S368" s="565"/>
      <c r="T368" s="565"/>
      <c r="U368" s="565"/>
      <c r="V368" s="566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559" t="s">
        <v>173</v>
      </c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560">
        <v>4607091384673</v>
      </c>
      <c r="E370" s="560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6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2"/>
      <c r="R370" s="562"/>
      <c r="S370" s="562"/>
      <c r="T370" s="563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8"/>
      <c r="P371" s="564" t="s">
        <v>40</v>
      </c>
      <c r="Q371" s="565"/>
      <c r="R371" s="565"/>
      <c r="S371" s="565"/>
      <c r="T371" s="565"/>
      <c r="U371" s="565"/>
      <c r="V371" s="566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8"/>
      <c r="P372" s="564" t="s">
        <v>40</v>
      </c>
      <c r="Q372" s="565"/>
      <c r="R372" s="565"/>
      <c r="S372" s="565"/>
      <c r="T372" s="565"/>
      <c r="U372" s="565"/>
      <c r="V372" s="566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558" t="s">
        <v>602</v>
      </c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58"/>
      <c r="P373" s="558"/>
      <c r="Q373" s="558"/>
      <c r="R373" s="558"/>
      <c r="S373" s="558"/>
      <c r="T373" s="558"/>
      <c r="U373" s="558"/>
      <c r="V373" s="558"/>
      <c r="W373" s="558"/>
      <c r="X373" s="558"/>
      <c r="Y373" s="558"/>
      <c r="Z373" s="558"/>
      <c r="AA373" s="65"/>
      <c r="AB373" s="65"/>
      <c r="AC373" s="79"/>
    </row>
    <row r="374" spans="1:68" ht="14.25" customHeight="1" x14ac:dyDescent="0.25">
      <c r="A374" s="559" t="s">
        <v>114</v>
      </c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66"/>
      <c r="AB374" s="66"/>
      <c r="AC374" s="80"/>
    </row>
    <row r="375" spans="1:68" ht="37.5" customHeight="1" x14ac:dyDescent="0.25">
      <c r="A375" s="63" t="s">
        <v>603</v>
      </c>
      <c r="B375" s="63" t="s">
        <v>604</v>
      </c>
      <c r="C375" s="36">
        <v>4301011875</v>
      </c>
      <c r="D375" s="560">
        <v>4680115884885</v>
      </c>
      <c r="E375" s="560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6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2"/>
      <c r="R375" s="562"/>
      <c r="S375" s="562"/>
      <c r="T375" s="563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606</v>
      </c>
      <c r="B376" s="63" t="s">
        <v>607</v>
      </c>
      <c r="C376" s="36">
        <v>4301011871</v>
      </c>
      <c r="D376" s="560">
        <v>4680115884908</v>
      </c>
      <c r="E376" s="560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6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2"/>
      <c r="R376" s="562"/>
      <c r="S376" s="562"/>
      <c r="T376" s="563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8"/>
      <c r="P377" s="564" t="s">
        <v>40</v>
      </c>
      <c r="Q377" s="565"/>
      <c r="R377" s="565"/>
      <c r="S377" s="565"/>
      <c r="T377" s="565"/>
      <c r="U377" s="565"/>
      <c r="V377" s="566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8"/>
      <c r="P378" s="564" t="s">
        <v>40</v>
      </c>
      <c r="Q378" s="565"/>
      <c r="R378" s="565"/>
      <c r="S378" s="565"/>
      <c r="T378" s="565"/>
      <c r="U378" s="565"/>
      <c r="V378" s="566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559" t="s">
        <v>76</v>
      </c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66"/>
      <c r="AB379" s="66"/>
      <c r="AC379" s="80"/>
    </row>
    <row r="380" spans="1:68" ht="27" customHeight="1" x14ac:dyDescent="0.25">
      <c r="A380" s="63" t="s">
        <v>608</v>
      </c>
      <c r="B380" s="63" t="s">
        <v>609</v>
      </c>
      <c r="C380" s="36">
        <v>4301031457</v>
      </c>
      <c r="D380" s="560">
        <v>4607091384802</v>
      </c>
      <c r="E380" s="560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6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2"/>
      <c r="R380" s="562"/>
      <c r="S380" s="562"/>
      <c r="T380" s="563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8"/>
      <c r="P381" s="564" t="s">
        <v>40</v>
      </c>
      <c r="Q381" s="565"/>
      <c r="R381" s="565"/>
      <c r="S381" s="565"/>
      <c r="T381" s="565"/>
      <c r="U381" s="565"/>
      <c r="V381" s="566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x14ac:dyDescent="0.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8"/>
      <c r="P382" s="564" t="s">
        <v>40</v>
      </c>
      <c r="Q382" s="565"/>
      <c r="R382" s="565"/>
      <c r="S382" s="565"/>
      <c r="T382" s="565"/>
      <c r="U382" s="565"/>
      <c r="V382" s="566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customHeight="1" x14ac:dyDescent="0.25">
      <c r="A383" s="559" t="s">
        <v>86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560">
        <v>4607091384246</v>
      </c>
      <c r="E384" s="560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62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2"/>
      <c r="R384" s="562"/>
      <c r="S384" s="562"/>
      <c r="T384" s="563"/>
      <c r="U384" s="39" t="s">
        <v>45</v>
      </c>
      <c r="V384" s="39" t="s">
        <v>45</v>
      </c>
      <c r="W384" s="40" t="s">
        <v>0</v>
      </c>
      <c r="X384" s="58">
        <v>288</v>
      </c>
      <c r="Y384" s="55">
        <f>IFERROR(IF(X384="",0,CEILING((X384/$H384),1)*$H384),"")</f>
        <v>288</v>
      </c>
      <c r="Z384" s="41">
        <f>IFERROR(IF(Y384=0,"",ROUNDUP(Y384/H384,0)*0.01898),"")</f>
        <v>0.60736000000000001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303.80799999999999</v>
      </c>
      <c r="BN384" s="78">
        <f>IFERROR(Y384*I384/H384,"0")</f>
        <v>303.80799999999999</v>
      </c>
      <c r="BO384" s="78">
        <f>IFERROR(1/J384*(X384/H384),"0")</f>
        <v>0.5</v>
      </c>
      <c r="BP384" s="78">
        <f>IFERROR(1/J384*(Y384/H384),"0")</f>
        <v>0.5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560">
        <v>4607091384253</v>
      </c>
      <c r="E385" s="560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6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2"/>
      <c r="R385" s="562"/>
      <c r="S385" s="562"/>
      <c r="T385" s="563"/>
      <c r="U385" s="39" t="s">
        <v>45</v>
      </c>
      <c r="V385" s="39" t="s">
        <v>45</v>
      </c>
      <c r="W385" s="40" t="s">
        <v>0</v>
      </c>
      <c r="X385" s="58">
        <v>100.8</v>
      </c>
      <c r="Y385" s="55">
        <f>IFERROR(IF(X385="",0,CEILING((X385/$H385),1)*$H385),"")</f>
        <v>100.8</v>
      </c>
      <c r="Z385" s="41">
        <f>IFERROR(IF(Y385=0,"",ROUNDUP(Y385/H385,0)*0.00651),"")</f>
        <v>0.27342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111.88800000000001</v>
      </c>
      <c r="BN385" s="78">
        <f>IFERROR(Y385*I385/H385,"0")</f>
        <v>111.88800000000001</v>
      </c>
      <c r="BO385" s="78">
        <f>IFERROR(1/J385*(X385/H385),"0")</f>
        <v>0.23076923076923078</v>
      </c>
      <c r="BP385" s="78">
        <f>IFERROR(1/J385*(Y385/H385),"0")</f>
        <v>0.23076923076923078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560">
        <v>4607091384253</v>
      </c>
      <c r="E386" s="560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62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2"/>
      <c r="R386" s="562"/>
      <c r="S386" s="562"/>
      <c r="T386" s="563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8"/>
      <c r="P387" s="564" t="s">
        <v>40</v>
      </c>
      <c r="Q387" s="565"/>
      <c r="R387" s="565"/>
      <c r="S387" s="565"/>
      <c r="T387" s="565"/>
      <c r="U387" s="565"/>
      <c r="V387" s="566"/>
      <c r="W387" s="42" t="s">
        <v>39</v>
      </c>
      <c r="X387" s="43">
        <f>IFERROR(X384/H384,"0")+IFERROR(X385/H385,"0")+IFERROR(X386/H386,"0")</f>
        <v>74</v>
      </c>
      <c r="Y387" s="43">
        <f>IFERROR(Y384/H384,"0")+IFERROR(Y385/H385,"0")+IFERROR(Y386/H386,"0")</f>
        <v>74</v>
      </c>
      <c r="Z387" s="43">
        <f>IFERROR(IF(Z384="",0,Z384),"0")+IFERROR(IF(Z385="",0,Z385),"0")+IFERROR(IF(Z386="",0,Z386),"0")</f>
        <v>0.88078000000000001</v>
      </c>
      <c r="AA387" s="67"/>
      <c r="AB387" s="67"/>
      <c r="AC387" s="67"/>
    </row>
    <row r="388" spans="1:68" x14ac:dyDescent="0.2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8"/>
      <c r="P388" s="564" t="s">
        <v>40</v>
      </c>
      <c r="Q388" s="565"/>
      <c r="R388" s="565"/>
      <c r="S388" s="565"/>
      <c r="T388" s="565"/>
      <c r="U388" s="565"/>
      <c r="V388" s="566"/>
      <c r="W388" s="42" t="s">
        <v>0</v>
      </c>
      <c r="X388" s="43">
        <f>IFERROR(SUM(X384:X386),"0")</f>
        <v>388.8</v>
      </c>
      <c r="Y388" s="43">
        <f>IFERROR(SUM(Y384:Y386),"0")</f>
        <v>388.8</v>
      </c>
      <c r="Z388" s="42"/>
      <c r="AA388" s="67"/>
      <c r="AB388" s="67"/>
      <c r="AC388" s="67"/>
    </row>
    <row r="389" spans="1:68" ht="27.75" customHeight="1" x14ac:dyDescent="0.2">
      <c r="A389" s="579" t="s">
        <v>618</v>
      </c>
      <c r="B389" s="579"/>
      <c r="C389" s="579"/>
      <c r="D389" s="579"/>
      <c r="E389" s="579"/>
      <c r="F389" s="579"/>
      <c r="G389" s="579"/>
      <c r="H389" s="579"/>
      <c r="I389" s="579"/>
      <c r="J389" s="579"/>
      <c r="K389" s="579"/>
      <c r="L389" s="579"/>
      <c r="M389" s="579"/>
      <c r="N389" s="579"/>
      <c r="O389" s="579"/>
      <c r="P389" s="579"/>
      <c r="Q389" s="579"/>
      <c r="R389" s="579"/>
      <c r="S389" s="579"/>
      <c r="T389" s="579"/>
      <c r="U389" s="579"/>
      <c r="V389" s="579"/>
      <c r="W389" s="579"/>
      <c r="X389" s="579"/>
      <c r="Y389" s="579"/>
      <c r="Z389" s="579"/>
      <c r="AA389" s="54"/>
      <c r="AB389" s="54"/>
      <c r="AC389" s="54"/>
    </row>
    <row r="390" spans="1:68" ht="16.5" customHeight="1" x14ac:dyDescent="0.25">
      <c r="A390" s="558" t="s">
        <v>619</v>
      </c>
      <c r="B390" s="558"/>
      <c r="C390" s="558"/>
      <c r="D390" s="558"/>
      <c r="E390" s="558"/>
      <c r="F390" s="558"/>
      <c r="G390" s="558"/>
      <c r="H390" s="558"/>
      <c r="I390" s="558"/>
      <c r="J390" s="558"/>
      <c r="K390" s="558"/>
      <c r="L390" s="558"/>
      <c r="M390" s="558"/>
      <c r="N390" s="558"/>
      <c r="O390" s="558"/>
      <c r="P390" s="558"/>
      <c r="Q390" s="558"/>
      <c r="R390" s="558"/>
      <c r="S390" s="558"/>
      <c r="T390" s="558"/>
      <c r="U390" s="558"/>
      <c r="V390" s="558"/>
      <c r="W390" s="558"/>
      <c r="X390" s="558"/>
      <c r="Y390" s="558"/>
      <c r="Z390" s="558"/>
      <c r="AA390" s="65"/>
      <c r="AB390" s="65"/>
      <c r="AC390" s="79"/>
    </row>
    <row r="391" spans="1:68" ht="14.25" customHeight="1" x14ac:dyDescent="0.25">
      <c r="A391" s="559" t="s">
        <v>76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560">
        <v>4680115886100</v>
      </c>
      <c r="E392" s="560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2"/>
      <c r="R392" s="562"/>
      <c r="S392" s="562"/>
      <c r="T392" s="563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560">
        <v>4680115886117</v>
      </c>
      <c r="E393" s="560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2"/>
      <c r="R393" s="562"/>
      <c r="S393" s="562"/>
      <c r="T393" s="563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560">
        <v>4680115886124</v>
      </c>
      <c r="E394" s="560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2"/>
      <c r="R394" s="562"/>
      <c r="S394" s="562"/>
      <c r="T394" s="563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560">
        <v>4680115883147</v>
      </c>
      <c r="E395" s="560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6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2"/>
      <c r="R395" s="562"/>
      <c r="S395" s="562"/>
      <c r="T395" s="563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560">
        <v>4607091384338</v>
      </c>
      <c r="E396" s="560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2"/>
      <c r="R396" s="562"/>
      <c r="S396" s="562"/>
      <c r="T396" s="563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560">
        <v>4607091389524</v>
      </c>
      <c r="E397" s="560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6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2"/>
      <c r="R397" s="562"/>
      <c r="S397" s="562"/>
      <c r="T397" s="563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560">
        <v>4680115883161</v>
      </c>
      <c r="E398" s="560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6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2"/>
      <c r="R398" s="562"/>
      <c r="S398" s="562"/>
      <c r="T398" s="563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560">
        <v>4607091389531</v>
      </c>
      <c r="E399" s="560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2"/>
      <c r="R399" s="562"/>
      <c r="S399" s="562"/>
      <c r="T399" s="563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560">
        <v>4607091384345</v>
      </c>
      <c r="E400" s="560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2"/>
      <c r="R400" s="562"/>
      <c r="S400" s="562"/>
      <c r="T400" s="563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x14ac:dyDescent="0.2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8"/>
      <c r="P401" s="564" t="s">
        <v>40</v>
      </c>
      <c r="Q401" s="565"/>
      <c r="R401" s="565"/>
      <c r="S401" s="565"/>
      <c r="T401" s="565"/>
      <c r="U401" s="565"/>
      <c r="V401" s="566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8"/>
      <c r="P402" s="564" t="s">
        <v>40</v>
      </c>
      <c r="Q402" s="565"/>
      <c r="R402" s="565"/>
      <c r="S402" s="565"/>
      <c r="T402" s="565"/>
      <c r="U402" s="565"/>
      <c r="V402" s="566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559" t="s">
        <v>86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560">
        <v>4607091384352</v>
      </c>
      <c r="E404" s="560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2"/>
      <c r="R404" s="562"/>
      <c r="S404" s="562"/>
      <c r="T404" s="563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560">
        <v>4607091389654</v>
      </c>
      <c r="E405" s="560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2"/>
      <c r="R405" s="562"/>
      <c r="S405" s="562"/>
      <c r="T405" s="563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8"/>
      <c r="P406" s="564" t="s">
        <v>40</v>
      </c>
      <c r="Q406" s="565"/>
      <c r="R406" s="565"/>
      <c r="S406" s="565"/>
      <c r="T406" s="565"/>
      <c r="U406" s="565"/>
      <c r="V406" s="566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8"/>
      <c r="P407" s="564" t="s">
        <v>40</v>
      </c>
      <c r="Q407" s="565"/>
      <c r="R407" s="565"/>
      <c r="S407" s="565"/>
      <c r="T407" s="565"/>
      <c r="U407" s="565"/>
      <c r="V407" s="566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558" t="s">
        <v>650</v>
      </c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58"/>
      <c r="P408" s="558"/>
      <c r="Q408" s="558"/>
      <c r="R408" s="558"/>
      <c r="S408" s="558"/>
      <c r="T408" s="558"/>
      <c r="U408" s="558"/>
      <c r="V408" s="558"/>
      <c r="W408" s="558"/>
      <c r="X408" s="558"/>
      <c r="Y408" s="558"/>
      <c r="Z408" s="558"/>
      <c r="AA408" s="65"/>
      <c r="AB408" s="65"/>
      <c r="AC408" s="79"/>
    </row>
    <row r="409" spans="1:68" ht="14.25" customHeight="1" x14ac:dyDescent="0.25">
      <c r="A409" s="559" t="s">
        <v>147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560">
        <v>4680115885240</v>
      </c>
      <c r="E410" s="560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2"/>
      <c r="R410" s="562"/>
      <c r="S410" s="562"/>
      <c r="T410" s="563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8"/>
      <c r="P411" s="564" t="s">
        <v>40</v>
      </c>
      <c r="Q411" s="565"/>
      <c r="R411" s="565"/>
      <c r="S411" s="565"/>
      <c r="T411" s="565"/>
      <c r="U411" s="565"/>
      <c r="V411" s="566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8"/>
      <c r="P412" s="564" t="s">
        <v>40</v>
      </c>
      <c r="Q412" s="565"/>
      <c r="R412" s="565"/>
      <c r="S412" s="565"/>
      <c r="T412" s="565"/>
      <c r="U412" s="565"/>
      <c r="V412" s="566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559" t="s">
        <v>76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560">
        <v>4680115886094</v>
      </c>
      <c r="E414" s="560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6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2"/>
      <c r="R414" s="562"/>
      <c r="S414" s="562"/>
      <c r="T414" s="563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560">
        <v>4680115880771</v>
      </c>
      <c r="E415" s="560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2"/>
      <c r="R415" s="562"/>
      <c r="S415" s="562"/>
      <c r="T415" s="563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560">
        <v>4607091389500</v>
      </c>
      <c r="E416" s="560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2"/>
      <c r="R416" s="562"/>
      <c r="S416" s="562"/>
      <c r="T416" s="563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8"/>
      <c r="P417" s="564" t="s">
        <v>40</v>
      </c>
      <c r="Q417" s="565"/>
      <c r="R417" s="565"/>
      <c r="S417" s="565"/>
      <c r="T417" s="565"/>
      <c r="U417" s="565"/>
      <c r="V417" s="5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8"/>
      <c r="P418" s="564" t="s">
        <v>40</v>
      </c>
      <c r="Q418" s="565"/>
      <c r="R418" s="565"/>
      <c r="S418" s="565"/>
      <c r="T418" s="565"/>
      <c r="U418" s="565"/>
      <c r="V418" s="5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customHeight="1" x14ac:dyDescent="0.25">
      <c r="A419" s="558" t="s">
        <v>662</v>
      </c>
      <c r="B419" s="558"/>
      <c r="C419" s="558"/>
      <c r="D419" s="558"/>
      <c r="E419" s="558"/>
      <c r="F419" s="558"/>
      <c r="G419" s="558"/>
      <c r="H419" s="558"/>
      <c r="I419" s="558"/>
      <c r="J419" s="558"/>
      <c r="K419" s="558"/>
      <c r="L419" s="558"/>
      <c r="M419" s="558"/>
      <c r="N419" s="558"/>
      <c r="O419" s="558"/>
      <c r="P419" s="558"/>
      <c r="Q419" s="558"/>
      <c r="R419" s="558"/>
      <c r="S419" s="558"/>
      <c r="T419" s="558"/>
      <c r="U419" s="558"/>
      <c r="V419" s="558"/>
      <c r="W419" s="558"/>
      <c r="X419" s="558"/>
      <c r="Y419" s="558"/>
      <c r="Z419" s="558"/>
      <c r="AA419" s="65"/>
      <c r="AB419" s="65"/>
      <c r="AC419" s="79"/>
    </row>
    <row r="420" spans="1:68" ht="14.25" customHeight="1" x14ac:dyDescent="0.25">
      <c r="A420" s="559" t="s">
        <v>76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560">
        <v>4680115885110</v>
      </c>
      <c r="E421" s="560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2"/>
      <c r="R421" s="562"/>
      <c r="S421" s="562"/>
      <c r="T421" s="563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8"/>
      <c r="P422" s="564" t="s">
        <v>40</v>
      </c>
      <c r="Q422" s="565"/>
      <c r="R422" s="565"/>
      <c r="S422" s="565"/>
      <c r="T422" s="565"/>
      <c r="U422" s="565"/>
      <c r="V422" s="566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8"/>
      <c r="P423" s="564" t="s">
        <v>40</v>
      </c>
      <c r="Q423" s="565"/>
      <c r="R423" s="565"/>
      <c r="S423" s="565"/>
      <c r="T423" s="565"/>
      <c r="U423" s="565"/>
      <c r="V423" s="566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579" t="s">
        <v>666</v>
      </c>
      <c r="B424" s="579"/>
      <c r="C424" s="579"/>
      <c r="D424" s="579"/>
      <c r="E424" s="579"/>
      <c r="F424" s="579"/>
      <c r="G424" s="579"/>
      <c r="H424" s="579"/>
      <c r="I424" s="579"/>
      <c r="J424" s="579"/>
      <c r="K424" s="579"/>
      <c r="L424" s="579"/>
      <c r="M424" s="579"/>
      <c r="N424" s="579"/>
      <c r="O424" s="579"/>
      <c r="P424" s="579"/>
      <c r="Q424" s="579"/>
      <c r="R424" s="579"/>
      <c r="S424" s="579"/>
      <c r="T424" s="579"/>
      <c r="U424" s="579"/>
      <c r="V424" s="579"/>
      <c r="W424" s="579"/>
      <c r="X424" s="579"/>
      <c r="Y424" s="579"/>
      <c r="Z424" s="579"/>
      <c r="AA424" s="54"/>
      <c r="AB424" s="54"/>
      <c r="AC424" s="54"/>
    </row>
    <row r="425" spans="1:68" ht="16.5" customHeight="1" x14ac:dyDescent="0.25">
      <c r="A425" s="558" t="s">
        <v>666</v>
      </c>
      <c r="B425" s="558"/>
      <c r="C425" s="558"/>
      <c r="D425" s="558"/>
      <c r="E425" s="558"/>
      <c r="F425" s="558"/>
      <c r="G425" s="558"/>
      <c r="H425" s="558"/>
      <c r="I425" s="558"/>
      <c r="J425" s="558"/>
      <c r="K425" s="558"/>
      <c r="L425" s="558"/>
      <c r="M425" s="558"/>
      <c r="N425" s="558"/>
      <c r="O425" s="558"/>
      <c r="P425" s="558"/>
      <c r="Q425" s="558"/>
      <c r="R425" s="558"/>
      <c r="S425" s="558"/>
      <c r="T425" s="558"/>
      <c r="U425" s="558"/>
      <c r="V425" s="558"/>
      <c r="W425" s="558"/>
      <c r="X425" s="558"/>
      <c r="Y425" s="558"/>
      <c r="Z425" s="558"/>
      <c r="AA425" s="65"/>
      <c r="AB425" s="65"/>
      <c r="AC425" s="79"/>
    </row>
    <row r="426" spans="1:68" ht="14.25" customHeight="1" x14ac:dyDescent="0.25">
      <c r="A426" s="559" t="s">
        <v>114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560">
        <v>4607091389067</v>
      </c>
      <c r="E427" s="560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2"/>
      <c r="R427" s="562"/>
      <c r="S427" s="562"/>
      <c r="T427" s="563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4301012145</v>
      </c>
      <c r="D428" s="560">
        <v>4607091383522</v>
      </c>
      <c r="E428" s="560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6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2"/>
      <c r="R428" s="562"/>
      <c r="S428" s="562"/>
      <c r="T428" s="563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4301012210</v>
      </c>
      <c r="D429" s="560">
        <v>4607091383522</v>
      </c>
      <c r="E429" s="560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6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2"/>
      <c r="R429" s="562"/>
      <c r="S429" s="562"/>
      <c r="T429" s="563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560">
        <v>4680115885271</v>
      </c>
      <c r="E430" s="560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2"/>
      <c r="R430" s="562"/>
      <c r="S430" s="562"/>
      <c r="T430" s="563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560">
        <v>4680115885226</v>
      </c>
      <c r="E431" s="560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5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2"/>
      <c r="R431" s="562"/>
      <c r="S431" s="562"/>
      <c r="T431" s="563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8"/>
        <v>0</v>
      </c>
      <c r="Z431" s="41" t="str">
        <f t="shared" si="49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0</v>
      </c>
      <c r="BN431" s="78">
        <f t="shared" si="51"/>
        <v>0</v>
      </c>
      <c r="BO431" s="78">
        <f t="shared" si="52"/>
        <v>0</v>
      </c>
      <c r="BP431" s="78">
        <f t="shared" si="53"/>
        <v>0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560">
        <v>4680115884502</v>
      </c>
      <c r="E432" s="560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5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2"/>
      <c r="R432" s="562"/>
      <c r="S432" s="562"/>
      <c r="T432" s="563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560">
        <v>4607091389104</v>
      </c>
      <c r="E433" s="560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5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2"/>
      <c r="R433" s="562"/>
      <c r="S433" s="562"/>
      <c r="T433" s="563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8"/>
        <v>0</v>
      </c>
      <c r="Z433" s="41" t="str">
        <f t="shared" si="49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0</v>
      </c>
      <c r="BN433" s="78">
        <f t="shared" si="51"/>
        <v>0</v>
      </c>
      <c r="BO433" s="78">
        <f t="shared" si="52"/>
        <v>0</v>
      </c>
      <c r="BP433" s="78">
        <f t="shared" si="53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560">
        <v>4680115886391</v>
      </c>
      <c r="E434" s="560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5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2"/>
      <c r="R434" s="562"/>
      <c r="S434" s="562"/>
      <c r="T434" s="563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560">
        <v>4680115880603</v>
      </c>
      <c r="E435" s="560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2"/>
      <c r="R435" s="562"/>
      <c r="S435" s="562"/>
      <c r="T435" s="563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560">
        <v>4680115882782</v>
      </c>
      <c r="E436" s="560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59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2"/>
      <c r="R436" s="562"/>
      <c r="S436" s="562"/>
      <c r="T436" s="563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560">
        <v>4680115885479</v>
      </c>
      <c r="E437" s="560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59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2"/>
      <c r="R437" s="562"/>
      <c r="S437" s="562"/>
      <c r="T437" s="563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customHeight="1" x14ac:dyDescent="0.25">
      <c r="A438" s="63" t="s">
        <v>693</v>
      </c>
      <c r="B438" s="63" t="s">
        <v>694</v>
      </c>
      <c r="C438" s="36">
        <v>4301012034</v>
      </c>
      <c r="D438" s="560">
        <v>4607091389982</v>
      </c>
      <c r="E438" s="560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5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2"/>
      <c r="R438" s="562"/>
      <c r="S438" s="562"/>
      <c r="T438" s="563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8"/>
      <c r="P439" s="564" t="s">
        <v>40</v>
      </c>
      <c r="Q439" s="565"/>
      <c r="R439" s="565"/>
      <c r="S439" s="565"/>
      <c r="T439" s="565"/>
      <c r="U439" s="565"/>
      <c r="V439" s="566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8"/>
      <c r="P440" s="564" t="s">
        <v>40</v>
      </c>
      <c r="Q440" s="565"/>
      <c r="R440" s="565"/>
      <c r="S440" s="565"/>
      <c r="T440" s="565"/>
      <c r="U440" s="565"/>
      <c r="V440" s="566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customHeight="1" x14ac:dyDescent="0.25">
      <c r="A441" s="559" t="s">
        <v>147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66"/>
      <c r="AB441" s="66"/>
      <c r="AC441" s="80"/>
    </row>
    <row r="442" spans="1:68" ht="16.5" customHeight="1" x14ac:dyDescent="0.25">
      <c r="A442" s="63" t="s">
        <v>695</v>
      </c>
      <c r="B442" s="63" t="s">
        <v>696</v>
      </c>
      <c r="C442" s="36">
        <v>4301020334</v>
      </c>
      <c r="D442" s="560">
        <v>4607091388930</v>
      </c>
      <c r="E442" s="560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5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2"/>
      <c r="R442" s="562"/>
      <c r="S442" s="562"/>
      <c r="T442" s="563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698</v>
      </c>
      <c r="B443" s="63" t="s">
        <v>699</v>
      </c>
      <c r="C443" s="36">
        <v>4301020374</v>
      </c>
      <c r="D443" s="560">
        <v>4680115886407</v>
      </c>
      <c r="E443" s="560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5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2"/>
      <c r="R443" s="562"/>
      <c r="S443" s="562"/>
      <c r="T443" s="563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700</v>
      </c>
      <c r="B444" s="63" t="s">
        <v>701</v>
      </c>
      <c r="C444" s="36">
        <v>4301020385</v>
      </c>
      <c r="D444" s="560">
        <v>4680115880054</v>
      </c>
      <c r="E444" s="560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59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2"/>
      <c r="R444" s="562"/>
      <c r="S444" s="562"/>
      <c r="T444" s="563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8"/>
      <c r="P445" s="564" t="s">
        <v>40</v>
      </c>
      <c r="Q445" s="565"/>
      <c r="R445" s="565"/>
      <c r="S445" s="565"/>
      <c r="T445" s="565"/>
      <c r="U445" s="565"/>
      <c r="V445" s="56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8"/>
      <c r="P446" s="564" t="s">
        <v>40</v>
      </c>
      <c r="Q446" s="565"/>
      <c r="R446" s="565"/>
      <c r="S446" s="565"/>
      <c r="T446" s="565"/>
      <c r="U446" s="565"/>
      <c r="V446" s="56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559" t="s">
        <v>76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560">
        <v>4680115883116</v>
      </c>
      <c r="E448" s="560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5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2"/>
      <c r="R448" s="562"/>
      <c r="S448" s="562"/>
      <c r="T448" s="563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4" si="54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0</v>
      </c>
      <c r="BN448" s="78">
        <f t="shared" ref="BN448:BN454" si="56">IFERROR(Y448*I448/H448,"0")</f>
        <v>0</v>
      </c>
      <c r="BO448" s="78">
        <f t="shared" ref="BO448:BO454" si="57">IFERROR(1/J448*(X448/H448),"0")</f>
        <v>0</v>
      </c>
      <c r="BP448" s="78">
        <f t="shared" ref="BP448:BP454" si="58">IFERROR(1/J448*(Y448/H448),"0")</f>
        <v>0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560">
        <v>4680115883093</v>
      </c>
      <c r="E449" s="560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5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2"/>
      <c r="R449" s="562"/>
      <c r="S449" s="562"/>
      <c r="T449" s="563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4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0</v>
      </c>
      <c r="BN449" s="78">
        <f t="shared" si="56"/>
        <v>0</v>
      </c>
      <c r="BO449" s="78">
        <f t="shared" si="57"/>
        <v>0</v>
      </c>
      <c r="BP449" s="78">
        <f t="shared" si="58"/>
        <v>0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560">
        <v>4680115883109</v>
      </c>
      <c r="E450" s="560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5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2"/>
      <c r="R450" s="562"/>
      <c r="S450" s="562"/>
      <c r="T450" s="563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4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0</v>
      </c>
      <c r="BN450" s="78">
        <f t="shared" si="56"/>
        <v>0</v>
      </c>
      <c r="BO450" s="78">
        <f t="shared" si="57"/>
        <v>0</v>
      </c>
      <c r="BP450" s="78">
        <f t="shared" si="58"/>
        <v>0</v>
      </c>
    </row>
    <row r="451" spans="1:68" ht="27" customHeight="1" x14ac:dyDescent="0.25">
      <c r="A451" s="63" t="s">
        <v>711</v>
      </c>
      <c r="B451" s="63" t="s">
        <v>712</v>
      </c>
      <c r="C451" s="36">
        <v>4301031419</v>
      </c>
      <c r="D451" s="560">
        <v>4680115882072</v>
      </c>
      <c r="E451" s="560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2"/>
      <c r="R451" s="562"/>
      <c r="S451" s="562"/>
      <c r="T451" s="563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customHeight="1" x14ac:dyDescent="0.25">
      <c r="A452" s="63" t="s">
        <v>713</v>
      </c>
      <c r="B452" s="63" t="s">
        <v>714</v>
      </c>
      <c r="C452" s="36">
        <v>4301031352</v>
      </c>
      <c r="D452" s="560">
        <v>4680115882102</v>
      </c>
      <c r="E452" s="560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583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62"/>
      <c r="R452" s="562"/>
      <c r="S452" s="562"/>
      <c r="T452" s="563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customHeight="1" x14ac:dyDescent="0.25">
      <c r="A453" s="63" t="s">
        <v>713</v>
      </c>
      <c r="B453" s="63" t="s">
        <v>715</v>
      </c>
      <c r="C453" s="36">
        <v>4301031418</v>
      </c>
      <c r="D453" s="560">
        <v>4680115882102</v>
      </c>
      <c r="E453" s="560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5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2"/>
      <c r="R453" s="562"/>
      <c r="S453" s="562"/>
      <c r="T453" s="563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customHeight="1" x14ac:dyDescent="0.25">
      <c r="A454" s="63" t="s">
        <v>716</v>
      </c>
      <c r="B454" s="63" t="s">
        <v>717</v>
      </c>
      <c r="C454" s="36">
        <v>4301031417</v>
      </c>
      <c r="D454" s="560">
        <v>4680115882096</v>
      </c>
      <c r="E454" s="560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2"/>
      <c r="R454" s="562"/>
      <c r="S454" s="562"/>
      <c r="T454" s="563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8"/>
      <c r="P455" s="564" t="s">
        <v>40</v>
      </c>
      <c r="Q455" s="565"/>
      <c r="R455" s="565"/>
      <c r="S455" s="565"/>
      <c r="T455" s="565"/>
      <c r="U455" s="565"/>
      <c r="V455" s="566"/>
      <c r="W455" s="42" t="s">
        <v>39</v>
      </c>
      <c r="X455" s="43">
        <f>IFERROR(X448/H448,"0")+IFERROR(X449/H449,"0")+IFERROR(X450/H450,"0")+IFERROR(X451/H451,"0")+IFERROR(X452/H452,"0")+IFERROR(X453/H453,"0")+IFERROR(X454/H454,"0")</f>
        <v>0</v>
      </c>
      <c r="Y455" s="43">
        <f>IFERROR(Y448/H448,"0")+IFERROR(Y449/H449,"0")+IFERROR(Y450/H450,"0")+IFERROR(Y451/H451,"0")+IFERROR(Y452/H452,"0")+IFERROR(Y453/H453,"0")+IFERROR(Y454/H454,"0")</f>
        <v>0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8"/>
      <c r="P456" s="564" t="s">
        <v>40</v>
      </c>
      <c r="Q456" s="565"/>
      <c r="R456" s="565"/>
      <c r="S456" s="565"/>
      <c r="T456" s="565"/>
      <c r="U456" s="565"/>
      <c r="V456" s="566"/>
      <c r="W456" s="42" t="s">
        <v>0</v>
      </c>
      <c r="X456" s="43">
        <f>IFERROR(SUM(X448:X454),"0")</f>
        <v>0</v>
      </c>
      <c r="Y456" s="43">
        <f>IFERROR(SUM(Y448:Y454),"0")</f>
        <v>0</v>
      </c>
      <c r="Z456" s="42"/>
      <c r="AA456" s="67"/>
      <c r="AB456" s="67"/>
      <c r="AC456" s="67"/>
    </row>
    <row r="457" spans="1:68" ht="27.75" customHeight="1" x14ac:dyDescent="0.2">
      <c r="A457" s="579" t="s">
        <v>718</v>
      </c>
      <c r="B457" s="579"/>
      <c r="C457" s="579"/>
      <c r="D457" s="579"/>
      <c r="E457" s="579"/>
      <c r="F457" s="579"/>
      <c r="G457" s="579"/>
      <c r="H457" s="579"/>
      <c r="I457" s="579"/>
      <c r="J457" s="579"/>
      <c r="K457" s="579"/>
      <c r="L457" s="579"/>
      <c r="M457" s="579"/>
      <c r="N457" s="579"/>
      <c r="O457" s="579"/>
      <c r="P457" s="579"/>
      <c r="Q457" s="579"/>
      <c r="R457" s="579"/>
      <c r="S457" s="579"/>
      <c r="T457" s="579"/>
      <c r="U457" s="579"/>
      <c r="V457" s="579"/>
      <c r="W457" s="579"/>
      <c r="X457" s="579"/>
      <c r="Y457" s="579"/>
      <c r="Z457" s="579"/>
      <c r="AA457" s="54"/>
      <c r="AB457" s="54"/>
      <c r="AC457" s="54"/>
    </row>
    <row r="458" spans="1:68" ht="16.5" customHeight="1" x14ac:dyDescent="0.25">
      <c r="A458" s="558" t="s">
        <v>718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65"/>
      <c r="AB458" s="65"/>
      <c r="AC458" s="79"/>
    </row>
    <row r="459" spans="1:68" ht="14.25" customHeight="1" x14ac:dyDescent="0.25">
      <c r="A459" s="559" t="s">
        <v>114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66"/>
      <c r="AB459" s="66"/>
      <c r="AC459" s="80"/>
    </row>
    <row r="460" spans="1:68" ht="27" customHeight="1" x14ac:dyDescent="0.25">
      <c r="A460" s="63" t="s">
        <v>719</v>
      </c>
      <c r="B460" s="63" t="s">
        <v>720</v>
      </c>
      <c r="C460" s="36">
        <v>4301011763</v>
      </c>
      <c r="D460" s="560">
        <v>4640242181011</v>
      </c>
      <c r="E460" s="560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62"/>
      <c r="R460" s="562"/>
      <c r="S460" s="562"/>
      <c r="T460" s="563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4301011585</v>
      </c>
      <c r="D461" s="560">
        <v>4640242180441</v>
      </c>
      <c r="E461" s="560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62"/>
      <c r="R461" s="562"/>
      <c r="S461" s="562"/>
      <c r="T461" s="563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725</v>
      </c>
      <c r="B462" s="63" t="s">
        <v>726</v>
      </c>
      <c r="C462" s="36">
        <v>4301011584</v>
      </c>
      <c r="D462" s="560">
        <v>4640242180564</v>
      </c>
      <c r="E462" s="560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5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62"/>
      <c r="R462" s="562"/>
      <c r="S462" s="562"/>
      <c r="T462" s="563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728</v>
      </c>
      <c r="B463" s="63" t="s">
        <v>729</v>
      </c>
      <c r="C463" s="36">
        <v>4301011764</v>
      </c>
      <c r="D463" s="560">
        <v>4640242181189</v>
      </c>
      <c r="E463" s="56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62"/>
      <c r="R463" s="562"/>
      <c r="S463" s="562"/>
      <c r="T463" s="563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8"/>
      <c r="P464" s="564" t="s">
        <v>40</v>
      </c>
      <c r="Q464" s="565"/>
      <c r="R464" s="565"/>
      <c r="S464" s="565"/>
      <c r="T464" s="565"/>
      <c r="U464" s="565"/>
      <c r="V464" s="566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8"/>
      <c r="P465" s="564" t="s">
        <v>40</v>
      </c>
      <c r="Q465" s="565"/>
      <c r="R465" s="565"/>
      <c r="S465" s="565"/>
      <c r="T465" s="565"/>
      <c r="U465" s="565"/>
      <c r="V465" s="566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559" t="s">
        <v>147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66"/>
      <c r="AB466" s="66"/>
      <c r="AC466" s="80"/>
    </row>
    <row r="467" spans="1:68" ht="27" customHeight="1" x14ac:dyDescent="0.25">
      <c r="A467" s="63" t="s">
        <v>730</v>
      </c>
      <c r="B467" s="63" t="s">
        <v>731</v>
      </c>
      <c r="C467" s="36">
        <v>4301020400</v>
      </c>
      <c r="D467" s="560">
        <v>4640242180519</v>
      </c>
      <c r="E467" s="560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62"/>
      <c r="R467" s="562"/>
      <c r="S467" s="562"/>
      <c r="T467" s="563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8"/>
      <c r="P468" s="564" t="s">
        <v>40</v>
      </c>
      <c r="Q468" s="565"/>
      <c r="R468" s="565"/>
      <c r="S468" s="565"/>
      <c r="T468" s="565"/>
      <c r="U468" s="565"/>
      <c r="V468" s="566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2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8"/>
      <c r="P469" s="564" t="s">
        <v>40</v>
      </c>
      <c r="Q469" s="565"/>
      <c r="R469" s="565"/>
      <c r="S469" s="565"/>
      <c r="T469" s="565"/>
      <c r="U469" s="565"/>
      <c r="V469" s="566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25">
      <c r="A470" s="559" t="s">
        <v>76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4301031467</v>
      </c>
      <c r="D471" s="560">
        <v>4640242180595</v>
      </c>
      <c r="E471" s="560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62"/>
      <c r="R471" s="562"/>
      <c r="S471" s="562"/>
      <c r="T471" s="563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8"/>
      <c r="P472" s="564" t="s">
        <v>40</v>
      </c>
      <c r="Q472" s="565"/>
      <c r="R472" s="565"/>
      <c r="S472" s="565"/>
      <c r="T472" s="565"/>
      <c r="U472" s="565"/>
      <c r="V472" s="566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8"/>
      <c r="P473" s="564" t="s">
        <v>40</v>
      </c>
      <c r="Q473" s="565"/>
      <c r="R473" s="565"/>
      <c r="S473" s="565"/>
      <c r="T473" s="565"/>
      <c r="U473" s="565"/>
      <c r="V473" s="566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559" t="s">
        <v>86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66"/>
      <c r="AB474" s="66"/>
      <c r="AC474" s="80"/>
    </row>
    <row r="475" spans="1:68" ht="27" customHeight="1" x14ac:dyDescent="0.25">
      <c r="A475" s="63" t="s">
        <v>736</v>
      </c>
      <c r="B475" s="63" t="s">
        <v>737</v>
      </c>
      <c r="C475" s="36">
        <v>4301052046</v>
      </c>
      <c r="D475" s="560">
        <v>4640242180533</v>
      </c>
      <c r="E475" s="560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57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62"/>
      <c r="R475" s="562"/>
      <c r="S475" s="562"/>
      <c r="T475" s="563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8"/>
      <c r="P476" s="564" t="s">
        <v>40</v>
      </c>
      <c r="Q476" s="565"/>
      <c r="R476" s="565"/>
      <c r="S476" s="565"/>
      <c r="T476" s="565"/>
      <c r="U476" s="565"/>
      <c r="V476" s="566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8"/>
      <c r="P477" s="564" t="s">
        <v>40</v>
      </c>
      <c r="Q477" s="565"/>
      <c r="R477" s="565"/>
      <c r="S477" s="565"/>
      <c r="T477" s="565"/>
      <c r="U477" s="565"/>
      <c r="V477" s="566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559" t="s">
        <v>173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66"/>
      <c r="AB478" s="66"/>
      <c r="AC478" s="80"/>
    </row>
    <row r="479" spans="1:68" ht="27" customHeight="1" x14ac:dyDescent="0.25">
      <c r="A479" s="63" t="s">
        <v>739</v>
      </c>
      <c r="B479" s="63" t="s">
        <v>740</v>
      </c>
      <c r="C479" s="36">
        <v>4301060491</v>
      </c>
      <c r="D479" s="560">
        <v>4640242180120</v>
      </c>
      <c r="E479" s="560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57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62"/>
      <c r="R479" s="562"/>
      <c r="S479" s="562"/>
      <c r="T479" s="563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742</v>
      </c>
      <c r="B480" s="63" t="s">
        <v>743</v>
      </c>
      <c r="C480" s="36">
        <v>4301060493</v>
      </c>
      <c r="D480" s="560">
        <v>4640242180137</v>
      </c>
      <c r="E480" s="560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57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62"/>
      <c r="R480" s="562"/>
      <c r="S480" s="562"/>
      <c r="T480" s="563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8"/>
      <c r="P481" s="564" t="s">
        <v>40</v>
      </c>
      <c r="Q481" s="565"/>
      <c r="R481" s="565"/>
      <c r="S481" s="565"/>
      <c r="T481" s="565"/>
      <c r="U481" s="565"/>
      <c r="V481" s="566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8"/>
      <c r="P482" s="564" t="s">
        <v>40</v>
      </c>
      <c r="Q482" s="565"/>
      <c r="R482" s="565"/>
      <c r="S482" s="565"/>
      <c r="T482" s="565"/>
      <c r="U482" s="565"/>
      <c r="V482" s="566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558" t="s">
        <v>745</v>
      </c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58"/>
      <c r="P483" s="558"/>
      <c r="Q483" s="558"/>
      <c r="R483" s="558"/>
      <c r="S483" s="558"/>
      <c r="T483" s="558"/>
      <c r="U483" s="558"/>
      <c r="V483" s="558"/>
      <c r="W483" s="558"/>
      <c r="X483" s="558"/>
      <c r="Y483" s="558"/>
      <c r="Z483" s="558"/>
      <c r="AA483" s="65"/>
      <c r="AB483" s="65"/>
      <c r="AC483" s="79"/>
    </row>
    <row r="484" spans="1:68" ht="14.25" customHeight="1" x14ac:dyDescent="0.25">
      <c r="A484" s="559" t="s">
        <v>147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66"/>
      <c r="AB484" s="66"/>
      <c r="AC484" s="80"/>
    </row>
    <row r="485" spans="1:68" ht="27" customHeight="1" x14ac:dyDescent="0.25">
      <c r="A485" s="63" t="s">
        <v>746</v>
      </c>
      <c r="B485" s="63" t="s">
        <v>747</v>
      </c>
      <c r="C485" s="36">
        <v>4301020314</v>
      </c>
      <c r="D485" s="560">
        <v>4640242180090</v>
      </c>
      <c r="E485" s="560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5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62"/>
      <c r="R485" s="562"/>
      <c r="S485" s="562"/>
      <c r="T485" s="563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8"/>
      <c r="P486" s="564" t="s">
        <v>40</v>
      </c>
      <c r="Q486" s="565"/>
      <c r="R486" s="565"/>
      <c r="S486" s="565"/>
      <c r="T486" s="565"/>
      <c r="U486" s="565"/>
      <c r="V486" s="566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8"/>
      <c r="P487" s="564" t="s">
        <v>40</v>
      </c>
      <c r="Q487" s="565"/>
      <c r="R487" s="565"/>
      <c r="S487" s="565"/>
      <c r="T487" s="565"/>
      <c r="U487" s="565"/>
      <c r="V487" s="566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72"/>
      <c r="P488" s="569" t="s">
        <v>33</v>
      </c>
      <c r="Q488" s="570"/>
      <c r="R488" s="570"/>
      <c r="S488" s="570"/>
      <c r="T488" s="570"/>
      <c r="U488" s="570"/>
      <c r="V488" s="571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964.8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964.8</v>
      </c>
      <c r="Z488" s="42"/>
      <c r="AA488" s="67"/>
      <c r="AB488" s="67"/>
      <c r="AC488" s="67"/>
    </row>
    <row r="489" spans="1:68" x14ac:dyDescent="0.2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72"/>
      <c r="P489" s="569" t="s">
        <v>34</v>
      </c>
      <c r="Q489" s="570"/>
      <c r="R489" s="570"/>
      <c r="S489" s="570"/>
      <c r="T489" s="570"/>
      <c r="U489" s="570"/>
      <c r="V489" s="571"/>
      <c r="W489" s="42" t="s">
        <v>0</v>
      </c>
      <c r="X489" s="43">
        <f>IFERROR(SUM(BM22:BM485),"0")</f>
        <v>1018.3040000000001</v>
      </c>
      <c r="Y489" s="43">
        <f>IFERROR(SUM(BN22:BN485),"0")</f>
        <v>1018.3040000000001</v>
      </c>
      <c r="Z489" s="42"/>
      <c r="AA489" s="67"/>
      <c r="AB489" s="67"/>
      <c r="AC489" s="67"/>
    </row>
    <row r="490" spans="1:68" x14ac:dyDescent="0.2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72"/>
      <c r="P490" s="569" t="s">
        <v>35</v>
      </c>
      <c r="Q490" s="570"/>
      <c r="R490" s="570"/>
      <c r="S490" s="570"/>
      <c r="T490" s="570"/>
      <c r="U490" s="570"/>
      <c r="V490" s="571"/>
      <c r="W490" s="42" t="s">
        <v>20</v>
      </c>
      <c r="X490" s="44">
        <f>ROUNDUP(SUM(BO22:BO485),0)</f>
        <v>2</v>
      </c>
      <c r="Y490" s="44">
        <f>ROUNDUP(SUM(BP22:BP485),0)</f>
        <v>2</v>
      </c>
      <c r="Z490" s="42"/>
      <c r="AA490" s="67"/>
      <c r="AB490" s="67"/>
      <c r="AC490" s="67"/>
    </row>
    <row r="491" spans="1:68" x14ac:dyDescent="0.2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72"/>
      <c r="P491" s="569" t="s">
        <v>36</v>
      </c>
      <c r="Q491" s="570"/>
      <c r="R491" s="570"/>
      <c r="S491" s="570"/>
      <c r="T491" s="570"/>
      <c r="U491" s="570"/>
      <c r="V491" s="571"/>
      <c r="W491" s="42" t="s">
        <v>0</v>
      </c>
      <c r="X491" s="43">
        <f>GrossWeightTotal+PalletQtyTotal*25</f>
        <v>1068.3040000000001</v>
      </c>
      <c r="Y491" s="43">
        <f>GrossWeightTotalR+PalletQtyTotalR*25</f>
        <v>1068.3040000000001</v>
      </c>
      <c r="Z491" s="42"/>
      <c r="AA491" s="67"/>
      <c r="AB491" s="67"/>
      <c r="AC491" s="67"/>
    </row>
    <row r="492" spans="1:68" x14ac:dyDescent="0.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72"/>
      <c r="P492" s="569" t="s">
        <v>37</v>
      </c>
      <c r="Q492" s="570"/>
      <c r="R492" s="570"/>
      <c r="S492" s="570"/>
      <c r="T492" s="570"/>
      <c r="U492" s="570"/>
      <c r="V492" s="571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130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130</v>
      </c>
      <c r="Z492" s="42"/>
      <c r="AA492" s="67"/>
      <c r="AB492" s="67"/>
      <c r="AC492" s="67"/>
    </row>
    <row r="493" spans="1:68" ht="14.25" x14ac:dyDescent="0.2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72"/>
      <c r="P493" s="569" t="s">
        <v>38</v>
      </c>
      <c r="Q493" s="570"/>
      <c r="R493" s="570"/>
      <c r="S493" s="570"/>
      <c r="T493" s="570"/>
      <c r="U493" s="570"/>
      <c r="V493" s="571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1.9879799999999999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554" t="s">
        <v>112</v>
      </c>
      <c r="D495" s="554" t="s">
        <v>112</v>
      </c>
      <c r="E495" s="554" t="s">
        <v>112</v>
      </c>
      <c r="F495" s="554" t="s">
        <v>112</v>
      </c>
      <c r="G495" s="554" t="s">
        <v>112</v>
      </c>
      <c r="H495" s="554" t="s">
        <v>112</v>
      </c>
      <c r="I495" s="554" t="s">
        <v>275</v>
      </c>
      <c r="J495" s="554" t="s">
        <v>275</v>
      </c>
      <c r="K495" s="554" t="s">
        <v>275</v>
      </c>
      <c r="L495" s="554" t="s">
        <v>275</v>
      </c>
      <c r="M495" s="554" t="s">
        <v>275</v>
      </c>
      <c r="N495" s="555"/>
      <c r="O495" s="554" t="s">
        <v>275</v>
      </c>
      <c r="P495" s="554" t="s">
        <v>275</v>
      </c>
      <c r="Q495" s="554" t="s">
        <v>275</v>
      </c>
      <c r="R495" s="554" t="s">
        <v>275</v>
      </c>
      <c r="S495" s="554" t="s">
        <v>565</v>
      </c>
      <c r="T495" s="554" t="s">
        <v>565</v>
      </c>
      <c r="U495" s="554" t="s">
        <v>618</v>
      </c>
      <c r="V495" s="554" t="s">
        <v>618</v>
      </c>
      <c r="W495" s="554" t="s">
        <v>618</v>
      </c>
      <c r="X495" s="85" t="s">
        <v>666</v>
      </c>
      <c r="Y495" s="554" t="s">
        <v>718</v>
      </c>
      <c r="Z495" s="554" t="s">
        <v>718</v>
      </c>
      <c r="AB495" s="60"/>
      <c r="AC495" s="60"/>
      <c r="AF495" s="1"/>
    </row>
    <row r="496" spans="1:68" ht="14.25" customHeight="1" thickTop="1" x14ac:dyDescent="0.2">
      <c r="A496" s="556" t="s">
        <v>10</v>
      </c>
      <c r="B496" s="554" t="s">
        <v>75</v>
      </c>
      <c r="C496" s="554" t="s">
        <v>113</v>
      </c>
      <c r="D496" s="554" t="s">
        <v>128</v>
      </c>
      <c r="E496" s="554" t="s">
        <v>180</v>
      </c>
      <c r="F496" s="554" t="s">
        <v>201</v>
      </c>
      <c r="G496" s="554" t="s">
        <v>238</v>
      </c>
      <c r="H496" s="554" t="s">
        <v>112</v>
      </c>
      <c r="I496" s="554" t="s">
        <v>276</v>
      </c>
      <c r="J496" s="554" t="s">
        <v>334</v>
      </c>
      <c r="K496" s="554" t="s">
        <v>393</v>
      </c>
      <c r="L496" s="554" t="s">
        <v>432</v>
      </c>
      <c r="M496" s="554" t="s">
        <v>448</v>
      </c>
      <c r="N496" s="1"/>
      <c r="O496" s="554" t="s">
        <v>459</v>
      </c>
      <c r="P496" s="554" t="s">
        <v>468</v>
      </c>
      <c r="Q496" s="554" t="s">
        <v>481</v>
      </c>
      <c r="R496" s="554" t="s">
        <v>555</v>
      </c>
      <c r="S496" s="554" t="s">
        <v>566</v>
      </c>
      <c r="T496" s="554" t="s">
        <v>602</v>
      </c>
      <c r="U496" s="554" t="s">
        <v>619</v>
      </c>
      <c r="V496" s="554" t="s">
        <v>650</v>
      </c>
      <c r="W496" s="554" t="s">
        <v>662</v>
      </c>
      <c r="X496" s="554" t="s">
        <v>666</v>
      </c>
      <c r="Y496" s="554" t="s">
        <v>718</v>
      </c>
      <c r="Z496" s="554" t="s">
        <v>745</v>
      </c>
      <c r="AB496" s="60"/>
      <c r="AC496" s="60"/>
      <c r="AF496" s="1"/>
    </row>
    <row r="497" spans="1:32" ht="13.5" thickBot="1" x14ac:dyDescent="0.25">
      <c r="A497" s="557"/>
      <c r="B497" s="554"/>
      <c r="C497" s="554"/>
      <c r="D497" s="554"/>
      <c r="E497" s="554"/>
      <c r="F497" s="554"/>
      <c r="G497" s="554"/>
      <c r="H497" s="554"/>
      <c r="I497" s="554"/>
      <c r="J497" s="554"/>
      <c r="K497" s="554"/>
      <c r="L497" s="554"/>
      <c r="M497" s="554"/>
      <c r="N497" s="1"/>
      <c r="O497" s="554"/>
      <c r="P497" s="554"/>
      <c r="Q497" s="554"/>
      <c r="R497" s="554"/>
      <c r="S497" s="554"/>
      <c r="T497" s="554"/>
      <c r="U497" s="554"/>
      <c r="V497" s="554"/>
      <c r="W497" s="554"/>
      <c r="X497" s="554"/>
      <c r="Y497" s="554"/>
      <c r="Z497" s="55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86.4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249.6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240</v>
      </c>
      <c r="T498" s="52">
        <f>IFERROR(Y375*1,"0")+IFERROR(Y376*1,"0")+IFERROR(Y380*1,"0")+IFERROR(Y384*1,"0")+IFERROR(Y385*1,"0")+IFERROR(Y386*1,"0")</f>
        <v>388.8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0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dcterms:created xsi:type="dcterms:W3CDTF">2021-11-12T12:13:19Z</dcterms:created>
  <dcterms:modified xsi:type="dcterms:W3CDTF">2026-09-04T08:06:52Z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