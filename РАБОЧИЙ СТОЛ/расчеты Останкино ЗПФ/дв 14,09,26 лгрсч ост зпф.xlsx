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DDD3CEE9-CDC9-4820-8D9D-3D45864E632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" i="1" l="1"/>
  <c r="AG8" i="1"/>
  <c r="AG9" i="1"/>
  <c r="AG10" i="1"/>
  <c r="AG11" i="1"/>
  <c r="AG12" i="1"/>
  <c r="AG13" i="1"/>
  <c r="AG14" i="1"/>
  <c r="AG15" i="1"/>
  <c r="AG16" i="1"/>
  <c r="AG6" i="1"/>
  <c r="T7" i="1"/>
  <c r="T8" i="1"/>
  <c r="T9" i="1"/>
  <c r="T10" i="1"/>
  <c r="T11" i="1"/>
  <c r="T12" i="1"/>
  <c r="T13" i="1"/>
  <c r="T14" i="1"/>
  <c r="T15" i="1"/>
  <c r="T16" i="1"/>
  <c r="T6" i="1"/>
  <c r="R5" i="1"/>
  <c r="S7" i="1"/>
  <c r="S8" i="1"/>
  <c r="S9" i="1"/>
  <c r="S10" i="1"/>
  <c r="S11" i="1"/>
  <c r="S12" i="1"/>
  <c r="S13" i="1"/>
  <c r="S14" i="1"/>
  <c r="S15" i="1"/>
  <c r="S16" i="1"/>
  <c r="S6" i="1"/>
  <c r="S5" i="1" l="1"/>
  <c r="U10" i="1" l="1"/>
  <c r="U14" i="1"/>
  <c r="P7" i="1"/>
  <c r="U7" i="1" s="1"/>
  <c r="P8" i="1"/>
  <c r="U8" i="1" s="1"/>
  <c r="P9" i="1"/>
  <c r="U9" i="1" s="1"/>
  <c r="P10" i="1"/>
  <c r="P11" i="1"/>
  <c r="U11" i="1" s="1"/>
  <c r="P12" i="1"/>
  <c r="Q12" i="1" s="1"/>
  <c r="P13" i="1"/>
  <c r="U13" i="1" s="1"/>
  <c r="P14" i="1"/>
  <c r="Q14" i="1" s="1"/>
  <c r="P15" i="1"/>
  <c r="U15" i="1" s="1"/>
  <c r="P16" i="1"/>
  <c r="Q16" i="1" s="1"/>
  <c r="P6" i="1"/>
  <c r="L16" i="1"/>
  <c r="L15" i="1"/>
  <c r="L14" i="1"/>
  <c r="L13" i="1"/>
  <c r="L12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F5" i="1"/>
  <c r="E5" i="1"/>
  <c r="U6" i="1" l="1"/>
  <c r="Q15" i="1"/>
  <c r="Q13" i="1"/>
  <c r="Q11" i="1"/>
  <c r="L5" i="1"/>
  <c r="P5" i="1"/>
  <c r="U16" i="1"/>
  <c r="U12" i="1"/>
  <c r="Q10" i="1"/>
  <c r="Q5" i="1"/>
  <c r="AG5" i="1" l="1"/>
</calcChain>
</file>

<file path=xl/sharedStrings.xml><?xml version="1.0" encoding="utf-8"?>
<sst xmlns="http://schemas.openxmlformats.org/spreadsheetml/2006/main" count="84" uniqueCount="54">
  <si>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</si>
  <si>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</si>
  <si>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</si>
  <si>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</si>
  <si>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</si>
  <si>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</si>
  <si>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</si>
  <si>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</si>
  <si>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</si>
  <si>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</si>
  <si>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</si>
  <si>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</si>
  <si>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</si>
  <si>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</si>
  <si>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</si>
  <si>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</si>
  <si>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</si>
  <si>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</si>
  <si>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</si>
  <si>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</si>
  <si>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</si>
  <si>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</si>
  <si>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</si>
  <si>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14,09,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</si>
  <si>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</si>
  <si>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</si>
  <si>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</si>
  <si>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</si>
  <si>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</si>
  <si>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</si>
  <si>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</si>
  <si>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</si>
  <si>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</si>
  <si>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5579 БЛИНЧ.КРУГЛЫЕ С САД.ЯБЛОК.пл.1/420 зам. ОСТАНКИНО</t>
  </si>
  <si>
    <t>шт</t>
  </si>
  <si>
    <t>матрица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</si>
  <si>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</si>
  <si>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</si>
  <si>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</si>
  <si>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нужно увеличить продажи!!!</t>
  </si>
  <si>
    <t>5897 БЛИНЧ.КРУГЛЫЕ С ГРУШЕЙ пл.1/420 зам.   ОСТАНКИНО</t>
  </si>
  <si>
    <t>6148 БЛИНЧ.КРУГЛЫЕ С ВЕТЧ.И СЫР. ПМ 1/300 зам. ОСТАНКИНО</t>
  </si>
  <si>
    <t xml:space="preserve">Главторг 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</si>
  <si>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</si>
  <si>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</si>
  <si>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</si>
  <si>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</si>
  <si>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</si>
  <si>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</si>
  <si>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162кг в уценку (11,09,26)</t>
  </si>
  <si>
    <t>ТК</t>
  </si>
  <si>
    <t>Чепрасова</t>
  </si>
  <si>
    <t>заказ</t>
  </si>
  <si>
    <t>21,09,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</si>
</sst>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2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5" fillId="4" borderId="1" xfId="1" applyNumberFormat="1" applyFont="1" applyFill="1"/>
    <xf numFmtId="164" fontId="1" fillId="0" borderId="1" xfId="1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40926%20&#1083;&#1075;&#1088;&#1089;&#1095;%20&#1086;&#1089;&#1090;%20&#1079;&#1087;&#1092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14,09,</v>
          </cell>
          <cell r="P4" t="str">
            <v>14,09,</v>
          </cell>
        </row>
        <row r="5">
          <cell r="E5">
            <v>898.5</v>
          </cell>
          <cell r="F5">
            <v>638.85599999999999</v>
          </cell>
          <cell r="K5">
            <v>1058.5</v>
          </cell>
          <cell r="L5">
            <v>-160</v>
          </cell>
          <cell r="M5">
            <v>0</v>
          </cell>
          <cell r="N5">
            <v>0</v>
          </cell>
          <cell r="O5">
            <v>780</v>
          </cell>
          <cell r="P5">
            <v>179.7</v>
          </cell>
          <cell r="Q5">
            <v>1310</v>
          </cell>
          <cell r="R5">
            <v>1280</v>
          </cell>
        </row>
        <row r="6">
          <cell r="A6" t="str">
            <v>5579 БЛИНЧ.КРУГЛЫЕ С САД.ЯБЛОК.пл.1/420 зам. ОСТАНКИНО</v>
          </cell>
          <cell r="B6" t="str">
            <v>шт</v>
          </cell>
          <cell r="C6">
            <v>20</v>
          </cell>
          <cell r="D6">
            <v>10</v>
          </cell>
          <cell r="E6">
            <v>7</v>
          </cell>
          <cell r="F6">
            <v>23</v>
          </cell>
          <cell r="G6">
            <v>0.42</v>
          </cell>
          <cell r="H6">
            <v>120</v>
          </cell>
          <cell r="I6" t="str">
            <v>матрица</v>
          </cell>
          <cell r="K6">
            <v>7</v>
          </cell>
          <cell r="L6">
            <v>0</v>
          </cell>
          <cell r="P6">
            <v>1.4</v>
          </cell>
          <cell r="R6">
            <v>30</v>
          </cell>
        </row>
        <row r="7">
          <cell r="A7" t="str">
            <v>5754 БЛИНЧ.КРУГЛЫЕ С МЯСОМ 4,5кг зам. ПМ ОСТАНКИНО</v>
          </cell>
          <cell r="B7" t="str">
            <v>кг</v>
          </cell>
          <cell r="C7">
            <v>36</v>
          </cell>
          <cell r="D7">
            <v>59.356000000000002</v>
          </cell>
          <cell r="E7">
            <v>18</v>
          </cell>
          <cell r="F7">
            <v>77.355999999999995</v>
          </cell>
          <cell r="G7">
            <v>1</v>
          </cell>
          <cell r="H7">
            <v>120</v>
          </cell>
          <cell r="I7" t="str">
            <v>матрица</v>
          </cell>
          <cell r="K7">
            <v>18</v>
          </cell>
          <cell r="L7">
            <v>0</v>
          </cell>
          <cell r="P7">
            <v>3.6</v>
          </cell>
          <cell r="R7">
            <v>20</v>
          </cell>
        </row>
        <row r="8">
          <cell r="A8" t="str">
            <v>5755 БЛИНЧ.КРУГЛЫЕ С ТВОРОГОМ 4,5кг зам. ПМ ОСТАНКИНО</v>
          </cell>
          <cell r="B8" t="str">
            <v>кг</v>
          </cell>
          <cell r="C8">
            <v>180</v>
          </cell>
          <cell r="E8">
            <v>22.5</v>
          </cell>
          <cell r="F8">
            <v>-4.5</v>
          </cell>
          <cell r="G8">
            <v>1</v>
          </cell>
          <cell r="H8">
            <v>120</v>
          </cell>
          <cell r="I8" t="str">
            <v>матрица</v>
          </cell>
          <cell r="K8">
            <v>22.5</v>
          </cell>
          <cell r="L8">
            <v>0</v>
          </cell>
          <cell r="P8">
            <v>4.5</v>
          </cell>
          <cell r="Q8">
            <v>40</v>
          </cell>
          <cell r="R8">
            <v>80</v>
          </cell>
        </row>
        <row r="9">
          <cell r="A9" t="str">
            <v>5897 БЛИНЧ.КРУГЛЫЕ С ГРУШЕЙ пл.1/420 зам.   ОСТАНКИНО</v>
          </cell>
          <cell r="B9" t="str">
            <v>шт</v>
          </cell>
          <cell r="C9">
            <v>116</v>
          </cell>
          <cell r="E9">
            <v>19</v>
          </cell>
          <cell r="F9">
            <v>97</v>
          </cell>
          <cell r="G9">
            <v>0.42</v>
          </cell>
          <cell r="H9">
            <v>120</v>
          </cell>
          <cell r="I9" t="str">
            <v>матрица</v>
          </cell>
          <cell r="K9">
            <v>19</v>
          </cell>
          <cell r="L9">
            <v>0</v>
          </cell>
          <cell r="P9">
            <v>3.8</v>
          </cell>
        </row>
        <row r="10">
          <cell r="A10" t="str">
            <v>6148 БЛИНЧ.КРУГЛЫЕ С ВЕТЧ.И СЫР. ПМ 1/300 зам. ОСТАНКИНО</v>
          </cell>
          <cell r="B10" t="str">
            <v>шт</v>
          </cell>
          <cell r="C10">
            <v>218</v>
          </cell>
          <cell r="E10">
            <v>217</v>
          </cell>
          <cell r="F10">
            <v>1</v>
          </cell>
          <cell r="G10">
            <v>0.3</v>
          </cell>
          <cell r="H10">
            <v>120</v>
          </cell>
          <cell r="I10" t="str">
            <v>матрица</v>
          </cell>
          <cell r="K10">
            <v>242</v>
          </cell>
          <cell r="L10">
            <v>-25</v>
          </cell>
          <cell r="O10">
            <v>210</v>
          </cell>
          <cell r="P10">
            <v>43.4</v>
          </cell>
          <cell r="Q10">
            <v>440</v>
          </cell>
          <cell r="R10">
            <v>600</v>
          </cell>
        </row>
        <row r="11">
          <cell r="A11" t="str">
            <v>6149 БЛИНЧ.КРУГЛЫЕ С ПЕЧЕНЬЮ ПМ 1/300 зам. ОСТАНКИНО</v>
          </cell>
          <cell r="B11" t="str">
            <v>шт</v>
          </cell>
          <cell r="C11">
            <v>148</v>
          </cell>
          <cell r="D11">
            <v>96</v>
          </cell>
          <cell r="E11">
            <v>124</v>
          </cell>
          <cell r="F11">
            <v>78</v>
          </cell>
          <cell r="G11">
            <v>0.3</v>
          </cell>
          <cell r="H11">
            <v>120</v>
          </cell>
          <cell r="I11" t="str">
            <v>матрица</v>
          </cell>
          <cell r="K11">
            <v>126</v>
          </cell>
          <cell r="L11">
            <v>-2</v>
          </cell>
          <cell r="O11">
            <v>100</v>
          </cell>
          <cell r="P11">
            <v>24.8</v>
          </cell>
          <cell r="Q11">
            <v>194</v>
          </cell>
        </row>
        <row r="12">
          <cell r="A12" t="str">
            <v>6168 Блинчики с мясом пл. 1/350 зам. ОСТАНКИНО</v>
          </cell>
          <cell r="B12" t="str">
            <v>шт</v>
          </cell>
          <cell r="C12">
            <v>62</v>
          </cell>
          <cell r="E12">
            <v>65</v>
          </cell>
          <cell r="F12">
            <v>-3</v>
          </cell>
          <cell r="G12">
            <v>0.35</v>
          </cell>
          <cell r="H12">
            <v>120</v>
          </cell>
          <cell r="I12" t="str">
            <v>матрица</v>
          </cell>
          <cell r="K12">
            <v>130</v>
          </cell>
          <cell r="L12">
            <v>-65</v>
          </cell>
          <cell r="O12">
            <v>180</v>
          </cell>
          <cell r="P12">
            <v>13</v>
          </cell>
          <cell r="Q12">
            <v>18</v>
          </cell>
          <cell r="R12">
            <v>50</v>
          </cell>
        </row>
        <row r="13">
          <cell r="A13" t="str">
            <v>6202 БЛИНЧ.КРУГЛЫЕ С ТВОРОГОМ ПМ 1/300 зам. ОСТАНКИНО</v>
          </cell>
          <cell r="B13" t="str">
            <v>шт</v>
          </cell>
          <cell r="C13">
            <v>197</v>
          </cell>
          <cell r="E13">
            <v>110</v>
          </cell>
          <cell r="F13">
            <v>79</v>
          </cell>
          <cell r="G13">
            <v>0.3</v>
          </cell>
          <cell r="H13">
            <v>120</v>
          </cell>
          <cell r="I13" t="str">
            <v>матрица</v>
          </cell>
          <cell r="K13">
            <v>112</v>
          </cell>
          <cell r="L13">
            <v>-2</v>
          </cell>
          <cell r="O13">
            <v>40</v>
          </cell>
          <cell r="P13">
            <v>22</v>
          </cell>
          <cell r="Q13">
            <v>211</v>
          </cell>
        </row>
        <row r="14">
          <cell r="A14" t="str">
            <v>6209 Блинчики с куриным мясом пл. 1/350 зам. ОСТАНКИНО</v>
          </cell>
          <cell r="B14" t="str">
            <v>шт</v>
          </cell>
          <cell r="C14">
            <v>149</v>
          </cell>
          <cell r="D14">
            <v>96</v>
          </cell>
          <cell r="E14">
            <v>93</v>
          </cell>
          <cell r="F14">
            <v>151</v>
          </cell>
          <cell r="G14">
            <v>0.35</v>
          </cell>
          <cell r="H14">
            <v>120</v>
          </cell>
          <cell r="I14" t="str">
            <v>матрица</v>
          </cell>
          <cell r="K14">
            <v>93</v>
          </cell>
          <cell r="L14">
            <v>0</v>
          </cell>
          <cell r="P14">
            <v>18.600000000000001</v>
          </cell>
          <cell r="Q14">
            <v>128</v>
          </cell>
        </row>
        <row r="15">
          <cell r="A15" t="str">
            <v>6819 БЛИНЧ.КРУГЛЫЕ С САД.ЯБЛОК. пл. 1/300 зам. ОСТАНКИНО</v>
          </cell>
          <cell r="B15" t="str">
            <v>шт</v>
          </cell>
          <cell r="C15">
            <v>42</v>
          </cell>
          <cell r="D15">
            <v>60</v>
          </cell>
          <cell r="E15">
            <v>36</v>
          </cell>
          <cell r="F15">
            <v>66</v>
          </cell>
          <cell r="G15">
            <v>0.3</v>
          </cell>
          <cell r="H15">
            <v>120</v>
          </cell>
          <cell r="I15" t="str">
            <v>матрица</v>
          </cell>
          <cell r="K15">
            <v>36</v>
          </cell>
          <cell r="L15">
            <v>0</v>
          </cell>
          <cell r="P15">
            <v>7.2</v>
          </cell>
          <cell r="Q15">
            <v>42</v>
          </cell>
        </row>
        <row r="16">
          <cell r="A16" t="str">
            <v>7216 СОЧНЫЕ СО СЛ.МАСЛ.ПМ пельм пл.0.7кг зам. ОСТАНКИНО</v>
          </cell>
          <cell r="B16" t="str">
            <v>шт</v>
          </cell>
          <cell r="D16">
            <v>300</v>
          </cell>
          <cell r="E16">
            <v>187</v>
          </cell>
          <cell r="F16">
            <v>74</v>
          </cell>
          <cell r="G16">
            <v>0.7</v>
          </cell>
          <cell r="H16">
            <v>180</v>
          </cell>
          <cell r="I16" t="str">
            <v>матрица</v>
          </cell>
          <cell r="K16">
            <v>253</v>
          </cell>
          <cell r="L16">
            <v>-66</v>
          </cell>
          <cell r="O16">
            <v>250</v>
          </cell>
          <cell r="P16">
            <v>37.4</v>
          </cell>
          <cell r="Q16">
            <v>237</v>
          </cell>
          <cell r="R16">
            <v>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" sqref="AF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9" width="7" customWidth="1"/>
    <col min="20" max="21" width="5" customWidth="1"/>
    <col min="22" max="31" width="6" customWidth="1"/>
    <col min="32" max="32" width="57" customWidth="1"/>
    <col min="33" max="33" width="7" customWidth="1"/>
    <col min="34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52</v>
      </c>
      <c r="S3" s="3" t="s">
        <v>50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23</v>
      </c>
      <c r="Q4" s="1"/>
      <c r="R4" s="1" t="s">
        <v>53</v>
      </c>
      <c r="S4" s="1" t="s">
        <v>51</v>
      </c>
      <c r="T4" s="1"/>
      <c r="U4" s="1"/>
      <c r="V4" s="1" t="s">
        <v>22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898.5</v>
      </c>
      <c r="F5" s="4">
        <f>SUM(F6:F500)</f>
        <v>638.85599999999999</v>
      </c>
      <c r="G5" s="7"/>
      <c r="H5" s="1"/>
      <c r="I5" s="1"/>
      <c r="J5" s="1"/>
      <c r="K5" s="4">
        <f t="shared" ref="K5:S5" si="0">SUM(K6:K500)</f>
        <v>1058.5</v>
      </c>
      <c r="L5" s="4">
        <f t="shared" si="0"/>
        <v>-160</v>
      </c>
      <c r="M5" s="4">
        <f t="shared" si="0"/>
        <v>0</v>
      </c>
      <c r="N5" s="4">
        <f t="shared" si="0"/>
        <v>0</v>
      </c>
      <c r="O5" s="4">
        <f t="shared" si="0"/>
        <v>780</v>
      </c>
      <c r="P5" s="4">
        <f t="shared" si="0"/>
        <v>179.7</v>
      </c>
      <c r="Q5" s="4">
        <f t="shared" si="0"/>
        <v>1310</v>
      </c>
      <c r="R5" s="4">
        <f t="shared" si="0"/>
        <v>1800</v>
      </c>
      <c r="S5" s="4">
        <f t="shared" si="0"/>
        <v>1280</v>
      </c>
      <c r="T5" s="1"/>
      <c r="U5" s="1"/>
      <c r="V5" s="4">
        <f t="shared" ref="V5:AE5" si="1">SUM(V6:V500)</f>
        <v>142</v>
      </c>
      <c r="W5" s="4">
        <f t="shared" si="1"/>
        <v>124</v>
      </c>
      <c r="X5" s="4">
        <f t="shared" si="1"/>
        <v>108.7</v>
      </c>
      <c r="Y5" s="4">
        <f t="shared" si="1"/>
        <v>116.10000000000002</v>
      </c>
      <c r="Z5" s="4">
        <f t="shared" si="1"/>
        <v>104.89999999999999</v>
      </c>
      <c r="AA5" s="4">
        <f t="shared" si="1"/>
        <v>121.99999999999999</v>
      </c>
      <c r="AB5" s="4">
        <f t="shared" si="1"/>
        <v>87.600000000000009</v>
      </c>
      <c r="AC5" s="4">
        <f t="shared" si="1"/>
        <v>154.69999999999999</v>
      </c>
      <c r="AD5" s="4">
        <f t="shared" si="1"/>
        <v>87.4</v>
      </c>
      <c r="AE5" s="4">
        <f t="shared" si="1"/>
        <v>130.39999999999998</v>
      </c>
      <c r="AF5" s="1"/>
      <c r="AG5" s="4">
        <f>SUM(AG6:AG500)</f>
        <v>792.2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33</v>
      </c>
      <c r="B6" s="1" t="s">
        <v>34</v>
      </c>
      <c r="C6" s="1">
        <v>20</v>
      </c>
      <c r="D6" s="1">
        <v>10</v>
      </c>
      <c r="E6" s="1">
        <v>7</v>
      </c>
      <c r="F6" s="1">
        <v>23</v>
      </c>
      <c r="G6" s="7">
        <v>0.42</v>
      </c>
      <c r="H6" s="1">
        <v>120</v>
      </c>
      <c r="I6" s="1" t="s">
        <v>35</v>
      </c>
      <c r="J6" s="1"/>
      <c r="K6" s="1">
        <v>7</v>
      </c>
      <c r="L6" s="1">
        <f t="shared" ref="L6:L16" si="2">E6-K6</f>
        <v>0</v>
      </c>
      <c r="M6" s="1"/>
      <c r="N6" s="1"/>
      <c r="O6" s="1"/>
      <c r="P6" s="1">
        <f>E6/5</f>
        <v>1.4</v>
      </c>
      <c r="Q6" s="5"/>
      <c r="R6" s="5">
        <v>10</v>
      </c>
      <c r="S6" s="11">
        <f>VLOOKUP(A6,[1]Sheet!$A:$R,18,0)</f>
        <v>30</v>
      </c>
      <c r="T6" s="1">
        <f>(F6+O6+R6)/P6</f>
        <v>23.571428571428573</v>
      </c>
      <c r="U6" s="1">
        <f>(F6+O6)/P6</f>
        <v>16.428571428571431</v>
      </c>
      <c r="V6" s="1">
        <v>0</v>
      </c>
      <c r="W6" s="1">
        <v>2</v>
      </c>
      <c r="X6" s="1">
        <v>2.2000000000000002</v>
      </c>
      <c r="Y6" s="1">
        <v>1.4</v>
      </c>
      <c r="Z6" s="1">
        <v>0.6</v>
      </c>
      <c r="AA6" s="1">
        <v>1.6</v>
      </c>
      <c r="AB6" s="1">
        <v>1.4</v>
      </c>
      <c r="AC6" s="1">
        <v>3.4</v>
      </c>
      <c r="AD6" s="1">
        <v>0</v>
      </c>
      <c r="AE6" s="1">
        <v>0</v>
      </c>
      <c r="AF6" s="1"/>
      <c r="AG6" s="1">
        <f>G6*R6</f>
        <v>4.2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37</v>
      </c>
      <c r="C7" s="1">
        <v>36</v>
      </c>
      <c r="D7" s="1">
        <v>59.356000000000002</v>
      </c>
      <c r="E7" s="1">
        <v>18</v>
      </c>
      <c r="F7" s="1">
        <v>77.355999999999995</v>
      </c>
      <c r="G7" s="7">
        <v>1</v>
      </c>
      <c r="H7" s="1">
        <v>120</v>
      </c>
      <c r="I7" s="1" t="s">
        <v>35</v>
      </c>
      <c r="J7" s="1"/>
      <c r="K7" s="1">
        <v>18</v>
      </c>
      <c r="L7" s="1">
        <f t="shared" si="2"/>
        <v>0</v>
      </c>
      <c r="M7" s="1"/>
      <c r="N7" s="1"/>
      <c r="O7" s="1"/>
      <c r="P7" s="1">
        <f t="shared" ref="P7:P16" si="3">E7/5</f>
        <v>3.6</v>
      </c>
      <c r="Q7" s="5"/>
      <c r="R7" s="5">
        <v>10</v>
      </c>
      <c r="S7" s="11">
        <f>VLOOKUP(A7,[1]Sheet!$A:$R,18,0)</f>
        <v>20</v>
      </c>
      <c r="T7" s="1">
        <f t="shared" ref="T7:T16" si="4">(F7+O7+R7)/P7</f>
        <v>24.265555555555554</v>
      </c>
      <c r="U7" s="1">
        <f t="shared" ref="U7:U16" si="5">(F7+O7)/P7</f>
        <v>21.487777777777776</v>
      </c>
      <c r="V7" s="1">
        <v>4.5</v>
      </c>
      <c r="W7" s="1">
        <v>5.4</v>
      </c>
      <c r="X7" s="1">
        <v>4.5</v>
      </c>
      <c r="Y7" s="1">
        <v>8.1</v>
      </c>
      <c r="Z7" s="1">
        <v>3.6</v>
      </c>
      <c r="AA7" s="1">
        <v>5.4</v>
      </c>
      <c r="AB7" s="1">
        <v>6.3</v>
      </c>
      <c r="AC7" s="1">
        <v>3.6</v>
      </c>
      <c r="AD7" s="1">
        <v>3.6</v>
      </c>
      <c r="AE7" s="1">
        <v>3.6</v>
      </c>
      <c r="AF7" s="1"/>
      <c r="AG7" s="1">
        <f t="shared" ref="AG7:AG16" si="6">G7*R7</f>
        <v>10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38</v>
      </c>
      <c r="B8" s="1" t="s">
        <v>37</v>
      </c>
      <c r="C8" s="1">
        <v>180</v>
      </c>
      <c r="D8" s="1"/>
      <c r="E8" s="1">
        <v>22.5</v>
      </c>
      <c r="F8" s="1">
        <v>-4.5</v>
      </c>
      <c r="G8" s="7">
        <v>1</v>
      </c>
      <c r="H8" s="1">
        <v>120</v>
      </c>
      <c r="I8" s="1" t="s">
        <v>35</v>
      </c>
      <c r="J8" s="1"/>
      <c r="K8" s="1">
        <v>22.5</v>
      </c>
      <c r="L8" s="1">
        <f t="shared" si="2"/>
        <v>0</v>
      </c>
      <c r="M8" s="1"/>
      <c r="N8" s="1"/>
      <c r="O8" s="1"/>
      <c r="P8" s="1">
        <f t="shared" si="3"/>
        <v>4.5</v>
      </c>
      <c r="Q8" s="5">
        <v>40</v>
      </c>
      <c r="R8" s="5">
        <v>50</v>
      </c>
      <c r="S8" s="11">
        <f>VLOOKUP(A8,[1]Sheet!$A:$R,18,0)</f>
        <v>80</v>
      </c>
      <c r="T8" s="1">
        <f t="shared" si="4"/>
        <v>10.111111111111111</v>
      </c>
      <c r="U8" s="1">
        <f t="shared" si="5"/>
        <v>-1</v>
      </c>
      <c r="V8" s="1">
        <v>2.7</v>
      </c>
      <c r="W8" s="1">
        <v>1.8</v>
      </c>
      <c r="X8" s="1">
        <v>5.4</v>
      </c>
      <c r="Y8" s="1">
        <v>1.8</v>
      </c>
      <c r="Z8" s="1">
        <v>2.7</v>
      </c>
      <c r="AA8" s="1">
        <v>3.6</v>
      </c>
      <c r="AB8" s="1">
        <v>6.3</v>
      </c>
      <c r="AC8" s="1">
        <v>0.9</v>
      </c>
      <c r="AD8" s="1">
        <v>0</v>
      </c>
      <c r="AE8" s="1">
        <v>1.8</v>
      </c>
      <c r="AF8" s="9" t="s">
        <v>49</v>
      </c>
      <c r="AG8" s="1">
        <f t="shared" si="6"/>
        <v>50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40</v>
      </c>
      <c r="B9" s="1" t="s">
        <v>34</v>
      </c>
      <c r="C9" s="1">
        <v>116</v>
      </c>
      <c r="D9" s="1"/>
      <c r="E9" s="1">
        <v>19</v>
      </c>
      <c r="F9" s="1">
        <v>97</v>
      </c>
      <c r="G9" s="7">
        <v>0.42</v>
      </c>
      <c r="H9" s="1">
        <v>120</v>
      </c>
      <c r="I9" s="1" t="s">
        <v>35</v>
      </c>
      <c r="J9" s="1"/>
      <c r="K9" s="1">
        <v>19</v>
      </c>
      <c r="L9" s="1">
        <f t="shared" si="2"/>
        <v>0</v>
      </c>
      <c r="M9" s="1"/>
      <c r="N9" s="1"/>
      <c r="O9" s="1"/>
      <c r="P9" s="1">
        <f t="shared" si="3"/>
        <v>3.8</v>
      </c>
      <c r="Q9" s="5"/>
      <c r="R9" s="5"/>
      <c r="S9" s="11">
        <f>VLOOKUP(A9,[1]Sheet!$A:$R,18,0)</f>
        <v>0</v>
      </c>
      <c r="T9" s="1">
        <f t="shared" si="4"/>
        <v>25.526315789473685</v>
      </c>
      <c r="U9" s="1">
        <f t="shared" si="5"/>
        <v>25.526315789473685</v>
      </c>
      <c r="V9" s="1">
        <v>1</v>
      </c>
      <c r="W9" s="1">
        <v>3.2</v>
      </c>
      <c r="X9" s="1">
        <v>3</v>
      </c>
      <c r="Y9" s="1">
        <v>8.6</v>
      </c>
      <c r="Z9" s="1">
        <v>5.4</v>
      </c>
      <c r="AA9" s="1">
        <v>6</v>
      </c>
      <c r="AB9" s="1">
        <v>1.8</v>
      </c>
      <c r="AC9" s="1">
        <v>15.2</v>
      </c>
      <c r="AD9" s="1">
        <v>0</v>
      </c>
      <c r="AE9" s="1">
        <v>0</v>
      </c>
      <c r="AF9" s="10" t="s">
        <v>39</v>
      </c>
      <c r="AG9" s="1">
        <f t="shared" si="6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41</v>
      </c>
      <c r="B10" s="1" t="s">
        <v>34</v>
      </c>
      <c r="C10" s="1">
        <v>218</v>
      </c>
      <c r="D10" s="1"/>
      <c r="E10" s="1">
        <v>217</v>
      </c>
      <c r="F10" s="1">
        <v>1</v>
      </c>
      <c r="G10" s="7">
        <v>0.3</v>
      </c>
      <c r="H10" s="1">
        <v>120</v>
      </c>
      <c r="I10" s="1" t="s">
        <v>35</v>
      </c>
      <c r="J10" s="1"/>
      <c r="K10" s="1">
        <v>242</v>
      </c>
      <c r="L10" s="1">
        <f t="shared" si="2"/>
        <v>-25</v>
      </c>
      <c r="M10" s="1"/>
      <c r="N10" s="1"/>
      <c r="O10" s="1">
        <v>210</v>
      </c>
      <c r="P10" s="1">
        <f t="shared" si="3"/>
        <v>43.4</v>
      </c>
      <c r="Q10" s="5">
        <f>15*P10-O10-F10</f>
        <v>440</v>
      </c>
      <c r="R10" s="5">
        <v>600</v>
      </c>
      <c r="S10" s="11">
        <f>VLOOKUP(A10,[1]Sheet!$A:$R,18,0)</f>
        <v>600</v>
      </c>
      <c r="T10" s="1">
        <f t="shared" si="4"/>
        <v>18.686635944700463</v>
      </c>
      <c r="U10" s="1">
        <f t="shared" si="5"/>
        <v>4.8617511520737331</v>
      </c>
      <c r="V10" s="1">
        <v>28</v>
      </c>
      <c r="W10" s="1">
        <v>17.2</v>
      </c>
      <c r="X10" s="1">
        <v>6.8</v>
      </c>
      <c r="Y10" s="1">
        <v>28.6</v>
      </c>
      <c r="Z10" s="1">
        <v>15.6</v>
      </c>
      <c r="AA10" s="1">
        <v>18</v>
      </c>
      <c r="AB10" s="1">
        <v>25</v>
      </c>
      <c r="AC10" s="1">
        <v>27.4</v>
      </c>
      <c r="AD10" s="1">
        <v>15.6</v>
      </c>
      <c r="AE10" s="1">
        <v>25.4</v>
      </c>
      <c r="AF10" s="1" t="s">
        <v>42</v>
      </c>
      <c r="AG10" s="1">
        <f t="shared" si="6"/>
        <v>180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43</v>
      </c>
      <c r="B11" s="1" t="s">
        <v>34</v>
      </c>
      <c r="C11" s="1">
        <v>148</v>
      </c>
      <c r="D11" s="1">
        <v>96</v>
      </c>
      <c r="E11" s="1">
        <v>124</v>
      </c>
      <c r="F11" s="1">
        <v>78</v>
      </c>
      <c r="G11" s="7">
        <v>0.3</v>
      </c>
      <c r="H11" s="1">
        <v>120</v>
      </c>
      <c r="I11" s="1" t="s">
        <v>35</v>
      </c>
      <c r="J11" s="1"/>
      <c r="K11" s="1">
        <v>126</v>
      </c>
      <c r="L11" s="1">
        <f t="shared" si="2"/>
        <v>-2</v>
      </c>
      <c r="M11" s="1"/>
      <c r="N11" s="1"/>
      <c r="O11" s="1">
        <v>100</v>
      </c>
      <c r="P11" s="1">
        <f t="shared" si="3"/>
        <v>24.8</v>
      </c>
      <c r="Q11" s="5">
        <f t="shared" ref="Q11:Q16" si="7">15*P11-O11-F11</f>
        <v>194</v>
      </c>
      <c r="R11" s="5">
        <v>200</v>
      </c>
      <c r="S11" s="11">
        <f>VLOOKUP(A11,[1]Sheet!$A:$R,18,0)</f>
        <v>0</v>
      </c>
      <c r="T11" s="1">
        <f t="shared" si="4"/>
        <v>15.241935483870968</v>
      </c>
      <c r="U11" s="1">
        <f t="shared" si="5"/>
        <v>7.1774193548387091</v>
      </c>
      <c r="V11" s="1">
        <v>22.4</v>
      </c>
      <c r="W11" s="1">
        <v>20.8</v>
      </c>
      <c r="X11" s="1">
        <v>15.8</v>
      </c>
      <c r="Y11" s="1">
        <v>13</v>
      </c>
      <c r="Z11" s="1">
        <v>11.4</v>
      </c>
      <c r="AA11" s="1">
        <v>24.2</v>
      </c>
      <c r="AB11" s="1">
        <v>12.4</v>
      </c>
      <c r="AC11" s="1">
        <v>30.8</v>
      </c>
      <c r="AD11" s="1">
        <v>24.2</v>
      </c>
      <c r="AE11" s="1">
        <v>24.6</v>
      </c>
      <c r="AF11" s="1" t="s">
        <v>42</v>
      </c>
      <c r="AG11" s="1">
        <f t="shared" si="6"/>
        <v>60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44</v>
      </c>
      <c r="B12" s="1" t="s">
        <v>34</v>
      </c>
      <c r="C12" s="1">
        <v>62</v>
      </c>
      <c r="D12" s="1"/>
      <c r="E12" s="1">
        <v>65</v>
      </c>
      <c r="F12" s="1">
        <v>-3</v>
      </c>
      <c r="G12" s="7">
        <v>0.35</v>
      </c>
      <c r="H12" s="1">
        <v>120</v>
      </c>
      <c r="I12" s="1" t="s">
        <v>35</v>
      </c>
      <c r="J12" s="1"/>
      <c r="K12" s="1">
        <v>130</v>
      </c>
      <c r="L12" s="1">
        <f t="shared" si="2"/>
        <v>-65</v>
      </c>
      <c r="M12" s="1"/>
      <c r="N12" s="1"/>
      <c r="O12" s="1">
        <v>180</v>
      </c>
      <c r="P12" s="1">
        <f t="shared" si="3"/>
        <v>13</v>
      </c>
      <c r="Q12" s="5">
        <f t="shared" si="7"/>
        <v>18</v>
      </c>
      <c r="R12" s="5">
        <v>50</v>
      </c>
      <c r="S12" s="11">
        <f>VLOOKUP(A12,[1]Sheet!$A:$R,18,0)</f>
        <v>50</v>
      </c>
      <c r="T12" s="1">
        <f t="shared" si="4"/>
        <v>17.46153846153846</v>
      </c>
      <c r="U12" s="1">
        <f t="shared" si="5"/>
        <v>13.615384615384615</v>
      </c>
      <c r="V12" s="1">
        <v>18</v>
      </c>
      <c r="W12" s="1">
        <v>10</v>
      </c>
      <c r="X12" s="1">
        <v>18</v>
      </c>
      <c r="Y12" s="1">
        <v>8.4</v>
      </c>
      <c r="Z12" s="1">
        <v>18.399999999999999</v>
      </c>
      <c r="AA12" s="1">
        <v>9.6</v>
      </c>
      <c r="AB12" s="1">
        <v>8.6</v>
      </c>
      <c r="AC12" s="1">
        <v>19.2</v>
      </c>
      <c r="AD12" s="1">
        <v>19</v>
      </c>
      <c r="AE12" s="1">
        <v>25.4</v>
      </c>
      <c r="AF12" s="1"/>
      <c r="AG12" s="1">
        <f t="shared" si="6"/>
        <v>17.5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45</v>
      </c>
      <c r="B13" s="1" t="s">
        <v>34</v>
      </c>
      <c r="C13" s="1">
        <v>197</v>
      </c>
      <c r="D13" s="1"/>
      <c r="E13" s="1">
        <v>110</v>
      </c>
      <c r="F13" s="1">
        <v>79</v>
      </c>
      <c r="G13" s="7">
        <v>0.3</v>
      </c>
      <c r="H13" s="1">
        <v>120</v>
      </c>
      <c r="I13" s="1" t="s">
        <v>35</v>
      </c>
      <c r="J13" s="1"/>
      <c r="K13" s="1">
        <v>112</v>
      </c>
      <c r="L13" s="1">
        <f t="shared" si="2"/>
        <v>-2</v>
      </c>
      <c r="M13" s="1"/>
      <c r="N13" s="1"/>
      <c r="O13" s="1">
        <v>40</v>
      </c>
      <c r="P13" s="1">
        <f t="shared" si="3"/>
        <v>22</v>
      </c>
      <c r="Q13" s="5">
        <f t="shared" si="7"/>
        <v>211</v>
      </c>
      <c r="R13" s="5">
        <v>210</v>
      </c>
      <c r="S13" s="11">
        <f>VLOOKUP(A13,[1]Sheet!$A:$R,18,0)</f>
        <v>0</v>
      </c>
      <c r="T13" s="1">
        <f t="shared" si="4"/>
        <v>14.954545454545455</v>
      </c>
      <c r="U13" s="1">
        <f t="shared" si="5"/>
        <v>5.4090909090909092</v>
      </c>
      <c r="V13" s="1">
        <v>15.2</v>
      </c>
      <c r="W13" s="1">
        <v>15.6</v>
      </c>
      <c r="X13" s="1">
        <v>23.2</v>
      </c>
      <c r="Y13" s="1">
        <v>5.4</v>
      </c>
      <c r="Z13" s="1">
        <v>16.2</v>
      </c>
      <c r="AA13" s="1">
        <v>12.4</v>
      </c>
      <c r="AB13" s="1">
        <v>8.4</v>
      </c>
      <c r="AC13" s="1">
        <v>17.8</v>
      </c>
      <c r="AD13" s="1">
        <v>17</v>
      </c>
      <c r="AE13" s="1">
        <v>28.4</v>
      </c>
      <c r="AF13" s="1"/>
      <c r="AG13" s="1">
        <f t="shared" si="6"/>
        <v>63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46</v>
      </c>
      <c r="B14" s="1" t="s">
        <v>34</v>
      </c>
      <c r="C14" s="1">
        <v>149</v>
      </c>
      <c r="D14" s="1">
        <v>96</v>
      </c>
      <c r="E14" s="1">
        <v>93</v>
      </c>
      <c r="F14" s="1">
        <v>151</v>
      </c>
      <c r="G14" s="7">
        <v>0.35</v>
      </c>
      <c r="H14" s="1">
        <v>120</v>
      </c>
      <c r="I14" s="1" t="s">
        <v>35</v>
      </c>
      <c r="J14" s="1"/>
      <c r="K14" s="1">
        <v>93</v>
      </c>
      <c r="L14" s="1">
        <f t="shared" si="2"/>
        <v>0</v>
      </c>
      <c r="M14" s="1"/>
      <c r="N14" s="1"/>
      <c r="O14" s="1"/>
      <c r="P14" s="1">
        <f t="shared" si="3"/>
        <v>18.600000000000001</v>
      </c>
      <c r="Q14" s="5">
        <f t="shared" si="7"/>
        <v>128</v>
      </c>
      <c r="R14" s="5">
        <v>130</v>
      </c>
      <c r="S14" s="11">
        <f>VLOOKUP(A14,[1]Sheet!$A:$R,18,0)</f>
        <v>0</v>
      </c>
      <c r="T14" s="1">
        <f t="shared" si="4"/>
        <v>15.107526881720428</v>
      </c>
      <c r="U14" s="1">
        <f t="shared" si="5"/>
        <v>8.1182795698924721</v>
      </c>
      <c r="V14" s="1">
        <v>14.6</v>
      </c>
      <c r="W14" s="1">
        <v>17.2</v>
      </c>
      <c r="X14" s="1">
        <v>20</v>
      </c>
      <c r="Y14" s="1">
        <v>9.1999999999999993</v>
      </c>
      <c r="Z14" s="1">
        <v>16.2</v>
      </c>
      <c r="AA14" s="1">
        <v>14.8</v>
      </c>
      <c r="AB14" s="1">
        <v>14</v>
      </c>
      <c r="AC14" s="1">
        <v>13.2</v>
      </c>
      <c r="AD14" s="1">
        <v>8</v>
      </c>
      <c r="AE14" s="1">
        <v>16.600000000000001</v>
      </c>
      <c r="AF14" s="1"/>
      <c r="AG14" s="1">
        <f t="shared" si="6"/>
        <v>45.5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47</v>
      </c>
      <c r="B15" s="1" t="s">
        <v>34</v>
      </c>
      <c r="C15" s="1">
        <v>42</v>
      </c>
      <c r="D15" s="1">
        <v>60</v>
      </c>
      <c r="E15" s="1">
        <v>36</v>
      </c>
      <c r="F15" s="1">
        <v>66</v>
      </c>
      <c r="G15" s="7">
        <v>0.3</v>
      </c>
      <c r="H15" s="1">
        <v>120</v>
      </c>
      <c r="I15" s="1" t="s">
        <v>35</v>
      </c>
      <c r="J15" s="1"/>
      <c r="K15" s="1">
        <v>36</v>
      </c>
      <c r="L15" s="1">
        <f t="shared" si="2"/>
        <v>0</v>
      </c>
      <c r="M15" s="1"/>
      <c r="N15" s="1"/>
      <c r="O15" s="1"/>
      <c r="P15" s="1">
        <f t="shared" si="3"/>
        <v>7.2</v>
      </c>
      <c r="Q15" s="5">
        <f t="shared" si="7"/>
        <v>42</v>
      </c>
      <c r="R15" s="5">
        <v>40</v>
      </c>
      <c r="S15" s="11">
        <f>VLOOKUP(A15,[1]Sheet!$A:$R,18,0)</f>
        <v>0</v>
      </c>
      <c r="T15" s="1">
        <f t="shared" si="4"/>
        <v>14.722222222222221</v>
      </c>
      <c r="U15" s="1">
        <f t="shared" si="5"/>
        <v>9.1666666666666661</v>
      </c>
      <c r="V15" s="1">
        <v>5.4</v>
      </c>
      <c r="W15" s="1">
        <v>5.6</v>
      </c>
      <c r="X15" s="1">
        <v>2.6</v>
      </c>
      <c r="Y15" s="1">
        <v>6</v>
      </c>
      <c r="Z15" s="1">
        <v>5.8</v>
      </c>
      <c r="AA15" s="1">
        <v>11.6</v>
      </c>
      <c r="AB15" s="1">
        <v>3.4</v>
      </c>
      <c r="AC15" s="1">
        <v>13.2</v>
      </c>
      <c r="AD15" s="1">
        <v>0</v>
      </c>
      <c r="AE15" s="1">
        <v>0</v>
      </c>
      <c r="AF15" s="1"/>
      <c r="AG15" s="1">
        <f t="shared" si="6"/>
        <v>12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48</v>
      </c>
      <c r="B16" s="1" t="s">
        <v>34</v>
      </c>
      <c r="C16" s="1"/>
      <c r="D16" s="1">
        <v>300</v>
      </c>
      <c r="E16" s="1">
        <v>187</v>
      </c>
      <c r="F16" s="1">
        <v>74</v>
      </c>
      <c r="G16" s="7">
        <v>0.7</v>
      </c>
      <c r="H16" s="1">
        <v>180</v>
      </c>
      <c r="I16" s="1" t="s">
        <v>35</v>
      </c>
      <c r="J16" s="1"/>
      <c r="K16" s="1">
        <v>253</v>
      </c>
      <c r="L16" s="1">
        <f t="shared" si="2"/>
        <v>-66</v>
      </c>
      <c r="M16" s="1"/>
      <c r="N16" s="1"/>
      <c r="O16" s="1">
        <v>250</v>
      </c>
      <c r="P16" s="1">
        <f t="shared" si="3"/>
        <v>37.4</v>
      </c>
      <c r="Q16" s="5">
        <f t="shared" si="7"/>
        <v>237</v>
      </c>
      <c r="R16" s="5">
        <v>500</v>
      </c>
      <c r="S16" s="11">
        <f>VLOOKUP(A16,[1]Sheet!$A:$R,18,0)</f>
        <v>500</v>
      </c>
      <c r="T16" s="1">
        <f t="shared" si="4"/>
        <v>22.032085561497325</v>
      </c>
      <c r="U16" s="1">
        <f t="shared" si="5"/>
        <v>8.6631016042780757</v>
      </c>
      <c r="V16" s="1">
        <v>30.2</v>
      </c>
      <c r="W16" s="1">
        <v>25.2</v>
      </c>
      <c r="X16" s="1">
        <v>7.2</v>
      </c>
      <c r="Y16" s="1">
        <v>25.6</v>
      </c>
      <c r="Z16" s="1">
        <v>9</v>
      </c>
      <c r="AA16" s="1">
        <v>14.8</v>
      </c>
      <c r="AB16" s="1">
        <v>0</v>
      </c>
      <c r="AC16" s="1">
        <v>10</v>
      </c>
      <c r="AD16" s="1">
        <v>0</v>
      </c>
      <c r="AE16" s="1">
        <v>4.5999999999999996</v>
      </c>
      <c r="AF16" s="1"/>
      <c r="AG16" s="1">
        <f t="shared" si="6"/>
        <v>350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2026-09-14T16:28:06Z</dcterms:created>
  <dcterms:modified xsi:type="dcterms:W3CDTF">2026-09-16T12:09:17Z</dcterms:modified>
</cp:coreProperties>
</file>