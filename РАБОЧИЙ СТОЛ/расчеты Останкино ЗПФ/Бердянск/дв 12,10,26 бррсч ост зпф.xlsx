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C5053C28-B501-4600-BC86-1F17E1BDDB8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6" i="1" l="1"/>
  <c r="T16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6" i="1"/>
  <c r="T7" i="1"/>
  <c r="T8" i="1"/>
  <c r="T9" i="1"/>
  <c r="T10" i="1"/>
  <c r="T11" i="1"/>
  <c r="T12" i="1"/>
  <c r="T13" i="1"/>
  <c r="T14" i="1"/>
  <c r="T15" i="1"/>
  <c r="T17" i="1"/>
  <c r="T18" i="1"/>
  <c r="T19" i="1"/>
  <c r="T20" i="1"/>
  <c r="T21" i="1"/>
  <c r="T22" i="1"/>
  <c r="T6" i="1"/>
  <c r="P13" i="1"/>
  <c r="S11" i="1"/>
  <c r="S13" i="1"/>
  <c r="S5" i="1" s="1"/>
  <c r="S14" i="1"/>
  <c r="S16" i="1"/>
  <c r="S17" i="1"/>
  <c r="S18" i="1"/>
  <c r="S19" i="1"/>
  <c r="S20" i="1"/>
  <c r="S21" i="1"/>
  <c r="S22" i="1"/>
  <c r="R5" i="1"/>
  <c r="P17" i="1" l="1"/>
  <c r="U17" i="1"/>
  <c r="P18" i="1"/>
  <c r="P19" i="1"/>
  <c r="P20" i="1"/>
  <c r="P21" i="1"/>
  <c r="U21" i="1" s="1"/>
  <c r="P22" i="1"/>
  <c r="U20" i="1" l="1"/>
  <c r="U19" i="1"/>
  <c r="U18" i="1"/>
  <c r="U22" i="1"/>
  <c r="P7" i="1" l="1"/>
  <c r="P8" i="1"/>
  <c r="P9" i="1"/>
  <c r="P10" i="1"/>
  <c r="P11" i="1"/>
  <c r="P12" i="1"/>
  <c r="P14" i="1"/>
  <c r="U14" i="1" s="1"/>
  <c r="P15" i="1"/>
  <c r="U15" i="1" s="1"/>
  <c r="U16" i="1"/>
  <c r="P6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U10" i="1" l="1"/>
  <c r="Q14" i="1"/>
  <c r="U12" i="1"/>
  <c r="U8" i="1"/>
  <c r="U6" i="1"/>
  <c r="U13" i="1"/>
  <c r="U11" i="1"/>
  <c r="U9" i="1"/>
  <c r="U7" i="1"/>
  <c r="AG5" i="1"/>
  <c r="L5" i="1"/>
  <c r="P5" i="1"/>
  <c r="Q5" i="1" l="1"/>
</calcChain>
</file>

<file path=xl/sharedStrings.xml><?xml version="1.0" encoding="utf-8"?>
<sst xmlns="http://schemas.openxmlformats.org/spreadsheetml/2006/main" count="108" uniqueCount="64">
  <si>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</si>
  <si>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</si>
  <si>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</si>
  <si>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</si>
  <si>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</si>
  <si>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</si>
  <si>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</si>
  <si>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</si>
  <si>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</si>
  <si>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</si>
  <si>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</si>
  <si>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</si>
  <si>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</si>
  <si>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</si>
  <si>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</si>
  <si>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</si>
  <si>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</si>
  <si>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</si>
  <si>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</si>
  <si>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</si>
  <si>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</si>
  <si>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</si>
  <si>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</si>
  <si>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</si>
  <si>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</si>
  <si>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</si>
  <si>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</si>
  <si>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</si>
  <si>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</si>
  <si>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</si>
  <si>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</si>
  <si>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</si>
  <si>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</si>
  <si>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</si>
  <si>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</si>
  <si>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</si>
  <si>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</si>
  <si>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</si>
  <si>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</si>
  <si>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</si>
  <si>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</si>
  <si>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</si>
  <si>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</si>
  <si>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</si>
  <si>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</si>
  <si>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</si>
  <si>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</si>
  <si>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</si>
  <si>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</si>
  <si>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138кг в уценку (25,09,26)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</si>
  <si>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</si>
  <si>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131кг в уценку (25,09,26)</t>
    </r>
  </si>
  <si>
    <t>нужно увеличить продажи</t>
  </si>
  <si>
    <t>7085 ОСТАНКИНСКИЕ пельм пл. 0.7кг 10шт.зам.(7085)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</si>
  <si>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</si>
  <si>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</si>
  <si>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</si>
  <si>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</si>
  <si>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</si>
  <si>
    <t>РАЗОВО</t>
  </si>
  <si>
    <t>ТК</t>
  </si>
  <si>
    <t>Титенок</t>
  </si>
  <si>
    <t>заказ</t>
  </si>
  <si>
    <t>20,10,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</si>
</sst>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2" xfId="1" applyNumberFormat="1" applyFont="1" applyBorder="1"/>
    <xf numFmtId="164" fontId="4" fillId="0" borderId="1" xfId="1" applyNumberFormat="1" applyFont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73;&#1088;&#1088;&#1089;&#1095;%20&#1086;&#1089;&#1090;%20&#1079;&#1087;&#1092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13,10,</v>
          </cell>
          <cell r="P4" t="str">
            <v>12,10,</v>
          </cell>
        </row>
        <row r="5">
          <cell r="B5" t="str">
            <v>шт</v>
          </cell>
          <cell r="E5">
            <v>244.792</v>
          </cell>
          <cell r="F5">
            <v>1185.422</v>
          </cell>
          <cell r="K5">
            <v>309.5</v>
          </cell>
          <cell r="L5">
            <v>-64.707999999999998</v>
          </cell>
          <cell r="M5">
            <v>0</v>
          </cell>
          <cell r="N5">
            <v>0</v>
          </cell>
          <cell r="O5">
            <v>660</v>
          </cell>
          <cell r="P5">
            <v>48.958399999999997</v>
          </cell>
          <cell r="Q5">
            <v>95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C6">
            <v>52</v>
          </cell>
          <cell r="F6">
            <v>52</v>
          </cell>
          <cell r="G6">
            <v>0.42</v>
          </cell>
          <cell r="H6">
            <v>120</v>
          </cell>
          <cell r="I6" t="str">
            <v>матрица</v>
          </cell>
          <cell r="L6">
            <v>0</v>
          </cell>
          <cell r="P6">
            <v>0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C7">
            <v>-64.296000000000006</v>
          </cell>
          <cell r="D7">
            <v>114.544</v>
          </cell>
          <cell r="E7">
            <v>9.1959999999999997</v>
          </cell>
          <cell r="F7">
            <v>22.707999999999998</v>
          </cell>
          <cell r="G7">
            <v>1</v>
          </cell>
          <cell r="H7">
            <v>120</v>
          </cell>
          <cell r="I7" t="str">
            <v>матрица</v>
          </cell>
          <cell r="K7">
            <v>37</v>
          </cell>
          <cell r="L7">
            <v>-27.804000000000002</v>
          </cell>
          <cell r="P7">
            <v>1.8391999999999999</v>
          </cell>
          <cell r="Q7">
            <v>20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C8">
            <v>179.31</v>
          </cell>
          <cell r="E8">
            <v>13.596</v>
          </cell>
          <cell r="F8">
            <v>165.714</v>
          </cell>
          <cell r="G8">
            <v>1</v>
          </cell>
          <cell r="H8">
            <v>120</v>
          </cell>
          <cell r="I8" t="str">
            <v>матрица</v>
          </cell>
          <cell r="K8">
            <v>13.5</v>
          </cell>
          <cell r="L8">
            <v>9.6000000000000085E-2</v>
          </cell>
          <cell r="P8">
            <v>2.7191999999999998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C9">
            <v>53</v>
          </cell>
          <cell r="D9">
            <v>20</v>
          </cell>
          <cell r="E9">
            <v>1</v>
          </cell>
          <cell r="F9">
            <v>70</v>
          </cell>
          <cell r="G9">
            <v>0.42</v>
          </cell>
          <cell r="H9">
            <v>120</v>
          </cell>
          <cell r="I9" t="str">
            <v>матрица</v>
          </cell>
          <cell r="K9">
            <v>1</v>
          </cell>
          <cell r="L9">
            <v>0</v>
          </cell>
          <cell r="P9">
            <v>0.2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C10">
            <v>120</v>
          </cell>
          <cell r="D10">
            <v>99</v>
          </cell>
          <cell r="E10">
            <v>23</v>
          </cell>
          <cell r="F10">
            <v>185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26</v>
          </cell>
          <cell r="L10">
            <v>-3</v>
          </cell>
          <cell r="P10">
            <v>4.5999999999999996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C11">
            <v>8</v>
          </cell>
          <cell r="D11">
            <v>132</v>
          </cell>
          <cell r="E11">
            <v>9</v>
          </cell>
          <cell r="F11">
            <v>101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25</v>
          </cell>
          <cell r="L11">
            <v>-16</v>
          </cell>
          <cell r="O11">
            <v>20</v>
          </cell>
          <cell r="P11">
            <v>1.8</v>
          </cell>
          <cell r="R11">
            <v>50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C12">
            <v>168</v>
          </cell>
          <cell r="D12">
            <v>98</v>
          </cell>
          <cell r="E12">
            <v>37</v>
          </cell>
          <cell r="F12">
            <v>214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41</v>
          </cell>
          <cell r="L12">
            <v>-4</v>
          </cell>
          <cell r="P12">
            <v>7.4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C13">
            <v>132</v>
          </cell>
          <cell r="E13">
            <v>28</v>
          </cell>
          <cell r="F13">
            <v>95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29</v>
          </cell>
          <cell r="L13">
            <v>-1</v>
          </cell>
          <cell r="P13">
            <v>5.6</v>
          </cell>
          <cell r="R13">
            <v>50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C14">
            <v>218</v>
          </cell>
          <cell r="E14">
            <v>75</v>
          </cell>
          <cell r="F14">
            <v>130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73</v>
          </cell>
          <cell r="L14">
            <v>2</v>
          </cell>
          <cell r="O14">
            <v>20</v>
          </cell>
          <cell r="P14">
            <v>15</v>
          </cell>
          <cell r="Q14">
            <v>75</v>
          </cell>
          <cell r="R14">
            <v>150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C15">
            <v>99</v>
          </cell>
          <cell r="F15">
            <v>97</v>
          </cell>
          <cell r="G15">
            <v>0.3</v>
          </cell>
          <cell r="H15">
            <v>120</v>
          </cell>
          <cell r="I15" t="str">
            <v>матрица</v>
          </cell>
          <cell r="L15">
            <v>0</v>
          </cell>
          <cell r="P15">
            <v>0</v>
          </cell>
        </row>
        <row r="16">
          <cell r="A16" t="str">
            <v>7216 СОЧНЫЕ СО СЛ.МАСЛ.ПМ пельм пл.0.7кг зам. ОСТАНКИНО</v>
          </cell>
          <cell r="B16" t="str">
            <v>шт</v>
          </cell>
          <cell r="C16">
            <v>102</v>
          </cell>
          <cell r="E16">
            <v>49</v>
          </cell>
          <cell r="F16">
            <v>53</v>
          </cell>
          <cell r="G16">
            <v>0.7</v>
          </cell>
          <cell r="H16">
            <v>180</v>
          </cell>
          <cell r="I16" t="str">
            <v>матрица</v>
          </cell>
          <cell r="K16">
            <v>64</v>
          </cell>
          <cell r="L16">
            <v>-15</v>
          </cell>
          <cell r="O16">
            <v>270</v>
          </cell>
          <cell r="P16">
            <v>9.8000000000000007</v>
          </cell>
          <cell r="R16">
            <v>50</v>
          </cell>
        </row>
        <row r="17">
          <cell r="A17" t="str">
            <v>7085 ОСТАНКИНСКИЕ пельм пл. 0.7кг 10шт.зам.(7085)</v>
          </cell>
          <cell r="B17" t="str">
            <v>шт</v>
          </cell>
          <cell r="G17">
            <v>0.7</v>
          </cell>
          <cell r="I17" t="str">
            <v>РАЗОВО</v>
          </cell>
          <cell r="O17">
            <v>70</v>
          </cell>
          <cell r="P17">
            <v>0</v>
          </cell>
          <cell r="R17">
            <v>40</v>
          </cell>
        </row>
        <row r="18">
          <cell r="A18" t="str">
            <v>6824 ОСТАНКИНСКИЕ пельм кор.0.5кг зам_NEW (6824)</v>
          </cell>
          <cell r="B18" t="str">
            <v>шт</v>
          </cell>
          <cell r="G18">
            <v>0.5</v>
          </cell>
          <cell r="I18" t="str">
            <v>РАЗОВО</v>
          </cell>
          <cell r="O18">
            <v>50</v>
          </cell>
          <cell r="P18">
            <v>0</v>
          </cell>
          <cell r="R18">
            <v>40</v>
          </cell>
        </row>
        <row r="19">
          <cell r="A19" t="str">
            <v>7212 СОЧНЫЕ Папа Может пельм пл.0.42кг зам. (7212)</v>
          </cell>
          <cell r="B19" t="str">
            <v>шт</v>
          </cell>
          <cell r="G19">
            <v>0.42</v>
          </cell>
          <cell r="I19" t="str">
            <v>РАЗОВО</v>
          </cell>
          <cell r="O19">
            <v>70</v>
          </cell>
          <cell r="P19">
            <v>0</v>
          </cell>
          <cell r="R19">
            <v>40</v>
          </cell>
        </row>
        <row r="20">
          <cell r="A20" t="str">
            <v>7214 СОЧНЫЕ Папа Может пельм пл.0.7кг зам. (7214)</v>
          </cell>
          <cell r="B20" t="str">
            <v>шт</v>
          </cell>
          <cell r="G20">
            <v>0.7</v>
          </cell>
          <cell r="I20" t="str">
            <v>РАЗОВО</v>
          </cell>
          <cell r="O20">
            <v>50</v>
          </cell>
          <cell r="P20">
            <v>0</v>
          </cell>
          <cell r="R20">
            <v>40</v>
          </cell>
        </row>
        <row r="21">
          <cell r="A21" t="str">
            <v>7375 СОЧНЫЕ Папа Может пельм 4кг зам. (7375)</v>
          </cell>
          <cell r="B21" t="str">
            <v>кг</v>
          </cell>
          <cell r="G21">
            <v>1</v>
          </cell>
          <cell r="I21" t="str">
            <v>РАЗОВО</v>
          </cell>
          <cell r="O21">
            <v>40</v>
          </cell>
          <cell r="P21">
            <v>0</v>
          </cell>
          <cell r="R21">
            <v>20</v>
          </cell>
        </row>
        <row r="22">
          <cell r="A22" t="str">
            <v>7049 С КАРТОФ.И ГРИБ.вареники пл.0.42кг зам. (7049)</v>
          </cell>
          <cell r="B22" t="str">
            <v>шт</v>
          </cell>
          <cell r="G22">
            <v>0.42</v>
          </cell>
          <cell r="I22" t="str">
            <v>РАЗОВО</v>
          </cell>
          <cell r="O22">
            <v>70</v>
          </cell>
          <cell r="P22">
            <v>0</v>
          </cell>
          <cell r="R22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5" sqref="AF2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8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62</v>
      </c>
      <c r="S3" s="3" t="s">
        <v>60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63</v>
      </c>
      <c r="S4" s="1" t="s">
        <v>61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 t="s">
        <v>35</v>
      </c>
      <c r="C5" s="1"/>
      <c r="D5" s="1"/>
      <c r="E5" s="4">
        <f>SUM(E6:E500)</f>
        <v>244.792</v>
      </c>
      <c r="F5" s="4">
        <f>SUM(F6:F500)</f>
        <v>1185.422</v>
      </c>
      <c r="G5" s="7"/>
      <c r="H5" s="1"/>
      <c r="I5" s="1"/>
      <c r="J5" s="1"/>
      <c r="K5" s="4">
        <f t="shared" ref="K5:S5" si="0">SUM(K6:K500)</f>
        <v>309.5</v>
      </c>
      <c r="L5" s="4">
        <f t="shared" si="0"/>
        <v>-64.707999999999998</v>
      </c>
      <c r="M5" s="4">
        <f t="shared" si="0"/>
        <v>0</v>
      </c>
      <c r="N5" s="4">
        <f t="shared" si="0"/>
        <v>0</v>
      </c>
      <c r="O5" s="4">
        <f t="shared" si="0"/>
        <v>660</v>
      </c>
      <c r="P5" s="4">
        <f t="shared" si="0"/>
        <v>48.958399999999997</v>
      </c>
      <c r="Q5" s="4">
        <f t="shared" si="0"/>
        <v>95</v>
      </c>
      <c r="R5" s="4">
        <f t="shared" si="0"/>
        <v>240</v>
      </c>
      <c r="S5" s="4">
        <f t="shared" si="0"/>
        <v>520</v>
      </c>
      <c r="T5" s="1"/>
      <c r="U5" s="1"/>
      <c r="V5" s="4">
        <f t="shared" ref="V5:AE5" si="1">SUM(V6:V500)</f>
        <v>55.4</v>
      </c>
      <c r="W5" s="4">
        <f t="shared" si="1"/>
        <v>42.512</v>
      </c>
      <c r="X5" s="4">
        <f t="shared" si="1"/>
        <v>34.5184</v>
      </c>
      <c r="Y5" s="4">
        <f t="shared" si="1"/>
        <v>86.467199999999991</v>
      </c>
      <c r="Z5" s="4">
        <f t="shared" si="1"/>
        <v>98.542400000000001</v>
      </c>
      <c r="AA5" s="4">
        <f t="shared" si="1"/>
        <v>62.4</v>
      </c>
      <c r="AB5" s="4">
        <f t="shared" si="1"/>
        <v>83.157199999999989</v>
      </c>
      <c r="AC5" s="4">
        <f t="shared" si="1"/>
        <v>41.506799999999998</v>
      </c>
      <c r="AD5" s="4">
        <f t="shared" si="1"/>
        <v>52.831200000000003</v>
      </c>
      <c r="AE5" s="4">
        <f t="shared" si="1"/>
        <v>108.29999999999998</v>
      </c>
      <c r="AF5" s="1"/>
      <c r="AG5" s="4">
        <f>SUM(AG6:AG500)</f>
        <v>100.5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5"/>
      <c r="S6" s="17"/>
      <c r="T6" s="1" t="e">
        <f>(F6+O6+R6)/P6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2" t="s">
        <v>50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-64.296000000000006</v>
      </c>
      <c r="D7" s="1">
        <v>114.544</v>
      </c>
      <c r="E7" s="1">
        <v>9.1959999999999997</v>
      </c>
      <c r="F7" s="1">
        <v>22.707999999999998</v>
      </c>
      <c r="G7" s="7">
        <v>1</v>
      </c>
      <c r="H7" s="1">
        <v>120</v>
      </c>
      <c r="I7" s="1" t="s">
        <v>36</v>
      </c>
      <c r="J7" s="1"/>
      <c r="K7" s="1">
        <v>37</v>
      </c>
      <c r="L7" s="1">
        <f t="shared" si="2"/>
        <v>-27.804000000000002</v>
      </c>
      <c r="M7" s="1"/>
      <c r="N7" s="1"/>
      <c r="O7" s="1"/>
      <c r="P7" s="1">
        <f t="shared" ref="P7:P16" si="3">E7/5</f>
        <v>1.8391999999999999</v>
      </c>
      <c r="Q7" s="9">
        <v>20</v>
      </c>
      <c r="R7" s="9">
        <v>20</v>
      </c>
      <c r="S7" s="17"/>
      <c r="T7" s="1">
        <f t="shared" ref="T7:T22" si="4">(F7+O7+R7)/P7</f>
        <v>23.220965637233579</v>
      </c>
      <c r="U7" s="1">
        <f t="shared" ref="U7:U16" si="5">(F7+O7)/P7</f>
        <v>12.346672466289691</v>
      </c>
      <c r="V7" s="1">
        <v>0</v>
      </c>
      <c r="W7" s="1">
        <v>0</v>
      </c>
      <c r="X7" s="1">
        <v>0.91839999999999988</v>
      </c>
      <c r="Y7" s="1">
        <v>1.8384</v>
      </c>
      <c r="Z7" s="1">
        <v>1.83</v>
      </c>
      <c r="AA7" s="1">
        <v>0</v>
      </c>
      <c r="AB7" s="1">
        <v>0.91639999999999999</v>
      </c>
      <c r="AC7" s="1">
        <v>0.90679999999999994</v>
      </c>
      <c r="AD7" s="1">
        <v>0.91959999999999997</v>
      </c>
      <c r="AE7" s="1">
        <v>0.9</v>
      </c>
      <c r="AF7" s="10" t="s">
        <v>49</v>
      </c>
      <c r="AG7" s="1">
        <f t="shared" ref="AG7:AG22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179.31</v>
      </c>
      <c r="D8" s="1"/>
      <c r="E8" s="1">
        <v>13.596</v>
      </c>
      <c r="F8" s="1">
        <v>165.714</v>
      </c>
      <c r="G8" s="7">
        <v>1</v>
      </c>
      <c r="H8" s="1">
        <v>120</v>
      </c>
      <c r="I8" s="1" t="s">
        <v>36</v>
      </c>
      <c r="J8" s="1"/>
      <c r="K8" s="1">
        <v>13.5</v>
      </c>
      <c r="L8" s="1">
        <f t="shared" si="2"/>
        <v>9.6000000000000085E-2</v>
      </c>
      <c r="M8" s="1"/>
      <c r="N8" s="1"/>
      <c r="O8" s="1"/>
      <c r="P8" s="1">
        <f t="shared" si="3"/>
        <v>2.7191999999999998</v>
      </c>
      <c r="Q8" s="5"/>
      <c r="R8" s="5"/>
      <c r="S8" s="17"/>
      <c r="T8" s="1">
        <f t="shared" si="4"/>
        <v>60.942188879082089</v>
      </c>
      <c r="U8" s="1">
        <f t="shared" si="5"/>
        <v>60.942188879082089</v>
      </c>
      <c r="V8" s="1">
        <v>0</v>
      </c>
      <c r="W8" s="1">
        <v>0.91199999999999992</v>
      </c>
      <c r="X8" s="1">
        <v>0</v>
      </c>
      <c r="Y8" s="1">
        <v>1.8288</v>
      </c>
      <c r="Z8" s="1">
        <v>0.9124000000000001</v>
      </c>
      <c r="AA8" s="1">
        <v>0.2</v>
      </c>
      <c r="AB8" s="1">
        <v>1.8408</v>
      </c>
      <c r="AC8" s="1">
        <v>0</v>
      </c>
      <c r="AD8" s="1">
        <v>0.91159999999999997</v>
      </c>
      <c r="AE8" s="1">
        <v>0</v>
      </c>
      <c r="AF8" s="12" t="s">
        <v>51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35</v>
      </c>
      <c r="C9" s="1">
        <v>53</v>
      </c>
      <c r="D9" s="1">
        <v>20</v>
      </c>
      <c r="E9" s="1">
        <v>1</v>
      </c>
      <c r="F9" s="1">
        <v>70</v>
      </c>
      <c r="G9" s="7">
        <v>0.42</v>
      </c>
      <c r="H9" s="1">
        <v>120</v>
      </c>
      <c r="I9" s="1" t="s">
        <v>36</v>
      </c>
      <c r="J9" s="1"/>
      <c r="K9" s="1">
        <v>1</v>
      </c>
      <c r="L9" s="1">
        <f t="shared" si="2"/>
        <v>0</v>
      </c>
      <c r="M9" s="1"/>
      <c r="N9" s="1"/>
      <c r="O9" s="1"/>
      <c r="P9" s="1">
        <f t="shared" si="3"/>
        <v>0.2</v>
      </c>
      <c r="Q9" s="5"/>
      <c r="R9" s="5"/>
      <c r="S9" s="17"/>
      <c r="T9" s="1">
        <f t="shared" si="4"/>
        <v>350</v>
      </c>
      <c r="U9" s="1">
        <f t="shared" si="5"/>
        <v>350</v>
      </c>
      <c r="V9" s="1">
        <v>0</v>
      </c>
      <c r="W9" s="1">
        <v>0</v>
      </c>
      <c r="X9" s="1">
        <v>0.2</v>
      </c>
      <c r="Y9" s="1">
        <v>0</v>
      </c>
      <c r="Z9" s="1">
        <v>0.2</v>
      </c>
      <c r="AA9" s="1">
        <v>1.2</v>
      </c>
      <c r="AB9" s="1">
        <v>0</v>
      </c>
      <c r="AC9" s="1">
        <v>0.4</v>
      </c>
      <c r="AD9" s="1">
        <v>0</v>
      </c>
      <c r="AE9" s="1">
        <v>-0.6</v>
      </c>
      <c r="AF9" s="13" t="s">
        <v>41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120</v>
      </c>
      <c r="D10" s="1">
        <v>99</v>
      </c>
      <c r="E10" s="1">
        <v>23</v>
      </c>
      <c r="F10" s="1">
        <v>185</v>
      </c>
      <c r="G10" s="7">
        <v>0.3</v>
      </c>
      <c r="H10" s="1">
        <v>120</v>
      </c>
      <c r="I10" s="1" t="s">
        <v>36</v>
      </c>
      <c r="J10" s="1"/>
      <c r="K10" s="1">
        <v>26</v>
      </c>
      <c r="L10" s="1">
        <f t="shared" si="2"/>
        <v>-3</v>
      </c>
      <c r="M10" s="1"/>
      <c r="N10" s="1"/>
      <c r="O10" s="1"/>
      <c r="P10" s="1">
        <f t="shared" si="3"/>
        <v>4.5999999999999996</v>
      </c>
      <c r="Q10" s="5"/>
      <c r="R10" s="5"/>
      <c r="S10" s="17"/>
      <c r="T10" s="1">
        <f t="shared" si="4"/>
        <v>40.217391304347828</v>
      </c>
      <c r="U10" s="1">
        <f t="shared" si="5"/>
        <v>40.217391304347828</v>
      </c>
      <c r="V10" s="1">
        <v>4.5999999999999996</v>
      </c>
      <c r="W10" s="1">
        <v>3.4</v>
      </c>
      <c r="X10" s="1">
        <v>8.8000000000000007</v>
      </c>
      <c r="Y10" s="1">
        <v>7.8</v>
      </c>
      <c r="Z10" s="1">
        <v>17.2</v>
      </c>
      <c r="AA10" s="1">
        <v>13</v>
      </c>
      <c r="AB10" s="1">
        <v>14.6</v>
      </c>
      <c r="AC10" s="1">
        <v>7.6</v>
      </c>
      <c r="AD10" s="1">
        <v>8.1999999999999993</v>
      </c>
      <c r="AE10" s="1">
        <v>23</v>
      </c>
      <c r="AF10" s="13" t="s">
        <v>41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8</v>
      </c>
      <c r="D11" s="1">
        <v>132</v>
      </c>
      <c r="E11" s="1">
        <v>9</v>
      </c>
      <c r="F11" s="1">
        <v>101</v>
      </c>
      <c r="G11" s="7">
        <v>0.3</v>
      </c>
      <c r="H11" s="1">
        <v>120</v>
      </c>
      <c r="I11" s="1" t="s">
        <v>36</v>
      </c>
      <c r="J11" s="1"/>
      <c r="K11" s="1">
        <v>25</v>
      </c>
      <c r="L11" s="1">
        <f t="shared" si="2"/>
        <v>-16</v>
      </c>
      <c r="M11" s="1"/>
      <c r="N11" s="1"/>
      <c r="O11" s="1">
        <v>20</v>
      </c>
      <c r="P11" s="1">
        <f t="shared" si="3"/>
        <v>1.8</v>
      </c>
      <c r="Q11" s="5"/>
      <c r="R11" s="5">
        <v>30</v>
      </c>
      <c r="S11" s="17">
        <f>VLOOKUP(A11,[1]Sheet!$A:$R,18,0)</f>
        <v>50</v>
      </c>
      <c r="T11" s="1">
        <f t="shared" si="4"/>
        <v>83.888888888888886</v>
      </c>
      <c r="U11" s="1">
        <f t="shared" si="5"/>
        <v>67.222222222222214</v>
      </c>
      <c r="V11" s="1">
        <v>12.2</v>
      </c>
      <c r="W11" s="1">
        <v>12.2</v>
      </c>
      <c r="X11" s="1">
        <v>0.2</v>
      </c>
      <c r="Y11" s="1">
        <v>8.4</v>
      </c>
      <c r="Z11" s="1">
        <v>13.6</v>
      </c>
      <c r="AA11" s="1">
        <v>9</v>
      </c>
      <c r="AB11" s="1">
        <v>10.6</v>
      </c>
      <c r="AC11" s="1">
        <v>5.8</v>
      </c>
      <c r="AD11" s="1">
        <v>8.6</v>
      </c>
      <c r="AE11" s="1">
        <v>19</v>
      </c>
      <c r="AF11" s="1"/>
      <c r="AG11" s="1">
        <f t="shared" si="6"/>
        <v>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168</v>
      </c>
      <c r="D12" s="1">
        <v>98</v>
      </c>
      <c r="E12" s="1">
        <v>37</v>
      </c>
      <c r="F12" s="1">
        <v>214</v>
      </c>
      <c r="G12" s="7">
        <v>0.35</v>
      </c>
      <c r="H12" s="1">
        <v>120</v>
      </c>
      <c r="I12" s="1" t="s">
        <v>36</v>
      </c>
      <c r="J12" s="1"/>
      <c r="K12" s="1">
        <v>41</v>
      </c>
      <c r="L12" s="1">
        <f t="shared" si="2"/>
        <v>-4</v>
      </c>
      <c r="M12" s="1"/>
      <c r="N12" s="1"/>
      <c r="O12" s="1"/>
      <c r="P12" s="1">
        <f t="shared" si="3"/>
        <v>7.4</v>
      </c>
      <c r="Q12" s="5"/>
      <c r="R12" s="5"/>
      <c r="S12" s="17"/>
      <c r="T12" s="1">
        <f t="shared" si="4"/>
        <v>28.918918918918919</v>
      </c>
      <c r="U12" s="1">
        <f t="shared" si="5"/>
        <v>28.918918918918919</v>
      </c>
      <c r="V12" s="1">
        <v>6.4</v>
      </c>
      <c r="W12" s="1">
        <v>10.199999999999999</v>
      </c>
      <c r="X12" s="1">
        <v>9.6</v>
      </c>
      <c r="Y12" s="1">
        <v>14.2</v>
      </c>
      <c r="Z12" s="1">
        <v>24.6</v>
      </c>
      <c r="AA12" s="1">
        <v>16.2</v>
      </c>
      <c r="AB12" s="1">
        <v>18.399999999999999</v>
      </c>
      <c r="AC12" s="1">
        <v>6.6</v>
      </c>
      <c r="AD12" s="1">
        <v>16.2</v>
      </c>
      <c r="AE12" s="1">
        <v>27.4</v>
      </c>
      <c r="AF12" s="13" t="s">
        <v>41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35</v>
      </c>
      <c r="C13" s="1">
        <v>132</v>
      </c>
      <c r="D13" s="1"/>
      <c r="E13" s="1">
        <v>28</v>
      </c>
      <c r="F13" s="1">
        <v>95</v>
      </c>
      <c r="G13" s="7">
        <v>0.3</v>
      </c>
      <c r="H13" s="1">
        <v>120</v>
      </c>
      <c r="I13" s="1" t="s">
        <v>36</v>
      </c>
      <c r="J13" s="1"/>
      <c r="K13" s="1">
        <v>29</v>
      </c>
      <c r="L13" s="1">
        <f t="shared" si="2"/>
        <v>-1</v>
      </c>
      <c r="M13" s="1"/>
      <c r="N13" s="1"/>
      <c r="O13" s="1"/>
      <c r="P13" s="1">
        <f t="shared" si="3"/>
        <v>5.6</v>
      </c>
      <c r="Q13" s="5"/>
      <c r="R13" s="5">
        <v>40</v>
      </c>
      <c r="S13" s="17">
        <f>VLOOKUP(A13,[1]Sheet!$A:$R,18,0)</f>
        <v>50</v>
      </c>
      <c r="T13" s="1">
        <f t="shared" si="4"/>
        <v>24.107142857142858</v>
      </c>
      <c r="U13" s="1">
        <f t="shared" si="5"/>
        <v>16.964285714285715</v>
      </c>
      <c r="V13" s="1">
        <v>0.6</v>
      </c>
      <c r="W13" s="1">
        <v>4.2</v>
      </c>
      <c r="X13" s="1">
        <v>0</v>
      </c>
      <c r="Y13" s="1">
        <v>11.8</v>
      </c>
      <c r="Z13" s="1">
        <v>7.8</v>
      </c>
      <c r="AA13" s="1">
        <v>4.2</v>
      </c>
      <c r="AB13" s="1">
        <v>8.1999999999999993</v>
      </c>
      <c r="AC13" s="1">
        <v>1.4</v>
      </c>
      <c r="AD13" s="1">
        <v>8.1999999999999993</v>
      </c>
      <c r="AE13" s="1">
        <v>7.6</v>
      </c>
      <c r="AF13" s="13" t="s">
        <v>41</v>
      </c>
      <c r="AG13" s="1">
        <f t="shared" si="6"/>
        <v>12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218</v>
      </c>
      <c r="D14" s="1"/>
      <c r="E14" s="1">
        <v>75</v>
      </c>
      <c r="F14" s="1">
        <v>130</v>
      </c>
      <c r="G14" s="7">
        <v>0.35</v>
      </c>
      <c r="H14" s="1">
        <v>120</v>
      </c>
      <c r="I14" s="1" t="s">
        <v>36</v>
      </c>
      <c r="J14" s="1"/>
      <c r="K14" s="1">
        <v>73</v>
      </c>
      <c r="L14" s="1">
        <f t="shared" si="2"/>
        <v>2</v>
      </c>
      <c r="M14" s="1"/>
      <c r="N14" s="1"/>
      <c r="O14" s="1">
        <v>20</v>
      </c>
      <c r="P14" s="1">
        <f t="shared" si="3"/>
        <v>15</v>
      </c>
      <c r="Q14" s="9">
        <f>15*P14-O14-F14</f>
        <v>75</v>
      </c>
      <c r="R14" s="9">
        <v>130</v>
      </c>
      <c r="S14" s="17">
        <f>VLOOKUP(A14,[1]Sheet!$A:$R,18,0)</f>
        <v>150</v>
      </c>
      <c r="T14" s="1">
        <f t="shared" si="4"/>
        <v>18.666666666666668</v>
      </c>
      <c r="U14" s="1">
        <f t="shared" si="5"/>
        <v>10</v>
      </c>
      <c r="V14" s="1">
        <v>13.6</v>
      </c>
      <c r="W14" s="1">
        <v>11.6</v>
      </c>
      <c r="X14" s="1">
        <v>14</v>
      </c>
      <c r="Y14" s="1">
        <v>25.6</v>
      </c>
      <c r="Z14" s="1">
        <v>24.2</v>
      </c>
      <c r="AA14" s="1">
        <v>5</v>
      </c>
      <c r="AB14" s="1">
        <v>22</v>
      </c>
      <c r="AC14" s="1">
        <v>15.8</v>
      </c>
      <c r="AD14" s="1">
        <v>3.2</v>
      </c>
      <c r="AE14" s="1">
        <v>16.8</v>
      </c>
      <c r="AF14" s="1"/>
      <c r="AG14" s="1">
        <f t="shared" si="6"/>
        <v>45.5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35</v>
      </c>
      <c r="C15" s="1">
        <v>99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5"/>
      <c r="S15" s="17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0</v>
      </c>
      <c r="X15" s="1">
        <v>0.4</v>
      </c>
      <c r="Y15" s="1">
        <v>0</v>
      </c>
      <c r="Z15" s="1">
        <v>0.2</v>
      </c>
      <c r="AA15" s="1">
        <v>0</v>
      </c>
      <c r="AB15" s="1">
        <v>0</v>
      </c>
      <c r="AC15" s="1">
        <v>0</v>
      </c>
      <c r="AD15" s="1">
        <v>0</v>
      </c>
      <c r="AE15" s="1">
        <v>0.4</v>
      </c>
      <c r="AF15" s="13" t="s">
        <v>41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35</v>
      </c>
      <c r="C16" s="1">
        <v>102</v>
      </c>
      <c r="D16" s="1"/>
      <c r="E16" s="1">
        <v>49</v>
      </c>
      <c r="F16" s="1">
        <v>53</v>
      </c>
      <c r="G16" s="7">
        <v>0.7</v>
      </c>
      <c r="H16" s="1">
        <v>180</v>
      </c>
      <c r="I16" s="1" t="s">
        <v>36</v>
      </c>
      <c r="J16" s="1"/>
      <c r="K16" s="1">
        <v>64</v>
      </c>
      <c r="L16" s="1">
        <f t="shared" si="2"/>
        <v>-15</v>
      </c>
      <c r="M16" s="1"/>
      <c r="N16" s="1"/>
      <c r="O16" s="1">
        <v>270</v>
      </c>
      <c r="P16" s="1">
        <f t="shared" si="3"/>
        <v>9.8000000000000007</v>
      </c>
      <c r="Q16" s="5"/>
      <c r="R16" s="5">
        <v>20</v>
      </c>
      <c r="S16" s="17">
        <f>VLOOKUP(A16,[1]Sheet!$A:$R,18,0)</f>
        <v>50</v>
      </c>
      <c r="T16" s="1">
        <f t="shared" si="4"/>
        <v>35</v>
      </c>
      <c r="U16" s="1">
        <f t="shared" si="5"/>
        <v>32.959183673469383</v>
      </c>
      <c r="V16" s="1">
        <v>18</v>
      </c>
      <c r="W16" s="1">
        <v>0</v>
      </c>
      <c r="X16" s="1">
        <v>0.4</v>
      </c>
      <c r="Y16" s="1">
        <v>15</v>
      </c>
      <c r="Z16" s="1">
        <v>8</v>
      </c>
      <c r="AA16" s="1">
        <v>13.6</v>
      </c>
      <c r="AB16" s="1">
        <v>6.6</v>
      </c>
      <c r="AC16" s="1">
        <v>3</v>
      </c>
      <c r="AD16" s="1">
        <v>6.6</v>
      </c>
      <c r="AE16" s="1">
        <v>13.8</v>
      </c>
      <c r="AF16" s="11" t="s">
        <v>52</v>
      </c>
      <c r="AG16" s="1">
        <f t="shared" si="6"/>
        <v>14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53</v>
      </c>
      <c r="B17" s="14" t="s">
        <v>35</v>
      </c>
      <c r="C17" s="14"/>
      <c r="D17" s="14"/>
      <c r="E17" s="14"/>
      <c r="F17" s="14"/>
      <c r="G17" s="15">
        <v>0.7</v>
      </c>
      <c r="H17" s="14"/>
      <c r="I17" s="14" t="s">
        <v>59</v>
      </c>
      <c r="J17" s="14"/>
      <c r="K17" s="14"/>
      <c r="L17" s="14"/>
      <c r="M17" s="14"/>
      <c r="N17" s="14"/>
      <c r="O17" s="14">
        <v>70</v>
      </c>
      <c r="P17" s="14">
        <f t="shared" ref="P17:P22" si="7">E17/5</f>
        <v>0</v>
      </c>
      <c r="Q17" s="16"/>
      <c r="R17" s="16"/>
      <c r="S17" s="17">
        <f>VLOOKUP(A17,[1]Sheet!$A:$R,18,0)</f>
        <v>40</v>
      </c>
      <c r="T17" s="1" t="e">
        <f t="shared" si="4"/>
        <v>#DIV/0!</v>
      </c>
      <c r="U17" s="14" t="e">
        <f t="shared" ref="U17:U22" si="8">(F17+O17)/P17</f>
        <v>#DIV/0!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54</v>
      </c>
      <c r="B18" s="14" t="s">
        <v>35</v>
      </c>
      <c r="C18" s="14"/>
      <c r="D18" s="14"/>
      <c r="E18" s="14"/>
      <c r="F18" s="14"/>
      <c r="G18" s="15">
        <v>0.5</v>
      </c>
      <c r="H18" s="14"/>
      <c r="I18" s="14" t="s">
        <v>59</v>
      </c>
      <c r="J18" s="14"/>
      <c r="K18" s="14"/>
      <c r="L18" s="14"/>
      <c r="M18" s="14"/>
      <c r="N18" s="14"/>
      <c r="O18" s="14">
        <v>50</v>
      </c>
      <c r="P18" s="14">
        <f t="shared" si="7"/>
        <v>0</v>
      </c>
      <c r="Q18" s="16"/>
      <c r="R18" s="16"/>
      <c r="S18" s="17">
        <f>VLOOKUP(A18,[1]Sheet!$A:$R,18,0)</f>
        <v>40</v>
      </c>
      <c r="T18" s="1" t="e">
        <f t="shared" si="4"/>
        <v>#DIV/0!</v>
      </c>
      <c r="U18" s="14" t="e">
        <f t="shared" si="8"/>
        <v>#DIV/0!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55</v>
      </c>
      <c r="B19" s="14" t="s">
        <v>35</v>
      </c>
      <c r="C19" s="14"/>
      <c r="D19" s="14"/>
      <c r="E19" s="14"/>
      <c r="F19" s="14"/>
      <c r="G19" s="15">
        <v>0.42</v>
      </c>
      <c r="H19" s="14"/>
      <c r="I19" s="14" t="s">
        <v>59</v>
      </c>
      <c r="J19" s="14"/>
      <c r="K19" s="14"/>
      <c r="L19" s="14"/>
      <c r="M19" s="14"/>
      <c r="N19" s="14"/>
      <c r="O19" s="14">
        <v>70</v>
      </c>
      <c r="P19" s="14">
        <f t="shared" si="7"/>
        <v>0</v>
      </c>
      <c r="Q19" s="16"/>
      <c r="R19" s="16"/>
      <c r="S19" s="17">
        <f>VLOOKUP(A19,[1]Sheet!$A:$R,18,0)</f>
        <v>40</v>
      </c>
      <c r="T19" s="1" t="e">
        <f t="shared" si="4"/>
        <v>#DIV/0!</v>
      </c>
      <c r="U19" s="14" t="e">
        <f t="shared" si="8"/>
        <v>#DIV/0!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/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56</v>
      </c>
      <c r="B20" s="14" t="s">
        <v>35</v>
      </c>
      <c r="C20" s="14"/>
      <c r="D20" s="14"/>
      <c r="E20" s="14"/>
      <c r="F20" s="14"/>
      <c r="G20" s="15">
        <v>0.7</v>
      </c>
      <c r="H20" s="14"/>
      <c r="I20" s="14" t="s">
        <v>59</v>
      </c>
      <c r="J20" s="14"/>
      <c r="K20" s="14"/>
      <c r="L20" s="14"/>
      <c r="M20" s="14"/>
      <c r="N20" s="14"/>
      <c r="O20" s="14">
        <v>50</v>
      </c>
      <c r="P20" s="14">
        <f t="shared" si="7"/>
        <v>0</v>
      </c>
      <c r="Q20" s="16"/>
      <c r="R20" s="16"/>
      <c r="S20" s="17">
        <f>VLOOKUP(A20,[1]Sheet!$A:$R,18,0)</f>
        <v>40</v>
      </c>
      <c r="T20" s="1" t="e">
        <f t="shared" si="4"/>
        <v>#DIV/0!</v>
      </c>
      <c r="U20" s="14" t="e">
        <f t="shared" si="8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57</v>
      </c>
      <c r="B21" s="14" t="s">
        <v>38</v>
      </c>
      <c r="C21" s="14"/>
      <c r="D21" s="14"/>
      <c r="E21" s="14"/>
      <c r="F21" s="14"/>
      <c r="G21" s="15">
        <v>1</v>
      </c>
      <c r="H21" s="14"/>
      <c r="I21" s="14" t="s">
        <v>59</v>
      </c>
      <c r="J21" s="14"/>
      <c r="K21" s="14"/>
      <c r="L21" s="14"/>
      <c r="M21" s="14"/>
      <c r="N21" s="14"/>
      <c r="O21" s="14">
        <v>40</v>
      </c>
      <c r="P21" s="14">
        <f t="shared" si="7"/>
        <v>0</v>
      </c>
      <c r="Q21" s="16"/>
      <c r="R21" s="16"/>
      <c r="S21" s="17">
        <f>VLOOKUP(A21,[1]Sheet!$A:$R,18,0)</f>
        <v>20</v>
      </c>
      <c r="T21" s="1" t="e">
        <f t="shared" si="4"/>
        <v>#DIV/0!</v>
      </c>
      <c r="U21" s="14" t="e">
        <f t="shared" si="8"/>
        <v>#DIV/0!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/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58</v>
      </c>
      <c r="B22" s="14" t="s">
        <v>35</v>
      </c>
      <c r="C22" s="14"/>
      <c r="D22" s="14"/>
      <c r="E22" s="14"/>
      <c r="F22" s="14"/>
      <c r="G22" s="15">
        <v>0.42</v>
      </c>
      <c r="H22" s="14"/>
      <c r="I22" s="14" t="s">
        <v>59</v>
      </c>
      <c r="J22" s="14"/>
      <c r="K22" s="14"/>
      <c r="L22" s="14"/>
      <c r="M22" s="14"/>
      <c r="N22" s="14"/>
      <c r="O22" s="14">
        <v>70</v>
      </c>
      <c r="P22" s="14">
        <f t="shared" si="7"/>
        <v>0</v>
      </c>
      <c r="Q22" s="16"/>
      <c r="R22" s="16"/>
      <c r="S22" s="17">
        <f>VLOOKUP(A22,[1]Sheet!$A:$R,18,0)</f>
        <v>40</v>
      </c>
      <c r="T22" s="1" t="e">
        <f t="shared" si="4"/>
        <v>#DIV/0!</v>
      </c>
      <c r="U22" s="14" t="e">
        <f t="shared" si="8"/>
        <v>#DIV/0!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22" xr:uid="{9C361B4C-6AAF-433E-9EA2-08913D38131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2026-10-12T16:16:28Z</dcterms:created>
  <dcterms:modified xsi:type="dcterms:W3CDTF">2026-10-14T11:44:35Z</dcterms:modified>
</cp:coreProperties>
</file>