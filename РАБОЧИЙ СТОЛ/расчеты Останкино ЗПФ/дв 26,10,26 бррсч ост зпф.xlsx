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5332C57F-06F7-4595-83B1-630EC5F8A8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Sheet!$A$3:$AE$23</definedName>
  </definedNames>
  <calcPr calcId="191029"/>
</workbook>
</file>

<file path=xl/calcChain.xml><?xml version="1.0" encoding="utf-8"?>
<calcChain xmlns="http://schemas.openxmlformats.org/spreadsheetml/2006/main">
  <c r="Q20" i="1" l="1"/>
  <c r="R20" i="1" s="1"/>
  <c r="Q17" i="1"/>
  <c r="Q16" i="1"/>
  <c r="Q7" i="1"/>
  <c r="Q22" i="1"/>
  <c r="AE22" i="1" s="1"/>
  <c r="R21" i="1"/>
  <c r="S20" i="1"/>
  <c r="S22" i="1"/>
  <c r="P7" i="1"/>
  <c r="P8" i="1"/>
  <c r="S8" i="1" s="1"/>
  <c r="P9" i="1"/>
  <c r="P10" i="1"/>
  <c r="P11" i="1"/>
  <c r="Q11" i="1" s="1"/>
  <c r="R11" i="1" s="1"/>
  <c r="P12" i="1"/>
  <c r="P13" i="1"/>
  <c r="Q13" i="1" s="1"/>
  <c r="P14" i="1"/>
  <c r="P15" i="1"/>
  <c r="P16" i="1"/>
  <c r="P17" i="1"/>
  <c r="P18" i="1"/>
  <c r="Q18" i="1" s="1"/>
  <c r="P19" i="1"/>
  <c r="S19" i="1" s="1"/>
  <c r="P20" i="1"/>
  <c r="P21" i="1"/>
  <c r="S21" i="1" s="1"/>
  <c r="P22" i="1"/>
  <c r="P23" i="1"/>
  <c r="S23" i="1" s="1"/>
  <c r="P6" i="1"/>
  <c r="S6" i="1" s="1"/>
  <c r="L23" i="1"/>
  <c r="L22" i="1"/>
  <c r="L21" i="1"/>
  <c r="L20" i="1"/>
  <c r="AE19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8" i="1" l="1"/>
  <c r="AE18" i="1"/>
  <c r="S18" i="1"/>
  <c r="S7" i="1"/>
  <c r="R6" i="1"/>
  <c r="R23" i="1"/>
  <c r="R19" i="1"/>
  <c r="R10" i="1"/>
  <c r="AE10" i="1"/>
  <c r="AE13" i="1"/>
  <c r="R13" i="1"/>
  <c r="AE14" i="1"/>
  <c r="R14" i="1"/>
  <c r="R9" i="1"/>
  <c r="AE9" i="1"/>
  <c r="R17" i="1"/>
  <c r="AE17" i="1"/>
  <c r="AE16" i="1"/>
  <c r="R16" i="1"/>
  <c r="R12" i="1"/>
  <c r="AE12" i="1"/>
  <c r="AE7" i="1"/>
  <c r="R7" i="1"/>
  <c r="AE15" i="1"/>
  <c r="R15" i="1"/>
  <c r="S17" i="1"/>
  <c r="S16" i="1"/>
  <c r="S15" i="1"/>
  <c r="AE20" i="1"/>
  <c r="S14" i="1"/>
  <c r="AE21" i="1"/>
  <c r="S13" i="1"/>
  <c r="S12" i="1"/>
  <c r="S11" i="1"/>
  <c r="S10" i="1"/>
  <c r="S9" i="1"/>
  <c r="AE23" i="1"/>
  <c r="R22" i="1"/>
  <c r="AE11" i="1"/>
  <c r="P5" i="1"/>
  <c r="L5" i="1"/>
  <c r="R8" i="1" l="1"/>
  <c r="AE8" i="1"/>
  <c r="AE5" i="1" s="1"/>
  <c r="Q5" i="1"/>
</calcChain>
</file>

<file path=xl/sharedStrings.xml><?xml version="1.0" encoding="utf-8"?>
<sst xmlns="http://schemas.openxmlformats.org/spreadsheetml/2006/main" count="104" uniqueCount="59">
  <si>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</si>
  <si>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</si>
  <si>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</si>
  <si>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</si>
  <si>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</si>
  <si>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</si>
  <si>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</si>
  <si>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</si>
  <si>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</si>
  <si>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</si>
  <si>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</si>
  <si>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</si>
  <si>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</si>
  <si>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</si>
  <si>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</si>
  <si>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</si>
  <si>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</si>
  <si>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</si>
  <si>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</si>
  <si>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</si>
  <si>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</si>
  <si>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</si>
  <si>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27,10,</t>
  </si>
  <si>
    <t>26,10,</t>
  </si>
  <si>
    <t>19,10,</t>
  </si>
  <si>
    <t>12,10,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</si>
  <si>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</si>
  <si>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</si>
  <si>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</si>
  <si>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</si>
  <si>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</si>
  <si>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</si>
  <si>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</si>
  <si>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</si>
  <si>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</si>
  <si>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</si>
  <si>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</si>
  <si>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</si>
  <si>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</si>
  <si>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138кг в уценку (25,09,26)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</si>
  <si>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</si>
  <si>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</si>
  <si>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</si>
  <si>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</si>
  <si>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</si>
  <si>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</si>
  <si>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</si>
  <si>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</si>
  <si>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</si>
  <si>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</si>
  <si>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</si>
  <si>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</si>
  <si>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</si>
  <si>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</si>
  <si>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</si>
  <si>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</si>
  <si>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</si>
  <si>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</si>
  <si>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131кг в уценку (25,09,26)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</si>
</sst>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5" fillId="4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2" sqref="AD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8.425781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470.44400000000002</v>
      </c>
      <c r="F5" s="4">
        <f>SUM(F6:F500)</f>
        <v>881.90600000000006</v>
      </c>
      <c r="G5" s="7"/>
      <c r="H5" s="1"/>
      <c r="I5" s="1"/>
      <c r="J5" s="1"/>
      <c r="K5" s="4">
        <f t="shared" ref="K5:Q5" si="0">SUM(K6:K500)</f>
        <v>724</v>
      </c>
      <c r="L5" s="4">
        <f t="shared" si="0"/>
        <v>-253.55599999999998</v>
      </c>
      <c r="M5" s="4">
        <f t="shared" si="0"/>
        <v>0</v>
      </c>
      <c r="N5" s="4">
        <f t="shared" si="0"/>
        <v>0</v>
      </c>
      <c r="O5" s="4">
        <f t="shared" si="0"/>
        <v>1060</v>
      </c>
      <c r="P5" s="4">
        <f t="shared" si="0"/>
        <v>94.08880000000002</v>
      </c>
      <c r="Q5" s="4">
        <f t="shared" si="0"/>
        <v>407.14920000000006</v>
      </c>
      <c r="R5" s="1"/>
      <c r="S5" s="1"/>
      <c r="T5" s="4">
        <f t="shared" ref="T5:AC5" si="1">SUM(T6:T500)</f>
        <v>133.8708</v>
      </c>
      <c r="U5" s="4">
        <f t="shared" si="1"/>
        <v>48.958399999999997</v>
      </c>
      <c r="V5" s="4">
        <f t="shared" si="1"/>
        <v>55.4</v>
      </c>
      <c r="W5" s="4">
        <f t="shared" si="1"/>
        <v>42.512</v>
      </c>
      <c r="X5" s="4">
        <f t="shared" si="1"/>
        <v>34.5184</v>
      </c>
      <c r="Y5" s="4">
        <f t="shared" si="1"/>
        <v>86.467199999999991</v>
      </c>
      <c r="Z5" s="4">
        <f t="shared" si="1"/>
        <v>98.542400000000001</v>
      </c>
      <c r="AA5" s="4">
        <f t="shared" si="1"/>
        <v>62.4</v>
      </c>
      <c r="AB5" s="4">
        <f t="shared" si="1"/>
        <v>83.157199999999989</v>
      </c>
      <c r="AC5" s="4">
        <f t="shared" si="1"/>
        <v>41.506799999999998</v>
      </c>
      <c r="AD5" s="1"/>
      <c r="AE5" s="4">
        <f>SUM(AE6:AE500)</f>
        <v>219.32520000000002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23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9" t="s">
        <v>57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8.9320000000000004</v>
      </c>
      <c r="D7" s="1">
        <v>22.826000000000001</v>
      </c>
      <c r="E7" s="1">
        <v>22.942</v>
      </c>
      <c r="F7" s="1">
        <v>-0.3</v>
      </c>
      <c r="G7" s="7">
        <v>1</v>
      </c>
      <c r="H7" s="1">
        <v>120</v>
      </c>
      <c r="I7" s="1" t="s">
        <v>36</v>
      </c>
      <c r="J7" s="1"/>
      <c r="K7" s="1">
        <v>22.5</v>
      </c>
      <c r="L7" s="1">
        <f t="shared" si="2"/>
        <v>0.44200000000000017</v>
      </c>
      <c r="M7" s="1"/>
      <c r="N7" s="1"/>
      <c r="O7" s="1">
        <v>20</v>
      </c>
      <c r="P7" s="1">
        <f t="shared" ref="P7:P23" si="3">E7/5</f>
        <v>4.5884</v>
      </c>
      <c r="Q7" s="5">
        <f>13*P7-O7-F7</f>
        <v>39.949199999999998</v>
      </c>
      <c r="R7" s="1">
        <f t="shared" ref="R7:R23" si="4">(F7+O7+Q7)/P7</f>
        <v>12.999999999999998</v>
      </c>
      <c r="S7" s="1">
        <f t="shared" ref="S7:S23" si="5">(F7+O7)/P7</f>
        <v>4.2934356202597854</v>
      </c>
      <c r="T7" s="1">
        <v>2.7551999999999999</v>
      </c>
      <c r="U7" s="1">
        <v>1.8391999999999999</v>
      </c>
      <c r="V7" s="1">
        <v>0</v>
      </c>
      <c r="W7" s="1">
        <v>0</v>
      </c>
      <c r="X7" s="1">
        <v>0.91839999999999988</v>
      </c>
      <c r="Y7" s="1">
        <v>1.8384</v>
      </c>
      <c r="Z7" s="1">
        <v>1.83</v>
      </c>
      <c r="AA7" s="1">
        <v>0</v>
      </c>
      <c r="AB7" s="1">
        <v>0.91639999999999999</v>
      </c>
      <c r="AC7" s="1">
        <v>0.90679999999999994</v>
      </c>
      <c r="AD7" s="1" t="s">
        <v>39</v>
      </c>
      <c r="AE7" s="1">
        <f>G7*Q7</f>
        <v>39.949199999999998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38</v>
      </c>
      <c r="C8" s="1">
        <v>161.136</v>
      </c>
      <c r="D8" s="1"/>
      <c r="E8" s="1">
        <v>4.5019999999999998</v>
      </c>
      <c r="F8" s="1">
        <v>156.63399999999999</v>
      </c>
      <c r="G8" s="7">
        <v>1</v>
      </c>
      <c r="H8" s="1">
        <v>120</v>
      </c>
      <c r="I8" s="1" t="s">
        <v>36</v>
      </c>
      <c r="J8" s="1"/>
      <c r="K8" s="1">
        <v>4.5</v>
      </c>
      <c r="L8" s="1">
        <f t="shared" si="2"/>
        <v>1.9999999999997797E-3</v>
      </c>
      <c r="M8" s="1"/>
      <c r="N8" s="1"/>
      <c r="O8" s="1"/>
      <c r="P8" s="1">
        <f t="shared" si="3"/>
        <v>0.90039999999999998</v>
      </c>
      <c r="Q8" s="5"/>
      <c r="R8" s="1">
        <f t="shared" si="4"/>
        <v>173.96046201688137</v>
      </c>
      <c r="S8" s="1">
        <f t="shared" si="5"/>
        <v>173.96046201688137</v>
      </c>
      <c r="T8" s="1">
        <v>0.91560000000000008</v>
      </c>
      <c r="U8" s="1">
        <v>2.7191999999999998</v>
      </c>
      <c r="V8" s="1">
        <v>0</v>
      </c>
      <c r="W8" s="1">
        <v>0.91199999999999992</v>
      </c>
      <c r="X8" s="1">
        <v>0</v>
      </c>
      <c r="Y8" s="1">
        <v>1.8288</v>
      </c>
      <c r="Z8" s="1">
        <v>0.9124000000000001</v>
      </c>
      <c r="AA8" s="1">
        <v>0.2</v>
      </c>
      <c r="AB8" s="1">
        <v>1.8408</v>
      </c>
      <c r="AC8" s="1">
        <v>0</v>
      </c>
      <c r="AD8" s="9" t="s">
        <v>58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35</v>
      </c>
      <c r="C9" s="1">
        <v>70</v>
      </c>
      <c r="D9" s="1"/>
      <c r="E9" s="1"/>
      <c r="F9" s="1">
        <v>70</v>
      </c>
      <c r="G9" s="7">
        <v>0.42</v>
      </c>
      <c r="H9" s="1">
        <v>120</v>
      </c>
      <c r="I9" s="1" t="s">
        <v>36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0.4</v>
      </c>
      <c r="U9" s="1">
        <v>0.2</v>
      </c>
      <c r="V9" s="1">
        <v>0</v>
      </c>
      <c r="W9" s="1">
        <v>0</v>
      </c>
      <c r="X9" s="1">
        <v>0.2</v>
      </c>
      <c r="Y9" s="1">
        <v>0</v>
      </c>
      <c r="Z9" s="1">
        <v>0.2</v>
      </c>
      <c r="AA9" s="1">
        <v>1.2</v>
      </c>
      <c r="AB9" s="1">
        <v>0</v>
      </c>
      <c r="AC9" s="1">
        <v>0.4</v>
      </c>
      <c r="AD9" s="10" t="s">
        <v>42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35</v>
      </c>
      <c r="C10" s="1"/>
      <c r="D10" s="1">
        <v>36</v>
      </c>
      <c r="E10" s="1"/>
      <c r="F10" s="1"/>
      <c r="G10" s="7">
        <v>0.3</v>
      </c>
      <c r="H10" s="1">
        <v>120</v>
      </c>
      <c r="I10" s="1" t="s">
        <v>36</v>
      </c>
      <c r="J10" s="1"/>
      <c r="K10" s="1">
        <v>116</v>
      </c>
      <c r="L10" s="1">
        <f t="shared" si="2"/>
        <v>-116</v>
      </c>
      <c r="M10" s="1"/>
      <c r="N10" s="1"/>
      <c r="O10" s="1">
        <v>310</v>
      </c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38.4</v>
      </c>
      <c r="U10" s="1">
        <v>4.5999999999999996</v>
      </c>
      <c r="V10" s="1">
        <v>4.5999999999999996</v>
      </c>
      <c r="W10" s="1">
        <v>3.4</v>
      </c>
      <c r="X10" s="1">
        <v>8.8000000000000007</v>
      </c>
      <c r="Y10" s="1">
        <v>7.8</v>
      </c>
      <c r="Z10" s="1">
        <v>17.2</v>
      </c>
      <c r="AA10" s="1">
        <v>13</v>
      </c>
      <c r="AB10" s="1">
        <v>14.6</v>
      </c>
      <c r="AC10" s="1">
        <v>7.6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35</v>
      </c>
      <c r="C11" s="1">
        <v>86</v>
      </c>
      <c r="D11" s="1">
        <v>24</v>
      </c>
      <c r="E11" s="1">
        <v>47</v>
      </c>
      <c r="F11" s="1">
        <v>44</v>
      </c>
      <c r="G11" s="7">
        <v>0.3</v>
      </c>
      <c r="H11" s="1">
        <v>120</v>
      </c>
      <c r="I11" s="1" t="s">
        <v>36</v>
      </c>
      <c r="J11" s="1"/>
      <c r="K11" s="1">
        <v>45</v>
      </c>
      <c r="L11" s="1">
        <f t="shared" si="2"/>
        <v>2</v>
      </c>
      <c r="M11" s="1"/>
      <c r="N11" s="1"/>
      <c r="O11" s="1">
        <v>70</v>
      </c>
      <c r="P11" s="1">
        <f t="shared" si="3"/>
        <v>9.4</v>
      </c>
      <c r="Q11" s="5">
        <f t="shared" ref="Q7:Q23" si="6">14*P11-O11-F11</f>
        <v>17.599999999999994</v>
      </c>
      <c r="R11" s="1">
        <f t="shared" si="4"/>
        <v>13.999999999999998</v>
      </c>
      <c r="S11" s="1">
        <f t="shared" si="5"/>
        <v>12.127659574468085</v>
      </c>
      <c r="T11" s="1">
        <v>11.4</v>
      </c>
      <c r="U11" s="1">
        <v>1.8</v>
      </c>
      <c r="V11" s="1">
        <v>12.2</v>
      </c>
      <c r="W11" s="1">
        <v>12.2</v>
      </c>
      <c r="X11" s="1">
        <v>0.2</v>
      </c>
      <c r="Y11" s="1">
        <v>8.4</v>
      </c>
      <c r="Z11" s="1">
        <v>13.6</v>
      </c>
      <c r="AA11" s="1">
        <v>9</v>
      </c>
      <c r="AB11" s="1">
        <v>10.6</v>
      </c>
      <c r="AC11" s="1">
        <v>5.8</v>
      </c>
      <c r="AD11" s="1"/>
      <c r="AE11" s="1">
        <f>G11*Q11</f>
        <v>5.2799999999999985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35</v>
      </c>
      <c r="C12" s="1">
        <v>31</v>
      </c>
      <c r="D12" s="1">
        <v>12</v>
      </c>
      <c r="E12" s="1">
        <v>19</v>
      </c>
      <c r="F12" s="1">
        <v>10</v>
      </c>
      <c r="G12" s="7">
        <v>0.35</v>
      </c>
      <c r="H12" s="1">
        <v>120</v>
      </c>
      <c r="I12" s="1" t="s">
        <v>36</v>
      </c>
      <c r="J12" s="1"/>
      <c r="K12" s="1">
        <v>119</v>
      </c>
      <c r="L12" s="1">
        <f t="shared" si="2"/>
        <v>-100</v>
      </c>
      <c r="M12" s="1"/>
      <c r="N12" s="1"/>
      <c r="O12" s="1">
        <v>330</v>
      </c>
      <c r="P12" s="1">
        <f t="shared" si="3"/>
        <v>3.8</v>
      </c>
      <c r="Q12" s="5"/>
      <c r="R12" s="1">
        <f t="shared" si="4"/>
        <v>89.473684210526315</v>
      </c>
      <c r="S12" s="1">
        <f t="shared" si="5"/>
        <v>89.473684210526315</v>
      </c>
      <c r="T12" s="1">
        <v>38.799999999999997</v>
      </c>
      <c r="U12" s="1">
        <v>7.4</v>
      </c>
      <c r="V12" s="1">
        <v>6.4</v>
      </c>
      <c r="W12" s="1">
        <v>10.199999999999999</v>
      </c>
      <c r="X12" s="1">
        <v>9.6</v>
      </c>
      <c r="Y12" s="1">
        <v>14.2</v>
      </c>
      <c r="Z12" s="1">
        <v>24.6</v>
      </c>
      <c r="AA12" s="1">
        <v>16.2</v>
      </c>
      <c r="AB12" s="1">
        <v>18.399999999999999</v>
      </c>
      <c r="AC12" s="1">
        <v>6.6</v>
      </c>
      <c r="AD12" s="1"/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35</v>
      </c>
      <c r="C13" s="1">
        <v>62</v>
      </c>
      <c r="D13" s="1">
        <v>36</v>
      </c>
      <c r="E13" s="1">
        <v>36</v>
      </c>
      <c r="F13" s="1">
        <v>48</v>
      </c>
      <c r="G13" s="7">
        <v>0.3</v>
      </c>
      <c r="H13" s="1">
        <v>120</v>
      </c>
      <c r="I13" s="1" t="s">
        <v>36</v>
      </c>
      <c r="J13" s="1"/>
      <c r="K13" s="1">
        <v>34</v>
      </c>
      <c r="L13" s="1">
        <f t="shared" si="2"/>
        <v>2</v>
      </c>
      <c r="M13" s="1"/>
      <c r="N13" s="1"/>
      <c r="O13" s="1">
        <v>30</v>
      </c>
      <c r="P13" s="1">
        <f t="shared" si="3"/>
        <v>7.2</v>
      </c>
      <c r="Q13" s="5">
        <f t="shared" si="6"/>
        <v>22.799999999999997</v>
      </c>
      <c r="R13" s="1">
        <f t="shared" si="4"/>
        <v>14</v>
      </c>
      <c r="S13" s="1">
        <f t="shared" si="5"/>
        <v>10.833333333333334</v>
      </c>
      <c r="T13" s="1">
        <v>8</v>
      </c>
      <c r="U13" s="1">
        <v>5.6</v>
      </c>
      <c r="V13" s="1">
        <v>0.6</v>
      </c>
      <c r="W13" s="1">
        <v>4.2</v>
      </c>
      <c r="X13" s="1">
        <v>0</v>
      </c>
      <c r="Y13" s="1">
        <v>11.8</v>
      </c>
      <c r="Z13" s="1">
        <v>7.8</v>
      </c>
      <c r="AA13" s="1">
        <v>4.2</v>
      </c>
      <c r="AB13" s="1">
        <v>8.1999999999999993</v>
      </c>
      <c r="AC13" s="1">
        <v>1.4</v>
      </c>
      <c r="AD13" s="1"/>
      <c r="AE13" s="1">
        <f>G13*Q13</f>
        <v>6.839999999999999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35</v>
      </c>
      <c r="C14" s="1"/>
      <c r="D14" s="1">
        <v>120</v>
      </c>
      <c r="E14" s="1">
        <v>101</v>
      </c>
      <c r="F14" s="1">
        <v>-6</v>
      </c>
      <c r="G14" s="7">
        <v>0.35</v>
      </c>
      <c r="H14" s="1">
        <v>120</v>
      </c>
      <c r="I14" s="1" t="s">
        <v>36</v>
      </c>
      <c r="J14" s="1"/>
      <c r="K14" s="1">
        <v>143</v>
      </c>
      <c r="L14" s="1">
        <f t="shared" si="2"/>
        <v>-42</v>
      </c>
      <c r="M14" s="1"/>
      <c r="N14" s="1"/>
      <c r="O14" s="1">
        <v>300</v>
      </c>
      <c r="P14" s="1">
        <f t="shared" si="3"/>
        <v>20.2</v>
      </c>
      <c r="Q14" s="5"/>
      <c r="R14" s="1">
        <f t="shared" si="4"/>
        <v>14.554455445544555</v>
      </c>
      <c r="S14" s="1">
        <f t="shared" si="5"/>
        <v>14.554455445544555</v>
      </c>
      <c r="T14" s="1">
        <v>31</v>
      </c>
      <c r="U14" s="1">
        <v>15</v>
      </c>
      <c r="V14" s="1">
        <v>13.6</v>
      </c>
      <c r="W14" s="1">
        <v>11.6</v>
      </c>
      <c r="X14" s="1">
        <v>14</v>
      </c>
      <c r="Y14" s="1">
        <v>25.6</v>
      </c>
      <c r="Z14" s="1">
        <v>24.2</v>
      </c>
      <c r="AA14" s="1">
        <v>5</v>
      </c>
      <c r="AB14" s="1">
        <v>22</v>
      </c>
      <c r="AC14" s="1">
        <v>15.8</v>
      </c>
      <c r="AD14" s="1"/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35</v>
      </c>
      <c r="C15" s="1">
        <v>97</v>
      </c>
      <c r="D15" s="1"/>
      <c r="E15" s="1"/>
      <c r="F15" s="1">
        <v>97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0.4</v>
      </c>
      <c r="U15" s="1">
        <v>0</v>
      </c>
      <c r="V15" s="1">
        <v>0</v>
      </c>
      <c r="W15" s="1">
        <v>0</v>
      </c>
      <c r="X15" s="1">
        <v>0.4</v>
      </c>
      <c r="Y15" s="1">
        <v>0</v>
      </c>
      <c r="Z15" s="1">
        <v>0.2</v>
      </c>
      <c r="AA15" s="1">
        <v>0</v>
      </c>
      <c r="AB15" s="1">
        <v>0</v>
      </c>
      <c r="AC15" s="1">
        <v>0</v>
      </c>
      <c r="AD15" s="10" t="s">
        <v>42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35</v>
      </c>
      <c r="C16" s="1">
        <v>48</v>
      </c>
      <c r="D16" s="1"/>
      <c r="E16" s="1">
        <v>43</v>
      </c>
      <c r="F16" s="1">
        <v>4</v>
      </c>
      <c r="G16" s="7">
        <v>0.5</v>
      </c>
      <c r="H16" s="1">
        <v>180</v>
      </c>
      <c r="I16" s="1" t="s">
        <v>36</v>
      </c>
      <c r="J16" s="1"/>
      <c r="K16" s="1">
        <v>43</v>
      </c>
      <c r="L16" s="1">
        <f t="shared" si="2"/>
        <v>0</v>
      </c>
      <c r="M16" s="1"/>
      <c r="N16" s="1"/>
      <c r="O16" s="1"/>
      <c r="P16" s="1">
        <f t="shared" si="3"/>
        <v>8.6</v>
      </c>
      <c r="Q16" s="5">
        <f>9*P16-O16-F16</f>
        <v>73.399999999999991</v>
      </c>
      <c r="R16" s="1">
        <f t="shared" si="4"/>
        <v>9</v>
      </c>
      <c r="S16" s="1">
        <f t="shared" si="5"/>
        <v>0.46511627906976744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/>
      <c r="AE16" s="1">
        <f>G16*Q16</f>
        <v>36.699999999999996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35</v>
      </c>
      <c r="C17" s="1">
        <v>70</v>
      </c>
      <c r="D17" s="1"/>
      <c r="E17" s="1">
        <v>44</v>
      </c>
      <c r="F17" s="1">
        <v>17</v>
      </c>
      <c r="G17" s="7">
        <v>0.42</v>
      </c>
      <c r="H17" s="1">
        <v>120</v>
      </c>
      <c r="I17" s="1" t="s">
        <v>36</v>
      </c>
      <c r="J17" s="1"/>
      <c r="K17" s="1">
        <v>44</v>
      </c>
      <c r="L17" s="1">
        <f t="shared" si="2"/>
        <v>0</v>
      </c>
      <c r="M17" s="1"/>
      <c r="N17" s="1"/>
      <c r="O17" s="1"/>
      <c r="P17" s="1">
        <f t="shared" si="3"/>
        <v>8.8000000000000007</v>
      </c>
      <c r="Q17" s="5">
        <f>11*P17-O17-F17</f>
        <v>79.800000000000011</v>
      </c>
      <c r="R17" s="1">
        <f t="shared" si="4"/>
        <v>11</v>
      </c>
      <c r="S17" s="1">
        <f t="shared" si="5"/>
        <v>1.9318181818181817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/>
      <c r="AE17" s="1">
        <f>G17*Q17</f>
        <v>33.516000000000005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35</v>
      </c>
      <c r="C18" s="1">
        <v>20</v>
      </c>
      <c r="D18" s="1"/>
      <c r="E18" s="1">
        <v>17</v>
      </c>
      <c r="F18" s="1"/>
      <c r="G18" s="7">
        <v>0.7</v>
      </c>
      <c r="H18" s="1">
        <v>180</v>
      </c>
      <c r="I18" s="1" t="s">
        <v>36</v>
      </c>
      <c r="J18" s="1"/>
      <c r="K18" s="1">
        <v>17</v>
      </c>
      <c r="L18" s="1">
        <f t="shared" si="2"/>
        <v>0</v>
      </c>
      <c r="M18" s="1"/>
      <c r="N18" s="1"/>
      <c r="O18" s="1"/>
      <c r="P18" s="1">
        <f t="shared" si="3"/>
        <v>3.4</v>
      </c>
      <c r="Q18" s="5">
        <f t="shared" si="6"/>
        <v>47.6</v>
      </c>
      <c r="R18" s="1">
        <f t="shared" si="4"/>
        <v>14</v>
      </c>
      <c r="S18" s="1">
        <f t="shared" si="5"/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>G18*Q18</f>
        <v>33.32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35</v>
      </c>
      <c r="C19" s="1">
        <v>70</v>
      </c>
      <c r="D19" s="1"/>
      <c r="E19" s="1">
        <v>17</v>
      </c>
      <c r="F19" s="1">
        <v>48</v>
      </c>
      <c r="G19" s="7">
        <v>0.42</v>
      </c>
      <c r="H19" s="1">
        <v>180</v>
      </c>
      <c r="I19" s="1" t="s">
        <v>36</v>
      </c>
      <c r="J19" s="1"/>
      <c r="K19" s="1">
        <v>17</v>
      </c>
      <c r="L19" s="1">
        <f t="shared" si="2"/>
        <v>0</v>
      </c>
      <c r="M19" s="1"/>
      <c r="N19" s="1"/>
      <c r="O19" s="1"/>
      <c r="P19" s="1">
        <f t="shared" si="3"/>
        <v>3.4</v>
      </c>
      <c r="Q19" s="5"/>
      <c r="R19" s="1">
        <f t="shared" si="4"/>
        <v>14.117647058823529</v>
      </c>
      <c r="S19" s="1">
        <f t="shared" si="5"/>
        <v>14.117647058823529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35</v>
      </c>
      <c r="C20" s="1">
        <v>50</v>
      </c>
      <c r="D20" s="1"/>
      <c r="E20" s="1">
        <v>26</v>
      </c>
      <c r="F20" s="1">
        <v>18</v>
      </c>
      <c r="G20" s="7">
        <v>0.7</v>
      </c>
      <c r="H20" s="1">
        <v>180</v>
      </c>
      <c r="I20" s="1" t="s">
        <v>36</v>
      </c>
      <c r="J20" s="1"/>
      <c r="K20" s="1">
        <v>26</v>
      </c>
      <c r="L20" s="1">
        <f t="shared" si="2"/>
        <v>0</v>
      </c>
      <c r="M20" s="1"/>
      <c r="N20" s="1"/>
      <c r="O20" s="1"/>
      <c r="P20" s="1">
        <f t="shared" si="3"/>
        <v>5.2</v>
      </c>
      <c r="Q20" s="5">
        <f>12*P20-O20-F20</f>
        <v>44.400000000000006</v>
      </c>
      <c r="R20" s="1">
        <f t="shared" si="4"/>
        <v>12</v>
      </c>
      <c r="S20" s="1">
        <f t="shared" si="5"/>
        <v>3.4615384615384612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>G20*Q20</f>
        <v>31.080000000000002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35</v>
      </c>
      <c r="C21" s="1">
        <v>314</v>
      </c>
      <c r="D21" s="1">
        <v>20</v>
      </c>
      <c r="E21" s="1">
        <v>46</v>
      </c>
      <c r="F21" s="1">
        <v>280</v>
      </c>
      <c r="G21" s="7">
        <v>0.7</v>
      </c>
      <c r="H21" s="1">
        <v>180</v>
      </c>
      <c r="I21" s="1" t="s">
        <v>36</v>
      </c>
      <c r="J21" s="1"/>
      <c r="K21" s="1">
        <v>46</v>
      </c>
      <c r="L21" s="1">
        <f t="shared" si="2"/>
        <v>0</v>
      </c>
      <c r="M21" s="1"/>
      <c r="N21" s="1"/>
      <c r="O21" s="1"/>
      <c r="P21" s="1">
        <f t="shared" si="3"/>
        <v>9.1999999999999993</v>
      </c>
      <c r="Q21" s="5"/>
      <c r="R21" s="1">
        <f t="shared" si="4"/>
        <v>30.434782608695656</v>
      </c>
      <c r="S21" s="1">
        <f t="shared" si="5"/>
        <v>30.434782608695656</v>
      </c>
      <c r="T21" s="1">
        <v>1.8</v>
      </c>
      <c r="U21" s="1">
        <v>9.8000000000000007</v>
      </c>
      <c r="V21" s="1">
        <v>18</v>
      </c>
      <c r="W21" s="1">
        <v>0</v>
      </c>
      <c r="X21" s="1">
        <v>0.4</v>
      </c>
      <c r="Y21" s="1">
        <v>15</v>
      </c>
      <c r="Z21" s="1">
        <v>8</v>
      </c>
      <c r="AA21" s="1">
        <v>13.6</v>
      </c>
      <c r="AB21" s="1">
        <v>6.6</v>
      </c>
      <c r="AC21" s="1">
        <v>3</v>
      </c>
      <c r="AD21" s="10" t="s">
        <v>42</v>
      </c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35</v>
      </c>
      <c r="C22" s="1">
        <v>64</v>
      </c>
      <c r="D22" s="1"/>
      <c r="E22" s="1">
        <v>47</v>
      </c>
      <c r="F22" s="1">
        <v>3</v>
      </c>
      <c r="G22" s="7">
        <v>0.4</v>
      </c>
      <c r="H22" s="1">
        <v>180</v>
      </c>
      <c r="I22" s="1" t="s">
        <v>36</v>
      </c>
      <c r="J22" s="1"/>
      <c r="K22" s="1">
        <v>47</v>
      </c>
      <c r="L22" s="1">
        <f t="shared" si="2"/>
        <v>0</v>
      </c>
      <c r="M22" s="1"/>
      <c r="N22" s="1"/>
      <c r="O22" s="1"/>
      <c r="P22" s="1">
        <f t="shared" si="3"/>
        <v>9.4</v>
      </c>
      <c r="Q22" s="5">
        <f>9*P22-O22-F22</f>
        <v>81.600000000000009</v>
      </c>
      <c r="R22" s="1">
        <f t="shared" si="4"/>
        <v>9</v>
      </c>
      <c r="S22" s="1">
        <f t="shared" si="5"/>
        <v>0.31914893617021273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32.640000000000008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38</v>
      </c>
      <c r="C23" s="1">
        <v>40.572000000000003</v>
      </c>
      <c r="D23" s="1"/>
      <c r="E23" s="1"/>
      <c r="F23" s="1">
        <v>40.572000000000003</v>
      </c>
      <c r="G23" s="7">
        <v>0.4</v>
      </c>
      <c r="H23" s="1">
        <v>180</v>
      </c>
      <c r="I23" s="1" t="s">
        <v>36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1" t="e">
        <f t="shared" si="4"/>
        <v>#DIV/0!</v>
      </c>
      <c r="S23" s="1" t="e">
        <f t="shared" si="5"/>
        <v>#DIV/0!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0" t="s">
        <v>42</v>
      </c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2026-10-26T16:14:05Z</dcterms:created>
  <dcterms:modified xsi:type="dcterms:W3CDTF">2026-10-26T16:17:55Z</dcterms:modified>
</cp:coreProperties>
</file>