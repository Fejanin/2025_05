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0B6A3EEA-BA4D-4132-9E6D-E0D04D30B9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1" l="1"/>
  <c r="Q14" i="1"/>
  <c r="Q11" i="1"/>
  <c r="R11" i="1" s="1"/>
  <c r="R7" i="1"/>
  <c r="S7" i="1"/>
  <c r="R8" i="1"/>
  <c r="S8" i="1"/>
  <c r="R9" i="1"/>
  <c r="S9" i="1"/>
  <c r="R10" i="1"/>
  <c r="S10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L5" i="1" s="1"/>
  <c r="AE5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5" i="1" l="1"/>
  <c r="P5" i="1"/>
</calcChain>
</file>

<file path=xl/sharedStrings.xml><?xml version="1.0" encoding="utf-8"?>
<sst xmlns="http://schemas.openxmlformats.org/spreadsheetml/2006/main" count="84" uniqueCount="52">
  <si>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</si>
  <si>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</si>
  <si>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</si>
  <si>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</si>
  <si>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</si>
  <si>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</si>
  <si>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</si>
  <si>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</si>
  <si>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</si>
  <si>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</si>
  <si>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</si>
  <si>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</si>
  <si>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</si>
  <si>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</si>
  <si>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</si>
  <si>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</si>
  <si>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</si>
  <si>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</si>
  <si>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</si>
  <si>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</si>
  <si>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</si>
  <si>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</si>
  <si>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</si>
  <si>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</si>
  <si>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</si>
  <si>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</si>
  <si>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</si>
  <si>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</si>
  <si>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</si>
  <si>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</si>
  <si>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</si>
  <si>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</si>
  <si>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</si>
  <si>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</si>
  <si>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</si>
  <si>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</si>
  <si>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</si>
  <si>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</si>
  <si>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</si>
  <si>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</si>
  <si>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</si>
  <si>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</si>
  <si>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</si>
  <si>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</si>
  <si>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</si>
  <si>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</si>
  <si>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</si>
  <si>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</si>
  <si>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</si>
  <si>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</si>
  <si>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138кг в уценку (25,09,26)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</si>
  <si>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131кг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</si>
</sst>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23" sqref="Z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50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277</v>
      </c>
      <c r="F5" s="4">
        <f>SUM(F6:F500)</f>
        <v>986.01400000000001</v>
      </c>
      <c r="G5" s="7"/>
      <c r="H5" s="1"/>
      <c r="I5" s="1"/>
      <c r="J5" s="1"/>
      <c r="K5" s="4">
        <f t="shared" ref="K5:Q5" si="0">SUM(K6:K500)</f>
        <v>275</v>
      </c>
      <c r="L5" s="4">
        <f t="shared" si="0"/>
        <v>2</v>
      </c>
      <c r="M5" s="4">
        <f t="shared" si="0"/>
        <v>0</v>
      </c>
      <c r="N5" s="4">
        <f t="shared" si="0"/>
        <v>0</v>
      </c>
      <c r="O5" s="4">
        <f t="shared" si="0"/>
        <v>590</v>
      </c>
      <c r="P5" s="4">
        <f t="shared" si="0"/>
        <v>55.4</v>
      </c>
      <c r="Q5" s="4">
        <f t="shared" si="0"/>
        <v>212</v>
      </c>
      <c r="R5" s="1"/>
      <c r="S5" s="1"/>
      <c r="T5" s="4">
        <f t="shared" ref="T5:AC5" si="1">SUM(T6:T500)</f>
        <v>42.512</v>
      </c>
      <c r="U5" s="4">
        <f t="shared" si="1"/>
        <v>34.5184</v>
      </c>
      <c r="V5" s="4">
        <f t="shared" si="1"/>
        <v>86.467199999999991</v>
      </c>
      <c r="W5" s="4">
        <f t="shared" si="1"/>
        <v>98.542400000000001</v>
      </c>
      <c r="X5" s="4">
        <f t="shared" si="1"/>
        <v>62.4</v>
      </c>
      <c r="Y5" s="4">
        <f t="shared" si="1"/>
        <v>83.157199999999989</v>
      </c>
      <c r="Z5" s="4">
        <f t="shared" si="1"/>
        <v>41.506799999999998</v>
      </c>
      <c r="AA5" s="4">
        <f t="shared" si="1"/>
        <v>52.831200000000003</v>
      </c>
      <c r="AB5" s="4">
        <f t="shared" si="1"/>
        <v>108.29999999999998</v>
      </c>
      <c r="AC5" s="4">
        <f t="shared" si="1"/>
        <v>105.7324</v>
      </c>
      <c r="AD5" s="1"/>
      <c r="AE5" s="4">
        <f>SUM(AE6:AE500)</f>
        <v>136.89999999999998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9" t="s">
        <v>49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-64.296000000000006</v>
      </c>
      <c r="D7" s="1"/>
      <c r="E7" s="1"/>
      <c r="F7" s="1">
        <v>-64.296000000000006</v>
      </c>
      <c r="G7" s="7">
        <v>1</v>
      </c>
      <c r="H7" s="1">
        <v>120</v>
      </c>
      <c r="I7" s="1" t="s">
        <v>36</v>
      </c>
      <c r="J7" s="1"/>
      <c r="K7" s="1"/>
      <c r="L7" s="1">
        <f t="shared" si="2"/>
        <v>0</v>
      </c>
      <c r="M7" s="1"/>
      <c r="N7" s="1"/>
      <c r="O7" s="1">
        <v>100</v>
      </c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>
        <v>0.91839999999999988</v>
      </c>
      <c r="V7" s="1">
        <v>1.8384</v>
      </c>
      <c r="W7" s="1">
        <v>1.83</v>
      </c>
      <c r="X7" s="1">
        <v>0</v>
      </c>
      <c r="Y7" s="1">
        <v>0.91639999999999999</v>
      </c>
      <c r="Z7" s="1">
        <v>0.90679999999999994</v>
      </c>
      <c r="AA7" s="1">
        <v>0.91959999999999997</v>
      </c>
      <c r="AB7" s="1">
        <v>0.9</v>
      </c>
      <c r="AC7" s="1">
        <v>2.7324000000000002</v>
      </c>
      <c r="AD7" s="9" t="s">
        <v>50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38</v>
      </c>
      <c r="C8" s="1">
        <v>179.31</v>
      </c>
      <c r="D8" s="1"/>
      <c r="E8" s="1"/>
      <c r="F8" s="1">
        <v>179.31</v>
      </c>
      <c r="G8" s="7">
        <v>1</v>
      </c>
      <c r="H8" s="1">
        <v>120</v>
      </c>
      <c r="I8" s="1" t="s">
        <v>36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0.91199999999999992</v>
      </c>
      <c r="U8" s="1">
        <v>0</v>
      </c>
      <c r="V8" s="1">
        <v>1.8288</v>
      </c>
      <c r="W8" s="1">
        <v>0.9124000000000001</v>
      </c>
      <c r="X8" s="1">
        <v>0.2</v>
      </c>
      <c r="Y8" s="1">
        <v>1.8408</v>
      </c>
      <c r="Z8" s="1">
        <v>0</v>
      </c>
      <c r="AA8" s="1">
        <v>0.91159999999999997</v>
      </c>
      <c r="AB8" s="1">
        <v>0</v>
      </c>
      <c r="AC8" s="1">
        <v>0</v>
      </c>
      <c r="AD8" s="9" t="s">
        <v>51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35</v>
      </c>
      <c r="C9" s="1">
        <v>53</v>
      </c>
      <c r="D9" s="1"/>
      <c r="E9" s="1"/>
      <c r="F9" s="1">
        <v>53</v>
      </c>
      <c r="G9" s="7">
        <v>0.42</v>
      </c>
      <c r="H9" s="1">
        <v>120</v>
      </c>
      <c r="I9" s="1" t="s">
        <v>36</v>
      </c>
      <c r="J9" s="1"/>
      <c r="K9" s="1"/>
      <c r="L9" s="1">
        <f t="shared" si="2"/>
        <v>0</v>
      </c>
      <c r="M9" s="1"/>
      <c r="N9" s="1"/>
      <c r="O9" s="1">
        <v>20</v>
      </c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0.2</v>
      </c>
      <c r="V9" s="1">
        <v>0</v>
      </c>
      <c r="W9" s="1">
        <v>0.2</v>
      </c>
      <c r="X9" s="1">
        <v>1.2</v>
      </c>
      <c r="Y9" s="1">
        <v>0</v>
      </c>
      <c r="Z9" s="1">
        <v>0.4</v>
      </c>
      <c r="AA9" s="1">
        <v>0</v>
      </c>
      <c r="AB9" s="1">
        <v>-0.6</v>
      </c>
      <c r="AC9" s="1">
        <v>1.8</v>
      </c>
      <c r="AD9" s="10" t="s">
        <v>41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35</v>
      </c>
      <c r="C10" s="1">
        <v>143</v>
      </c>
      <c r="D10" s="1"/>
      <c r="E10" s="1">
        <v>23</v>
      </c>
      <c r="F10" s="1">
        <v>113</v>
      </c>
      <c r="G10" s="7">
        <v>0.3</v>
      </c>
      <c r="H10" s="1">
        <v>120</v>
      </c>
      <c r="I10" s="1" t="s">
        <v>36</v>
      </c>
      <c r="J10" s="1"/>
      <c r="K10" s="1">
        <v>23</v>
      </c>
      <c r="L10" s="1">
        <f t="shared" si="2"/>
        <v>0</v>
      </c>
      <c r="M10" s="1"/>
      <c r="N10" s="1"/>
      <c r="O10" s="1">
        <v>100</v>
      </c>
      <c r="P10" s="1">
        <f t="shared" si="3"/>
        <v>4.5999999999999996</v>
      </c>
      <c r="Q10" s="5"/>
      <c r="R10" s="1">
        <f t="shared" si="4"/>
        <v>46.304347826086961</v>
      </c>
      <c r="S10" s="1">
        <f t="shared" si="5"/>
        <v>46.304347826086961</v>
      </c>
      <c r="T10" s="1">
        <v>3.4</v>
      </c>
      <c r="U10" s="1">
        <v>8.8000000000000007</v>
      </c>
      <c r="V10" s="1">
        <v>7.8</v>
      </c>
      <c r="W10" s="1">
        <v>17.2</v>
      </c>
      <c r="X10" s="1">
        <v>13</v>
      </c>
      <c r="Y10" s="1">
        <v>14.6</v>
      </c>
      <c r="Z10" s="1">
        <v>7.6</v>
      </c>
      <c r="AA10" s="1">
        <v>8.1999999999999993</v>
      </c>
      <c r="AB10" s="1">
        <v>23</v>
      </c>
      <c r="AC10" s="1">
        <v>11</v>
      </c>
      <c r="AD10" s="10" t="s">
        <v>41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71</v>
      </c>
      <c r="D11" s="1"/>
      <c r="E11" s="1">
        <v>61</v>
      </c>
      <c r="F11" s="1"/>
      <c r="G11" s="7">
        <v>0.3</v>
      </c>
      <c r="H11" s="1">
        <v>120</v>
      </c>
      <c r="I11" s="1" t="s">
        <v>36</v>
      </c>
      <c r="J11" s="1"/>
      <c r="K11" s="1">
        <v>61</v>
      </c>
      <c r="L11" s="1">
        <f t="shared" si="2"/>
        <v>0</v>
      </c>
      <c r="M11" s="1"/>
      <c r="N11" s="1"/>
      <c r="O11" s="1">
        <v>170</v>
      </c>
      <c r="P11" s="1">
        <f t="shared" si="3"/>
        <v>12.2</v>
      </c>
      <c r="Q11" s="5">
        <f>15*P11-O11-F11</f>
        <v>13</v>
      </c>
      <c r="R11" s="1">
        <f t="shared" si="4"/>
        <v>15</v>
      </c>
      <c r="S11" s="1">
        <f t="shared" si="5"/>
        <v>13.934426229508198</v>
      </c>
      <c r="T11" s="1">
        <v>12.2</v>
      </c>
      <c r="U11" s="1">
        <v>0.2</v>
      </c>
      <c r="V11" s="1">
        <v>8.4</v>
      </c>
      <c r="W11" s="1">
        <v>13.6</v>
      </c>
      <c r="X11" s="1">
        <v>9</v>
      </c>
      <c r="Y11" s="1">
        <v>10.6</v>
      </c>
      <c r="Z11" s="1">
        <v>5.8</v>
      </c>
      <c r="AA11" s="1">
        <v>8.6</v>
      </c>
      <c r="AB11" s="1">
        <v>19</v>
      </c>
      <c r="AC11" s="1">
        <v>13.2</v>
      </c>
      <c r="AD11" s="1"/>
      <c r="AE11" s="1">
        <f>G11*Q11</f>
        <v>3.9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35</v>
      </c>
      <c r="C12" s="1">
        <v>201</v>
      </c>
      <c r="D12" s="1"/>
      <c r="E12" s="1">
        <v>32</v>
      </c>
      <c r="F12" s="1">
        <v>155</v>
      </c>
      <c r="G12" s="7">
        <v>0.35</v>
      </c>
      <c r="H12" s="1">
        <v>120</v>
      </c>
      <c r="I12" s="1" t="s">
        <v>36</v>
      </c>
      <c r="J12" s="1"/>
      <c r="K12" s="1">
        <v>33</v>
      </c>
      <c r="L12" s="1">
        <f t="shared" si="2"/>
        <v>-1</v>
      </c>
      <c r="M12" s="1"/>
      <c r="N12" s="1"/>
      <c r="O12" s="1">
        <v>100</v>
      </c>
      <c r="P12" s="1">
        <f t="shared" si="3"/>
        <v>6.4</v>
      </c>
      <c r="Q12" s="5"/>
      <c r="R12" s="1">
        <f t="shared" si="4"/>
        <v>39.84375</v>
      </c>
      <c r="S12" s="1">
        <f t="shared" si="5"/>
        <v>39.84375</v>
      </c>
      <c r="T12" s="1">
        <v>10.199999999999999</v>
      </c>
      <c r="U12" s="1">
        <v>9.6</v>
      </c>
      <c r="V12" s="1">
        <v>14.2</v>
      </c>
      <c r="W12" s="1">
        <v>24.6</v>
      </c>
      <c r="X12" s="1">
        <v>16.2</v>
      </c>
      <c r="Y12" s="1">
        <v>18.399999999999999</v>
      </c>
      <c r="Z12" s="1">
        <v>6.6</v>
      </c>
      <c r="AA12" s="1">
        <v>16.2</v>
      </c>
      <c r="AB12" s="1">
        <v>27.4</v>
      </c>
      <c r="AC12" s="1">
        <v>27.8</v>
      </c>
      <c r="AD12" s="10" t="s">
        <v>41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35</v>
      </c>
      <c r="C13" s="1">
        <v>135</v>
      </c>
      <c r="D13" s="1"/>
      <c r="E13" s="1">
        <v>3</v>
      </c>
      <c r="F13" s="1">
        <v>124</v>
      </c>
      <c r="G13" s="7">
        <v>0.3</v>
      </c>
      <c r="H13" s="1">
        <v>120</v>
      </c>
      <c r="I13" s="1" t="s">
        <v>36</v>
      </c>
      <c r="J13" s="1"/>
      <c r="K13" s="1">
        <v>3</v>
      </c>
      <c r="L13" s="1">
        <f t="shared" si="2"/>
        <v>0</v>
      </c>
      <c r="M13" s="1"/>
      <c r="N13" s="1"/>
      <c r="O13" s="1">
        <v>100</v>
      </c>
      <c r="P13" s="1">
        <f t="shared" si="3"/>
        <v>0.6</v>
      </c>
      <c r="Q13" s="5"/>
      <c r="R13" s="1">
        <f t="shared" si="4"/>
        <v>373.33333333333337</v>
      </c>
      <c r="S13" s="1">
        <f t="shared" si="5"/>
        <v>373.33333333333337</v>
      </c>
      <c r="T13" s="1">
        <v>4.2</v>
      </c>
      <c r="U13" s="1">
        <v>0</v>
      </c>
      <c r="V13" s="1">
        <v>11.8</v>
      </c>
      <c r="W13" s="1">
        <v>7.8</v>
      </c>
      <c r="X13" s="1">
        <v>4.2</v>
      </c>
      <c r="Y13" s="1">
        <v>8.1999999999999993</v>
      </c>
      <c r="Z13" s="1">
        <v>1.4</v>
      </c>
      <c r="AA13" s="1">
        <v>8.1999999999999993</v>
      </c>
      <c r="AB13" s="1">
        <v>7.6</v>
      </c>
      <c r="AC13" s="1">
        <v>12.8</v>
      </c>
      <c r="AD13" s="10" t="s">
        <v>41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35</v>
      </c>
      <c r="C14" s="1">
        <v>286</v>
      </c>
      <c r="D14" s="1"/>
      <c r="E14" s="1">
        <v>68</v>
      </c>
      <c r="F14" s="1">
        <v>186</v>
      </c>
      <c r="G14" s="7">
        <v>0.35</v>
      </c>
      <c r="H14" s="1">
        <v>120</v>
      </c>
      <c r="I14" s="1" t="s">
        <v>36</v>
      </c>
      <c r="J14" s="1"/>
      <c r="K14" s="1">
        <v>66</v>
      </c>
      <c r="L14" s="1">
        <f t="shared" si="2"/>
        <v>2</v>
      </c>
      <c r="M14" s="1"/>
      <c r="N14" s="1"/>
      <c r="O14" s="1"/>
      <c r="P14" s="1">
        <f t="shared" si="3"/>
        <v>13.6</v>
      </c>
      <c r="Q14" s="5">
        <f>15*P14-O14-F14</f>
        <v>18</v>
      </c>
      <c r="R14" s="1">
        <f t="shared" si="4"/>
        <v>15</v>
      </c>
      <c r="S14" s="1">
        <f t="shared" si="5"/>
        <v>13.676470588235295</v>
      </c>
      <c r="T14" s="1">
        <v>11.6</v>
      </c>
      <c r="U14" s="1">
        <v>14</v>
      </c>
      <c r="V14" s="1">
        <v>25.6</v>
      </c>
      <c r="W14" s="1">
        <v>24.2</v>
      </c>
      <c r="X14" s="1">
        <v>5</v>
      </c>
      <c r="Y14" s="1">
        <v>22</v>
      </c>
      <c r="Z14" s="1">
        <v>15.8</v>
      </c>
      <c r="AA14" s="1">
        <v>3.2</v>
      </c>
      <c r="AB14" s="1">
        <v>16.8</v>
      </c>
      <c r="AC14" s="1">
        <v>18</v>
      </c>
      <c r="AD14" s="1"/>
      <c r="AE14" s="1">
        <f>G14*Q14</f>
        <v>6.3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35</v>
      </c>
      <c r="C15" s="1">
        <v>99</v>
      </c>
      <c r="D15" s="1"/>
      <c r="E15" s="1"/>
      <c r="F15" s="1">
        <v>99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0.4</v>
      </c>
      <c r="V15" s="1">
        <v>0</v>
      </c>
      <c r="W15" s="1">
        <v>0.2</v>
      </c>
      <c r="X15" s="1">
        <v>0</v>
      </c>
      <c r="Y15" s="1">
        <v>0</v>
      </c>
      <c r="Z15" s="1">
        <v>0</v>
      </c>
      <c r="AA15" s="1">
        <v>0</v>
      </c>
      <c r="AB15" s="1">
        <v>0.4</v>
      </c>
      <c r="AC15" s="1">
        <v>0.4</v>
      </c>
      <c r="AD15" s="10" t="s">
        <v>41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35</v>
      </c>
      <c r="C16" s="1">
        <v>192</v>
      </c>
      <c r="D16" s="1"/>
      <c r="E16" s="1">
        <v>90</v>
      </c>
      <c r="F16" s="1">
        <v>89</v>
      </c>
      <c r="G16" s="7">
        <v>0.7</v>
      </c>
      <c r="H16" s="1">
        <v>180</v>
      </c>
      <c r="I16" s="1" t="s">
        <v>36</v>
      </c>
      <c r="J16" s="1"/>
      <c r="K16" s="1">
        <v>89</v>
      </c>
      <c r="L16" s="1">
        <f t="shared" si="2"/>
        <v>1</v>
      </c>
      <c r="M16" s="1"/>
      <c r="N16" s="1"/>
      <c r="O16" s="1"/>
      <c r="P16" s="1">
        <f t="shared" si="3"/>
        <v>18</v>
      </c>
      <c r="Q16" s="5">
        <f>15*P16-O16-F16</f>
        <v>181</v>
      </c>
      <c r="R16" s="1">
        <f t="shared" si="4"/>
        <v>15</v>
      </c>
      <c r="S16" s="1">
        <f t="shared" si="5"/>
        <v>4.9444444444444446</v>
      </c>
      <c r="T16" s="1">
        <v>0</v>
      </c>
      <c r="U16" s="1">
        <v>0.4</v>
      </c>
      <c r="V16" s="1">
        <v>15</v>
      </c>
      <c r="W16" s="1">
        <v>8</v>
      </c>
      <c r="X16" s="1">
        <v>13.6</v>
      </c>
      <c r="Y16" s="1">
        <v>6.6</v>
      </c>
      <c r="Z16" s="1">
        <v>3</v>
      </c>
      <c r="AA16" s="1">
        <v>6.6</v>
      </c>
      <c r="AB16" s="1">
        <v>13.8</v>
      </c>
      <c r="AC16" s="1">
        <v>18</v>
      </c>
      <c r="AD16" s="1"/>
      <c r="AE16" s="1">
        <f>G16*Q16</f>
        <v>126.69999999999999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2026-10-05T13:42:59Z</dcterms:created>
  <dcterms:modified xsi:type="dcterms:W3CDTF">2026-10-05T13:46:40Z</dcterms:modified>
</cp:coreProperties>
</file>