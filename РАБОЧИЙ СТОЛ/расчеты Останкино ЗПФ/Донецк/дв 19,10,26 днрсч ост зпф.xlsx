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65827D08-3AC0-493B-8CBB-3716277F5A1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0" i="1" l="1"/>
  <c r="S11" i="1"/>
  <c r="S12" i="1"/>
  <c r="S14" i="1"/>
  <c r="S16" i="1"/>
  <c r="S17" i="1"/>
  <c r="S18" i="1"/>
  <c r="S19" i="1"/>
  <c r="S20" i="1"/>
  <c r="S22" i="1"/>
  <c r="S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6" i="1"/>
  <c r="R5" i="1"/>
  <c r="S5" i="1" l="1"/>
  <c r="P7" i="1"/>
  <c r="P8" i="1"/>
  <c r="P9" i="1"/>
  <c r="P10" i="1"/>
  <c r="T10" i="1" s="1"/>
  <c r="P11" i="1"/>
  <c r="P12" i="1"/>
  <c r="P13" i="1"/>
  <c r="P14" i="1"/>
  <c r="P15" i="1"/>
  <c r="P16" i="1"/>
  <c r="P17" i="1"/>
  <c r="P18" i="1"/>
  <c r="T18" i="1" s="1"/>
  <c r="P19" i="1"/>
  <c r="T19" i="1" s="1"/>
  <c r="P20" i="1"/>
  <c r="T20" i="1" s="1"/>
  <c r="P21" i="1"/>
  <c r="P22" i="1"/>
  <c r="T22" i="1" s="1"/>
  <c r="P23" i="1"/>
  <c r="T23" i="1" s="1"/>
  <c r="P6" i="1"/>
  <c r="T6" i="1" s="1"/>
  <c r="U16" i="1" l="1"/>
  <c r="T16" i="1"/>
  <c r="U14" i="1"/>
  <c r="T14" i="1"/>
  <c r="U12" i="1"/>
  <c r="T12" i="1"/>
  <c r="U8" i="1"/>
  <c r="T8" i="1"/>
  <c r="U6" i="1"/>
  <c r="U20" i="1"/>
  <c r="U10" i="1"/>
  <c r="Q12" i="1"/>
  <c r="Q21" i="1"/>
  <c r="T21" i="1"/>
  <c r="U17" i="1"/>
  <c r="T17" i="1"/>
  <c r="Q15" i="1"/>
  <c r="T15" i="1"/>
  <c r="Q13" i="1"/>
  <c r="T13" i="1"/>
  <c r="Q11" i="1"/>
  <c r="T11" i="1"/>
  <c r="Q9" i="1"/>
  <c r="T9" i="1"/>
  <c r="U7" i="1"/>
  <c r="T7" i="1"/>
  <c r="U22" i="1"/>
  <c r="U18" i="1"/>
  <c r="Q14" i="1"/>
  <c r="Q10" i="1"/>
  <c r="U13" i="1"/>
  <c r="U11" i="1"/>
  <c r="U23" i="1"/>
  <c r="U21" i="1"/>
  <c r="U19" i="1"/>
  <c r="U15" i="1"/>
  <c r="U9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  <c r="L5" i="1" l="1"/>
  <c r="AG5" i="1"/>
</calcChain>
</file>

<file path=xl/sharedStrings.xml><?xml version="1.0" encoding="utf-8"?>
<sst xmlns="http://schemas.openxmlformats.org/spreadsheetml/2006/main" count="106" uniqueCount="63">
  <si>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</si>
  <si>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</si>
  <si>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</si>
  <si>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</si>
  <si>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</si>
  <si>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</si>
  <si>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</si>
  <si>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</si>
  <si>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</si>
  <si>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</si>
  <si>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</si>
  <si>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</si>
  <si>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</si>
  <si>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</si>
  <si>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</si>
  <si>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</si>
  <si>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</si>
  <si>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</si>
  <si>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</si>
  <si>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</si>
  <si>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</si>
  <si>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</si>
  <si>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</si>
  <si>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</si>
  <si>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</si>
  <si>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</si>
  <si>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</si>
  <si>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</si>
  <si>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</si>
  <si>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</si>
  <si>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</si>
  <si>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</si>
  <si>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</si>
  <si>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</si>
  <si>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</si>
  <si>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</si>
  <si>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05,10,26 - завод не отгрузил / 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</si>
  <si>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</si>
  <si>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</si>
  <si>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</si>
  <si>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</si>
  <si>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</si>
  <si>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</si>
  <si>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</si>
  <si>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</si>
  <si>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</si>
  <si>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</si>
  <si>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</si>
  <si>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</si>
  <si>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</si>
  <si>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</si>
  <si>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</si>
  <si>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</si>
  <si>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</si>
  <si>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</si>
  <si>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</si>
  <si>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</si>
  <si>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</si>
  <si>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нужно увеличить продажи</t>
  </si>
  <si>
    <t>заказ</t>
  </si>
  <si>
    <t>26,10,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</si>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</sst>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76;&#1085;&#1088;&#1089;&#1095;%20&#1086;&#1089;&#1090;%20&#1079;&#1087;&#1092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19,10,</v>
          </cell>
          <cell r="P4" t="str">
            <v>19,10,</v>
          </cell>
        </row>
        <row r="5">
          <cell r="E5">
            <v>444</v>
          </cell>
          <cell r="F5">
            <v>651.18600000000004</v>
          </cell>
          <cell r="K5">
            <v>470</v>
          </cell>
          <cell r="L5">
            <v>-26</v>
          </cell>
          <cell r="M5">
            <v>0</v>
          </cell>
          <cell r="N5">
            <v>0</v>
          </cell>
          <cell r="O5">
            <v>100</v>
          </cell>
          <cell r="P5">
            <v>88.8</v>
          </cell>
          <cell r="Q5">
            <v>879.8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C6">
            <v>1</v>
          </cell>
          <cell r="D6">
            <v>6</v>
          </cell>
          <cell r="G6">
            <v>0.42</v>
          </cell>
          <cell r="H6">
            <v>120</v>
          </cell>
          <cell r="I6" t="str">
            <v>матрица</v>
          </cell>
          <cell r="K6">
            <v>10</v>
          </cell>
          <cell r="L6">
            <v>-10</v>
          </cell>
          <cell r="O6">
            <v>20</v>
          </cell>
          <cell r="P6">
            <v>0</v>
          </cell>
          <cell r="Q6">
            <v>10</v>
          </cell>
          <cell r="R6">
            <v>20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27.398</v>
          </cell>
          <cell r="D7">
            <v>4.5659999999999998</v>
          </cell>
          <cell r="F7">
            <v>22.832000000000001</v>
          </cell>
          <cell r="G7">
            <v>1</v>
          </cell>
          <cell r="H7">
            <v>120</v>
          </cell>
          <cell r="I7" t="str">
            <v>матрица</v>
          </cell>
          <cell r="L7">
            <v>0</v>
          </cell>
          <cell r="P7">
            <v>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9.1259999999999994</v>
          </cell>
          <cell r="D8">
            <v>9.1479999999999997</v>
          </cell>
          <cell r="F8">
            <v>13.73</v>
          </cell>
          <cell r="G8">
            <v>1</v>
          </cell>
          <cell r="H8">
            <v>120</v>
          </cell>
          <cell r="I8" t="str">
            <v>матрица</v>
          </cell>
          <cell r="L8">
            <v>0</v>
          </cell>
          <cell r="P8">
            <v>0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C9">
            <v>21</v>
          </cell>
          <cell r="D9">
            <v>4</v>
          </cell>
          <cell r="E9">
            <v>9</v>
          </cell>
          <cell r="F9">
            <v>1</v>
          </cell>
          <cell r="G9">
            <v>0.42</v>
          </cell>
          <cell r="H9">
            <v>120</v>
          </cell>
          <cell r="I9" t="str">
            <v>матрица</v>
          </cell>
          <cell r="K9">
            <v>13</v>
          </cell>
          <cell r="L9">
            <v>-4</v>
          </cell>
          <cell r="P9">
            <v>1.8</v>
          </cell>
          <cell r="Q9">
            <v>18.8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39</v>
          </cell>
          <cell r="D10">
            <v>224</v>
          </cell>
          <cell r="E10">
            <v>119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119</v>
          </cell>
          <cell r="L10">
            <v>0</v>
          </cell>
          <cell r="P10">
            <v>23.8</v>
          </cell>
          <cell r="Q10">
            <v>238</v>
          </cell>
          <cell r="R10">
            <v>260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88</v>
          </cell>
          <cell r="D11">
            <v>179</v>
          </cell>
          <cell r="E11">
            <v>73</v>
          </cell>
          <cell r="F11">
            <v>76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73</v>
          </cell>
          <cell r="L11">
            <v>0</v>
          </cell>
          <cell r="P11">
            <v>14.6</v>
          </cell>
          <cell r="Q11">
            <v>143</v>
          </cell>
          <cell r="R11">
            <v>170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76</v>
          </cell>
          <cell r="D12">
            <v>65</v>
          </cell>
          <cell r="E12">
            <v>38</v>
          </cell>
          <cell r="F12">
            <v>62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38</v>
          </cell>
          <cell r="L12">
            <v>0</v>
          </cell>
          <cell r="P12">
            <v>7.6</v>
          </cell>
          <cell r="Q12">
            <v>52</v>
          </cell>
          <cell r="R12">
            <v>80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92</v>
          </cell>
          <cell r="D13">
            <v>74</v>
          </cell>
          <cell r="E13">
            <v>82</v>
          </cell>
          <cell r="F13">
            <v>66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82</v>
          </cell>
          <cell r="L13">
            <v>0</v>
          </cell>
          <cell r="P13">
            <v>16.399999999999999</v>
          </cell>
          <cell r="Q13">
            <v>179.99999999999997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82</v>
          </cell>
          <cell r="D14">
            <v>62</v>
          </cell>
          <cell r="E14">
            <v>44</v>
          </cell>
          <cell r="F14">
            <v>42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44</v>
          </cell>
          <cell r="L14">
            <v>0</v>
          </cell>
          <cell r="P14">
            <v>8.8000000000000007</v>
          </cell>
          <cell r="Q14">
            <v>90</v>
          </cell>
          <cell r="R14">
            <v>110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20</v>
          </cell>
          <cell r="D15">
            <v>12</v>
          </cell>
          <cell r="E15">
            <v>18</v>
          </cell>
          <cell r="F15">
            <v>2</v>
          </cell>
          <cell r="G15">
            <v>0.3</v>
          </cell>
          <cell r="H15">
            <v>120</v>
          </cell>
          <cell r="I15" t="str">
            <v>матрица</v>
          </cell>
          <cell r="K15">
            <v>30</v>
          </cell>
          <cell r="L15">
            <v>-12</v>
          </cell>
          <cell r="O15">
            <v>30</v>
          </cell>
          <cell r="P15">
            <v>3.6</v>
          </cell>
          <cell r="Q15">
            <v>22</v>
          </cell>
        </row>
        <row r="16">
          <cell r="A16" t="str">
            <v>6824 ОСТАНКИНСКИЕ пельм кор.0,5кг зам_NEW  ОСТАНКИНО</v>
          </cell>
          <cell r="B16" t="str">
            <v>шт</v>
          </cell>
          <cell r="D16">
            <v>64</v>
          </cell>
          <cell r="F16">
            <v>64</v>
          </cell>
          <cell r="G16">
            <v>0.5</v>
          </cell>
          <cell r="H16">
            <v>180</v>
          </cell>
          <cell r="I16" t="str">
            <v>матрица</v>
          </cell>
          <cell r="L16">
            <v>0</v>
          </cell>
          <cell r="P16">
            <v>0</v>
          </cell>
          <cell r="R16">
            <v>30</v>
          </cell>
        </row>
        <row r="17">
          <cell r="A17" t="str">
            <v>7049 С КАРТОФ.И ГРИБ.вареники пл.0,42кг зам  ОСТАНКИНО</v>
          </cell>
          <cell r="B17" t="str">
            <v>шт</v>
          </cell>
          <cell r="D17">
            <v>60</v>
          </cell>
          <cell r="F17">
            <v>60</v>
          </cell>
          <cell r="G17">
            <v>0.42</v>
          </cell>
          <cell r="H17">
            <v>120</v>
          </cell>
          <cell r="I17" t="str">
            <v>матрица</v>
          </cell>
          <cell r="L17">
            <v>0</v>
          </cell>
          <cell r="P17">
            <v>0</v>
          </cell>
          <cell r="R17">
            <v>25</v>
          </cell>
        </row>
        <row r="18">
          <cell r="A18" t="str">
            <v>7085 ОСТАНКИНСКИЕ пельм пл.0,7кг 10шт.зам  ОСТАНКИНО</v>
          </cell>
          <cell r="B18" t="str">
            <v>шт</v>
          </cell>
          <cell r="D18">
            <v>20</v>
          </cell>
          <cell r="F18">
            <v>20</v>
          </cell>
          <cell r="G18">
            <v>0.7</v>
          </cell>
          <cell r="H18">
            <v>180</v>
          </cell>
          <cell r="I18" t="str">
            <v>матрица</v>
          </cell>
          <cell r="L18">
            <v>0</v>
          </cell>
          <cell r="P18">
            <v>0</v>
          </cell>
          <cell r="R18">
            <v>30</v>
          </cell>
        </row>
        <row r="19">
          <cell r="A19" t="str">
            <v>7212 СОЧНЫЕ Папа Может пельм пл.0,42кг зам  ОСТАНКИНО</v>
          </cell>
          <cell r="B19" t="str">
            <v>шт</v>
          </cell>
          <cell r="D19">
            <v>60</v>
          </cell>
          <cell r="F19">
            <v>60</v>
          </cell>
          <cell r="G19">
            <v>0.42</v>
          </cell>
          <cell r="H19">
            <v>180</v>
          </cell>
          <cell r="I19" t="str">
            <v>матрица</v>
          </cell>
          <cell r="L19">
            <v>0</v>
          </cell>
          <cell r="P19">
            <v>0</v>
          </cell>
          <cell r="R19">
            <v>30</v>
          </cell>
        </row>
        <row r="20">
          <cell r="A20" t="str">
            <v>7214 СОЧНЫЕ Папа Может пельм пл.0,7кг зам  ОСТАНКИНО</v>
          </cell>
          <cell r="B20" t="str">
            <v>шт</v>
          </cell>
          <cell r="D20">
            <v>50</v>
          </cell>
          <cell r="F20">
            <v>50</v>
          </cell>
          <cell r="G20">
            <v>0.7</v>
          </cell>
          <cell r="H20">
            <v>180</v>
          </cell>
          <cell r="I20" t="str">
            <v>матрица</v>
          </cell>
          <cell r="L20">
            <v>0</v>
          </cell>
          <cell r="P20">
            <v>0</v>
          </cell>
          <cell r="R20">
            <v>20</v>
          </cell>
        </row>
        <row r="21">
          <cell r="A21" t="str">
            <v>7216 СОЧНЫЕ СО СЛ.МАСЛ.ПМ пельм пл.0.7кг зам. ОСТАНКИНО</v>
          </cell>
          <cell r="B21" t="str">
            <v>шт</v>
          </cell>
          <cell r="C21">
            <v>56</v>
          </cell>
          <cell r="D21">
            <v>52</v>
          </cell>
          <cell r="E21">
            <v>61</v>
          </cell>
          <cell r="F21">
            <v>7</v>
          </cell>
          <cell r="G21">
            <v>0.7</v>
          </cell>
          <cell r="H21">
            <v>180</v>
          </cell>
          <cell r="I21" t="str">
            <v>матрица</v>
          </cell>
          <cell r="K21">
            <v>61</v>
          </cell>
          <cell r="L21">
            <v>0</v>
          </cell>
          <cell r="O21">
            <v>50</v>
          </cell>
          <cell r="P21">
            <v>12.2</v>
          </cell>
          <cell r="Q21">
            <v>126</v>
          </cell>
        </row>
        <row r="22">
          <cell r="A22" t="str">
            <v>7224 МЯСНЫЕ ПРЕМИУМ пельм кор.0,4кг зам  ОСТАНКИНО</v>
          </cell>
          <cell r="B22" t="str">
            <v>шт</v>
          </cell>
          <cell r="D22">
            <v>64</v>
          </cell>
          <cell r="F22">
            <v>64</v>
          </cell>
          <cell r="G22">
            <v>0.4</v>
          </cell>
          <cell r="H22">
            <v>180</v>
          </cell>
          <cell r="I22" t="str">
            <v>матрица</v>
          </cell>
          <cell r="L22">
            <v>0</v>
          </cell>
          <cell r="P22">
            <v>0</v>
          </cell>
          <cell r="R22">
            <v>25</v>
          </cell>
        </row>
        <row r="23">
          <cell r="A23" t="str">
            <v>7375 СОЧНЫЕ Папа Может пельм 4кг зам  ОСТАНКИНО</v>
          </cell>
          <cell r="B23" t="str">
            <v>кг</v>
          </cell>
          <cell r="D23">
            <v>40.624000000000002</v>
          </cell>
          <cell r="F23">
            <v>40.624000000000002</v>
          </cell>
          <cell r="G23">
            <v>1</v>
          </cell>
          <cell r="H23">
            <v>180</v>
          </cell>
          <cell r="I23" t="str">
            <v>матрица</v>
          </cell>
          <cell r="L23">
            <v>0</v>
          </cell>
          <cell r="P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32" sqref="AF3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1" customWidth="1"/>
    <col min="20" max="21" width="5" customWidth="1"/>
    <col min="22" max="31" width="6" customWidth="1"/>
    <col min="32" max="32" width="44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59</v>
      </c>
      <c r="S3" s="3" t="s">
        <v>61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60</v>
      </c>
      <c r="S4" s="1" t="s">
        <v>62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444</v>
      </c>
      <c r="F5" s="4">
        <f>SUM(F6:F494)</f>
        <v>651.18600000000004</v>
      </c>
      <c r="G5" s="7"/>
      <c r="H5" s="1"/>
      <c r="I5" s="1"/>
      <c r="J5" s="1"/>
      <c r="K5" s="4">
        <f t="shared" ref="K5:S5" si="0">SUM(K6:K494)</f>
        <v>470</v>
      </c>
      <c r="L5" s="4">
        <f t="shared" si="0"/>
        <v>-26</v>
      </c>
      <c r="M5" s="4">
        <f t="shared" si="0"/>
        <v>0</v>
      </c>
      <c r="N5" s="4">
        <f t="shared" si="0"/>
        <v>0</v>
      </c>
      <c r="O5" s="4">
        <f t="shared" si="0"/>
        <v>100</v>
      </c>
      <c r="P5" s="4">
        <f t="shared" si="0"/>
        <v>88.8</v>
      </c>
      <c r="Q5" s="4">
        <f t="shared" si="0"/>
        <v>879.8</v>
      </c>
      <c r="R5" s="4">
        <f t="shared" si="0"/>
        <v>1150</v>
      </c>
      <c r="S5" s="4">
        <f t="shared" si="0"/>
        <v>800</v>
      </c>
      <c r="T5" s="1"/>
      <c r="U5" s="1"/>
      <c r="V5" s="4">
        <f t="shared" ref="V5:AE5" si="1">SUM(V6:V494)</f>
        <v>56.231199999999994</v>
      </c>
      <c r="W5" s="4">
        <f t="shared" si="1"/>
        <v>68.829599999999999</v>
      </c>
      <c r="X5" s="4">
        <f t="shared" si="1"/>
        <v>64.449200000000005</v>
      </c>
      <c r="Y5" s="4">
        <f t="shared" si="1"/>
        <v>70.800000000000011</v>
      </c>
      <c r="Z5" s="4">
        <f t="shared" si="1"/>
        <v>62.1096</v>
      </c>
      <c r="AA5" s="4">
        <f t="shared" si="1"/>
        <v>65.405599999999993</v>
      </c>
      <c r="AB5" s="4">
        <f t="shared" si="1"/>
        <v>55.437199999999997</v>
      </c>
      <c r="AC5" s="4">
        <f t="shared" si="1"/>
        <v>53.413999999999987</v>
      </c>
      <c r="AD5" s="4">
        <f t="shared" si="1"/>
        <v>78.434399999999997</v>
      </c>
      <c r="AE5" s="4">
        <f t="shared" si="1"/>
        <v>44.2</v>
      </c>
      <c r="AF5" s="1"/>
      <c r="AG5" s="4">
        <f>SUM(AG6:AG494)</f>
        <v>446.40000000000003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</v>
      </c>
      <c r="D6" s="1">
        <v>6</v>
      </c>
      <c r="E6" s="1"/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-10</v>
      </c>
      <c r="M6" s="1"/>
      <c r="N6" s="1"/>
      <c r="O6" s="1">
        <v>20</v>
      </c>
      <c r="P6" s="1">
        <f>E6/5</f>
        <v>0</v>
      </c>
      <c r="Q6" s="5">
        <v>10</v>
      </c>
      <c r="R6" s="5">
        <v>20</v>
      </c>
      <c r="S6" s="10">
        <f>VLOOKUP(A6,[1]Sheet!$A:$R,18,0)</f>
        <v>20</v>
      </c>
      <c r="T6" s="1" t="e">
        <f>(F6+O6+R6)/P6</f>
        <v>#DIV/0!</v>
      </c>
      <c r="U6" s="1" t="e">
        <f>(F6+O6)/P6</f>
        <v>#DIV/0!</v>
      </c>
      <c r="V6" s="1">
        <v>0.2</v>
      </c>
      <c r="W6" s="1">
        <v>0</v>
      </c>
      <c r="X6" s="1">
        <v>1.2</v>
      </c>
      <c r="Y6" s="1">
        <v>0</v>
      </c>
      <c r="Z6" s="1">
        <v>2.8</v>
      </c>
      <c r="AA6" s="1">
        <v>2</v>
      </c>
      <c r="AB6" s="1">
        <v>0</v>
      </c>
      <c r="AC6" s="1">
        <v>0.2</v>
      </c>
      <c r="AD6" s="1">
        <v>0.4</v>
      </c>
      <c r="AE6" s="1">
        <v>2.2000000000000002</v>
      </c>
      <c r="AF6" s="1" t="s">
        <v>36</v>
      </c>
      <c r="AG6" s="1">
        <f>G6*R6</f>
        <v>8.4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27.398</v>
      </c>
      <c r="D7" s="1">
        <v>4.5659999999999998</v>
      </c>
      <c r="E7" s="1"/>
      <c r="F7" s="1">
        <v>22.832000000000001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3">E7/5</f>
        <v>0</v>
      </c>
      <c r="Q7" s="5"/>
      <c r="R7" s="5"/>
      <c r="S7" s="10"/>
      <c r="T7" s="1" t="e">
        <f t="shared" ref="T7:T23" si="4">(F7+O7+R7)/P7</f>
        <v>#DIV/0!</v>
      </c>
      <c r="U7" s="1" t="e">
        <f t="shared" ref="U7:U23" si="5">(F7+O7)/P7</f>
        <v>#DIV/0!</v>
      </c>
      <c r="V7" s="1">
        <v>1.8311999999999999</v>
      </c>
      <c r="W7" s="1">
        <v>0.91320000000000001</v>
      </c>
      <c r="X7" s="1">
        <v>2.7412000000000001</v>
      </c>
      <c r="Y7" s="1">
        <v>0</v>
      </c>
      <c r="Z7" s="1">
        <v>0.90959999999999996</v>
      </c>
      <c r="AA7" s="1">
        <v>0</v>
      </c>
      <c r="AB7" s="1">
        <v>1.8371999999999999</v>
      </c>
      <c r="AC7" s="1">
        <v>1.8140000000000001</v>
      </c>
      <c r="AD7" s="1">
        <v>0.91639999999999999</v>
      </c>
      <c r="AE7" s="1">
        <v>0</v>
      </c>
      <c r="AF7" s="9" t="s">
        <v>58</v>
      </c>
      <c r="AG7" s="1">
        <f t="shared" ref="AG7:AG23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9.1259999999999994</v>
      </c>
      <c r="D8" s="1">
        <v>9.1479999999999997</v>
      </c>
      <c r="E8" s="1"/>
      <c r="F8" s="1">
        <v>13.73</v>
      </c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0"/>
      <c r="T8" s="1" t="e">
        <f t="shared" si="4"/>
        <v>#DIV/0!</v>
      </c>
      <c r="U8" s="1" t="e">
        <f t="shared" si="5"/>
        <v>#DIV/0!</v>
      </c>
      <c r="V8" s="1">
        <v>0</v>
      </c>
      <c r="W8" s="1">
        <v>0.91639999999999999</v>
      </c>
      <c r="X8" s="1">
        <v>0.90800000000000003</v>
      </c>
      <c r="Y8" s="1">
        <v>0</v>
      </c>
      <c r="Z8" s="1">
        <v>0</v>
      </c>
      <c r="AA8" s="1">
        <v>1.8056000000000001</v>
      </c>
      <c r="AB8" s="1">
        <v>0</v>
      </c>
      <c r="AC8" s="1">
        <v>0</v>
      </c>
      <c r="AD8" s="1">
        <v>0.91799999999999993</v>
      </c>
      <c r="AE8" s="1">
        <v>0</v>
      </c>
      <c r="AF8" s="1" t="s">
        <v>40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21</v>
      </c>
      <c r="D9" s="1">
        <v>4</v>
      </c>
      <c r="E9" s="1">
        <v>9</v>
      </c>
      <c r="F9" s="1">
        <v>1</v>
      </c>
      <c r="G9" s="7">
        <v>0.42</v>
      </c>
      <c r="H9" s="1">
        <v>120</v>
      </c>
      <c r="I9" s="1" t="s">
        <v>35</v>
      </c>
      <c r="J9" s="1"/>
      <c r="K9" s="1">
        <v>13</v>
      </c>
      <c r="L9" s="1">
        <f t="shared" si="2"/>
        <v>-4</v>
      </c>
      <c r="M9" s="1"/>
      <c r="N9" s="1"/>
      <c r="O9" s="1"/>
      <c r="P9" s="1">
        <f t="shared" si="3"/>
        <v>1.8</v>
      </c>
      <c r="Q9" s="5">
        <f>11*P9-O9-F9</f>
        <v>18.8</v>
      </c>
      <c r="R9" s="5">
        <v>20</v>
      </c>
      <c r="S9" s="10"/>
      <c r="T9" s="1">
        <f t="shared" si="4"/>
        <v>11.666666666666666</v>
      </c>
      <c r="U9" s="1">
        <f t="shared" si="5"/>
        <v>0.55555555555555558</v>
      </c>
      <c r="V9" s="1">
        <v>0.6</v>
      </c>
      <c r="W9" s="1">
        <v>1</v>
      </c>
      <c r="X9" s="1">
        <v>0.2</v>
      </c>
      <c r="Y9" s="1">
        <v>0.2</v>
      </c>
      <c r="Z9" s="1">
        <v>3</v>
      </c>
      <c r="AA9" s="1">
        <v>2.2000000000000002</v>
      </c>
      <c r="AB9" s="1">
        <v>0</v>
      </c>
      <c r="AC9" s="1">
        <v>1.8</v>
      </c>
      <c r="AD9" s="1">
        <v>3.4</v>
      </c>
      <c r="AE9" s="1">
        <v>1.4</v>
      </c>
      <c r="AF9" s="1" t="s">
        <v>42</v>
      </c>
      <c r="AG9" s="1">
        <f t="shared" si="6"/>
        <v>8.4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39</v>
      </c>
      <c r="D10" s="1">
        <v>224</v>
      </c>
      <c r="E10" s="1">
        <v>119</v>
      </c>
      <c r="F10" s="1"/>
      <c r="G10" s="7">
        <v>0.3</v>
      </c>
      <c r="H10" s="1">
        <v>120</v>
      </c>
      <c r="I10" s="1" t="s">
        <v>35</v>
      </c>
      <c r="J10" s="1"/>
      <c r="K10" s="1">
        <v>119</v>
      </c>
      <c r="L10" s="1">
        <f t="shared" si="2"/>
        <v>0</v>
      </c>
      <c r="M10" s="1"/>
      <c r="N10" s="1"/>
      <c r="O10" s="1"/>
      <c r="P10" s="1">
        <f t="shared" si="3"/>
        <v>23.8</v>
      </c>
      <c r="Q10" s="5">
        <f>10*P10-O10-F10</f>
        <v>238</v>
      </c>
      <c r="R10" s="5">
        <v>260</v>
      </c>
      <c r="S10" s="10">
        <f>VLOOKUP(A10,[1]Sheet!$A:$R,18,0)</f>
        <v>260</v>
      </c>
      <c r="T10" s="1">
        <f t="shared" si="4"/>
        <v>10.92436974789916</v>
      </c>
      <c r="U10" s="1">
        <f t="shared" si="5"/>
        <v>0</v>
      </c>
      <c r="V10" s="1">
        <v>11.4</v>
      </c>
      <c r="W10" s="1">
        <v>14.6</v>
      </c>
      <c r="X10" s="1">
        <v>5</v>
      </c>
      <c r="Y10" s="1">
        <v>16.600000000000001</v>
      </c>
      <c r="Z10" s="1">
        <v>4.8</v>
      </c>
      <c r="AA10" s="1">
        <v>1.4</v>
      </c>
      <c r="AB10" s="1">
        <v>10.4</v>
      </c>
      <c r="AC10" s="1">
        <v>0.2</v>
      </c>
      <c r="AD10" s="1">
        <v>7</v>
      </c>
      <c r="AE10" s="1">
        <v>7.8</v>
      </c>
      <c r="AF10" s="1"/>
      <c r="AG10" s="1">
        <f t="shared" si="6"/>
        <v>78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88</v>
      </c>
      <c r="D11" s="1">
        <v>179</v>
      </c>
      <c r="E11" s="1">
        <v>73</v>
      </c>
      <c r="F11" s="1">
        <v>76</v>
      </c>
      <c r="G11" s="7">
        <v>0.3</v>
      </c>
      <c r="H11" s="1">
        <v>120</v>
      </c>
      <c r="I11" s="1" t="s">
        <v>35</v>
      </c>
      <c r="J11" s="1"/>
      <c r="K11" s="1">
        <v>73</v>
      </c>
      <c r="L11" s="1">
        <f t="shared" si="2"/>
        <v>0</v>
      </c>
      <c r="M11" s="1"/>
      <c r="N11" s="1"/>
      <c r="O11" s="1"/>
      <c r="P11" s="1">
        <f t="shared" si="3"/>
        <v>14.6</v>
      </c>
      <c r="Q11" s="5">
        <f t="shared" ref="Q11:Q21" si="7">15*P11-O11-F11</f>
        <v>143</v>
      </c>
      <c r="R11" s="5">
        <v>170</v>
      </c>
      <c r="S11" s="10">
        <f>VLOOKUP(A11,[1]Sheet!$A:$R,18,0)</f>
        <v>170</v>
      </c>
      <c r="T11" s="1">
        <f t="shared" si="4"/>
        <v>16.849315068493151</v>
      </c>
      <c r="U11" s="1">
        <f t="shared" si="5"/>
        <v>5.2054794520547949</v>
      </c>
      <c r="V11" s="1">
        <v>13.6</v>
      </c>
      <c r="W11" s="1">
        <v>16.8</v>
      </c>
      <c r="X11" s="1">
        <v>14.6</v>
      </c>
      <c r="Y11" s="1">
        <v>23.8</v>
      </c>
      <c r="Z11" s="1">
        <v>8.8000000000000007</v>
      </c>
      <c r="AA11" s="1">
        <v>15.8</v>
      </c>
      <c r="AB11" s="1">
        <v>18.8</v>
      </c>
      <c r="AC11" s="1">
        <v>14.2</v>
      </c>
      <c r="AD11" s="1">
        <v>17.8</v>
      </c>
      <c r="AE11" s="1">
        <v>5.4</v>
      </c>
      <c r="AF11" s="1"/>
      <c r="AG11" s="1">
        <f t="shared" si="6"/>
        <v>51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76</v>
      </c>
      <c r="D12" s="1">
        <v>65</v>
      </c>
      <c r="E12" s="1">
        <v>38</v>
      </c>
      <c r="F12" s="1">
        <v>62</v>
      </c>
      <c r="G12" s="7">
        <v>0.35</v>
      </c>
      <c r="H12" s="1">
        <v>120</v>
      </c>
      <c r="I12" s="1" t="s">
        <v>35</v>
      </c>
      <c r="J12" s="1"/>
      <c r="K12" s="1">
        <v>38</v>
      </c>
      <c r="L12" s="1">
        <f t="shared" si="2"/>
        <v>0</v>
      </c>
      <c r="M12" s="1"/>
      <c r="N12" s="1"/>
      <c r="O12" s="1"/>
      <c r="P12" s="1">
        <f t="shared" si="3"/>
        <v>7.6</v>
      </c>
      <c r="Q12" s="5">
        <f t="shared" si="7"/>
        <v>52</v>
      </c>
      <c r="R12" s="5">
        <v>80</v>
      </c>
      <c r="S12" s="10">
        <f>VLOOKUP(A12,[1]Sheet!$A:$R,18,0)</f>
        <v>80</v>
      </c>
      <c r="T12" s="1">
        <f t="shared" si="4"/>
        <v>18.684210526315791</v>
      </c>
      <c r="U12" s="1">
        <f t="shared" si="5"/>
        <v>8.1578947368421062</v>
      </c>
      <c r="V12" s="1">
        <v>4.8</v>
      </c>
      <c r="W12" s="1">
        <v>8.8000000000000007</v>
      </c>
      <c r="X12" s="1">
        <v>10</v>
      </c>
      <c r="Y12" s="1">
        <v>8</v>
      </c>
      <c r="Z12" s="1">
        <v>10.4</v>
      </c>
      <c r="AA12" s="1">
        <v>9</v>
      </c>
      <c r="AB12" s="1">
        <v>7</v>
      </c>
      <c r="AC12" s="1">
        <v>9.4</v>
      </c>
      <c r="AD12" s="1">
        <v>10.199999999999999</v>
      </c>
      <c r="AE12" s="1">
        <v>7.2</v>
      </c>
      <c r="AF12" s="1"/>
      <c r="AG12" s="1">
        <f t="shared" si="6"/>
        <v>28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92</v>
      </c>
      <c r="D13" s="1">
        <v>74</v>
      </c>
      <c r="E13" s="1">
        <v>82</v>
      </c>
      <c r="F13" s="1">
        <v>66</v>
      </c>
      <c r="G13" s="7">
        <v>0.3</v>
      </c>
      <c r="H13" s="1">
        <v>120</v>
      </c>
      <c r="I13" s="1" t="s">
        <v>35</v>
      </c>
      <c r="J13" s="1"/>
      <c r="K13" s="1">
        <v>82</v>
      </c>
      <c r="L13" s="1">
        <f t="shared" si="2"/>
        <v>0</v>
      </c>
      <c r="M13" s="1"/>
      <c r="N13" s="1"/>
      <c r="O13" s="1"/>
      <c r="P13" s="1">
        <f t="shared" si="3"/>
        <v>16.399999999999999</v>
      </c>
      <c r="Q13" s="5">
        <f t="shared" si="7"/>
        <v>179.99999999999997</v>
      </c>
      <c r="R13" s="5">
        <v>180</v>
      </c>
      <c r="S13" s="10"/>
      <c r="T13" s="1">
        <f t="shared" si="4"/>
        <v>15.000000000000002</v>
      </c>
      <c r="U13" s="1">
        <f t="shared" si="5"/>
        <v>4.024390243902439</v>
      </c>
      <c r="V13" s="1">
        <v>7.4</v>
      </c>
      <c r="W13" s="1">
        <v>11</v>
      </c>
      <c r="X13" s="1">
        <v>11.8</v>
      </c>
      <c r="Y13" s="1">
        <v>7.2</v>
      </c>
      <c r="Z13" s="1">
        <v>9.1999999999999993</v>
      </c>
      <c r="AA13" s="1">
        <v>14</v>
      </c>
      <c r="AB13" s="1">
        <v>4.5999999999999996</v>
      </c>
      <c r="AC13" s="1">
        <v>9.1999999999999993</v>
      </c>
      <c r="AD13" s="1">
        <v>15.2</v>
      </c>
      <c r="AE13" s="1">
        <v>7.6</v>
      </c>
      <c r="AF13" s="1"/>
      <c r="AG13" s="1">
        <f t="shared" si="6"/>
        <v>54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82</v>
      </c>
      <c r="D14" s="1">
        <v>62</v>
      </c>
      <c r="E14" s="1">
        <v>44</v>
      </c>
      <c r="F14" s="1">
        <v>42</v>
      </c>
      <c r="G14" s="7">
        <v>0.35</v>
      </c>
      <c r="H14" s="1">
        <v>120</v>
      </c>
      <c r="I14" s="1" t="s">
        <v>35</v>
      </c>
      <c r="J14" s="1"/>
      <c r="K14" s="1">
        <v>44</v>
      </c>
      <c r="L14" s="1">
        <f t="shared" si="2"/>
        <v>0</v>
      </c>
      <c r="M14" s="1"/>
      <c r="N14" s="1"/>
      <c r="O14" s="1"/>
      <c r="P14" s="1">
        <f t="shared" si="3"/>
        <v>8.8000000000000007</v>
      </c>
      <c r="Q14" s="5">
        <f t="shared" si="7"/>
        <v>90</v>
      </c>
      <c r="R14" s="5">
        <v>110</v>
      </c>
      <c r="S14" s="10">
        <f>VLOOKUP(A14,[1]Sheet!$A:$R,18,0)</f>
        <v>110</v>
      </c>
      <c r="T14" s="1">
        <f t="shared" si="4"/>
        <v>17.27272727272727</v>
      </c>
      <c r="U14" s="1">
        <f t="shared" si="5"/>
        <v>4.7727272727272725</v>
      </c>
      <c r="V14" s="1">
        <v>6.8</v>
      </c>
      <c r="W14" s="1">
        <v>11.8</v>
      </c>
      <c r="X14" s="1">
        <v>11.4</v>
      </c>
      <c r="Y14" s="1">
        <v>11</v>
      </c>
      <c r="Z14" s="1">
        <v>14</v>
      </c>
      <c r="AA14" s="1">
        <v>10.8</v>
      </c>
      <c r="AB14" s="1">
        <v>5.8</v>
      </c>
      <c r="AC14" s="1">
        <v>11.8</v>
      </c>
      <c r="AD14" s="1">
        <v>11.6</v>
      </c>
      <c r="AE14" s="1">
        <v>10.8</v>
      </c>
      <c r="AF14" s="1"/>
      <c r="AG14" s="1">
        <f t="shared" si="6"/>
        <v>38.5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20</v>
      </c>
      <c r="D15" s="1">
        <v>12</v>
      </c>
      <c r="E15" s="1">
        <v>18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30</v>
      </c>
      <c r="L15" s="1">
        <f t="shared" si="2"/>
        <v>-12</v>
      </c>
      <c r="M15" s="1"/>
      <c r="N15" s="1"/>
      <c r="O15" s="1">
        <v>30</v>
      </c>
      <c r="P15" s="1">
        <f t="shared" si="3"/>
        <v>3.6</v>
      </c>
      <c r="Q15" s="5">
        <f t="shared" si="7"/>
        <v>22</v>
      </c>
      <c r="R15" s="5">
        <v>20</v>
      </c>
      <c r="S15" s="10"/>
      <c r="T15" s="1">
        <f t="shared" si="4"/>
        <v>14.444444444444445</v>
      </c>
      <c r="U15" s="1">
        <f t="shared" si="5"/>
        <v>8.8888888888888893</v>
      </c>
      <c r="V15" s="1">
        <v>3</v>
      </c>
      <c r="W15" s="1">
        <v>0.2</v>
      </c>
      <c r="X15" s="1">
        <v>0</v>
      </c>
      <c r="Y15" s="1">
        <v>0</v>
      </c>
      <c r="Z15" s="1">
        <v>0.2</v>
      </c>
      <c r="AA15" s="1">
        <v>2.8</v>
      </c>
      <c r="AB15" s="1">
        <v>0</v>
      </c>
      <c r="AC15" s="1">
        <v>0.4</v>
      </c>
      <c r="AD15" s="1">
        <v>4.8</v>
      </c>
      <c r="AE15" s="1">
        <v>0</v>
      </c>
      <c r="AF15" s="1" t="s">
        <v>49</v>
      </c>
      <c r="AG15" s="1">
        <f t="shared" si="6"/>
        <v>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34</v>
      </c>
      <c r="C16" s="1"/>
      <c r="D16" s="1">
        <v>64</v>
      </c>
      <c r="E16" s="1"/>
      <c r="F16" s="1">
        <v>64</v>
      </c>
      <c r="G16" s="7">
        <v>0.5</v>
      </c>
      <c r="H16" s="1">
        <v>180</v>
      </c>
      <c r="I16" s="1" t="s">
        <v>35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/>
      <c r="R16" s="5">
        <v>30</v>
      </c>
      <c r="S16" s="10">
        <f>VLOOKUP(A16,[1]Sheet!$A:$R,18,0)</f>
        <v>30</v>
      </c>
      <c r="T16" s="1" t="e">
        <f t="shared" si="4"/>
        <v>#DIV/0!</v>
      </c>
      <c r="U16" s="1" t="e">
        <f t="shared" si="5"/>
        <v>#DIV/0!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f t="shared" si="6"/>
        <v>15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34</v>
      </c>
      <c r="C17" s="1"/>
      <c r="D17" s="1">
        <v>60</v>
      </c>
      <c r="E17" s="1"/>
      <c r="F17" s="1">
        <v>60</v>
      </c>
      <c r="G17" s="7">
        <v>0.42</v>
      </c>
      <c r="H17" s="1">
        <v>120</v>
      </c>
      <c r="I17" s="1" t="s">
        <v>35</v>
      </c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5">
        <v>25</v>
      </c>
      <c r="S17" s="10">
        <f>VLOOKUP(A17,[1]Sheet!$A:$R,18,0)</f>
        <v>25</v>
      </c>
      <c r="T17" s="1" t="e">
        <f t="shared" si="4"/>
        <v>#DIV/0!</v>
      </c>
      <c r="U17" s="1" t="e">
        <f t="shared" si="5"/>
        <v>#DIV/0!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f t="shared" si="6"/>
        <v>10.5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34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35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5"/>
      <c r="R18" s="5">
        <v>30</v>
      </c>
      <c r="S18" s="10">
        <f>VLOOKUP(A18,[1]Sheet!$A:$R,18,0)</f>
        <v>30</v>
      </c>
      <c r="T18" s="1" t="e">
        <f t="shared" si="4"/>
        <v>#DIV/0!</v>
      </c>
      <c r="U18" s="1" t="e">
        <f t="shared" si="5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6"/>
        <v>21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34</v>
      </c>
      <c r="C19" s="1"/>
      <c r="D19" s="1">
        <v>60</v>
      </c>
      <c r="E19" s="1"/>
      <c r="F19" s="1">
        <v>60</v>
      </c>
      <c r="G19" s="7">
        <v>0.42</v>
      </c>
      <c r="H19" s="1">
        <v>180</v>
      </c>
      <c r="I19" s="1" t="s">
        <v>35</v>
      </c>
      <c r="J19" s="1"/>
      <c r="K19" s="1"/>
      <c r="L19" s="1">
        <f t="shared" si="2"/>
        <v>0</v>
      </c>
      <c r="M19" s="1"/>
      <c r="N19" s="1"/>
      <c r="O19" s="1"/>
      <c r="P19" s="1">
        <f t="shared" si="3"/>
        <v>0</v>
      </c>
      <c r="Q19" s="5"/>
      <c r="R19" s="5">
        <v>30</v>
      </c>
      <c r="S19" s="10">
        <f>VLOOKUP(A19,[1]Sheet!$A:$R,18,0)</f>
        <v>30</v>
      </c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f t="shared" si="6"/>
        <v>12.6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34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/>
      <c r="L20" s="1">
        <f t="shared" si="2"/>
        <v>0</v>
      </c>
      <c r="M20" s="1"/>
      <c r="N20" s="1"/>
      <c r="O20" s="1"/>
      <c r="P20" s="1">
        <f t="shared" si="3"/>
        <v>0</v>
      </c>
      <c r="Q20" s="5"/>
      <c r="R20" s="5">
        <v>20</v>
      </c>
      <c r="S20" s="10">
        <f>VLOOKUP(A20,[1]Sheet!$A:$R,18,0)</f>
        <v>20</v>
      </c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6"/>
        <v>14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56</v>
      </c>
      <c r="D21" s="1">
        <v>52</v>
      </c>
      <c r="E21" s="1">
        <v>61</v>
      </c>
      <c r="F21" s="1">
        <v>7</v>
      </c>
      <c r="G21" s="7">
        <v>0.7</v>
      </c>
      <c r="H21" s="1">
        <v>180</v>
      </c>
      <c r="I21" s="1" t="s">
        <v>35</v>
      </c>
      <c r="J21" s="1"/>
      <c r="K21" s="1">
        <v>61</v>
      </c>
      <c r="L21" s="1">
        <f t="shared" si="2"/>
        <v>0</v>
      </c>
      <c r="M21" s="1"/>
      <c r="N21" s="1"/>
      <c r="O21" s="1">
        <v>50</v>
      </c>
      <c r="P21" s="1">
        <f t="shared" si="3"/>
        <v>12.2</v>
      </c>
      <c r="Q21" s="5">
        <f t="shared" si="7"/>
        <v>126</v>
      </c>
      <c r="R21" s="5">
        <v>130</v>
      </c>
      <c r="S21" s="10"/>
      <c r="T21" s="1">
        <f t="shared" si="4"/>
        <v>15.327868852459018</v>
      </c>
      <c r="U21" s="1">
        <f t="shared" si="5"/>
        <v>4.6721311475409841</v>
      </c>
      <c r="V21" s="1">
        <v>6.6</v>
      </c>
      <c r="W21" s="1">
        <v>2.8</v>
      </c>
      <c r="X21" s="1">
        <v>6.6</v>
      </c>
      <c r="Y21" s="1">
        <v>4</v>
      </c>
      <c r="Z21" s="1">
        <v>8</v>
      </c>
      <c r="AA21" s="1">
        <v>5.6</v>
      </c>
      <c r="AB21" s="1">
        <v>7</v>
      </c>
      <c r="AC21" s="1">
        <v>4.4000000000000004</v>
      </c>
      <c r="AD21" s="1">
        <v>6.2</v>
      </c>
      <c r="AE21" s="1">
        <v>1.8</v>
      </c>
      <c r="AF21" s="1"/>
      <c r="AG21" s="1">
        <f t="shared" si="6"/>
        <v>91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34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35</v>
      </c>
      <c r="J22" s="1"/>
      <c r="K22" s="1"/>
      <c r="L22" s="1">
        <f t="shared" si="2"/>
        <v>0</v>
      </c>
      <c r="M22" s="1"/>
      <c r="N22" s="1"/>
      <c r="O22" s="1"/>
      <c r="P22" s="1">
        <f t="shared" si="3"/>
        <v>0</v>
      </c>
      <c r="Q22" s="5"/>
      <c r="R22" s="5">
        <v>25</v>
      </c>
      <c r="S22" s="10">
        <f>VLOOKUP(A22,[1]Sheet!$A:$R,18,0)</f>
        <v>25</v>
      </c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6"/>
        <v>10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38</v>
      </c>
      <c r="C23" s="1"/>
      <c r="D23" s="1">
        <v>40.624000000000002</v>
      </c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/>
      <c r="S23" s="10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AG23" xr:uid="{C8377581-D7C2-4636-AD13-D64948DEC04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2026-10-19T16:40:35Z</dcterms:created>
  <dcterms:modified xsi:type="dcterms:W3CDTF">2026-10-21T12:02:04Z</dcterms:modified>
</cp:coreProperties>
</file>