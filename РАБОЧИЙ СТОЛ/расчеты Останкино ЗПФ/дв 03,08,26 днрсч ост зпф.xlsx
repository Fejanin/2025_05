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FDAE755C-D279-488B-8CA8-7159EE02D6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Z7" i="1" l="1"/>
  <c r="Q10" i="1"/>
  <c r="Q11" i="1"/>
  <c r="Q12" i="1"/>
  <c r="R12" i="1" s="1"/>
  <c r="Q13" i="1"/>
  <c r="R13" i="1" s="1"/>
  <c r="Q14" i="1"/>
  <c r="R15" i="1"/>
  <c r="Z16" i="1"/>
  <c r="R7" i="1"/>
  <c r="S7" i="1"/>
  <c r="R8" i="1"/>
  <c r="S8" i="1"/>
  <c r="R9" i="1"/>
  <c r="S9" i="1"/>
  <c r="R10" i="1"/>
  <c r="S10" i="1"/>
  <c r="R11" i="1"/>
  <c r="S11" i="1"/>
  <c r="S12" i="1"/>
  <c r="S13" i="1"/>
  <c r="R14" i="1"/>
  <c r="S14" i="1"/>
  <c r="S15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L16" i="1"/>
  <c r="Z15" i="1"/>
  <c r="L15" i="1"/>
  <c r="Z14" i="1"/>
  <c r="L14" i="1"/>
  <c r="L13" i="1"/>
  <c r="Z12" i="1"/>
  <c r="L12" i="1"/>
  <c r="Z11" i="1"/>
  <c r="L11" i="1"/>
  <c r="Z10" i="1"/>
  <c r="L10" i="1"/>
  <c r="Z9" i="1"/>
  <c r="L9" i="1"/>
  <c r="Z8" i="1"/>
  <c r="L8" i="1"/>
  <c r="L7" i="1"/>
  <c r="Z6" i="1"/>
  <c r="L6" i="1"/>
  <c r="X5" i="1"/>
  <c r="W5" i="1"/>
  <c r="V5" i="1"/>
  <c r="U5" i="1"/>
  <c r="T5" i="1"/>
  <c r="O5" i="1"/>
  <c r="N5" i="1"/>
  <c r="M5" i="1"/>
  <c r="K5" i="1"/>
  <c r="F5" i="1"/>
  <c r="E5" i="1"/>
  <c r="Q5" i="1" l="1"/>
  <c r="Z13" i="1"/>
  <c r="R16" i="1"/>
  <c r="Z5" i="1"/>
  <c r="P5" i="1"/>
  <c r="L5" i="1"/>
</calcChain>
</file>

<file path=xl/sharedStrings.xml><?xml version="1.0" encoding="utf-8"?>
<sst xmlns="http://schemas.openxmlformats.org/spreadsheetml/2006/main" count="71" uniqueCount="43">
  <si>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</si>
  <si>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</si>
  <si>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</si>
  <si>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</si>
  <si>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</si>
  <si>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</si>
  <si>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</si>
  <si>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</si>
  <si>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</si>
  <si>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</si>
  <si>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</si>
  <si>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</si>
  <si>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</si>
  <si>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</si>
  <si>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</si>
  <si>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</si>
  <si>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</si>
  <si>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</si>
  <si>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</si>
  <si>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</si>
  <si>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</si>
  <si>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</si>
  <si>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</si>
  <si>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03,08,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</si>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</sst>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9" sqref="Y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4" width="6" customWidth="1"/>
    <col min="25" max="25" width="41.42578125" customWidth="1"/>
    <col min="26" max="26" width="7" customWidth="1"/>
    <col min="2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411.25200000000001</v>
      </c>
      <c r="F5" s="4">
        <f>SUM(F6:F500)</f>
        <v>1139.021</v>
      </c>
      <c r="G5" s="7"/>
      <c r="H5" s="1"/>
      <c r="I5" s="1"/>
      <c r="J5" s="1"/>
      <c r="K5" s="4">
        <f t="shared" ref="K5:Q5" si="0">SUM(K6:K500)</f>
        <v>585</v>
      </c>
      <c r="L5" s="4">
        <f t="shared" si="0"/>
        <v>-173.74799999999999</v>
      </c>
      <c r="M5" s="4">
        <f t="shared" si="0"/>
        <v>0</v>
      </c>
      <c r="N5" s="4">
        <f t="shared" si="0"/>
        <v>0</v>
      </c>
      <c r="O5" s="4">
        <f t="shared" si="0"/>
        <v>200</v>
      </c>
      <c r="P5" s="4">
        <f t="shared" si="0"/>
        <v>82.250399999999985</v>
      </c>
      <c r="Q5" s="4">
        <f t="shared" si="0"/>
        <v>502</v>
      </c>
      <c r="R5" s="1"/>
      <c r="S5" s="1"/>
      <c r="T5" s="4">
        <f>SUM(T6:T500)</f>
        <v>62.94319999999999</v>
      </c>
      <c r="U5" s="4">
        <f>SUM(U6:U500)</f>
        <v>63.713200000000001</v>
      </c>
      <c r="V5" s="4">
        <f>SUM(V6:V500)</f>
        <v>88.232799999999997</v>
      </c>
      <c r="W5" s="4">
        <f>SUM(W6:W500)</f>
        <v>69.177999999999997</v>
      </c>
      <c r="X5" s="4">
        <f>SUM(X6:X500)</f>
        <v>81.424800000000005</v>
      </c>
      <c r="Y5" s="1"/>
      <c r="Z5" s="4">
        <f>SUM(Z6:Z500)</f>
        <v>160.35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133</v>
      </c>
      <c r="D6" s="1">
        <v>3</v>
      </c>
      <c r="E6" s="1">
        <v>18</v>
      </c>
      <c r="F6" s="1">
        <v>107</v>
      </c>
      <c r="G6" s="7">
        <v>0.42</v>
      </c>
      <c r="H6" s="1">
        <v>120</v>
      </c>
      <c r="I6" s="1" t="s">
        <v>30</v>
      </c>
      <c r="J6" s="1"/>
      <c r="K6" s="1">
        <v>21</v>
      </c>
      <c r="L6" s="1">
        <f t="shared" ref="L6:L16" si="1">E6-K6</f>
        <v>-3</v>
      </c>
      <c r="M6" s="1"/>
      <c r="N6" s="1"/>
      <c r="O6" s="1"/>
      <c r="P6" s="1">
        <f>E6/5</f>
        <v>3.6</v>
      </c>
      <c r="Q6" s="5"/>
      <c r="R6" s="1">
        <f>(F6+O6+Q6)/P6</f>
        <v>29.722222222222221</v>
      </c>
      <c r="S6" s="1">
        <f>(F6+O6)/P6</f>
        <v>29.722222222222221</v>
      </c>
      <c r="T6" s="1">
        <v>0</v>
      </c>
      <c r="U6" s="1">
        <v>0.6</v>
      </c>
      <c r="V6" s="1">
        <v>-0.2</v>
      </c>
      <c r="W6" s="1">
        <v>1</v>
      </c>
      <c r="X6" s="1">
        <v>1</v>
      </c>
      <c r="Y6" s="9" t="s">
        <v>31</v>
      </c>
      <c r="Z6" s="1">
        <f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41.228999999999999</v>
      </c>
      <c r="D7" s="1"/>
      <c r="E7" s="1">
        <v>9.1739999999999995</v>
      </c>
      <c r="F7" s="1">
        <v>27.460999999999999</v>
      </c>
      <c r="G7" s="7">
        <v>1</v>
      </c>
      <c r="H7" s="1">
        <v>120</v>
      </c>
      <c r="I7" s="1" t="s">
        <v>30</v>
      </c>
      <c r="J7" s="1"/>
      <c r="K7" s="1">
        <v>27</v>
      </c>
      <c r="L7" s="1">
        <f t="shared" si="1"/>
        <v>-17.826000000000001</v>
      </c>
      <c r="M7" s="1"/>
      <c r="N7" s="1"/>
      <c r="O7" s="1"/>
      <c r="P7" s="1">
        <f t="shared" ref="P7:P16" si="2">E7/5</f>
        <v>1.8348</v>
      </c>
      <c r="Q7" s="5"/>
      <c r="R7" s="1">
        <f t="shared" ref="R7:R16" si="3">(F7+O7+Q7)/P7</f>
        <v>14.966753869631567</v>
      </c>
      <c r="S7" s="1">
        <f t="shared" ref="S7:S16" si="4">(F7+O7)/P7</f>
        <v>14.966753869631567</v>
      </c>
      <c r="T7" s="1">
        <v>1.8384</v>
      </c>
      <c r="U7" s="1">
        <v>0.91320000000000001</v>
      </c>
      <c r="V7" s="1">
        <v>1.8176000000000001</v>
      </c>
      <c r="W7" s="1">
        <v>4.5468000000000002</v>
      </c>
      <c r="X7" s="1">
        <v>0.91639999999999999</v>
      </c>
      <c r="Y7" s="1"/>
      <c r="Z7" s="1">
        <f>G7*Q7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95.638000000000005</v>
      </c>
      <c r="D8" s="1"/>
      <c r="E8" s="1">
        <v>9.0779999999999994</v>
      </c>
      <c r="F8" s="1">
        <v>86.56</v>
      </c>
      <c r="G8" s="7">
        <v>1</v>
      </c>
      <c r="H8" s="1">
        <v>120</v>
      </c>
      <c r="I8" s="1" t="s">
        <v>30</v>
      </c>
      <c r="J8" s="1"/>
      <c r="K8" s="1">
        <v>9</v>
      </c>
      <c r="L8" s="1">
        <f t="shared" si="1"/>
        <v>7.7999999999999403E-2</v>
      </c>
      <c r="M8" s="1"/>
      <c r="N8" s="1"/>
      <c r="O8" s="1"/>
      <c r="P8" s="1">
        <f t="shared" si="2"/>
        <v>1.8155999999999999</v>
      </c>
      <c r="Q8" s="5"/>
      <c r="R8" s="1">
        <f t="shared" si="3"/>
        <v>47.675699493280462</v>
      </c>
      <c r="S8" s="1">
        <f t="shared" si="4"/>
        <v>47.675699493280462</v>
      </c>
      <c r="T8" s="1">
        <v>0.90480000000000005</v>
      </c>
      <c r="U8" s="1">
        <v>0</v>
      </c>
      <c r="V8" s="1">
        <v>1.8151999999999999</v>
      </c>
      <c r="W8" s="1">
        <v>1.8311999999999999</v>
      </c>
      <c r="X8" s="1">
        <v>0.90839999999999999</v>
      </c>
      <c r="Y8" s="9" t="s">
        <v>31</v>
      </c>
      <c r="Z8" s="1">
        <f>G8*Q8</f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>
        <v>175</v>
      </c>
      <c r="D9" s="1"/>
      <c r="E9" s="1">
        <v>12</v>
      </c>
      <c r="F9" s="1">
        <v>157</v>
      </c>
      <c r="G9" s="7">
        <v>0.42</v>
      </c>
      <c r="H9" s="1">
        <v>120</v>
      </c>
      <c r="I9" s="1" t="s">
        <v>30</v>
      </c>
      <c r="J9" s="1"/>
      <c r="K9" s="1">
        <v>16</v>
      </c>
      <c r="L9" s="1">
        <f t="shared" si="1"/>
        <v>-4</v>
      </c>
      <c r="M9" s="1"/>
      <c r="N9" s="1"/>
      <c r="O9" s="1"/>
      <c r="P9" s="1">
        <f t="shared" si="2"/>
        <v>2.4</v>
      </c>
      <c r="Q9" s="5"/>
      <c r="R9" s="1">
        <f t="shared" si="3"/>
        <v>65.416666666666671</v>
      </c>
      <c r="S9" s="1">
        <f t="shared" si="4"/>
        <v>65.416666666666671</v>
      </c>
      <c r="T9" s="1">
        <v>0.4</v>
      </c>
      <c r="U9" s="1">
        <v>1.8</v>
      </c>
      <c r="V9" s="1">
        <v>1.4</v>
      </c>
      <c r="W9" s="1">
        <v>4.5999999999999996</v>
      </c>
      <c r="X9" s="1">
        <v>2.4</v>
      </c>
      <c r="Y9" s="9" t="s">
        <v>31</v>
      </c>
      <c r="Z9" s="1">
        <f>G9*Q9</f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76</v>
      </c>
      <c r="D10" s="1">
        <v>20</v>
      </c>
      <c r="E10" s="1">
        <v>35</v>
      </c>
      <c r="F10" s="1">
        <v>41</v>
      </c>
      <c r="G10" s="7">
        <v>0.3</v>
      </c>
      <c r="H10" s="1">
        <v>120</v>
      </c>
      <c r="I10" s="1" t="s">
        <v>30</v>
      </c>
      <c r="J10" s="1"/>
      <c r="K10" s="1">
        <v>93</v>
      </c>
      <c r="L10" s="1">
        <f t="shared" si="1"/>
        <v>-58</v>
      </c>
      <c r="M10" s="1"/>
      <c r="N10" s="1"/>
      <c r="O10" s="1">
        <v>50</v>
      </c>
      <c r="P10" s="1">
        <f t="shared" si="2"/>
        <v>7</v>
      </c>
      <c r="Q10" s="5">
        <f t="shared" ref="Q7:Q16" si="5">15*P10-O10-F10</f>
        <v>14</v>
      </c>
      <c r="R10" s="1">
        <f t="shared" si="3"/>
        <v>15</v>
      </c>
      <c r="S10" s="1">
        <f t="shared" si="4"/>
        <v>13</v>
      </c>
      <c r="T10" s="1">
        <v>9.1999999999999993</v>
      </c>
      <c r="U10" s="1">
        <v>6.2</v>
      </c>
      <c r="V10" s="1">
        <v>9.6</v>
      </c>
      <c r="W10" s="1">
        <v>9.6</v>
      </c>
      <c r="X10" s="1">
        <v>10.199999999999999</v>
      </c>
      <c r="Y10" s="1"/>
      <c r="Z10" s="1">
        <f>G10*Q10</f>
        <v>4.2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200</v>
      </c>
      <c r="D11" s="1">
        <v>7</v>
      </c>
      <c r="E11" s="1">
        <v>114</v>
      </c>
      <c r="F11" s="1">
        <v>78</v>
      </c>
      <c r="G11" s="7">
        <v>0.3</v>
      </c>
      <c r="H11" s="1">
        <v>120</v>
      </c>
      <c r="I11" s="1" t="s">
        <v>30</v>
      </c>
      <c r="J11" s="1"/>
      <c r="K11" s="1">
        <v>125</v>
      </c>
      <c r="L11" s="1">
        <f t="shared" si="1"/>
        <v>-11</v>
      </c>
      <c r="M11" s="1"/>
      <c r="N11" s="1"/>
      <c r="O11" s="1"/>
      <c r="P11" s="1">
        <f t="shared" si="2"/>
        <v>22.8</v>
      </c>
      <c r="Q11" s="5">
        <f t="shared" si="5"/>
        <v>264</v>
      </c>
      <c r="R11" s="1">
        <f t="shared" si="3"/>
        <v>15</v>
      </c>
      <c r="S11" s="1">
        <f t="shared" si="4"/>
        <v>3.4210526315789473</v>
      </c>
      <c r="T11" s="1">
        <v>9</v>
      </c>
      <c r="U11" s="1">
        <v>10</v>
      </c>
      <c r="V11" s="1">
        <v>20.2</v>
      </c>
      <c r="W11" s="1">
        <v>14.2</v>
      </c>
      <c r="X11" s="1">
        <v>22.6</v>
      </c>
      <c r="Y11" s="1"/>
      <c r="Z11" s="1">
        <f>G11*Q11</f>
        <v>79.2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112</v>
      </c>
      <c r="D12" s="1">
        <v>12</v>
      </c>
      <c r="E12" s="1">
        <v>62</v>
      </c>
      <c r="F12" s="1">
        <v>46</v>
      </c>
      <c r="G12" s="7">
        <v>0.35</v>
      </c>
      <c r="H12" s="1">
        <v>120</v>
      </c>
      <c r="I12" s="1" t="s">
        <v>30</v>
      </c>
      <c r="J12" s="1"/>
      <c r="K12" s="1">
        <v>69</v>
      </c>
      <c r="L12" s="1">
        <f t="shared" si="1"/>
        <v>-7</v>
      </c>
      <c r="M12" s="1"/>
      <c r="N12" s="1"/>
      <c r="O12" s="1">
        <v>10</v>
      </c>
      <c r="P12" s="1">
        <f t="shared" si="2"/>
        <v>12.4</v>
      </c>
      <c r="Q12" s="5">
        <f t="shared" si="5"/>
        <v>130</v>
      </c>
      <c r="R12" s="1">
        <f t="shared" si="3"/>
        <v>15</v>
      </c>
      <c r="S12" s="1">
        <f t="shared" si="4"/>
        <v>4.5161290322580641</v>
      </c>
      <c r="T12" s="1">
        <v>8</v>
      </c>
      <c r="U12" s="1">
        <v>9.4</v>
      </c>
      <c r="V12" s="1">
        <v>13.4</v>
      </c>
      <c r="W12" s="1">
        <v>16.399999999999999</v>
      </c>
      <c r="X12" s="1">
        <v>12</v>
      </c>
      <c r="Y12" s="1"/>
      <c r="Z12" s="1">
        <f>G12*Q12</f>
        <v>45.5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95</v>
      </c>
      <c r="D13" s="1">
        <v>12</v>
      </c>
      <c r="E13" s="1">
        <v>56</v>
      </c>
      <c r="F13" s="1">
        <v>29</v>
      </c>
      <c r="G13" s="7">
        <v>0.3</v>
      </c>
      <c r="H13" s="1">
        <v>120</v>
      </c>
      <c r="I13" s="1" t="s">
        <v>30</v>
      </c>
      <c r="J13" s="1"/>
      <c r="K13" s="1">
        <v>104</v>
      </c>
      <c r="L13" s="1">
        <f t="shared" si="1"/>
        <v>-48</v>
      </c>
      <c r="M13" s="1"/>
      <c r="N13" s="1"/>
      <c r="O13" s="1">
        <v>110</v>
      </c>
      <c r="P13" s="1">
        <f t="shared" si="2"/>
        <v>11.2</v>
      </c>
      <c r="Q13" s="5">
        <f t="shared" si="5"/>
        <v>29</v>
      </c>
      <c r="R13" s="1">
        <f t="shared" si="3"/>
        <v>15.000000000000002</v>
      </c>
      <c r="S13" s="1">
        <f t="shared" si="4"/>
        <v>12.410714285714286</v>
      </c>
      <c r="T13" s="1">
        <v>13</v>
      </c>
      <c r="U13" s="1">
        <v>7.4</v>
      </c>
      <c r="V13" s="1">
        <v>13.8</v>
      </c>
      <c r="W13" s="1">
        <v>8.1999999999999993</v>
      </c>
      <c r="X13" s="1">
        <v>13.2</v>
      </c>
      <c r="Y13" s="1"/>
      <c r="Z13" s="1">
        <f>G13*Q13</f>
        <v>8.6999999999999993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>
        <v>98</v>
      </c>
      <c r="D14" s="1">
        <v>75</v>
      </c>
      <c r="E14" s="1">
        <v>58</v>
      </c>
      <c r="F14" s="1">
        <v>79</v>
      </c>
      <c r="G14" s="7">
        <v>0.35</v>
      </c>
      <c r="H14" s="1">
        <v>120</v>
      </c>
      <c r="I14" s="1" t="s">
        <v>30</v>
      </c>
      <c r="J14" s="1"/>
      <c r="K14" s="1">
        <v>77</v>
      </c>
      <c r="L14" s="1">
        <f t="shared" si="1"/>
        <v>-19</v>
      </c>
      <c r="M14" s="1"/>
      <c r="N14" s="1"/>
      <c r="O14" s="1">
        <v>30</v>
      </c>
      <c r="P14" s="1">
        <f t="shared" si="2"/>
        <v>11.6</v>
      </c>
      <c r="Q14" s="5">
        <f t="shared" si="5"/>
        <v>65</v>
      </c>
      <c r="R14" s="1">
        <f t="shared" si="3"/>
        <v>15</v>
      </c>
      <c r="S14" s="1">
        <f t="shared" si="4"/>
        <v>9.3965517241379306</v>
      </c>
      <c r="T14" s="1">
        <v>11.8</v>
      </c>
      <c r="U14" s="1">
        <v>12</v>
      </c>
      <c r="V14" s="1">
        <v>14.2</v>
      </c>
      <c r="W14" s="1">
        <v>0.2</v>
      </c>
      <c r="X14" s="1">
        <v>10.4</v>
      </c>
      <c r="Y14" s="1"/>
      <c r="Z14" s="1">
        <f>G14*Q14</f>
        <v>22.75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188</v>
      </c>
      <c r="D15" s="1"/>
      <c r="E15" s="1"/>
      <c r="F15" s="1">
        <v>188</v>
      </c>
      <c r="G15" s="7">
        <v>0.3</v>
      </c>
      <c r="H15" s="1">
        <v>120</v>
      </c>
      <c r="I15" s="1" t="s">
        <v>30</v>
      </c>
      <c r="J15" s="1"/>
      <c r="K15" s="1"/>
      <c r="L15" s="1">
        <f t="shared" si="1"/>
        <v>0</v>
      </c>
      <c r="M15" s="1"/>
      <c r="N15" s="1"/>
      <c r="O15" s="1"/>
      <c r="P15" s="1">
        <f t="shared" si="2"/>
        <v>0</v>
      </c>
      <c r="Q15" s="5"/>
      <c r="R15" s="1" t="e">
        <f t="shared" si="3"/>
        <v>#DIV/0!</v>
      </c>
      <c r="S15" s="1" t="e">
        <f t="shared" si="4"/>
        <v>#DIV/0!</v>
      </c>
      <c r="T15" s="1">
        <v>0.4</v>
      </c>
      <c r="U15" s="1">
        <v>3.6</v>
      </c>
      <c r="V15" s="1">
        <v>2.6</v>
      </c>
      <c r="W15" s="1">
        <v>1.6</v>
      </c>
      <c r="X15" s="1">
        <v>1.6</v>
      </c>
      <c r="Y15" s="9" t="s">
        <v>31</v>
      </c>
      <c r="Z15" s="1">
        <f>G15*Q15</f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>
        <v>244</v>
      </c>
      <c r="D16" s="1">
        <v>100</v>
      </c>
      <c r="E16" s="1">
        <v>38</v>
      </c>
      <c r="F16" s="1">
        <v>300</v>
      </c>
      <c r="G16" s="7">
        <v>0.7</v>
      </c>
      <c r="H16" s="1">
        <v>180</v>
      </c>
      <c r="I16" s="1" t="s">
        <v>30</v>
      </c>
      <c r="J16" s="1"/>
      <c r="K16" s="1">
        <v>44</v>
      </c>
      <c r="L16" s="1">
        <f t="shared" si="1"/>
        <v>-6</v>
      </c>
      <c r="M16" s="1"/>
      <c r="N16" s="1"/>
      <c r="O16" s="1"/>
      <c r="P16" s="1">
        <f t="shared" si="2"/>
        <v>7.6</v>
      </c>
      <c r="Q16" s="5"/>
      <c r="R16" s="1">
        <f t="shared" si="3"/>
        <v>39.473684210526315</v>
      </c>
      <c r="S16" s="1">
        <f t="shared" si="4"/>
        <v>39.473684210526315</v>
      </c>
      <c r="T16" s="1">
        <v>8.4</v>
      </c>
      <c r="U16" s="1">
        <v>11.8</v>
      </c>
      <c r="V16" s="1">
        <v>9.6</v>
      </c>
      <c r="W16" s="1">
        <v>7</v>
      </c>
      <c r="X16" s="1">
        <v>6.2</v>
      </c>
      <c r="Y16" s="9" t="s">
        <v>31</v>
      </c>
      <c r="Z16" s="1">
        <f>G16*Q16</f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2026-08-03T17:35:24Z</dcterms:created>
  <dcterms:modified xsi:type="dcterms:W3CDTF">2026-08-03T17:38:09Z</dcterms:modified>
</cp:coreProperties>
</file>