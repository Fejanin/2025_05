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8,09,26 Останкино КИ и ЗПФ\расчеты Останкино ЗПФ\"/>
    </mc:Choice>
  </mc:AlternateContent>
  <xr:revisionPtr revIDLastSave="0" documentId="13_ncr:1_{13FE031B-9D2E-414F-A95B-3E88DA3AC1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X8" i="1"/>
  <c r="X9" i="1"/>
  <c r="X10" i="1"/>
  <c r="X11" i="1"/>
  <c r="X12" i="1"/>
  <c r="X13" i="1"/>
  <c r="X14" i="1"/>
  <c r="X15" i="1"/>
  <c r="X16" i="1"/>
  <c r="X6" i="1"/>
  <c r="R8" i="1"/>
  <c r="R9" i="1"/>
  <c r="R5" i="1" l="1"/>
  <c r="T7" i="1" l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U6" i="1"/>
  <c r="T6" i="1"/>
  <c r="P7" i="1"/>
  <c r="P8" i="1"/>
  <c r="P9" i="1"/>
  <c r="P10" i="1"/>
  <c r="P11" i="1"/>
  <c r="P12" i="1"/>
  <c r="P13" i="1"/>
  <c r="P14" i="1"/>
  <c r="P15" i="1"/>
  <c r="P16" i="1"/>
  <c r="P6" i="1"/>
  <c r="L16" i="1"/>
  <c r="L15" i="1"/>
  <c r="L14" i="1"/>
  <c r="L13" i="1"/>
  <c r="L12" i="1"/>
  <c r="L11" i="1"/>
  <c r="L10" i="1"/>
  <c r="L9" i="1"/>
  <c r="L8" i="1"/>
  <c r="L7" i="1"/>
  <c r="L6" i="1"/>
  <c r="L5" i="1" s="1"/>
  <c r="X5" i="1"/>
  <c r="V5" i="1"/>
  <c r="Q5" i="1"/>
  <c r="O5" i="1"/>
  <c r="N5" i="1"/>
  <c r="M5" i="1"/>
  <c r="K5" i="1"/>
  <c r="F5" i="1"/>
  <c r="E5" i="1"/>
  <c r="P5" i="1" l="1"/>
</calcChain>
</file>

<file path=xl/sharedStrings.xml><?xml version="1.0" encoding="utf-8"?>
<sst xmlns="http://schemas.openxmlformats.org/spreadsheetml/2006/main" count="62" uniqueCount="42">
  <si>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</si>
  <si>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</si>
  <si>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</si>
  <si>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</si>
  <si>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</si>
  <si>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</si>
  <si>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</si>
  <si>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</si>
  <si>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</si>
  <si>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</si>
  <si>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</si>
  <si>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</si>
  <si>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</si>
  <si>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</si>
  <si>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</si>
  <si>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</si>
  <si>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</si>
  <si>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</si>
  <si>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</si>
  <si>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</si>
  <si>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</si>
  <si>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</si>
  <si>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</si>
  <si>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</si>
  <si>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</si>
  <si>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</si>
  <si>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</si>
  <si>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</si>
  <si>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</si>
  <si>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</si>
  <si>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</si>
  <si>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</si>
  <si>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</si>
  <si>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</si>
  <si>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</si>
  <si>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</si>
  <si>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</si>
  <si>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</si>
  <si>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ТК</t>
  </si>
  <si>
    <t>Титенок</t>
  </si>
  <si>
    <t>заказ</t>
  </si>
  <si>
    <t>06,10,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</si>
</sst>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1" fillId="0" borderId="1" xfId="1" applyNumberFormat="1" applyFill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6" sqref="AD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5" width="0.42578125" customWidth="1"/>
    <col min="16" max="19" width="7" customWidth="1"/>
    <col min="20" max="21" width="5" customWidth="1"/>
    <col min="22" max="22" width="6" customWidth="1"/>
    <col min="23" max="23" width="25" customWidth="1"/>
    <col min="24" max="24" width="7" customWidth="1"/>
    <col min="25" max="40" width="8" customWidth="1"/>
  </cols>
  <sheetData>
    <row r="1" spans="1:4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40</v>
      </c>
      <c r="S3" s="3" t="s">
        <v>38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37</v>
      </c>
      <c r="P4" s="1" t="s">
        <v>22</v>
      </c>
      <c r="Q4" s="1"/>
      <c r="R4" s="1" t="s">
        <v>41</v>
      </c>
      <c r="S4" s="1" t="s">
        <v>39</v>
      </c>
      <c r="T4" s="1"/>
      <c r="U4" s="1"/>
      <c r="V4" s="1" t="s">
        <v>37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x14ac:dyDescent="0.25">
      <c r="A5" s="1"/>
      <c r="B5" s="1"/>
      <c r="C5" s="1"/>
      <c r="D5" s="1"/>
      <c r="E5" s="4">
        <f>SUM(E6:E500)</f>
        <v>0</v>
      </c>
      <c r="F5" s="4">
        <f>SUM(F6:F500)</f>
        <v>0</v>
      </c>
      <c r="G5" s="8"/>
      <c r="H5" s="1"/>
      <c r="I5" s="1"/>
      <c r="J5" s="1"/>
      <c r="K5" s="4">
        <f t="shared" ref="K5:R5" si="0">SUM(K6:K500)</f>
        <v>35</v>
      </c>
      <c r="L5" s="4">
        <f t="shared" si="0"/>
        <v>-35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150</v>
      </c>
      <c r="R5" s="4">
        <f t="shared" si="0"/>
        <v>870</v>
      </c>
      <c r="S5" s="4"/>
      <c r="T5" s="1"/>
      <c r="U5" s="1"/>
      <c r="V5" s="4">
        <f t="shared" ref="V5" si="1">SUM(V6:V500)</f>
        <v>0</v>
      </c>
      <c r="W5" s="1"/>
      <c r="X5" s="4">
        <f>SUM(X6:X500)</f>
        <v>415.2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25">
      <c r="A6" s="7" t="s">
        <v>23</v>
      </c>
      <c r="B6" s="1" t="s">
        <v>24</v>
      </c>
      <c r="C6" s="1"/>
      <c r="D6" s="1"/>
      <c r="E6" s="1"/>
      <c r="F6" s="1"/>
      <c r="G6" s="8">
        <v>0.42</v>
      </c>
      <c r="H6" s="1">
        <v>120</v>
      </c>
      <c r="I6" s="1" t="s">
        <v>25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>
        <v>10</v>
      </c>
      <c r="R6" s="5">
        <v>50</v>
      </c>
      <c r="S6" s="1">
        <v>50</v>
      </c>
      <c r="T6" s="1" t="e">
        <f>F6/P6</f>
        <v>#DIV/0!</v>
      </c>
      <c r="U6" s="1" t="e">
        <f>F6/P6</f>
        <v>#DIV/0!</v>
      </c>
      <c r="V6" s="1">
        <v>0</v>
      </c>
      <c r="W6" s="1"/>
      <c r="X6" s="1">
        <f>G6*R6</f>
        <v>21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25">
      <c r="A7" s="7" t="s">
        <v>26</v>
      </c>
      <c r="B7" s="1" t="s">
        <v>27</v>
      </c>
      <c r="C7" s="1"/>
      <c r="D7" s="1"/>
      <c r="E7" s="1"/>
      <c r="F7" s="1"/>
      <c r="G7" s="8">
        <v>1</v>
      </c>
      <c r="H7" s="1">
        <v>120</v>
      </c>
      <c r="I7" s="1" t="s">
        <v>25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>
        <v>10</v>
      </c>
      <c r="R7" s="5">
        <v>100</v>
      </c>
      <c r="S7" s="1">
        <v>150</v>
      </c>
      <c r="T7" s="1" t="e">
        <f t="shared" ref="T7:T16" si="4">F7/P7</f>
        <v>#DIV/0!</v>
      </c>
      <c r="U7" s="1" t="e">
        <f t="shared" ref="U7:U16" si="5">F7/P7</f>
        <v>#DIV/0!</v>
      </c>
      <c r="V7" s="1">
        <v>0</v>
      </c>
      <c r="W7" s="1"/>
      <c r="X7" s="1">
        <f t="shared" ref="X7:X16" si="6">G7*R7</f>
        <v>100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25">
      <c r="A8" s="7" t="s">
        <v>28</v>
      </c>
      <c r="B8" s="1" t="s">
        <v>27</v>
      </c>
      <c r="C8" s="1"/>
      <c r="D8" s="1"/>
      <c r="E8" s="1"/>
      <c r="F8" s="1"/>
      <c r="G8" s="8">
        <v>1</v>
      </c>
      <c r="H8" s="1">
        <v>120</v>
      </c>
      <c r="I8" s="1" t="s">
        <v>25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>
        <v>10</v>
      </c>
      <c r="R8" s="5">
        <f t="shared" ref="R8:R9" si="7">Q8</f>
        <v>10</v>
      </c>
      <c r="S8" s="1"/>
      <c r="T8" s="1" t="e">
        <f t="shared" si="4"/>
        <v>#DIV/0!</v>
      </c>
      <c r="U8" s="1" t="e">
        <f t="shared" si="5"/>
        <v>#DIV/0!</v>
      </c>
      <c r="V8" s="1">
        <v>0</v>
      </c>
      <c r="W8" s="1"/>
      <c r="X8" s="1">
        <f t="shared" si="6"/>
        <v>10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25">
      <c r="A9" s="7" t="s">
        <v>29</v>
      </c>
      <c r="B9" s="1" t="s">
        <v>24</v>
      </c>
      <c r="C9" s="1"/>
      <c r="D9" s="1"/>
      <c r="E9" s="1"/>
      <c r="F9" s="1"/>
      <c r="G9" s="8">
        <v>0.42</v>
      </c>
      <c r="H9" s="1">
        <v>120</v>
      </c>
      <c r="I9" s="1" t="s">
        <v>25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5">
        <v>10</v>
      </c>
      <c r="R9" s="5">
        <f t="shared" si="7"/>
        <v>10</v>
      </c>
      <c r="S9" s="1"/>
      <c r="T9" s="1" t="e">
        <f t="shared" si="4"/>
        <v>#DIV/0!</v>
      </c>
      <c r="U9" s="1" t="e">
        <f t="shared" si="5"/>
        <v>#DIV/0!</v>
      </c>
      <c r="V9" s="1">
        <v>0</v>
      </c>
      <c r="W9" s="1"/>
      <c r="X9" s="1">
        <f t="shared" si="6"/>
        <v>4.2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25">
      <c r="A10" s="7" t="s">
        <v>30</v>
      </c>
      <c r="B10" s="1" t="s">
        <v>24</v>
      </c>
      <c r="C10" s="1"/>
      <c r="D10" s="1"/>
      <c r="E10" s="1"/>
      <c r="F10" s="1"/>
      <c r="G10" s="8">
        <v>0.3</v>
      </c>
      <c r="H10" s="1">
        <v>120</v>
      </c>
      <c r="I10" s="1" t="s">
        <v>25</v>
      </c>
      <c r="J10" s="1"/>
      <c r="K10" s="1">
        <v>9</v>
      </c>
      <c r="L10" s="1">
        <f t="shared" si="2"/>
        <v>-9</v>
      </c>
      <c r="M10" s="1"/>
      <c r="N10" s="1"/>
      <c r="O10" s="1"/>
      <c r="P10" s="1">
        <f t="shared" si="3"/>
        <v>0</v>
      </c>
      <c r="Q10" s="5">
        <v>20</v>
      </c>
      <c r="R10" s="5">
        <v>100</v>
      </c>
      <c r="S10" s="1">
        <v>150</v>
      </c>
      <c r="T10" s="1" t="e">
        <f t="shared" si="4"/>
        <v>#DIV/0!</v>
      </c>
      <c r="U10" s="1" t="e">
        <f t="shared" si="5"/>
        <v>#DIV/0!</v>
      </c>
      <c r="V10" s="1">
        <v>0</v>
      </c>
      <c r="W10" s="1"/>
      <c r="X10" s="1">
        <f t="shared" si="6"/>
        <v>30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25">
      <c r="A11" s="7" t="s">
        <v>31</v>
      </c>
      <c r="B11" s="1" t="s">
        <v>24</v>
      </c>
      <c r="C11" s="1"/>
      <c r="D11" s="1"/>
      <c r="E11" s="1"/>
      <c r="F11" s="1"/>
      <c r="G11" s="8">
        <v>0.3</v>
      </c>
      <c r="H11" s="1">
        <v>120</v>
      </c>
      <c r="I11" s="1" t="s">
        <v>25</v>
      </c>
      <c r="J11" s="1"/>
      <c r="K11" s="1">
        <v>9</v>
      </c>
      <c r="L11" s="1">
        <f t="shared" si="2"/>
        <v>-9</v>
      </c>
      <c r="M11" s="1"/>
      <c r="N11" s="1"/>
      <c r="O11" s="1"/>
      <c r="P11" s="1">
        <f t="shared" si="3"/>
        <v>0</v>
      </c>
      <c r="Q11" s="5">
        <v>20</v>
      </c>
      <c r="R11" s="5">
        <v>100</v>
      </c>
      <c r="S11" s="1">
        <v>150</v>
      </c>
      <c r="T11" s="1" t="e">
        <f t="shared" si="4"/>
        <v>#DIV/0!</v>
      </c>
      <c r="U11" s="1" t="e">
        <f t="shared" si="5"/>
        <v>#DIV/0!</v>
      </c>
      <c r="V11" s="1">
        <v>0</v>
      </c>
      <c r="W11" s="1"/>
      <c r="X11" s="1">
        <f t="shared" si="6"/>
        <v>30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25">
      <c r="A12" s="7" t="s">
        <v>32</v>
      </c>
      <c r="B12" s="1" t="s">
        <v>24</v>
      </c>
      <c r="C12" s="1"/>
      <c r="D12" s="1"/>
      <c r="E12" s="1"/>
      <c r="F12" s="1"/>
      <c r="G12" s="8">
        <v>0.35</v>
      </c>
      <c r="H12" s="1">
        <v>120</v>
      </c>
      <c r="I12" s="1" t="s">
        <v>25</v>
      </c>
      <c r="J12" s="1"/>
      <c r="K12" s="1">
        <v>3</v>
      </c>
      <c r="L12" s="1">
        <f t="shared" si="2"/>
        <v>-3</v>
      </c>
      <c r="M12" s="1"/>
      <c r="N12" s="1"/>
      <c r="O12" s="1"/>
      <c r="P12" s="1">
        <f t="shared" si="3"/>
        <v>0</v>
      </c>
      <c r="Q12" s="5">
        <v>10</v>
      </c>
      <c r="R12" s="5">
        <v>100</v>
      </c>
      <c r="S12" s="1">
        <v>150</v>
      </c>
      <c r="T12" s="1" t="e">
        <f t="shared" si="4"/>
        <v>#DIV/0!</v>
      </c>
      <c r="U12" s="1" t="e">
        <f t="shared" si="5"/>
        <v>#DIV/0!</v>
      </c>
      <c r="V12" s="1">
        <v>0</v>
      </c>
      <c r="W12" s="1"/>
      <c r="X12" s="1">
        <f t="shared" si="6"/>
        <v>35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25">
      <c r="A13" s="7" t="s">
        <v>33</v>
      </c>
      <c r="B13" s="1" t="s">
        <v>24</v>
      </c>
      <c r="C13" s="1"/>
      <c r="D13" s="1"/>
      <c r="E13" s="1"/>
      <c r="F13" s="1"/>
      <c r="G13" s="8">
        <v>0.3</v>
      </c>
      <c r="H13" s="1">
        <v>120</v>
      </c>
      <c r="I13" s="1" t="s">
        <v>25</v>
      </c>
      <c r="J13" s="1"/>
      <c r="K13" s="1">
        <v>6</v>
      </c>
      <c r="L13" s="1">
        <f t="shared" si="2"/>
        <v>-6</v>
      </c>
      <c r="M13" s="1"/>
      <c r="N13" s="1"/>
      <c r="O13" s="1"/>
      <c r="P13" s="1">
        <f t="shared" si="3"/>
        <v>0</v>
      </c>
      <c r="Q13" s="5">
        <v>20</v>
      </c>
      <c r="R13" s="5">
        <v>100</v>
      </c>
      <c r="S13" s="1">
        <v>150</v>
      </c>
      <c r="T13" s="1" t="e">
        <f t="shared" si="4"/>
        <v>#DIV/0!</v>
      </c>
      <c r="U13" s="1" t="e">
        <f t="shared" si="5"/>
        <v>#DIV/0!</v>
      </c>
      <c r="V13" s="1">
        <v>0</v>
      </c>
      <c r="W13" s="1"/>
      <c r="X13" s="1">
        <f t="shared" si="6"/>
        <v>30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25">
      <c r="A14" s="7" t="s">
        <v>34</v>
      </c>
      <c r="B14" s="1" t="s">
        <v>24</v>
      </c>
      <c r="C14" s="1"/>
      <c r="D14" s="1"/>
      <c r="E14" s="1"/>
      <c r="F14" s="1"/>
      <c r="G14" s="8">
        <v>0.35</v>
      </c>
      <c r="H14" s="1">
        <v>120</v>
      </c>
      <c r="I14" s="1" t="s">
        <v>25</v>
      </c>
      <c r="J14" s="1"/>
      <c r="K14" s="1">
        <v>8</v>
      </c>
      <c r="L14" s="1">
        <f t="shared" si="2"/>
        <v>-8</v>
      </c>
      <c r="M14" s="1"/>
      <c r="N14" s="1"/>
      <c r="O14" s="1"/>
      <c r="P14" s="1">
        <f t="shared" si="3"/>
        <v>0</v>
      </c>
      <c r="Q14" s="5">
        <v>20</v>
      </c>
      <c r="R14" s="5">
        <v>100</v>
      </c>
      <c r="S14" s="1">
        <v>150</v>
      </c>
      <c r="T14" s="1" t="e">
        <f t="shared" si="4"/>
        <v>#DIV/0!</v>
      </c>
      <c r="U14" s="1" t="e">
        <f t="shared" si="5"/>
        <v>#DIV/0!</v>
      </c>
      <c r="V14" s="1">
        <v>0</v>
      </c>
      <c r="W14" s="1"/>
      <c r="X14" s="1">
        <f t="shared" si="6"/>
        <v>35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25">
      <c r="A15" s="7" t="s">
        <v>35</v>
      </c>
      <c r="B15" s="1" t="s">
        <v>24</v>
      </c>
      <c r="C15" s="1"/>
      <c r="D15" s="1"/>
      <c r="E15" s="1"/>
      <c r="F15" s="1"/>
      <c r="G15" s="8">
        <v>0.3</v>
      </c>
      <c r="H15" s="1">
        <v>120</v>
      </c>
      <c r="I15" s="1" t="s">
        <v>25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>
        <v>10</v>
      </c>
      <c r="R15" s="5">
        <v>50</v>
      </c>
      <c r="S15" s="1">
        <v>50</v>
      </c>
      <c r="T15" s="1" t="e">
        <f t="shared" si="4"/>
        <v>#DIV/0!</v>
      </c>
      <c r="U15" s="1" t="e">
        <f t="shared" si="5"/>
        <v>#DIV/0!</v>
      </c>
      <c r="V15" s="1">
        <v>0</v>
      </c>
      <c r="W15" s="1"/>
      <c r="X15" s="1">
        <f t="shared" si="6"/>
        <v>15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25">
      <c r="A16" s="7" t="s">
        <v>36</v>
      </c>
      <c r="B16" s="1" t="s">
        <v>24</v>
      </c>
      <c r="C16" s="1"/>
      <c r="D16" s="1"/>
      <c r="E16" s="1"/>
      <c r="F16" s="1"/>
      <c r="G16" s="8">
        <v>0.7</v>
      </c>
      <c r="H16" s="1">
        <v>180</v>
      </c>
      <c r="I16" s="1" t="s">
        <v>25</v>
      </c>
      <c r="J16" s="1"/>
      <c r="K16" s="1"/>
      <c r="L16" s="1">
        <f t="shared" si="2"/>
        <v>0</v>
      </c>
      <c r="M16" s="1"/>
      <c r="N16" s="1"/>
      <c r="O16" s="1"/>
      <c r="P16" s="1">
        <f t="shared" si="3"/>
        <v>0</v>
      </c>
      <c r="Q16" s="5">
        <v>10</v>
      </c>
      <c r="R16" s="5">
        <v>150</v>
      </c>
      <c r="S16" s="1">
        <v>200</v>
      </c>
      <c r="T16" s="1" t="e">
        <f t="shared" si="4"/>
        <v>#DIV/0!</v>
      </c>
      <c r="U16" s="1" t="e">
        <f t="shared" si="5"/>
        <v>#DIV/0!</v>
      </c>
      <c r="V16" s="1">
        <v>0</v>
      </c>
      <c r="W16" s="1"/>
      <c r="X16" s="1">
        <f t="shared" si="6"/>
        <v>105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25">
      <c r="A17" s="1"/>
      <c r="B17" s="1"/>
      <c r="C17" s="1"/>
      <c r="D17" s="1"/>
      <c r="E17" s="1"/>
      <c r="F17" s="1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25">
      <c r="A18" s="1"/>
      <c r="B18" s="1"/>
      <c r="C18" s="1"/>
      <c r="D18" s="1"/>
      <c r="E18" s="1"/>
      <c r="F18" s="1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25">
      <c r="A19" s="1"/>
      <c r="B19" s="1"/>
      <c r="C19" s="1"/>
      <c r="D19" s="1"/>
      <c r="E19" s="1"/>
      <c r="F19" s="1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25">
      <c r="A20" s="1"/>
      <c r="B20" s="1"/>
      <c r="C20" s="1"/>
      <c r="D20" s="1"/>
      <c r="E20" s="1"/>
      <c r="F20" s="1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25">
      <c r="A21" s="1"/>
      <c r="B21" s="1"/>
      <c r="C21" s="1"/>
      <c r="D21" s="1"/>
      <c r="E21" s="1"/>
      <c r="F21" s="1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25">
      <c r="A22" s="1"/>
      <c r="B22" s="1"/>
      <c r="C22" s="1"/>
      <c r="D22" s="1"/>
      <c r="E22" s="1"/>
      <c r="F22" s="1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25">
      <c r="A23" s="1"/>
      <c r="B23" s="1"/>
      <c r="C23" s="1"/>
      <c r="D23" s="1"/>
      <c r="E23" s="1"/>
      <c r="F23" s="1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25">
      <c r="A24" s="1"/>
      <c r="B24" s="1"/>
      <c r="C24" s="1"/>
      <c r="D24" s="1"/>
      <c r="E24" s="1"/>
      <c r="F24" s="1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25">
      <c r="A25" s="1"/>
      <c r="B25" s="1"/>
      <c r="C25" s="1"/>
      <c r="D25" s="1"/>
      <c r="E25" s="1"/>
      <c r="F25" s="1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25">
      <c r="A26" s="1"/>
      <c r="B26" s="1"/>
      <c r="C26" s="1"/>
      <c r="D26" s="1"/>
      <c r="E26" s="1"/>
      <c r="F26" s="1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25">
      <c r="A27" s="1"/>
      <c r="B27" s="1"/>
      <c r="C27" s="1"/>
      <c r="D27" s="1"/>
      <c r="E27" s="1"/>
      <c r="F27" s="1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25">
      <c r="A28" s="1"/>
      <c r="B28" s="1"/>
      <c r="C28" s="1"/>
      <c r="D28" s="1"/>
      <c r="E28" s="1"/>
      <c r="F28" s="1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25">
      <c r="A29" s="1"/>
      <c r="B29" s="1"/>
      <c r="C29" s="1"/>
      <c r="D29" s="1"/>
      <c r="E29" s="1"/>
      <c r="F29" s="1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25">
      <c r="A30" s="1"/>
      <c r="B30" s="1"/>
      <c r="C30" s="1"/>
      <c r="D30" s="1"/>
      <c r="E30" s="1"/>
      <c r="F30" s="1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25">
      <c r="A31" s="1"/>
      <c r="B31" s="1"/>
      <c r="C31" s="1"/>
      <c r="D31" s="1"/>
      <c r="E31" s="1"/>
      <c r="F31" s="1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25">
      <c r="A32" s="1"/>
      <c r="B32" s="1"/>
      <c r="C32" s="1"/>
      <c r="D32" s="1"/>
      <c r="E32" s="1"/>
      <c r="F32" s="1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25">
      <c r="A33" s="1"/>
      <c r="B33" s="1"/>
      <c r="C33" s="1"/>
      <c r="D33" s="1"/>
      <c r="E33" s="1"/>
      <c r="F33" s="1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5">
      <c r="A34" s="1"/>
      <c r="B34" s="1"/>
      <c r="C34" s="1"/>
      <c r="D34" s="1"/>
      <c r="E34" s="1"/>
      <c r="F34" s="1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25">
      <c r="A35" s="1"/>
      <c r="B35" s="1"/>
      <c r="C35" s="1"/>
      <c r="D35" s="1"/>
      <c r="E35" s="1"/>
      <c r="F35" s="1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5">
      <c r="A36" s="1"/>
      <c r="B36" s="1"/>
      <c r="C36" s="1"/>
      <c r="D36" s="1"/>
      <c r="E36" s="1"/>
      <c r="F36" s="1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 s="1"/>
      <c r="B37" s="1"/>
      <c r="C37" s="1"/>
      <c r="D37" s="1"/>
      <c r="E37" s="1"/>
      <c r="F37" s="1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2026-09-28T13:26:24Z</dcterms:created>
  <dcterms:modified xsi:type="dcterms:W3CDTF">2026-10-05T08:54:16Z</dcterms:modified>
</cp:coreProperties>
</file>