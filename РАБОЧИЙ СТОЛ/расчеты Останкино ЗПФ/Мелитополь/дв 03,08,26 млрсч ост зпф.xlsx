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расчеты Останкино ЗПФ\"/>
    </mc:Choice>
  </mc:AlternateContent>
  <xr:revisionPtr revIDLastSave="0" documentId="13_ncr:1_{AC1272C4-A8BA-45E3-8F66-7A2F2E0E9E8B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Z8" i="1" l="1"/>
  <c r="Z11" i="1"/>
  <c r="Z16" i="1"/>
  <c r="R7" i="1"/>
  <c r="S9" i="1"/>
  <c r="R11" i="1"/>
  <c r="S15" i="1"/>
  <c r="R6" i="1"/>
  <c r="P7" i="1"/>
  <c r="S7" i="1" s="1"/>
  <c r="P8" i="1"/>
  <c r="S8" i="1" s="1"/>
  <c r="P9" i="1"/>
  <c r="R9" i="1" s="1"/>
  <c r="P10" i="1"/>
  <c r="Z10" i="1" s="1"/>
  <c r="P11" i="1"/>
  <c r="S11" i="1" s="1"/>
  <c r="P12" i="1"/>
  <c r="R12" i="1" s="1"/>
  <c r="P13" i="1"/>
  <c r="R13" i="1" s="1"/>
  <c r="P14" i="1"/>
  <c r="R14" i="1" s="1"/>
  <c r="P15" i="1"/>
  <c r="R15" i="1" s="1"/>
  <c r="P16" i="1"/>
  <c r="R16" i="1" s="1"/>
  <c r="P6" i="1"/>
  <c r="L16" i="1"/>
  <c r="Z15" i="1"/>
  <c r="L15" i="1"/>
  <c r="L14" i="1"/>
  <c r="L13" i="1"/>
  <c r="L12" i="1"/>
  <c r="L11" i="1"/>
  <c r="L10" i="1"/>
  <c r="Z9" i="1"/>
  <c r="L9" i="1"/>
  <c r="L8" i="1"/>
  <c r="Z7" i="1"/>
  <c r="L7" i="1"/>
  <c r="Z6" i="1"/>
  <c r="L6" i="1"/>
  <c r="X5" i="1"/>
  <c r="W5" i="1"/>
  <c r="V5" i="1"/>
  <c r="U5" i="1"/>
  <c r="T5" i="1"/>
  <c r="O5" i="1"/>
  <c r="N5" i="1"/>
  <c r="M5" i="1"/>
  <c r="K5" i="1"/>
  <c r="F5" i="1"/>
  <c r="E5" i="1"/>
  <c r="S16" i="1" l="1"/>
  <c r="S14" i="1"/>
  <c r="S12" i="1"/>
  <c r="P5" i="1"/>
  <c r="S6" i="1"/>
  <c r="S13" i="1"/>
  <c r="S10" i="1"/>
  <c r="R10" i="1"/>
  <c r="R8" i="1"/>
  <c r="Z12" i="1"/>
  <c r="Z5" i="1" s="1"/>
  <c r="Q5" i="1"/>
  <c r="Z13" i="1"/>
  <c r="Z14" i="1"/>
  <c r="L5" i="1"/>
</calcChain>
</file>

<file path=xl/sharedStrings.xml><?xml version="1.0" encoding="utf-8"?>
<sst xmlns="http://schemas.openxmlformats.org/spreadsheetml/2006/main" count="73" uniqueCount="44">
  <si>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</si>
  <si>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</si>
  <si>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</si>
  <si>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</si>
  <si>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</si>
  <si>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</si>
  <si>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</si>
  <si>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</si>
  <si>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</si>
  <si>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</si>
  <si>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</si>
  <si>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</si>
  <si>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</si>
  <si>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</si>
  <si>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</si>
  <si>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</si>
  <si>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кон ост</t>
  </si>
  <si>
    <t>факт</t>
  </si>
  <si>
    <t>ср</t>
  </si>
  <si>
    <t>комментарии</t>
  </si>
  <si>
    <t>вес</t>
  </si>
  <si>
    <t>27,07,</t>
  </si>
  <si>
    <t>03,08,</t>
  </si>
  <si>
    <t>20,07,</t>
  </si>
  <si>
    <t>13,07,</t>
  </si>
  <si>
    <t>06,07,</t>
  </si>
  <si>
    <t>29,06,</t>
  </si>
  <si>
    <t>5579 БЛИНЧ.КРУГЛЫЕ С САД.ЯБЛОК.пл.1/420 зам. ОСТАНКИНО</t>
  </si>
  <si>
    <t>шт</t>
  </si>
  <si>
    <t>матрица</t>
  </si>
  <si>
    <t>нужно увеличить продажи!!!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</si>
  <si>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</si>
  <si>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</si>
  <si>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</si>
  <si>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</si>
  <si>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</si>
  <si>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</si>
  <si>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</si>
  <si>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</si>
  <si>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</si>
  <si>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</si>
  <si>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</si>
  <si>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заказ</t>
  </si>
  <si>
    <t>10,08,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</si>
</sst>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10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2" fontId="1" fillId="0" borderId="1" xfId="1" applyNumberFormat="1"/>
    <xf numFmtId="2" fontId="2" fillId="2" borderId="1" xfId="1" applyNumberFormat="1" applyFont="1" applyFill="1"/>
    <xf numFmtId="164" fontId="4" fillId="4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Q17" sqref="Q17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17" width="7" customWidth="1"/>
    <col min="18" max="19" width="5" customWidth="1"/>
    <col min="20" max="24" width="6" customWidth="1"/>
    <col min="25" max="25" width="51" customWidth="1"/>
    <col min="26" max="26" width="7" customWidth="1"/>
    <col min="27" max="49" width="8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42</v>
      </c>
      <c r="R3" s="2" t="s">
        <v>16</v>
      </c>
      <c r="S3" s="2" t="s">
        <v>17</v>
      </c>
      <c r="T3" s="2" t="s">
        <v>18</v>
      </c>
      <c r="U3" s="2" t="s">
        <v>18</v>
      </c>
      <c r="V3" s="2" t="s">
        <v>18</v>
      </c>
      <c r="W3" s="2" t="s">
        <v>18</v>
      </c>
      <c r="X3" s="2" t="s">
        <v>18</v>
      </c>
      <c r="Y3" s="2" t="s">
        <v>19</v>
      </c>
      <c r="Z3" s="2" t="s">
        <v>20</v>
      </c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22</v>
      </c>
      <c r="Q4" s="1" t="s">
        <v>43</v>
      </c>
      <c r="R4" s="1"/>
      <c r="S4" s="1"/>
      <c r="T4" s="1" t="s">
        <v>21</v>
      </c>
      <c r="U4" s="1" t="s">
        <v>23</v>
      </c>
      <c r="V4" s="1" t="s">
        <v>24</v>
      </c>
      <c r="W4" s="1" t="s">
        <v>25</v>
      </c>
      <c r="X4" s="1" t="s">
        <v>26</v>
      </c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SUM(E6:E500)</f>
        <v>681.13</v>
      </c>
      <c r="F5" s="4">
        <f>SUM(F6:F500)</f>
        <v>1363.83</v>
      </c>
      <c r="G5" s="7"/>
      <c r="H5" s="1"/>
      <c r="I5" s="1"/>
      <c r="J5" s="1"/>
      <c r="K5" s="4">
        <f t="shared" ref="K5:Q5" si="0">SUM(K6:K500)</f>
        <v>705</v>
      </c>
      <c r="L5" s="4">
        <f t="shared" si="0"/>
        <v>-23.87</v>
      </c>
      <c r="M5" s="4">
        <f t="shared" si="0"/>
        <v>0</v>
      </c>
      <c r="N5" s="4">
        <f t="shared" si="0"/>
        <v>0</v>
      </c>
      <c r="O5" s="4">
        <f t="shared" si="0"/>
        <v>50</v>
      </c>
      <c r="P5" s="4">
        <f t="shared" si="0"/>
        <v>136.226</v>
      </c>
      <c r="Q5" s="4">
        <f t="shared" si="0"/>
        <v>1110</v>
      </c>
      <c r="R5" s="1"/>
      <c r="S5" s="1"/>
      <c r="T5" s="4">
        <f>SUM(T6:T500)</f>
        <v>45.400000000000006</v>
      </c>
      <c r="U5" s="4">
        <f>SUM(U6:U500)</f>
        <v>81.2</v>
      </c>
      <c r="V5" s="4">
        <f>SUM(V6:V500)</f>
        <v>79.199999999999989</v>
      </c>
      <c r="W5" s="4">
        <f>SUM(W6:W500)</f>
        <v>0</v>
      </c>
      <c r="X5" s="4">
        <f>SUM(X6:X500)</f>
        <v>0</v>
      </c>
      <c r="Y5" s="1"/>
      <c r="Z5" s="4">
        <f>SUM(Z6:Z500)</f>
        <v>370.5</v>
      </c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27</v>
      </c>
      <c r="B6" s="1" t="s">
        <v>28</v>
      </c>
      <c r="C6" s="1">
        <v>260</v>
      </c>
      <c r="D6" s="1"/>
      <c r="E6" s="1">
        <v>42</v>
      </c>
      <c r="F6" s="1">
        <v>218</v>
      </c>
      <c r="G6" s="7">
        <v>0.42</v>
      </c>
      <c r="H6" s="1">
        <v>120</v>
      </c>
      <c r="I6" s="1" t="s">
        <v>29</v>
      </c>
      <c r="J6" s="1"/>
      <c r="K6" s="1">
        <v>42</v>
      </c>
      <c r="L6" s="1">
        <f t="shared" ref="L6:L16" si="1">E6-K6</f>
        <v>0</v>
      </c>
      <c r="M6" s="1"/>
      <c r="N6" s="1"/>
      <c r="O6" s="1"/>
      <c r="P6" s="1">
        <f>E6/5</f>
        <v>8.4</v>
      </c>
      <c r="Q6" s="5"/>
      <c r="R6" s="1">
        <f>(F6+O6+Q6)/P6</f>
        <v>25.952380952380953</v>
      </c>
      <c r="S6" s="1">
        <f>(F6+O6)/P6</f>
        <v>25.952380952380953</v>
      </c>
      <c r="T6" s="1">
        <v>1</v>
      </c>
      <c r="U6" s="1">
        <v>9</v>
      </c>
      <c r="V6" s="1">
        <v>2</v>
      </c>
      <c r="W6" s="1">
        <v>0</v>
      </c>
      <c r="X6" s="1">
        <v>0</v>
      </c>
      <c r="Y6" s="9" t="s">
        <v>30</v>
      </c>
      <c r="Z6" s="1">
        <f t="shared" ref="Z6:Z16" si="2">G6*Q6</f>
        <v>0</v>
      </c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31</v>
      </c>
      <c r="B7" s="1" t="s">
        <v>32</v>
      </c>
      <c r="C7" s="1">
        <v>196.71600000000001</v>
      </c>
      <c r="D7" s="1">
        <v>4.5599999999999996</v>
      </c>
      <c r="E7" s="1">
        <v>4.5940000000000003</v>
      </c>
      <c r="F7" s="1">
        <v>196.68199999999999</v>
      </c>
      <c r="G7" s="7">
        <v>1</v>
      </c>
      <c r="H7" s="1">
        <v>120</v>
      </c>
      <c r="I7" s="1" t="s">
        <v>29</v>
      </c>
      <c r="J7" s="1"/>
      <c r="K7" s="1">
        <v>4.5</v>
      </c>
      <c r="L7" s="1">
        <f t="shared" si="1"/>
        <v>9.4000000000000306E-2</v>
      </c>
      <c r="M7" s="1"/>
      <c r="N7" s="1"/>
      <c r="O7" s="1"/>
      <c r="P7" s="1">
        <f t="shared" ref="P7:P16" si="3">E7/5</f>
        <v>0.91880000000000006</v>
      </c>
      <c r="Q7" s="5"/>
      <c r="R7" s="1">
        <f t="shared" ref="R7:R16" si="4">(F7+O7+Q7)/P7</f>
        <v>214.06399651719633</v>
      </c>
      <c r="S7" s="1">
        <f t="shared" ref="S7:S16" si="5">(F7+O7)/P7</f>
        <v>214.06399651719633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9" t="s">
        <v>30</v>
      </c>
      <c r="Z7" s="1">
        <f t="shared" si="2"/>
        <v>0</v>
      </c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33</v>
      </c>
      <c r="B8" s="1" t="s">
        <v>32</v>
      </c>
      <c r="C8" s="1">
        <v>99.683999999999997</v>
      </c>
      <c r="D8" s="1"/>
      <c r="E8" s="1">
        <v>4.5359999999999996</v>
      </c>
      <c r="F8" s="1">
        <v>95.147999999999996</v>
      </c>
      <c r="G8" s="7">
        <v>1</v>
      </c>
      <c r="H8" s="1">
        <v>120</v>
      </c>
      <c r="I8" s="1" t="s">
        <v>29</v>
      </c>
      <c r="J8" s="1"/>
      <c r="K8" s="1">
        <v>4.5</v>
      </c>
      <c r="L8" s="1">
        <f t="shared" si="1"/>
        <v>3.5999999999999588E-2</v>
      </c>
      <c r="M8" s="1"/>
      <c r="N8" s="1"/>
      <c r="O8" s="1"/>
      <c r="P8" s="1">
        <f t="shared" si="3"/>
        <v>0.9071999999999999</v>
      </c>
      <c r="Q8" s="5"/>
      <c r="R8" s="1">
        <f t="shared" si="4"/>
        <v>104.88095238095239</v>
      </c>
      <c r="S8" s="1">
        <f t="shared" si="5"/>
        <v>104.88095238095239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9" t="s">
        <v>30</v>
      </c>
      <c r="Z8" s="1">
        <f t="shared" si="2"/>
        <v>0</v>
      </c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34</v>
      </c>
      <c r="B9" s="1" t="s">
        <v>28</v>
      </c>
      <c r="C9" s="1">
        <v>120</v>
      </c>
      <c r="D9" s="1"/>
      <c r="E9" s="1"/>
      <c r="F9" s="1">
        <v>115</v>
      </c>
      <c r="G9" s="7">
        <v>0.42</v>
      </c>
      <c r="H9" s="1">
        <v>120</v>
      </c>
      <c r="I9" s="1" t="s">
        <v>29</v>
      </c>
      <c r="J9" s="1"/>
      <c r="K9" s="1">
        <v>5</v>
      </c>
      <c r="L9" s="1">
        <f t="shared" si="1"/>
        <v>-5</v>
      </c>
      <c r="M9" s="1"/>
      <c r="N9" s="1"/>
      <c r="O9" s="1"/>
      <c r="P9" s="1">
        <f t="shared" si="3"/>
        <v>0</v>
      </c>
      <c r="Q9" s="5"/>
      <c r="R9" s="1" t="e">
        <f t="shared" si="4"/>
        <v>#DIV/0!</v>
      </c>
      <c r="S9" s="1" t="e">
        <f t="shared" si="5"/>
        <v>#DIV/0!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9" t="s">
        <v>30</v>
      </c>
      <c r="Z9" s="1">
        <f t="shared" si="2"/>
        <v>0</v>
      </c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35</v>
      </c>
      <c r="B10" s="1" t="s">
        <v>28</v>
      </c>
      <c r="C10" s="1">
        <v>115</v>
      </c>
      <c r="D10" s="1">
        <v>72</v>
      </c>
      <c r="E10" s="1">
        <v>187</v>
      </c>
      <c r="F10" s="1"/>
      <c r="G10" s="7">
        <v>0.3</v>
      </c>
      <c r="H10" s="1">
        <v>120</v>
      </c>
      <c r="I10" s="1" t="s">
        <v>29</v>
      </c>
      <c r="J10" s="1"/>
      <c r="K10" s="1">
        <v>196</v>
      </c>
      <c r="L10" s="1">
        <f t="shared" si="1"/>
        <v>-9</v>
      </c>
      <c r="M10" s="1"/>
      <c r="N10" s="1"/>
      <c r="O10" s="1">
        <v>50</v>
      </c>
      <c r="P10" s="1">
        <f t="shared" si="3"/>
        <v>37.4</v>
      </c>
      <c r="Q10" s="5">
        <v>360</v>
      </c>
      <c r="R10" s="1">
        <f t="shared" si="4"/>
        <v>10.962566844919786</v>
      </c>
      <c r="S10" s="1">
        <f t="shared" si="5"/>
        <v>1.3368983957219251</v>
      </c>
      <c r="T10" s="1">
        <v>16</v>
      </c>
      <c r="U10" s="1">
        <v>18.2</v>
      </c>
      <c r="V10" s="1">
        <v>19.600000000000001</v>
      </c>
      <c r="W10" s="1">
        <v>0</v>
      </c>
      <c r="X10" s="1">
        <v>0</v>
      </c>
      <c r="Y10" s="1"/>
      <c r="Z10" s="1">
        <f t="shared" si="2"/>
        <v>108</v>
      </c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36</v>
      </c>
      <c r="B11" s="1" t="s">
        <v>28</v>
      </c>
      <c r="C11" s="1">
        <v>77</v>
      </c>
      <c r="D11" s="1">
        <v>120</v>
      </c>
      <c r="E11" s="1">
        <v>44</v>
      </c>
      <c r="F11" s="1">
        <v>148</v>
      </c>
      <c r="G11" s="7">
        <v>0.3</v>
      </c>
      <c r="H11" s="1">
        <v>120</v>
      </c>
      <c r="I11" s="1" t="s">
        <v>29</v>
      </c>
      <c r="J11" s="1"/>
      <c r="K11" s="1">
        <v>40</v>
      </c>
      <c r="L11" s="1">
        <f t="shared" si="1"/>
        <v>4</v>
      </c>
      <c r="M11" s="1"/>
      <c r="N11" s="1"/>
      <c r="O11" s="1"/>
      <c r="P11" s="1">
        <f t="shared" si="3"/>
        <v>8.8000000000000007</v>
      </c>
      <c r="Q11" s="5"/>
      <c r="R11" s="1">
        <f t="shared" si="4"/>
        <v>16.818181818181817</v>
      </c>
      <c r="S11" s="1">
        <f t="shared" si="5"/>
        <v>16.818181818181817</v>
      </c>
      <c r="T11" s="1">
        <v>4.4000000000000004</v>
      </c>
      <c r="U11" s="1">
        <v>15.4</v>
      </c>
      <c r="V11" s="1">
        <v>3.2</v>
      </c>
      <c r="W11" s="1">
        <v>0</v>
      </c>
      <c r="X11" s="1">
        <v>0</v>
      </c>
      <c r="Y11" s="1"/>
      <c r="Z11" s="1">
        <f t="shared" si="2"/>
        <v>0</v>
      </c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37</v>
      </c>
      <c r="B12" s="1" t="s">
        <v>28</v>
      </c>
      <c r="C12" s="1">
        <v>288</v>
      </c>
      <c r="D12" s="1"/>
      <c r="E12" s="1">
        <v>188</v>
      </c>
      <c r="F12" s="1">
        <v>85</v>
      </c>
      <c r="G12" s="7">
        <v>0.35</v>
      </c>
      <c r="H12" s="1">
        <v>120</v>
      </c>
      <c r="I12" s="1" t="s">
        <v>29</v>
      </c>
      <c r="J12" s="1"/>
      <c r="K12" s="1">
        <v>196</v>
      </c>
      <c r="L12" s="1">
        <f t="shared" si="1"/>
        <v>-8</v>
      </c>
      <c r="M12" s="1"/>
      <c r="N12" s="1"/>
      <c r="O12" s="1"/>
      <c r="P12" s="1">
        <f t="shared" si="3"/>
        <v>37.6</v>
      </c>
      <c r="Q12" s="5">
        <v>370</v>
      </c>
      <c r="R12" s="1">
        <f t="shared" si="4"/>
        <v>12.101063829787234</v>
      </c>
      <c r="S12" s="1">
        <f t="shared" si="5"/>
        <v>2.2606382978723403</v>
      </c>
      <c r="T12" s="1">
        <v>0.6</v>
      </c>
      <c r="U12" s="1">
        <v>-0.6</v>
      </c>
      <c r="V12" s="1">
        <v>20.2</v>
      </c>
      <c r="W12" s="1">
        <v>0</v>
      </c>
      <c r="X12" s="1">
        <v>0</v>
      </c>
      <c r="Y12" s="1"/>
      <c r="Z12" s="1">
        <f t="shared" si="2"/>
        <v>129.5</v>
      </c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38</v>
      </c>
      <c r="B13" s="1" t="s">
        <v>28</v>
      </c>
      <c r="C13" s="1">
        <v>3</v>
      </c>
      <c r="D13" s="1">
        <v>120</v>
      </c>
      <c r="E13" s="1">
        <v>1</v>
      </c>
      <c r="F13" s="1">
        <v>110</v>
      </c>
      <c r="G13" s="7">
        <v>0.3</v>
      </c>
      <c r="H13" s="1">
        <v>120</v>
      </c>
      <c r="I13" s="1" t="s">
        <v>29</v>
      </c>
      <c r="J13" s="1"/>
      <c r="K13" s="1">
        <v>11</v>
      </c>
      <c r="L13" s="1">
        <f t="shared" si="1"/>
        <v>-10</v>
      </c>
      <c r="M13" s="1"/>
      <c r="N13" s="1"/>
      <c r="O13" s="1"/>
      <c r="P13" s="1">
        <f t="shared" si="3"/>
        <v>0.2</v>
      </c>
      <c r="Q13" s="5"/>
      <c r="R13" s="1">
        <f t="shared" si="4"/>
        <v>550</v>
      </c>
      <c r="S13" s="1">
        <f t="shared" si="5"/>
        <v>550</v>
      </c>
      <c r="T13" s="1">
        <v>5</v>
      </c>
      <c r="U13" s="1">
        <v>10.6</v>
      </c>
      <c r="V13" s="1">
        <v>3</v>
      </c>
      <c r="W13" s="1">
        <v>0</v>
      </c>
      <c r="X13" s="1">
        <v>0</v>
      </c>
      <c r="Y13" s="1"/>
      <c r="Z13" s="1">
        <f t="shared" si="2"/>
        <v>0</v>
      </c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39</v>
      </c>
      <c r="B14" s="1" t="s">
        <v>28</v>
      </c>
      <c r="C14" s="1">
        <v>110</v>
      </c>
      <c r="D14" s="1">
        <v>144</v>
      </c>
      <c r="E14" s="1">
        <v>197</v>
      </c>
      <c r="F14" s="1">
        <v>54</v>
      </c>
      <c r="G14" s="7">
        <v>0.35</v>
      </c>
      <c r="H14" s="1">
        <v>120</v>
      </c>
      <c r="I14" s="1" t="s">
        <v>29</v>
      </c>
      <c r="J14" s="1"/>
      <c r="K14" s="1">
        <v>193</v>
      </c>
      <c r="L14" s="1">
        <f t="shared" si="1"/>
        <v>4</v>
      </c>
      <c r="M14" s="1"/>
      <c r="N14" s="1"/>
      <c r="O14" s="1"/>
      <c r="P14" s="1">
        <f t="shared" si="3"/>
        <v>39.4</v>
      </c>
      <c r="Q14" s="5">
        <v>380</v>
      </c>
      <c r="R14" s="1">
        <f t="shared" si="4"/>
        <v>11.015228426395939</v>
      </c>
      <c r="S14" s="1">
        <f t="shared" si="5"/>
        <v>1.3705583756345179</v>
      </c>
      <c r="T14" s="1">
        <v>16.2</v>
      </c>
      <c r="U14" s="1">
        <v>22.8</v>
      </c>
      <c r="V14" s="1">
        <v>20.6</v>
      </c>
      <c r="W14" s="1">
        <v>0</v>
      </c>
      <c r="X14" s="1">
        <v>0</v>
      </c>
      <c r="Y14" s="1"/>
      <c r="Z14" s="1">
        <f t="shared" si="2"/>
        <v>133</v>
      </c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40</v>
      </c>
      <c r="B15" s="1" t="s">
        <v>28</v>
      </c>
      <c r="C15" s="1">
        <v>48</v>
      </c>
      <c r="D15" s="1"/>
      <c r="E15" s="1">
        <v>5</v>
      </c>
      <c r="F15" s="1">
        <v>43</v>
      </c>
      <c r="G15" s="7">
        <v>0.3</v>
      </c>
      <c r="H15" s="1">
        <v>120</v>
      </c>
      <c r="I15" s="1" t="s">
        <v>29</v>
      </c>
      <c r="J15" s="1"/>
      <c r="K15" s="1">
        <v>5</v>
      </c>
      <c r="L15" s="1">
        <f t="shared" si="1"/>
        <v>0</v>
      </c>
      <c r="M15" s="1"/>
      <c r="N15" s="1"/>
      <c r="O15" s="1"/>
      <c r="P15" s="1">
        <f t="shared" si="3"/>
        <v>1</v>
      </c>
      <c r="Q15" s="5"/>
      <c r="R15" s="1">
        <f t="shared" si="4"/>
        <v>43</v>
      </c>
      <c r="S15" s="1">
        <f t="shared" si="5"/>
        <v>43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9" t="s">
        <v>30</v>
      </c>
      <c r="Z15" s="1">
        <f t="shared" si="2"/>
        <v>0</v>
      </c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41</v>
      </c>
      <c r="B16" s="1" t="s">
        <v>28</v>
      </c>
      <c r="C16" s="1">
        <v>307</v>
      </c>
      <c r="D16" s="1"/>
      <c r="E16" s="1">
        <v>8</v>
      </c>
      <c r="F16" s="1">
        <v>299</v>
      </c>
      <c r="G16" s="7">
        <v>0.7</v>
      </c>
      <c r="H16" s="1">
        <v>180</v>
      </c>
      <c r="I16" s="1" t="s">
        <v>29</v>
      </c>
      <c r="J16" s="1"/>
      <c r="K16" s="1">
        <v>8</v>
      </c>
      <c r="L16" s="1">
        <f t="shared" si="1"/>
        <v>0</v>
      </c>
      <c r="M16" s="1"/>
      <c r="N16" s="1"/>
      <c r="O16" s="1"/>
      <c r="P16" s="1">
        <f t="shared" si="3"/>
        <v>1.6</v>
      </c>
      <c r="Q16" s="5"/>
      <c r="R16" s="1">
        <f t="shared" si="4"/>
        <v>186.875</v>
      </c>
      <c r="S16" s="1">
        <f t="shared" si="5"/>
        <v>186.875</v>
      </c>
      <c r="T16" s="1">
        <v>2.2000000000000002</v>
      </c>
      <c r="U16" s="1">
        <v>5.8</v>
      </c>
      <c r="V16" s="1">
        <v>10.6</v>
      </c>
      <c r="W16" s="1">
        <v>0</v>
      </c>
      <c r="X16" s="1">
        <v>0</v>
      </c>
      <c r="Y16" s="9" t="s">
        <v>30</v>
      </c>
      <c r="Z16" s="1">
        <f t="shared" si="2"/>
        <v>0</v>
      </c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/>
      <c r="B17" s="1"/>
      <c r="C17" s="1"/>
      <c r="D17" s="1"/>
      <c r="E17" s="1"/>
      <c r="F17" s="1"/>
      <c r="G17" s="7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/>
      <c r="B18" s="1"/>
      <c r="C18" s="1"/>
      <c r="D18" s="1"/>
      <c r="E18" s="1"/>
      <c r="F18" s="1"/>
      <c r="G18" s="7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/>
      <c r="B19" s="1"/>
      <c r="C19" s="1"/>
      <c r="D19" s="1"/>
      <c r="E19" s="1"/>
      <c r="F19" s="1"/>
      <c r="G19" s="7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/>
      <c r="B20" s="1"/>
      <c r="C20" s="1"/>
      <c r="D20" s="1"/>
      <c r="E20" s="1"/>
      <c r="F20" s="1"/>
      <c r="G20" s="7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/>
      <c r="B21" s="1"/>
      <c r="C21" s="1"/>
      <c r="D21" s="1"/>
      <c r="E21" s="1"/>
      <c r="F21" s="1"/>
      <c r="G21" s="7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/>
      <c r="B22" s="1"/>
      <c r="C22" s="1"/>
      <c r="D22" s="1"/>
      <c r="E22" s="1"/>
      <c r="F22" s="1"/>
      <c r="G22" s="7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/>
      <c r="B23" s="1"/>
      <c r="C23" s="1"/>
      <c r="D23" s="1"/>
      <c r="E23" s="1"/>
      <c r="F23" s="1"/>
      <c r="G23" s="7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/>
      <c r="B24" s="1"/>
      <c r="C24" s="1"/>
      <c r="D24" s="1"/>
      <c r="E24" s="1"/>
      <c r="F24" s="1"/>
      <c r="G24" s="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/>
      <c r="B25" s="1"/>
      <c r="C25" s="1"/>
      <c r="D25" s="1"/>
      <c r="E25" s="1"/>
      <c r="F25" s="1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/>
      <c r="B26" s="1"/>
      <c r="C26" s="1"/>
      <c r="D26" s="1"/>
      <c r="E26" s="1"/>
      <c r="F26" s="1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/>
      <c r="B27" s="1"/>
      <c r="C27" s="1"/>
      <c r="D27" s="1"/>
      <c r="E27" s="1"/>
      <c r="F27" s="1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/>
      <c r="B28" s="1"/>
      <c r="C28" s="1"/>
      <c r="D28" s="1"/>
      <c r="E28" s="1"/>
      <c r="F28" s="1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/>
      <c r="B29" s="1"/>
      <c r="C29" s="1"/>
      <c r="D29" s="1"/>
      <c r="E29" s="1"/>
      <c r="F29" s="1"/>
      <c r="G29" s="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/>
      <c r="B30" s="1"/>
      <c r="C30" s="1"/>
      <c r="D30" s="1"/>
      <c r="E30" s="1"/>
      <c r="F30" s="1"/>
      <c r="G30" s="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/>
      <c r="B31" s="1"/>
      <c r="C31" s="1"/>
      <c r="D31" s="1"/>
      <c r="E31" s="1"/>
      <c r="F31" s="1"/>
      <c r="G31" s="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/>
      <c r="B32" s="1"/>
      <c r="C32" s="1"/>
      <c r="D32" s="1"/>
      <c r="E32" s="1"/>
      <c r="F32" s="1"/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/>
      <c r="B33" s="1"/>
      <c r="C33" s="1"/>
      <c r="D33" s="1"/>
      <c r="E33" s="1"/>
      <c r="F33" s="1"/>
      <c r="G33" s="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/>
      <c r="B34" s="1"/>
      <c r="C34" s="1"/>
      <c r="D34" s="1"/>
      <c r="E34" s="1"/>
      <c r="F34" s="1"/>
      <c r="G34" s="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/>
      <c r="B35" s="1"/>
      <c r="C35" s="1"/>
      <c r="D35" s="1"/>
      <c r="E35" s="1"/>
      <c r="F35" s="1"/>
      <c r="G35" s="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/>
      <c r="B36" s="1"/>
      <c r="C36" s="1"/>
      <c r="D36" s="1"/>
      <c r="E36" s="1"/>
      <c r="F36" s="1"/>
      <c r="G36" s="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/>
      <c r="B37" s="1"/>
      <c r="C37" s="1"/>
      <c r="D37" s="1"/>
      <c r="E37" s="1"/>
      <c r="F37" s="1"/>
      <c r="G37" s="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/>
      <c r="B38" s="1"/>
      <c r="C38" s="1"/>
      <c r="D38" s="1"/>
      <c r="E38" s="1"/>
      <c r="F38" s="1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/>
      <c r="B39" s="1"/>
      <c r="C39" s="1"/>
      <c r="D39" s="1"/>
      <c r="E39" s="1"/>
      <c r="F39" s="1"/>
      <c r="G39" s="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/>
      <c r="B40" s="1"/>
      <c r="C40" s="1"/>
      <c r="D40" s="1"/>
      <c r="E40" s="1"/>
      <c r="F40" s="1"/>
      <c r="G40" s="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/>
      <c r="B41" s="1"/>
      <c r="C41" s="1"/>
      <c r="D41" s="1"/>
      <c r="E41" s="1"/>
      <c r="F41" s="1"/>
      <c r="G41" s="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/>
      <c r="B42" s="1"/>
      <c r="C42" s="1"/>
      <c r="D42" s="1"/>
      <c r="E42" s="1"/>
      <c r="F42" s="1"/>
      <c r="G42" s="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/>
      <c r="B43" s="1"/>
      <c r="C43" s="1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spans="1:49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2026-08-03T17:53:09Z</dcterms:created>
  <dcterms:modified xsi:type="dcterms:W3CDTF">2026-08-05T11:29:16Z</dcterms:modified>
</cp:coreProperties>
</file>