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A21045DE-2276-436A-B492-CAF8C23979A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1" i="1" l="1"/>
  <c r="R14" i="1"/>
  <c r="Y15" i="1"/>
  <c r="Y16" i="1"/>
  <c r="S14" i="1"/>
  <c r="P7" i="1"/>
  <c r="P8" i="1"/>
  <c r="S8" i="1" s="1"/>
  <c r="P9" i="1"/>
  <c r="S9" i="1" s="1"/>
  <c r="P10" i="1"/>
  <c r="P11" i="1"/>
  <c r="S11" i="1" s="1"/>
  <c r="P12" i="1"/>
  <c r="S12" i="1" s="1"/>
  <c r="P13" i="1"/>
  <c r="S13" i="1" s="1"/>
  <c r="P14" i="1"/>
  <c r="P15" i="1"/>
  <c r="S15" i="1" s="1"/>
  <c r="P16" i="1"/>
  <c r="R16" i="1" s="1"/>
  <c r="P6" i="1"/>
  <c r="S6" i="1" s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S10" i="1" l="1"/>
  <c r="R10" i="1"/>
  <c r="Y10" i="1"/>
  <c r="S16" i="1"/>
  <c r="R13" i="1"/>
  <c r="R12" i="1"/>
  <c r="R7" i="1"/>
  <c r="Y7" i="1"/>
  <c r="Y9" i="1"/>
  <c r="R9" i="1"/>
  <c r="Y8" i="1"/>
  <c r="R8" i="1"/>
  <c r="R6" i="1"/>
  <c r="Y6" i="1"/>
  <c r="R15" i="1"/>
  <c r="S7" i="1"/>
  <c r="R11" i="1"/>
  <c r="Y12" i="1"/>
  <c r="Q5" i="1"/>
  <c r="Y13" i="1"/>
  <c r="Y14" i="1"/>
  <c r="P5" i="1"/>
  <c r="L5" i="1"/>
  <c r="Y5" i="1" l="1"/>
</calcChain>
</file>

<file path=xl/sharedStrings.xml><?xml version="1.0" encoding="utf-8"?>
<sst xmlns="http://schemas.openxmlformats.org/spreadsheetml/2006/main" count="71" uniqueCount="44">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</sst>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2.8554687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42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43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227</v>
      </c>
      <c r="F5" s="4">
        <f>SUM(F6:F500)</f>
        <v>1612.4</v>
      </c>
      <c r="G5" s="7"/>
      <c r="H5" s="1"/>
      <c r="I5" s="1"/>
      <c r="J5" s="1"/>
      <c r="K5" s="4">
        <f t="shared" ref="K5:Q5" si="0">SUM(K6:K500)</f>
        <v>233.5</v>
      </c>
      <c r="L5" s="4">
        <f t="shared" si="0"/>
        <v>-6.5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45.400000000000006</v>
      </c>
      <c r="Q5" s="4">
        <f t="shared" si="0"/>
        <v>50</v>
      </c>
      <c r="R5" s="1"/>
      <c r="S5" s="1"/>
      <c r="T5" s="4">
        <f>SUM(T6:T500)</f>
        <v>81.2</v>
      </c>
      <c r="U5" s="4">
        <f>SUM(U6:U500)</f>
        <v>79.199999999999989</v>
      </c>
      <c r="V5" s="4">
        <f>SUM(V6:V500)</f>
        <v>0</v>
      </c>
      <c r="W5" s="4">
        <f>SUM(W6:W500)</f>
        <v>0</v>
      </c>
      <c r="X5" s="1"/>
      <c r="Y5" s="4">
        <f>SUM(Y6:Y500)</f>
        <v>15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265</v>
      </c>
      <c r="D6" s="1"/>
      <c r="E6" s="1">
        <v>5</v>
      </c>
      <c r="F6" s="1">
        <v>260</v>
      </c>
      <c r="G6" s="7">
        <v>0.42</v>
      </c>
      <c r="H6" s="1">
        <v>120</v>
      </c>
      <c r="I6" s="1" t="s">
        <v>28</v>
      </c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>(F6+O6+Q6)/P6</f>
        <v>260</v>
      </c>
      <c r="S6" s="1">
        <f>(F6+O6)/P6</f>
        <v>260</v>
      </c>
      <c r="T6" s="1">
        <v>9</v>
      </c>
      <c r="U6" s="1">
        <v>2</v>
      </c>
      <c r="V6" s="1">
        <v>0</v>
      </c>
      <c r="W6" s="1">
        <v>0</v>
      </c>
      <c r="X6" s="10" t="s">
        <v>29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201.27600000000001</v>
      </c>
      <c r="D7" s="1"/>
      <c r="E7" s="1"/>
      <c r="F7" s="1">
        <v>196.71600000000001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</v>
      </c>
      <c r="X7" s="10" t="s">
        <v>29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31</v>
      </c>
      <c r="C8" s="1">
        <v>99.683999999999997</v>
      </c>
      <c r="D8" s="1"/>
      <c r="E8" s="1"/>
      <c r="F8" s="1">
        <v>99.683999999999997</v>
      </c>
      <c r="G8" s="7">
        <v>1</v>
      </c>
      <c r="H8" s="1">
        <v>120</v>
      </c>
      <c r="I8" s="1" t="s">
        <v>28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0" t="s">
        <v>29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27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1" t="s">
        <v>28</v>
      </c>
      <c r="J9" s="1"/>
      <c r="K9" s="1">
        <v>7</v>
      </c>
      <c r="L9" s="1">
        <f t="shared" si="1"/>
        <v>-7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0" t="s">
        <v>29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27</v>
      </c>
      <c r="C10" s="1">
        <v>99</v>
      </c>
      <c r="D10" s="1">
        <v>96</v>
      </c>
      <c r="E10" s="1">
        <v>80</v>
      </c>
      <c r="F10" s="1">
        <v>112</v>
      </c>
      <c r="G10" s="7">
        <v>0.3</v>
      </c>
      <c r="H10" s="1">
        <v>120</v>
      </c>
      <c r="I10" s="1" t="s">
        <v>28</v>
      </c>
      <c r="J10" s="1"/>
      <c r="K10" s="1">
        <v>74</v>
      </c>
      <c r="L10" s="1">
        <f t="shared" si="1"/>
        <v>6</v>
      </c>
      <c r="M10" s="1"/>
      <c r="N10" s="1"/>
      <c r="O10" s="1">
        <v>80</v>
      </c>
      <c r="P10" s="1">
        <f t="shared" si="3"/>
        <v>16</v>
      </c>
      <c r="Q10" s="5">
        <v>50</v>
      </c>
      <c r="R10" s="1">
        <f t="shared" si="4"/>
        <v>15.125</v>
      </c>
      <c r="S10" s="1">
        <f t="shared" si="5"/>
        <v>12</v>
      </c>
      <c r="T10" s="1">
        <v>18.2</v>
      </c>
      <c r="U10" s="1">
        <v>19.600000000000001</v>
      </c>
      <c r="V10" s="1">
        <v>0</v>
      </c>
      <c r="W10" s="1">
        <v>0</v>
      </c>
      <c r="X10" s="1"/>
      <c r="Y10" s="1">
        <f t="shared" si="2"/>
        <v>15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27</v>
      </c>
      <c r="C11" s="1">
        <v>99</v>
      </c>
      <c r="D11" s="1"/>
      <c r="E11" s="1">
        <v>22</v>
      </c>
      <c r="F11" s="1">
        <v>74</v>
      </c>
      <c r="G11" s="7">
        <v>0.3</v>
      </c>
      <c r="H11" s="1">
        <v>120</v>
      </c>
      <c r="I11" s="1" t="s">
        <v>28</v>
      </c>
      <c r="J11" s="1"/>
      <c r="K11" s="1">
        <v>20</v>
      </c>
      <c r="L11" s="1">
        <f t="shared" si="1"/>
        <v>2</v>
      </c>
      <c r="M11" s="1"/>
      <c r="N11" s="1"/>
      <c r="O11" s="1">
        <v>130</v>
      </c>
      <c r="P11" s="1">
        <f t="shared" si="3"/>
        <v>4.4000000000000004</v>
      </c>
      <c r="Q11" s="5"/>
      <c r="R11" s="1">
        <f t="shared" si="4"/>
        <v>46.36363636363636</v>
      </c>
      <c r="S11" s="1">
        <f t="shared" si="5"/>
        <v>46.36363636363636</v>
      </c>
      <c r="T11" s="1">
        <v>15.4</v>
      </c>
      <c r="U11" s="1">
        <v>3.2</v>
      </c>
      <c r="V11" s="1">
        <v>0</v>
      </c>
      <c r="W11" s="1">
        <v>0</v>
      </c>
      <c r="X11" s="9" t="s">
        <v>41</v>
      </c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27</v>
      </c>
      <c r="C12" s="1">
        <v>-9</v>
      </c>
      <c r="D12" s="1">
        <v>300</v>
      </c>
      <c r="E12" s="1">
        <v>3</v>
      </c>
      <c r="F12" s="1">
        <v>285</v>
      </c>
      <c r="G12" s="7">
        <v>0.35</v>
      </c>
      <c r="H12" s="1">
        <v>120</v>
      </c>
      <c r="I12" s="1" t="s">
        <v>28</v>
      </c>
      <c r="J12" s="1"/>
      <c r="K12" s="1">
        <v>3</v>
      </c>
      <c r="L12" s="1">
        <f t="shared" si="1"/>
        <v>0</v>
      </c>
      <c r="M12" s="1"/>
      <c r="N12" s="1"/>
      <c r="O12" s="1"/>
      <c r="P12" s="1">
        <f t="shared" si="3"/>
        <v>0.6</v>
      </c>
      <c r="Q12" s="5"/>
      <c r="R12" s="1">
        <f t="shared" si="4"/>
        <v>475</v>
      </c>
      <c r="S12" s="1">
        <f t="shared" si="5"/>
        <v>475</v>
      </c>
      <c r="T12" s="1">
        <v>-0.6</v>
      </c>
      <c r="U12" s="1">
        <v>20.2</v>
      </c>
      <c r="V12" s="1">
        <v>0</v>
      </c>
      <c r="W12" s="1">
        <v>0</v>
      </c>
      <c r="X12" s="1"/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27</v>
      </c>
      <c r="C13" s="1">
        <v>28</v>
      </c>
      <c r="D13" s="1">
        <v>3</v>
      </c>
      <c r="E13" s="1">
        <v>25</v>
      </c>
      <c r="F13" s="1">
        <v>3</v>
      </c>
      <c r="G13" s="7">
        <v>0.3</v>
      </c>
      <c r="H13" s="1">
        <v>120</v>
      </c>
      <c r="I13" s="1" t="s">
        <v>28</v>
      </c>
      <c r="J13" s="1"/>
      <c r="K13" s="1">
        <v>31</v>
      </c>
      <c r="L13" s="1">
        <f t="shared" si="1"/>
        <v>-6</v>
      </c>
      <c r="M13" s="1"/>
      <c r="N13" s="1"/>
      <c r="O13" s="1">
        <v>120</v>
      </c>
      <c r="P13" s="1">
        <f t="shared" si="3"/>
        <v>5</v>
      </c>
      <c r="Q13" s="5"/>
      <c r="R13" s="1">
        <f t="shared" si="4"/>
        <v>24.6</v>
      </c>
      <c r="S13" s="1">
        <f t="shared" si="5"/>
        <v>24.6</v>
      </c>
      <c r="T13" s="1">
        <v>10.6</v>
      </c>
      <c r="U13" s="1">
        <v>3</v>
      </c>
      <c r="V13" s="1">
        <v>0</v>
      </c>
      <c r="W13" s="1">
        <v>0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38</v>
      </c>
      <c r="B14" s="1" t="s">
        <v>27</v>
      </c>
      <c r="C14" s="1">
        <v>71</v>
      </c>
      <c r="D14" s="1">
        <v>123</v>
      </c>
      <c r="E14" s="1">
        <v>81</v>
      </c>
      <c r="F14" s="1">
        <v>110</v>
      </c>
      <c r="G14" s="7">
        <v>0.35</v>
      </c>
      <c r="H14" s="1">
        <v>120</v>
      </c>
      <c r="I14" s="1" t="s">
        <v>28</v>
      </c>
      <c r="J14" s="1"/>
      <c r="K14" s="1">
        <v>78</v>
      </c>
      <c r="L14" s="1">
        <f t="shared" si="1"/>
        <v>3</v>
      </c>
      <c r="M14" s="1"/>
      <c r="N14" s="1"/>
      <c r="O14" s="1">
        <v>150</v>
      </c>
      <c r="P14" s="1">
        <f t="shared" si="3"/>
        <v>16.2</v>
      </c>
      <c r="Q14" s="5"/>
      <c r="R14" s="1">
        <f t="shared" si="4"/>
        <v>16.049382716049383</v>
      </c>
      <c r="S14" s="1">
        <f t="shared" si="5"/>
        <v>16.049382716049383</v>
      </c>
      <c r="T14" s="1">
        <v>22.8</v>
      </c>
      <c r="U14" s="1">
        <v>20.6</v>
      </c>
      <c r="V14" s="1">
        <v>0</v>
      </c>
      <c r="W14" s="1">
        <v>0</v>
      </c>
      <c r="X14" s="1"/>
      <c r="Y14" s="1">
        <f t="shared" si="2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39</v>
      </c>
      <c r="B15" s="1" t="s">
        <v>27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28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40</v>
      </c>
      <c r="B16" s="1" t="s">
        <v>27</v>
      </c>
      <c r="C16" s="1">
        <v>318</v>
      </c>
      <c r="D16" s="1"/>
      <c r="E16" s="1">
        <v>11</v>
      </c>
      <c r="F16" s="1">
        <v>304</v>
      </c>
      <c r="G16" s="7">
        <v>0.7</v>
      </c>
      <c r="H16" s="1">
        <v>180</v>
      </c>
      <c r="I16" s="1" t="s">
        <v>28</v>
      </c>
      <c r="J16" s="1"/>
      <c r="K16" s="1">
        <v>11</v>
      </c>
      <c r="L16" s="1">
        <f t="shared" si="1"/>
        <v>0</v>
      </c>
      <c r="M16" s="1"/>
      <c r="N16" s="1"/>
      <c r="O16" s="1"/>
      <c r="P16" s="1">
        <f t="shared" si="3"/>
        <v>2.2000000000000002</v>
      </c>
      <c r="Q16" s="5"/>
      <c r="R16" s="1">
        <f t="shared" si="4"/>
        <v>138.18181818181816</v>
      </c>
      <c r="S16" s="1">
        <f t="shared" si="5"/>
        <v>138.18181818181816</v>
      </c>
      <c r="T16" s="1">
        <v>5.8</v>
      </c>
      <c r="U16" s="1">
        <v>10.6</v>
      </c>
      <c r="V16" s="1">
        <v>0</v>
      </c>
      <c r="W16" s="1">
        <v>0</v>
      </c>
      <c r="X16" s="10" t="s">
        <v>29</v>
      </c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2026-07-27T14:48:40Z</dcterms:created>
  <dcterms:modified xsi:type="dcterms:W3CDTF">2026-08-03T13:49:18Z</dcterms:modified>
</cp:coreProperties>
</file>