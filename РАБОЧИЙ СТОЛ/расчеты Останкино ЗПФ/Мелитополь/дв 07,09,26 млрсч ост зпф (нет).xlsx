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403BFC1B-FEDF-4582-BE51-A59A4144B3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5" i="1" s="1"/>
  <c r="P9" i="1"/>
  <c r="P10" i="1"/>
  <c r="P11" i="1"/>
  <c r="P12" i="1"/>
  <c r="P13" i="1"/>
  <c r="P14" i="1"/>
  <c r="P15" i="1"/>
  <c r="P16" i="1"/>
  <c r="P6" i="1"/>
  <c r="AE16" i="1"/>
  <c r="L16" i="1"/>
  <c r="AE15" i="1"/>
  <c r="L15" i="1"/>
  <c r="AE14" i="1"/>
  <c r="L14" i="1"/>
  <c r="AE13" i="1"/>
  <c r="L13" i="1"/>
  <c r="AE12" i="1"/>
  <c r="L12" i="1"/>
  <c r="AE11" i="1"/>
  <c r="L11" i="1"/>
  <c r="AE10" i="1"/>
  <c r="L10" i="1"/>
  <c r="L9" i="1"/>
  <c r="AE8" i="1"/>
  <c r="L8" i="1"/>
  <c r="AE7" i="1"/>
  <c r="L7" i="1"/>
  <c r="AE6" i="1"/>
  <c r="L6" i="1"/>
  <c r="AE5" i="1"/>
  <c r="AC5" i="1"/>
  <c r="AB5" i="1"/>
  <c r="AA5" i="1"/>
  <c r="Z5" i="1"/>
  <c r="Y5" i="1"/>
  <c r="X5" i="1"/>
  <c r="W5" i="1"/>
  <c r="V5" i="1"/>
  <c r="U5" i="1"/>
  <c r="T5" i="1"/>
  <c r="Q5" i="1"/>
  <c r="O5" i="1"/>
  <c r="N5" i="1"/>
  <c r="M5" i="1"/>
  <c r="L5" i="1"/>
  <c r="K5" i="1"/>
  <c r="F5" i="1"/>
  <c r="E5" i="1"/>
</calcChain>
</file>

<file path=xl/sharedStrings.xml><?xml version="1.0" encoding="utf-8"?>
<sst xmlns="http://schemas.openxmlformats.org/spreadsheetml/2006/main" count="88" uniqueCount="50">
  <si>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</si>
  <si>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</si>
  <si>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</si>
  <si>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</si>
  <si>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</si>
  <si>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</si>
  <si>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</si>
  <si>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</si>
  <si>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</si>
  <si>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</si>
  <si>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</si>
  <si>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</si>
  <si>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</si>
  <si>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</si>
  <si>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</si>
  <si>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</si>
  <si>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</si>
  <si>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</si>
  <si>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</si>
  <si>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</si>
  <si>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</si>
  <si>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</si>
  <si>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</si>
  <si>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</si>
  <si>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</si>
  <si>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</si>
  <si>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</si>
  <si>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</si>
  <si>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</si>
  <si>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</si>
  <si>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</si>
  <si>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</si>
  <si>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</si>
  <si>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</si>
  <si>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</si>
  <si>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</si>
  <si>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</si>
  <si>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</si>
  <si>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</si>
  <si>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</si>
  <si>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нет потребности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</si>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</sst>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5" sqref="Q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38.42578125" customWidth="1"/>
    <col min="31" max="31" width="7" customWidth="1"/>
    <col min="32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48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20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21</v>
      </c>
      <c r="Q4" s="1" t="s">
        <v>49</v>
      </c>
      <c r="R4" s="1"/>
      <c r="S4" s="1"/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108</v>
      </c>
      <c r="F5" s="4">
        <f>SUM(F6:F500)</f>
        <v>1306.2719999999999</v>
      </c>
      <c r="G5" s="7"/>
      <c r="H5" s="1"/>
      <c r="I5" s="1"/>
      <c r="J5" s="1"/>
      <c r="K5" s="4">
        <f t="shared" ref="K5:Q5" si="0">SUM(K6:K500)</f>
        <v>105</v>
      </c>
      <c r="L5" s="4">
        <f t="shared" si="0"/>
        <v>3</v>
      </c>
      <c r="M5" s="4">
        <f t="shared" si="0"/>
        <v>0</v>
      </c>
      <c r="N5" s="4">
        <f t="shared" si="0"/>
        <v>0</v>
      </c>
      <c r="O5" s="4">
        <f t="shared" si="0"/>
        <v>600</v>
      </c>
      <c r="P5" s="4">
        <f t="shared" si="0"/>
        <v>21.6</v>
      </c>
      <c r="Q5" s="4">
        <f t="shared" si="0"/>
        <v>0</v>
      </c>
      <c r="R5" s="1"/>
      <c r="S5" s="1"/>
      <c r="T5" s="4">
        <f t="shared" ref="T5:AC5" si="1">SUM(T6:T500)</f>
        <v>100.2</v>
      </c>
      <c r="U5" s="4">
        <f t="shared" si="1"/>
        <v>57.6</v>
      </c>
      <c r="V5" s="4">
        <f t="shared" si="1"/>
        <v>15.600000000000001</v>
      </c>
      <c r="W5" s="4">
        <f t="shared" si="1"/>
        <v>19</v>
      </c>
      <c r="X5" s="4">
        <f t="shared" si="1"/>
        <v>136.226</v>
      </c>
      <c r="Y5" s="4">
        <f t="shared" si="1"/>
        <v>45.400000000000006</v>
      </c>
      <c r="Z5" s="4">
        <f t="shared" si="1"/>
        <v>81.2</v>
      </c>
      <c r="AA5" s="4">
        <f t="shared" si="1"/>
        <v>79.199999999999989</v>
      </c>
      <c r="AB5" s="4">
        <f t="shared" si="1"/>
        <v>0</v>
      </c>
      <c r="AC5" s="4">
        <f t="shared" si="1"/>
        <v>0</v>
      </c>
      <c r="AD5" s="1"/>
      <c r="AE5" s="4">
        <f>SUM(AE6:AE500)</f>
        <v>0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32</v>
      </c>
      <c r="B6" s="1" t="s">
        <v>33</v>
      </c>
      <c r="C6" s="1">
        <v>81</v>
      </c>
      <c r="D6" s="1"/>
      <c r="E6" s="1"/>
      <c r="F6" s="1">
        <v>81</v>
      </c>
      <c r="G6" s="7">
        <v>0.42</v>
      </c>
      <c r="H6" s="1">
        <v>120</v>
      </c>
      <c r="I6" s="1" t="s">
        <v>34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2.2000000000000002</v>
      </c>
      <c r="U6" s="1">
        <v>0.6</v>
      </c>
      <c r="V6" s="1">
        <v>0.6</v>
      </c>
      <c r="W6" s="1">
        <v>0</v>
      </c>
      <c r="X6" s="1">
        <v>8.4</v>
      </c>
      <c r="Y6" s="1">
        <v>1</v>
      </c>
      <c r="Z6" s="1">
        <v>9</v>
      </c>
      <c r="AA6" s="1">
        <v>2</v>
      </c>
      <c r="AB6" s="1">
        <v>0</v>
      </c>
      <c r="AC6" s="1">
        <v>0</v>
      </c>
      <c r="AD6" s="12" t="s">
        <v>35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>
        <v>196.68199999999999</v>
      </c>
      <c r="D7" s="1"/>
      <c r="E7" s="1"/>
      <c r="F7" s="1">
        <v>196.68199999999999</v>
      </c>
      <c r="G7" s="7">
        <v>1</v>
      </c>
      <c r="H7" s="1">
        <v>120</v>
      </c>
      <c r="I7" s="1" t="s">
        <v>34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3">E7/5</f>
        <v>0</v>
      </c>
      <c r="Q7" s="5"/>
      <c r="R7" s="1" t="e">
        <f t="shared" ref="R7:R16" si="4">(F7+O7+Q7)/P7</f>
        <v>#DIV/0!</v>
      </c>
      <c r="S7" s="1" t="e">
        <f t="shared" ref="S7:S16" si="5">(F7+O7)/P7</f>
        <v>#DIV/0!</v>
      </c>
      <c r="T7" s="1">
        <v>0</v>
      </c>
      <c r="U7" s="1">
        <v>0</v>
      </c>
      <c r="V7" s="1">
        <v>0</v>
      </c>
      <c r="W7" s="1">
        <v>0</v>
      </c>
      <c r="X7" s="1">
        <v>0.91880000000000006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2" t="s">
        <v>35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37</v>
      </c>
      <c r="C8" s="1">
        <v>95.147999999999996</v>
      </c>
      <c r="D8" s="1"/>
      <c r="E8" s="1"/>
      <c r="F8" s="1">
        <v>90.59</v>
      </c>
      <c r="G8" s="7">
        <v>1</v>
      </c>
      <c r="H8" s="1">
        <v>120</v>
      </c>
      <c r="I8" s="1" t="s">
        <v>34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>
        <v>0</v>
      </c>
      <c r="V8" s="1">
        <v>0</v>
      </c>
      <c r="W8" s="1">
        <v>0</v>
      </c>
      <c r="X8" s="1">
        <v>0.9071999999999999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2" t="s">
        <v>35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9" t="s">
        <v>39</v>
      </c>
      <c r="B9" s="9" t="s">
        <v>33</v>
      </c>
      <c r="C9" s="9"/>
      <c r="D9" s="9"/>
      <c r="E9" s="9"/>
      <c r="F9" s="9"/>
      <c r="G9" s="10">
        <v>0</v>
      </c>
      <c r="H9" s="9">
        <v>120</v>
      </c>
      <c r="I9" s="9" t="s">
        <v>34</v>
      </c>
      <c r="J9" s="9"/>
      <c r="K9" s="9"/>
      <c r="L9" s="9">
        <f t="shared" si="2"/>
        <v>0</v>
      </c>
      <c r="M9" s="9"/>
      <c r="N9" s="9"/>
      <c r="O9" s="9"/>
      <c r="P9" s="9">
        <f t="shared" si="3"/>
        <v>0</v>
      </c>
      <c r="Q9" s="11"/>
      <c r="R9" s="9" t="e">
        <f t="shared" si="4"/>
        <v>#DIV/0!</v>
      </c>
      <c r="S9" s="9" t="e">
        <f t="shared" si="5"/>
        <v>#DIV/0!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 t="s">
        <v>40</v>
      </c>
      <c r="AE9" s="9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33</v>
      </c>
      <c r="C10" s="1">
        <v>220</v>
      </c>
      <c r="D10" s="1"/>
      <c r="E10" s="1">
        <v>17</v>
      </c>
      <c r="F10" s="1">
        <v>203</v>
      </c>
      <c r="G10" s="7">
        <v>0.3</v>
      </c>
      <c r="H10" s="1">
        <v>120</v>
      </c>
      <c r="I10" s="1" t="s">
        <v>34</v>
      </c>
      <c r="J10" s="1"/>
      <c r="K10" s="1">
        <v>17</v>
      </c>
      <c r="L10" s="1">
        <f t="shared" si="2"/>
        <v>0</v>
      </c>
      <c r="M10" s="1"/>
      <c r="N10" s="1"/>
      <c r="O10" s="1">
        <v>110</v>
      </c>
      <c r="P10" s="1">
        <f t="shared" si="3"/>
        <v>3.4</v>
      </c>
      <c r="Q10" s="5"/>
      <c r="R10" s="1">
        <f t="shared" si="4"/>
        <v>92.058823529411768</v>
      </c>
      <c r="S10" s="1">
        <f t="shared" si="5"/>
        <v>92.058823529411768</v>
      </c>
      <c r="T10" s="1">
        <v>21.6</v>
      </c>
      <c r="U10" s="1">
        <v>12.2</v>
      </c>
      <c r="V10" s="1">
        <v>1.2</v>
      </c>
      <c r="W10" s="1">
        <v>2.4</v>
      </c>
      <c r="X10" s="1">
        <v>37.4</v>
      </c>
      <c r="Y10" s="1">
        <v>16</v>
      </c>
      <c r="Z10" s="1">
        <v>18.2</v>
      </c>
      <c r="AA10" s="1">
        <v>19.600000000000001</v>
      </c>
      <c r="AB10" s="1">
        <v>0</v>
      </c>
      <c r="AC10" s="1">
        <v>0</v>
      </c>
      <c r="AD10" s="12" t="s">
        <v>35</v>
      </c>
      <c r="AE10" s="1">
        <f t="shared" ref="AE10:AE16" si="6"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33</v>
      </c>
      <c r="C11" s="1">
        <v>50</v>
      </c>
      <c r="D11" s="1"/>
      <c r="E11" s="1">
        <v>18</v>
      </c>
      <c r="F11" s="1">
        <v>32</v>
      </c>
      <c r="G11" s="7">
        <v>0.3</v>
      </c>
      <c r="H11" s="1">
        <v>120</v>
      </c>
      <c r="I11" s="1" t="s">
        <v>34</v>
      </c>
      <c r="J11" s="1"/>
      <c r="K11" s="1">
        <v>16</v>
      </c>
      <c r="L11" s="1">
        <f t="shared" si="2"/>
        <v>2</v>
      </c>
      <c r="M11" s="1"/>
      <c r="N11" s="1"/>
      <c r="O11" s="1">
        <v>90</v>
      </c>
      <c r="P11" s="1">
        <f t="shared" si="3"/>
        <v>3.6</v>
      </c>
      <c r="Q11" s="5"/>
      <c r="R11" s="1">
        <f t="shared" si="4"/>
        <v>33.888888888888886</v>
      </c>
      <c r="S11" s="1">
        <f t="shared" si="5"/>
        <v>33.888888888888886</v>
      </c>
      <c r="T11" s="1">
        <v>9</v>
      </c>
      <c r="U11" s="1">
        <v>5.8</v>
      </c>
      <c r="V11" s="1">
        <v>1.4</v>
      </c>
      <c r="W11" s="1">
        <v>4.4000000000000004</v>
      </c>
      <c r="X11" s="1">
        <v>8.8000000000000007</v>
      </c>
      <c r="Y11" s="1">
        <v>4.4000000000000004</v>
      </c>
      <c r="Z11" s="1">
        <v>15.4</v>
      </c>
      <c r="AA11" s="1">
        <v>3.2</v>
      </c>
      <c r="AB11" s="1">
        <v>0</v>
      </c>
      <c r="AC11" s="1">
        <v>0</v>
      </c>
      <c r="AD11" s="12" t="s">
        <v>35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33</v>
      </c>
      <c r="C12" s="1">
        <v>252</v>
      </c>
      <c r="D12" s="1"/>
      <c r="E12" s="1">
        <v>13</v>
      </c>
      <c r="F12" s="1">
        <v>239</v>
      </c>
      <c r="G12" s="7">
        <v>0.35</v>
      </c>
      <c r="H12" s="1">
        <v>120</v>
      </c>
      <c r="I12" s="1" t="s">
        <v>34</v>
      </c>
      <c r="J12" s="1"/>
      <c r="K12" s="1">
        <v>15</v>
      </c>
      <c r="L12" s="1">
        <f t="shared" si="2"/>
        <v>-2</v>
      </c>
      <c r="M12" s="1"/>
      <c r="N12" s="1"/>
      <c r="O12" s="1">
        <v>120</v>
      </c>
      <c r="P12" s="1">
        <f t="shared" si="3"/>
        <v>2.6</v>
      </c>
      <c r="Q12" s="5"/>
      <c r="R12" s="1">
        <f t="shared" si="4"/>
        <v>138.07692307692307</v>
      </c>
      <c r="S12" s="1">
        <f t="shared" si="5"/>
        <v>138.07692307692307</v>
      </c>
      <c r="T12" s="1">
        <v>24.6</v>
      </c>
      <c r="U12" s="1">
        <v>11.8</v>
      </c>
      <c r="V12" s="1">
        <v>2.4</v>
      </c>
      <c r="W12" s="1">
        <v>2.6</v>
      </c>
      <c r="X12" s="1">
        <v>37.6</v>
      </c>
      <c r="Y12" s="1">
        <v>0.6</v>
      </c>
      <c r="Z12" s="1">
        <v>-0.6</v>
      </c>
      <c r="AA12" s="1">
        <v>20.2</v>
      </c>
      <c r="AB12" s="1">
        <v>0</v>
      </c>
      <c r="AC12" s="1">
        <v>0</v>
      </c>
      <c r="AD12" s="12" t="s">
        <v>35</v>
      </c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33</v>
      </c>
      <c r="C13" s="1">
        <v>21</v>
      </c>
      <c r="D13" s="1">
        <v>48</v>
      </c>
      <c r="E13" s="1">
        <v>15</v>
      </c>
      <c r="F13" s="1">
        <v>42</v>
      </c>
      <c r="G13" s="7">
        <v>0.3</v>
      </c>
      <c r="H13" s="1">
        <v>120</v>
      </c>
      <c r="I13" s="1" t="s">
        <v>34</v>
      </c>
      <c r="J13" s="1"/>
      <c r="K13" s="1">
        <v>13</v>
      </c>
      <c r="L13" s="1">
        <f t="shared" si="2"/>
        <v>2</v>
      </c>
      <c r="M13" s="1"/>
      <c r="N13" s="1"/>
      <c r="O13" s="1">
        <v>30</v>
      </c>
      <c r="P13" s="1">
        <f t="shared" si="3"/>
        <v>3</v>
      </c>
      <c r="Q13" s="5"/>
      <c r="R13" s="1">
        <f t="shared" si="4"/>
        <v>24</v>
      </c>
      <c r="S13" s="1">
        <f t="shared" si="5"/>
        <v>24</v>
      </c>
      <c r="T13" s="1">
        <v>6.8</v>
      </c>
      <c r="U13" s="1">
        <v>5.8</v>
      </c>
      <c r="V13" s="1">
        <v>3.2</v>
      </c>
      <c r="W13" s="1">
        <v>3.8</v>
      </c>
      <c r="X13" s="1">
        <v>0.2</v>
      </c>
      <c r="Y13" s="1">
        <v>5</v>
      </c>
      <c r="Z13" s="1">
        <v>10.6</v>
      </c>
      <c r="AA13" s="1">
        <v>3</v>
      </c>
      <c r="AB13" s="1">
        <v>0</v>
      </c>
      <c r="AC13" s="1">
        <v>0</v>
      </c>
      <c r="AD13" s="12" t="s">
        <v>35</v>
      </c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33</v>
      </c>
      <c r="C14" s="1">
        <v>142</v>
      </c>
      <c r="D14" s="1">
        <v>48</v>
      </c>
      <c r="E14" s="1">
        <v>25</v>
      </c>
      <c r="F14" s="1">
        <v>165</v>
      </c>
      <c r="G14" s="7">
        <v>0.35</v>
      </c>
      <c r="H14" s="1">
        <v>120</v>
      </c>
      <c r="I14" s="1" t="s">
        <v>34</v>
      </c>
      <c r="J14" s="1"/>
      <c r="K14" s="1">
        <v>24</v>
      </c>
      <c r="L14" s="1">
        <f t="shared" si="2"/>
        <v>1</v>
      </c>
      <c r="M14" s="1"/>
      <c r="N14" s="1"/>
      <c r="O14" s="1">
        <v>250</v>
      </c>
      <c r="P14" s="1">
        <f t="shared" si="3"/>
        <v>5</v>
      </c>
      <c r="Q14" s="5"/>
      <c r="R14" s="1">
        <f t="shared" si="4"/>
        <v>83</v>
      </c>
      <c r="S14" s="1">
        <f t="shared" si="5"/>
        <v>83</v>
      </c>
      <c r="T14" s="1">
        <v>29.2</v>
      </c>
      <c r="U14" s="1">
        <v>19.600000000000001</v>
      </c>
      <c r="V14" s="1">
        <v>3.8</v>
      </c>
      <c r="W14" s="1">
        <v>4.4000000000000004</v>
      </c>
      <c r="X14" s="1">
        <v>39.4</v>
      </c>
      <c r="Y14" s="1">
        <v>16.2</v>
      </c>
      <c r="Z14" s="1">
        <v>22.8</v>
      </c>
      <c r="AA14" s="1">
        <v>20.6</v>
      </c>
      <c r="AB14" s="1">
        <v>0</v>
      </c>
      <c r="AC14" s="1">
        <v>0</v>
      </c>
      <c r="AD14" s="12" t="s">
        <v>35</v>
      </c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46</v>
      </c>
      <c r="B15" s="1" t="s">
        <v>33</v>
      </c>
      <c r="C15" s="1">
        <v>30</v>
      </c>
      <c r="D15" s="1"/>
      <c r="E15" s="1"/>
      <c r="F15" s="1">
        <v>30</v>
      </c>
      <c r="G15" s="7">
        <v>0.3</v>
      </c>
      <c r="H15" s="1">
        <v>120</v>
      </c>
      <c r="I15" s="1" t="s">
        <v>34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1</v>
      </c>
      <c r="U15" s="1">
        <v>0.6</v>
      </c>
      <c r="V15" s="1">
        <v>0.6</v>
      </c>
      <c r="W15" s="1">
        <v>0.4</v>
      </c>
      <c r="X15" s="1">
        <v>1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2" t="s">
        <v>35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33</v>
      </c>
      <c r="C16" s="1">
        <v>247</v>
      </c>
      <c r="D16" s="1"/>
      <c r="E16" s="1">
        <v>20</v>
      </c>
      <c r="F16" s="1">
        <v>227</v>
      </c>
      <c r="G16" s="7">
        <v>0.7</v>
      </c>
      <c r="H16" s="1">
        <v>180</v>
      </c>
      <c r="I16" s="1" t="s">
        <v>34</v>
      </c>
      <c r="J16" s="1"/>
      <c r="K16" s="1">
        <v>20</v>
      </c>
      <c r="L16" s="1">
        <f t="shared" si="2"/>
        <v>0</v>
      </c>
      <c r="M16" s="1"/>
      <c r="N16" s="1"/>
      <c r="O16" s="1"/>
      <c r="P16" s="1">
        <f t="shared" si="3"/>
        <v>4</v>
      </c>
      <c r="Q16" s="5"/>
      <c r="R16" s="1">
        <f t="shared" si="4"/>
        <v>56.75</v>
      </c>
      <c r="S16" s="1">
        <f t="shared" si="5"/>
        <v>56.75</v>
      </c>
      <c r="T16" s="1">
        <v>5.8</v>
      </c>
      <c r="U16" s="1">
        <v>1.2</v>
      </c>
      <c r="V16" s="1">
        <v>2.4</v>
      </c>
      <c r="W16" s="1">
        <v>1</v>
      </c>
      <c r="X16" s="1">
        <v>1.6</v>
      </c>
      <c r="Y16" s="1">
        <v>2.2000000000000002</v>
      </c>
      <c r="Z16" s="1">
        <v>5.8</v>
      </c>
      <c r="AA16" s="1">
        <v>10.6</v>
      </c>
      <c r="AB16" s="1">
        <v>0</v>
      </c>
      <c r="AC16" s="1">
        <v>0</v>
      </c>
      <c r="AD16" s="12" t="s">
        <v>35</v>
      </c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2026-09-07T13:47:45Z</dcterms:created>
  <dcterms:modified xsi:type="dcterms:W3CDTF">2026-09-09T12:07:19Z</dcterms:modified>
</cp:coreProperties>
</file>