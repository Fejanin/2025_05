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284ED049-D9C6-4226-82B1-019E369D94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7" i="1" l="1"/>
  <c r="Q5" i="1"/>
  <c r="Q11" i="1"/>
  <c r="AD11" i="1" s="1"/>
  <c r="R12" i="1"/>
  <c r="R13" i="1"/>
  <c r="Q14" i="1"/>
  <c r="R14" i="1" s="1"/>
  <c r="Q15" i="1"/>
  <c r="AD15" i="1" s="1"/>
  <c r="Q16" i="1"/>
  <c r="Q6" i="1"/>
  <c r="R6" i="1" s="1"/>
  <c r="R7" i="1"/>
  <c r="S7" i="1"/>
  <c r="R8" i="1"/>
  <c r="S8" i="1"/>
  <c r="R9" i="1"/>
  <c r="S9" i="1"/>
  <c r="S10" i="1"/>
  <c r="R11" i="1"/>
  <c r="S11" i="1"/>
  <c r="S12" i="1"/>
  <c r="S13" i="1"/>
  <c r="S14" i="1"/>
  <c r="R15" i="1"/>
  <c r="S15" i="1"/>
  <c r="R16" i="1"/>
  <c r="S16" i="1"/>
  <c r="S6" i="1"/>
  <c r="P7" i="1"/>
  <c r="P8" i="1"/>
  <c r="P9" i="1"/>
  <c r="P10" i="1"/>
  <c r="P11" i="1"/>
  <c r="P12" i="1"/>
  <c r="P13" i="1"/>
  <c r="P14" i="1"/>
  <c r="P15" i="1"/>
  <c r="P16" i="1"/>
  <c r="P6" i="1"/>
  <c r="AD16" i="1"/>
  <c r="L16" i="1"/>
  <c r="L15" i="1"/>
  <c r="L14" i="1"/>
  <c r="L13" i="1"/>
  <c r="L12" i="1"/>
  <c r="L11" i="1"/>
  <c r="L10" i="1"/>
  <c r="AD9" i="1"/>
  <c r="L9" i="1"/>
  <c r="AD8" i="1"/>
  <c r="L8" i="1"/>
  <c r="AD7" i="1"/>
  <c r="L7" i="1"/>
  <c r="AD6" i="1"/>
  <c r="L6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AD10" i="1" l="1"/>
  <c r="R10" i="1"/>
  <c r="AD12" i="1"/>
  <c r="AD14" i="1"/>
  <c r="AD13" i="1"/>
  <c r="AD5" i="1" s="1"/>
  <c r="P5" i="1"/>
  <c r="L5" i="1"/>
</calcChain>
</file>

<file path=xl/sharedStrings.xml><?xml version="1.0" encoding="utf-8"?>
<sst xmlns="http://schemas.openxmlformats.org/spreadsheetml/2006/main" count="78" uniqueCount="49">
  <si>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</si>
  <si>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</si>
  <si>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</si>
  <si>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</si>
  <si>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</si>
  <si>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</si>
  <si>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</si>
  <si>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</si>
  <si>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</si>
  <si>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</si>
  <si>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</si>
  <si>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</si>
  <si>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</si>
  <si>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</si>
  <si>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</si>
  <si>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</si>
  <si>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</si>
  <si>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</si>
  <si>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</si>
  <si>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</si>
  <si>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</si>
  <si>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</si>
  <si>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</si>
  <si>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31,08,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</si>
  <si>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</si>
  <si>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</si>
  <si>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</si>
  <si>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</si>
  <si>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</si>
  <si>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</si>
  <si>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</si>
  <si>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</si>
  <si>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</si>
  <si>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</si>
  <si>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</si>
  <si>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</si>
  <si>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</si>
  <si>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</si>
  <si>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</si>
  <si>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</si>
  <si>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нужно увеличить продажи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</si>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</sst>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19" sqref="AC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8" width="6" customWidth="1"/>
    <col min="29" max="29" width="47" customWidth="1"/>
    <col min="30" max="30" width="7" customWidth="1"/>
    <col min="31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620</v>
      </c>
      <c r="F5" s="4">
        <f>SUM(F6:F500)</f>
        <v>1056</v>
      </c>
      <c r="G5" s="7"/>
      <c r="H5" s="1"/>
      <c r="I5" s="1"/>
      <c r="J5" s="1"/>
      <c r="K5" s="4">
        <f t="shared" ref="K5:Q5" si="0">SUM(K6:K500)</f>
        <v>780.5</v>
      </c>
      <c r="L5" s="4">
        <f t="shared" si="0"/>
        <v>-160.5</v>
      </c>
      <c r="M5" s="4">
        <f t="shared" si="0"/>
        <v>0</v>
      </c>
      <c r="N5" s="4">
        <f t="shared" si="0"/>
        <v>0</v>
      </c>
      <c r="O5" s="4">
        <f t="shared" si="0"/>
        <v>750</v>
      </c>
      <c r="P5" s="4">
        <f t="shared" si="0"/>
        <v>124</v>
      </c>
      <c r="Q5" s="4">
        <f t="shared" si="0"/>
        <v>419</v>
      </c>
      <c r="R5" s="1"/>
      <c r="S5" s="1"/>
      <c r="T5" s="4">
        <f t="shared" ref="T5:AB5" si="1">SUM(T6:T500)</f>
        <v>108.7</v>
      </c>
      <c r="U5" s="4">
        <f t="shared" si="1"/>
        <v>116.10000000000002</v>
      </c>
      <c r="V5" s="4">
        <f t="shared" si="1"/>
        <v>104.89999999999999</v>
      </c>
      <c r="W5" s="4">
        <f t="shared" si="1"/>
        <v>121.99999999999999</v>
      </c>
      <c r="X5" s="4">
        <f t="shared" si="1"/>
        <v>87.600000000000009</v>
      </c>
      <c r="Y5" s="4">
        <f t="shared" si="1"/>
        <v>154.69999999999999</v>
      </c>
      <c r="Z5" s="4">
        <f t="shared" si="1"/>
        <v>87.4</v>
      </c>
      <c r="AA5" s="4">
        <f t="shared" si="1"/>
        <v>130.39999999999998</v>
      </c>
      <c r="AB5" s="4">
        <f t="shared" si="1"/>
        <v>95.042399999999986</v>
      </c>
      <c r="AC5" s="1"/>
      <c r="AD5" s="4">
        <f>SUM(AD6:AD500)</f>
        <v>240.8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22</v>
      </c>
      <c r="D6" s="1">
        <v>2</v>
      </c>
      <c r="E6" s="1">
        <v>10</v>
      </c>
      <c r="F6" s="1"/>
      <c r="G6" s="7">
        <v>0.42</v>
      </c>
      <c r="H6" s="1">
        <v>120</v>
      </c>
      <c r="I6" s="1" t="s">
        <v>34</v>
      </c>
      <c r="J6" s="1"/>
      <c r="K6" s="1">
        <v>16</v>
      </c>
      <c r="L6" s="1">
        <f t="shared" ref="L6:L16" si="2">E6-K6</f>
        <v>-6</v>
      </c>
      <c r="M6" s="1"/>
      <c r="N6" s="1"/>
      <c r="O6" s="1">
        <v>20</v>
      </c>
      <c r="P6" s="1">
        <f>E6/5</f>
        <v>2</v>
      </c>
      <c r="Q6" s="5">
        <f>15*P6-O6-F6</f>
        <v>10</v>
      </c>
      <c r="R6" s="1">
        <f>(F6+O6+Q6)/P6</f>
        <v>15</v>
      </c>
      <c r="S6" s="1">
        <f>(F6+O6)/P6</f>
        <v>10</v>
      </c>
      <c r="T6" s="1">
        <v>2.2000000000000002</v>
      </c>
      <c r="U6" s="1">
        <v>1.4</v>
      </c>
      <c r="V6" s="1">
        <v>0.6</v>
      </c>
      <c r="W6" s="1">
        <v>1.6</v>
      </c>
      <c r="X6" s="1">
        <v>1.4</v>
      </c>
      <c r="Y6" s="1">
        <v>3.4</v>
      </c>
      <c r="Z6" s="1">
        <v>0</v>
      </c>
      <c r="AA6" s="1">
        <v>0</v>
      </c>
      <c r="AB6" s="1">
        <v>0</v>
      </c>
      <c r="AC6" s="1"/>
      <c r="AD6" s="1">
        <f>G6*Q6</f>
        <v>4.2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36</v>
      </c>
      <c r="C7" s="1">
        <v>0.79800000000000004</v>
      </c>
      <c r="D7" s="1">
        <v>131.74199999999999</v>
      </c>
      <c r="E7" s="1">
        <v>27</v>
      </c>
      <c r="F7" s="1">
        <v>63</v>
      </c>
      <c r="G7" s="7">
        <v>1</v>
      </c>
      <c r="H7" s="1">
        <v>120</v>
      </c>
      <c r="I7" s="1" t="s">
        <v>34</v>
      </c>
      <c r="J7" s="1"/>
      <c r="K7" s="1">
        <v>31.5</v>
      </c>
      <c r="L7" s="1">
        <f t="shared" si="2"/>
        <v>-4.5</v>
      </c>
      <c r="M7" s="1"/>
      <c r="N7" s="1"/>
      <c r="O7" s="1"/>
      <c r="P7" s="1">
        <f t="shared" ref="P7:P16" si="3">E7/5</f>
        <v>5.4</v>
      </c>
      <c r="Q7" s="5">
        <f t="shared" ref="Q7:Q16" si="4">15*P7-O7-F7</f>
        <v>18</v>
      </c>
      <c r="R7" s="1">
        <f t="shared" ref="R7:R16" si="5">(F7+O7+Q7)/P7</f>
        <v>14.999999999999998</v>
      </c>
      <c r="S7" s="1">
        <f t="shared" ref="S7:S16" si="6">(F7+O7)/P7</f>
        <v>11.666666666666666</v>
      </c>
      <c r="T7" s="1">
        <v>4.5</v>
      </c>
      <c r="U7" s="1">
        <v>8.1</v>
      </c>
      <c r="V7" s="1">
        <v>3.6</v>
      </c>
      <c r="W7" s="1">
        <v>5.4</v>
      </c>
      <c r="X7" s="1">
        <v>6.3</v>
      </c>
      <c r="Y7" s="1">
        <v>3.6</v>
      </c>
      <c r="Z7" s="1">
        <v>3.6</v>
      </c>
      <c r="AA7" s="1">
        <v>3.6</v>
      </c>
      <c r="AB7" s="1">
        <v>6.3423999999999996</v>
      </c>
      <c r="AC7" s="1"/>
      <c r="AD7" s="1">
        <f>G7*Q7</f>
        <v>18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36</v>
      </c>
      <c r="C8" s="1">
        <v>198</v>
      </c>
      <c r="D8" s="1">
        <v>36</v>
      </c>
      <c r="E8" s="1">
        <v>9</v>
      </c>
      <c r="F8" s="1">
        <v>189</v>
      </c>
      <c r="G8" s="7">
        <v>1</v>
      </c>
      <c r="H8" s="1">
        <v>120</v>
      </c>
      <c r="I8" s="1" t="s">
        <v>34</v>
      </c>
      <c r="J8" s="1"/>
      <c r="K8" s="1">
        <v>9</v>
      </c>
      <c r="L8" s="1">
        <f t="shared" si="2"/>
        <v>0</v>
      </c>
      <c r="M8" s="1"/>
      <c r="N8" s="1"/>
      <c r="O8" s="1"/>
      <c r="P8" s="1">
        <f t="shared" si="3"/>
        <v>1.8</v>
      </c>
      <c r="Q8" s="5"/>
      <c r="R8" s="1">
        <f t="shared" si="5"/>
        <v>105</v>
      </c>
      <c r="S8" s="1">
        <f t="shared" si="6"/>
        <v>105</v>
      </c>
      <c r="T8" s="1">
        <v>5.4</v>
      </c>
      <c r="U8" s="1">
        <v>1.8</v>
      </c>
      <c r="V8" s="1">
        <v>2.7</v>
      </c>
      <c r="W8" s="1">
        <v>3.6</v>
      </c>
      <c r="X8" s="1">
        <v>6.3</v>
      </c>
      <c r="Y8" s="1">
        <v>0.9</v>
      </c>
      <c r="Z8" s="1">
        <v>0</v>
      </c>
      <c r="AA8" s="1">
        <v>1.8</v>
      </c>
      <c r="AB8" s="1">
        <v>0.9</v>
      </c>
      <c r="AC8" s="10" t="s">
        <v>38</v>
      </c>
      <c r="AD8" s="1">
        <f>G8*Q8</f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39</v>
      </c>
      <c r="B9" s="1" t="s">
        <v>33</v>
      </c>
      <c r="C9" s="1">
        <v>45</v>
      </c>
      <c r="D9" s="1">
        <v>92</v>
      </c>
      <c r="E9" s="1">
        <v>16</v>
      </c>
      <c r="F9" s="1">
        <v>119</v>
      </c>
      <c r="G9" s="7">
        <v>0.42</v>
      </c>
      <c r="H9" s="1">
        <v>120</v>
      </c>
      <c r="I9" s="1" t="s">
        <v>34</v>
      </c>
      <c r="J9" s="1"/>
      <c r="K9" s="1">
        <v>16</v>
      </c>
      <c r="L9" s="1">
        <f t="shared" si="2"/>
        <v>0</v>
      </c>
      <c r="M9" s="1"/>
      <c r="N9" s="1"/>
      <c r="O9" s="1"/>
      <c r="P9" s="1">
        <f t="shared" si="3"/>
        <v>3.2</v>
      </c>
      <c r="Q9" s="5"/>
      <c r="R9" s="1">
        <f t="shared" si="5"/>
        <v>37.1875</v>
      </c>
      <c r="S9" s="1">
        <f t="shared" si="6"/>
        <v>37.1875</v>
      </c>
      <c r="T9" s="1">
        <v>3</v>
      </c>
      <c r="U9" s="1">
        <v>8.6</v>
      </c>
      <c r="V9" s="1">
        <v>5.4</v>
      </c>
      <c r="W9" s="1">
        <v>6</v>
      </c>
      <c r="X9" s="1">
        <v>1.8</v>
      </c>
      <c r="Y9" s="1">
        <v>15.2</v>
      </c>
      <c r="Z9" s="1">
        <v>0</v>
      </c>
      <c r="AA9" s="1">
        <v>0</v>
      </c>
      <c r="AB9" s="1">
        <v>0</v>
      </c>
      <c r="AC9" s="9" t="s">
        <v>40</v>
      </c>
      <c r="AD9" s="1">
        <f>G9*Q9</f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41</v>
      </c>
      <c r="B10" s="1" t="s">
        <v>33</v>
      </c>
      <c r="C10" s="1">
        <v>2</v>
      </c>
      <c r="D10" s="1">
        <v>470</v>
      </c>
      <c r="E10" s="1">
        <v>86</v>
      </c>
      <c r="F10" s="1">
        <v>349</v>
      </c>
      <c r="G10" s="7">
        <v>0.3</v>
      </c>
      <c r="H10" s="1">
        <v>120</v>
      </c>
      <c r="I10" s="1" t="s">
        <v>34</v>
      </c>
      <c r="J10" s="1"/>
      <c r="K10" s="1">
        <v>176</v>
      </c>
      <c r="L10" s="1">
        <f t="shared" si="2"/>
        <v>-90</v>
      </c>
      <c r="M10" s="1"/>
      <c r="N10" s="1"/>
      <c r="O10" s="1"/>
      <c r="P10" s="1">
        <f t="shared" si="3"/>
        <v>17.2</v>
      </c>
      <c r="Q10" s="5"/>
      <c r="R10" s="1">
        <f t="shared" si="5"/>
        <v>20.290697674418606</v>
      </c>
      <c r="S10" s="1">
        <f t="shared" si="6"/>
        <v>20.290697674418606</v>
      </c>
      <c r="T10" s="1">
        <v>6.8</v>
      </c>
      <c r="U10" s="1">
        <v>28.6</v>
      </c>
      <c r="V10" s="1">
        <v>15.6</v>
      </c>
      <c r="W10" s="1">
        <v>18</v>
      </c>
      <c r="X10" s="1">
        <v>25</v>
      </c>
      <c r="Y10" s="1">
        <v>27.4</v>
      </c>
      <c r="Z10" s="1">
        <v>15.6</v>
      </c>
      <c r="AA10" s="1">
        <v>25.4</v>
      </c>
      <c r="AB10" s="1">
        <v>14.6</v>
      </c>
      <c r="AC10" s="1" t="s">
        <v>42</v>
      </c>
      <c r="AD10" s="1">
        <f>G10*Q10</f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43</v>
      </c>
      <c r="B11" s="1" t="s">
        <v>33</v>
      </c>
      <c r="C11" s="1">
        <v>148</v>
      </c>
      <c r="D11" s="1">
        <v>166</v>
      </c>
      <c r="E11" s="1">
        <v>104</v>
      </c>
      <c r="F11" s="1">
        <v>116</v>
      </c>
      <c r="G11" s="7">
        <v>0.3</v>
      </c>
      <c r="H11" s="1">
        <v>120</v>
      </c>
      <c r="I11" s="1" t="s">
        <v>34</v>
      </c>
      <c r="J11" s="1"/>
      <c r="K11" s="1">
        <v>104</v>
      </c>
      <c r="L11" s="1">
        <f t="shared" si="2"/>
        <v>0</v>
      </c>
      <c r="M11" s="1"/>
      <c r="N11" s="1"/>
      <c r="O11" s="1">
        <v>120</v>
      </c>
      <c r="P11" s="1">
        <f t="shared" si="3"/>
        <v>20.8</v>
      </c>
      <c r="Q11" s="5">
        <f t="shared" si="4"/>
        <v>76</v>
      </c>
      <c r="R11" s="1">
        <f t="shared" si="5"/>
        <v>15</v>
      </c>
      <c r="S11" s="1">
        <f t="shared" si="6"/>
        <v>11.346153846153845</v>
      </c>
      <c r="T11" s="1">
        <v>15.8</v>
      </c>
      <c r="U11" s="1">
        <v>13</v>
      </c>
      <c r="V11" s="1">
        <v>11.4</v>
      </c>
      <c r="W11" s="1">
        <v>24.2</v>
      </c>
      <c r="X11" s="1">
        <v>12.4</v>
      </c>
      <c r="Y11" s="1">
        <v>30.8</v>
      </c>
      <c r="Z11" s="1">
        <v>24.2</v>
      </c>
      <c r="AA11" s="1">
        <v>24.6</v>
      </c>
      <c r="AB11" s="1">
        <v>11.4</v>
      </c>
      <c r="AC11" s="1" t="s">
        <v>42</v>
      </c>
      <c r="AD11" s="1">
        <f>G11*Q11</f>
        <v>22.8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33</v>
      </c>
      <c r="C12" s="1">
        <v>146</v>
      </c>
      <c r="D12" s="1">
        <v>169</v>
      </c>
      <c r="E12" s="1">
        <v>50</v>
      </c>
      <c r="F12" s="1">
        <v>25</v>
      </c>
      <c r="G12" s="7">
        <v>0.35</v>
      </c>
      <c r="H12" s="1">
        <v>120</v>
      </c>
      <c r="I12" s="1" t="s">
        <v>34</v>
      </c>
      <c r="J12" s="1"/>
      <c r="K12" s="1">
        <v>50</v>
      </c>
      <c r="L12" s="1">
        <f t="shared" si="2"/>
        <v>0</v>
      </c>
      <c r="M12" s="1"/>
      <c r="N12" s="1"/>
      <c r="O12" s="1">
        <v>130</v>
      </c>
      <c r="P12" s="1">
        <f t="shared" si="3"/>
        <v>10</v>
      </c>
      <c r="Q12" s="5"/>
      <c r="R12" s="1">
        <f t="shared" si="5"/>
        <v>15.5</v>
      </c>
      <c r="S12" s="1">
        <f t="shared" si="6"/>
        <v>15.5</v>
      </c>
      <c r="T12" s="1">
        <v>18</v>
      </c>
      <c r="U12" s="1">
        <v>8.4</v>
      </c>
      <c r="V12" s="1">
        <v>18.399999999999999</v>
      </c>
      <c r="W12" s="1">
        <v>9.6</v>
      </c>
      <c r="X12" s="1">
        <v>8.6</v>
      </c>
      <c r="Y12" s="1">
        <v>19.2</v>
      </c>
      <c r="Z12" s="1">
        <v>19</v>
      </c>
      <c r="AA12" s="1">
        <v>25.4</v>
      </c>
      <c r="AB12" s="1">
        <v>12.4</v>
      </c>
      <c r="AC12" s="1"/>
      <c r="AD12" s="1">
        <f>G12*Q12</f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33</v>
      </c>
      <c r="C13" s="1">
        <v>87</v>
      </c>
      <c r="D13" s="1">
        <v>182</v>
      </c>
      <c r="E13" s="1">
        <v>78</v>
      </c>
      <c r="F13" s="1"/>
      <c r="G13" s="7">
        <v>0.3</v>
      </c>
      <c r="H13" s="1">
        <v>120</v>
      </c>
      <c r="I13" s="1" t="s">
        <v>34</v>
      </c>
      <c r="J13" s="1"/>
      <c r="K13" s="1">
        <v>78</v>
      </c>
      <c r="L13" s="1">
        <f t="shared" si="2"/>
        <v>0</v>
      </c>
      <c r="M13" s="1"/>
      <c r="N13" s="1"/>
      <c r="O13" s="1">
        <v>270</v>
      </c>
      <c r="P13" s="1">
        <f t="shared" si="3"/>
        <v>15.6</v>
      </c>
      <c r="Q13" s="5"/>
      <c r="R13" s="1">
        <f t="shared" si="5"/>
        <v>17.307692307692307</v>
      </c>
      <c r="S13" s="1">
        <f t="shared" si="6"/>
        <v>17.307692307692307</v>
      </c>
      <c r="T13" s="1">
        <v>23.2</v>
      </c>
      <c r="U13" s="1">
        <v>5.4</v>
      </c>
      <c r="V13" s="1">
        <v>16.2</v>
      </c>
      <c r="W13" s="1">
        <v>12.4</v>
      </c>
      <c r="X13" s="1">
        <v>8.4</v>
      </c>
      <c r="Y13" s="1">
        <v>17.8</v>
      </c>
      <c r="Z13" s="1">
        <v>17</v>
      </c>
      <c r="AA13" s="1">
        <v>28.4</v>
      </c>
      <c r="AB13" s="1">
        <v>8.6</v>
      </c>
      <c r="AC13" s="1"/>
      <c r="AD13" s="1">
        <f>G13*Q13</f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46</v>
      </c>
      <c r="B14" s="1" t="s">
        <v>33</v>
      </c>
      <c r="C14" s="1">
        <v>97</v>
      </c>
      <c r="D14" s="1">
        <v>143</v>
      </c>
      <c r="E14" s="1">
        <v>86</v>
      </c>
      <c r="F14" s="1">
        <v>6</v>
      </c>
      <c r="G14" s="7">
        <v>0.35</v>
      </c>
      <c r="H14" s="1">
        <v>120</v>
      </c>
      <c r="I14" s="1" t="s">
        <v>34</v>
      </c>
      <c r="J14" s="1"/>
      <c r="K14" s="1">
        <v>86</v>
      </c>
      <c r="L14" s="1">
        <f t="shared" si="2"/>
        <v>0</v>
      </c>
      <c r="M14" s="1"/>
      <c r="N14" s="1"/>
      <c r="O14" s="1">
        <v>210</v>
      </c>
      <c r="P14" s="1">
        <f t="shared" si="3"/>
        <v>17.2</v>
      </c>
      <c r="Q14" s="5">
        <f t="shared" si="4"/>
        <v>42</v>
      </c>
      <c r="R14" s="1">
        <f t="shared" si="5"/>
        <v>15</v>
      </c>
      <c r="S14" s="1">
        <f t="shared" si="6"/>
        <v>12.558139534883722</v>
      </c>
      <c r="T14" s="1">
        <v>20</v>
      </c>
      <c r="U14" s="1">
        <v>9.1999999999999993</v>
      </c>
      <c r="V14" s="1">
        <v>16.2</v>
      </c>
      <c r="W14" s="1">
        <v>14.8</v>
      </c>
      <c r="X14" s="1">
        <v>14</v>
      </c>
      <c r="Y14" s="1">
        <v>13.2</v>
      </c>
      <c r="Z14" s="1">
        <v>8</v>
      </c>
      <c r="AA14" s="1">
        <v>16.600000000000001</v>
      </c>
      <c r="AB14" s="1">
        <v>14.4</v>
      </c>
      <c r="AC14" s="1"/>
      <c r="AD14" s="1">
        <f>G14*Q14</f>
        <v>14.7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47</v>
      </c>
      <c r="B15" s="1" t="s">
        <v>33</v>
      </c>
      <c r="C15" s="1">
        <v>97</v>
      </c>
      <c r="D15" s="1">
        <v>36</v>
      </c>
      <c r="E15" s="1">
        <v>28</v>
      </c>
      <c r="F15" s="1">
        <v>59</v>
      </c>
      <c r="G15" s="7">
        <v>0.3</v>
      </c>
      <c r="H15" s="1">
        <v>120</v>
      </c>
      <c r="I15" s="1" t="s">
        <v>34</v>
      </c>
      <c r="J15" s="1"/>
      <c r="K15" s="1">
        <v>28</v>
      </c>
      <c r="L15" s="1">
        <f t="shared" si="2"/>
        <v>0</v>
      </c>
      <c r="M15" s="1"/>
      <c r="N15" s="1"/>
      <c r="O15" s="1"/>
      <c r="P15" s="1">
        <f t="shared" si="3"/>
        <v>5.6</v>
      </c>
      <c r="Q15" s="5">
        <f t="shared" si="4"/>
        <v>25</v>
      </c>
      <c r="R15" s="1">
        <f t="shared" si="5"/>
        <v>15.000000000000002</v>
      </c>
      <c r="S15" s="1">
        <f t="shared" si="6"/>
        <v>10.535714285714286</v>
      </c>
      <c r="T15" s="1">
        <v>2.6</v>
      </c>
      <c r="U15" s="1">
        <v>6</v>
      </c>
      <c r="V15" s="1">
        <v>5.8</v>
      </c>
      <c r="W15" s="1">
        <v>11.6</v>
      </c>
      <c r="X15" s="1">
        <v>3.4</v>
      </c>
      <c r="Y15" s="1">
        <v>13.2</v>
      </c>
      <c r="Z15" s="1">
        <v>0</v>
      </c>
      <c r="AA15" s="1">
        <v>0</v>
      </c>
      <c r="AB15" s="1">
        <v>0</v>
      </c>
      <c r="AC15" s="1"/>
      <c r="AD15" s="1">
        <f>G15*Q15</f>
        <v>7.5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48</v>
      </c>
      <c r="B16" s="1" t="s">
        <v>33</v>
      </c>
      <c r="C16" s="1">
        <v>3</v>
      </c>
      <c r="D16" s="1">
        <v>344</v>
      </c>
      <c r="E16" s="1">
        <v>126</v>
      </c>
      <c r="F16" s="1">
        <v>130</v>
      </c>
      <c r="G16" s="7">
        <v>0.7</v>
      </c>
      <c r="H16" s="1">
        <v>180</v>
      </c>
      <c r="I16" s="1" t="s">
        <v>34</v>
      </c>
      <c r="J16" s="1"/>
      <c r="K16" s="1">
        <v>186</v>
      </c>
      <c r="L16" s="1">
        <f t="shared" si="2"/>
        <v>-60</v>
      </c>
      <c r="M16" s="1"/>
      <c r="N16" s="1"/>
      <c r="O16" s="1"/>
      <c r="P16" s="1">
        <f t="shared" si="3"/>
        <v>25.2</v>
      </c>
      <c r="Q16" s="5">
        <f t="shared" si="4"/>
        <v>248</v>
      </c>
      <c r="R16" s="1">
        <f t="shared" si="5"/>
        <v>15</v>
      </c>
      <c r="S16" s="1">
        <f t="shared" si="6"/>
        <v>5.1587301587301591</v>
      </c>
      <c r="T16" s="1">
        <v>7.2</v>
      </c>
      <c r="U16" s="1">
        <v>25.6</v>
      </c>
      <c r="V16" s="1">
        <v>9</v>
      </c>
      <c r="W16" s="1">
        <v>14.8</v>
      </c>
      <c r="X16" s="1">
        <v>0</v>
      </c>
      <c r="Y16" s="1">
        <v>10</v>
      </c>
      <c r="Z16" s="1">
        <v>0</v>
      </c>
      <c r="AA16" s="1">
        <v>4.5999999999999996</v>
      </c>
      <c r="AB16" s="1">
        <v>26.4</v>
      </c>
      <c r="AC16" s="1"/>
      <c r="AD16" s="1">
        <f>G16*Q16</f>
        <v>173.6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2026-08-31T14:48:39Z</dcterms:created>
  <dcterms:modified xsi:type="dcterms:W3CDTF">2026-08-31T14:52:36Z</dcterms:modified>
</cp:coreProperties>
</file>