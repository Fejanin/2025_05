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00741A17-5EDC-4BBB-AF74-6A50E3AA2E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4" i="1" l="1"/>
  <c r="R14" i="1" s="1"/>
  <c r="Q13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C16" i="1"/>
  <c r="L16" i="1"/>
  <c r="AC15" i="1"/>
  <c r="L15" i="1"/>
  <c r="AC14" i="1"/>
  <c r="L14" i="1"/>
  <c r="AC13" i="1"/>
  <c r="L13" i="1"/>
  <c r="AC12" i="1"/>
  <c r="L12" i="1"/>
  <c r="AC11" i="1"/>
  <c r="L11" i="1"/>
  <c r="AC10" i="1"/>
  <c r="L10" i="1"/>
  <c r="L9" i="1"/>
  <c r="AC8" i="1"/>
  <c r="L8" i="1"/>
  <c r="AC7" i="1"/>
  <c r="L7" i="1"/>
  <c r="AC6" i="1"/>
  <c r="L6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AC5" i="1" l="1"/>
  <c r="P5" i="1"/>
  <c r="L5" i="1"/>
</calcChain>
</file>

<file path=xl/sharedStrings.xml><?xml version="1.0" encoding="utf-8"?>
<sst xmlns="http://schemas.openxmlformats.org/spreadsheetml/2006/main" count="80" uniqueCount="48">
  <si>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</si>
  <si>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</si>
  <si>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</si>
  <si>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</si>
  <si>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</si>
  <si>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</si>
  <si>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</si>
  <si>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</si>
  <si>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</si>
  <si>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</si>
  <si>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</si>
  <si>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</si>
  <si>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</si>
  <si>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</si>
  <si>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</si>
  <si>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</si>
  <si>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</si>
  <si>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</si>
  <si>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</si>
  <si>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</si>
  <si>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</si>
  <si>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</si>
  <si>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</si>
  <si>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</si>
  <si>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</si>
  <si>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</si>
  <si>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</si>
  <si>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</si>
  <si>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</si>
  <si>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</si>
  <si>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</si>
  <si>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</si>
  <si>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</si>
  <si>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</si>
  <si>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</si>
  <si>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</si>
  <si>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</si>
  <si>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</si>
  <si>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</si>
  <si>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</si>
  <si>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нет потребности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</si>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</sst>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23" sqref="AB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5703125" customWidth="1"/>
    <col min="16" max="17" width="7" customWidth="1"/>
    <col min="18" max="19" width="5" customWidth="1"/>
    <col min="20" max="27" width="6" customWidth="1"/>
    <col min="28" max="28" width="40.140625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288</v>
      </c>
      <c r="F5" s="4">
        <f>SUM(F6:F500)</f>
        <v>1833.83</v>
      </c>
      <c r="G5" s="7"/>
      <c r="H5" s="1"/>
      <c r="I5" s="1"/>
      <c r="J5" s="1"/>
      <c r="K5" s="4">
        <f t="shared" ref="K5:Q5" si="0">SUM(K6:K500)</f>
        <v>284</v>
      </c>
      <c r="L5" s="4">
        <f t="shared" si="0"/>
        <v>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57.6</v>
      </c>
      <c r="Q5" s="4">
        <f t="shared" si="0"/>
        <v>36</v>
      </c>
      <c r="R5" s="1"/>
      <c r="S5" s="1"/>
      <c r="T5" s="4">
        <f t="shared" ref="T5:AA5" si="1">SUM(T6:T500)</f>
        <v>15.600000000000001</v>
      </c>
      <c r="U5" s="4">
        <f t="shared" si="1"/>
        <v>19</v>
      </c>
      <c r="V5" s="4">
        <f t="shared" si="1"/>
        <v>136.226</v>
      </c>
      <c r="W5" s="4">
        <f t="shared" si="1"/>
        <v>45.400000000000006</v>
      </c>
      <c r="X5" s="4">
        <f t="shared" si="1"/>
        <v>81.2</v>
      </c>
      <c r="Y5" s="4">
        <f t="shared" si="1"/>
        <v>79.199999999999989</v>
      </c>
      <c r="Z5" s="4">
        <f t="shared" si="1"/>
        <v>0</v>
      </c>
      <c r="AA5" s="4">
        <f t="shared" si="1"/>
        <v>0</v>
      </c>
      <c r="AB5" s="1"/>
      <c r="AC5" s="4">
        <f>SUM(AC6:AC500)</f>
        <v>11.149999999999999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95</v>
      </c>
      <c r="D6" s="1"/>
      <c r="E6" s="1">
        <v>3</v>
      </c>
      <c r="F6" s="1">
        <v>92</v>
      </c>
      <c r="G6" s="7">
        <v>0.42</v>
      </c>
      <c r="H6" s="1">
        <v>120</v>
      </c>
      <c r="I6" s="1" t="s">
        <v>34</v>
      </c>
      <c r="J6" s="1"/>
      <c r="K6" s="1">
        <v>3</v>
      </c>
      <c r="L6" s="1">
        <f t="shared" ref="L6:L16" si="2">E6-K6</f>
        <v>0</v>
      </c>
      <c r="M6" s="1"/>
      <c r="N6" s="1"/>
      <c r="O6" s="1"/>
      <c r="P6" s="1">
        <f>E6/5</f>
        <v>0.6</v>
      </c>
      <c r="Q6" s="5"/>
      <c r="R6" s="1">
        <f>(F6+Q6)/P6</f>
        <v>153.33333333333334</v>
      </c>
      <c r="S6" s="1">
        <f>F6/P6</f>
        <v>153.33333333333334</v>
      </c>
      <c r="T6" s="1">
        <v>0.6</v>
      </c>
      <c r="U6" s="1">
        <v>0</v>
      </c>
      <c r="V6" s="1">
        <v>8.4</v>
      </c>
      <c r="W6" s="1">
        <v>1</v>
      </c>
      <c r="X6" s="1">
        <v>9</v>
      </c>
      <c r="Y6" s="1">
        <v>2</v>
      </c>
      <c r="Z6" s="1">
        <v>0</v>
      </c>
      <c r="AA6" s="1">
        <v>0</v>
      </c>
      <c r="AB6" s="12" t="s">
        <v>35</v>
      </c>
      <c r="AC6" s="1">
        <f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196.68199999999999</v>
      </c>
      <c r="D7" s="1"/>
      <c r="E7" s="1"/>
      <c r="F7" s="1">
        <v>196.68199999999999</v>
      </c>
      <c r="G7" s="7">
        <v>1</v>
      </c>
      <c r="H7" s="1">
        <v>120</v>
      </c>
      <c r="I7" s="1" t="s">
        <v>34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(F7+Q7)/P7</f>
        <v>#DIV/0!</v>
      </c>
      <c r="S7" s="1" t="e">
        <f t="shared" ref="S7:S16" si="5">F7/P7</f>
        <v>#DIV/0!</v>
      </c>
      <c r="T7" s="1">
        <v>0</v>
      </c>
      <c r="U7" s="1">
        <v>0</v>
      </c>
      <c r="V7" s="1">
        <v>0.91880000000000006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2" t="s">
        <v>35</v>
      </c>
      <c r="AC7" s="1">
        <f>G7*Q7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95.147999999999996</v>
      </c>
      <c r="D8" s="1"/>
      <c r="E8" s="1"/>
      <c r="F8" s="1">
        <v>95.147999999999996</v>
      </c>
      <c r="G8" s="7">
        <v>1</v>
      </c>
      <c r="H8" s="1">
        <v>120</v>
      </c>
      <c r="I8" s="1" t="s">
        <v>34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0.9071999999999999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2" t="s">
        <v>35</v>
      </c>
      <c r="AC8" s="1">
        <f>G8*Q8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39</v>
      </c>
      <c r="B9" s="9" t="s">
        <v>33</v>
      </c>
      <c r="C9" s="9"/>
      <c r="D9" s="9"/>
      <c r="E9" s="9"/>
      <c r="F9" s="9"/>
      <c r="G9" s="10">
        <v>0</v>
      </c>
      <c r="H9" s="9">
        <v>120</v>
      </c>
      <c r="I9" s="9" t="s">
        <v>34</v>
      </c>
      <c r="J9" s="9"/>
      <c r="K9" s="9"/>
      <c r="L9" s="9">
        <f t="shared" si="2"/>
        <v>0</v>
      </c>
      <c r="M9" s="9"/>
      <c r="N9" s="9"/>
      <c r="O9" s="9"/>
      <c r="P9" s="9">
        <f t="shared" si="3"/>
        <v>0</v>
      </c>
      <c r="Q9" s="11"/>
      <c r="R9" s="9" t="e">
        <f t="shared" si="4"/>
        <v>#DIV/0!</v>
      </c>
      <c r="S9" s="9" t="e">
        <f t="shared" si="5"/>
        <v>#DIV/0!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 t="s">
        <v>40</v>
      </c>
      <c r="AC9" s="9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33</v>
      </c>
      <c r="C10" s="1">
        <v>390</v>
      </c>
      <c r="D10" s="1"/>
      <c r="E10" s="1">
        <v>61</v>
      </c>
      <c r="F10" s="1">
        <v>329</v>
      </c>
      <c r="G10" s="7">
        <v>0.3</v>
      </c>
      <c r="H10" s="1">
        <v>120</v>
      </c>
      <c r="I10" s="1" t="s">
        <v>34</v>
      </c>
      <c r="J10" s="1"/>
      <c r="K10" s="1">
        <v>61</v>
      </c>
      <c r="L10" s="1">
        <f t="shared" si="2"/>
        <v>0</v>
      </c>
      <c r="M10" s="1"/>
      <c r="N10" s="1"/>
      <c r="O10" s="1"/>
      <c r="P10" s="1">
        <f t="shared" si="3"/>
        <v>12.2</v>
      </c>
      <c r="Q10" s="5"/>
      <c r="R10" s="1">
        <f t="shared" si="4"/>
        <v>26.967213114754099</v>
      </c>
      <c r="S10" s="1">
        <f t="shared" si="5"/>
        <v>26.967213114754099</v>
      </c>
      <c r="T10" s="1">
        <v>1.2</v>
      </c>
      <c r="U10" s="1">
        <v>2.4</v>
      </c>
      <c r="V10" s="1">
        <v>37.4</v>
      </c>
      <c r="W10" s="1">
        <v>16</v>
      </c>
      <c r="X10" s="1">
        <v>18.2</v>
      </c>
      <c r="Y10" s="1">
        <v>19.600000000000001</v>
      </c>
      <c r="Z10" s="1">
        <v>0</v>
      </c>
      <c r="AA10" s="1">
        <v>0</v>
      </c>
      <c r="AB10" s="12" t="s">
        <v>35</v>
      </c>
      <c r="AC10" s="1">
        <f t="shared" ref="AC10:AC16" si="6">G10*Q10</f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124</v>
      </c>
      <c r="D11" s="1"/>
      <c r="E11" s="1">
        <v>29</v>
      </c>
      <c r="F11" s="1">
        <v>95</v>
      </c>
      <c r="G11" s="7">
        <v>0.3</v>
      </c>
      <c r="H11" s="1">
        <v>120</v>
      </c>
      <c r="I11" s="1" t="s">
        <v>34</v>
      </c>
      <c r="J11" s="1"/>
      <c r="K11" s="1">
        <v>27</v>
      </c>
      <c r="L11" s="1">
        <f t="shared" si="2"/>
        <v>2</v>
      </c>
      <c r="M11" s="1"/>
      <c r="N11" s="1"/>
      <c r="O11" s="1"/>
      <c r="P11" s="1">
        <f t="shared" si="3"/>
        <v>5.8</v>
      </c>
      <c r="Q11" s="5"/>
      <c r="R11" s="1">
        <f t="shared" si="4"/>
        <v>16.379310344827587</v>
      </c>
      <c r="S11" s="1">
        <f t="shared" si="5"/>
        <v>16.379310344827587</v>
      </c>
      <c r="T11" s="1">
        <v>1.4</v>
      </c>
      <c r="U11" s="1">
        <v>4.4000000000000004</v>
      </c>
      <c r="V11" s="1">
        <v>8.8000000000000007</v>
      </c>
      <c r="W11" s="1">
        <v>4.4000000000000004</v>
      </c>
      <c r="X11" s="1">
        <v>15.4</v>
      </c>
      <c r="Y11" s="1">
        <v>3.2</v>
      </c>
      <c r="Z11" s="1">
        <v>0</v>
      </c>
      <c r="AA11" s="1">
        <v>0</v>
      </c>
      <c r="AB11" s="1"/>
      <c r="AC11" s="1">
        <f t="shared" si="6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33</v>
      </c>
      <c r="C12" s="1">
        <v>435</v>
      </c>
      <c r="D12" s="1"/>
      <c r="E12" s="1">
        <v>59</v>
      </c>
      <c r="F12" s="1">
        <v>373</v>
      </c>
      <c r="G12" s="7">
        <v>0.35</v>
      </c>
      <c r="H12" s="1">
        <v>120</v>
      </c>
      <c r="I12" s="1" t="s">
        <v>34</v>
      </c>
      <c r="J12" s="1"/>
      <c r="K12" s="1">
        <v>59</v>
      </c>
      <c r="L12" s="1">
        <f t="shared" si="2"/>
        <v>0</v>
      </c>
      <c r="M12" s="1"/>
      <c r="N12" s="1"/>
      <c r="O12" s="1"/>
      <c r="P12" s="1">
        <f t="shared" si="3"/>
        <v>11.8</v>
      </c>
      <c r="Q12" s="5"/>
      <c r="R12" s="1">
        <f t="shared" si="4"/>
        <v>31.610169491525422</v>
      </c>
      <c r="S12" s="1">
        <f t="shared" si="5"/>
        <v>31.610169491525422</v>
      </c>
      <c r="T12" s="1">
        <v>2.4</v>
      </c>
      <c r="U12" s="1">
        <v>2.6</v>
      </c>
      <c r="V12" s="1">
        <v>37.6</v>
      </c>
      <c r="W12" s="1">
        <v>0.6</v>
      </c>
      <c r="X12" s="1">
        <v>-0.6</v>
      </c>
      <c r="Y12" s="1">
        <v>20.2</v>
      </c>
      <c r="Z12" s="1">
        <v>0</v>
      </c>
      <c r="AA12" s="1">
        <v>0</v>
      </c>
      <c r="AB12" s="12" t="s">
        <v>35</v>
      </c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33</v>
      </c>
      <c r="C13" s="1">
        <v>87</v>
      </c>
      <c r="D13" s="1"/>
      <c r="E13" s="1">
        <v>29</v>
      </c>
      <c r="F13" s="1">
        <v>58</v>
      </c>
      <c r="G13" s="7">
        <v>0.3</v>
      </c>
      <c r="H13" s="1">
        <v>120</v>
      </c>
      <c r="I13" s="1" t="s">
        <v>34</v>
      </c>
      <c r="J13" s="1"/>
      <c r="K13" s="1">
        <v>29</v>
      </c>
      <c r="L13" s="1">
        <f t="shared" si="2"/>
        <v>0</v>
      </c>
      <c r="M13" s="1"/>
      <c r="N13" s="1"/>
      <c r="O13" s="1"/>
      <c r="P13" s="1">
        <f t="shared" si="3"/>
        <v>5.8</v>
      </c>
      <c r="Q13" s="5">
        <f>15*P13-F13</f>
        <v>29</v>
      </c>
      <c r="R13" s="1">
        <f t="shared" si="4"/>
        <v>15</v>
      </c>
      <c r="S13" s="1">
        <f t="shared" si="5"/>
        <v>10</v>
      </c>
      <c r="T13" s="1">
        <v>3.2</v>
      </c>
      <c r="U13" s="1">
        <v>3.8</v>
      </c>
      <c r="V13" s="1">
        <v>0.2</v>
      </c>
      <c r="W13" s="1">
        <v>5</v>
      </c>
      <c r="X13" s="1">
        <v>10.6</v>
      </c>
      <c r="Y13" s="1">
        <v>3</v>
      </c>
      <c r="Z13" s="1">
        <v>0</v>
      </c>
      <c r="AA13" s="1">
        <v>0</v>
      </c>
      <c r="AB13" s="1"/>
      <c r="AC13" s="1">
        <f t="shared" si="6"/>
        <v>8.6999999999999993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33</v>
      </c>
      <c r="C14" s="1">
        <v>388</v>
      </c>
      <c r="D14" s="1"/>
      <c r="E14" s="1">
        <v>98</v>
      </c>
      <c r="F14" s="1">
        <v>287</v>
      </c>
      <c r="G14" s="7">
        <v>0.35</v>
      </c>
      <c r="H14" s="1">
        <v>120</v>
      </c>
      <c r="I14" s="1" t="s">
        <v>34</v>
      </c>
      <c r="J14" s="1"/>
      <c r="K14" s="1">
        <v>96</v>
      </c>
      <c r="L14" s="1">
        <f t="shared" si="2"/>
        <v>2</v>
      </c>
      <c r="M14" s="1"/>
      <c r="N14" s="1"/>
      <c r="O14" s="1"/>
      <c r="P14" s="1">
        <f t="shared" si="3"/>
        <v>19.600000000000001</v>
      </c>
      <c r="Q14" s="5">
        <f>15*P14-F14</f>
        <v>7</v>
      </c>
      <c r="R14" s="1">
        <f t="shared" si="4"/>
        <v>14.999999999999998</v>
      </c>
      <c r="S14" s="1">
        <f t="shared" si="5"/>
        <v>14.642857142857142</v>
      </c>
      <c r="T14" s="1">
        <v>3.8</v>
      </c>
      <c r="U14" s="1">
        <v>4.4000000000000004</v>
      </c>
      <c r="V14" s="1">
        <v>39.4</v>
      </c>
      <c r="W14" s="1">
        <v>16.2</v>
      </c>
      <c r="X14" s="1">
        <v>22.8</v>
      </c>
      <c r="Y14" s="1">
        <v>20.6</v>
      </c>
      <c r="Z14" s="1">
        <v>0</v>
      </c>
      <c r="AA14" s="1">
        <v>0</v>
      </c>
      <c r="AB14" s="1"/>
      <c r="AC14" s="1">
        <f t="shared" si="6"/>
        <v>2.4499999999999997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33</v>
      </c>
      <c r="C15" s="1">
        <v>38</v>
      </c>
      <c r="D15" s="1"/>
      <c r="E15" s="1">
        <v>3</v>
      </c>
      <c r="F15" s="1">
        <v>35</v>
      </c>
      <c r="G15" s="7">
        <v>0.3</v>
      </c>
      <c r="H15" s="1">
        <v>120</v>
      </c>
      <c r="I15" s="1" t="s">
        <v>34</v>
      </c>
      <c r="J15" s="1"/>
      <c r="K15" s="1">
        <v>3</v>
      </c>
      <c r="L15" s="1">
        <f t="shared" si="2"/>
        <v>0</v>
      </c>
      <c r="M15" s="1"/>
      <c r="N15" s="1"/>
      <c r="O15" s="1"/>
      <c r="P15" s="1">
        <f t="shared" si="3"/>
        <v>0.6</v>
      </c>
      <c r="Q15" s="5"/>
      <c r="R15" s="1">
        <f t="shared" si="4"/>
        <v>58.333333333333336</v>
      </c>
      <c r="S15" s="1">
        <f t="shared" si="5"/>
        <v>58.333333333333336</v>
      </c>
      <c r="T15" s="1">
        <v>0.6</v>
      </c>
      <c r="U15" s="1">
        <v>0.4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2" t="s">
        <v>35</v>
      </c>
      <c r="AC15" s="1">
        <f t="shared" si="6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33</v>
      </c>
      <c r="C16" s="1">
        <v>282</v>
      </c>
      <c r="D16" s="1"/>
      <c r="E16" s="1">
        <v>6</v>
      </c>
      <c r="F16" s="1">
        <v>273</v>
      </c>
      <c r="G16" s="7">
        <v>0.7</v>
      </c>
      <c r="H16" s="1">
        <v>180</v>
      </c>
      <c r="I16" s="1" t="s">
        <v>34</v>
      </c>
      <c r="J16" s="1"/>
      <c r="K16" s="1">
        <v>6</v>
      </c>
      <c r="L16" s="1">
        <f t="shared" si="2"/>
        <v>0</v>
      </c>
      <c r="M16" s="1"/>
      <c r="N16" s="1"/>
      <c r="O16" s="1"/>
      <c r="P16" s="1">
        <f t="shared" si="3"/>
        <v>1.2</v>
      </c>
      <c r="Q16" s="5"/>
      <c r="R16" s="1">
        <f t="shared" si="4"/>
        <v>227.5</v>
      </c>
      <c r="S16" s="1">
        <f t="shared" si="5"/>
        <v>227.5</v>
      </c>
      <c r="T16" s="1">
        <v>2.4</v>
      </c>
      <c r="U16" s="1">
        <v>1</v>
      </c>
      <c r="V16" s="1">
        <v>1.6</v>
      </c>
      <c r="W16" s="1">
        <v>2.2000000000000002</v>
      </c>
      <c r="X16" s="1">
        <v>5.8</v>
      </c>
      <c r="Y16" s="1">
        <v>10.6</v>
      </c>
      <c r="Z16" s="1">
        <v>0</v>
      </c>
      <c r="AA16" s="1">
        <v>0</v>
      </c>
      <c r="AB16" s="12" t="s">
        <v>35</v>
      </c>
      <c r="AC16" s="1">
        <f t="shared" si="6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2026-08-24T15:45:52Z</dcterms:created>
  <dcterms:modified xsi:type="dcterms:W3CDTF">2026-08-24T15:48:23Z</dcterms:modified>
</cp:coreProperties>
</file>