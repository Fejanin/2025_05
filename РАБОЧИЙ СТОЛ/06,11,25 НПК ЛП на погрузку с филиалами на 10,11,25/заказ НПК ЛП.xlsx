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90A849F3-6FBA-4BE2-81B7-88137E61440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O346" i="1"/>
  <c r="BM346" i="1"/>
  <c r="Y346" i="1"/>
  <c r="BP346" i="1" s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X326" i="1"/>
  <c r="Y325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BP321" i="1"/>
  <c r="BO321" i="1"/>
  <c r="BN321" i="1"/>
  <c r="BM321" i="1"/>
  <c r="Z321" i="1"/>
  <c r="Y321" i="1"/>
  <c r="Y326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Y305" i="1" s="1"/>
  <c r="P297" i="1"/>
  <c r="X295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X285" i="1"/>
  <c r="X284" i="1"/>
  <c r="BO283" i="1"/>
  <c r="BM283" i="1"/>
  <c r="Y283" i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Y274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P190" i="1"/>
  <c r="BO190" i="1"/>
  <c r="BN190" i="1"/>
  <c r="BM190" i="1"/>
  <c r="Z190" i="1"/>
  <c r="Y190" i="1"/>
  <c r="P190" i="1"/>
  <c r="X188" i="1"/>
  <c r="Y187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Y149" i="1"/>
  <c r="X149" i="1"/>
  <c r="BP148" i="1"/>
  <c r="BO148" i="1"/>
  <c r="BN148" i="1"/>
  <c r="BM148" i="1"/>
  <c r="Z148" i="1"/>
  <c r="Y148" i="1"/>
  <c r="P148" i="1"/>
  <c r="BO147" i="1"/>
  <c r="BM147" i="1"/>
  <c r="Y147" i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Y136" i="1"/>
  <c r="X136" i="1"/>
  <c r="BP135" i="1"/>
  <c r="BO135" i="1"/>
  <c r="BN135" i="1"/>
  <c r="BM135" i="1"/>
  <c r="Z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6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Z346" i="1" l="1"/>
  <c r="BN346" i="1"/>
  <c r="Z43" i="1"/>
  <c r="Y31" i="1"/>
  <c r="Y43" i="1"/>
  <c r="Y58" i="1"/>
  <c r="Y64" i="1"/>
  <c r="Y70" i="1"/>
  <c r="Z88" i="1"/>
  <c r="BP86" i="1"/>
  <c r="BN86" i="1"/>
  <c r="Z86" i="1"/>
  <c r="BP94" i="1"/>
  <c r="BN94" i="1"/>
  <c r="Z94" i="1"/>
  <c r="Y96" i="1"/>
  <c r="F499" i="1"/>
  <c r="Y104" i="1"/>
  <c r="BP99" i="1"/>
  <c r="BN99" i="1"/>
  <c r="Z99" i="1"/>
  <c r="Z103" i="1" s="1"/>
  <c r="Y103" i="1"/>
  <c r="Z109" i="1"/>
  <c r="BP107" i="1"/>
  <c r="BN107" i="1"/>
  <c r="Z107" i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Z143" i="1"/>
  <c r="BP141" i="1"/>
  <c r="BN141" i="1"/>
  <c r="Z141" i="1"/>
  <c r="Y153" i="1"/>
  <c r="BP152" i="1"/>
  <c r="BN152" i="1"/>
  <c r="Z152" i="1"/>
  <c r="Z153" i="1" s="1"/>
  <c r="Y154" i="1"/>
  <c r="I499" i="1"/>
  <c r="Y159" i="1"/>
  <c r="BP158" i="1"/>
  <c r="BN158" i="1"/>
  <c r="Z158" i="1"/>
  <c r="Z159" i="1" s="1"/>
  <c r="Y160" i="1"/>
  <c r="Y171" i="1"/>
  <c r="BP162" i="1"/>
  <c r="BN162" i="1"/>
  <c r="Z162" i="1"/>
  <c r="BP166" i="1"/>
  <c r="BN166" i="1"/>
  <c r="Z166" i="1"/>
  <c r="BP170" i="1"/>
  <c r="BN170" i="1"/>
  <c r="Z170" i="1"/>
  <c r="Y172" i="1"/>
  <c r="Y177" i="1"/>
  <c r="BP174" i="1"/>
  <c r="BN174" i="1"/>
  <c r="Z174" i="1"/>
  <c r="BP191" i="1"/>
  <c r="BN191" i="1"/>
  <c r="Z191" i="1"/>
  <c r="Z192" i="1" s="1"/>
  <c r="Y193" i="1"/>
  <c r="Y204" i="1"/>
  <c r="BP195" i="1"/>
  <c r="BN195" i="1"/>
  <c r="Z195" i="1"/>
  <c r="BP199" i="1"/>
  <c r="BN199" i="1"/>
  <c r="Z199" i="1"/>
  <c r="Y203" i="1"/>
  <c r="BP207" i="1"/>
  <c r="BN207" i="1"/>
  <c r="Z207" i="1"/>
  <c r="Z215" i="1" s="1"/>
  <c r="BP214" i="1"/>
  <c r="BN214" i="1"/>
  <c r="Z214" i="1"/>
  <c r="Y216" i="1"/>
  <c r="Y221" i="1"/>
  <c r="BP218" i="1"/>
  <c r="BN218" i="1"/>
  <c r="Z218" i="1"/>
  <c r="Z220" i="1" s="1"/>
  <c r="Y220" i="1"/>
  <c r="BP279" i="1"/>
  <c r="BN279" i="1"/>
  <c r="Z279" i="1"/>
  <c r="Z280" i="1" s="1"/>
  <c r="Y281" i="1"/>
  <c r="Y284" i="1"/>
  <c r="BP283" i="1"/>
  <c r="BN283" i="1"/>
  <c r="Z283" i="1"/>
  <c r="Z284" i="1" s="1"/>
  <c r="Y285" i="1"/>
  <c r="Q499" i="1"/>
  <c r="Y295" i="1"/>
  <c r="BP288" i="1"/>
  <c r="BN288" i="1"/>
  <c r="Z288" i="1"/>
  <c r="Y294" i="1"/>
  <c r="BP292" i="1"/>
  <c r="BN292" i="1"/>
  <c r="Z292" i="1"/>
  <c r="BP329" i="1"/>
  <c r="BN329" i="1"/>
  <c r="Z329" i="1"/>
  <c r="Z331" i="1" s="1"/>
  <c r="Y331" i="1"/>
  <c r="D499" i="1"/>
  <c r="H9" i="1"/>
  <c r="B499" i="1"/>
  <c r="X490" i="1"/>
  <c r="X491" i="1"/>
  <c r="X493" i="1"/>
  <c r="Y24" i="1"/>
  <c r="Z27" i="1"/>
  <c r="Z31" i="1" s="1"/>
  <c r="BN27" i="1"/>
  <c r="Z29" i="1"/>
  <c r="BN29" i="1"/>
  <c r="C499" i="1"/>
  <c r="Z41" i="1"/>
  <c r="BN41" i="1"/>
  <c r="Y490" i="1" s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1" i="1" s="1"/>
  <c r="Z62" i="1"/>
  <c r="BN62" i="1"/>
  <c r="Z66" i="1"/>
  <c r="BN66" i="1"/>
  <c r="BP66" i="1"/>
  <c r="Z68" i="1"/>
  <c r="BN68" i="1"/>
  <c r="Z72" i="1"/>
  <c r="Z76" i="1" s="1"/>
  <c r="BN72" i="1"/>
  <c r="BP72" i="1"/>
  <c r="Z74" i="1"/>
  <c r="BN74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Z95" i="1" s="1"/>
  <c r="BP101" i="1"/>
  <c r="BN101" i="1"/>
  <c r="Z101" i="1"/>
  <c r="Y110" i="1"/>
  <c r="Y109" i="1"/>
  <c r="BP113" i="1"/>
  <c r="BN113" i="1"/>
  <c r="Z113" i="1"/>
  <c r="Z116" i="1" s="1"/>
  <c r="Y126" i="1"/>
  <c r="BP130" i="1"/>
  <c r="BN130" i="1"/>
  <c r="Z130" i="1"/>
  <c r="Z131" i="1" s="1"/>
  <c r="Y132" i="1"/>
  <c r="Y137" i="1"/>
  <c r="BP134" i="1"/>
  <c r="BN134" i="1"/>
  <c r="Z134" i="1"/>
  <c r="Z136" i="1" s="1"/>
  <c r="Y143" i="1"/>
  <c r="BP147" i="1"/>
  <c r="BN147" i="1"/>
  <c r="Z147" i="1"/>
  <c r="Z149" i="1" s="1"/>
  <c r="BP164" i="1"/>
  <c r="BN164" i="1"/>
  <c r="Z164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J499" i="1"/>
  <c r="Y188" i="1"/>
  <c r="BP185" i="1"/>
  <c r="BN185" i="1"/>
  <c r="Z185" i="1"/>
  <c r="Z187" i="1" s="1"/>
  <c r="Y192" i="1"/>
  <c r="BP197" i="1"/>
  <c r="BN197" i="1"/>
  <c r="Z197" i="1"/>
  <c r="BP201" i="1"/>
  <c r="BN201" i="1"/>
  <c r="Z201" i="1"/>
  <c r="BP209" i="1"/>
  <c r="BN209" i="1"/>
  <c r="Z209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300" i="1"/>
  <c r="BN300" i="1"/>
  <c r="Z300" i="1"/>
  <c r="Y304" i="1"/>
  <c r="BP308" i="1"/>
  <c r="BN308" i="1"/>
  <c r="Z308" i="1"/>
  <c r="Y312" i="1"/>
  <c r="BP316" i="1"/>
  <c r="BN316" i="1"/>
  <c r="Z316" i="1"/>
  <c r="Z318" i="1" s="1"/>
  <c r="Y318" i="1"/>
  <c r="BP344" i="1"/>
  <c r="BN344" i="1"/>
  <c r="Z344" i="1"/>
  <c r="Z350" i="1" s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Z41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4" i="1"/>
  <c r="Y215" i="1"/>
  <c r="BP210" i="1"/>
  <c r="BN210" i="1"/>
  <c r="BP212" i="1"/>
  <c r="BN212" i="1"/>
  <c r="Z212" i="1"/>
  <c r="BP225" i="1"/>
  <c r="BN225" i="1"/>
  <c r="Z225" i="1"/>
  <c r="Z234" i="1" s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Z250" i="1" s="1"/>
  <c r="BP249" i="1"/>
  <c r="BN249" i="1"/>
  <c r="Z249" i="1"/>
  <c r="Y251" i="1"/>
  <c r="Y259" i="1"/>
  <c r="BP254" i="1"/>
  <c r="BN254" i="1"/>
  <c r="Z254" i="1"/>
  <c r="Z259" i="1" s="1"/>
  <c r="BP258" i="1"/>
  <c r="BN258" i="1"/>
  <c r="Z258" i="1"/>
  <c r="Y260" i="1"/>
  <c r="M499" i="1"/>
  <c r="Y268" i="1"/>
  <c r="BP263" i="1"/>
  <c r="BN263" i="1"/>
  <c r="Z263" i="1"/>
  <c r="Z267" i="1" s="1"/>
  <c r="Y267" i="1"/>
  <c r="BP272" i="1"/>
  <c r="BN272" i="1"/>
  <c r="Z272" i="1"/>
  <c r="Z274" i="1" s="1"/>
  <c r="BP290" i="1"/>
  <c r="BN290" i="1"/>
  <c r="Z290" i="1"/>
  <c r="BP298" i="1"/>
  <c r="BN298" i="1"/>
  <c r="Z298" i="1"/>
  <c r="BP302" i="1"/>
  <c r="BN302" i="1"/>
  <c r="Z302" i="1"/>
  <c r="Z304" i="1" s="1"/>
  <c r="Y313" i="1"/>
  <c r="BP310" i="1"/>
  <c r="BN310" i="1"/>
  <c r="Z310" i="1"/>
  <c r="Z312" i="1" s="1"/>
  <c r="Y319" i="1"/>
  <c r="Z325" i="1"/>
  <c r="BP323" i="1"/>
  <c r="BN323" i="1"/>
  <c r="Z323" i="1"/>
  <c r="Y332" i="1"/>
  <c r="BP336" i="1"/>
  <c r="BN336" i="1"/>
  <c r="Z336" i="1"/>
  <c r="Z338" i="1" s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L499" i="1"/>
  <c r="K499" i="1"/>
  <c r="Y234" i="1"/>
  <c r="O499" i="1"/>
  <c r="Y275" i="1"/>
  <c r="P499" i="1"/>
  <c r="Y280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93" i="1" l="1"/>
  <c r="X492" i="1"/>
  <c r="Y492" i="1"/>
  <c r="Z394" i="1"/>
  <c r="Z294" i="1"/>
  <c r="Z171" i="1"/>
  <c r="Z438" i="1"/>
  <c r="Z447" i="1"/>
  <c r="Z432" i="1"/>
  <c r="Z69" i="1"/>
  <c r="Y489" i="1"/>
  <c r="Z203" i="1"/>
  <c r="Z177" i="1"/>
  <c r="Z494" i="1" s="1"/>
</calcChain>
</file>

<file path=xl/sharedStrings.xml><?xml version="1.0" encoding="utf-8"?>
<sst xmlns="http://schemas.openxmlformats.org/spreadsheetml/2006/main" count="2346" uniqueCount="765">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</sst>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29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1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7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5" xfId="0" applyBorder="1" applyProtection="1">
      <protection hidden="1"/>
    </xf>
    <xf numFmtId="0" fontId="281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38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1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0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7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4" customWidth="1"/>
    <col min="19" max="19" width="6.140625" style="5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4" customWidth="1"/>
    <col min="25" max="25" width="11" style="534" customWidth="1"/>
    <col min="26" max="26" width="10" style="534" customWidth="1"/>
    <col min="27" max="27" width="11.5703125" style="534" customWidth="1"/>
    <col min="28" max="28" width="10.42578125" style="534" customWidth="1"/>
    <col min="29" max="29" width="30" style="5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4" customWidth="1"/>
    <col min="34" max="34" width="9.140625" style="534" customWidth="1"/>
    <col min="35" max="16384" width="9.140625" style="534"/>
  </cols>
  <sheetData>
    <row r="1" spans="1:32" s="538" customFormat="1" ht="45" customHeight="1" x14ac:dyDescent="0.2">
      <c r="A1" s="41"/>
      <c r="B1" s="41"/>
      <c r="C1" s="41"/>
      <c r="D1" s="613" t="s">
        <v>0</v>
      </c>
      <c r="E1" s="572"/>
      <c r="F1" s="572"/>
      <c r="G1" s="12" t="s">
        <v>1</v>
      </c>
      <c r="H1" s="613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6"/>
      <c r="R2" s="556"/>
      <c r="S2" s="556"/>
      <c r="T2" s="556"/>
      <c r="U2" s="556"/>
      <c r="V2" s="556"/>
      <c r="W2" s="556"/>
      <c r="X2" s="16"/>
      <c r="Y2" s="16"/>
      <c r="Z2" s="16"/>
      <c r="AA2" s="16"/>
      <c r="AB2" s="51"/>
      <c r="AC2" s="51"/>
      <c r="AD2" s="51"/>
      <c r="AE2" s="51"/>
    </row>
    <row r="3" spans="1:32" s="5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6"/>
      <c r="Q3" s="556"/>
      <c r="R3" s="556"/>
      <c r="S3" s="556"/>
      <c r="T3" s="556"/>
      <c r="U3" s="556"/>
      <c r="V3" s="556"/>
      <c r="W3" s="556"/>
      <c r="X3" s="16"/>
      <c r="Y3" s="16"/>
      <c r="Z3" s="16"/>
      <c r="AA3" s="16"/>
      <c r="AB3" s="51"/>
      <c r="AC3" s="51"/>
      <c r="AD3" s="51"/>
      <c r="AE3" s="51"/>
    </row>
    <row r="4" spans="1:32" s="5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8" customFormat="1" ht="23.45" customHeight="1" x14ac:dyDescent="0.2">
      <c r="A5" s="652" t="s">
        <v>8</v>
      </c>
      <c r="B5" s="631"/>
      <c r="C5" s="632"/>
      <c r="D5" s="616"/>
      <c r="E5" s="617"/>
      <c r="F5" s="824" t="s">
        <v>9</v>
      </c>
      <c r="G5" s="632"/>
      <c r="H5" s="616"/>
      <c r="I5" s="762"/>
      <c r="J5" s="762"/>
      <c r="K5" s="762"/>
      <c r="L5" s="762"/>
      <c r="M5" s="617"/>
      <c r="N5" s="58"/>
      <c r="P5" s="24" t="s">
        <v>10</v>
      </c>
      <c r="Q5" s="837">
        <v>45974</v>
      </c>
      <c r="R5" s="651"/>
      <c r="T5" s="700" t="s">
        <v>11</v>
      </c>
      <c r="U5" s="701"/>
      <c r="V5" s="702" t="s">
        <v>12</v>
      </c>
      <c r="W5" s="651"/>
      <c r="AB5" s="51"/>
      <c r="AC5" s="51"/>
      <c r="AD5" s="51"/>
      <c r="AE5" s="51"/>
    </row>
    <row r="6" spans="1:32" s="538" customFormat="1" ht="24" customHeight="1" x14ac:dyDescent="0.2">
      <c r="A6" s="652" t="s">
        <v>13</v>
      </c>
      <c r="B6" s="631"/>
      <c r="C6" s="632"/>
      <c r="D6" s="764" t="s">
        <v>14</v>
      </c>
      <c r="E6" s="765"/>
      <c r="F6" s="765"/>
      <c r="G6" s="765"/>
      <c r="H6" s="765"/>
      <c r="I6" s="765"/>
      <c r="J6" s="765"/>
      <c r="K6" s="765"/>
      <c r="L6" s="765"/>
      <c r="M6" s="651"/>
      <c r="N6" s="59"/>
      <c r="P6" s="24" t="s">
        <v>15</v>
      </c>
      <c r="Q6" s="846" t="str">
        <f>IF(Q5=0," ",CHOOSE(WEEKDAY(Q5,2),"Понедельник","Вторник","Среда","Четверг","Пятница","Суббота","Воскресенье"))</f>
        <v>Четверг</v>
      </c>
      <c r="R6" s="549"/>
      <c r="T6" s="707" t="s">
        <v>16</v>
      </c>
      <c r="U6" s="701"/>
      <c r="V6" s="749" t="s">
        <v>17</v>
      </c>
      <c r="W6" s="585"/>
      <c r="AB6" s="51"/>
      <c r="AC6" s="51"/>
      <c r="AD6" s="51"/>
      <c r="AE6" s="51"/>
    </row>
    <row r="7" spans="1:32" s="538" customFormat="1" ht="21.75" hidden="1" customHeight="1" x14ac:dyDescent="0.2">
      <c r="A7" s="55"/>
      <c r="B7" s="55"/>
      <c r="C7" s="55"/>
      <c r="D7" s="596" t="str">
        <f>IFERROR(VLOOKUP(DeliveryAddress,Table,3,0),1)</f>
        <v>1</v>
      </c>
      <c r="E7" s="597"/>
      <c r="F7" s="597"/>
      <c r="G7" s="597"/>
      <c r="H7" s="597"/>
      <c r="I7" s="597"/>
      <c r="J7" s="597"/>
      <c r="K7" s="597"/>
      <c r="L7" s="597"/>
      <c r="M7" s="598"/>
      <c r="N7" s="60"/>
      <c r="P7" s="24"/>
      <c r="Q7" s="42"/>
      <c r="R7" s="42"/>
      <c r="T7" s="556"/>
      <c r="U7" s="701"/>
      <c r="V7" s="750"/>
      <c r="W7" s="751"/>
      <c r="AB7" s="51"/>
      <c r="AC7" s="51"/>
      <c r="AD7" s="51"/>
      <c r="AE7" s="51"/>
    </row>
    <row r="8" spans="1:32" s="538" customFormat="1" ht="25.5" customHeight="1" x14ac:dyDescent="0.2">
      <c r="A8" s="861" t="s">
        <v>18</v>
      </c>
      <c r="B8" s="563"/>
      <c r="C8" s="564"/>
      <c r="D8" s="605" t="s">
        <v>19</v>
      </c>
      <c r="E8" s="606"/>
      <c r="F8" s="606"/>
      <c r="G8" s="606"/>
      <c r="H8" s="606"/>
      <c r="I8" s="606"/>
      <c r="J8" s="606"/>
      <c r="K8" s="606"/>
      <c r="L8" s="606"/>
      <c r="M8" s="607"/>
      <c r="N8" s="61"/>
      <c r="P8" s="24" t="s">
        <v>20</v>
      </c>
      <c r="Q8" s="661">
        <v>0.41666666666666669</v>
      </c>
      <c r="R8" s="598"/>
      <c r="T8" s="556"/>
      <c r="U8" s="701"/>
      <c r="V8" s="750"/>
      <c r="W8" s="751"/>
      <c r="AB8" s="51"/>
      <c r="AC8" s="51"/>
      <c r="AD8" s="51"/>
      <c r="AE8" s="51"/>
    </row>
    <row r="9" spans="1:32" s="538" customFormat="1" ht="39.950000000000003" customHeight="1" x14ac:dyDescent="0.2">
      <c r="A9" s="67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6"/>
      <c r="C9" s="556"/>
      <c r="D9" s="673"/>
      <c r="E9" s="561"/>
      <c r="F9" s="67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6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9"/>
      <c r="P9" s="26" t="s">
        <v>21</v>
      </c>
      <c r="Q9" s="648"/>
      <c r="R9" s="649"/>
      <c r="T9" s="556"/>
      <c r="U9" s="701"/>
      <c r="V9" s="752"/>
      <c r="W9" s="753"/>
      <c r="X9" s="43"/>
      <c r="Y9" s="43"/>
      <c r="Z9" s="43"/>
      <c r="AA9" s="43"/>
      <c r="AB9" s="51"/>
      <c r="AC9" s="51"/>
      <c r="AD9" s="51"/>
      <c r="AE9" s="51"/>
    </row>
    <row r="10" spans="1:32" s="538" customFormat="1" ht="26.45" customHeight="1" x14ac:dyDescent="0.2">
      <c r="A10" s="67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6"/>
      <c r="C10" s="556"/>
      <c r="D10" s="673"/>
      <c r="E10" s="561"/>
      <c r="F10" s="67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6"/>
      <c r="H10" s="740" t="str">
        <f>IFERROR(VLOOKUP($D$10,Proxy,2,FALSE),"")</f>
        <v/>
      </c>
      <c r="I10" s="556"/>
      <c r="J10" s="556"/>
      <c r="K10" s="556"/>
      <c r="L10" s="556"/>
      <c r="M10" s="556"/>
      <c r="N10" s="537"/>
      <c r="P10" s="26" t="s">
        <v>22</v>
      </c>
      <c r="Q10" s="708"/>
      <c r="R10" s="709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89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8" customFormat="1" ht="18.600000000000001" customHeight="1" x14ac:dyDescent="0.2">
      <c r="A12" s="694" t="s">
        <v>29</v>
      </c>
      <c r="B12" s="631"/>
      <c r="C12" s="631"/>
      <c r="D12" s="631"/>
      <c r="E12" s="631"/>
      <c r="F12" s="631"/>
      <c r="G12" s="631"/>
      <c r="H12" s="631"/>
      <c r="I12" s="631"/>
      <c r="J12" s="631"/>
      <c r="K12" s="631"/>
      <c r="L12" s="631"/>
      <c r="M12" s="632"/>
      <c r="N12" s="62"/>
      <c r="P12" s="24" t="s">
        <v>30</v>
      </c>
      <c r="Q12" s="661"/>
      <c r="R12" s="598"/>
      <c r="S12" s="23"/>
      <c r="U12" s="24"/>
      <c r="V12" s="572"/>
      <c r="W12" s="556"/>
      <c r="AB12" s="51"/>
      <c r="AC12" s="51"/>
      <c r="AD12" s="51"/>
      <c r="AE12" s="51"/>
    </row>
    <row r="13" spans="1:32" s="538" customFormat="1" ht="23.25" customHeight="1" x14ac:dyDescent="0.2">
      <c r="A13" s="694" t="s">
        <v>31</v>
      </c>
      <c r="B13" s="631"/>
      <c r="C13" s="631"/>
      <c r="D13" s="631"/>
      <c r="E13" s="631"/>
      <c r="F13" s="631"/>
      <c r="G13" s="631"/>
      <c r="H13" s="631"/>
      <c r="I13" s="631"/>
      <c r="J13" s="631"/>
      <c r="K13" s="631"/>
      <c r="L13" s="631"/>
      <c r="M13" s="632"/>
      <c r="N13" s="62"/>
      <c r="O13" s="26"/>
      <c r="P13" s="26" t="s">
        <v>32</v>
      </c>
      <c r="Q13" s="789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8" customFormat="1" ht="18.600000000000001" customHeight="1" x14ac:dyDescent="0.2">
      <c r="A14" s="694" t="s">
        <v>33</v>
      </c>
      <c r="B14" s="631"/>
      <c r="C14" s="631"/>
      <c r="D14" s="631"/>
      <c r="E14" s="631"/>
      <c r="F14" s="631"/>
      <c r="G14" s="631"/>
      <c r="H14" s="631"/>
      <c r="I14" s="631"/>
      <c r="J14" s="631"/>
      <c r="K14" s="631"/>
      <c r="L14" s="631"/>
      <c r="M14" s="63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8" customFormat="1" ht="22.5" customHeight="1" x14ac:dyDescent="0.2">
      <c r="A15" s="722" t="s">
        <v>34</v>
      </c>
      <c r="B15" s="631"/>
      <c r="C15" s="631"/>
      <c r="D15" s="631"/>
      <c r="E15" s="631"/>
      <c r="F15" s="631"/>
      <c r="G15" s="631"/>
      <c r="H15" s="631"/>
      <c r="I15" s="631"/>
      <c r="J15" s="631"/>
      <c r="K15" s="631"/>
      <c r="L15" s="631"/>
      <c r="M15" s="632"/>
      <c r="N15" s="63"/>
      <c r="P15" s="684" t="s">
        <v>35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7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32"/>
      <c r="W17" s="581" t="s">
        <v>52</v>
      </c>
      <c r="X17" s="581" t="s">
        <v>53</v>
      </c>
      <c r="Y17" s="857" t="s">
        <v>54</v>
      </c>
      <c r="Z17" s="760" t="s">
        <v>55</v>
      </c>
      <c r="AA17" s="741" t="s">
        <v>56</v>
      </c>
      <c r="AB17" s="741" t="s">
        <v>57</v>
      </c>
      <c r="AC17" s="741" t="s">
        <v>58</v>
      </c>
      <c r="AD17" s="741" t="s">
        <v>59</v>
      </c>
      <c r="AE17" s="819"/>
      <c r="AF17" s="820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58"/>
      <c r="Z18" s="761"/>
      <c r="AA18" s="742"/>
      <c r="AB18" s="742"/>
      <c r="AC18" s="742"/>
      <c r="AD18" s="821"/>
      <c r="AE18" s="822"/>
      <c r="AF18" s="823"/>
      <c r="AG18" s="66"/>
      <c r="BD18" s="65"/>
    </row>
    <row r="19" spans="1:68" ht="27.75" customHeight="1" x14ac:dyDescent="0.2">
      <c r="A19" s="633" t="s">
        <v>63</v>
      </c>
      <c r="B19" s="634"/>
      <c r="C19" s="634"/>
      <c r="D19" s="634"/>
      <c r="E19" s="634"/>
      <c r="F19" s="634"/>
      <c r="G19" s="634"/>
      <c r="H19" s="634"/>
      <c r="I19" s="634"/>
      <c r="J19" s="634"/>
      <c r="K19" s="634"/>
      <c r="L19" s="634"/>
      <c r="M19" s="634"/>
      <c r="N19" s="634"/>
      <c r="O19" s="634"/>
      <c r="P19" s="634"/>
      <c r="Q19" s="634"/>
      <c r="R19" s="634"/>
      <c r="S19" s="634"/>
      <c r="T19" s="634"/>
      <c r="U19" s="634"/>
      <c r="V19" s="634"/>
      <c r="W19" s="634"/>
      <c r="X19" s="634"/>
      <c r="Y19" s="634"/>
      <c r="Z19" s="634"/>
      <c r="AA19" s="48"/>
      <c r="AB19" s="48"/>
      <c r="AC19" s="48"/>
    </row>
    <row r="20" spans="1:68" ht="16.5" customHeight="1" x14ac:dyDescent="0.25">
      <c r="A20" s="559" t="s">
        <v>63</v>
      </c>
      <c r="B20" s="556"/>
      <c r="C20" s="556"/>
      <c r="D20" s="556"/>
      <c r="E20" s="556"/>
      <c r="F20" s="556"/>
      <c r="G20" s="556"/>
      <c r="H20" s="556"/>
      <c r="I20" s="556"/>
      <c r="J20" s="556"/>
      <c r="K20" s="556"/>
      <c r="L20" s="556"/>
      <c r="M20" s="556"/>
      <c r="N20" s="556"/>
      <c r="O20" s="556"/>
      <c r="P20" s="556"/>
      <c r="Q20" s="556"/>
      <c r="R20" s="556"/>
      <c r="S20" s="556"/>
      <c r="T20" s="556"/>
      <c r="U20" s="556"/>
      <c r="V20" s="556"/>
      <c r="W20" s="556"/>
      <c r="X20" s="556"/>
      <c r="Y20" s="556"/>
      <c r="Z20" s="556"/>
      <c r="AA20" s="536"/>
      <c r="AB20" s="536"/>
      <c r="AC20" s="536"/>
    </row>
    <row r="21" spans="1:68" ht="14.25" customHeight="1" x14ac:dyDescent="0.25">
      <c r="A21" s="558" t="s">
        <v>64</v>
      </c>
      <c r="B21" s="556"/>
      <c r="C21" s="556"/>
      <c r="D21" s="556"/>
      <c r="E21" s="556"/>
      <c r="F21" s="556"/>
      <c r="G21" s="556"/>
      <c r="H21" s="556"/>
      <c r="I21" s="556"/>
      <c r="J21" s="556"/>
      <c r="K21" s="556"/>
      <c r="L21" s="556"/>
      <c r="M21" s="556"/>
      <c r="N21" s="556"/>
      <c r="O21" s="556"/>
      <c r="P21" s="556"/>
      <c r="Q21" s="556"/>
      <c r="R21" s="556"/>
      <c r="S21" s="556"/>
      <c r="T21" s="556"/>
      <c r="U21" s="556"/>
      <c r="V21" s="556"/>
      <c r="W21" s="556"/>
      <c r="X21" s="556"/>
      <c r="Y21" s="556"/>
      <c r="Z21" s="556"/>
      <c r="AA21" s="535"/>
      <c r="AB21" s="535"/>
      <c r="AC21" s="535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5"/>
      <c r="B23" s="556"/>
      <c r="C23" s="556"/>
      <c r="D23" s="556"/>
      <c r="E23" s="556"/>
      <c r="F23" s="556"/>
      <c r="G23" s="556"/>
      <c r="H23" s="556"/>
      <c r="I23" s="556"/>
      <c r="J23" s="556"/>
      <c r="K23" s="556"/>
      <c r="L23" s="556"/>
      <c r="M23" s="556"/>
      <c r="N23" s="556"/>
      <c r="O23" s="557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6"/>
      <c r="B24" s="556"/>
      <c r="C24" s="556"/>
      <c r="D24" s="556"/>
      <c r="E24" s="556"/>
      <c r="F24" s="556"/>
      <c r="G24" s="556"/>
      <c r="H24" s="556"/>
      <c r="I24" s="556"/>
      <c r="J24" s="556"/>
      <c r="K24" s="556"/>
      <c r="L24" s="556"/>
      <c r="M24" s="556"/>
      <c r="N24" s="556"/>
      <c r="O24" s="557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6"/>
      <c r="C25" s="556"/>
      <c r="D25" s="556"/>
      <c r="E25" s="556"/>
      <c r="F25" s="556"/>
      <c r="G25" s="556"/>
      <c r="H25" s="556"/>
      <c r="I25" s="556"/>
      <c r="J25" s="556"/>
      <c r="K25" s="556"/>
      <c r="L25" s="556"/>
      <c r="M25" s="556"/>
      <c r="N25" s="556"/>
      <c r="O25" s="556"/>
      <c r="P25" s="556"/>
      <c r="Q25" s="556"/>
      <c r="R25" s="556"/>
      <c r="S25" s="556"/>
      <c r="T25" s="556"/>
      <c r="U25" s="556"/>
      <c r="V25" s="556"/>
      <c r="W25" s="556"/>
      <c r="X25" s="556"/>
      <c r="Y25" s="556"/>
      <c r="Z25" s="556"/>
      <c r="AA25" s="535"/>
      <c r="AB25" s="535"/>
      <c r="AC25" s="535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0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7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5"/>
      <c r="B31" s="556"/>
      <c r="C31" s="556"/>
      <c r="D31" s="556"/>
      <c r="E31" s="556"/>
      <c r="F31" s="556"/>
      <c r="G31" s="556"/>
      <c r="H31" s="556"/>
      <c r="I31" s="556"/>
      <c r="J31" s="556"/>
      <c r="K31" s="556"/>
      <c r="L31" s="556"/>
      <c r="M31" s="556"/>
      <c r="N31" s="556"/>
      <c r="O31" s="557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6"/>
      <c r="B32" s="556"/>
      <c r="C32" s="556"/>
      <c r="D32" s="556"/>
      <c r="E32" s="556"/>
      <c r="F32" s="556"/>
      <c r="G32" s="556"/>
      <c r="H32" s="556"/>
      <c r="I32" s="556"/>
      <c r="J32" s="556"/>
      <c r="K32" s="556"/>
      <c r="L32" s="556"/>
      <c r="M32" s="556"/>
      <c r="N32" s="556"/>
      <c r="O32" s="557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93</v>
      </c>
      <c r="B33" s="556"/>
      <c r="C33" s="556"/>
      <c r="D33" s="556"/>
      <c r="E33" s="556"/>
      <c r="F33" s="556"/>
      <c r="G33" s="556"/>
      <c r="H33" s="556"/>
      <c r="I33" s="556"/>
      <c r="J33" s="556"/>
      <c r="K33" s="556"/>
      <c r="L33" s="556"/>
      <c r="M33" s="556"/>
      <c r="N33" s="556"/>
      <c r="O33" s="556"/>
      <c r="P33" s="556"/>
      <c r="Q33" s="556"/>
      <c r="R33" s="556"/>
      <c r="S33" s="556"/>
      <c r="T33" s="556"/>
      <c r="U33" s="556"/>
      <c r="V33" s="556"/>
      <c r="W33" s="556"/>
      <c r="X33" s="556"/>
      <c r="Y33" s="556"/>
      <c r="Z33" s="556"/>
      <c r="AA33" s="535"/>
      <c r="AB33" s="535"/>
      <c r="AC33" s="535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5"/>
      <c r="B35" s="556"/>
      <c r="C35" s="556"/>
      <c r="D35" s="556"/>
      <c r="E35" s="556"/>
      <c r="F35" s="556"/>
      <c r="G35" s="556"/>
      <c r="H35" s="556"/>
      <c r="I35" s="556"/>
      <c r="J35" s="556"/>
      <c r="K35" s="556"/>
      <c r="L35" s="556"/>
      <c r="M35" s="556"/>
      <c r="N35" s="556"/>
      <c r="O35" s="557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6"/>
      <c r="B36" s="556"/>
      <c r="C36" s="556"/>
      <c r="D36" s="556"/>
      <c r="E36" s="556"/>
      <c r="F36" s="556"/>
      <c r="G36" s="556"/>
      <c r="H36" s="556"/>
      <c r="I36" s="556"/>
      <c r="J36" s="556"/>
      <c r="K36" s="556"/>
      <c r="L36" s="556"/>
      <c r="M36" s="556"/>
      <c r="N36" s="556"/>
      <c r="O36" s="557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3" t="s">
        <v>99</v>
      </c>
      <c r="B37" s="634"/>
      <c r="C37" s="634"/>
      <c r="D37" s="634"/>
      <c r="E37" s="634"/>
      <c r="F37" s="634"/>
      <c r="G37" s="634"/>
      <c r="H37" s="634"/>
      <c r="I37" s="634"/>
      <c r="J37" s="634"/>
      <c r="K37" s="634"/>
      <c r="L37" s="634"/>
      <c r="M37" s="634"/>
      <c r="N37" s="634"/>
      <c r="O37" s="634"/>
      <c r="P37" s="634"/>
      <c r="Q37" s="634"/>
      <c r="R37" s="634"/>
      <c r="S37" s="634"/>
      <c r="T37" s="634"/>
      <c r="U37" s="634"/>
      <c r="V37" s="634"/>
      <c r="W37" s="634"/>
      <c r="X37" s="634"/>
      <c r="Y37" s="634"/>
      <c r="Z37" s="634"/>
      <c r="AA37" s="48"/>
      <c r="AB37" s="48"/>
      <c r="AC37" s="48"/>
    </row>
    <row r="38" spans="1:68" ht="16.5" customHeight="1" x14ac:dyDescent="0.25">
      <c r="A38" s="559" t="s">
        <v>100</v>
      </c>
      <c r="B38" s="556"/>
      <c r="C38" s="556"/>
      <c r="D38" s="556"/>
      <c r="E38" s="556"/>
      <c r="F38" s="556"/>
      <c r="G38" s="556"/>
      <c r="H38" s="556"/>
      <c r="I38" s="556"/>
      <c r="J38" s="556"/>
      <c r="K38" s="556"/>
      <c r="L38" s="556"/>
      <c r="M38" s="556"/>
      <c r="N38" s="556"/>
      <c r="O38" s="556"/>
      <c r="P38" s="556"/>
      <c r="Q38" s="556"/>
      <c r="R38" s="556"/>
      <c r="S38" s="556"/>
      <c r="T38" s="556"/>
      <c r="U38" s="556"/>
      <c r="V38" s="556"/>
      <c r="W38" s="556"/>
      <c r="X38" s="556"/>
      <c r="Y38" s="556"/>
      <c r="Z38" s="556"/>
      <c r="AA38" s="536"/>
      <c r="AB38" s="536"/>
      <c r="AC38" s="536"/>
    </row>
    <row r="39" spans="1:68" ht="14.25" customHeight="1" x14ac:dyDescent="0.25">
      <c r="A39" s="558" t="s">
        <v>101</v>
      </c>
      <c r="B39" s="556"/>
      <c r="C39" s="556"/>
      <c r="D39" s="556"/>
      <c r="E39" s="556"/>
      <c r="F39" s="556"/>
      <c r="G39" s="556"/>
      <c r="H39" s="556"/>
      <c r="I39" s="556"/>
      <c r="J39" s="556"/>
      <c r="K39" s="556"/>
      <c r="L39" s="556"/>
      <c r="M39" s="556"/>
      <c r="N39" s="556"/>
      <c r="O39" s="556"/>
      <c r="P39" s="556"/>
      <c r="Q39" s="556"/>
      <c r="R39" s="556"/>
      <c r="S39" s="556"/>
      <c r="T39" s="556"/>
      <c r="U39" s="556"/>
      <c r="V39" s="556"/>
      <c r="W39" s="556"/>
      <c r="X39" s="556"/>
      <c r="Y39" s="556"/>
      <c r="Z39" s="556"/>
      <c r="AA39" s="535"/>
      <c r="AB39" s="535"/>
      <c r="AC39" s="535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79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5"/>
      <c r="B43" s="556"/>
      <c r="C43" s="556"/>
      <c r="D43" s="556"/>
      <c r="E43" s="556"/>
      <c r="F43" s="556"/>
      <c r="G43" s="556"/>
      <c r="H43" s="556"/>
      <c r="I43" s="556"/>
      <c r="J43" s="556"/>
      <c r="K43" s="556"/>
      <c r="L43" s="556"/>
      <c r="M43" s="556"/>
      <c r="N43" s="556"/>
      <c r="O43" s="557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x14ac:dyDescent="0.2">
      <c r="A44" s="556"/>
      <c r="B44" s="556"/>
      <c r="C44" s="556"/>
      <c r="D44" s="556"/>
      <c r="E44" s="556"/>
      <c r="F44" s="556"/>
      <c r="G44" s="556"/>
      <c r="H44" s="556"/>
      <c r="I44" s="556"/>
      <c r="J44" s="556"/>
      <c r="K44" s="556"/>
      <c r="L44" s="556"/>
      <c r="M44" s="556"/>
      <c r="N44" s="556"/>
      <c r="O44" s="557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6"/>
      <c r="C45" s="556"/>
      <c r="D45" s="556"/>
      <c r="E45" s="556"/>
      <c r="F45" s="556"/>
      <c r="G45" s="556"/>
      <c r="H45" s="556"/>
      <c r="I45" s="556"/>
      <c r="J45" s="556"/>
      <c r="K45" s="556"/>
      <c r="L45" s="556"/>
      <c r="M45" s="556"/>
      <c r="N45" s="556"/>
      <c r="O45" s="556"/>
      <c r="P45" s="556"/>
      <c r="Q45" s="556"/>
      <c r="R45" s="556"/>
      <c r="S45" s="556"/>
      <c r="T45" s="556"/>
      <c r="U45" s="556"/>
      <c r="V45" s="556"/>
      <c r="W45" s="556"/>
      <c r="X45" s="556"/>
      <c r="Y45" s="556"/>
      <c r="Z45" s="556"/>
      <c r="AA45" s="535"/>
      <c r="AB45" s="535"/>
      <c r="AC45" s="535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7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5"/>
      <c r="B47" s="556"/>
      <c r="C47" s="556"/>
      <c r="D47" s="556"/>
      <c r="E47" s="556"/>
      <c r="F47" s="556"/>
      <c r="G47" s="556"/>
      <c r="H47" s="556"/>
      <c r="I47" s="556"/>
      <c r="J47" s="556"/>
      <c r="K47" s="556"/>
      <c r="L47" s="556"/>
      <c r="M47" s="556"/>
      <c r="N47" s="556"/>
      <c r="O47" s="557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6"/>
      <c r="B48" s="556"/>
      <c r="C48" s="556"/>
      <c r="D48" s="556"/>
      <c r="E48" s="556"/>
      <c r="F48" s="556"/>
      <c r="G48" s="556"/>
      <c r="H48" s="556"/>
      <c r="I48" s="556"/>
      <c r="J48" s="556"/>
      <c r="K48" s="556"/>
      <c r="L48" s="556"/>
      <c r="M48" s="556"/>
      <c r="N48" s="556"/>
      <c r="O48" s="557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117</v>
      </c>
      <c r="B49" s="556"/>
      <c r="C49" s="556"/>
      <c r="D49" s="556"/>
      <c r="E49" s="556"/>
      <c r="F49" s="556"/>
      <c r="G49" s="556"/>
      <c r="H49" s="556"/>
      <c r="I49" s="556"/>
      <c r="J49" s="556"/>
      <c r="K49" s="556"/>
      <c r="L49" s="556"/>
      <c r="M49" s="556"/>
      <c r="N49" s="556"/>
      <c r="O49" s="556"/>
      <c r="P49" s="556"/>
      <c r="Q49" s="556"/>
      <c r="R49" s="556"/>
      <c r="S49" s="556"/>
      <c r="T49" s="556"/>
      <c r="U49" s="556"/>
      <c r="V49" s="556"/>
      <c r="W49" s="556"/>
      <c r="X49" s="556"/>
      <c r="Y49" s="556"/>
      <c r="Z49" s="556"/>
      <c r="AA49" s="536"/>
      <c r="AB49" s="536"/>
      <c r="AC49" s="536"/>
    </row>
    <row r="50" spans="1:68" ht="14.25" customHeight="1" x14ac:dyDescent="0.25">
      <c r="A50" s="558" t="s">
        <v>101</v>
      </c>
      <c r="B50" s="556"/>
      <c r="C50" s="556"/>
      <c r="D50" s="556"/>
      <c r="E50" s="556"/>
      <c r="F50" s="556"/>
      <c r="G50" s="556"/>
      <c r="H50" s="556"/>
      <c r="I50" s="556"/>
      <c r="J50" s="556"/>
      <c r="K50" s="556"/>
      <c r="L50" s="556"/>
      <c r="M50" s="556"/>
      <c r="N50" s="556"/>
      <c r="O50" s="556"/>
      <c r="P50" s="556"/>
      <c r="Q50" s="556"/>
      <c r="R50" s="556"/>
      <c r="S50" s="556"/>
      <c r="T50" s="556"/>
      <c r="U50" s="556"/>
      <c r="V50" s="556"/>
      <c r="W50" s="556"/>
      <c r="X50" s="556"/>
      <c r="Y50" s="556"/>
      <c r="Z50" s="556"/>
      <c r="AA50" s="535"/>
      <c r="AB50" s="535"/>
      <c r="AC50" s="535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1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50</v>
      </c>
      <c r="Y51" s="542">
        <f t="shared" ref="Y51:Y56" si="0">IFERROR(IF(X51="",0,CEILING((X51/$H51),1)*$H51),"")</f>
        <v>56</v>
      </c>
      <c r="Z51" s="36">
        <f>IFERROR(IF(Y51=0,"",ROUNDUP(Y51/H51,0)*0.01898),"")</f>
        <v>9.4899999999999998E-2</v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51.830357142857146</v>
      </c>
      <c r="BN51" s="64">
        <f t="shared" ref="BN51:BN56" si="2">IFERROR(Y51*I51/H51,"0")</f>
        <v>58.050000000000004</v>
      </c>
      <c r="BO51" s="64">
        <f t="shared" ref="BO51:BO56" si="3">IFERROR(1/J51*(X51/H51),"0")</f>
        <v>6.9754464285714288E-2</v>
      </c>
      <c r="BP51" s="64">
        <f t="shared" ref="BP51:BP56" si="4">IFERROR(1/J51*(Y51/H51),"0")</f>
        <v>7.8125E-2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100</v>
      </c>
      <c r="Y52" s="542">
        <f t="shared" si="0"/>
        <v>108</v>
      </c>
      <c r="Z52" s="36">
        <f>IFERROR(IF(Y52=0,"",ROUNDUP(Y52/H52,0)*0.01898),"")</f>
        <v>0.1898</v>
      </c>
      <c r="AA52" s="56"/>
      <c r="AB52" s="57"/>
      <c r="AC52" s="93" t="s">
        <v>123</v>
      </c>
      <c r="AG52" s="64"/>
      <c r="AJ52" s="68" t="s">
        <v>90</v>
      </c>
      <c r="AK52" s="68">
        <v>10.8</v>
      </c>
      <c r="BB52" s="94" t="s">
        <v>1</v>
      </c>
      <c r="BM52" s="64">
        <f t="shared" si="1"/>
        <v>103.79629629629629</v>
      </c>
      <c r="BN52" s="64">
        <f t="shared" si="2"/>
        <v>112.1</v>
      </c>
      <c r="BO52" s="64">
        <f t="shared" si="3"/>
        <v>0.14467592592592593</v>
      </c>
      <c r="BP52" s="64">
        <f t="shared" si="4"/>
        <v>0.15625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5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800</v>
      </c>
      <c r="Y56" s="542">
        <f t="shared" si="0"/>
        <v>801</v>
      </c>
      <c r="Z56" s="36">
        <f>IFERROR(IF(Y56=0,"",ROUNDUP(Y56/H56,0)*0.00902),"")</f>
        <v>1.6055600000000001</v>
      </c>
      <c r="AA56" s="56"/>
      <c r="AB56" s="57"/>
      <c r="AC56" s="101" t="s">
        <v>135</v>
      </c>
      <c r="AG56" s="64"/>
      <c r="AJ56" s="68" t="s">
        <v>90</v>
      </c>
      <c r="AK56" s="68">
        <v>4.5</v>
      </c>
      <c r="BB56" s="102" t="s">
        <v>1</v>
      </c>
      <c r="BM56" s="64">
        <f t="shared" si="1"/>
        <v>833.77777777777783</v>
      </c>
      <c r="BN56" s="64">
        <f t="shared" si="2"/>
        <v>834.82000000000016</v>
      </c>
      <c r="BO56" s="64">
        <f t="shared" si="3"/>
        <v>1.3468013468013469</v>
      </c>
      <c r="BP56" s="64">
        <f t="shared" si="4"/>
        <v>1.3484848484848486</v>
      </c>
    </row>
    <row r="57" spans="1:68" x14ac:dyDescent="0.2">
      <c r="A57" s="555"/>
      <c r="B57" s="556"/>
      <c r="C57" s="556"/>
      <c r="D57" s="556"/>
      <c r="E57" s="556"/>
      <c r="F57" s="556"/>
      <c r="G57" s="556"/>
      <c r="H57" s="556"/>
      <c r="I57" s="556"/>
      <c r="J57" s="556"/>
      <c r="K57" s="556"/>
      <c r="L57" s="556"/>
      <c r="M57" s="556"/>
      <c r="N57" s="556"/>
      <c r="O57" s="557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191.50132275132273</v>
      </c>
      <c r="Y57" s="543">
        <f>IFERROR(Y51/H51,"0")+IFERROR(Y52/H52,"0")+IFERROR(Y53/H53,"0")+IFERROR(Y54/H54,"0")+IFERROR(Y55/H55,"0")+IFERROR(Y56/H56,"0")</f>
        <v>193</v>
      </c>
      <c r="Z57" s="543">
        <f>IFERROR(IF(Z51="",0,Z51),"0")+IFERROR(IF(Z52="",0,Z52),"0")+IFERROR(IF(Z53="",0,Z53),"0")+IFERROR(IF(Z54="",0,Z54),"0")+IFERROR(IF(Z55="",0,Z55),"0")+IFERROR(IF(Z56="",0,Z56),"0")</f>
        <v>1.8902600000000001</v>
      </c>
      <c r="AA57" s="544"/>
      <c r="AB57" s="544"/>
      <c r="AC57" s="544"/>
    </row>
    <row r="58" spans="1:68" x14ac:dyDescent="0.2">
      <c r="A58" s="556"/>
      <c r="B58" s="556"/>
      <c r="C58" s="556"/>
      <c r="D58" s="556"/>
      <c r="E58" s="556"/>
      <c r="F58" s="556"/>
      <c r="G58" s="556"/>
      <c r="H58" s="556"/>
      <c r="I58" s="556"/>
      <c r="J58" s="556"/>
      <c r="K58" s="556"/>
      <c r="L58" s="556"/>
      <c r="M58" s="556"/>
      <c r="N58" s="556"/>
      <c r="O58" s="557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950</v>
      </c>
      <c r="Y58" s="543">
        <f>IFERROR(SUM(Y51:Y56),"0")</f>
        <v>965</v>
      </c>
      <c r="Z58" s="37"/>
      <c r="AA58" s="544"/>
      <c r="AB58" s="544"/>
      <c r="AC58" s="544"/>
    </row>
    <row r="59" spans="1:68" ht="14.25" customHeight="1" x14ac:dyDescent="0.25">
      <c r="A59" s="558" t="s">
        <v>136</v>
      </c>
      <c r="B59" s="556"/>
      <c r="C59" s="556"/>
      <c r="D59" s="556"/>
      <c r="E59" s="556"/>
      <c r="F59" s="556"/>
      <c r="G59" s="556"/>
      <c r="H59" s="556"/>
      <c r="I59" s="556"/>
      <c r="J59" s="556"/>
      <c r="K59" s="556"/>
      <c r="L59" s="556"/>
      <c r="M59" s="556"/>
      <c r="N59" s="556"/>
      <c r="O59" s="556"/>
      <c r="P59" s="556"/>
      <c r="Q59" s="556"/>
      <c r="R59" s="556"/>
      <c r="S59" s="556"/>
      <c r="T59" s="556"/>
      <c r="U59" s="556"/>
      <c r="V59" s="556"/>
      <c r="W59" s="556"/>
      <c r="X59" s="556"/>
      <c r="Y59" s="556"/>
      <c r="Z59" s="556"/>
      <c r="AA59" s="535"/>
      <c r="AB59" s="535"/>
      <c r="AC59" s="535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50</v>
      </c>
      <c r="Y60" s="542">
        <f>IFERROR(IF(X60="",0,CEILING((X60/$H60),1)*$H60),"")</f>
        <v>54</v>
      </c>
      <c r="Z60" s="36">
        <f>IFERROR(IF(Y60=0,"",ROUNDUP(Y60/H60,0)*0.01898),"")</f>
        <v>9.4899999999999998E-2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51.898148148148145</v>
      </c>
      <c r="BN60" s="64">
        <f>IFERROR(Y60*I60/H60,"0")</f>
        <v>56.05</v>
      </c>
      <c r="BO60" s="64">
        <f>IFERROR(1/J60*(X60/H60),"0")</f>
        <v>7.2337962962962965E-2</v>
      </c>
      <c r="BP60" s="64">
        <f>IFERROR(1/J60*(Y60/H60),"0")</f>
        <v>7.8125E-2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 t="s">
        <v>90</v>
      </c>
      <c r="AK62" s="68">
        <v>2.7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5"/>
      <c r="B63" s="556"/>
      <c r="C63" s="556"/>
      <c r="D63" s="556"/>
      <c r="E63" s="556"/>
      <c r="F63" s="556"/>
      <c r="G63" s="556"/>
      <c r="H63" s="556"/>
      <c r="I63" s="556"/>
      <c r="J63" s="556"/>
      <c r="K63" s="556"/>
      <c r="L63" s="556"/>
      <c r="M63" s="556"/>
      <c r="N63" s="556"/>
      <c r="O63" s="557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4.6296296296296298</v>
      </c>
      <c r="Y63" s="543">
        <f>IFERROR(Y60/H60,"0")+IFERROR(Y61/H61,"0")+IFERROR(Y62/H62,"0")</f>
        <v>5</v>
      </c>
      <c r="Z63" s="543">
        <f>IFERROR(IF(Z60="",0,Z60),"0")+IFERROR(IF(Z61="",0,Z61),"0")+IFERROR(IF(Z62="",0,Z62),"0")</f>
        <v>9.4899999999999998E-2</v>
      </c>
      <c r="AA63" s="544"/>
      <c r="AB63" s="544"/>
      <c r="AC63" s="544"/>
    </row>
    <row r="64" spans="1:68" x14ac:dyDescent="0.2">
      <c r="A64" s="556"/>
      <c r="B64" s="556"/>
      <c r="C64" s="556"/>
      <c r="D64" s="556"/>
      <c r="E64" s="556"/>
      <c r="F64" s="556"/>
      <c r="G64" s="556"/>
      <c r="H64" s="556"/>
      <c r="I64" s="556"/>
      <c r="J64" s="556"/>
      <c r="K64" s="556"/>
      <c r="L64" s="556"/>
      <c r="M64" s="556"/>
      <c r="N64" s="556"/>
      <c r="O64" s="557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50</v>
      </c>
      <c r="Y64" s="543">
        <f>IFERROR(SUM(Y60:Y62),"0")</f>
        <v>54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6"/>
      <c r="C65" s="556"/>
      <c r="D65" s="556"/>
      <c r="E65" s="556"/>
      <c r="F65" s="556"/>
      <c r="G65" s="556"/>
      <c r="H65" s="556"/>
      <c r="I65" s="556"/>
      <c r="J65" s="556"/>
      <c r="K65" s="556"/>
      <c r="L65" s="556"/>
      <c r="M65" s="556"/>
      <c r="N65" s="556"/>
      <c r="O65" s="556"/>
      <c r="P65" s="556"/>
      <c r="Q65" s="556"/>
      <c r="R65" s="556"/>
      <c r="S65" s="556"/>
      <c r="T65" s="556"/>
      <c r="U65" s="556"/>
      <c r="V65" s="556"/>
      <c r="W65" s="556"/>
      <c r="X65" s="556"/>
      <c r="Y65" s="556"/>
      <c r="Z65" s="556"/>
      <c r="AA65" s="535"/>
      <c r="AB65" s="535"/>
      <c r="AC65" s="535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5"/>
      <c r="B69" s="556"/>
      <c r="C69" s="556"/>
      <c r="D69" s="556"/>
      <c r="E69" s="556"/>
      <c r="F69" s="556"/>
      <c r="G69" s="556"/>
      <c r="H69" s="556"/>
      <c r="I69" s="556"/>
      <c r="J69" s="556"/>
      <c r="K69" s="556"/>
      <c r="L69" s="556"/>
      <c r="M69" s="556"/>
      <c r="N69" s="556"/>
      <c r="O69" s="557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6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7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6"/>
      <c r="C71" s="556"/>
      <c r="D71" s="556"/>
      <c r="E71" s="556"/>
      <c r="F71" s="556"/>
      <c r="G71" s="556"/>
      <c r="H71" s="556"/>
      <c r="I71" s="556"/>
      <c r="J71" s="556"/>
      <c r="K71" s="556"/>
      <c r="L71" s="556"/>
      <c r="M71" s="556"/>
      <c r="N71" s="556"/>
      <c r="O71" s="556"/>
      <c r="P71" s="556"/>
      <c r="Q71" s="556"/>
      <c r="R71" s="556"/>
      <c r="S71" s="556"/>
      <c r="T71" s="556"/>
      <c r="U71" s="556"/>
      <c r="V71" s="556"/>
      <c r="W71" s="556"/>
      <c r="X71" s="556"/>
      <c r="Y71" s="556"/>
      <c r="Z71" s="556"/>
      <c r="AA71" s="535"/>
      <c r="AB71" s="535"/>
      <c r="AC71" s="535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3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5"/>
      <c r="B76" s="556"/>
      <c r="C76" s="556"/>
      <c r="D76" s="556"/>
      <c r="E76" s="556"/>
      <c r="F76" s="556"/>
      <c r="G76" s="556"/>
      <c r="H76" s="556"/>
      <c r="I76" s="556"/>
      <c r="J76" s="556"/>
      <c r="K76" s="556"/>
      <c r="L76" s="556"/>
      <c r="M76" s="556"/>
      <c r="N76" s="556"/>
      <c r="O76" s="557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6"/>
      <c r="B77" s="556"/>
      <c r="C77" s="556"/>
      <c r="D77" s="556"/>
      <c r="E77" s="556"/>
      <c r="F77" s="556"/>
      <c r="G77" s="556"/>
      <c r="H77" s="556"/>
      <c r="I77" s="556"/>
      <c r="J77" s="556"/>
      <c r="K77" s="556"/>
      <c r="L77" s="556"/>
      <c r="M77" s="556"/>
      <c r="N77" s="556"/>
      <c r="O77" s="557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164</v>
      </c>
      <c r="B78" s="556"/>
      <c r="C78" s="556"/>
      <c r="D78" s="556"/>
      <c r="E78" s="556"/>
      <c r="F78" s="556"/>
      <c r="G78" s="556"/>
      <c r="H78" s="556"/>
      <c r="I78" s="556"/>
      <c r="J78" s="556"/>
      <c r="K78" s="556"/>
      <c r="L78" s="556"/>
      <c r="M78" s="556"/>
      <c r="N78" s="556"/>
      <c r="O78" s="556"/>
      <c r="P78" s="556"/>
      <c r="Q78" s="556"/>
      <c r="R78" s="556"/>
      <c r="S78" s="556"/>
      <c r="T78" s="556"/>
      <c r="U78" s="556"/>
      <c r="V78" s="556"/>
      <c r="W78" s="556"/>
      <c r="X78" s="556"/>
      <c r="Y78" s="556"/>
      <c r="Z78" s="556"/>
      <c r="AA78" s="535"/>
      <c r="AB78" s="535"/>
      <c r="AC78" s="535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5"/>
      <c r="B81" s="556"/>
      <c r="C81" s="556"/>
      <c r="D81" s="556"/>
      <c r="E81" s="556"/>
      <c r="F81" s="556"/>
      <c r="G81" s="556"/>
      <c r="H81" s="556"/>
      <c r="I81" s="556"/>
      <c r="J81" s="556"/>
      <c r="K81" s="556"/>
      <c r="L81" s="556"/>
      <c r="M81" s="556"/>
      <c r="N81" s="556"/>
      <c r="O81" s="557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6"/>
      <c r="B82" s="556"/>
      <c r="C82" s="556"/>
      <c r="D82" s="556"/>
      <c r="E82" s="556"/>
      <c r="F82" s="556"/>
      <c r="G82" s="556"/>
      <c r="H82" s="556"/>
      <c r="I82" s="556"/>
      <c r="J82" s="556"/>
      <c r="K82" s="556"/>
      <c r="L82" s="556"/>
      <c r="M82" s="556"/>
      <c r="N82" s="556"/>
      <c r="O82" s="557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9" t="s">
        <v>171</v>
      </c>
      <c r="B83" s="556"/>
      <c r="C83" s="556"/>
      <c r="D83" s="556"/>
      <c r="E83" s="556"/>
      <c r="F83" s="556"/>
      <c r="G83" s="556"/>
      <c r="H83" s="556"/>
      <c r="I83" s="556"/>
      <c r="J83" s="556"/>
      <c r="K83" s="556"/>
      <c r="L83" s="556"/>
      <c r="M83" s="556"/>
      <c r="N83" s="556"/>
      <c r="O83" s="556"/>
      <c r="P83" s="556"/>
      <c r="Q83" s="556"/>
      <c r="R83" s="556"/>
      <c r="S83" s="556"/>
      <c r="T83" s="556"/>
      <c r="U83" s="556"/>
      <c r="V83" s="556"/>
      <c r="W83" s="556"/>
      <c r="X83" s="556"/>
      <c r="Y83" s="556"/>
      <c r="Z83" s="556"/>
      <c r="AA83" s="536"/>
      <c r="AB83" s="536"/>
      <c r="AC83" s="536"/>
    </row>
    <row r="84" spans="1:68" ht="14.25" customHeight="1" x14ac:dyDescent="0.25">
      <c r="A84" s="558" t="s">
        <v>101</v>
      </c>
      <c r="B84" s="556"/>
      <c r="C84" s="556"/>
      <c r="D84" s="556"/>
      <c r="E84" s="556"/>
      <c r="F84" s="556"/>
      <c r="G84" s="556"/>
      <c r="H84" s="556"/>
      <c r="I84" s="556"/>
      <c r="J84" s="556"/>
      <c r="K84" s="556"/>
      <c r="L84" s="556"/>
      <c r="M84" s="556"/>
      <c r="N84" s="556"/>
      <c r="O84" s="556"/>
      <c r="P84" s="556"/>
      <c r="Q84" s="556"/>
      <c r="R84" s="556"/>
      <c r="S84" s="556"/>
      <c r="T84" s="556"/>
      <c r="U84" s="556"/>
      <c r="V84" s="556"/>
      <c r="W84" s="556"/>
      <c r="X84" s="556"/>
      <c r="Y84" s="556"/>
      <c r="Z84" s="556"/>
      <c r="AA84" s="535"/>
      <c r="AB84" s="535"/>
      <c r="AC84" s="535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100</v>
      </c>
      <c r="Y85" s="542">
        <f>IFERROR(IF(X85="",0,CEILING((X85/$H85),1)*$H85),"")</f>
        <v>108</v>
      </c>
      <c r="Z85" s="36">
        <f>IFERROR(IF(Y85=0,"",ROUNDUP(Y85/H85,0)*0.01898),"")</f>
        <v>0.1898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103.79629629629629</v>
      </c>
      <c r="BN85" s="64">
        <f>IFERROR(Y85*I85/H85,"0")</f>
        <v>112.1</v>
      </c>
      <c r="BO85" s="64">
        <f>IFERROR(1/J85*(X85/H85),"0")</f>
        <v>0.14467592592592593</v>
      </c>
      <c r="BP85" s="64">
        <f>IFERROR(1/J85*(Y85/H85),"0")</f>
        <v>0.15625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5"/>
      <c r="B88" s="556"/>
      <c r="C88" s="556"/>
      <c r="D88" s="556"/>
      <c r="E88" s="556"/>
      <c r="F88" s="556"/>
      <c r="G88" s="556"/>
      <c r="H88" s="556"/>
      <c r="I88" s="556"/>
      <c r="J88" s="556"/>
      <c r="K88" s="556"/>
      <c r="L88" s="556"/>
      <c r="M88" s="556"/>
      <c r="N88" s="556"/>
      <c r="O88" s="557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9.2592592592592595</v>
      </c>
      <c r="Y88" s="543">
        <f>IFERROR(Y85/H85,"0")+IFERROR(Y86/H86,"0")+IFERROR(Y87/H87,"0")</f>
        <v>10</v>
      </c>
      <c r="Z88" s="543">
        <f>IFERROR(IF(Z85="",0,Z85),"0")+IFERROR(IF(Z86="",0,Z86),"0")+IFERROR(IF(Z87="",0,Z87),"0")</f>
        <v>0.1898</v>
      </c>
      <c r="AA88" s="544"/>
      <c r="AB88" s="544"/>
      <c r="AC88" s="544"/>
    </row>
    <row r="89" spans="1:68" x14ac:dyDescent="0.2">
      <c r="A89" s="556"/>
      <c r="B89" s="556"/>
      <c r="C89" s="556"/>
      <c r="D89" s="556"/>
      <c r="E89" s="556"/>
      <c r="F89" s="556"/>
      <c r="G89" s="556"/>
      <c r="H89" s="556"/>
      <c r="I89" s="556"/>
      <c r="J89" s="556"/>
      <c r="K89" s="556"/>
      <c r="L89" s="556"/>
      <c r="M89" s="556"/>
      <c r="N89" s="556"/>
      <c r="O89" s="557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100</v>
      </c>
      <c r="Y89" s="543">
        <f>IFERROR(SUM(Y85:Y87),"0")</f>
        <v>108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6"/>
      <c r="C90" s="556"/>
      <c r="D90" s="556"/>
      <c r="E90" s="556"/>
      <c r="F90" s="556"/>
      <c r="G90" s="556"/>
      <c r="H90" s="556"/>
      <c r="I90" s="556"/>
      <c r="J90" s="556"/>
      <c r="K90" s="556"/>
      <c r="L90" s="556"/>
      <c r="M90" s="556"/>
      <c r="N90" s="556"/>
      <c r="O90" s="556"/>
      <c r="P90" s="556"/>
      <c r="Q90" s="556"/>
      <c r="R90" s="556"/>
      <c r="S90" s="556"/>
      <c r="T90" s="556"/>
      <c r="U90" s="556"/>
      <c r="V90" s="556"/>
      <c r="W90" s="556"/>
      <c r="X90" s="556"/>
      <c r="Y90" s="556"/>
      <c r="Z90" s="556"/>
      <c r="AA90" s="535"/>
      <c r="AB90" s="535"/>
      <c r="AC90" s="535"/>
    </row>
    <row r="91" spans="1:68" ht="16.5" customHeight="1" x14ac:dyDescent="0.25">
      <c r="A91" s="54" t="s">
        <v>179</v>
      </c>
      <c r="B91" s="54" t="s">
        <v>180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3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59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0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150</v>
      </c>
      <c r="Y94" s="542">
        <f>IFERROR(IF(X94="",0,CEILING((X94/$H94),1)*$H94),"")</f>
        <v>150.47999999999999</v>
      </c>
      <c r="Z94" s="36">
        <f>IFERROR(IF(Y94=0,"",ROUNDUP(Y94/H94,0)*0.00651),"")</f>
        <v>0.49476000000000003</v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169.54545454545453</v>
      </c>
      <c r="BN94" s="64">
        <f>IFERROR(Y94*I94/H94,"0")</f>
        <v>170.08799999999999</v>
      </c>
      <c r="BO94" s="64">
        <f>IFERROR(1/J94*(X94/H94),"0")</f>
        <v>0.41625041625041631</v>
      </c>
      <c r="BP94" s="64">
        <f>IFERROR(1/J94*(Y94/H94),"0")</f>
        <v>0.4175824175824176</v>
      </c>
    </row>
    <row r="95" spans="1:68" x14ac:dyDescent="0.2">
      <c r="A95" s="555"/>
      <c r="B95" s="556"/>
      <c r="C95" s="556"/>
      <c r="D95" s="556"/>
      <c r="E95" s="556"/>
      <c r="F95" s="556"/>
      <c r="G95" s="556"/>
      <c r="H95" s="556"/>
      <c r="I95" s="556"/>
      <c r="J95" s="556"/>
      <c r="K95" s="556"/>
      <c r="L95" s="556"/>
      <c r="M95" s="556"/>
      <c r="N95" s="556"/>
      <c r="O95" s="557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75.757575757575765</v>
      </c>
      <c r="Y95" s="543">
        <f>IFERROR(Y91/H91,"0")+IFERROR(Y92/H92,"0")+IFERROR(Y93/H93,"0")+IFERROR(Y94/H94,"0")</f>
        <v>76</v>
      </c>
      <c r="Z95" s="543">
        <f>IFERROR(IF(Z91="",0,Z91),"0")+IFERROR(IF(Z92="",0,Z92),"0")+IFERROR(IF(Z93="",0,Z93),"0")+IFERROR(IF(Z94="",0,Z94),"0")</f>
        <v>0.49476000000000003</v>
      </c>
      <c r="AA95" s="544"/>
      <c r="AB95" s="544"/>
      <c r="AC95" s="544"/>
    </row>
    <row r="96" spans="1:68" x14ac:dyDescent="0.2">
      <c r="A96" s="556"/>
      <c r="B96" s="556"/>
      <c r="C96" s="556"/>
      <c r="D96" s="556"/>
      <c r="E96" s="556"/>
      <c r="F96" s="556"/>
      <c r="G96" s="556"/>
      <c r="H96" s="556"/>
      <c r="I96" s="556"/>
      <c r="J96" s="556"/>
      <c r="K96" s="556"/>
      <c r="L96" s="556"/>
      <c r="M96" s="556"/>
      <c r="N96" s="556"/>
      <c r="O96" s="557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150</v>
      </c>
      <c r="Y96" s="543">
        <f>IFERROR(SUM(Y91:Y94),"0")</f>
        <v>150.47999999999999</v>
      </c>
      <c r="Z96" s="37"/>
      <c r="AA96" s="544"/>
      <c r="AB96" s="544"/>
      <c r="AC96" s="544"/>
    </row>
    <row r="97" spans="1:68" ht="16.5" customHeight="1" x14ac:dyDescent="0.25">
      <c r="A97" s="559" t="s">
        <v>190</v>
      </c>
      <c r="B97" s="556"/>
      <c r="C97" s="556"/>
      <c r="D97" s="556"/>
      <c r="E97" s="556"/>
      <c r="F97" s="556"/>
      <c r="G97" s="556"/>
      <c r="H97" s="556"/>
      <c r="I97" s="556"/>
      <c r="J97" s="556"/>
      <c r="K97" s="556"/>
      <c r="L97" s="556"/>
      <c r="M97" s="556"/>
      <c r="N97" s="556"/>
      <c r="O97" s="556"/>
      <c r="P97" s="556"/>
      <c r="Q97" s="556"/>
      <c r="R97" s="556"/>
      <c r="S97" s="556"/>
      <c r="T97" s="556"/>
      <c r="U97" s="556"/>
      <c r="V97" s="556"/>
      <c r="W97" s="556"/>
      <c r="X97" s="556"/>
      <c r="Y97" s="556"/>
      <c r="Z97" s="556"/>
      <c r="AA97" s="536"/>
      <c r="AB97" s="536"/>
      <c r="AC97" s="536"/>
    </row>
    <row r="98" spans="1:68" ht="14.25" customHeight="1" x14ac:dyDescent="0.25">
      <c r="A98" s="558" t="s">
        <v>101</v>
      </c>
      <c r="B98" s="556"/>
      <c r="C98" s="556"/>
      <c r="D98" s="556"/>
      <c r="E98" s="556"/>
      <c r="F98" s="556"/>
      <c r="G98" s="556"/>
      <c r="H98" s="556"/>
      <c r="I98" s="556"/>
      <c r="J98" s="556"/>
      <c r="K98" s="556"/>
      <c r="L98" s="556"/>
      <c r="M98" s="556"/>
      <c r="N98" s="556"/>
      <c r="O98" s="556"/>
      <c r="P98" s="556"/>
      <c r="Q98" s="556"/>
      <c r="R98" s="556"/>
      <c r="S98" s="556"/>
      <c r="T98" s="556"/>
      <c r="U98" s="556"/>
      <c r="V98" s="556"/>
      <c r="W98" s="556"/>
      <c r="X98" s="556"/>
      <c r="Y98" s="556"/>
      <c r="Z98" s="556"/>
      <c r="AA98" s="535"/>
      <c r="AB98" s="535"/>
      <c r="AC98" s="53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0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120</v>
      </c>
      <c r="Y100" s="542">
        <f>IFERROR(IF(X100="",0,CEILING((X100/$H100),1)*$H100),"")</f>
        <v>120</v>
      </c>
      <c r="Z100" s="36">
        <f>IFERROR(IF(Y100=0,"",ROUNDUP(Y100/H100,0)*0.00902),"")</f>
        <v>0.28864000000000001</v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126.08</v>
      </c>
      <c r="BN100" s="64">
        <f>IFERROR(Y100*I100/H100,"0")</f>
        <v>126.08</v>
      </c>
      <c r="BO100" s="64">
        <f>IFERROR(1/J100*(X100/H100),"0")</f>
        <v>0.24242424242424243</v>
      </c>
      <c r="BP100" s="64">
        <f>IFERROR(1/J100*(Y100/H100),"0")</f>
        <v>0.24242424242424243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0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0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5"/>
      <c r="B103" s="556"/>
      <c r="C103" s="556"/>
      <c r="D103" s="556"/>
      <c r="E103" s="556"/>
      <c r="F103" s="556"/>
      <c r="G103" s="556"/>
      <c r="H103" s="556"/>
      <c r="I103" s="556"/>
      <c r="J103" s="556"/>
      <c r="K103" s="556"/>
      <c r="L103" s="556"/>
      <c r="M103" s="556"/>
      <c r="N103" s="556"/>
      <c r="O103" s="557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32</v>
      </c>
      <c r="Y103" s="543">
        <f>IFERROR(Y99/H99,"0")+IFERROR(Y100/H100,"0")+IFERROR(Y101/H101,"0")+IFERROR(Y102/H102,"0")</f>
        <v>32</v>
      </c>
      <c r="Z103" s="543">
        <f>IFERROR(IF(Z99="",0,Z99),"0")+IFERROR(IF(Z100="",0,Z100),"0")+IFERROR(IF(Z101="",0,Z101),"0")+IFERROR(IF(Z102="",0,Z102),"0")</f>
        <v>0.28864000000000001</v>
      </c>
      <c r="AA103" s="544"/>
      <c r="AB103" s="544"/>
      <c r="AC103" s="544"/>
    </row>
    <row r="104" spans="1:68" x14ac:dyDescent="0.2">
      <c r="A104" s="556"/>
      <c r="B104" s="556"/>
      <c r="C104" s="556"/>
      <c r="D104" s="556"/>
      <c r="E104" s="556"/>
      <c r="F104" s="556"/>
      <c r="G104" s="556"/>
      <c r="H104" s="556"/>
      <c r="I104" s="556"/>
      <c r="J104" s="556"/>
      <c r="K104" s="556"/>
      <c r="L104" s="556"/>
      <c r="M104" s="556"/>
      <c r="N104" s="556"/>
      <c r="O104" s="557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120</v>
      </c>
      <c r="Y104" s="543">
        <f>IFERROR(SUM(Y99:Y102),"0")</f>
        <v>120</v>
      </c>
      <c r="Z104" s="37"/>
      <c r="AA104" s="544"/>
      <c r="AB104" s="544"/>
      <c r="AC104" s="544"/>
    </row>
    <row r="105" spans="1:68" ht="14.25" customHeight="1" x14ac:dyDescent="0.25">
      <c r="A105" s="558" t="s">
        <v>136</v>
      </c>
      <c r="B105" s="556"/>
      <c r="C105" s="556"/>
      <c r="D105" s="556"/>
      <c r="E105" s="556"/>
      <c r="F105" s="556"/>
      <c r="G105" s="556"/>
      <c r="H105" s="556"/>
      <c r="I105" s="556"/>
      <c r="J105" s="556"/>
      <c r="K105" s="556"/>
      <c r="L105" s="556"/>
      <c r="M105" s="556"/>
      <c r="N105" s="556"/>
      <c r="O105" s="556"/>
      <c r="P105" s="556"/>
      <c r="Q105" s="556"/>
      <c r="R105" s="556"/>
      <c r="S105" s="556"/>
      <c r="T105" s="556"/>
      <c r="U105" s="556"/>
      <c r="V105" s="556"/>
      <c r="W105" s="556"/>
      <c r="X105" s="556"/>
      <c r="Y105" s="556"/>
      <c r="Z105" s="556"/>
      <c r="AA105" s="535"/>
      <c r="AB105" s="535"/>
      <c r="AC105" s="535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100</v>
      </c>
      <c r="Y106" s="542">
        <f>IFERROR(IF(X106="",0,CEILING((X106/$H106),1)*$H106),"")</f>
        <v>108</v>
      </c>
      <c r="Z106" s="36">
        <f>IFERROR(IF(Y106=0,"",ROUNDUP(Y106/H106,0)*0.01898),"")</f>
        <v>0.1898</v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103.79629629629629</v>
      </c>
      <c r="BN106" s="64">
        <f>IFERROR(Y106*I106/H106,"0")</f>
        <v>112.1</v>
      </c>
      <c r="BO106" s="64">
        <f>IFERROR(1/J106*(X106/H106),"0")</f>
        <v>0.14467592592592593</v>
      </c>
      <c r="BP106" s="64">
        <f>IFERROR(1/J106*(Y106/H106),"0")</f>
        <v>0.15625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79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5"/>
      <c r="B109" s="556"/>
      <c r="C109" s="556"/>
      <c r="D109" s="556"/>
      <c r="E109" s="556"/>
      <c r="F109" s="556"/>
      <c r="G109" s="556"/>
      <c r="H109" s="556"/>
      <c r="I109" s="556"/>
      <c r="J109" s="556"/>
      <c r="K109" s="556"/>
      <c r="L109" s="556"/>
      <c r="M109" s="556"/>
      <c r="N109" s="556"/>
      <c r="O109" s="557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9.2592592592592595</v>
      </c>
      <c r="Y109" s="543">
        <f>IFERROR(Y106/H106,"0")+IFERROR(Y107/H107,"0")+IFERROR(Y108/H108,"0")</f>
        <v>10</v>
      </c>
      <c r="Z109" s="543">
        <f>IFERROR(IF(Z106="",0,Z106),"0")+IFERROR(IF(Z107="",0,Z107),"0")+IFERROR(IF(Z108="",0,Z108),"0")</f>
        <v>0.1898</v>
      </c>
      <c r="AA109" s="544"/>
      <c r="AB109" s="544"/>
      <c r="AC109" s="544"/>
    </row>
    <row r="110" spans="1:68" x14ac:dyDescent="0.2">
      <c r="A110" s="556"/>
      <c r="B110" s="556"/>
      <c r="C110" s="556"/>
      <c r="D110" s="556"/>
      <c r="E110" s="556"/>
      <c r="F110" s="556"/>
      <c r="G110" s="556"/>
      <c r="H110" s="556"/>
      <c r="I110" s="556"/>
      <c r="J110" s="556"/>
      <c r="K110" s="556"/>
      <c r="L110" s="556"/>
      <c r="M110" s="556"/>
      <c r="N110" s="556"/>
      <c r="O110" s="557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100</v>
      </c>
      <c r="Y110" s="543">
        <f>IFERROR(SUM(Y106:Y108),"0")</f>
        <v>108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6"/>
      <c r="C111" s="556"/>
      <c r="D111" s="556"/>
      <c r="E111" s="556"/>
      <c r="F111" s="556"/>
      <c r="G111" s="556"/>
      <c r="H111" s="556"/>
      <c r="I111" s="556"/>
      <c r="J111" s="556"/>
      <c r="K111" s="556"/>
      <c r="L111" s="556"/>
      <c r="M111" s="556"/>
      <c r="N111" s="556"/>
      <c r="O111" s="556"/>
      <c r="P111" s="556"/>
      <c r="Q111" s="556"/>
      <c r="R111" s="556"/>
      <c r="S111" s="556"/>
      <c r="T111" s="556"/>
      <c r="U111" s="556"/>
      <c r="V111" s="556"/>
      <c r="W111" s="556"/>
      <c r="X111" s="556"/>
      <c r="Y111" s="556"/>
      <c r="Z111" s="556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8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79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600</v>
      </c>
      <c r="Y114" s="542">
        <f>IFERROR(IF(X114="",0,CEILING((X114/$H114),1)*$H114),"")</f>
        <v>602.1</v>
      </c>
      <c r="Z114" s="36">
        <f>IFERROR(IF(Y114=0,"",ROUNDUP(Y114/H114,0)*0.00651),"")</f>
        <v>1.45173</v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656</v>
      </c>
      <c r="BN114" s="64">
        <f>IFERROR(Y114*I114/H114,"0")</f>
        <v>658.29599999999994</v>
      </c>
      <c r="BO114" s="64">
        <f>IFERROR(1/J114*(X114/H114),"0")</f>
        <v>1.2210012210012209</v>
      </c>
      <c r="BP114" s="64">
        <f>IFERROR(1/J114*(Y114/H114),"0")</f>
        <v>1.2252747252747254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2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5"/>
      <c r="B116" s="556"/>
      <c r="C116" s="556"/>
      <c r="D116" s="556"/>
      <c r="E116" s="556"/>
      <c r="F116" s="556"/>
      <c r="G116" s="556"/>
      <c r="H116" s="556"/>
      <c r="I116" s="556"/>
      <c r="J116" s="556"/>
      <c r="K116" s="556"/>
      <c r="L116" s="556"/>
      <c r="M116" s="556"/>
      <c r="N116" s="556"/>
      <c r="O116" s="557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222.2222222222222</v>
      </c>
      <c r="Y116" s="543">
        <f>IFERROR(Y112/H112,"0")+IFERROR(Y113/H113,"0")+IFERROR(Y114/H114,"0")+IFERROR(Y115/H115,"0")</f>
        <v>223</v>
      </c>
      <c r="Z116" s="543">
        <f>IFERROR(IF(Z112="",0,Z112),"0")+IFERROR(IF(Z113="",0,Z113),"0")+IFERROR(IF(Z114="",0,Z114),"0")+IFERROR(IF(Z115="",0,Z115),"0")</f>
        <v>1.45173</v>
      </c>
      <c r="AA116" s="544"/>
      <c r="AB116" s="544"/>
      <c r="AC116" s="544"/>
    </row>
    <row r="117" spans="1:68" x14ac:dyDescent="0.2">
      <c r="A117" s="556"/>
      <c r="B117" s="556"/>
      <c r="C117" s="556"/>
      <c r="D117" s="556"/>
      <c r="E117" s="556"/>
      <c r="F117" s="556"/>
      <c r="G117" s="556"/>
      <c r="H117" s="556"/>
      <c r="I117" s="556"/>
      <c r="J117" s="556"/>
      <c r="K117" s="556"/>
      <c r="L117" s="556"/>
      <c r="M117" s="556"/>
      <c r="N117" s="556"/>
      <c r="O117" s="557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600</v>
      </c>
      <c r="Y117" s="543">
        <f>IFERROR(SUM(Y112:Y115),"0")</f>
        <v>602.1</v>
      </c>
      <c r="Z117" s="37"/>
      <c r="AA117" s="544"/>
      <c r="AB117" s="544"/>
      <c r="AC117" s="544"/>
    </row>
    <row r="118" spans="1:68" ht="14.25" customHeight="1" x14ac:dyDescent="0.25">
      <c r="A118" s="558" t="s">
        <v>164</v>
      </c>
      <c r="B118" s="556"/>
      <c r="C118" s="556"/>
      <c r="D118" s="556"/>
      <c r="E118" s="556"/>
      <c r="F118" s="556"/>
      <c r="G118" s="556"/>
      <c r="H118" s="556"/>
      <c r="I118" s="556"/>
      <c r="J118" s="556"/>
      <c r="K118" s="556"/>
      <c r="L118" s="556"/>
      <c r="M118" s="556"/>
      <c r="N118" s="556"/>
      <c r="O118" s="556"/>
      <c r="P118" s="556"/>
      <c r="Q118" s="556"/>
      <c r="R118" s="556"/>
      <c r="S118" s="556"/>
      <c r="T118" s="556"/>
      <c r="U118" s="556"/>
      <c r="V118" s="556"/>
      <c r="W118" s="556"/>
      <c r="X118" s="556"/>
      <c r="Y118" s="556"/>
      <c r="Z118" s="556"/>
      <c r="AA118" s="535"/>
      <c r="AB118" s="535"/>
      <c r="AC118" s="535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6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5"/>
      <c r="B120" s="556"/>
      <c r="C120" s="556"/>
      <c r="D120" s="556"/>
      <c r="E120" s="556"/>
      <c r="F120" s="556"/>
      <c r="G120" s="556"/>
      <c r="H120" s="556"/>
      <c r="I120" s="556"/>
      <c r="J120" s="556"/>
      <c r="K120" s="556"/>
      <c r="L120" s="556"/>
      <c r="M120" s="556"/>
      <c r="N120" s="556"/>
      <c r="O120" s="557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6"/>
      <c r="B121" s="556"/>
      <c r="C121" s="556"/>
      <c r="D121" s="556"/>
      <c r="E121" s="556"/>
      <c r="F121" s="556"/>
      <c r="G121" s="556"/>
      <c r="H121" s="556"/>
      <c r="I121" s="556"/>
      <c r="J121" s="556"/>
      <c r="K121" s="556"/>
      <c r="L121" s="556"/>
      <c r="M121" s="556"/>
      <c r="N121" s="556"/>
      <c r="O121" s="557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220</v>
      </c>
      <c r="B122" s="556"/>
      <c r="C122" s="556"/>
      <c r="D122" s="556"/>
      <c r="E122" s="556"/>
      <c r="F122" s="556"/>
      <c r="G122" s="556"/>
      <c r="H122" s="556"/>
      <c r="I122" s="556"/>
      <c r="J122" s="556"/>
      <c r="K122" s="556"/>
      <c r="L122" s="556"/>
      <c r="M122" s="556"/>
      <c r="N122" s="556"/>
      <c r="O122" s="556"/>
      <c r="P122" s="556"/>
      <c r="Q122" s="556"/>
      <c r="R122" s="556"/>
      <c r="S122" s="556"/>
      <c r="T122" s="556"/>
      <c r="U122" s="556"/>
      <c r="V122" s="556"/>
      <c r="W122" s="556"/>
      <c r="X122" s="556"/>
      <c r="Y122" s="556"/>
      <c r="Z122" s="556"/>
      <c r="AA122" s="536"/>
      <c r="AB122" s="536"/>
      <c r="AC122" s="536"/>
    </row>
    <row r="123" spans="1:68" ht="14.25" customHeight="1" x14ac:dyDescent="0.25">
      <c r="A123" s="558" t="s">
        <v>101</v>
      </c>
      <c r="B123" s="556"/>
      <c r="C123" s="556"/>
      <c r="D123" s="556"/>
      <c r="E123" s="556"/>
      <c r="F123" s="556"/>
      <c r="G123" s="556"/>
      <c r="H123" s="556"/>
      <c r="I123" s="556"/>
      <c r="J123" s="556"/>
      <c r="K123" s="556"/>
      <c r="L123" s="556"/>
      <c r="M123" s="556"/>
      <c r="N123" s="556"/>
      <c r="O123" s="556"/>
      <c r="P123" s="556"/>
      <c r="Q123" s="556"/>
      <c r="R123" s="556"/>
      <c r="S123" s="556"/>
      <c r="T123" s="556"/>
      <c r="U123" s="556"/>
      <c r="V123" s="556"/>
      <c r="W123" s="556"/>
      <c r="X123" s="556"/>
      <c r="Y123" s="556"/>
      <c r="Z123" s="556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5"/>
      <c r="B126" s="556"/>
      <c r="C126" s="556"/>
      <c r="D126" s="556"/>
      <c r="E126" s="556"/>
      <c r="F126" s="556"/>
      <c r="G126" s="556"/>
      <c r="H126" s="556"/>
      <c r="I126" s="556"/>
      <c r="J126" s="556"/>
      <c r="K126" s="556"/>
      <c r="L126" s="556"/>
      <c r="M126" s="556"/>
      <c r="N126" s="556"/>
      <c r="O126" s="557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6"/>
      <c r="B127" s="556"/>
      <c r="C127" s="556"/>
      <c r="D127" s="556"/>
      <c r="E127" s="556"/>
      <c r="F127" s="556"/>
      <c r="G127" s="556"/>
      <c r="H127" s="556"/>
      <c r="I127" s="556"/>
      <c r="J127" s="556"/>
      <c r="K127" s="556"/>
      <c r="L127" s="556"/>
      <c r="M127" s="556"/>
      <c r="N127" s="556"/>
      <c r="O127" s="557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6"/>
      <c r="C128" s="556"/>
      <c r="D128" s="556"/>
      <c r="E128" s="556"/>
      <c r="F128" s="556"/>
      <c r="G128" s="556"/>
      <c r="H128" s="556"/>
      <c r="I128" s="556"/>
      <c r="J128" s="556"/>
      <c r="K128" s="556"/>
      <c r="L128" s="556"/>
      <c r="M128" s="556"/>
      <c r="N128" s="556"/>
      <c r="O128" s="556"/>
      <c r="P128" s="556"/>
      <c r="Q128" s="556"/>
      <c r="R128" s="556"/>
      <c r="S128" s="556"/>
      <c r="T128" s="556"/>
      <c r="U128" s="556"/>
      <c r="V128" s="556"/>
      <c r="W128" s="556"/>
      <c r="X128" s="556"/>
      <c r="Y128" s="556"/>
      <c r="Z128" s="556"/>
      <c r="AA128" s="535"/>
      <c r="AB128" s="535"/>
      <c r="AC128" s="535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5"/>
      <c r="B131" s="556"/>
      <c r="C131" s="556"/>
      <c r="D131" s="556"/>
      <c r="E131" s="556"/>
      <c r="F131" s="556"/>
      <c r="G131" s="556"/>
      <c r="H131" s="556"/>
      <c r="I131" s="556"/>
      <c r="J131" s="556"/>
      <c r="K131" s="556"/>
      <c r="L131" s="556"/>
      <c r="M131" s="556"/>
      <c r="N131" s="556"/>
      <c r="O131" s="557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6"/>
      <c r="B132" s="556"/>
      <c r="C132" s="556"/>
      <c r="D132" s="556"/>
      <c r="E132" s="556"/>
      <c r="F132" s="556"/>
      <c r="G132" s="556"/>
      <c r="H132" s="556"/>
      <c r="I132" s="556"/>
      <c r="J132" s="556"/>
      <c r="K132" s="556"/>
      <c r="L132" s="556"/>
      <c r="M132" s="556"/>
      <c r="N132" s="556"/>
      <c r="O132" s="557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6"/>
      <c r="C133" s="556"/>
      <c r="D133" s="556"/>
      <c r="E133" s="556"/>
      <c r="F133" s="556"/>
      <c r="G133" s="556"/>
      <c r="H133" s="556"/>
      <c r="I133" s="556"/>
      <c r="J133" s="556"/>
      <c r="K133" s="556"/>
      <c r="L133" s="556"/>
      <c r="M133" s="556"/>
      <c r="N133" s="556"/>
      <c r="O133" s="556"/>
      <c r="P133" s="556"/>
      <c r="Q133" s="556"/>
      <c r="R133" s="556"/>
      <c r="S133" s="556"/>
      <c r="T133" s="556"/>
      <c r="U133" s="556"/>
      <c r="V133" s="556"/>
      <c r="W133" s="556"/>
      <c r="X133" s="556"/>
      <c r="Y133" s="556"/>
      <c r="Z133" s="556"/>
      <c r="AA133" s="535"/>
      <c r="AB133" s="535"/>
      <c r="AC133" s="535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1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5"/>
      <c r="B136" s="556"/>
      <c r="C136" s="556"/>
      <c r="D136" s="556"/>
      <c r="E136" s="556"/>
      <c r="F136" s="556"/>
      <c r="G136" s="556"/>
      <c r="H136" s="556"/>
      <c r="I136" s="556"/>
      <c r="J136" s="556"/>
      <c r="K136" s="556"/>
      <c r="L136" s="556"/>
      <c r="M136" s="556"/>
      <c r="N136" s="556"/>
      <c r="O136" s="557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6"/>
      <c r="B137" s="556"/>
      <c r="C137" s="556"/>
      <c r="D137" s="556"/>
      <c r="E137" s="556"/>
      <c r="F137" s="556"/>
      <c r="G137" s="556"/>
      <c r="H137" s="556"/>
      <c r="I137" s="556"/>
      <c r="J137" s="556"/>
      <c r="K137" s="556"/>
      <c r="L137" s="556"/>
      <c r="M137" s="556"/>
      <c r="N137" s="556"/>
      <c r="O137" s="557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9" t="s">
        <v>99</v>
      </c>
      <c r="B138" s="556"/>
      <c r="C138" s="556"/>
      <c r="D138" s="556"/>
      <c r="E138" s="556"/>
      <c r="F138" s="556"/>
      <c r="G138" s="556"/>
      <c r="H138" s="556"/>
      <c r="I138" s="556"/>
      <c r="J138" s="556"/>
      <c r="K138" s="556"/>
      <c r="L138" s="556"/>
      <c r="M138" s="556"/>
      <c r="N138" s="556"/>
      <c r="O138" s="556"/>
      <c r="P138" s="556"/>
      <c r="Q138" s="556"/>
      <c r="R138" s="556"/>
      <c r="S138" s="556"/>
      <c r="T138" s="556"/>
      <c r="U138" s="556"/>
      <c r="V138" s="556"/>
      <c r="W138" s="556"/>
      <c r="X138" s="556"/>
      <c r="Y138" s="556"/>
      <c r="Z138" s="556"/>
      <c r="AA138" s="536"/>
      <c r="AB138" s="536"/>
      <c r="AC138" s="536"/>
    </row>
    <row r="139" spans="1:68" ht="14.25" customHeight="1" x14ac:dyDescent="0.25">
      <c r="A139" s="558" t="s">
        <v>101</v>
      </c>
      <c r="B139" s="556"/>
      <c r="C139" s="556"/>
      <c r="D139" s="556"/>
      <c r="E139" s="556"/>
      <c r="F139" s="556"/>
      <c r="G139" s="556"/>
      <c r="H139" s="556"/>
      <c r="I139" s="556"/>
      <c r="J139" s="556"/>
      <c r="K139" s="556"/>
      <c r="L139" s="556"/>
      <c r="M139" s="556"/>
      <c r="N139" s="556"/>
      <c r="O139" s="556"/>
      <c r="P139" s="556"/>
      <c r="Q139" s="556"/>
      <c r="R139" s="556"/>
      <c r="S139" s="556"/>
      <c r="T139" s="556"/>
      <c r="U139" s="556"/>
      <c r="V139" s="556"/>
      <c r="W139" s="556"/>
      <c r="X139" s="556"/>
      <c r="Y139" s="556"/>
      <c r="Z139" s="556"/>
      <c r="AA139" s="535"/>
      <c r="AB139" s="535"/>
      <c r="AC139" s="535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2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656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5"/>
      <c r="B143" s="556"/>
      <c r="C143" s="556"/>
      <c r="D143" s="556"/>
      <c r="E143" s="556"/>
      <c r="F143" s="556"/>
      <c r="G143" s="556"/>
      <c r="H143" s="556"/>
      <c r="I143" s="556"/>
      <c r="J143" s="556"/>
      <c r="K143" s="556"/>
      <c r="L143" s="556"/>
      <c r="M143" s="556"/>
      <c r="N143" s="556"/>
      <c r="O143" s="557"/>
      <c r="P143" s="562" t="s">
        <v>71</v>
      </c>
      <c r="Q143" s="563"/>
      <c r="R143" s="563"/>
      <c r="S143" s="563"/>
      <c r="T143" s="563"/>
      <c r="U143" s="563"/>
      <c r="V143" s="564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x14ac:dyDescent="0.2">
      <c r="A144" s="556"/>
      <c r="B144" s="556"/>
      <c r="C144" s="556"/>
      <c r="D144" s="556"/>
      <c r="E144" s="556"/>
      <c r="F144" s="556"/>
      <c r="G144" s="556"/>
      <c r="H144" s="556"/>
      <c r="I144" s="556"/>
      <c r="J144" s="556"/>
      <c r="K144" s="556"/>
      <c r="L144" s="556"/>
      <c r="M144" s="556"/>
      <c r="N144" s="556"/>
      <c r="O144" s="557"/>
      <c r="P144" s="562" t="s">
        <v>71</v>
      </c>
      <c r="Q144" s="563"/>
      <c r="R144" s="563"/>
      <c r="S144" s="563"/>
      <c r="T144" s="563"/>
      <c r="U144" s="563"/>
      <c r="V144" s="564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customHeight="1" x14ac:dyDescent="0.25">
      <c r="A145" s="558" t="s">
        <v>64</v>
      </c>
      <c r="B145" s="556"/>
      <c r="C145" s="556"/>
      <c r="D145" s="556"/>
      <c r="E145" s="556"/>
      <c r="F145" s="556"/>
      <c r="G145" s="556"/>
      <c r="H145" s="556"/>
      <c r="I145" s="556"/>
      <c r="J145" s="556"/>
      <c r="K145" s="556"/>
      <c r="L145" s="556"/>
      <c r="M145" s="556"/>
      <c r="N145" s="556"/>
      <c r="O145" s="556"/>
      <c r="P145" s="556"/>
      <c r="Q145" s="556"/>
      <c r="R145" s="556"/>
      <c r="S145" s="556"/>
      <c r="T145" s="556"/>
      <c r="U145" s="556"/>
      <c r="V145" s="556"/>
      <c r="W145" s="556"/>
      <c r="X145" s="556"/>
      <c r="Y145" s="556"/>
      <c r="Z145" s="556"/>
      <c r="AA145" s="535"/>
      <c r="AB145" s="535"/>
      <c r="AC145" s="535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82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62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5"/>
      <c r="B149" s="556"/>
      <c r="C149" s="556"/>
      <c r="D149" s="556"/>
      <c r="E149" s="556"/>
      <c r="F149" s="556"/>
      <c r="G149" s="556"/>
      <c r="H149" s="556"/>
      <c r="I149" s="556"/>
      <c r="J149" s="556"/>
      <c r="K149" s="556"/>
      <c r="L149" s="556"/>
      <c r="M149" s="556"/>
      <c r="N149" s="556"/>
      <c r="O149" s="557"/>
      <c r="P149" s="562" t="s">
        <v>71</v>
      </c>
      <c r="Q149" s="563"/>
      <c r="R149" s="563"/>
      <c r="S149" s="563"/>
      <c r="T149" s="563"/>
      <c r="U149" s="563"/>
      <c r="V149" s="564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x14ac:dyDescent="0.2">
      <c r="A150" s="556"/>
      <c r="B150" s="556"/>
      <c r="C150" s="556"/>
      <c r="D150" s="556"/>
      <c r="E150" s="556"/>
      <c r="F150" s="556"/>
      <c r="G150" s="556"/>
      <c r="H150" s="556"/>
      <c r="I150" s="556"/>
      <c r="J150" s="556"/>
      <c r="K150" s="556"/>
      <c r="L150" s="556"/>
      <c r="M150" s="556"/>
      <c r="N150" s="556"/>
      <c r="O150" s="557"/>
      <c r="P150" s="562" t="s">
        <v>71</v>
      </c>
      <c r="Q150" s="563"/>
      <c r="R150" s="563"/>
      <c r="S150" s="563"/>
      <c r="T150" s="563"/>
      <c r="U150" s="563"/>
      <c r="V150" s="564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customHeight="1" x14ac:dyDescent="0.25">
      <c r="A151" s="558" t="s">
        <v>73</v>
      </c>
      <c r="B151" s="556"/>
      <c r="C151" s="556"/>
      <c r="D151" s="556"/>
      <c r="E151" s="556"/>
      <c r="F151" s="556"/>
      <c r="G151" s="556"/>
      <c r="H151" s="556"/>
      <c r="I151" s="556"/>
      <c r="J151" s="556"/>
      <c r="K151" s="556"/>
      <c r="L151" s="556"/>
      <c r="M151" s="556"/>
      <c r="N151" s="556"/>
      <c r="O151" s="556"/>
      <c r="P151" s="556"/>
      <c r="Q151" s="556"/>
      <c r="R151" s="556"/>
      <c r="S151" s="556"/>
      <c r="T151" s="556"/>
      <c r="U151" s="556"/>
      <c r="V151" s="556"/>
      <c r="W151" s="556"/>
      <c r="X151" s="556"/>
      <c r="Y151" s="556"/>
      <c r="Z151" s="556"/>
      <c r="AA151" s="535"/>
      <c r="AB151" s="535"/>
      <c r="AC151" s="535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8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5"/>
      <c r="B153" s="556"/>
      <c r="C153" s="556"/>
      <c r="D153" s="556"/>
      <c r="E153" s="556"/>
      <c r="F153" s="556"/>
      <c r="G153" s="556"/>
      <c r="H153" s="556"/>
      <c r="I153" s="556"/>
      <c r="J153" s="556"/>
      <c r="K153" s="556"/>
      <c r="L153" s="556"/>
      <c r="M153" s="556"/>
      <c r="N153" s="556"/>
      <c r="O153" s="557"/>
      <c r="P153" s="562" t="s">
        <v>71</v>
      </c>
      <c r="Q153" s="563"/>
      <c r="R153" s="563"/>
      <c r="S153" s="563"/>
      <c r="T153" s="563"/>
      <c r="U153" s="563"/>
      <c r="V153" s="564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x14ac:dyDescent="0.2">
      <c r="A154" s="556"/>
      <c r="B154" s="556"/>
      <c r="C154" s="556"/>
      <c r="D154" s="556"/>
      <c r="E154" s="556"/>
      <c r="F154" s="556"/>
      <c r="G154" s="556"/>
      <c r="H154" s="556"/>
      <c r="I154" s="556"/>
      <c r="J154" s="556"/>
      <c r="K154" s="556"/>
      <c r="L154" s="556"/>
      <c r="M154" s="556"/>
      <c r="N154" s="556"/>
      <c r="O154" s="557"/>
      <c r="P154" s="562" t="s">
        <v>71</v>
      </c>
      <c r="Q154" s="563"/>
      <c r="R154" s="563"/>
      <c r="S154" s="563"/>
      <c r="T154" s="563"/>
      <c r="U154" s="563"/>
      <c r="V154" s="564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customHeight="1" x14ac:dyDescent="0.2">
      <c r="A155" s="633" t="s">
        <v>255</v>
      </c>
      <c r="B155" s="634"/>
      <c r="C155" s="634"/>
      <c r="D155" s="634"/>
      <c r="E155" s="634"/>
      <c r="F155" s="634"/>
      <c r="G155" s="634"/>
      <c r="H155" s="634"/>
      <c r="I155" s="634"/>
      <c r="J155" s="634"/>
      <c r="K155" s="634"/>
      <c r="L155" s="634"/>
      <c r="M155" s="634"/>
      <c r="N155" s="634"/>
      <c r="O155" s="634"/>
      <c r="P155" s="634"/>
      <c r="Q155" s="634"/>
      <c r="R155" s="634"/>
      <c r="S155" s="634"/>
      <c r="T155" s="634"/>
      <c r="U155" s="634"/>
      <c r="V155" s="634"/>
      <c r="W155" s="634"/>
      <c r="X155" s="634"/>
      <c r="Y155" s="634"/>
      <c r="Z155" s="634"/>
      <c r="AA155" s="48"/>
      <c r="AB155" s="48"/>
      <c r="AC155" s="48"/>
    </row>
    <row r="156" spans="1:68" ht="16.5" customHeight="1" x14ac:dyDescent="0.25">
      <c r="A156" s="559" t="s">
        <v>256</v>
      </c>
      <c r="B156" s="556"/>
      <c r="C156" s="556"/>
      <c r="D156" s="556"/>
      <c r="E156" s="556"/>
      <c r="F156" s="556"/>
      <c r="G156" s="556"/>
      <c r="H156" s="556"/>
      <c r="I156" s="556"/>
      <c r="J156" s="556"/>
      <c r="K156" s="556"/>
      <c r="L156" s="556"/>
      <c r="M156" s="556"/>
      <c r="N156" s="556"/>
      <c r="O156" s="556"/>
      <c r="P156" s="556"/>
      <c r="Q156" s="556"/>
      <c r="R156" s="556"/>
      <c r="S156" s="556"/>
      <c r="T156" s="556"/>
      <c r="U156" s="556"/>
      <c r="V156" s="556"/>
      <c r="W156" s="556"/>
      <c r="X156" s="556"/>
      <c r="Y156" s="556"/>
      <c r="Z156" s="556"/>
      <c r="AA156" s="536"/>
      <c r="AB156" s="536"/>
      <c r="AC156" s="536"/>
    </row>
    <row r="157" spans="1:68" ht="14.25" customHeight="1" x14ac:dyDescent="0.25">
      <c r="A157" s="558" t="s">
        <v>136</v>
      </c>
      <c r="B157" s="556"/>
      <c r="C157" s="556"/>
      <c r="D157" s="556"/>
      <c r="E157" s="556"/>
      <c r="F157" s="556"/>
      <c r="G157" s="556"/>
      <c r="H157" s="556"/>
      <c r="I157" s="556"/>
      <c r="J157" s="556"/>
      <c r="K157" s="556"/>
      <c r="L157" s="556"/>
      <c r="M157" s="556"/>
      <c r="N157" s="556"/>
      <c r="O157" s="556"/>
      <c r="P157" s="556"/>
      <c r="Q157" s="556"/>
      <c r="R157" s="556"/>
      <c r="S157" s="556"/>
      <c r="T157" s="556"/>
      <c r="U157" s="556"/>
      <c r="V157" s="556"/>
      <c r="W157" s="556"/>
      <c r="X157" s="556"/>
      <c r="Y157" s="556"/>
      <c r="Z157" s="556"/>
      <c r="AA157" s="535"/>
      <c r="AB157" s="535"/>
      <c r="AC157" s="535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5"/>
      <c r="B159" s="556"/>
      <c r="C159" s="556"/>
      <c r="D159" s="556"/>
      <c r="E159" s="556"/>
      <c r="F159" s="556"/>
      <c r="G159" s="556"/>
      <c r="H159" s="556"/>
      <c r="I159" s="556"/>
      <c r="J159" s="556"/>
      <c r="K159" s="556"/>
      <c r="L159" s="556"/>
      <c r="M159" s="556"/>
      <c r="N159" s="556"/>
      <c r="O159" s="557"/>
      <c r="P159" s="562" t="s">
        <v>71</v>
      </c>
      <c r="Q159" s="563"/>
      <c r="R159" s="563"/>
      <c r="S159" s="563"/>
      <c r="T159" s="563"/>
      <c r="U159" s="563"/>
      <c r="V159" s="564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x14ac:dyDescent="0.2">
      <c r="A160" s="556"/>
      <c r="B160" s="556"/>
      <c r="C160" s="556"/>
      <c r="D160" s="556"/>
      <c r="E160" s="556"/>
      <c r="F160" s="556"/>
      <c r="G160" s="556"/>
      <c r="H160" s="556"/>
      <c r="I160" s="556"/>
      <c r="J160" s="556"/>
      <c r="K160" s="556"/>
      <c r="L160" s="556"/>
      <c r="M160" s="556"/>
      <c r="N160" s="556"/>
      <c r="O160" s="557"/>
      <c r="P160" s="562" t="s">
        <v>71</v>
      </c>
      <c r="Q160" s="563"/>
      <c r="R160" s="563"/>
      <c r="S160" s="563"/>
      <c r="T160" s="563"/>
      <c r="U160" s="563"/>
      <c r="V160" s="564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customHeight="1" x14ac:dyDescent="0.25">
      <c r="A161" s="558" t="s">
        <v>64</v>
      </c>
      <c r="B161" s="556"/>
      <c r="C161" s="556"/>
      <c r="D161" s="556"/>
      <c r="E161" s="556"/>
      <c r="F161" s="556"/>
      <c r="G161" s="556"/>
      <c r="H161" s="556"/>
      <c r="I161" s="556"/>
      <c r="J161" s="556"/>
      <c r="K161" s="556"/>
      <c r="L161" s="556"/>
      <c r="M161" s="556"/>
      <c r="N161" s="556"/>
      <c r="O161" s="556"/>
      <c r="P161" s="556"/>
      <c r="Q161" s="556"/>
      <c r="R161" s="556"/>
      <c r="S161" s="556"/>
      <c r="T161" s="556"/>
      <c r="U161" s="556"/>
      <c r="V161" s="556"/>
      <c r="W161" s="556"/>
      <c r="X161" s="556"/>
      <c r="Y161" s="556"/>
      <c r="Z161" s="556"/>
      <c r="AA161" s="535"/>
      <c r="AB161" s="535"/>
      <c r="AC161" s="535"/>
    </row>
    <row r="162" spans="1:68" ht="27" customHeight="1" x14ac:dyDescent="0.25">
      <c r="A162" s="54" t="s">
        <v>260</v>
      </c>
      <c r="B162" s="54" t="s">
        <v>261</v>
      </c>
      <c r="C162" s="31">
        <v>4301031191</v>
      </c>
      <c r="D162" s="548">
        <v>4680115880993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 t="s">
        <v>111</v>
      </c>
      <c r="M162" s="33" t="s">
        <v>68</v>
      </c>
      <c r="N162" s="33"/>
      <c r="O162" s="32">
        <v>40</v>
      </c>
      <c r="P162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0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262</v>
      </c>
      <c r="AG162" s="64"/>
      <c r="AJ162" s="68" t="s">
        <v>90</v>
      </c>
      <c r="AK162" s="68">
        <v>50.4</v>
      </c>
      <c r="BB162" s="194" t="s">
        <v>1</v>
      </c>
      <c r="BM162" s="64">
        <f t="shared" ref="BM162:BM170" si="6">IFERROR(X162*I162/H162,"0")</f>
        <v>0</v>
      </c>
      <c r="BN162" s="64">
        <f t="shared" ref="BN162:BN170" si="7">IFERROR(Y162*I162/H162,"0")</f>
        <v>0</v>
      </c>
      <c r="BO162" s="64">
        <f t="shared" ref="BO162:BO170" si="8">IFERROR(1/J162*(X162/H162),"0")</f>
        <v>0</v>
      </c>
      <c r="BP162" s="64">
        <f t="shared" ref="BP162:BP170" si="9">IFERROR(1/J162*(Y162/H162),"0")</f>
        <v>0</v>
      </c>
    </row>
    <row r="163" spans="1:68" ht="27" customHeight="1" x14ac:dyDescent="0.25">
      <c r="A163" s="54" t="s">
        <v>263</v>
      </c>
      <c r="B163" s="54" t="s">
        <v>264</v>
      </c>
      <c r="C163" s="31">
        <v>4301031204</v>
      </c>
      <c r="D163" s="548">
        <v>4680115881761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110</v>
      </c>
      <c r="L163" s="32"/>
      <c r="M163" s="33" t="s">
        <v>68</v>
      </c>
      <c r="N163" s="33"/>
      <c r="O163" s="32">
        <v>40</v>
      </c>
      <c r="P163" s="6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266</v>
      </c>
      <c r="B164" s="54" t="s">
        <v>267</v>
      </c>
      <c r="C164" s="31">
        <v>4301031201</v>
      </c>
      <c r="D164" s="548">
        <v>4680115881563</v>
      </c>
      <c r="E164" s="549"/>
      <c r="F164" s="540">
        <v>0.7</v>
      </c>
      <c r="G164" s="32">
        <v>6</v>
      </c>
      <c r="H164" s="540">
        <v>4.2</v>
      </c>
      <c r="I164" s="540">
        <v>4.3899999999999997</v>
      </c>
      <c r="J164" s="32">
        <v>132</v>
      </c>
      <c r="K164" s="32" t="s">
        <v>110</v>
      </c>
      <c r="L164" s="32" t="s">
        <v>111</v>
      </c>
      <c r="M164" s="33" t="s">
        <v>68</v>
      </c>
      <c r="N164" s="33"/>
      <c r="O164" s="32">
        <v>40</v>
      </c>
      <c r="P164" s="77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100</v>
      </c>
      <c r="Y164" s="542">
        <f t="shared" si="5"/>
        <v>100.80000000000001</v>
      </c>
      <c r="Z164" s="36">
        <f>IFERROR(IF(Y164=0,"",ROUNDUP(Y164/H164,0)*0.00902),"")</f>
        <v>0.21648000000000001</v>
      </c>
      <c r="AA164" s="56"/>
      <c r="AB164" s="57"/>
      <c r="AC164" s="197" t="s">
        <v>268</v>
      </c>
      <c r="AG164" s="64"/>
      <c r="AJ164" s="68" t="s">
        <v>90</v>
      </c>
      <c r="AK164" s="68">
        <v>50.4</v>
      </c>
      <c r="BB164" s="198" t="s">
        <v>1</v>
      </c>
      <c r="BM164" s="64">
        <f t="shared" si="6"/>
        <v>104.5238095238095</v>
      </c>
      <c r="BN164" s="64">
        <f t="shared" si="7"/>
        <v>105.36</v>
      </c>
      <c r="BO164" s="64">
        <f t="shared" si="8"/>
        <v>0.18037518037518038</v>
      </c>
      <c r="BP164" s="64">
        <f t="shared" si="9"/>
        <v>0.18181818181818182</v>
      </c>
    </row>
    <row r="165" spans="1:68" ht="27" customHeight="1" x14ac:dyDescent="0.25">
      <c r="A165" s="54" t="s">
        <v>269</v>
      </c>
      <c r="B165" s="54" t="s">
        <v>270</v>
      </c>
      <c r="C165" s="31">
        <v>4301031199</v>
      </c>
      <c r="D165" s="548">
        <v>4680115880986</v>
      </c>
      <c r="E165" s="549"/>
      <c r="F165" s="540">
        <v>0.35</v>
      </c>
      <c r="G165" s="32">
        <v>6</v>
      </c>
      <c r="H165" s="540">
        <v>2.1</v>
      </c>
      <c r="I165" s="540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57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262</v>
      </c>
      <c r="AG165" s="64"/>
      <c r="AJ165" s="68" t="s">
        <v>90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271</v>
      </c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268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5"/>
      <c r="B171" s="556"/>
      <c r="C171" s="556"/>
      <c r="D171" s="556"/>
      <c r="E171" s="556"/>
      <c r="F171" s="556"/>
      <c r="G171" s="556"/>
      <c r="H171" s="556"/>
      <c r="I171" s="556"/>
      <c r="J171" s="556"/>
      <c r="K171" s="556"/>
      <c r="L171" s="556"/>
      <c r="M171" s="556"/>
      <c r="N171" s="556"/>
      <c r="O171" s="557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IFERROR(X162/H162,"0")+IFERROR(X163/H163,"0")+IFERROR(X164/H164,"0")+IFERROR(X165/H165,"0")+IFERROR(X166/H166,"0")+IFERROR(X167/H167,"0")+IFERROR(X168/H168,"0")+IFERROR(X169/H169,"0")+IFERROR(X170/H170,"0")</f>
        <v>23.80952380952381</v>
      </c>
      <c r="Y171" s="543">
        <f>IFERROR(Y162/H162,"0")+IFERROR(Y163/H163,"0")+IFERROR(Y164/H164,"0")+IFERROR(Y165/H165,"0")+IFERROR(Y166/H166,"0")+IFERROR(Y167/H167,"0")+IFERROR(Y168/H168,"0")+IFERROR(Y169/H169,"0")+IFERROR(Y170/H170,"0")</f>
        <v>24</v>
      </c>
      <c r="Z171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0.21648000000000001</v>
      </c>
      <c r="AA171" s="544"/>
      <c r="AB171" s="544"/>
      <c r="AC171" s="544"/>
    </row>
    <row r="172" spans="1:68" x14ac:dyDescent="0.2">
      <c r="A172" s="556"/>
      <c r="B172" s="556"/>
      <c r="C172" s="556"/>
      <c r="D172" s="556"/>
      <c r="E172" s="556"/>
      <c r="F172" s="556"/>
      <c r="G172" s="556"/>
      <c r="H172" s="556"/>
      <c r="I172" s="556"/>
      <c r="J172" s="556"/>
      <c r="K172" s="556"/>
      <c r="L172" s="556"/>
      <c r="M172" s="556"/>
      <c r="N172" s="556"/>
      <c r="O172" s="557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IFERROR(SUM(X162:X170),"0")</f>
        <v>100</v>
      </c>
      <c r="Y172" s="543">
        <f>IFERROR(SUM(Y162:Y170),"0")</f>
        <v>100.80000000000001</v>
      </c>
      <c r="Z172" s="37"/>
      <c r="AA172" s="544"/>
      <c r="AB172" s="544"/>
      <c r="AC172" s="544"/>
    </row>
    <row r="173" spans="1:68" ht="14.25" customHeight="1" x14ac:dyDescent="0.25">
      <c r="A173" s="558" t="s">
        <v>93</v>
      </c>
      <c r="B173" s="556"/>
      <c r="C173" s="556"/>
      <c r="D173" s="556"/>
      <c r="E173" s="556"/>
      <c r="F173" s="556"/>
      <c r="G173" s="556"/>
      <c r="H173" s="556"/>
      <c r="I173" s="556"/>
      <c r="J173" s="556"/>
      <c r="K173" s="556"/>
      <c r="L173" s="556"/>
      <c r="M173" s="556"/>
      <c r="N173" s="556"/>
      <c r="O173" s="556"/>
      <c r="P173" s="556"/>
      <c r="Q173" s="556"/>
      <c r="R173" s="556"/>
      <c r="S173" s="556"/>
      <c r="T173" s="556"/>
      <c r="U173" s="556"/>
      <c r="V173" s="556"/>
      <c r="W173" s="556"/>
      <c r="X173" s="556"/>
      <c r="Y173" s="556"/>
      <c r="Z173" s="556"/>
      <c r="AA173" s="535"/>
      <c r="AB173" s="535"/>
      <c r="AC173" s="535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5"/>
      <c r="B177" s="556"/>
      <c r="C177" s="556"/>
      <c r="D177" s="556"/>
      <c r="E177" s="556"/>
      <c r="F177" s="556"/>
      <c r="G177" s="556"/>
      <c r="H177" s="556"/>
      <c r="I177" s="556"/>
      <c r="J177" s="556"/>
      <c r="K177" s="556"/>
      <c r="L177" s="556"/>
      <c r="M177" s="556"/>
      <c r="N177" s="556"/>
      <c r="O177" s="557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56"/>
      <c r="B178" s="556"/>
      <c r="C178" s="556"/>
      <c r="D178" s="556"/>
      <c r="E178" s="556"/>
      <c r="F178" s="556"/>
      <c r="G178" s="556"/>
      <c r="H178" s="556"/>
      <c r="I178" s="556"/>
      <c r="J178" s="556"/>
      <c r="K178" s="556"/>
      <c r="L178" s="556"/>
      <c r="M178" s="556"/>
      <c r="N178" s="556"/>
      <c r="O178" s="557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58" t="s">
        <v>294</v>
      </c>
      <c r="B179" s="556"/>
      <c r="C179" s="556"/>
      <c r="D179" s="556"/>
      <c r="E179" s="556"/>
      <c r="F179" s="556"/>
      <c r="G179" s="556"/>
      <c r="H179" s="556"/>
      <c r="I179" s="556"/>
      <c r="J179" s="556"/>
      <c r="K179" s="556"/>
      <c r="L179" s="556"/>
      <c r="M179" s="556"/>
      <c r="N179" s="556"/>
      <c r="O179" s="556"/>
      <c r="P179" s="556"/>
      <c r="Q179" s="556"/>
      <c r="R179" s="556"/>
      <c r="S179" s="556"/>
      <c r="T179" s="556"/>
      <c r="U179" s="556"/>
      <c r="V179" s="556"/>
      <c r="W179" s="556"/>
      <c r="X179" s="556"/>
      <c r="Y179" s="556"/>
      <c r="Z179" s="556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5"/>
      <c r="B181" s="556"/>
      <c r="C181" s="556"/>
      <c r="D181" s="556"/>
      <c r="E181" s="556"/>
      <c r="F181" s="556"/>
      <c r="G181" s="556"/>
      <c r="H181" s="556"/>
      <c r="I181" s="556"/>
      <c r="J181" s="556"/>
      <c r="K181" s="556"/>
      <c r="L181" s="556"/>
      <c r="M181" s="556"/>
      <c r="N181" s="556"/>
      <c r="O181" s="557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56"/>
      <c r="B182" s="556"/>
      <c r="C182" s="556"/>
      <c r="D182" s="556"/>
      <c r="E182" s="556"/>
      <c r="F182" s="556"/>
      <c r="G182" s="556"/>
      <c r="H182" s="556"/>
      <c r="I182" s="556"/>
      <c r="J182" s="556"/>
      <c r="K182" s="556"/>
      <c r="L182" s="556"/>
      <c r="M182" s="556"/>
      <c r="N182" s="556"/>
      <c r="O182" s="557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59" t="s">
        <v>297</v>
      </c>
      <c r="B183" s="556"/>
      <c r="C183" s="556"/>
      <c r="D183" s="556"/>
      <c r="E183" s="556"/>
      <c r="F183" s="556"/>
      <c r="G183" s="556"/>
      <c r="H183" s="556"/>
      <c r="I183" s="556"/>
      <c r="J183" s="556"/>
      <c r="K183" s="556"/>
      <c r="L183" s="556"/>
      <c r="M183" s="556"/>
      <c r="N183" s="556"/>
      <c r="O183" s="556"/>
      <c r="P183" s="556"/>
      <c r="Q183" s="556"/>
      <c r="R183" s="556"/>
      <c r="S183" s="556"/>
      <c r="T183" s="556"/>
      <c r="U183" s="556"/>
      <c r="V183" s="556"/>
      <c r="W183" s="556"/>
      <c r="X183" s="556"/>
      <c r="Y183" s="556"/>
      <c r="Z183" s="556"/>
      <c r="AA183" s="536"/>
      <c r="AB183" s="536"/>
      <c r="AC183" s="536"/>
    </row>
    <row r="184" spans="1:68" ht="14.25" customHeight="1" x14ac:dyDescent="0.25">
      <c r="A184" s="558" t="s">
        <v>101</v>
      </c>
      <c r="B184" s="556"/>
      <c r="C184" s="556"/>
      <c r="D184" s="556"/>
      <c r="E184" s="556"/>
      <c r="F184" s="556"/>
      <c r="G184" s="556"/>
      <c r="H184" s="556"/>
      <c r="I184" s="556"/>
      <c r="J184" s="556"/>
      <c r="K184" s="556"/>
      <c r="L184" s="556"/>
      <c r="M184" s="556"/>
      <c r="N184" s="556"/>
      <c r="O184" s="556"/>
      <c r="P184" s="556"/>
      <c r="Q184" s="556"/>
      <c r="R184" s="556"/>
      <c r="S184" s="556"/>
      <c r="T184" s="556"/>
      <c r="U184" s="556"/>
      <c r="V184" s="556"/>
      <c r="W184" s="556"/>
      <c r="X184" s="556"/>
      <c r="Y184" s="556"/>
      <c r="Z184" s="556"/>
      <c r="AA184" s="535"/>
      <c r="AB184" s="535"/>
      <c r="AC184" s="535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5"/>
      <c r="B187" s="556"/>
      <c r="C187" s="556"/>
      <c r="D187" s="556"/>
      <c r="E187" s="556"/>
      <c r="F187" s="556"/>
      <c r="G187" s="556"/>
      <c r="H187" s="556"/>
      <c r="I187" s="556"/>
      <c r="J187" s="556"/>
      <c r="K187" s="556"/>
      <c r="L187" s="556"/>
      <c r="M187" s="556"/>
      <c r="N187" s="556"/>
      <c r="O187" s="557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6"/>
      <c r="B188" s="556"/>
      <c r="C188" s="556"/>
      <c r="D188" s="556"/>
      <c r="E188" s="556"/>
      <c r="F188" s="556"/>
      <c r="G188" s="556"/>
      <c r="H188" s="556"/>
      <c r="I188" s="556"/>
      <c r="J188" s="556"/>
      <c r="K188" s="556"/>
      <c r="L188" s="556"/>
      <c r="M188" s="556"/>
      <c r="N188" s="556"/>
      <c r="O188" s="557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8" t="s">
        <v>136</v>
      </c>
      <c r="B189" s="556"/>
      <c r="C189" s="556"/>
      <c r="D189" s="556"/>
      <c r="E189" s="556"/>
      <c r="F189" s="556"/>
      <c r="G189" s="556"/>
      <c r="H189" s="556"/>
      <c r="I189" s="556"/>
      <c r="J189" s="556"/>
      <c r="K189" s="556"/>
      <c r="L189" s="556"/>
      <c r="M189" s="556"/>
      <c r="N189" s="556"/>
      <c r="O189" s="556"/>
      <c r="P189" s="556"/>
      <c r="Q189" s="556"/>
      <c r="R189" s="556"/>
      <c r="S189" s="556"/>
      <c r="T189" s="556"/>
      <c r="U189" s="556"/>
      <c r="V189" s="556"/>
      <c r="W189" s="556"/>
      <c r="X189" s="556"/>
      <c r="Y189" s="556"/>
      <c r="Z189" s="556"/>
      <c r="AA189" s="535"/>
      <c r="AB189" s="535"/>
      <c r="AC189" s="535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7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5"/>
      <c r="B192" s="556"/>
      <c r="C192" s="556"/>
      <c r="D192" s="556"/>
      <c r="E192" s="556"/>
      <c r="F192" s="556"/>
      <c r="G192" s="556"/>
      <c r="H192" s="556"/>
      <c r="I192" s="556"/>
      <c r="J192" s="556"/>
      <c r="K192" s="556"/>
      <c r="L192" s="556"/>
      <c r="M192" s="556"/>
      <c r="N192" s="556"/>
      <c r="O192" s="557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6"/>
      <c r="B193" s="556"/>
      <c r="C193" s="556"/>
      <c r="D193" s="556"/>
      <c r="E193" s="556"/>
      <c r="F193" s="556"/>
      <c r="G193" s="556"/>
      <c r="H193" s="556"/>
      <c r="I193" s="556"/>
      <c r="J193" s="556"/>
      <c r="K193" s="556"/>
      <c r="L193" s="556"/>
      <c r="M193" s="556"/>
      <c r="N193" s="556"/>
      <c r="O193" s="557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8" t="s">
        <v>64</v>
      </c>
      <c r="B194" s="556"/>
      <c r="C194" s="556"/>
      <c r="D194" s="556"/>
      <c r="E194" s="556"/>
      <c r="F194" s="556"/>
      <c r="G194" s="556"/>
      <c r="H194" s="556"/>
      <c r="I194" s="556"/>
      <c r="J194" s="556"/>
      <c r="K194" s="556"/>
      <c r="L194" s="556"/>
      <c r="M194" s="556"/>
      <c r="N194" s="556"/>
      <c r="O194" s="556"/>
      <c r="P194" s="556"/>
      <c r="Q194" s="556"/>
      <c r="R194" s="556"/>
      <c r="S194" s="556"/>
      <c r="T194" s="556"/>
      <c r="U194" s="556"/>
      <c r="V194" s="556"/>
      <c r="W194" s="556"/>
      <c r="X194" s="556"/>
      <c r="Y194" s="556"/>
      <c r="Z194" s="556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200</v>
      </c>
      <c r="Y195" s="542">
        <f t="shared" ref="Y195:Y202" si="10">IFERROR(IF(X195="",0,CEILING((X195/$H195),1)*$H195),"")</f>
        <v>205.20000000000002</v>
      </c>
      <c r="Z195" s="36">
        <f>IFERROR(IF(Y195=0,"",ROUNDUP(Y195/H195,0)*0.00902),"")</f>
        <v>0.34276000000000001</v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207.03703703703701</v>
      </c>
      <c r="BN195" s="64">
        <f t="shared" ref="BN195:BN202" si="12">IFERROR(Y195*I195/H195,"0")</f>
        <v>212.42</v>
      </c>
      <c r="BO195" s="64">
        <f t="shared" ref="BO195:BO202" si="13">IFERROR(1/J195*(X195/H195),"0")</f>
        <v>0.28058361391694725</v>
      </c>
      <c r="BP195" s="64">
        <f t="shared" ref="BP195:BP202" si="14">IFERROR(1/J195*(Y195/H195),"0")</f>
        <v>0.2878787878787879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200</v>
      </c>
      <c r="Y196" s="542">
        <f t="shared" si="10"/>
        <v>205.20000000000002</v>
      </c>
      <c r="Z196" s="36">
        <f>IFERROR(IF(Y196=0,"",ROUNDUP(Y196/H196,0)*0.00902),"")</f>
        <v>0.34276000000000001</v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207.03703703703701</v>
      </c>
      <c r="BN196" s="64">
        <f t="shared" si="12"/>
        <v>212.42</v>
      </c>
      <c r="BO196" s="64">
        <f t="shared" si="13"/>
        <v>0.28058361391694725</v>
      </c>
      <c r="BP196" s="64">
        <f t="shared" si="14"/>
        <v>0.2878787878787879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300</v>
      </c>
      <c r="Y197" s="542">
        <f t="shared" si="10"/>
        <v>302.40000000000003</v>
      </c>
      <c r="Z197" s="36">
        <f>IFERROR(IF(Y197=0,"",ROUNDUP(Y197/H197,0)*0.00902),"")</f>
        <v>0.50512000000000001</v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310.55555555555554</v>
      </c>
      <c r="BN197" s="64">
        <f t="shared" si="12"/>
        <v>313.04000000000002</v>
      </c>
      <c r="BO197" s="64">
        <f t="shared" si="13"/>
        <v>0.42087542087542085</v>
      </c>
      <c r="BP197" s="64">
        <f t="shared" si="14"/>
        <v>0.42424242424242425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200</v>
      </c>
      <c r="Y198" s="542">
        <f t="shared" si="10"/>
        <v>205.20000000000002</v>
      </c>
      <c r="Z198" s="36">
        <f>IFERROR(IF(Y198=0,"",ROUNDUP(Y198/H198,0)*0.00902),"")</f>
        <v>0.34276000000000001</v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207.03703703703701</v>
      </c>
      <c r="BN198" s="64">
        <f t="shared" si="12"/>
        <v>212.42</v>
      </c>
      <c r="BO198" s="64">
        <f t="shared" si="13"/>
        <v>0.28058361391694725</v>
      </c>
      <c r="BP198" s="64">
        <f t="shared" si="14"/>
        <v>0.2878787878787879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5"/>
      <c r="B203" s="556"/>
      <c r="C203" s="556"/>
      <c r="D203" s="556"/>
      <c r="E203" s="556"/>
      <c r="F203" s="556"/>
      <c r="G203" s="556"/>
      <c r="H203" s="556"/>
      <c r="I203" s="556"/>
      <c r="J203" s="556"/>
      <c r="K203" s="556"/>
      <c r="L203" s="556"/>
      <c r="M203" s="556"/>
      <c r="N203" s="556"/>
      <c r="O203" s="557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166.66666666666666</v>
      </c>
      <c r="Y203" s="543">
        <f>IFERROR(Y195/H195,"0")+IFERROR(Y196/H196,"0")+IFERROR(Y197/H197,"0")+IFERROR(Y198/H198,"0")+IFERROR(Y199/H199,"0")+IFERROR(Y200/H200,"0")+IFERROR(Y201/H201,"0")+IFERROR(Y202/H202,"0")</f>
        <v>170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1.5334000000000001</v>
      </c>
      <c r="AA203" s="544"/>
      <c r="AB203" s="544"/>
      <c r="AC203" s="544"/>
    </row>
    <row r="204" spans="1:68" x14ac:dyDescent="0.2">
      <c r="A204" s="556"/>
      <c r="B204" s="556"/>
      <c r="C204" s="556"/>
      <c r="D204" s="556"/>
      <c r="E204" s="556"/>
      <c r="F204" s="556"/>
      <c r="G204" s="556"/>
      <c r="H204" s="556"/>
      <c r="I204" s="556"/>
      <c r="J204" s="556"/>
      <c r="K204" s="556"/>
      <c r="L204" s="556"/>
      <c r="M204" s="556"/>
      <c r="N204" s="556"/>
      <c r="O204" s="557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900</v>
      </c>
      <c r="Y204" s="543">
        <f>IFERROR(SUM(Y195:Y202),"0")</f>
        <v>918.00000000000011</v>
      </c>
      <c r="Z204" s="37"/>
      <c r="AA204" s="544"/>
      <c r="AB204" s="544"/>
      <c r="AC204" s="544"/>
    </row>
    <row r="205" spans="1:68" ht="14.25" customHeight="1" x14ac:dyDescent="0.25">
      <c r="A205" s="558" t="s">
        <v>73</v>
      </c>
      <c r="B205" s="556"/>
      <c r="C205" s="556"/>
      <c r="D205" s="556"/>
      <c r="E205" s="556"/>
      <c r="F205" s="556"/>
      <c r="G205" s="556"/>
      <c r="H205" s="556"/>
      <c r="I205" s="556"/>
      <c r="J205" s="556"/>
      <c r="K205" s="556"/>
      <c r="L205" s="556"/>
      <c r="M205" s="556"/>
      <c r="N205" s="556"/>
      <c r="O205" s="556"/>
      <c r="P205" s="556"/>
      <c r="Q205" s="556"/>
      <c r="R205" s="556"/>
      <c r="S205" s="556"/>
      <c r="T205" s="556"/>
      <c r="U205" s="556"/>
      <c r="V205" s="556"/>
      <c r="W205" s="556"/>
      <c r="X205" s="556"/>
      <c r="Y205" s="556"/>
      <c r="Z205" s="556"/>
      <c r="AA205" s="535"/>
      <c r="AB205" s="535"/>
      <c r="AC205" s="535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50</v>
      </c>
      <c r="Y206" s="542">
        <f t="shared" ref="Y206:Y214" si="15">IFERROR(IF(X206="",0,CEILING((X206/$H206),1)*$H206),"")</f>
        <v>56.699999999999996</v>
      </c>
      <c r="Z206" s="36">
        <f>IFERROR(IF(Y206=0,"",ROUNDUP(Y206/H206,0)*0.01898),"")</f>
        <v>0.13286000000000001</v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53.049382716049386</v>
      </c>
      <c r="BN206" s="64">
        <f t="shared" ref="BN206:BN214" si="17">IFERROR(Y206*I206/H206,"0")</f>
        <v>60.157999999999994</v>
      </c>
      <c r="BO206" s="64">
        <f t="shared" ref="BO206:BO214" si="18">IFERROR(1/J206*(X206/H206),"0")</f>
        <v>9.6450617283950615E-2</v>
      </c>
      <c r="BP206" s="64">
        <f t="shared" ref="BP206:BP214" si="19">IFERROR(1/J206*(Y206/H206),"0")</f>
        <v>0.109375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150</v>
      </c>
      <c r="Y208" s="542">
        <f t="shared" si="15"/>
        <v>156.6</v>
      </c>
      <c r="Z208" s="36">
        <f>IFERROR(IF(Y208=0,"",ROUNDUP(Y208/H208,0)*0.01898),"")</f>
        <v>0.34164</v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158.51724137931038</v>
      </c>
      <c r="BN208" s="64">
        <f t="shared" si="17"/>
        <v>165.49200000000002</v>
      </c>
      <c r="BO208" s="64">
        <f t="shared" si="18"/>
        <v>0.26939655172413796</v>
      </c>
      <c r="BP208" s="64">
        <f t="shared" si="19"/>
        <v>0.28125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59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1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400</v>
      </c>
      <c r="Y211" s="542">
        <f t="shared" si="15"/>
        <v>400.8</v>
      </c>
      <c r="Z211" s="36">
        <f t="shared" si="20"/>
        <v>1.08717</v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442</v>
      </c>
      <c r="BN211" s="64">
        <f t="shared" si="17"/>
        <v>442.88400000000007</v>
      </c>
      <c r="BO211" s="64">
        <f t="shared" si="18"/>
        <v>0.91575091575091594</v>
      </c>
      <c r="BP211" s="64">
        <f t="shared" si="19"/>
        <v>0.91758241758241765</v>
      </c>
    </row>
    <row r="212" spans="1:68" ht="27" customHeight="1" x14ac:dyDescent="0.25">
      <c r="A212" s="54" t="s">
        <v>344</v>
      </c>
      <c r="B212" s="54" t="s">
        <v>345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4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400</v>
      </c>
      <c r="Y212" s="542">
        <f t="shared" si="15"/>
        <v>400.8</v>
      </c>
      <c r="Z212" s="36">
        <f t="shared" si="20"/>
        <v>1.08717</v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442</v>
      </c>
      <c r="BN212" s="64">
        <f t="shared" si="17"/>
        <v>442.88400000000007</v>
      </c>
      <c r="BO212" s="64">
        <f t="shared" si="18"/>
        <v>0.91575091575091594</v>
      </c>
      <c r="BP212" s="64">
        <f t="shared" si="19"/>
        <v>0.91758241758241765</v>
      </c>
    </row>
    <row r="213" spans="1:68" ht="27" customHeight="1" x14ac:dyDescent="0.25">
      <c r="A213" s="54" t="s">
        <v>346</v>
      </c>
      <c r="B213" s="54" t="s">
        <v>347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200</v>
      </c>
      <c r="Y213" s="542">
        <f t="shared" si="15"/>
        <v>201.6</v>
      </c>
      <c r="Z213" s="36">
        <f t="shared" si="20"/>
        <v>0.54683999999999999</v>
      </c>
      <c r="AA213" s="56"/>
      <c r="AB213" s="57"/>
      <c r="AC213" s="257" t="s">
        <v>348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221</v>
      </c>
      <c r="BN213" s="64">
        <f t="shared" si="17"/>
        <v>222.768</v>
      </c>
      <c r="BO213" s="64">
        <f t="shared" si="18"/>
        <v>0.45787545787545797</v>
      </c>
      <c r="BP213" s="64">
        <f t="shared" si="19"/>
        <v>0.46153846153846156</v>
      </c>
    </row>
    <row r="214" spans="1:68" ht="27" customHeight="1" x14ac:dyDescent="0.25">
      <c r="A214" s="54" t="s">
        <v>349</v>
      </c>
      <c r="B214" s="54" t="s">
        <v>350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200</v>
      </c>
      <c r="Y214" s="542">
        <f t="shared" si="15"/>
        <v>201.6</v>
      </c>
      <c r="Z214" s="36">
        <f t="shared" si="20"/>
        <v>0.54683999999999999</v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221.50000000000003</v>
      </c>
      <c r="BN214" s="64">
        <f t="shared" si="17"/>
        <v>223.27200000000002</v>
      </c>
      <c r="BO214" s="64">
        <f t="shared" si="18"/>
        <v>0.45787545787545797</v>
      </c>
      <c r="BP214" s="64">
        <f t="shared" si="19"/>
        <v>0.46153846153846156</v>
      </c>
    </row>
    <row r="215" spans="1:68" x14ac:dyDescent="0.2">
      <c r="A215" s="555"/>
      <c r="B215" s="556"/>
      <c r="C215" s="556"/>
      <c r="D215" s="556"/>
      <c r="E215" s="556"/>
      <c r="F215" s="556"/>
      <c r="G215" s="556"/>
      <c r="H215" s="556"/>
      <c r="I215" s="556"/>
      <c r="J215" s="556"/>
      <c r="K215" s="556"/>
      <c r="L215" s="556"/>
      <c r="M215" s="556"/>
      <c r="N215" s="556"/>
      <c r="O215" s="557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523.41421881651775</v>
      </c>
      <c r="Y215" s="543">
        <f>IFERROR(Y206/H206,"0")+IFERROR(Y207/H207,"0")+IFERROR(Y208/H208,"0")+IFERROR(Y209/H209,"0")+IFERROR(Y210/H210,"0")+IFERROR(Y211/H211,"0")+IFERROR(Y212/H212,"0")+IFERROR(Y213/H213,"0")+IFERROR(Y214/H214,"0")</f>
        <v>527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3.7425199999999998</v>
      </c>
      <c r="AA215" s="544"/>
      <c r="AB215" s="544"/>
      <c r="AC215" s="544"/>
    </row>
    <row r="216" spans="1:68" x14ac:dyDescent="0.2">
      <c r="A216" s="556"/>
      <c r="B216" s="556"/>
      <c r="C216" s="556"/>
      <c r="D216" s="556"/>
      <c r="E216" s="556"/>
      <c r="F216" s="556"/>
      <c r="G216" s="556"/>
      <c r="H216" s="556"/>
      <c r="I216" s="556"/>
      <c r="J216" s="556"/>
      <c r="K216" s="556"/>
      <c r="L216" s="556"/>
      <c r="M216" s="556"/>
      <c r="N216" s="556"/>
      <c r="O216" s="557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1400</v>
      </c>
      <c r="Y216" s="543">
        <f>IFERROR(SUM(Y206:Y214),"0")</f>
        <v>1418.1</v>
      </c>
      <c r="Z216" s="37"/>
      <c r="AA216" s="544"/>
      <c r="AB216" s="544"/>
      <c r="AC216" s="544"/>
    </row>
    <row r="217" spans="1:68" ht="14.25" customHeight="1" x14ac:dyDescent="0.25">
      <c r="A217" s="558" t="s">
        <v>164</v>
      </c>
      <c r="B217" s="556"/>
      <c r="C217" s="556"/>
      <c r="D217" s="556"/>
      <c r="E217" s="556"/>
      <c r="F217" s="556"/>
      <c r="G217" s="556"/>
      <c r="H217" s="556"/>
      <c r="I217" s="556"/>
      <c r="J217" s="556"/>
      <c r="K217" s="556"/>
      <c r="L217" s="556"/>
      <c r="M217" s="556"/>
      <c r="N217" s="556"/>
      <c r="O217" s="556"/>
      <c r="P217" s="556"/>
      <c r="Q217" s="556"/>
      <c r="R217" s="556"/>
      <c r="S217" s="556"/>
      <c r="T217" s="556"/>
      <c r="U217" s="556"/>
      <c r="V217" s="556"/>
      <c r="W217" s="556"/>
      <c r="X217" s="556"/>
      <c r="Y217" s="556"/>
      <c r="Z217" s="556"/>
      <c r="AA217" s="535"/>
      <c r="AB217" s="535"/>
      <c r="AC217" s="535"/>
    </row>
    <row r="218" spans="1:68" ht="27" customHeight="1" x14ac:dyDescent="0.25">
      <c r="A218" s="54" t="s">
        <v>351</v>
      </c>
      <c r="B218" s="54" t="s">
        <v>352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353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354</v>
      </c>
      <c r="B219" s="54" t="s">
        <v>355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356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5"/>
      <c r="B220" s="556"/>
      <c r="C220" s="556"/>
      <c r="D220" s="556"/>
      <c r="E220" s="556"/>
      <c r="F220" s="556"/>
      <c r="G220" s="556"/>
      <c r="H220" s="556"/>
      <c r="I220" s="556"/>
      <c r="J220" s="556"/>
      <c r="K220" s="556"/>
      <c r="L220" s="556"/>
      <c r="M220" s="556"/>
      <c r="N220" s="556"/>
      <c r="O220" s="557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x14ac:dyDescent="0.2">
      <c r="A221" s="556"/>
      <c r="B221" s="556"/>
      <c r="C221" s="556"/>
      <c r="D221" s="556"/>
      <c r="E221" s="556"/>
      <c r="F221" s="556"/>
      <c r="G221" s="556"/>
      <c r="H221" s="556"/>
      <c r="I221" s="556"/>
      <c r="J221" s="556"/>
      <c r="K221" s="556"/>
      <c r="L221" s="556"/>
      <c r="M221" s="556"/>
      <c r="N221" s="556"/>
      <c r="O221" s="557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customHeight="1" x14ac:dyDescent="0.25">
      <c r="A222" s="559" t="s">
        <v>357</v>
      </c>
      <c r="B222" s="556"/>
      <c r="C222" s="556"/>
      <c r="D222" s="556"/>
      <c r="E222" s="556"/>
      <c r="F222" s="556"/>
      <c r="G222" s="556"/>
      <c r="H222" s="556"/>
      <c r="I222" s="556"/>
      <c r="J222" s="556"/>
      <c r="K222" s="556"/>
      <c r="L222" s="556"/>
      <c r="M222" s="556"/>
      <c r="N222" s="556"/>
      <c r="O222" s="556"/>
      <c r="P222" s="556"/>
      <c r="Q222" s="556"/>
      <c r="R222" s="556"/>
      <c r="S222" s="556"/>
      <c r="T222" s="556"/>
      <c r="U222" s="556"/>
      <c r="V222" s="556"/>
      <c r="W222" s="556"/>
      <c r="X222" s="556"/>
      <c r="Y222" s="556"/>
      <c r="Z222" s="556"/>
      <c r="AA222" s="536"/>
      <c r="AB222" s="536"/>
      <c r="AC222" s="536"/>
    </row>
    <row r="223" spans="1:68" ht="14.25" customHeight="1" x14ac:dyDescent="0.25">
      <c r="A223" s="558" t="s">
        <v>101</v>
      </c>
      <c r="B223" s="556"/>
      <c r="C223" s="556"/>
      <c r="D223" s="556"/>
      <c r="E223" s="556"/>
      <c r="F223" s="556"/>
      <c r="G223" s="556"/>
      <c r="H223" s="556"/>
      <c r="I223" s="556"/>
      <c r="J223" s="556"/>
      <c r="K223" s="556"/>
      <c r="L223" s="556"/>
      <c r="M223" s="556"/>
      <c r="N223" s="556"/>
      <c r="O223" s="556"/>
      <c r="P223" s="556"/>
      <c r="Q223" s="556"/>
      <c r="R223" s="556"/>
      <c r="S223" s="556"/>
      <c r="T223" s="556"/>
      <c r="U223" s="556"/>
      <c r="V223" s="556"/>
      <c r="W223" s="556"/>
      <c r="X223" s="556"/>
      <c r="Y223" s="556"/>
      <c r="Z223" s="556"/>
      <c r="AA223" s="535"/>
      <c r="AB223" s="535"/>
      <c r="AC223" s="535"/>
    </row>
    <row r="224" spans="1:68" ht="27" customHeight="1" x14ac:dyDescent="0.25">
      <c r="A224" s="54" t="s">
        <v>358</v>
      </c>
      <c r="B224" s="54" t="s">
        <v>359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1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361</v>
      </c>
      <c r="B225" s="54" t="s">
        <v>362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367</v>
      </c>
      <c r="B227" s="54" t="s">
        <v>368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7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367</v>
      </c>
      <c r="B228" s="54" t="s">
        <v>369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370</v>
      </c>
      <c r="B229" s="54" t="s">
        <v>371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2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373</v>
      </c>
      <c r="B230" s="54" t="s">
        <v>374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377</v>
      </c>
      <c r="B233" s="54" t="s">
        <v>379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2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5"/>
      <c r="B234" s="556"/>
      <c r="C234" s="556"/>
      <c r="D234" s="556"/>
      <c r="E234" s="556"/>
      <c r="F234" s="556"/>
      <c r="G234" s="556"/>
      <c r="H234" s="556"/>
      <c r="I234" s="556"/>
      <c r="J234" s="556"/>
      <c r="K234" s="556"/>
      <c r="L234" s="556"/>
      <c r="M234" s="556"/>
      <c r="N234" s="556"/>
      <c r="O234" s="557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6"/>
      <c r="B235" s="556"/>
      <c r="C235" s="556"/>
      <c r="D235" s="556"/>
      <c r="E235" s="556"/>
      <c r="F235" s="556"/>
      <c r="G235" s="556"/>
      <c r="H235" s="556"/>
      <c r="I235" s="556"/>
      <c r="J235" s="556"/>
      <c r="K235" s="556"/>
      <c r="L235" s="556"/>
      <c r="M235" s="556"/>
      <c r="N235" s="556"/>
      <c r="O235" s="557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58" t="s">
        <v>136</v>
      </c>
      <c r="B236" s="556"/>
      <c r="C236" s="556"/>
      <c r="D236" s="556"/>
      <c r="E236" s="556"/>
      <c r="F236" s="556"/>
      <c r="G236" s="556"/>
      <c r="H236" s="556"/>
      <c r="I236" s="556"/>
      <c r="J236" s="556"/>
      <c r="K236" s="556"/>
      <c r="L236" s="556"/>
      <c r="M236" s="556"/>
      <c r="N236" s="556"/>
      <c r="O236" s="556"/>
      <c r="P236" s="556"/>
      <c r="Q236" s="556"/>
      <c r="R236" s="556"/>
      <c r="S236" s="556"/>
      <c r="T236" s="556"/>
      <c r="U236" s="556"/>
      <c r="V236" s="556"/>
      <c r="W236" s="556"/>
      <c r="X236" s="556"/>
      <c r="Y236" s="556"/>
      <c r="Z236" s="556"/>
      <c r="AA236" s="535"/>
      <c r="AB236" s="535"/>
      <c r="AC236" s="535"/>
    </row>
    <row r="237" spans="1:68" ht="27" customHeight="1" x14ac:dyDescent="0.25">
      <c r="A237" s="54" t="s">
        <v>380</v>
      </c>
      <c r="B237" s="54" t="s">
        <v>381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0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5"/>
      <c r="B238" s="556"/>
      <c r="C238" s="556"/>
      <c r="D238" s="556"/>
      <c r="E238" s="556"/>
      <c r="F238" s="556"/>
      <c r="G238" s="556"/>
      <c r="H238" s="556"/>
      <c r="I238" s="556"/>
      <c r="J238" s="556"/>
      <c r="K238" s="556"/>
      <c r="L238" s="556"/>
      <c r="M238" s="556"/>
      <c r="N238" s="556"/>
      <c r="O238" s="557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6"/>
      <c r="B239" s="556"/>
      <c r="C239" s="556"/>
      <c r="D239" s="556"/>
      <c r="E239" s="556"/>
      <c r="F239" s="556"/>
      <c r="G239" s="556"/>
      <c r="H239" s="556"/>
      <c r="I239" s="556"/>
      <c r="J239" s="556"/>
      <c r="K239" s="556"/>
      <c r="L239" s="556"/>
      <c r="M239" s="556"/>
      <c r="N239" s="556"/>
      <c r="O239" s="557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8" t="s">
        <v>383</v>
      </c>
      <c r="B240" s="556"/>
      <c r="C240" s="556"/>
      <c r="D240" s="556"/>
      <c r="E240" s="556"/>
      <c r="F240" s="556"/>
      <c r="G240" s="556"/>
      <c r="H240" s="556"/>
      <c r="I240" s="556"/>
      <c r="J240" s="556"/>
      <c r="K240" s="556"/>
      <c r="L240" s="556"/>
      <c r="M240" s="556"/>
      <c r="N240" s="556"/>
      <c r="O240" s="556"/>
      <c r="P240" s="556"/>
      <c r="Q240" s="556"/>
      <c r="R240" s="556"/>
      <c r="S240" s="556"/>
      <c r="T240" s="556"/>
      <c r="U240" s="556"/>
      <c r="V240" s="556"/>
      <c r="W240" s="556"/>
      <c r="X240" s="556"/>
      <c r="Y240" s="556"/>
      <c r="Z240" s="556"/>
      <c r="AA240" s="535"/>
      <c r="AB240" s="535"/>
      <c r="AC240" s="535"/>
    </row>
    <row r="241" spans="1:68" ht="27" customHeight="1" x14ac:dyDescent="0.25">
      <c r="A241" s="54" t="s">
        <v>384</v>
      </c>
      <c r="B241" s="54" t="s">
        <v>385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9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5"/>
      <c r="B242" s="556"/>
      <c r="C242" s="556"/>
      <c r="D242" s="556"/>
      <c r="E242" s="556"/>
      <c r="F242" s="556"/>
      <c r="G242" s="556"/>
      <c r="H242" s="556"/>
      <c r="I242" s="556"/>
      <c r="J242" s="556"/>
      <c r="K242" s="556"/>
      <c r="L242" s="556"/>
      <c r="M242" s="556"/>
      <c r="N242" s="556"/>
      <c r="O242" s="557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6"/>
      <c r="B243" s="556"/>
      <c r="C243" s="556"/>
      <c r="D243" s="556"/>
      <c r="E243" s="556"/>
      <c r="F243" s="556"/>
      <c r="G243" s="556"/>
      <c r="H243" s="556"/>
      <c r="I243" s="556"/>
      <c r="J243" s="556"/>
      <c r="K243" s="556"/>
      <c r="L243" s="556"/>
      <c r="M243" s="556"/>
      <c r="N243" s="556"/>
      <c r="O243" s="557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58" t="s">
        <v>387</v>
      </c>
      <c r="B244" s="556"/>
      <c r="C244" s="556"/>
      <c r="D244" s="556"/>
      <c r="E244" s="556"/>
      <c r="F244" s="556"/>
      <c r="G244" s="556"/>
      <c r="H244" s="556"/>
      <c r="I244" s="556"/>
      <c r="J244" s="556"/>
      <c r="K244" s="556"/>
      <c r="L244" s="556"/>
      <c r="M244" s="556"/>
      <c r="N244" s="556"/>
      <c r="O244" s="556"/>
      <c r="P244" s="556"/>
      <c r="Q244" s="556"/>
      <c r="R244" s="556"/>
      <c r="S244" s="556"/>
      <c r="T244" s="556"/>
      <c r="U244" s="556"/>
      <c r="V244" s="556"/>
      <c r="W244" s="556"/>
      <c r="X244" s="556"/>
      <c r="Y244" s="556"/>
      <c r="Z244" s="556"/>
      <c r="AA244" s="535"/>
      <c r="AB244" s="535"/>
      <c r="AC244" s="535"/>
    </row>
    <row r="245" spans="1:68" ht="27" customHeight="1" x14ac:dyDescent="0.25">
      <c r="A245" s="54" t="s">
        <v>388</v>
      </c>
      <c r="B245" s="54" t="s">
        <v>389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391</v>
      </c>
      <c r="B246" s="54" t="s">
        <v>392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395</v>
      </c>
      <c r="B248" s="54" t="s">
        <v>396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397</v>
      </c>
      <c r="B249" s="54" t="s">
        <v>398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5"/>
      <c r="B250" s="556"/>
      <c r="C250" s="556"/>
      <c r="D250" s="556"/>
      <c r="E250" s="556"/>
      <c r="F250" s="556"/>
      <c r="G250" s="556"/>
      <c r="H250" s="556"/>
      <c r="I250" s="556"/>
      <c r="J250" s="556"/>
      <c r="K250" s="556"/>
      <c r="L250" s="556"/>
      <c r="M250" s="556"/>
      <c r="N250" s="556"/>
      <c r="O250" s="557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x14ac:dyDescent="0.2">
      <c r="A251" s="556"/>
      <c r="B251" s="556"/>
      <c r="C251" s="556"/>
      <c r="D251" s="556"/>
      <c r="E251" s="556"/>
      <c r="F251" s="556"/>
      <c r="G251" s="556"/>
      <c r="H251" s="556"/>
      <c r="I251" s="556"/>
      <c r="J251" s="556"/>
      <c r="K251" s="556"/>
      <c r="L251" s="556"/>
      <c r="M251" s="556"/>
      <c r="N251" s="556"/>
      <c r="O251" s="557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customHeight="1" x14ac:dyDescent="0.25">
      <c r="A252" s="559" t="s">
        <v>399</v>
      </c>
      <c r="B252" s="556"/>
      <c r="C252" s="556"/>
      <c r="D252" s="556"/>
      <c r="E252" s="556"/>
      <c r="F252" s="556"/>
      <c r="G252" s="556"/>
      <c r="H252" s="556"/>
      <c r="I252" s="556"/>
      <c r="J252" s="556"/>
      <c r="K252" s="556"/>
      <c r="L252" s="556"/>
      <c r="M252" s="556"/>
      <c r="N252" s="556"/>
      <c r="O252" s="556"/>
      <c r="P252" s="556"/>
      <c r="Q252" s="556"/>
      <c r="R252" s="556"/>
      <c r="S252" s="556"/>
      <c r="T252" s="556"/>
      <c r="U252" s="556"/>
      <c r="V252" s="556"/>
      <c r="W252" s="556"/>
      <c r="X252" s="556"/>
      <c r="Y252" s="556"/>
      <c r="Z252" s="556"/>
      <c r="AA252" s="536"/>
      <c r="AB252" s="536"/>
      <c r="AC252" s="536"/>
    </row>
    <row r="253" spans="1:68" ht="14.25" customHeight="1" x14ac:dyDescent="0.25">
      <c r="A253" s="558" t="s">
        <v>101</v>
      </c>
      <c r="B253" s="556"/>
      <c r="C253" s="556"/>
      <c r="D253" s="556"/>
      <c r="E253" s="556"/>
      <c r="F253" s="556"/>
      <c r="G253" s="556"/>
      <c r="H253" s="556"/>
      <c r="I253" s="556"/>
      <c r="J253" s="556"/>
      <c r="K253" s="556"/>
      <c r="L253" s="556"/>
      <c r="M253" s="556"/>
      <c r="N253" s="556"/>
      <c r="O253" s="556"/>
      <c r="P253" s="556"/>
      <c r="Q253" s="556"/>
      <c r="R253" s="556"/>
      <c r="S253" s="556"/>
      <c r="T253" s="556"/>
      <c r="U253" s="556"/>
      <c r="V253" s="556"/>
      <c r="W253" s="556"/>
      <c r="X253" s="556"/>
      <c r="Y253" s="556"/>
      <c r="Z253" s="556"/>
      <c r="AA253" s="535"/>
      <c r="AB253" s="535"/>
      <c r="AC253" s="535"/>
    </row>
    <row r="254" spans="1:68" ht="27" customHeight="1" x14ac:dyDescent="0.25">
      <c r="A254" s="54" t="s">
        <v>400</v>
      </c>
      <c r="B254" s="54" t="s">
        <v>401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402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403</v>
      </c>
      <c r="B255" s="54" t="s">
        <v>404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2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406</v>
      </c>
      <c r="B256" s="54" t="s">
        <v>407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5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409</v>
      </c>
      <c r="B257" s="54" t="s">
        <v>410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412</v>
      </c>
      <c r="B258" s="54" t="s">
        <v>413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5"/>
      <c r="B259" s="556"/>
      <c r="C259" s="556"/>
      <c r="D259" s="556"/>
      <c r="E259" s="556"/>
      <c r="F259" s="556"/>
      <c r="G259" s="556"/>
      <c r="H259" s="556"/>
      <c r="I259" s="556"/>
      <c r="J259" s="556"/>
      <c r="K259" s="556"/>
      <c r="L259" s="556"/>
      <c r="M259" s="556"/>
      <c r="N259" s="556"/>
      <c r="O259" s="557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x14ac:dyDescent="0.2">
      <c r="A260" s="556"/>
      <c r="B260" s="556"/>
      <c r="C260" s="556"/>
      <c r="D260" s="556"/>
      <c r="E260" s="556"/>
      <c r="F260" s="556"/>
      <c r="G260" s="556"/>
      <c r="H260" s="556"/>
      <c r="I260" s="556"/>
      <c r="J260" s="556"/>
      <c r="K260" s="556"/>
      <c r="L260" s="556"/>
      <c r="M260" s="556"/>
      <c r="N260" s="556"/>
      <c r="O260" s="557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customHeight="1" x14ac:dyDescent="0.25">
      <c r="A261" s="559" t="s">
        <v>415</v>
      </c>
      <c r="B261" s="556"/>
      <c r="C261" s="556"/>
      <c r="D261" s="556"/>
      <c r="E261" s="556"/>
      <c r="F261" s="556"/>
      <c r="G261" s="556"/>
      <c r="H261" s="556"/>
      <c r="I261" s="556"/>
      <c r="J261" s="556"/>
      <c r="K261" s="556"/>
      <c r="L261" s="556"/>
      <c r="M261" s="556"/>
      <c r="N261" s="556"/>
      <c r="O261" s="556"/>
      <c r="P261" s="556"/>
      <c r="Q261" s="556"/>
      <c r="R261" s="556"/>
      <c r="S261" s="556"/>
      <c r="T261" s="556"/>
      <c r="U261" s="556"/>
      <c r="V261" s="556"/>
      <c r="W261" s="556"/>
      <c r="X261" s="556"/>
      <c r="Y261" s="556"/>
      <c r="Z261" s="556"/>
      <c r="AA261" s="536"/>
      <c r="AB261" s="536"/>
      <c r="AC261" s="536"/>
    </row>
    <row r="262" spans="1:68" ht="14.25" customHeight="1" x14ac:dyDescent="0.25">
      <c r="A262" s="558" t="s">
        <v>101</v>
      </c>
      <c r="B262" s="556"/>
      <c r="C262" s="556"/>
      <c r="D262" s="556"/>
      <c r="E262" s="556"/>
      <c r="F262" s="556"/>
      <c r="G262" s="556"/>
      <c r="H262" s="556"/>
      <c r="I262" s="556"/>
      <c r="J262" s="556"/>
      <c r="K262" s="556"/>
      <c r="L262" s="556"/>
      <c r="M262" s="556"/>
      <c r="N262" s="556"/>
      <c r="O262" s="556"/>
      <c r="P262" s="556"/>
      <c r="Q262" s="556"/>
      <c r="R262" s="556"/>
      <c r="S262" s="556"/>
      <c r="T262" s="556"/>
      <c r="U262" s="556"/>
      <c r="V262" s="556"/>
      <c r="W262" s="556"/>
      <c r="X262" s="556"/>
      <c r="Y262" s="556"/>
      <c r="Z262" s="556"/>
      <c r="AA262" s="535"/>
      <c r="AB262" s="535"/>
      <c r="AC262" s="535"/>
    </row>
    <row r="263" spans="1:68" ht="27" customHeight="1" x14ac:dyDescent="0.25">
      <c r="A263" s="54" t="s">
        <v>416</v>
      </c>
      <c r="B263" s="54" t="s">
        <v>417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418</v>
      </c>
      <c r="B264" s="54" t="s">
        <v>419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7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421</v>
      </c>
      <c r="B265" s="54" t="s">
        <v>422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0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423</v>
      </c>
      <c r="B266" s="54" t="s">
        <v>424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5"/>
      <c r="B267" s="556"/>
      <c r="C267" s="556"/>
      <c r="D267" s="556"/>
      <c r="E267" s="556"/>
      <c r="F267" s="556"/>
      <c r="G267" s="556"/>
      <c r="H267" s="556"/>
      <c r="I267" s="556"/>
      <c r="J267" s="556"/>
      <c r="K267" s="556"/>
      <c r="L267" s="556"/>
      <c r="M267" s="556"/>
      <c r="N267" s="556"/>
      <c r="O267" s="557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6"/>
      <c r="B268" s="556"/>
      <c r="C268" s="556"/>
      <c r="D268" s="556"/>
      <c r="E268" s="556"/>
      <c r="F268" s="556"/>
      <c r="G268" s="556"/>
      <c r="H268" s="556"/>
      <c r="I268" s="556"/>
      <c r="J268" s="556"/>
      <c r="K268" s="556"/>
      <c r="L268" s="556"/>
      <c r="M268" s="556"/>
      <c r="N268" s="556"/>
      <c r="O268" s="557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9" t="s">
        <v>426</v>
      </c>
      <c r="B269" s="556"/>
      <c r="C269" s="556"/>
      <c r="D269" s="556"/>
      <c r="E269" s="556"/>
      <c r="F269" s="556"/>
      <c r="G269" s="556"/>
      <c r="H269" s="556"/>
      <c r="I269" s="556"/>
      <c r="J269" s="556"/>
      <c r="K269" s="556"/>
      <c r="L269" s="556"/>
      <c r="M269" s="556"/>
      <c r="N269" s="556"/>
      <c r="O269" s="556"/>
      <c r="P269" s="556"/>
      <c r="Q269" s="556"/>
      <c r="R269" s="556"/>
      <c r="S269" s="556"/>
      <c r="T269" s="556"/>
      <c r="U269" s="556"/>
      <c r="V269" s="556"/>
      <c r="W269" s="556"/>
      <c r="X269" s="556"/>
      <c r="Y269" s="556"/>
      <c r="Z269" s="556"/>
      <c r="AA269" s="536"/>
      <c r="AB269" s="536"/>
      <c r="AC269" s="536"/>
    </row>
    <row r="270" spans="1:68" ht="14.25" customHeight="1" x14ac:dyDescent="0.25">
      <c r="A270" s="558" t="s">
        <v>73</v>
      </c>
      <c r="B270" s="556"/>
      <c r="C270" s="556"/>
      <c r="D270" s="556"/>
      <c r="E270" s="556"/>
      <c r="F270" s="556"/>
      <c r="G270" s="556"/>
      <c r="H270" s="556"/>
      <c r="I270" s="556"/>
      <c r="J270" s="556"/>
      <c r="K270" s="556"/>
      <c r="L270" s="556"/>
      <c r="M270" s="556"/>
      <c r="N270" s="556"/>
      <c r="O270" s="556"/>
      <c r="P270" s="556"/>
      <c r="Q270" s="556"/>
      <c r="R270" s="556"/>
      <c r="S270" s="556"/>
      <c r="T270" s="556"/>
      <c r="U270" s="556"/>
      <c r="V270" s="556"/>
      <c r="W270" s="556"/>
      <c r="X270" s="556"/>
      <c r="Y270" s="556"/>
      <c r="Z270" s="556"/>
      <c r="AA270" s="535"/>
      <c r="AB270" s="535"/>
      <c r="AC270" s="535"/>
    </row>
    <row r="271" spans="1:68" ht="27" customHeight="1" x14ac:dyDescent="0.25">
      <c r="A271" s="54" t="s">
        <v>427</v>
      </c>
      <c r="B271" s="54" t="s">
        <v>428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430</v>
      </c>
      <c r="B272" s="54" t="s">
        <v>431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50</v>
      </c>
      <c r="Y272" s="542">
        <f>IFERROR(IF(X272="",0,CEILING((X272/$H272),1)*$H272),"")</f>
        <v>50.4</v>
      </c>
      <c r="Z272" s="36">
        <f>IFERROR(IF(Y272=0,"",ROUNDUP(Y272/H272,0)*0.00651),"")</f>
        <v>0.13671</v>
      </c>
      <c r="AA272" s="56"/>
      <c r="AB272" s="57"/>
      <c r="AC272" s="319" t="s">
        <v>432</v>
      </c>
      <c r="AG272" s="64"/>
      <c r="AJ272" s="68"/>
      <c r="AK272" s="68">
        <v>0</v>
      </c>
      <c r="BB272" s="320" t="s">
        <v>1</v>
      </c>
      <c r="BM272" s="64">
        <f>IFERROR(X272*I272/H272,"0")</f>
        <v>55.25</v>
      </c>
      <c r="BN272" s="64">
        <f>IFERROR(Y272*I272/H272,"0")</f>
        <v>55.692</v>
      </c>
      <c r="BO272" s="64">
        <f>IFERROR(1/J272*(X272/H272),"0")</f>
        <v>0.11446886446886449</v>
      </c>
      <c r="BP272" s="64">
        <f>IFERROR(1/J272*(Y272/H272),"0")</f>
        <v>0.11538461538461539</v>
      </c>
    </row>
    <row r="273" spans="1:68" ht="27" customHeight="1" x14ac:dyDescent="0.25">
      <c r="A273" s="54" t="s">
        <v>433</v>
      </c>
      <c r="B273" s="54" t="s">
        <v>434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50</v>
      </c>
      <c r="Y273" s="542">
        <f>IFERROR(IF(X273="",0,CEILING((X273/$H273),1)*$H273),"")</f>
        <v>50.4</v>
      </c>
      <c r="Z273" s="36">
        <f>IFERROR(IF(Y273=0,"",ROUNDUP(Y273/H273,0)*0.00651),"")</f>
        <v>0.13671</v>
      </c>
      <c r="AA273" s="56"/>
      <c r="AB273" s="57"/>
      <c r="AC273" s="321" t="s">
        <v>429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53.75</v>
      </c>
      <c r="BN273" s="64">
        <f>IFERROR(Y273*I273/H273,"0")</f>
        <v>54.180000000000007</v>
      </c>
      <c r="BO273" s="64">
        <f>IFERROR(1/J273*(X273/H273),"0")</f>
        <v>0.11446886446886449</v>
      </c>
      <c r="BP273" s="64">
        <f>IFERROR(1/J273*(Y273/H273),"0")</f>
        <v>0.11538461538461539</v>
      </c>
    </row>
    <row r="274" spans="1:68" x14ac:dyDescent="0.2">
      <c r="A274" s="555"/>
      <c r="B274" s="556"/>
      <c r="C274" s="556"/>
      <c r="D274" s="556"/>
      <c r="E274" s="556"/>
      <c r="F274" s="556"/>
      <c r="G274" s="556"/>
      <c r="H274" s="556"/>
      <c r="I274" s="556"/>
      <c r="J274" s="556"/>
      <c r="K274" s="556"/>
      <c r="L274" s="556"/>
      <c r="M274" s="556"/>
      <c r="N274" s="556"/>
      <c r="O274" s="557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41.666666666666671</v>
      </c>
      <c r="Y274" s="543">
        <f>IFERROR(Y271/H271,"0")+IFERROR(Y272/H272,"0")+IFERROR(Y273/H273,"0")</f>
        <v>42</v>
      </c>
      <c r="Z274" s="543">
        <f>IFERROR(IF(Z271="",0,Z271),"0")+IFERROR(IF(Z272="",0,Z272),"0")+IFERROR(IF(Z273="",0,Z273),"0")</f>
        <v>0.27342</v>
      </c>
      <c r="AA274" s="544"/>
      <c r="AB274" s="544"/>
      <c r="AC274" s="544"/>
    </row>
    <row r="275" spans="1:68" x14ac:dyDescent="0.2">
      <c r="A275" s="556"/>
      <c r="B275" s="556"/>
      <c r="C275" s="556"/>
      <c r="D275" s="556"/>
      <c r="E275" s="556"/>
      <c r="F275" s="556"/>
      <c r="G275" s="556"/>
      <c r="H275" s="556"/>
      <c r="I275" s="556"/>
      <c r="J275" s="556"/>
      <c r="K275" s="556"/>
      <c r="L275" s="556"/>
      <c r="M275" s="556"/>
      <c r="N275" s="556"/>
      <c r="O275" s="557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100</v>
      </c>
      <c r="Y275" s="543">
        <f>IFERROR(SUM(Y271:Y273),"0")</f>
        <v>100.8</v>
      </c>
      <c r="Z275" s="37"/>
      <c r="AA275" s="544"/>
      <c r="AB275" s="544"/>
      <c r="AC275" s="544"/>
    </row>
    <row r="276" spans="1:68" ht="16.5" customHeight="1" x14ac:dyDescent="0.25">
      <c r="A276" s="559" t="s">
        <v>435</v>
      </c>
      <c r="B276" s="556"/>
      <c r="C276" s="556"/>
      <c r="D276" s="556"/>
      <c r="E276" s="556"/>
      <c r="F276" s="556"/>
      <c r="G276" s="556"/>
      <c r="H276" s="556"/>
      <c r="I276" s="556"/>
      <c r="J276" s="556"/>
      <c r="K276" s="556"/>
      <c r="L276" s="556"/>
      <c r="M276" s="556"/>
      <c r="N276" s="556"/>
      <c r="O276" s="556"/>
      <c r="P276" s="556"/>
      <c r="Q276" s="556"/>
      <c r="R276" s="556"/>
      <c r="S276" s="556"/>
      <c r="T276" s="556"/>
      <c r="U276" s="556"/>
      <c r="V276" s="556"/>
      <c r="W276" s="556"/>
      <c r="X276" s="556"/>
      <c r="Y276" s="556"/>
      <c r="Z276" s="556"/>
      <c r="AA276" s="536"/>
      <c r="AB276" s="536"/>
      <c r="AC276" s="536"/>
    </row>
    <row r="277" spans="1:68" ht="14.25" customHeight="1" x14ac:dyDescent="0.25">
      <c r="A277" s="558" t="s">
        <v>64</v>
      </c>
      <c r="B277" s="556"/>
      <c r="C277" s="556"/>
      <c r="D277" s="556"/>
      <c r="E277" s="556"/>
      <c r="F277" s="556"/>
      <c r="G277" s="556"/>
      <c r="H277" s="556"/>
      <c r="I277" s="556"/>
      <c r="J277" s="556"/>
      <c r="K277" s="556"/>
      <c r="L277" s="556"/>
      <c r="M277" s="556"/>
      <c r="N277" s="556"/>
      <c r="O277" s="556"/>
      <c r="P277" s="556"/>
      <c r="Q277" s="556"/>
      <c r="R277" s="556"/>
      <c r="S277" s="556"/>
      <c r="T277" s="556"/>
      <c r="U277" s="556"/>
      <c r="V277" s="556"/>
      <c r="W277" s="556"/>
      <c r="X277" s="556"/>
      <c r="Y277" s="556"/>
      <c r="Z277" s="556"/>
      <c r="AA277" s="535"/>
      <c r="AB277" s="535"/>
      <c r="AC277" s="535"/>
    </row>
    <row r="278" spans="1:68" ht="27" customHeight="1" x14ac:dyDescent="0.25">
      <c r="A278" s="54" t="s">
        <v>436</v>
      </c>
      <c r="B278" s="54" t="s">
        <v>437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439</v>
      </c>
      <c r="B279" s="54" t="s">
        <v>440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5"/>
      <c r="B280" s="556"/>
      <c r="C280" s="556"/>
      <c r="D280" s="556"/>
      <c r="E280" s="556"/>
      <c r="F280" s="556"/>
      <c r="G280" s="556"/>
      <c r="H280" s="556"/>
      <c r="I280" s="556"/>
      <c r="J280" s="556"/>
      <c r="K280" s="556"/>
      <c r="L280" s="556"/>
      <c r="M280" s="556"/>
      <c r="N280" s="556"/>
      <c r="O280" s="557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6"/>
      <c r="B281" s="556"/>
      <c r="C281" s="556"/>
      <c r="D281" s="556"/>
      <c r="E281" s="556"/>
      <c r="F281" s="556"/>
      <c r="G281" s="556"/>
      <c r="H281" s="556"/>
      <c r="I281" s="556"/>
      <c r="J281" s="556"/>
      <c r="K281" s="556"/>
      <c r="L281" s="556"/>
      <c r="M281" s="556"/>
      <c r="N281" s="556"/>
      <c r="O281" s="557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8" t="s">
        <v>73</v>
      </c>
      <c r="B282" s="556"/>
      <c r="C282" s="556"/>
      <c r="D282" s="556"/>
      <c r="E282" s="556"/>
      <c r="F282" s="556"/>
      <c r="G282" s="556"/>
      <c r="H282" s="556"/>
      <c r="I282" s="556"/>
      <c r="J282" s="556"/>
      <c r="K282" s="556"/>
      <c r="L282" s="556"/>
      <c r="M282" s="556"/>
      <c r="N282" s="556"/>
      <c r="O282" s="556"/>
      <c r="P282" s="556"/>
      <c r="Q282" s="556"/>
      <c r="R282" s="556"/>
      <c r="S282" s="556"/>
      <c r="T282" s="556"/>
      <c r="U282" s="556"/>
      <c r="V282" s="556"/>
      <c r="W282" s="556"/>
      <c r="X282" s="556"/>
      <c r="Y282" s="556"/>
      <c r="Z282" s="556"/>
      <c r="AA282" s="535"/>
      <c r="AB282" s="535"/>
      <c r="AC282" s="535"/>
    </row>
    <row r="283" spans="1:68" ht="37.5" customHeight="1" x14ac:dyDescent="0.25">
      <c r="A283" s="54" t="s">
        <v>442</v>
      </c>
      <c r="B283" s="54" t="s">
        <v>443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x14ac:dyDescent="0.2">
      <c r="A284" s="555"/>
      <c r="B284" s="556"/>
      <c r="C284" s="556"/>
      <c r="D284" s="556"/>
      <c r="E284" s="556"/>
      <c r="F284" s="556"/>
      <c r="G284" s="556"/>
      <c r="H284" s="556"/>
      <c r="I284" s="556"/>
      <c r="J284" s="556"/>
      <c r="K284" s="556"/>
      <c r="L284" s="556"/>
      <c r="M284" s="556"/>
      <c r="N284" s="556"/>
      <c r="O284" s="557"/>
      <c r="P284" s="562" t="s">
        <v>71</v>
      </c>
      <c r="Q284" s="563"/>
      <c r="R284" s="563"/>
      <c r="S284" s="563"/>
      <c r="T284" s="563"/>
      <c r="U284" s="563"/>
      <c r="V284" s="564"/>
      <c r="W284" s="37" t="s">
        <v>72</v>
      </c>
      <c r="X284" s="543">
        <f>IFERROR(X283/H283,"0")</f>
        <v>0</v>
      </c>
      <c r="Y284" s="543">
        <f>IFERROR(Y283/H283,"0")</f>
        <v>0</v>
      </c>
      <c r="Z284" s="543">
        <f>IFERROR(IF(Z283="",0,Z283),"0")</f>
        <v>0</v>
      </c>
      <c r="AA284" s="544"/>
      <c r="AB284" s="544"/>
      <c r="AC284" s="544"/>
    </row>
    <row r="285" spans="1:68" x14ac:dyDescent="0.2">
      <c r="A285" s="556"/>
      <c r="B285" s="556"/>
      <c r="C285" s="556"/>
      <c r="D285" s="556"/>
      <c r="E285" s="556"/>
      <c r="F285" s="556"/>
      <c r="G285" s="556"/>
      <c r="H285" s="556"/>
      <c r="I285" s="556"/>
      <c r="J285" s="556"/>
      <c r="K285" s="556"/>
      <c r="L285" s="556"/>
      <c r="M285" s="556"/>
      <c r="N285" s="556"/>
      <c r="O285" s="557"/>
      <c r="P285" s="562" t="s">
        <v>71</v>
      </c>
      <c r="Q285" s="563"/>
      <c r="R285" s="563"/>
      <c r="S285" s="563"/>
      <c r="T285" s="563"/>
      <c r="U285" s="563"/>
      <c r="V285" s="564"/>
      <c r="W285" s="37" t="s">
        <v>69</v>
      </c>
      <c r="X285" s="543">
        <f>IFERROR(SUM(X283:X283),"0")</f>
        <v>0</v>
      </c>
      <c r="Y285" s="543">
        <f>IFERROR(SUM(Y283:Y283),"0")</f>
        <v>0</v>
      </c>
      <c r="Z285" s="37"/>
      <c r="AA285" s="544"/>
      <c r="AB285" s="544"/>
      <c r="AC285" s="544"/>
    </row>
    <row r="286" spans="1:68" ht="16.5" customHeight="1" x14ac:dyDescent="0.25">
      <c r="A286" s="559" t="s">
        <v>445</v>
      </c>
      <c r="B286" s="556"/>
      <c r="C286" s="556"/>
      <c r="D286" s="556"/>
      <c r="E286" s="556"/>
      <c r="F286" s="556"/>
      <c r="G286" s="556"/>
      <c r="H286" s="556"/>
      <c r="I286" s="556"/>
      <c r="J286" s="556"/>
      <c r="K286" s="556"/>
      <c r="L286" s="556"/>
      <c r="M286" s="556"/>
      <c r="N286" s="556"/>
      <c r="O286" s="556"/>
      <c r="P286" s="556"/>
      <c r="Q286" s="556"/>
      <c r="R286" s="556"/>
      <c r="S286" s="556"/>
      <c r="T286" s="556"/>
      <c r="U286" s="556"/>
      <c r="V286" s="556"/>
      <c r="W286" s="556"/>
      <c r="X286" s="556"/>
      <c r="Y286" s="556"/>
      <c r="Z286" s="556"/>
      <c r="AA286" s="536"/>
      <c r="AB286" s="536"/>
      <c r="AC286" s="536"/>
    </row>
    <row r="287" spans="1:68" ht="14.25" customHeight="1" x14ac:dyDescent="0.25">
      <c r="A287" s="558" t="s">
        <v>101</v>
      </c>
      <c r="B287" s="556"/>
      <c r="C287" s="556"/>
      <c r="D287" s="556"/>
      <c r="E287" s="556"/>
      <c r="F287" s="556"/>
      <c r="G287" s="556"/>
      <c r="H287" s="556"/>
      <c r="I287" s="556"/>
      <c r="J287" s="556"/>
      <c r="K287" s="556"/>
      <c r="L287" s="556"/>
      <c r="M287" s="556"/>
      <c r="N287" s="556"/>
      <c r="O287" s="556"/>
      <c r="P287" s="556"/>
      <c r="Q287" s="556"/>
      <c r="R287" s="556"/>
      <c r="S287" s="556"/>
      <c r="T287" s="556"/>
      <c r="U287" s="556"/>
      <c r="V287" s="556"/>
      <c r="W287" s="556"/>
      <c r="X287" s="556"/>
      <c r="Y287" s="556"/>
      <c r="Z287" s="556"/>
      <c r="AA287" s="535"/>
      <c r="AB287" s="535"/>
      <c r="AC287" s="535"/>
    </row>
    <row r="288" spans="1:68" ht="27" customHeight="1" x14ac:dyDescent="0.25">
      <c r="A288" s="54" t="s">
        <v>446</v>
      </c>
      <c r="B288" s="54" t="s">
        <v>447</v>
      </c>
      <c r="C288" s="31">
        <v>4301012126</v>
      </c>
      <c r="D288" s="548">
        <v>4607091386004</v>
      </c>
      <c r="E288" s="549"/>
      <c r="F288" s="540">
        <v>1.35</v>
      </c>
      <c r="G288" s="32">
        <v>8</v>
      </c>
      <c r="H288" s="540">
        <v>10.8</v>
      </c>
      <c r="I288" s="540">
        <v>11.21</v>
      </c>
      <c r="J288" s="32">
        <v>64</v>
      </c>
      <c r="K288" s="32" t="s">
        <v>104</v>
      </c>
      <c r="L288" s="32"/>
      <c r="M288" s="33" t="s">
        <v>106</v>
      </c>
      <c r="N288" s="33"/>
      <c r="O288" s="32">
        <v>55</v>
      </c>
      <c r="P288" s="84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8" s="546"/>
      <c r="R288" s="546"/>
      <c r="S288" s="546"/>
      <c r="T288" s="547"/>
      <c r="U288" s="34"/>
      <c r="V288" s="34"/>
      <c r="W288" s="35" t="s">
        <v>69</v>
      </c>
      <c r="X288" s="541">
        <v>0</v>
      </c>
      <c r="Y288" s="542">
        <f t="shared" ref="Y288:Y293" si="26"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 t="shared" ref="BM288:BM293" si="27">IFERROR(X288*I288/H288,"0")</f>
        <v>0</v>
      </c>
      <c r="BN288" s="64">
        <f t="shared" ref="BN288:BN293" si="28">IFERROR(Y288*I288/H288,"0")</f>
        <v>0</v>
      </c>
      <c r="BO288" s="64">
        <f t="shared" ref="BO288:BO293" si="29">IFERROR(1/J288*(X288/H288),"0")</f>
        <v>0</v>
      </c>
      <c r="BP288" s="64">
        <f t="shared" ref="BP288:BP293" si="30">IFERROR(1/J288*(Y288/H288),"0")</f>
        <v>0</v>
      </c>
    </row>
    <row r="289" spans="1:68" ht="27" customHeight="1" x14ac:dyDescent="0.25">
      <c r="A289" s="54" t="s">
        <v>449</v>
      </c>
      <c r="B289" s="54" t="s">
        <v>450</v>
      </c>
      <c r="C289" s="31">
        <v>4301012024</v>
      </c>
      <c r="D289" s="548">
        <v>4680115885615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 t="s">
        <v>105</v>
      </c>
      <c r="M289" s="33" t="s">
        <v>77</v>
      </c>
      <c r="N289" s="33"/>
      <c r="O289" s="32">
        <v>55</v>
      </c>
      <c r="P289" s="67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 t="shared" si="26"/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 t="s">
        <v>90</v>
      </c>
      <c r="AK289" s="68">
        <v>86.4</v>
      </c>
      <c r="BB289" s="332" t="s">
        <v>1</v>
      </c>
      <c r="BM289" s="64">
        <f t="shared" si="27"/>
        <v>0</v>
      </c>
      <c r="BN289" s="64">
        <f t="shared" si="28"/>
        <v>0</v>
      </c>
      <c r="BO289" s="64">
        <f t="shared" si="29"/>
        <v>0</v>
      </c>
      <c r="BP289" s="64">
        <f t="shared" si="30"/>
        <v>0</v>
      </c>
    </row>
    <row r="290" spans="1:68" ht="37.5" customHeight="1" x14ac:dyDescent="0.25">
      <c r="A290" s="54" t="s">
        <v>452</v>
      </c>
      <c r="B290" s="54" t="s">
        <v>453</v>
      </c>
      <c r="C290" s="31">
        <v>4301011858</v>
      </c>
      <c r="D290" s="548">
        <v>4680115885646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106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27" customHeight="1" x14ac:dyDescent="0.25">
      <c r="A291" s="54" t="s">
        <v>455</v>
      </c>
      <c r="B291" s="54" t="s">
        <v>456</v>
      </c>
      <c r="C291" s="31">
        <v>4301012016</v>
      </c>
      <c r="D291" s="548">
        <v>4680115885554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/>
      <c r="M291" s="33" t="s">
        <v>77</v>
      </c>
      <c r="N291" s="33"/>
      <c r="O291" s="32">
        <v>55</v>
      </c>
      <c r="P291" s="84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 t="s">
        <v>90</v>
      </c>
      <c r="AK291" s="68">
        <v>10.8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customHeight="1" x14ac:dyDescent="0.25">
      <c r="A292" s="54" t="s">
        <v>458</v>
      </c>
      <c r="B292" s="54" t="s">
        <v>459</v>
      </c>
      <c r="C292" s="31">
        <v>4301011857</v>
      </c>
      <c r="D292" s="548">
        <v>4680115885622</v>
      </c>
      <c r="E292" s="549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110</v>
      </c>
      <c r="L292" s="32" t="s">
        <v>111</v>
      </c>
      <c r="M292" s="33" t="s">
        <v>106</v>
      </c>
      <c r="N292" s="33"/>
      <c r="O292" s="32">
        <v>55</v>
      </c>
      <c r="P292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 t="shared" si="26"/>
        <v>0</v>
      </c>
      <c r="Z292" s="36" t="str">
        <f>IFERROR(IF(Y292=0,"",ROUNDUP(Y292/H292,0)*0.00902),"")</f>
        <v/>
      </c>
      <c r="AA292" s="56"/>
      <c r="AB292" s="57"/>
      <c r="AC292" s="337" t="s">
        <v>451</v>
      </c>
      <c r="AG292" s="64"/>
      <c r="AJ292" s="68" t="s">
        <v>90</v>
      </c>
      <c r="AK292" s="68">
        <v>48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460</v>
      </c>
      <c r="B293" s="54" t="s">
        <v>461</v>
      </c>
      <c r="C293" s="31">
        <v>4301011859</v>
      </c>
      <c r="D293" s="548">
        <v>4680115885608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462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x14ac:dyDescent="0.2">
      <c r="A294" s="555"/>
      <c r="B294" s="556"/>
      <c r="C294" s="556"/>
      <c r="D294" s="556"/>
      <c r="E294" s="556"/>
      <c r="F294" s="556"/>
      <c r="G294" s="556"/>
      <c r="H294" s="556"/>
      <c r="I294" s="556"/>
      <c r="J294" s="556"/>
      <c r="K294" s="556"/>
      <c r="L294" s="556"/>
      <c r="M294" s="556"/>
      <c r="N294" s="556"/>
      <c r="O294" s="557"/>
      <c r="P294" s="562" t="s">
        <v>71</v>
      </c>
      <c r="Q294" s="563"/>
      <c r="R294" s="563"/>
      <c r="S294" s="563"/>
      <c r="T294" s="563"/>
      <c r="U294" s="563"/>
      <c r="V294" s="564"/>
      <c r="W294" s="37" t="s">
        <v>72</v>
      </c>
      <c r="X294" s="543">
        <f>IFERROR(X288/H288,"0")+IFERROR(X289/H289,"0")+IFERROR(X290/H290,"0")+IFERROR(X291/H291,"0")+IFERROR(X292/H292,"0")+IFERROR(X293/H293,"0")</f>
        <v>0</v>
      </c>
      <c r="Y294" s="543">
        <f>IFERROR(Y288/H288,"0")+IFERROR(Y289/H289,"0")+IFERROR(Y290/H290,"0")+IFERROR(Y291/H291,"0")+IFERROR(Y292/H292,"0")+IFERROR(Y293/H293,"0")</f>
        <v>0</v>
      </c>
      <c r="Z294" s="543">
        <f>IFERROR(IF(Z288="",0,Z288),"0")+IFERROR(IF(Z289="",0,Z289),"0")+IFERROR(IF(Z290="",0,Z290),"0")+IFERROR(IF(Z291="",0,Z291),"0")+IFERROR(IF(Z292="",0,Z292),"0")+IFERROR(IF(Z293="",0,Z293),"0")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x14ac:dyDescent="0.2">
      <c r="A295" s="556"/>
      <c r="B295" s="556"/>
      <c r="C295" s="556"/>
      <c r="D295" s="556"/>
      <c r="E295" s="556"/>
      <c r="F295" s="556"/>
      <c r="G295" s="556"/>
      <c r="H295" s="556"/>
      <c r="I295" s="556"/>
      <c r="J295" s="556"/>
      <c r="K295" s="556"/>
      <c r="L295" s="556"/>
      <c r="M295" s="556"/>
      <c r="N295" s="556"/>
      <c r="O295" s="557"/>
      <c r="P295" s="562" t="s">
        <v>71</v>
      </c>
      <c r="Q295" s="563"/>
      <c r="R295" s="563"/>
      <c r="S295" s="563"/>
      <c r="T295" s="563"/>
      <c r="U295" s="563"/>
      <c r="V295" s="564"/>
      <c r="W295" s="37" t="s">
        <v>69</v>
      </c>
      <c r="X295" s="543">
        <f>IFERROR(SUM(X288:X293),"0")</f>
        <v>0</v>
      </c>
      <c r="Y295" s="543">
        <f>IFERROR(SUM(Y288:Y293),"0")</f>
        <v>0</v>
      </c>
      <c r="Z295" s="37"/>
      <c r="AA295" s="544"/>
      <c r="AB295" s="544"/>
      <c r="AC295" s="544"/>
    </row>
    <row r="296" spans="1:68" ht="14.25" customHeight="1" x14ac:dyDescent="0.25">
      <c r="A296" s="558" t="s">
        <v>64</v>
      </c>
      <c r="B296" s="556"/>
      <c r="C296" s="556"/>
      <c r="D296" s="556"/>
      <c r="E296" s="556"/>
      <c r="F296" s="556"/>
      <c r="G296" s="556"/>
      <c r="H296" s="556"/>
      <c r="I296" s="556"/>
      <c r="J296" s="556"/>
      <c r="K296" s="556"/>
      <c r="L296" s="556"/>
      <c r="M296" s="556"/>
      <c r="N296" s="556"/>
      <c r="O296" s="556"/>
      <c r="P296" s="556"/>
      <c r="Q296" s="556"/>
      <c r="R296" s="556"/>
      <c r="S296" s="556"/>
      <c r="T296" s="556"/>
      <c r="U296" s="556"/>
      <c r="V296" s="556"/>
      <c r="W296" s="556"/>
      <c r="X296" s="556"/>
      <c r="Y296" s="556"/>
      <c r="Z296" s="556"/>
      <c r="AA296" s="535"/>
      <c r="AB296" s="535"/>
      <c r="AC296" s="535"/>
    </row>
    <row r="297" spans="1:68" ht="27" customHeight="1" x14ac:dyDescent="0.25">
      <c r="A297" s="54" t="s">
        <v>463</v>
      </c>
      <c r="B297" s="54" t="s">
        <v>464</v>
      </c>
      <c r="C297" s="31">
        <v>4301030878</v>
      </c>
      <c r="D297" s="548">
        <v>4607091387193</v>
      </c>
      <c r="E297" s="549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110</v>
      </c>
      <c r="L297" s="32" t="s">
        <v>111</v>
      </c>
      <c r="M297" s="33" t="s">
        <v>68</v>
      </c>
      <c r="N297" s="33"/>
      <c r="O297" s="32">
        <v>35</v>
      </c>
      <c r="P297" s="8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41">
        <v>0</v>
      </c>
      <c r="Y297" s="542">
        <f t="shared" ref="Y297:Y303" si="31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 t="s">
        <v>90</v>
      </c>
      <c r="AK297" s="68">
        <v>50.4</v>
      </c>
      <c r="BB297" s="342" t="s">
        <v>1</v>
      </c>
      <c r="BM297" s="64">
        <f t="shared" ref="BM297:BM303" si="32">IFERROR(X297*I297/H297,"0")</f>
        <v>0</v>
      </c>
      <c r="BN297" s="64">
        <f t="shared" ref="BN297:BN303" si="33">IFERROR(Y297*I297/H297,"0")</f>
        <v>0</v>
      </c>
      <c r="BO297" s="64">
        <f t="shared" ref="BO297:BO303" si="34">IFERROR(1/J297*(X297/H297),"0")</f>
        <v>0</v>
      </c>
      <c r="BP297" s="64">
        <f t="shared" ref="BP297:BP303" si="35">IFERROR(1/J297*(Y297/H297),"0")</f>
        <v>0</v>
      </c>
    </row>
    <row r="298" spans="1:68" ht="27" customHeight="1" x14ac:dyDescent="0.25">
      <c r="A298" s="54" t="s">
        <v>466</v>
      </c>
      <c r="B298" s="54" t="s">
        <v>467</v>
      </c>
      <c r="C298" s="31">
        <v>4301031153</v>
      </c>
      <c r="D298" s="548">
        <v>4607091387230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40</v>
      </c>
      <c r="P298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si="31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si="32"/>
        <v>0</v>
      </c>
      <c r="BN298" s="64">
        <f t="shared" si="33"/>
        <v>0</v>
      </c>
      <c r="BO298" s="64">
        <f t="shared" si="34"/>
        <v>0</v>
      </c>
      <c r="BP298" s="64">
        <f t="shared" si="35"/>
        <v>0</v>
      </c>
    </row>
    <row r="299" spans="1:68" ht="27" customHeight="1" x14ac:dyDescent="0.25">
      <c r="A299" s="54" t="s">
        <v>469</v>
      </c>
      <c r="B299" s="54" t="s">
        <v>470</v>
      </c>
      <c r="C299" s="31">
        <v>4301031154</v>
      </c>
      <c r="D299" s="548">
        <v>4607091387292</v>
      </c>
      <c r="E299" s="549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110</v>
      </c>
      <c r="L299" s="32"/>
      <c r="M299" s="33" t="s">
        <v>68</v>
      </c>
      <c r="N299" s="33"/>
      <c r="O299" s="32">
        <v>45</v>
      </c>
      <c r="P299" s="73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/>
      <c r="AK299" s="68">
        <v>0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4301031152</v>
      </c>
      <c r="D300" s="548">
        <v>4607091387285</v>
      </c>
      <c r="E300" s="549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 t="s">
        <v>271</v>
      </c>
      <c r="M300" s="33" t="s">
        <v>68</v>
      </c>
      <c r="N300" s="33"/>
      <c r="O300" s="32">
        <v>40</v>
      </c>
      <c r="P300" s="66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IFERROR(IF(Y300=0,"",ROUNDUP(Y300/H300,0)*0.00502),"")</f>
        <v/>
      </c>
      <c r="AA300" s="56"/>
      <c r="AB300" s="57"/>
      <c r="AC300" s="347" t="s">
        <v>468</v>
      </c>
      <c r="AG300" s="64"/>
      <c r="AJ300" s="68" t="s">
        <v>90</v>
      </c>
      <c r="AK300" s="68">
        <v>37.799999999999997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4301031305</v>
      </c>
      <c r="D301" s="548">
        <v>4607091389845</v>
      </c>
      <c r="E301" s="549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271</v>
      </c>
      <c r="M301" s="33" t="s">
        <v>68</v>
      </c>
      <c r="N301" s="33"/>
      <c r="O301" s="32">
        <v>40</v>
      </c>
      <c r="P301" s="79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476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477</v>
      </c>
      <c r="B302" s="54" t="s">
        <v>478</v>
      </c>
      <c r="C302" s="31">
        <v>4301031306</v>
      </c>
      <c r="D302" s="548">
        <v>4680115882881</v>
      </c>
      <c r="E302" s="549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4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/>
      <c r="AK302" s="68">
        <v>0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479</v>
      </c>
      <c r="B303" s="54" t="s">
        <v>480</v>
      </c>
      <c r="C303" s="31">
        <v>4301031066</v>
      </c>
      <c r="D303" s="548">
        <v>4607091383836</v>
      </c>
      <c r="E303" s="549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 t="s">
        <v>88</v>
      </c>
      <c r="M303" s="33" t="s">
        <v>68</v>
      </c>
      <c r="N303" s="33"/>
      <c r="O303" s="32">
        <v>40</v>
      </c>
      <c r="P303" s="6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IFERROR(IF(Y303=0,"",ROUNDUP(Y303/H303,0)*0.00651),"")</f>
        <v/>
      </c>
      <c r="AA303" s="56"/>
      <c r="AB303" s="57"/>
      <c r="AC303" s="353" t="s">
        <v>481</v>
      </c>
      <c r="AG303" s="64"/>
      <c r="AJ303" s="68" t="s">
        <v>90</v>
      </c>
      <c r="AK303" s="68">
        <v>25.2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x14ac:dyDescent="0.2">
      <c r="A304" s="555"/>
      <c r="B304" s="556"/>
      <c r="C304" s="556"/>
      <c r="D304" s="556"/>
      <c r="E304" s="556"/>
      <c r="F304" s="556"/>
      <c r="G304" s="556"/>
      <c r="H304" s="556"/>
      <c r="I304" s="556"/>
      <c r="J304" s="556"/>
      <c r="K304" s="556"/>
      <c r="L304" s="556"/>
      <c r="M304" s="556"/>
      <c r="N304" s="556"/>
      <c r="O304" s="557"/>
      <c r="P304" s="562" t="s">
        <v>71</v>
      </c>
      <c r="Q304" s="563"/>
      <c r="R304" s="563"/>
      <c r="S304" s="563"/>
      <c r="T304" s="563"/>
      <c r="U304" s="563"/>
      <c r="V304" s="564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x14ac:dyDescent="0.2">
      <c r="A305" s="556"/>
      <c r="B305" s="556"/>
      <c r="C305" s="556"/>
      <c r="D305" s="556"/>
      <c r="E305" s="556"/>
      <c r="F305" s="556"/>
      <c r="G305" s="556"/>
      <c r="H305" s="556"/>
      <c r="I305" s="556"/>
      <c r="J305" s="556"/>
      <c r="K305" s="556"/>
      <c r="L305" s="556"/>
      <c r="M305" s="556"/>
      <c r="N305" s="556"/>
      <c r="O305" s="557"/>
      <c r="P305" s="562" t="s">
        <v>71</v>
      </c>
      <c r="Q305" s="563"/>
      <c r="R305" s="563"/>
      <c r="S305" s="563"/>
      <c r="T305" s="563"/>
      <c r="U305" s="563"/>
      <c r="V305" s="564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customHeight="1" x14ac:dyDescent="0.25">
      <c r="A306" s="558" t="s">
        <v>73</v>
      </c>
      <c r="B306" s="556"/>
      <c r="C306" s="556"/>
      <c r="D306" s="556"/>
      <c r="E306" s="556"/>
      <c r="F306" s="556"/>
      <c r="G306" s="556"/>
      <c r="H306" s="556"/>
      <c r="I306" s="556"/>
      <c r="J306" s="556"/>
      <c r="K306" s="556"/>
      <c r="L306" s="556"/>
      <c r="M306" s="556"/>
      <c r="N306" s="556"/>
      <c r="O306" s="556"/>
      <c r="P306" s="556"/>
      <c r="Q306" s="556"/>
      <c r="R306" s="556"/>
      <c r="S306" s="556"/>
      <c r="T306" s="556"/>
      <c r="U306" s="556"/>
      <c r="V306" s="556"/>
      <c r="W306" s="556"/>
      <c r="X306" s="556"/>
      <c r="Y306" s="556"/>
      <c r="Z306" s="556"/>
      <c r="AA306" s="535"/>
      <c r="AB306" s="535"/>
      <c r="AC306" s="535"/>
    </row>
    <row r="307" spans="1:68" ht="27" customHeight="1" x14ac:dyDescent="0.25">
      <c r="A307" s="54" t="s">
        <v>482</v>
      </c>
      <c r="B307" s="54" t="s">
        <v>483</v>
      </c>
      <c r="C307" s="31">
        <v>4301051100</v>
      </c>
      <c r="D307" s="548">
        <v>4607091387766</v>
      </c>
      <c r="E307" s="549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104</v>
      </c>
      <c r="L307" s="32" t="s">
        <v>105</v>
      </c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6"/>
      <c r="R307" s="546"/>
      <c r="S307" s="546"/>
      <c r="T307" s="547"/>
      <c r="U307" s="34"/>
      <c r="V307" s="34"/>
      <c r="W307" s="35" t="s">
        <v>69</v>
      </c>
      <c r="X307" s="541">
        <v>50</v>
      </c>
      <c r="Y307" s="542">
        <f>IFERROR(IF(X307="",0,CEILING((X307/$H307),1)*$H307),"")</f>
        <v>54.6</v>
      </c>
      <c r="Z307" s="36">
        <f>IFERROR(IF(Y307=0,"",ROUNDUP(Y307/H307,0)*0.01898),"")</f>
        <v>0.13286000000000001</v>
      </c>
      <c r="AA307" s="56"/>
      <c r="AB307" s="57"/>
      <c r="AC307" s="355" t="s">
        <v>484</v>
      </c>
      <c r="AG307" s="64"/>
      <c r="AJ307" s="68" t="s">
        <v>90</v>
      </c>
      <c r="AK307" s="68">
        <v>62.4</v>
      </c>
      <c r="BB307" s="356" t="s">
        <v>1</v>
      </c>
      <c r="BM307" s="64">
        <f>IFERROR(X307*I307/H307,"0")</f>
        <v>53.128205128205131</v>
      </c>
      <c r="BN307" s="64">
        <f>IFERROR(Y307*I307/H307,"0")</f>
        <v>58.016000000000005</v>
      </c>
      <c r="BO307" s="64">
        <f>IFERROR(1/J307*(X307/H307),"0")</f>
        <v>0.10016025641025642</v>
      </c>
      <c r="BP307" s="64">
        <f>IFERROR(1/J307*(Y307/H307),"0")</f>
        <v>0.109375</v>
      </c>
    </row>
    <row r="308" spans="1:68" ht="27" customHeight="1" x14ac:dyDescent="0.25">
      <c r="A308" s="54" t="s">
        <v>485</v>
      </c>
      <c r="B308" s="54" t="s">
        <v>486</v>
      </c>
      <c r="C308" s="31">
        <v>4301051818</v>
      </c>
      <c r="D308" s="548">
        <v>4607091387957</v>
      </c>
      <c r="E308" s="549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104</v>
      </c>
      <c r="L308" s="32"/>
      <c r="M308" s="33" t="s">
        <v>77</v>
      </c>
      <c r="N308" s="33"/>
      <c r="O308" s="32">
        <v>40</v>
      </c>
      <c r="P308" s="69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488</v>
      </c>
      <c r="B309" s="54" t="s">
        <v>489</v>
      </c>
      <c r="C309" s="31">
        <v>4301051819</v>
      </c>
      <c r="D309" s="548">
        <v>4607091387964</v>
      </c>
      <c r="E309" s="549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1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4301051734</v>
      </c>
      <c r="D310" s="548">
        <v>4680115884588</v>
      </c>
      <c r="E310" s="549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 t="s">
        <v>88</v>
      </c>
      <c r="M310" s="33" t="s">
        <v>77</v>
      </c>
      <c r="N310" s="33"/>
      <c r="O310" s="32">
        <v>40</v>
      </c>
      <c r="P310" s="6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 t="s">
        <v>90</v>
      </c>
      <c r="AK310" s="68">
        <v>42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494</v>
      </c>
      <c r="B311" s="54" t="s">
        <v>495</v>
      </c>
      <c r="C311" s="31">
        <v>4301051578</v>
      </c>
      <c r="D311" s="548">
        <v>4607091387513</v>
      </c>
      <c r="E311" s="549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76</v>
      </c>
      <c r="L311" s="32"/>
      <c r="M311" s="33" t="s">
        <v>84</v>
      </c>
      <c r="N311" s="33"/>
      <c r="O311" s="32">
        <v>40</v>
      </c>
      <c r="P311" s="70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5"/>
      <c r="B312" s="556"/>
      <c r="C312" s="556"/>
      <c r="D312" s="556"/>
      <c r="E312" s="556"/>
      <c r="F312" s="556"/>
      <c r="G312" s="556"/>
      <c r="H312" s="556"/>
      <c r="I312" s="556"/>
      <c r="J312" s="556"/>
      <c r="K312" s="556"/>
      <c r="L312" s="556"/>
      <c r="M312" s="556"/>
      <c r="N312" s="556"/>
      <c r="O312" s="557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IFERROR(X307/H307,"0")+IFERROR(X308/H308,"0")+IFERROR(X309/H309,"0")+IFERROR(X310/H310,"0")+IFERROR(X311/H311,"0")</f>
        <v>6.4102564102564106</v>
      </c>
      <c r="Y312" s="543">
        <f>IFERROR(Y307/H307,"0")+IFERROR(Y308/H308,"0")+IFERROR(Y309/H309,"0")+IFERROR(Y310/H310,"0")+IFERROR(Y311/H311,"0")</f>
        <v>7</v>
      </c>
      <c r="Z312" s="543">
        <f>IFERROR(IF(Z307="",0,Z307),"0")+IFERROR(IF(Z308="",0,Z308),"0")+IFERROR(IF(Z309="",0,Z309),"0")+IFERROR(IF(Z310="",0,Z310),"0")+IFERROR(IF(Z311="",0,Z311),"0")</f>
        <v>0.13286000000000001</v>
      </c>
      <c r="AA312" s="544"/>
      <c r="AB312" s="544"/>
      <c r="AC312" s="544"/>
    </row>
    <row r="313" spans="1:68" x14ac:dyDescent="0.2">
      <c r="A313" s="556"/>
      <c r="B313" s="556"/>
      <c r="C313" s="556"/>
      <c r="D313" s="556"/>
      <c r="E313" s="556"/>
      <c r="F313" s="556"/>
      <c r="G313" s="556"/>
      <c r="H313" s="556"/>
      <c r="I313" s="556"/>
      <c r="J313" s="556"/>
      <c r="K313" s="556"/>
      <c r="L313" s="556"/>
      <c r="M313" s="556"/>
      <c r="N313" s="556"/>
      <c r="O313" s="557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IFERROR(SUM(X307:X311),"0")</f>
        <v>50</v>
      </c>
      <c r="Y313" s="543">
        <f>IFERROR(SUM(Y307:Y311),"0")</f>
        <v>54.6</v>
      </c>
      <c r="Z313" s="37"/>
      <c r="AA313" s="544"/>
      <c r="AB313" s="544"/>
      <c r="AC313" s="544"/>
    </row>
    <row r="314" spans="1:68" ht="14.25" customHeight="1" x14ac:dyDescent="0.25">
      <c r="A314" s="558" t="s">
        <v>164</v>
      </c>
      <c r="B314" s="556"/>
      <c r="C314" s="556"/>
      <c r="D314" s="556"/>
      <c r="E314" s="556"/>
      <c r="F314" s="556"/>
      <c r="G314" s="556"/>
      <c r="H314" s="556"/>
      <c r="I314" s="556"/>
      <c r="J314" s="556"/>
      <c r="K314" s="556"/>
      <c r="L314" s="556"/>
      <c r="M314" s="556"/>
      <c r="N314" s="556"/>
      <c r="O314" s="556"/>
      <c r="P314" s="556"/>
      <c r="Q314" s="556"/>
      <c r="R314" s="556"/>
      <c r="S314" s="556"/>
      <c r="T314" s="556"/>
      <c r="U314" s="556"/>
      <c r="V314" s="556"/>
      <c r="W314" s="556"/>
      <c r="X314" s="556"/>
      <c r="Y314" s="556"/>
      <c r="Z314" s="556"/>
      <c r="AA314" s="535"/>
      <c r="AB314" s="535"/>
      <c r="AC314" s="535"/>
    </row>
    <row r="315" spans="1:68" ht="27" customHeight="1" x14ac:dyDescent="0.25">
      <c r="A315" s="54" t="s">
        <v>497</v>
      </c>
      <c r="B315" s="54" t="s">
        <v>498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170</v>
      </c>
      <c r="Y316" s="542">
        <f>IFERROR(IF(X316="",0,CEILING((X316/$H316),1)*$H316),"")</f>
        <v>171.6</v>
      </c>
      <c r="Z316" s="36">
        <f>IFERROR(IF(Y316=0,"",ROUNDUP(Y316/H316,0)*0.01898),"")</f>
        <v>0.41755999999999999</v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180.76666666666668</v>
      </c>
      <c r="BN316" s="64">
        <f>IFERROR(Y316*I316/H316,"0")</f>
        <v>182.46800000000002</v>
      </c>
      <c r="BO316" s="64">
        <f>IFERROR(1/J316*(X316/H316),"0")</f>
        <v>0.34054487179487181</v>
      </c>
      <c r="BP316" s="64">
        <f>IFERROR(1/J316*(Y316/H316),"0")</f>
        <v>0.34375</v>
      </c>
    </row>
    <row r="317" spans="1:68" ht="16.5" customHeight="1" x14ac:dyDescent="0.25">
      <c r="A317" s="54" t="s">
        <v>503</v>
      </c>
      <c r="B317" s="54" t="s">
        <v>504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5"/>
      <c r="B318" s="556"/>
      <c r="C318" s="556"/>
      <c r="D318" s="556"/>
      <c r="E318" s="556"/>
      <c r="F318" s="556"/>
      <c r="G318" s="556"/>
      <c r="H318" s="556"/>
      <c r="I318" s="556"/>
      <c r="J318" s="556"/>
      <c r="K318" s="556"/>
      <c r="L318" s="556"/>
      <c r="M318" s="556"/>
      <c r="N318" s="556"/>
      <c r="O318" s="557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21.794871794871796</v>
      </c>
      <c r="Y318" s="543">
        <f>IFERROR(Y315/H315,"0")+IFERROR(Y316/H316,"0")+IFERROR(Y317/H317,"0")</f>
        <v>22</v>
      </c>
      <c r="Z318" s="543">
        <f>IFERROR(IF(Z315="",0,Z315),"0")+IFERROR(IF(Z316="",0,Z316),"0")+IFERROR(IF(Z317="",0,Z317),"0")</f>
        <v>0.41755999999999999</v>
      </c>
      <c r="AA318" s="544"/>
      <c r="AB318" s="544"/>
      <c r="AC318" s="544"/>
    </row>
    <row r="319" spans="1:68" x14ac:dyDescent="0.2">
      <c r="A319" s="556"/>
      <c r="B319" s="556"/>
      <c r="C319" s="556"/>
      <c r="D319" s="556"/>
      <c r="E319" s="556"/>
      <c r="F319" s="556"/>
      <c r="G319" s="556"/>
      <c r="H319" s="556"/>
      <c r="I319" s="556"/>
      <c r="J319" s="556"/>
      <c r="K319" s="556"/>
      <c r="L319" s="556"/>
      <c r="M319" s="556"/>
      <c r="N319" s="556"/>
      <c r="O319" s="557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170</v>
      </c>
      <c r="Y319" s="543">
        <f>IFERROR(SUM(Y315:Y317),"0")</f>
        <v>171.6</v>
      </c>
      <c r="Z319" s="37"/>
      <c r="AA319" s="544"/>
      <c r="AB319" s="544"/>
      <c r="AC319" s="544"/>
    </row>
    <row r="320" spans="1:68" ht="14.25" customHeight="1" x14ac:dyDescent="0.25">
      <c r="A320" s="558" t="s">
        <v>93</v>
      </c>
      <c r="B320" s="556"/>
      <c r="C320" s="556"/>
      <c r="D320" s="556"/>
      <c r="E320" s="556"/>
      <c r="F320" s="556"/>
      <c r="G320" s="556"/>
      <c r="H320" s="556"/>
      <c r="I320" s="556"/>
      <c r="J320" s="556"/>
      <c r="K320" s="556"/>
      <c r="L320" s="556"/>
      <c r="M320" s="556"/>
      <c r="N320" s="556"/>
      <c r="O320" s="556"/>
      <c r="P320" s="556"/>
      <c r="Q320" s="556"/>
      <c r="R320" s="556"/>
      <c r="S320" s="556"/>
      <c r="T320" s="556"/>
      <c r="U320" s="556"/>
      <c r="V320" s="556"/>
      <c r="W320" s="556"/>
      <c r="X320" s="556"/>
      <c r="Y320" s="556"/>
      <c r="Z320" s="556"/>
      <c r="AA320" s="535"/>
      <c r="AB320" s="535"/>
      <c r="AC320" s="535"/>
    </row>
    <row r="321" spans="1:68" ht="27" customHeight="1" x14ac:dyDescent="0.25">
      <c r="A321" s="54" t="s">
        <v>506</v>
      </c>
      <c r="B321" s="54" t="s">
        <v>507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15" t="s">
        <v>511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512</v>
      </c>
      <c r="B323" s="54" t="s">
        <v>513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8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514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515</v>
      </c>
      <c r="B324" s="54" t="s">
        <v>516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2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5"/>
      <c r="B325" s="556"/>
      <c r="C325" s="556"/>
      <c r="D325" s="556"/>
      <c r="E325" s="556"/>
      <c r="F325" s="556"/>
      <c r="G325" s="556"/>
      <c r="H325" s="556"/>
      <c r="I325" s="556"/>
      <c r="J325" s="556"/>
      <c r="K325" s="556"/>
      <c r="L325" s="556"/>
      <c r="M325" s="556"/>
      <c r="N325" s="556"/>
      <c r="O325" s="557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6"/>
      <c r="B326" s="556"/>
      <c r="C326" s="556"/>
      <c r="D326" s="556"/>
      <c r="E326" s="556"/>
      <c r="F326" s="556"/>
      <c r="G326" s="556"/>
      <c r="H326" s="556"/>
      <c r="I326" s="556"/>
      <c r="J326" s="556"/>
      <c r="K326" s="556"/>
      <c r="L326" s="556"/>
      <c r="M326" s="556"/>
      <c r="N326" s="556"/>
      <c r="O326" s="557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58" t="s">
        <v>517</v>
      </c>
      <c r="B327" s="556"/>
      <c r="C327" s="556"/>
      <c r="D327" s="556"/>
      <c r="E327" s="556"/>
      <c r="F327" s="556"/>
      <c r="G327" s="556"/>
      <c r="H327" s="556"/>
      <c r="I327" s="556"/>
      <c r="J327" s="556"/>
      <c r="K327" s="556"/>
      <c r="L327" s="556"/>
      <c r="M327" s="556"/>
      <c r="N327" s="556"/>
      <c r="O327" s="556"/>
      <c r="P327" s="556"/>
      <c r="Q327" s="556"/>
      <c r="R327" s="556"/>
      <c r="S327" s="556"/>
      <c r="T327" s="556"/>
      <c r="U327" s="556"/>
      <c r="V327" s="556"/>
      <c r="W327" s="556"/>
      <c r="X327" s="556"/>
      <c r="Y327" s="556"/>
      <c r="Z327" s="556"/>
      <c r="AA327" s="535"/>
      <c r="AB327" s="535"/>
      <c r="AC327" s="535"/>
    </row>
    <row r="328" spans="1:68" ht="16.5" customHeight="1" x14ac:dyDescent="0.25">
      <c r="A328" s="54" t="s">
        <v>518</v>
      </c>
      <c r="B328" s="54" t="s">
        <v>519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520</v>
      </c>
      <c r="N328" s="33"/>
      <c r="O328" s="32">
        <v>730</v>
      </c>
      <c r="P328" s="56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521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522</v>
      </c>
      <c r="B329" s="54" t="s">
        <v>523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520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521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524</v>
      </c>
      <c r="B330" s="54" t="s">
        <v>525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520</v>
      </c>
      <c r="N330" s="33"/>
      <c r="O330" s="32">
        <v>730</v>
      </c>
      <c r="P330" s="7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521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5"/>
      <c r="B331" s="556"/>
      <c r="C331" s="556"/>
      <c r="D331" s="556"/>
      <c r="E331" s="556"/>
      <c r="F331" s="556"/>
      <c r="G331" s="556"/>
      <c r="H331" s="556"/>
      <c r="I331" s="556"/>
      <c r="J331" s="556"/>
      <c r="K331" s="556"/>
      <c r="L331" s="556"/>
      <c r="M331" s="556"/>
      <c r="N331" s="556"/>
      <c r="O331" s="557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6"/>
      <c r="B332" s="556"/>
      <c r="C332" s="556"/>
      <c r="D332" s="556"/>
      <c r="E332" s="556"/>
      <c r="F332" s="556"/>
      <c r="G332" s="556"/>
      <c r="H332" s="556"/>
      <c r="I332" s="556"/>
      <c r="J332" s="556"/>
      <c r="K332" s="556"/>
      <c r="L332" s="556"/>
      <c r="M332" s="556"/>
      <c r="N332" s="556"/>
      <c r="O332" s="557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9" t="s">
        <v>526</v>
      </c>
      <c r="B333" s="556"/>
      <c r="C333" s="556"/>
      <c r="D333" s="556"/>
      <c r="E333" s="556"/>
      <c r="F333" s="556"/>
      <c r="G333" s="556"/>
      <c r="H333" s="556"/>
      <c r="I333" s="556"/>
      <c r="J333" s="556"/>
      <c r="K333" s="556"/>
      <c r="L333" s="556"/>
      <c r="M333" s="556"/>
      <c r="N333" s="556"/>
      <c r="O333" s="556"/>
      <c r="P333" s="556"/>
      <c r="Q333" s="556"/>
      <c r="R333" s="556"/>
      <c r="S333" s="556"/>
      <c r="T333" s="556"/>
      <c r="U333" s="556"/>
      <c r="V333" s="556"/>
      <c r="W333" s="556"/>
      <c r="X333" s="556"/>
      <c r="Y333" s="556"/>
      <c r="Z333" s="556"/>
      <c r="AA333" s="536"/>
      <c r="AB333" s="536"/>
      <c r="AC333" s="536"/>
    </row>
    <row r="334" spans="1:68" ht="14.25" customHeight="1" x14ac:dyDescent="0.25">
      <c r="A334" s="558" t="s">
        <v>73</v>
      </c>
      <c r="B334" s="556"/>
      <c r="C334" s="556"/>
      <c r="D334" s="556"/>
      <c r="E334" s="556"/>
      <c r="F334" s="556"/>
      <c r="G334" s="556"/>
      <c r="H334" s="556"/>
      <c r="I334" s="556"/>
      <c r="J334" s="556"/>
      <c r="K334" s="556"/>
      <c r="L334" s="556"/>
      <c r="M334" s="556"/>
      <c r="N334" s="556"/>
      <c r="O334" s="556"/>
      <c r="P334" s="556"/>
      <c r="Q334" s="556"/>
      <c r="R334" s="556"/>
      <c r="S334" s="556"/>
      <c r="T334" s="556"/>
      <c r="U334" s="556"/>
      <c r="V334" s="556"/>
      <c r="W334" s="556"/>
      <c r="X334" s="556"/>
      <c r="Y334" s="556"/>
      <c r="Z334" s="556"/>
      <c r="AA334" s="535"/>
      <c r="AB334" s="535"/>
      <c r="AC334" s="535"/>
    </row>
    <row r="335" spans="1:68" ht="27" customHeight="1" x14ac:dyDescent="0.25">
      <c r="A335" s="54" t="s">
        <v>527</v>
      </c>
      <c r="B335" s="54" t="s">
        <v>528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7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529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530</v>
      </c>
      <c r="B336" s="54" t="s">
        <v>531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532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533</v>
      </c>
      <c r="B337" s="54" t="s">
        <v>534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50</v>
      </c>
      <c r="Y337" s="542">
        <f>IFERROR(IF(X337="",0,CEILING((X337/$H337),1)*$H337),"")</f>
        <v>50.400000000000006</v>
      </c>
      <c r="Z337" s="36">
        <f>IFERROR(IF(Y337=0,"",ROUNDUP(Y337/H337,0)*0.00651),"")</f>
        <v>0.15623999999999999</v>
      </c>
      <c r="AA337" s="56"/>
      <c r="AB337" s="57"/>
      <c r="AC337" s="389" t="s">
        <v>535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55.714285714285715</v>
      </c>
      <c r="BN337" s="64">
        <f>IFERROR(Y337*I337/H337,"0")</f>
        <v>56.160000000000004</v>
      </c>
      <c r="BO337" s="64">
        <f>IFERROR(1/J337*(X337/H337),"0")</f>
        <v>0.13082155939298798</v>
      </c>
      <c r="BP337" s="64">
        <f>IFERROR(1/J337*(Y337/H337),"0")</f>
        <v>0.13186813186813187</v>
      </c>
    </row>
    <row r="338" spans="1:68" x14ac:dyDescent="0.2">
      <c r="A338" s="555"/>
      <c r="B338" s="556"/>
      <c r="C338" s="556"/>
      <c r="D338" s="556"/>
      <c r="E338" s="556"/>
      <c r="F338" s="556"/>
      <c r="G338" s="556"/>
      <c r="H338" s="556"/>
      <c r="I338" s="556"/>
      <c r="J338" s="556"/>
      <c r="K338" s="556"/>
      <c r="L338" s="556"/>
      <c r="M338" s="556"/>
      <c r="N338" s="556"/>
      <c r="O338" s="557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23.80952380952381</v>
      </c>
      <c r="Y338" s="543">
        <f>IFERROR(Y335/H335,"0")+IFERROR(Y336/H336,"0")+IFERROR(Y337/H337,"0")</f>
        <v>24</v>
      </c>
      <c r="Z338" s="543">
        <f>IFERROR(IF(Z335="",0,Z335),"0")+IFERROR(IF(Z336="",0,Z336),"0")+IFERROR(IF(Z337="",0,Z337),"0")</f>
        <v>0.15623999999999999</v>
      </c>
      <c r="AA338" s="544"/>
      <c r="AB338" s="544"/>
      <c r="AC338" s="544"/>
    </row>
    <row r="339" spans="1:68" x14ac:dyDescent="0.2">
      <c r="A339" s="556"/>
      <c r="B339" s="556"/>
      <c r="C339" s="556"/>
      <c r="D339" s="556"/>
      <c r="E339" s="556"/>
      <c r="F339" s="556"/>
      <c r="G339" s="556"/>
      <c r="H339" s="556"/>
      <c r="I339" s="556"/>
      <c r="J339" s="556"/>
      <c r="K339" s="556"/>
      <c r="L339" s="556"/>
      <c r="M339" s="556"/>
      <c r="N339" s="556"/>
      <c r="O339" s="557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50</v>
      </c>
      <c r="Y339" s="543">
        <f>IFERROR(SUM(Y335:Y337),"0")</f>
        <v>50.400000000000006</v>
      </c>
      <c r="Z339" s="37"/>
      <c r="AA339" s="544"/>
      <c r="AB339" s="544"/>
      <c r="AC339" s="544"/>
    </row>
    <row r="340" spans="1:68" ht="27.75" customHeight="1" x14ac:dyDescent="0.2">
      <c r="A340" s="633" t="s">
        <v>536</v>
      </c>
      <c r="B340" s="634"/>
      <c r="C340" s="634"/>
      <c r="D340" s="634"/>
      <c r="E340" s="634"/>
      <c r="F340" s="634"/>
      <c r="G340" s="634"/>
      <c r="H340" s="634"/>
      <c r="I340" s="634"/>
      <c r="J340" s="634"/>
      <c r="K340" s="634"/>
      <c r="L340" s="634"/>
      <c r="M340" s="634"/>
      <c r="N340" s="634"/>
      <c r="O340" s="634"/>
      <c r="P340" s="634"/>
      <c r="Q340" s="634"/>
      <c r="R340" s="634"/>
      <c r="S340" s="634"/>
      <c r="T340" s="634"/>
      <c r="U340" s="634"/>
      <c r="V340" s="634"/>
      <c r="W340" s="634"/>
      <c r="X340" s="634"/>
      <c r="Y340" s="634"/>
      <c r="Z340" s="634"/>
      <c r="AA340" s="48"/>
      <c r="AB340" s="48"/>
      <c r="AC340" s="48"/>
    </row>
    <row r="341" spans="1:68" ht="16.5" customHeight="1" x14ac:dyDescent="0.25">
      <c r="A341" s="559" t="s">
        <v>537</v>
      </c>
      <c r="B341" s="556"/>
      <c r="C341" s="556"/>
      <c r="D341" s="556"/>
      <c r="E341" s="556"/>
      <c r="F341" s="556"/>
      <c r="G341" s="556"/>
      <c r="H341" s="556"/>
      <c r="I341" s="556"/>
      <c r="J341" s="556"/>
      <c r="K341" s="556"/>
      <c r="L341" s="556"/>
      <c r="M341" s="556"/>
      <c r="N341" s="556"/>
      <c r="O341" s="556"/>
      <c r="P341" s="556"/>
      <c r="Q341" s="556"/>
      <c r="R341" s="556"/>
      <c r="S341" s="556"/>
      <c r="T341" s="556"/>
      <c r="U341" s="556"/>
      <c r="V341" s="556"/>
      <c r="W341" s="556"/>
      <c r="X341" s="556"/>
      <c r="Y341" s="556"/>
      <c r="Z341" s="556"/>
      <c r="AA341" s="536"/>
      <c r="AB341" s="536"/>
      <c r="AC341" s="536"/>
    </row>
    <row r="342" spans="1:68" ht="14.25" customHeight="1" x14ac:dyDescent="0.25">
      <c r="A342" s="558" t="s">
        <v>101</v>
      </c>
      <c r="B342" s="556"/>
      <c r="C342" s="556"/>
      <c r="D342" s="556"/>
      <c r="E342" s="556"/>
      <c r="F342" s="556"/>
      <c r="G342" s="556"/>
      <c r="H342" s="556"/>
      <c r="I342" s="556"/>
      <c r="J342" s="556"/>
      <c r="K342" s="556"/>
      <c r="L342" s="556"/>
      <c r="M342" s="556"/>
      <c r="N342" s="556"/>
      <c r="O342" s="556"/>
      <c r="P342" s="556"/>
      <c r="Q342" s="556"/>
      <c r="R342" s="556"/>
      <c r="S342" s="556"/>
      <c r="T342" s="556"/>
      <c r="U342" s="556"/>
      <c r="V342" s="556"/>
      <c r="W342" s="556"/>
      <c r="X342" s="556"/>
      <c r="Y342" s="556"/>
      <c r="Z342" s="556"/>
      <c r="AA342" s="535"/>
      <c r="AB342" s="535"/>
      <c r="AC342" s="535"/>
    </row>
    <row r="343" spans="1:68" ht="37.5" customHeight="1" x14ac:dyDescent="0.25">
      <c r="A343" s="54" t="s">
        <v>538</v>
      </c>
      <c r="B343" s="54" t="s">
        <v>539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4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300</v>
      </c>
      <c r="Y343" s="542">
        <f t="shared" ref="Y343:Y349" si="36">IFERROR(IF(X343="",0,CEILING((X343/$H343),1)*$H343),"")</f>
        <v>300</v>
      </c>
      <c r="Z343" s="36">
        <f>IFERROR(IF(Y343=0,"",ROUNDUP(Y343/H343,0)*0.02175),"")</f>
        <v>0.43499999999999994</v>
      </c>
      <c r="AA343" s="56"/>
      <c r="AB343" s="57"/>
      <c r="AC343" s="391" t="s">
        <v>540</v>
      </c>
      <c r="AG343" s="64"/>
      <c r="AJ343" s="68" t="s">
        <v>90</v>
      </c>
      <c r="AK343" s="68">
        <v>15</v>
      </c>
      <c r="BB343" s="392" t="s">
        <v>1</v>
      </c>
      <c r="BM343" s="64">
        <f t="shared" ref="BM343:BM349" si="37">IFERROR(X343*I343/H343,"0")</f>
        <v>309.39999999999998</v>
      </c>
      <c r="BN343" s="64">
        <f t="shared" ref="BN343:BN349" si="38">IFERROR(Y343*I343/H343,"0")</f>
        <v>309.39999999999998</v>
      </c>
      <c r="BO343" s="64">
        <f t="shared" ref="BO343:BO349" si="39">IFERROR(1/J343*(X343/H343),"0")</f>
        <v>0.41666666666666663</v>
      </c>
      <c r="BP343" s="64">
        <f t="shared" ref="BP343:BP349" si="40">IFERROR(1/J343*(Y343/H343),"0")</f>
        <v>0.41666666666666663</v>
      </c>
    </row>
    <row r="344" spans="1:68" ht="27" customHeight="1" x14ac:dyDescent="0.25">
      <c r="A344" s="54" t="s">
        <v>541</v>
      </c>
      <c r="B344" s="54" t="s">
        <v>542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3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100</v>
      </c>
      <c r="Y344" s="542">
        <f t="shared" si="36"/>
        <v>105</v>
      </c>
      <c r="Z344" s="36">
        <f>IFERROR(IF(Y344=0,"",ROUNDUP(Y344/H344,0)*0.02175),"")</f>
        <v>0.15225</v>
      </c>
      <c r="AA344" s="56"/>
      <c r="AB344" s="57"/>
      <c r="AC344" s="393" t="s">
        <v>543</v>
      </c>
      <c r="AG344" s="64"/>
      <c r="AJ344" s="68" t="s">
        <v>90</v>
      </c>
      <c r="AK344" s="68">
        <v>15</v>
      </c>
      <c r="BB344" s="394" t="s">
        <v>1</v>
      </c>
      <c r="BM344" s="64">
        <f t="shared" si="37"/>
        <v>103.13333333333334</v>
      </c>
      <c r="BN344" s="64">
        <f t="shared" si="38"/>
        <v>108.29</v>
      </c>
      <c r="BO344" s="64">
        <f t="shared" si="39"/>
        <v>0.1388888888888889</v>
      </c>
      <c r="BP344" s="64">
        <f t="shared" si="40"/>
        <v>0.14583333333333331</v>
      </c>
    </row>
    <row r="345" spans="1:68" ht="37.5" customHeight="1" x14ac:dyDescent="0.25">
      <c r="A345" s="54" t="s">
        <v>544</v>
      </c>
      <c r="B345" s="54" t="s">
        <v>545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0</v>
      </c>
      <c r="Y345" s="542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546</v>
      </c>
      <c r="AG345" s="64"/>
      <c r="AJ345" s="68" t="s">
        <v>90</v>
      </c>
      <c r="AK345" s="68">
        <v>15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547</v>
      </c>
      <c r="B346" s="54" t="s">
        <v>548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83" t="s">
        <v>549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100</v>
      </c>
      <c r="Y346" s="542">
        <f t="shared" si="36"/>
        <v>105</v>
      </c>
      <c r="Z346" s="36">
        <f>IFERROR(IF(Y346=0,"",ROUNDUP(Y346/H346,0)*0.02175),"")</f>
        <v>0.15225</v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7"/>
        <v>103.13333333333334</v>
      </c>
      <c r="BN346" s="64">
        <f t="shared" si="38"/>
        <v>108.29</v>
      </c>
      <c r="BO346" s="64">
        <f t="shared" si="39"/>
        <v>0.1388888888888889</v>
      </c>
      <c r="BP346" s="64">
        <f t="shared" si="40"/>
        <v>0.14583333333333331</v>
      </c>
    </row>
    <row r="347" spans="1:68" ht="27" customHeight="1" x14ac:dyDescent="0.25">
      <c r="A347" s="54" t="s">
        <v>551</v>
      </c>
      <c r="B347" s="54" t="s">
        <v>552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553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554</v>
      </c>
      <c r="B348" s="54" t="s">
        <v>555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8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556</v>
      </c>
      <c r="B349" s="54" t="s">
        <v>557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546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5"/>
      <c r="B350" s="556"/>
      <c r="C350" s="556"/>
      <c r="D350" s="556"/>
      <c r="E350" s="556"/>
      <c r="F350" s="556"/>
      <c r="G350" s="556"/>
      <c r="H350" s="556"/>
      <c r="I350" s="556"/>
      <c r="J350" s="556"/>
      <c r="K350" s="556"/>
      <c r="L350" s="556"/>
      <c r="M350" s="556"/>
      <c r="N350" s="556"/>
      <c r="O350" s="557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33.333333333333336</v>
      </c>
      <c r="Y350" s="543">
        <f>IFERROR(Y343/H343,"0")+IFERROR(Y344/H344,"0")+IFERROR(Y345/H345,"0")+IFERROR(Y346/H346,"0")+IFERROR(Y347/H347,"0")+IFERROR(Y348/H348,"0")+IFERROR(Y349/H349,"0")</f>
        <v>34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0.73949999999999994</v>
      </c>
      <c r="AA350" s="544"/>
      <c r="AB350" s="544"/>
      <c r="AC350" s="544"/>
    </row>
    <row r="351" spans="1:68" x14ac:dyDescent="0.2">
      <c r="A351" s="556"/>
      <c r="B351" s="556"/>
      <c r="C351" s="556"/>
      <c r="D351" s="556"/>
      <c r="E351" s="556"/>
      <c r="F351" s="556"/>
      <c r="G351" s="556"/>
      <c r="H351" s="556"/>
      <c r="I351" s="556"/>
      <c r="J351" s="556"/>
      <c r="K351" s="556"/>
      <c r="L351" s="556"/>
      <c r="M351" s="556"/>
      <c r="N351" s="556"/>
      <c r="O351" s="557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500</v>
      </c>
      <c r="Y351" s="543">
        <f>IFERROR(SUM(Y343:Y349),"0")</f>
        <v>510</v>
      </c>
      <c r="Z351" s="37"/>
      <c r="AA351" s="544"/>
      <c r="AB351" s="544"/>
      <c r="AC351" s="544"/>
    </row>
    <row r="352" spans="1:68" ht="14.25" customHeight="1" x14ac:dyDescent="0.25">
      <c r="A352" s="558" t="s">
        <v>136</v>
      </c>
      <c r="B352" s="556"/>
      <c r="C352" s="556"/>
      <c r="D352" s="556"/>
      <c r="E352" s="556"/>
      <c r="F352" s="556"/>
      <c r="G352" s="556"/>
      <c r="H352" s="556"/>
      <c r="I352" s="556"/>
      <c r="J352" s="556"/>
      <c r="K352" s="556"/>
      <c r="L352" s="556"/>
      <c r="M352" s="556"/>
      <c r="N352" s="556"/>
      <c r="O352" s="556"/>
      <c r="P352" s="556"/>
      <c r="Q352" s="556"/>
      <c r="R352" s="556"/>
      <c r="S352" s="556"/>
      <c r="T352" s="556"/>
      <c r="U352" s="556"/>
      <c r="V352" s="556"/>
      <c r="W352" s="556"/>
      <c r="X352" s="556"/>
      <c r="Y352" s="556"/>
      <c r="Z352" s="556"/>
      <c r="AA352" s="535"/>
      <c r="AB352" s="535"/>
      <c r="AC352" s="535"/>
    </row>
    <row r="353" spans="1:68" ht="27" customHeight="1" x14ac:dyDescent="0.25">
      <c r="A353" s="54" t="s">
        <v>558</v>
      </c>
      <c r="B353" s="54" t="s">
        <v>559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500</v>
      </c>
      <c r="Y353" s="542">
        <f>IFERROR(IF(X353="",0,CEILING((X353/$H353),1)*$H353),"")</f>
        <v>510</v>
      </c>
      <c r="Z353" s="36">
        <f>IFERROR(IF(Y353=0,"",ROUNDUP(Y353/H353,0)*0.02175),"")</f>
        <v>0.73949999999999994</v>
      </c>
      <c r="AA353" s="56"/>
      <c r="AB353" s="57"/>
      <c r="AC353" s="405" t="s">
        <v>560</v>
      </c>
      <c r="AG353" s="64"/>
      <c r="AJ353" s="68" t="s">
        <v>90</v>
      </c>
      <c r="AK353" s="68">
        <v>15</v>
      </c>
      <c r="BB353" s="406" t="s">
        <v>1</v>
      </c>
      <c r="BM353" s="64">
        <f>IFERROR(X353*I353/H353,"0")</f>
        <v>515.66666666666663</v>
      </c>
      <c r="BN353" s="64">
        <f>IFERROR(Y353*I353/H353,"0")</f>
        <v>525.98</v>
      </c>
      <c r="BO353" s="64">
        <f>IFERROR(1/J353*(X353/H353),"0")</f>
        <v>0.69444444444444442</v>
      </c>
      <c r="BP353" s="64">
        <f>IFERROR(1/J353*(Y353/H353),"0")</f>
        <v>0.70833333333333326</v>
      </c>
    </row>
    <row r="354" spans="1:68" ht="16.5" customHeight="1" x14ac:dyDescent="0.25">
      <c r="A354" s="54" t="s">
        <v>561</v>
      </c>
      <c r="B354" s="54" t="s">
        <v>562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5"/>
      <c r="B355" s="556"/>
      <c r="C355" s="556"/>
      <c r="D355" s="556"/>
      <c r="E355" s="556"/>
      <c r="F355" s="556"/>
      <c r="G355" s="556"/>
      <c r="H355" s="556"/>
      <c r="I355" s="556"/>
      <c r="J355" s="556"/>
      <c r="K355" s="556"/>
      <c r="L355" s="556"/>
      <c r="M355" s="556"/>
      <c r="N355" s="556"/>
      <c r="O355" s="557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33.333333333333336</v>
      </c>
      <c r="Y355" s="543">
        <f>IFERROR(Y353/H353,"0")+IFERROR(Y354/H354,"0")</f>
        <v>34</v>
      </c>
      <c r="Z355" s="543">
        <f>IFERROR(IF(Z353="",0,Z353),"0")+IFERROR(IF(Z354="",0,Z354),"0")</f>
        <v>0.73949999999999994</v>
      </c>
      <c r="AA355" s="544"/>
      <c r="AB355" s="544"/>
      <c r="AC355" s="544"/>
    </row>
    <row r="356" spans="1:68" x14ac:dyDescent="0.2">
      <c r="A356" s="556"/>
      <c r="B356" s="556"/>
      <c r="C356" s="556"/>
      <c r="D356" s="556"/>
      <c r="E356" s="556"/>
      <c r="F356" s="556"/>
      <c r="G356" s="556"/>
      <c r="H356" s="556"/>
      <c r="I356" s="556"/>
      <c r="J356" s="556"/>
      <c r="K356" s="556"/>
      <c r="L356" s="556"/>
      <c r="M356" s="556"/>
      <c r="N356" s="556"/>
      <c r="O356" s="557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500</v>
      </c>
      <c r="Y356" s="543">
        <f>IFERROR(SUM(Y353:Y354),"0")</f>
        <v>510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6"/>
      <c r="C357" s="556"/>
      <c r="D357" s="556"/>
      <c r="E357" s="556"/>
      <c r="F357" s="556"/>
      <c r="G357" s="556"/>
      <c r="H357" s="556"/>
      <c r="I357" s="556"/>
      <c r="J357" s="556"/>
      <c r="K357" s="556"/>
      <c r="L357" s="556"/>
      <c r="M357" s="556"/>
      <c r="N357" s="556"/>
      <c r="O357" s="556"/>
      <c r="P357" s="556"/>
      <c r="Q357" s="556"/>
      <c r="R357" s="556"/>
      <c r="S357" s="556"/>
      <c r="T357" s="556"/>
      <c r="U357" s="556"/>
      <c r="V357" s="556"/>
      <c r="W357" s="556"/>
      <c r="X357" s="556"/>
      <c r="Y357" s="556"/>
      <c r="Z357" s="556"/>
      <c r="AA357" s="535"/>
      <c r="AB357" s="535"/>
      <c r="AC357" s="535"/>
    </row>
    <row r="358" spans="1:68" ht="27" customHeight="1" x14ac:dyDescent="0.25">
      <c r="A358" s="54" t="s">
        <v>563</v>
      </c>
      <c r="B358" s="54" t="s">
        <v>564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565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566</v>
      </c>
      <c r="B359" s="54" t="s">
        <v>567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568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5"/>
      <c r="B360" s="556"/>
      <c r="C360" s="556"/>
      <c r="D360" s="556"/>
      <c r="E360" s="556"/>
      <c r="F360" s="556"/>
      <c r="G360" s="556"/>
      <c r="H360" s="556"/>
      <c r="I360" s="556"/>
      <c r="J360" s="556"/>
      <c r="K360" s="556"/>
      <c r="L360" s="556"/>
      <c r="M360" s="556"/>
      <c r="N360" s="556"/>
      <c r="O360" s="557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6"/>
      <c r="B361" s="556"/>
      <c r="C361" s="556"/>
      <c r="D361" s="556"/>
      <c r="E361" s="556"/>
      <c r="F361" s="556"/>
      <c r="G361" s="556"/>
      <c r="H361" s="556"/>
      <c r="I361" s="556"/>
      <c r="J361" s="556"/>
      <c r="K361" s="556"/>
      <c r="L361" s="556"/>
      <c r="M361" s="556"/>
      <c r="N361" s="556"/>
      <c r="O361" s="557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8" t="s">
        <v>164</v>
      </c>
      <c r="B362" s="556"/>
      <c r="C362" s="556"/>
      <c r="D362" s="556"/>
      <c r="E362" s="556"/>
      <c r="F362" s="556"/>
      <c r="G362" s="556"/>
      <c r="H362" s="556"/>
      <c r="I362" s="556"/>
      <c r="J362" s="556"/>
      <c r="K362" s="556"/>
      <c r="L362" s="556"/>
      <c r="M362" s="556"/>
      <c r="N362" s="556"/>
      <c r="O362" s="556"/>
      <c r="P362" s="556"/>
      <c r="Q362" s="556"/>
      <c r="R362" s="556"/>
      <c r="S362" s="556"/>
      <c r="T362" s="556"/>
      <c r="U362" s="556"/>
      <c r="V362" s="556"/>
      <c r="W362" s="556"/>
      <c r="X362" s="556"/>
      <c r="Y362" s="556"/>
      <c r="Z362" s="556"/>
      <c r="AA362" s="535"/>
      <c r="AB362" s="535"/>
      <c r="AC362" s="535"/>
    </row>
    <row r="363" spans="1:68" ht="16.5" customHeight="1" x14ac:dyDescent="0.25">
      <c r="A363" s="54" t="s">
        <v>569</v>
      </c>
      <c r="B363" s="54" t="s">
        <v>570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120</v>
      </c>
      <c r="Y363" s="542">
        <f>IFERROR(IF(X363="",0,CEILING((X363/$H363),1)*$H363),"")</f>
        <v>126</v>
      </c>
      <c r="Z363" s="36">
        <f>IFERROR(IF(Y363=0,"",ROUNDUP(Y363/H363,0)*0.01898),"")</f>
        <v>0.26572000000000001</v>
      </c>
      <c r="AA363" s="56"/>
      <c r="AB363" s="57"/>
      <c r="AC363" s="413" t="s">
        <v>571</v>
      </c>
      <c r="AG363" s="64"/>
      <c r="AJ363" s="68"/>
      <c r="AK363" s="68">
        <v>0</v>
      </c>
      <c r="BB363" s="414" t="s">
        <v>1</v>
      </c>
      <c r="BM363" s="64">
        <f>IFERROR(X363*I363/H363,"0")</f>
        <v>126.58666666666666</v>
      </c>
      <c r="BN363" s="64">
        <f>IFERROR(Y363*I363/H363,"0")</f>
        <v>132.916</v>
      </c>
      <c r="BO363" s="64">
        <f>IFERROR(1/J363*(X363/H363),"0")</f>
        <v>0.20833333333333334</v>
      </c>
      <c r="BP363" s="64">
        <f>IFERROR(1/J363*(Y363/H363),"0")</f>
        <v>0.21875</v>
      </c>
    </row>
    <row r="364" spans="1:68" x14ac:dyDescent="0.2">
      <c r="A364" s="555"/>
      <c r="B364" s="556"/>
      <c r="C364" s="556"/>
      <c r="D364" s="556"/>
      <c r="E364" s="556"/>
      <c r="F364" s="556"/>
      <c r="G364" s="556"/>
      <c r="H364" s="556"/>
      <c r="I364" s="556"/>
      <c r="J364" s="556"/>
      <c r="K364" s="556"/>
      <c r="L364" s="556"/>
      <c r="M364" s="556"/>
      <c r="N364" s="556"/>
      <c r="O364" s="557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13.333333333333334</v>
      </c>
      <c r="Y364" s="543">
        <f>IFERROR(Y363/H363,"0")</f>
        <v>14</v>
      </c>
      <c r="Z364" s="543">
        <f>IFERROR(IF(Z363="",0,Z363),"0")</f>
        <v>0.26572000000000001</v>
      </c>
      <c r="AA364" s="544"/>
      <c r="AB364" s="544"/>
      <c r="AC364" s="544"/>
    </row>
    <row r="365" spans="1:68" x14ac:dyDescent="0.2">
      <c r="A365" s="556"/>
      <c r="B365" s="556"/>
      <c r="C365" s="556"/>
      <c r="D365" s="556"/>
      <c r="E365" s="556"/>
      <c r="F365" s="556"/>
      <c r="G365" s="556"/>
      <c r="H365" s="556"/>
      <c r="I365" s="556"/>
      <c r="J365" s="556"/>
      <c r="K365" s="556"/>
      <c r="L365" s="556"/>
      <c r="M365" s="556"/>
      <c r="N365" s="556"/>
      <c r="O365" s="557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120</v>
      </c>
      <c r="Y365" s="543">
        <f>IFERROR(SUM(Y363:Y363),"0")</f>
        <v>126</v>
      </c>
      <c r="Z365" s="37"/>
      <c r="AA365" s="544"/>
      <c r="AB365" s="544"/>
      <c r="AC365" s="544"/>
    </row>
    <row r="366" spans="1:68" ht="16.5" customHeight="1" x14ac:dyDescent="0.25">
      <c r="A366" s="559" t="s">
        <v>572</v>
      </c>
      <c r="B366" s="556"/>
      <c r="C366" s="556"/>
      <c r="D366" s="556"/>
      <c r="E366" s="556"/>
      <c r="F366" s="556"/>
      <c r="G366" s="556"/>
      <c r="H366" s="556"/>
      <c r="I366" s="556"/>
      <c r="J366" s="556"/>
      <c r="K366" s="556"/>
      <c r="L366" s="556"/>
      <c r="M366" s="556"/>
      <c r="N366" s="556"/>
      <c r="O366" s="556"/>
      <c r="P366" s="556"/>
      <c r="Q366" s="556"/>
      <c r="R366" s="556"/>
      <c r="S366" s="556"/>
      <c r="T366" s="556"/>
      <c r="U366" s="556"/>
      <c r="V366" s="556"/>
      <c r="W366" s="556"/>
      <c r="X366" s="556"/>
      <c r="Y366" s="556"/>
      <c r="Z366" s="556"/>
      <c r="AA366" s="536"/>
      <c r="AB366" s="536"/>
      <c r="AC366" s="536"/>
    </row>
    <row r="367" spans="1:68" ht="14.25" customHeight="1" x14ac:dyDescent="0.25">
      <c r="A367" s="558" t="s">
        <v>101</v>
      </c>
      <c r="B367" s="556"/>
      <c r="C367" s="556"/>
      <c r="D367" s="556"/>
      <c r="E367" s="556"/>
      <c r="F367" s="556"/>
      <c r="G367" s="556"/>
      <c r="H367" s="556"/>
      <c r="I367" s="556"/>
      <c r="J367" s="556"/>
      <c r="K367" s="556"/>
      <c r="L367" s="556"/>
      <c r="M367" s="556"/>
      <c r="N367" s="556"/>
      <c r="O367" s="556"/>
      <c r="P367" s="556"/>
      <c r="Q367" s="556"/>
      <c r="R367" s="556"/>
      <c r="S367" s="556"/>
      <c r="T367" s="556"/>
      <c r="U367" s="556"/>
      <c r="V367" s="556"/>
      <c r="W367" s="556"/>
      <c r="X367" s="556"/>
      <c r="Y367" s="556"/>
      <c r="Z367" s="556"/>
      <c r="AA367" s="535"/>
      <c r="AB367" s="535"/>
      <c r="AC367" s="535"/>
    </row>
    <row r="368" spans="1:68" ht="37.5" customHeight="1" x14ac:dyDescent="0.25">
      <c r="A368" s="54" t="s">
        <v>573</v>
      </c>
      <c r="B368" s="54" t="s">
        <v>574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150</v>
      </c>
      <c r="Y368" s="542">
        <f>IFERROR(IF(X368="",0,CEILING((X368/$H368),1)*$H368),"")</f>
        <v>156</v>
      </c>
      <c r="Z368" s="36">
        <f>IFERROR(IF(Y368=0,"",ROUNDUP(Y368/H368,0)*0.01898),"")</f>
        <v>0.24674000000000001</v>
      </c>
      <c r="AA368" s="56"/>
      <c r="AB368" s="57"/>
      <c r="AC368" s="415" t="s">
        <v>575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155.125</v>
      </c>
      <c r="BN368" s="64">
        <f>IFERROR(Y368*I368/H368,"0")</f>
        <v>161.33000000000001</v>
      </c>
      <c r="BO368" s="64">
        <f>IFERROR(1/J368*(X368/H368),"0")</f>
        <v>0.1953125</v>
      </c>
      <c r="BP368" s="64">
        <f>IFERROR(1/J368*(Y368/H368),"0")</f>
        <v>0.203125</v>
      </c>
    </row>
    <row r="369" spans="1:68" ht="37.5" customHeight="1" x14ac:dyDescent="0.25">
      <c r="A369" s="54" t="s">
        <v>576</v>
      </c>
      <c r="B369" s="54" t="s">
        <v>577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1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575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5"/>
      <c r="B370" s="556"/>
      <c r="C370" s="556"/>
      <c r="D370" s="556"/>
      <c r="E370" s="556"/>
      <c r="F370" s="556"/>
      <c r="G370" s="556"/>
      <c r="H370" s="556"/>
      <c r="I370" s="556"/>
      <c r="J370" s="556"/>
      <c r="K370" s="556"/>
      <c r="L370" s="556"/>
      <c r="M370" s="556"/>
      <c r="N370" s="556"/>
      <c r="O370" s="557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12.5</v>
      </c>
      <c r="Y370" s="543">
        <f>IFERROR(Y368/H368,"0")+IFERROR(Y369/H369,"0")</f>
        <v>13</v>
      </c>
      <c r="Z370" s="543">
        <f>IFERROR(IF(Z368="",0,Z368),"0")+IFERROR(IF(Z369="",0,Z369),"0")</f>
        <v>0.24674000000000001</v>
      </c>
      <c r="AA370" s="544"/>
      <c r="AB370" s="544"/>
      <c r="AC370" s="544"/>
    </row>
    <row r="371" spans="1:68" x14ac:dyDescent="0.2">
      <c r="A371" s="556"/>
      <c r="B371" s="556"/>
      <c r="C371" s="556"/>
      <c r="D371" s="556"/>
      <c r="E371" s="556"/>
      <c r="F371" s="556"/>
      <c r="G371" s="556"/>
      <c r="H371" s="556"/>
      <c r="I371" s="556"/>
      <c r="J371" s="556"/>
      <c r="K371" s="556"/>
      <c r="L371" s="556"/>
      <c r="M371" s="556"/>
      <c r="N371" s="556"/>
      <c r="O371" s="557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150</v>
      </c>
      <c r="Y371" s="543">
        <f>IFERROR(SUM(Y368:Y369),"0")</f>
        <v>156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6"/>
      <c r="C372" s="556"/>
      <c r="D372" s="556"/>
      <c r="E372" s="556"/>
      <c r="F372" s="556"/>
      <c r="G372" s="556"/>
      <c r="H372" s="556"/>
      <c r="I372" s="556"/>
      <c r="J372" s="556"/>
      <c r="K372" s="556"/>
      <c r="L372" s="556"/>
      <c r="M372" s="556"/>
      <c r="N372" s="556"/>
      <c r="O372" s="556"/>
      <c r="P372" s="556"/>
      <c r="Q372" s="556"/>
      <c r="R372" s="556"/>
      <c r="S372" s="556"/>
      <c r="T372" s="556"/>
      <c r="U372" s="556"/>
      <c r="V372" s="556"/>
      <c r="W372" s="556"/>
      <c r="X372" s="556"/>
      <c r="Y372" s="556"/>
      <c r="Z372" s="556"/>
      <c r="AA372" s="535"/>
      <c r="AB372" s="535"/>
      <c r="AC372" s="535"/>
    </row>
    <row r="373" spans="1:68" ht="27" customHeight="1" x14ac:dyDescent="0.25">
      <c r="A373" s="54" t="s">
        <v>578</v>
      </c>
      <c r="B373" s="54" t="s">
        <v>579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6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580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578</v>
      </c>
      <c r="B374" s="54" t="s">
        <v>581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0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582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5"/>
      <c r="B375" s="556"/>
      <c r="C375" s="556"/>
      <c r="D375" s="556"/>
      <c r="E375" s="556"/>
      <c r="F375" s="556"/>
      <c r="G375" s="556"/>
      <c r="H375" s="556"/>
      <c r="I375" s="556"/>
      <c r="J375" s="556"/>
      <c r="K375" s="556"/>
      <c r="L375" s="556"/>
      <c r="M375" s="556"/>
      <c r="N375" s="556"/>
      <c r="O375" s="557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6"/>
      <c r="B376" s="556"/>
      <c r="C376" s="556"/>
      <c r="D376" s="556"/>
      <c r="E376" s="556"/>
      <c r="F376" s="556"/>
      <c r="G376" s="556"/>
      <c r="H376" s="556"/>
      <c r="I376" s="556"/>
      <c r="J376" s="556"/>
      <c r="K376" s="556"/>
      <c r="L376" s="556"/>
      <c r="M376" s="556"/>
      <c r="N376" s="556"/>
      <c r="O376" s="557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6"/>
      <c r="C377" s="556"/>
      <c r="D377" s="556"/>
      <c r="E377" s="556"/>
      <c r="F377" s="556"/>
      <c r="G377" s="556"/>
      <c r="H377" s="556"/>
      <c r="I377" s="556"/>
      <c r="J377" s="556"/>
      <c r="K377" s="556"/>
      <c r="L377" s="556"/>
      <c r="M377" s="556"/>
      <c r="N377" s="556"/>
      <c r="O377" s="556"/>
      <c r="P377" s="556"/>
      <c r="Q377" s="556"/>
      <c r="R377" s="556"/>
      <c r="S377" s="556"/>
      <c r="T377" s="556"/>
      <c r="U377" s="556"/>
      <c r="V377" s="556"/>
      <c r="W377" s="556"/>
      <c r="X377" s="556"/>
      <c r="Y377" s="556"/>
      <c r="Z377" s="556"/>
      <c r="AA377" s="535"/>
      <c r="AB377" s="535"/>
      <c r="AC377" s="535"/>
    </row>
    <row r="378" spans="1:68" ht="27" customHeight="1" x14ac:dyDescent="0.25">
      <c r="A378" s="54" t="s">
        <v>583</v>
      </c>
      <c r="B378" s="54" t="s">
        <v>584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5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585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586</v>
      </c>
      <c r="B379" s="54" t="s">
        <v>587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8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350</v>
      </c>
      <c r="Y379" s="542">
        <f>IFERROR(IF(X379="",0,CEILING((X379/$H379),1)*$H379),"")</f>
        <v>350.4</v>
      </c>
      <c r="Z379" s="36">
        <f>IFERROR(IF(Y379=0,"",ROUNDUP(Y379/H379,0)*0.00651),"")</f>
        <v>0.95045999999999997</v>
      </c>
      <c r="AA379" s="56"/>
      <c r="AB379" s="57"/>
      <c r="AC379" s="425" t="s">
        <v>585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388.50000000000006</v>
      </c>
      <c r="BN379" s="64">
        <f>IFERROR(Y379*I379/H379,"0")</f>
        <v>388.94400000000002</v>
      </c>
      <c r="BO379" s="64">
        <f>IFERROR(1/J379*(X379/H379),"0")</f>
        <v>0.80128205128205143</v>
      </c>
      <c r="BP379" s="64">
        <f>IFERROR(1/J379*(Y379/H379),"0")</f>
        <v>0.80219780219780223</v>
      </c>
    </row>
    <row r="380" spans="1:68" x14ac:dyDescent="0.2">
      <c r="A380" s="555"/>
      <c r="B380" s="556"/>
      <c r="C380" s="556"/>
      <c r="D380" s="556"/>
      <c r="E380" s="556"/>
      <c r="F380" s="556"/>
      <c r="G380" s="556"/>
      <c r="H380" s="556"/>
      <c r="I380" s="556"/>
      <c r="J380" s="556"/>
      <c r="K380" s="556"/>
      <c r="L380" s="556"/>
      <c r="M380" s="556"/>
      <c r="N380" s="556"/>
      <c r="O380" s="557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145.83333333333334</v>
      </c>
      <c r="Y380" s="543">
        <f>IFERROR(Y378/H378,"0")+IFERROR(Y379/H379,"0")</f>
        <v>146</v>
      </c>
      <c r="Z380" s="543">
        <f>IFERROR(IF(Z378="",0,Z378),"0")+IFERROR(IF(Z379="",0,Z379),"0")</f>
        <v>0.95045999999999997</v>
      </c>
      <c r="AA380" s="544"/>
      <c r="AB380" s="544"/>
      <c r="AC380" s="544"/>
    </row>
    <row r="381" spans="1:68" x14ac:dyDescent="0.2">
      <c r="A381" s="556"/>
      <c r="B381" s="556"/>
      <c r="C381" s="556"/>
      <c r="D381" s="556"/>
      <c r="E381" s="556"/>
      <c r="F381" s="556"/>
      <c r="G381" s="556"/>
      <c r="H381" s="556"/>
      <c r="I381" s="556"/>
      <c r="J381" s="556"/>
      <c r="K381" s="556"/>
      <c r="L381" s="556"/>
      <c r="M381" s="556"/>
      <c r="N381" s="556"/>
      <c r="O381" s="557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350</v>
      </c>
      <c r="Y381" s="543">
        <f>IFERROR(SUM(Y378:Y379),"0")</f>
        <v>350.4</v>
      </c>
      <c r="Z381" s="37"/>
      <c r="AA381" s="544"/>
      <c r="AB381" s="544"/>
      <c r="AC381" s="544"/>
    </row>
    <row r="382" spans="1:68" ht="27.75" customHeight="1" x14ac:dyDescent="0.2">
      <c r="A382" s="633" t="s">
        <v>588</v>
      </c>
      <c r="B382" s="634"/>
      <c r="C382" s="634"/>
      <c r="D382" s="634"/>
      <c r="E382" s="634"/>
      <c r="F382" s="634"/>
      <c r="G382" s="634"/>
      <c r="H382" s="634"/>
      <c r="I382" s="634"/>
      <c r="J382" s="634"/>
      <c r="K382" s="634"/>
      <c r="L382" s="634"/>
      <c r="M382" s="634"/>
      <c r="N382" s="634"/>
      <c r="O382" s="634"/>
      <c r="P382" s="634"/>
      <c r="Q382" s="634"/>
      <c r="R382" s="634"/>
      <c r="S382" s="634"/>
      <c r="T382" s="634"/>
      <c r="U382" s="634"/>
      <c r="V382" s="634"/>
      <c r="W382" s="634"/>
      <c r="X382" s="634"/>
      <c r="Y382" s="634"/>
      <c r="Z382" s="634"/>
      <c r="AA382" s="48"/>
      <c r="AB382" s="48"/>
      <c r="AC382" s="48"/>
    </row>
    <row r="383" spans="1:68" ht="16.5" customHeight="1" x14ac:dyDescent="0.25">
      <c r="A383" s="559" t="s">
        <v>589</v>
      </c>
      <c r="B383" s="556"/>
      <c r="C383" s="556"/>
      <c r="D383" s="556"/>
      <c r="E383" s="556"/>
      <c r="F383" s="556"/>
      <c r="G383" s="556"/>
      <c r="H383" s="556"/>
      <c r="I383" s="556"/>
      <c r="J383" s="556"/>
      <c r="K383" s="556"/>
      <c r="L383" s="556"/>
      <c r="M383" s="556"/>
      <c r="N383" s="556"/>
      <c r="O383" s="556"/>
      <c r="P383" s="556"/>
      <c r="Q383" s="556"/>
      <c r="R383" s="556"/>
      <c r="S383" s="556"/>
      <c r="T383" s="556"/>
      <c r="U383" s="556"/>
      <c r="V383" s="556"/>
      <c r="W383" s="556"/>
      <c r="X383" s="556"/>
      <c r="Y383" s="556"/>
      <c r="Z383" s="556"/>
      <c r="AA383" s="536"/>
      <c r="AB383" s="536"/>
      <c r="AC383" s="536"/>
    </row>
    <row r="384" spans="1:68" ht="14.25" customHeight="1" x14ac:dyDescent="0.25">
      <c r="A384" s="558" t="s">
        <v>64</v>
      </c>
      <c r="B384" s="556"/>
      <c r="C384" s="556"/>
      <c r="D384" s="556"/>
      <c r="E384" s="556"/>
      <c r="F384" s="556"/>
      <c r="G384" s="556"/>
      <c r="H384" s="556"/>
      <c r="I384" s="556"/>
      <c r="J384" s="556"/>
      <c r="K384" s="556"/>
      <c r="L384" s="556"/>
      <c r="M384" s="556"/>
      <c r="N384" s="556"/>
      <c r="O384" s="556"/>
      <c r="P384" s="556"/>
      <c r="Q384" s="556"/>
      <c r="R384" s="556"/>
      <c r="S384" s="556"/>
      <c r="T384" s="556"/>
      <c r="U384" s="556"/>
      <c r="V384" s="556"/>
      <c r="W384" s="556"/>
      <c r="X384" s="556"/>
      <c r="Y384" s="556"/>
      <c r="Z384" s="556"/>
      <c r="AA384" s="535"/>
      <c r="AB384" s="535"/>
      <c r="AC384" s="535"/>
    </row>
    <row r="385" spans="1:68" ht="27" customHeight="1" x14ac:dyDescent="0.25">
      <c r="A385" s="54" t="s">
        <v>590</v>
      </c>
      <c r="B385" s="54" t="s">
        <v>591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85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customHeight="1" x14ac:dyDescent="0.25">
      <c r="A386" s="54" t="s">
        <v>593</v>
      </c>
      <c r="B386" s="54" t="s">
        <v>594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595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customHeight="1" x14ac:dyDescent="0.25">
      <c r="A387" s="54" t="s">
        <v>596</v>
      </c>
      <c r="B387" s="54" t="s">
        <v>597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1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598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599</v>
      </c>
      <c r="B388" s="54" t="s">
        <v>600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592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601</v>
      </c>
      <c r="B389" s="54" t="s">
        <v>602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customHeight="1" x14ac:dyDescent="0.25">
      <c r="A390" s="54" t="s">
        <v>603</v>
      </c>
      <c r="B390" s="54" t="s">
        <v>604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customHeight="1" x14ac:dyDescent="0.25">
      <c r="A391" s="54" t="s">
        <v>606</v>
      </c>
      <c r="B391" s="54" t="s">
        <v>607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609</v>
      </c>
      <c r="B392" s="54" t="s">
        <v>610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customHeight="1" x14ac:dyDescent="0.25">
      <c r="A393" s="54" t="s">
        <v>612</v>
      </c>
      <c r="B393" s="54" t="s">
        <v>613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608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x14ac:dyDescent="0.2">
      <c r="A394" s="555"/>
      <c r="B394" s="556"/>
      <c r="C394" s="556"/>
      <c r="D394" s="556"/>
      <c r="E394" s="556"/>
      <c r="F394" s="556"/>
      <c r="G394" s="556"/>
      <c r="H394" s="556"/>
      <c r="I394" s="556"/>
      <c r="J394" s="556"/>
      <c r="K394" s="556"/>
      <c r="L394" s="556"/>
      <c r="M394" s="556"/>
      <c r="N394" s="556"/>
      <c r="O394" s="557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6"/>
      <c r="B395" s="556"/>
      <c r="C395" s="556"/>
      <c r="D395" s="556"/>
      <c r="E395" s="556"/>
      <c r="F395" s="556"/>
      <c r="G395" s="556"/>
      <c r="H395" s="556"/>
      <c r="I395" s="556"/>
      <c r="J395" s="556"/>
      <c r="K395" s="556"/>
      <c r="L395" s="556"/>
      <c r="M395" s="556"/>
      <c r="N395" s="556"/>
      <c r="O395" s="557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6"/>
      <c r="C396" s="556"/>
      <c r="D396" s="556"/>
      <c r="E396" s="556"/>
      <c r="F396" s="556"/>
      <c r="G396" s="556"/>
      <c r="H396" s="556"/>
      <c r="I396" s="556"/>
      <c r="J396" s="556"/>
      <c r="K396" s="556"/>
      <c r="L396" s="556"/>
      <c r="M396" s="556"/>
      <c r="N396" s="556"/>
      <c r="O396" s="556"/>
      <c r="P396" s="556"/>
      <c r="Q396" s="556"/>
      <c r="R396" s="556"/>
      <c r="S396" s="556"/>
      <c r="T396" s="556"/>
      <c r="U396" s="556"/>
      <c r="V396" s="556"/>
      <c r="W396" s="556"/>
      <c r="X396" s="556"/>
      <c r="Y396" s="556"/>
      <c r="Z396" s="556"/>
      <c r="AA396" s="535"/>
      <c r="AB396" s="535"/>
      <c r="AC396" s="535"/>
    </row>
    <row r="397" spans="1:68" ht="27" customHeight="1" x14ac:dyDescent="0.25">
      <c r="A397" s="54" t="s">
        <v>614</v>
      </c>
      <c r="B397" s="54" t="s">
        <v>615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616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617</v>
      </c>
      <c r="B398" s="54" t="s">
        <v>618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7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619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5"/>
      <c r="B399" s="556"/>
      <c r="C399" s="556"/>
      <c r="D399" s="556"/>
      <c r="E399" s="556"/>
      <c r="F399" s="556"/>
      <c r="G399" s="556"/>
      <c r="H399" s="556"/>
      <c r="I399" s="556"/>
      <c r="J399" s="556"/>
      <c r="K399" s="556"/>
      <c r="L399" s="556"/>
      <c r="M399" s="556"/>
      <c r="N399" s="556"/>
      <c r="O399" s="557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6"/>
      <c r="B400" s="556"/>
      <c r="C400" s="556"/>
      <c r="D400" s="556"/>
      <c r="E400" s="556"/>
      <c r="F400" s="556"/>
      <c r="G400" s="556"/>
      <c r="H400" s="556"/>
      <c r="I400" s="556"/>
      <c r="J400" s="556"/>
      <c r="K400" s="556"/>
      <c r="L400" s="556"/>
      <c r="M400" s="556"/>
      <c r="N400" s="556"/>
      <c r="O400" s="557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620</v>
      </c>
      <c r="B401" s="556"/>
      <c r="C401" s="556"/>
      <c r="D401" s="556"/>
      <c r="E401" s="556"/>
      <c r="F401" s="556"/>
      <c r="G401" s="556"/>
      <c r="H401" s="556"/>
      <c r="I401" s="556"/>
      <c r="J401" s="556"/>
      <c r="K401" s="556"/>
      <c r="L401" s="556"/>
      <c r="M401" s="556"/>
      <c r="N401" s="556"/>
      <c r="O401" s="556"/>
      <c r="P401" s="556"/>
      <c r="Q401" s="556"/>
      <c r="R401" s="556"/>
      <c r="S401" s="556"/>
      <c r="T401" s="556"/>
      <c r="U401" s="556"/>
      <c r="V401" s="556"/>
      <c r="W401" s="556"/>
      <c r="X401" s="556"/>
      <c r="Y401" s="556"/>
      <c r="Z401" s="556"/>
      <c r="AA401" s="536"/>
      <c r="AB401" s="536"/>
      <c r="AC401" s="536"/>
    </row>
    <row r="402" spans="1:68" ht="14.25" customHeight="1" x14ac:dyDescent="0.25">
      <c r="A402" s="558" t="s">
        <v>136</v>
      </c>
      <c r="B402" s="556"/>
      <c r="C402" s="556"/>
      <c r="D402" s="556"/>
      <c r="E402" s="556"/>
      <c r="F402" s="556"/>
      <c r="G402" s="556"/>
      <c r="H402" s="556"/>
      <c r="I402" s="556"/>
      <c r="J402" s="556"/>
      <c r="K402" s="556"/>
      <c r="L402" s="556"/>
      <c r="M402" s="556"/>
      <c r="N402" s="556"/>
      <c r="O402" s="556"/>
      <c r="P402" s="556"/>
      <c r="Q402" s="556"/>
      <c r="R402" s="556"/>
      <c r="S402" s="556"/>
      <c r="T402" s="556"/>
      <c r="U402" s="556"/>
      <c r="V402" s="556"/>
      <c r="W402" s="556"/>
      <c r="X402" s="556"/>
      <c r="Y402" s="556"/>
      <c r="Z402" s="556"/>
      <c r="AA402" s="535"/>
      <c r="AB402" s="535"/>
      <c r="AC402" s="535"/>
    </row>
    <row r="403" spans="1:68" ht="27" customHeight="1" x14ac:dyDescent="0.25">
      <c r="A403" s="54" t="s">
        <v>621</v>
      </c>
      <c r="B403" s="54" t="s">
        <v>622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623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5"/>
      <c r="B404" s="556"/>
      <c r="C404" s="556"/>
      <c r="D404" s="556"/>
      <c r="E404" s="556"/>
      <c r="F404" s="556"/>
      <c r="G404" s="556"/>
      <c r="H404" s="556"/>
      <c r="I404" s="556"/>
      <c r="J404" s="556"/>
      <c r="K404" s="556"/>
      <c r="L404" s="556"/>
      <c r="M404" s="556"/>
      <c r="N404" s="556"/>
      <c r="O404" s="557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6"/>
      <c r="B405" s="556"/>
      <c r="C405" s="556"/>
      <c r="D405" s="556"/>
      <c r="E405" s="556"/>
      <c r="F405" s="556"/>
      <c r="G405" s="556"/>
      <c r="H405" s="556"/>
      <c r="I405" s="556"/>
      <c r="J405" s="556"/>
      <c r="K405" s="556"/>
      <c r="L405" s="556"/>
      <c r="M405" s="556"/>
      <c r="N405" s="556"/>
      <c r="O405" s="557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6"/>
      <c r="C406" s="556"/>
      <c r="D406" s="556"/>
      <c r="E406" s="556"/>
      <c r="F406" s="556"/>
      <c r="G406" s="556"/>
      <c r="H406" s="556"/>
      <c r="I406" s="556"/>
      <c r="J406" s="556"/>
      <c r="K406" s="556"/>
      <c r="L406" s="556"/>
      <c r="M406" s="556"/>
      <c r="N406" s="556"/>
      <c r="O406" s="556"/>
      <c r="P406" s="556"/>
      <c r="Q406" s="556"/>
      <c r="R406" s="556"/>
      <c r="S406" s="556"/>
      <c r="T406" s="556"/>
      <c r="U406" s="556"/>
      <c r="V406" s="556"/>
      <c r="W406" s="556"/>
      <c r="X406" s="556"/>
      <c r="Y406" s="556"/>
      <c r="Z406" s="556"/>
      <c r="AA406" s="535"/>
      <c r="AB406" s="535"/>
      <c r="AC406" s="535"/>
    </row>
    <row r="407" spans="1:68" ht="27" customHeight="1" x14ac:dyDescent="0.25">
      <c r="A407" s="54" t="s">
        <v>624</v>
      </c>
      <c r="B407" s="54" t="s">
        <v>625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626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627</v>
      </c>
      <c r="B408" s="54" t="s">
        <v>628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630</v>
      </c>
      <c r="B409" s="54" t="s">
        <v>631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632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633</v>
      </c>
      <c r="B410" s="54" t="s">
        <v>634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5"/>
      <c r="B411" s="556"/>
      <c r="C411" s="556"/>
      <c r="D411" s="556"/>
      <c r="E411" s="556"/>
      <c r="F411" s="556"/>
      <c r="G411" s="556"/>
      <c r="H411" s="556"/>
      <c r="I411" s="556"/>
      <c r="J411" s="556"/>
      <c r="K411" s="556"/>
      <c r="L411" s="556"/>
      <c r="M411" s="556"/>
      <c r="N411" s="556"/>
      <c r="O411" s="557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6"/>
      <c r="B412" s="556"/>
      <c r="C412" s="556"/>
      <c r="D412" s="556"/>
      <c r="E412" s="556"/>
      <c r="F412" s="556"/>
      <c r="G412" s="556"/>
      <c r="H412" s="556"/>
      <c r="I412" s="556"/>
      <c r="J412" s="556"/>
      <c r="K412" s="556"/>
      <c r="L412" s="556"/>
      <c r="M412" s="556"/>
      <c r="N412" s="556"/>
      <c r="O412" s="557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9" t="s">
        <v>635</v>
      </c>
      <c r="B413" s="556"/>
      <c r="C413" s="556"/>
      <c r="D413" s="556"/>
      <c r="E413" s="556"/>
      <c r="F413" s="556"/>
      <c r="G413" s="556"/>
      <c r="H413" s="556"/>
      <c r="I413" s="556"/>
      <c r="J413" s="556"/>
      <c r="K413" s="556"/>
      <c r="L413" s="556"/>
      <c r="M413" s="556"/>
      <c r="N413" s="556"/>
      <c r="O413" s="556"/>
      <c r="P413" s="556"/>
      <c r="Q413" s="556"/>
      <c r="R413" s="556"/>
      <c r="S413" s="556"/>
      <c r="T413" s="556"/>
      <c r="U413" s="556"/>
      <c r="V413" s="556"/>
      <c r="W413" s="556"/>
      <c r="X413" s="556"/>
      <c r="Y413" s="556"/>
      <c r="Z413" s="556"/>
      <c r="AA413" s="536"/>
      <c r="AB413" s="536"/>
      <c r="AC413" s="536"/>
    </row>
    <row r="414" spans="1:68" ht="14.25" customHeight="1" x14ac:dyDescent="0.25">
      <c r="A414" s="558" t="s">
        <v>64</v>
      </c>
      <c r="B414" s="556"/>
      <c r="C414" s="556"/>
      <c r="D414" s="556"/>
      <c r="E414" s="556"/>
      <c r="F414" s="556"/>
      <c r="G414" s="556"/>
      <c r="H414" s="556"/>
      <c r="I414" s="556"/>
      <c r="J414" s="556"/>
      <c r="K414" s="556"/>
      <c r="L414" s="556"/>
      <c r="M414" s="556"/>
      <c r="N414" s="556"/>
      <c r="O414" s="556"/>
      <c r="P414" s="556"/>
      <c r="Q414" s="556"/>
      <c r="R414" s="556"/>
      <c r="S414" s="556"/>
      <c r="T414" s="556"/>
      <c r="U414" s="556"/>
      <c r="V414" s="556"/>
      <c r="W414" s="556"/>
      <c r="X414" s="556"/>
      <c r="Y414" s="556"/>
      <c r="Z414" s="556"/>
      <c r="AA414" s="535"/>
      <c r="AB414" s="535"/>
      <c r="AC414" s="535"/>
    </row>
    <row r="415" spans="1:68" ht="27" customHeight="1" x14ac:dyDescent="0.25">
      <c r="A415" s="54" t="s">
        <v>636</v>
      </c>
      <c r="B415" s="54" t="s">
        <v>637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638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5"/>
      <c r="B416" s="556"/>
      <c r="C416" s="556"/>
      <c r="D416" s="556"/>
      <c r="E416" s="556"/>
      <c r="F416" s="556"/>
      <c r="G416" s="556"/>
      <c r="H416" s="556"/>
      <c r="I416" s="556"/>
      <c r="J416" s="556"/>
      <c r="K416" s="556"/>
      <c r="L416" s="556"/>
      <c r="M416" s="556"/>
      <c r="N416" s="556"/>
      <c r="O416" s="557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6"/>
      <c r="B417" s="556"/>
      <c r="C417" s="556"/>
      <c r="D417" s="556"/>
      <c r="E417" s="556"/>
      <c r="F417" s="556"/>
      <c r="G417" s="556"/>
      <c r="H417" s="556"/>
      <c r="I417" s="556"/>
      <c r="J417" s="556"/>
      <c r="K417" s="556"/>
      <c r="L417" s="556"/>
      <c r="M417" s="556"/>
      <c r="N417" s="556"/>
      <c r="O417" s="557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3" t="s">
        <v>639</v>
      </c>
      <c r="B418" s="634"/>
      <c r="C418" s="634"/>
      <c r="D418" s="634"/>
      <c r="E418" s="634"/>
      <c r="F418" s="634"/>
      <c r="G418" s="634"/>
      <c r="H418" s="634"/>
      <c r="I418" s="634"/>
      <c r="J418" s="634"/>
      <c r="K418" s="634"/>
      <c r="L418" s="634"/>
      <c r="M418" s="634"/>
      <c r="N418" s="634"/>
      <c r="O418" s="634"/>
      <c r="P418" s="634"/>
      <c r="Q418" s="634"/>
      <c r="R418" s="634"/>
      <c r="S418" s="634"/>
      <c r="T418" s="634"/>
      <c r="U418" s="634"/>
      <c r="V418" s="634"/>
      <c r="W418" s="634"/>
      <c r="X418" s="634"/>
      <c r="Y418" s="634"/>
      <c r="Z418" s="634"/>
      <c r="AA418" s="48"/>
      <c r="AB418" s="48"/>
      <c r="AC418" s="48"/>
    </row>
    <row r="419" spans="1:68" ht="16.5" customHeight="1" x14ac:dyDescent="0.25">
      <c r="A419" s="559" t="s">
        <v>639</v>
      </c>
      <c r="B419" s="556"/>
      <c r="C419" s="556"/>
      <c r="D419" s="556"/>
      <c r="E419" s="556"/>
      <c r="F419" s="556"/>
      <c r="G419" s="556"/>
      <c r="H419" s="556"/>
      <c r="I419" s="556"/>
      <c r="J419" s="556"/>
      <c r="K419" s="556"/>
      <c r="L419" s="556"/>
      <c r="M419" s="556"/>
      <c r="N419" s="556"/>
      <c r="O419" s="556"/>
      <c r="P419" s="556"/>
      <c r="Q419" s="556"/>
      <c r="R419" s="556"/>
      <c r="S419" s="556"/>
      <c r="T419" s="556"/>
      <c r="U419" s="556"/>
      <c r="V419" s="556"/>
      <c r="W419" s="556"/>
      <c r="X419" s="556"/>
      <c r="Y419" s="556"/>
      <c r="Z419" s="556"/>
      <c r="AA419" s="536"/>
      <c r="AB419" s="536"/>
      <c r="AC419" s="536"/>
    </row>
    <row r="420" spans="1:68" ht="14.25" customHeight="1" x14ac:dyDescent="0.25">
      <c r="A420" s="558" t="s">
        <v>101</v>
      </c>
      <c r="B420" s="556"/>
      <c r="C420" s="556"/>
      <c r="D420" s="556"/>
      <c r="E420" s="556"/>
      <c r="F420" s="556"/>
      <c r="G420" s="556"/>
      <c r="H420" s="556"/>
      <c r="I420" s="556"/>
      <c r="J420" s="556"/>
      <c r="K420" s="556"/>
      <c r="L420" s="556"/>
      <c r="M420" s="556"/>
      <c r="N420" s="556"/>
      <c r="O420" s="556"/>
      <c r="P420" s="556"/>
      <c r="Q420" s="556"/>
      <c r="R420" s="556"/>
      <c r="S420" s="556"/>
      <c r="T420" s="556"/>
      <c r="U420" s="556"/>
      <c r="V420" s="556"/>
      <c r="W420" s="556"/>
      <c r="X420" s="556"/>
      <c r="Y420" s="556"/>
      <c r="Z420" s="556"/>
      <c r="AA420" s="535"/>
      <c r="AB420" s="535"/>
      <c r="AC420" s="535"/>
    </row>
    <row r="421" spans="1:68" ht="27" customHeight="1" x14ac:dyDescent="0.25">
      <c r="A421" s="54" t="s">
        <v>640</v>
      </c>
      <c r="B421" s="54" t="s">
        <v>641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3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7">IFERROR(IF(X421="",0,CEILING((X421/$H421),1)*$H421),"")</f>
        <v>0</v>
      </c>
      <c r="Z421" s="36" t="str">
        <f t="shared" ref="Z421:Z426" si="48">IFERROR(IF(Y421=0,"",ROUNDUP(Y421/H421,0)*0.01196),"")</f>
        <v/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0</v>
      </c>
      <c r="BN421" s="64">
        <f t="shared" ref="BN421:BN431" si="50">IFERROR(Y421*I421/H421,"0")</f>
        <v>0</v>
      </c>
      <c r="BO421" s="64">
        <f t="shared" ref="BO421:BO431" si="51">IFERROR(1/J421*(X421/H421),"0")</f>
        <v>0</v>
      </c>
      <c r="BP421" s="64">
        <f t="shared" ref="BP421:BP431" si="52">IFERROR(1/J421*(Y421/H421),"0")</f>
        <v>0</v>
      </c>
    </row>
    <row r="422" spans="1:68" ht="27" customHeight="1" x14ac:dyDescent="0.25">
      <c r="A422" s="54" t="s">
        <v>642</v>
      </c>
      <c r="B422" s="54" t="s">
        <v>643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7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200</v>
      </c>
      <c r="Y422" s="542">
        <f t="shared" si="47"/>
        <v>200.64000000000001</v>
      </c>
      <c r="Z422" s="36">
        <f t="shared" si="48"/>
        <v>0.45448</v>
      </c>
      <c r="AA422" s="56"/>
      <c r="AB422" s="57"/>
      <c r="AC422" s="463" t="s">
        <v>644</v>
      </c>
      <c r="AG422" s="64"/>
      <c r="AJ422" s="68" t="s">
        <v>90</v>
      </c>
      <c r="AK422" s="68">
        <v>42.24</v>
      </c>
      <c r="BB422" s="464" t="s">
        <v>1</v>
      </c>
      <c r="BM422" s="64">
        <f t="shared" si="49"/>
        <v>213.25757575757575</v>
      </c>
      <c r="BN422" s="64">
        <f t="shared" si="50"/>
        <v>213.94</v>
      </c>
      <c r="BO422" s="64">
        <f t="shared" si="51"/>
        <v>0.36421911421911418</v>
      </c>
      <c r="BP422" s="64">
        <f t="shared" si="52"/>
        <v>0.36538461538461542</v>
      </c>
    </row>
    <row r="423" spans="1:68" ht="27" customHeight="1" x14ac:dyDescent="0.25">
      <c r="A423" s="54" t="s">
        <v>645</v>
      </c>
      <c r="B423" s="54" t="s">
        <v>646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77</v>
      </c>
      <c r="N423" s="33"/>
      <c r="O423" s="32">
        <v>60</v>
      </c>
      <c r="P423" s="64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7"/>
        <v>0</v>
      </c>
      <c r="Z423" s="36" t="str">
        <f t="shared" si="48"/>
        <v/>
      </c>
      <c r="AA423" s="56"/>
      <c r="AB423" s="57"/>
      <c r="AC423" s="465" t="s">
        <v>647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648</v>
      </c>
      <c r="B424" s="54" t="s">
        <v>649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/>
      <c r="M424" s="33" t="s">
        <v>106</v>
      </c>
      <c r="N424" s="33"/>
      <c r="O424" s="32">
        <v>60</v>
      </c>
      <c r="P424" s="699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7"/>
        <v>0</v>
      </c>
      <c r="Z424" s="36" t="str">
        <f t="shared" si="48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16.5" customHeight="1" x14ac:dyDescent="0.25">
      <c r="A425" s="54" t="s">
        <v>651</v>
      </c>
      <c r="B425" s="54" t="s">
        <v>652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0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653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654</v>
      </c>
      <c r="B426" s="54" t="s">
        <v>655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2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0</v>
      </c>
      <c r="Y426" s="542">
        <f t="shared" si="47"/>
        <v>0</v>
      </c>
      <c r="Z426" s="36" t="str">
        <f t="shared" si="48"/>
        <v/>
      </c>
      <c r="AA426" s="56"/>
      <c r="AB426" s="57"/>
      <c r="AC426" s="471" t="s">
        <v>656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657</v>
      </c>
      <c r="B427" s="54" t="s">
        <v>658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659</v>
      </c>
      <c r="B428" s="54" t="s">
        <v>660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4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663</v>
      </c>
      <c r="B430" s="54" t="s">
        <v>664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0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666</v>
      </c>
      <c r="B431" s="54" t="s">
        <v>667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6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1000</v>
      </c>
      <c r="Y431" s="542">
        <f t="shared" si="47"/>
        <v>1003.1999999999999</v>
      </c>
      <c r="Z431" s="36">
        <f>IFERROR(IF(Y431=0,"",ROUNDUP(Y431/H431,0)*0.00902),"")</f>
        <v>1.8851800000000001</v>
      </c>
      <c r="AA431" s="56"/>
      <c r="AB431" s="57"/>
      <c r="AC431" s="481" t="s">
        <v>656</v>
      </c>
      <c r="AG431" s="64"/>
      <c r="AJ431" s="68"/>
      <c r="AK431" s="68">
        <v>0</v>
      </c>
      <c r="BB431" s="482" t="s">
        <v>1</v>
      </c>
      <c r="BM431" s="64">
        <f t="shared" si="49"/>
        <v>1439.5833333333335</v>
      </c>
      <c r="BN431" s="64">
        <f t="shared" si="50"/>
        <v>1444.19</v>
      </c>
      <c r="BO431" s="64">
        <f t="shared" si="51"/>
        <v>1.5782828282828285</v>
      </c>
      <c r="BP431" s="64">
        <f t="shared" si="52"/>
        <v>1.5833333333333335</v>
      </c>
    </row>
    <row r="432" spans="1:68" x14ac:dyDescent="0.2">
      <c r="A432" s="555"/>
      <c r="B432" s="556"/>
      <c r="C432" s="556"/>
      <c r="D432" s="556"/>
      <c r="E432" s="556"/>
      <c r="F432" s="556"/>
      <c r="G432" s="556"/>
      <c r="H432" s="556"/>
      <c r="I432" s="556"/>
      <c r="J432" s="556"/>
      <c r="K432" s="556"/>
      <c r="L432" s="556"/>
      <c r="M432" s="556"/>
      <c r="N432" s="556"/>
      <c r="O432" s="557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246.21212121212122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247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2.3396600000000003</v>
      </c>
      <c r="AA432" s="544"/>
      <c r="AB432" s="544"/>
      <c r="AC432" s="544"/>
    </row>
    <row r="433" spans="1:68" x14ac:dyDescent="0.2">
      <c r="A433" s="556"/>
      <c r="B433" s="556"/>
      <c r="C433" s="556"/>
      <c r="D433" s="556"/>
      <c r="E433" s="556"/>
      <c r="F433" s="556"/>
      <c r="G433" s="556"/>
      <c r="H433" s="556"/>
      <c r="I433" s="556"/>
      <c r="J433" s="556"/>
      <c r="K433" s="556"/>
      <c r="L433" s="556"/>
      <c r="M433" s="556"/>
      <c r="N433" s="556"/>
      <c r="O433" s="557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1200</v>
      </c>
      <c r="Y433" s="543">
        <f>IFERROR(SUM(Y421:Y431),"0")</f>
        <v>1203.8399999999999</v>
      </c>
      <c r="Z433" s="37"/>
      <c r="AA433" s="544"/>
      <c r="AB433" s="544"/>
      <c r="AC433" s="544"/>
    </row>
    <row r="434" spans="1:68" ht="14.25" customHeight="1" x14ac:dyDescent="0.25">
      <c r="A434" s="558" t="s">
        <v>136</v>
      </c>
      <c r="B434" s="556"/>
      <c r="C434" s="556"/>
      <c r="D434" s="556"/>
      <c r="E434" s="556"/>
      <c r="F434" s="556"/>
      <c r="G434" s="556"/>
      <c r="H434" s="556"/>
      <c r="I434" s="556"/>
      <c r="J434" s="556"/>
      <c r="K434" s="556"/>
      <c r="L434" s="556"/>
      <c r="M434" s="556"/>
      <c r="N434" s="556"/>
      <c r="O434" s="556"/>
      <c r="P434" s="556"/>
      <c r="Q434" s="556"/>
      <c r="R434" s="556"/>
      <c r="S434" s="556"/>
      <c r="T434" s="556"/>
      <c r="U434" s="556"/>
      <c r="V434" s="556"/>
      <c r="W434" s="556"/>
      <c r="X434" s="556"/>
      <c r="Y434" s="556"/>
      <c r="Z434" s="556"/>
      <c r="AA434" s="535"/>
      <c r="AB434" s="535"/>
      <c r="AC434" s="535"/>
    </row>
    <row r="435" spans="1:68" ht="16.5" customHeight="1" x14ac:dyDescent="0.25">
      <c r="A435" s="54" t="s">
        <v>668</v>
      </c>
      <c r="B435" s="54" t="s">
        <v>669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1000</v>
      </c>
      <c r="Y435" s="542">
        <f>IFERROR(IF(X435="",0,CEILING((X435/$H435),1)*$H435),"")</f>
        <v>1003.2</v>
      </c>
      <c r="Z435" s="36">
        <f>IFERROR(IF(Y435=0,"",ROUNDUP(Y435/H435,0)*0.01196),"")</f>
        <v>2.2724000000000002</v>
      </c>
      <c r="AA435" s="56"/>
      <c r="AB435" s="57"/>
      <c r="AC435" s="483" t="s">
        <v>670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1066.2878787878788</v>
      </c>
      <c r="BN435" s="64">
        <f>IFERROR(Y435*I435/H435,"0")</f>
        <v>1069.7</v>
      </c>
      <c r="BO435" s="64">
        <f>IFERROR(1/J435*(X435/H435),"0")</f>
        <v>1.821095571095571</v>
      </c>
      <c r="BP435" s="64">
        <f>IFERROR(1/J435*(Y435/H435),"0")</f>
        <v>1.8269230769230771</v>
      </c>
    </row>
    <row r="436" spans="1:68" ht="16.5" customHeight="1" x14ac:dyDescent="0.25">
      <c r="A436" s="54" t="s">
        <v>671</v>
      </c>
      <c r="B436" s="54" t="s">
        <v>672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670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673</v>
      </c>
      <c r="B437" s="54" t="s">
        <v>674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5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670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5"/>
      <c r="B438" s="556"/>
      <c r="C438" s="556"/>
      <c r="D438" s="556"/>
      <c r="E438" s="556"/>
      <c r="F438" s="556"/>
      <c r="G438" s="556"/>
      <c r="H438" s="556"/>
      <c r="I438" s="556"/>
      <c r="J438" s="556"/>
      <c r="K438" s="556"/>
      <c r="L438" s="556"/>
      <c r="M438" s="556"/>
      <c r="N438" s="556"/>
      <c r="O438" s="557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189.39393939393938</v>
      </c>
      <c r="Y438" s="543">
        <f>IFERROR(Y435/H435,"0")+IFERROR(Y436/H436,"0")+IFERROR(Y437/H437,"0")</f>
        <v>190</v>
      </c>
      <c r="Z438" s="543">
        <f>IFERROR(IF(Z435="",0,Z435),"0")+IFERROR(IF(Z436="",0,Z436),"0")+IFERROR(IF(Z437="",0,Z437),"0")</f>
        <v>2.2724000000000002</v>
      </c>
      <c r="AA438" s="544"/>
      <c r="AB438" s="544"/>
      <c r="AC438" s="544"/>
    </row>
    <row r="439" spans="1:68" x14ac:dyDescent="0.2">
      <c r="A439" s="556"/>
      <c r="B439" s="556"/>
      <c r="C439" s="556"/>
      <c r="D439" s="556"/>
      <c r="E439" s="556"/>
      <c r="F439" s="556"/>
      <c r="G439" s="556"/>
      <c r="H439" s="556"/>
      <c r="I439" s="556"/>
      <c r="J439" s="556"/>
      <c r="K439" s="556"/>
      <c r="L439" s="556"/>
      <c r="M439" s="556"/>
      <c r="N439" s="556"/>
      <c r="O439" s="557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1000</v>
      </c>
      <c r="Y439" s="543">
        <f>IFERROR(SUM(Y435:Y437),"0")</f>
        <v>1003.2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6"/>
      <c r="C440" s="556"/>
      <c r="D440" s="556"/>
      <c r="E440" s="556"/>
      <c r="F440" s="556"/>
      <c r="G440" s="556"/>
      <c r="H440" s="556"/>
      <c r="I440" s="556"/>
      <c r="J440" s="556"/>
      <c r="K440" s="556"/>
      <c r="L440" s="556"/>
      <c r="M440" s="556"/>
      <c r="N440" s="556"/>
      <c r="O440" s="556"/>
      <c r="P440" s="556"/>
      <c r="Q440" s="556"/>
      <c r="R440" s="556"/>
      <c r="S440" s="556"/>
      <c r="T440" s="556"/>
      <c r="U440" s="556"/>
      <c r="V440" s="556"/>
      <c r="W440" s="556"/>
      <c r="X440" s="556"/>
      <c r="Y440" s="556"/>
      <c r="Z440" s="556"/>
      <c r="AA440" s="535"/>
      <c r="AB440" s="535"/>
      <c r="AC440" s="535"/>
    </row>
    <row r="441" spans="1:68" ht="27" customHeight="1" x14ac:dyDescent="0.25">
      <c r="A441" s="54" t="s">
        <v>675</v>
      </c>
      <c r="B441" s="54" t="s">
        <v>676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0</v>
      </c>
      <c r="Y441" s="542">
        <f t="shared" ref="Y441:Y446" si="53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677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0</v>
      </c>
      <c r="BN441" s="64">
        <f t="shared" ref="BN441:BN446" si="55">IFERROR(Y441*I441/H441,"0")</f>
        <v>0</v>
      </c>
      <c r="BO441" s="64">
        <f t="shared" ref="BO441:BO446" si="56">IFERROR(1/J441*(X441/H441),"0")</f>
        <v>0</v>
      </c>
      <c r="BP441" s="64">
        <f t="shared" ref="BP441:BP446" si="57">IFERROR(1/J441*(Y441/H441),"0")</f>
        <v>0</v>
      </c>
    </row>
    <row r="442" spans="1:68" ht="27" customHeight="1" x14ac:dyDescent="0.25">
      <c r="A442" s="54" t="s">
        <v>678</v>
      </c>
      <c r="B442" s="54" t="s">
        <v>679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0</v>
      </c>
      <c r="Y442" s="542">
        <f t="shared" si="53"/>
        <v>0</v>
      </c>
      <c r="Z442" s="36" t="str">
        <f>IFERROR(IF(Y442=0,"",ROUNDUP(Y442/H442,0)*0.01196),"")</f>
        <v/>
      </c>
      <c r="AA442" s="56"/>
      <c r="AB442" s="57"/>
      <c r="AC442" s="491" t="s">
        <v>680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0</v>
      </c>
      <c r="BN442" s="64">
        <f t="shared" si="55"/>
        <v>0</v>
      </c>
      <c r="BO442" s="64">
        <f t="shared" si="56"/>
        <v>0</v>
      </c>
      <c r="BP442" s="64">
        <f t="shared" si="57"/>
        <v>0</v>
      </c>
    </row>
    <row r="443" spans="1:68" ht="27" customHeight="1" x14ac:dyDescent="0.25">
      <c r="A443" s="54" t="s">
        <v>681</v>
      </c>
      <c r="B443" s="54" t="s">
        <v>682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0</v>
      </c>
      <c r="Y443" s="542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683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customHeight="1" x14ac:dyDescent="0.25">
      <c r="A444" s="54" t="s">
        <v>684</v>
      </c>
      <c r="B444" s="54" t="s">
        <v>685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686</v>
      </c>
      <c r="B445" s="54" t="s">
        <v>687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5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688</v>
      </c>
      <c r="B446" s="54" t="s">
        <v>689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2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683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5"/>
      <c r="B447" s="556"/>
      <c r="C447" s="556"/>
      <c r="D447" s="556"/>
      <c r="E447" s="556"/>
      <c r="F447" s="556"/>
      <c r="G447" s="556"/>
      <c r="H447" s="556"/>
      <c r="I447" s="556"/>
      <c r="J447" s="556"/>
      <c r="K447" s="556"/>
      <c r="L447" s="556"/>
      <c r="M447" s="556"/>
      <c r="N447" s="556"/>
      <c r="O447" s="557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0</v>
      </c>
      <c r="Y447" s="543">
        <f>IFERROR(Y441/H441,"0")+IFERROR(Y442/H442,"0")+IFERROR(Y443/H443,"0")+IFERROR(Y444/H444,"0")+IFERROR(Y445/H445,"0")+IFERROR(Y446/H446,"0")</f>
        <v>0</v>
      </c>
      <c r="Z447" s="543">
        <f>IFERROR(IF(Z441="",0,Z441),"0")+IFERROR(IF(Z442="",0,Z442),"0")+IFERROR(IF(Z443="",0,Z443),"0")+IFERROR(IF(Z444="",0,Z444),"0")+IFERROR(IF(Z445="",0,Z445),"0")+IFERROR(IF(Z446="",0,Z446),"0")</f>
        <v>0</v>
      </c>
      <c r="AA447" s="544"/>
      <c r="AB447" s="544"/>
      <c r="AC447" s="544"/>
    </row>
    <row r="448" spans="1:68" x14ac:dyDescent="0.2">
      <c r="A448" s="556"/>
      <c r="B448" s="556"/>
      <c r="C448" s="556"/>
      <c r="D448" s="556"/>
      <c r="E448" s="556"/>
      <c r="F448" s="556"/>
      <c r="G448" s="556"/>
      <c r="H448" s="556"/>
      <c r="I448" s="556"/>
      <c r="J448" s="556"/>
      <c r="K448" s="556"/>
      <c r="L448" s="556"/>
      <c r="M448" s="556"/>
      <c r="N448" s="556"/>
      <c r="O448" s="557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0</v>
      </c>
      <c r="Y448" s="543">
        <f>IFERROR(SUM(Y441:Y446),"0")</f>
        <v>0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6"/>
      <c r="C449" s="556"/>
      <c r="D449" s="556"/>
      <c r="E449" s="556"/>
      <c r="F449" s="556"/>
      <c r="G449" s="556"/>
      <c r="H449" s="556"/>
      <c r="I449" s="556"/>
      <c r="J449" s="556"/>
      <c r="K449" s="556"/>
      <c r="L449" s="556"/>
      <c r="M449" s="556"/>
      <c r="N449" s="556"/>
      <c r="O449" s="556"/>
      <c r="P449" s="556"/>
      <c r="Q449" s="556"/>
      <c r="R449" s="556"/>
      <c r="S449" s="556"/>
      <c r="T449" s="556"/>
      <c r="U449" s="556"/>
      <c r="V449" s="556"/>
      <c r="W449" s="556"/>
      <c r="X449" s="556"/>
      <c r="Y449" s="556"/>
      <c r="Z449" s="556"/>
      <c r="AA449" s="535"/>
      <c r="AB449" s="535"/>
      <c r="AC449" s="535"/>
    </row>
    <row r="450" spans="1:68" ht="16.5" customHeight="1" x14ac:dyDescent="0.25">
      <c r="A450" s="54" t="s">
        <v>690</v>
      </c>
      <c r="B450" s="54" t="s">
        <v>691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693</v>
      </c>
      <c r="B451" s="54" t="s">
        <v>694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5"/>
      <c r="B453" s="556"/>
      <c r="C453" s="556"/>
      <c r="D453" s="556"/>
      <c r="E453" s="556"/>
      <c r="F453" s="556"/>
      <c r="G453" s="556"/>
      <c r="H453" s="556"/>
      <c r="I453" s="556"/>
      <c r="J453" s="556"/>
      <c r="K453" s="556"/>
      <c r="L453" s="556"/>
      <c r="M453" s="556"/>
      <c r="N453" s="556"/>
      <c r="O453" s="557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6"/>
      <c r="B454" s="556"/>
      <c r="C454" s="556"/>
      <c r="D454" s="556"/>
      <c r="E454" s="556"/>
      <c r="F454" s="556"/>
      <c r="G454" s="556"/>
      <c r="H454" s="556"/>
      <c r="I454" s="556"/>
      <c r="J454" s="556"/>
      <c r="K454" s="556"/>
      <c r="L454" s="556"/>
      <c r="M454" s="556"/>
      <c r="N454" s="556"/>
      <c r="O454" s="557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3" t="s">
        <v>699</v>
      </c>
      <c r="B455" s="634"/>
      <c r="C455" s="634"/>
      <c r="D455" s="634"/>
      <c r="E455" s="634"/>
      <c r="F455" s="634"/>
      <c r="G455" s="634"/>
      <c r="H455" s="634"/>
      <c r="I455" s="634"/>
      <c r="J455" s="634"/>
      <c r="K455" s="634"/>
      <c r="L455" s="634"/>
      <c r="M455" s="634"/>
      <c r="N455" s="634"/>
      <c r="O455" s="634"/>
      <c r="P455" s="634"/>
      <c r="Q455" s="634"/>
      <c r="R455" s="634"/>
      <c r="S455" s="634"/>
      <c r="T455" s="634"/>
      <c r="U455" s="634"/>
      <c r="V455" s="634"/>
      <c r="W455" s="634"/>
      <c r="X455" s="634"/>
      <c r="Y455" s="634"/>
      <c r="Z455" s="634"/>
      <c r="AA455" s="48"/>
      <c r="AB455" s="48"/>
      <c r="AC455" s="48"/>
    </row>
    <row r="456" spans="1:68" ht="16.5" customHeight="1" x14ac:dyDescent="0.25">
      <c r="A456" s="559" t="s">
        <v>699</v>
      </c>
      <c r="B456" s="556"/>
      <c r="C456" s="556"/>
      <c r="D456" s="556"/>
      <c r="E456" s="556"/>
      <c r="F456" s="556"/>
      <c r="G456" s="556"/>
      <c r="H456" s="556"/>
      <c r="I456" s="556"/>
      <c r="J456" s="556"/>
      <c r="K456" s="556"/>
      <c r="L456" s="556"/>
      <c r="M456" s="556"/>
      <c r="N456" s="556"/>
      <c r="O456" s="556"/>
      <c r="P456" s="556"/>
      <c r="Q456" s="556"/>
      <c r="R456" s="556"/>
      <c r="S456" s="556"/>
      <c r="T456" s="556"/>
      <c r="U456" s="556"/>
      <c r="V456" s="556"/>
      <c r="W456" s="556"/>
      <c r="X456" s="556"/>
      <c r="Y456" s="556"/>
      <c r="Z456" s="556"/>
      <c r="AA456" s="536"/>
      <c r="AB456" s="536"/>
      <c r="AC456" s="536"/>
    </row>
    <row r="457" spans="1:68" ht="14.25" customHeight="1" x14ac:dyDescent="0.25">
      <c r="A457" s="558" t="s">
        <v>101</v>
      </c>
      <c r="B457" s="556"/>
      <c r="C457" s="556"/>
      <c r="D457" s="556"/>
      <c r="E457" s="556"/>
      <c r="F457" s="556"/>
      <c r="G457" s="556"/>
      <c r="H457" s="556"/>
      <c r="I457" s="556"/>
      <c r="J457" s="556"/>
      <c r="K457" s="556"/>
      <c r="L457" s="556"/>
      <c r="M457" s="556"/>
      <c r="N457" s="556"/>
      <c r="O457" s="556"/>
      <c r="P457" s="556"/>
      <c r="Q457" s="556"/>
      <c r="R457" s="556"/>
      <c r="S457" s="556"/>
      <c r="T457" s="556"/>
      <c r="U457" s="556"/>
      <c r="V457" s="556"/>
      <c r="W457" s="556"/>
      <c r="X457" s="556"/>
      <c r="Y457" s="556"/>
      <c r="Z457" s="556"/>
      <c r="AA457" s="535"/>
      <c r="AB457" s="535"/>
      <c r="AC457" s="535"/>
    </row>
    <row r="458" spans="1:68" ht="27" customHeight="1" x14ac:dyDescent="0.25">
      <c r="A458" s="54" t="s">
        <v>700</v>
      </c>
      <c r="B458" s="54" t="s">
        <v>701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60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703</v>
      </c>
      <c r="B459" s="54" t="s">
        <v>704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3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706</v>
      </c>
      <c r="B460" s="54" t="s">
        <v>707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7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708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709</v>
      </c>
      <c r="B461" s="54" t="s">
        <v>710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76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702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5"/>
      <c r="B462" s="556"/>
      <c r="C462" s="556"/>
      <c r="D462" s="556"/>
      <c r="E462" s="556"/>
      <c r="F462" s="556"/>
      <c r="G462" s="556"/>
      <c r="H462" s="556"/>
      <c r="I462" s="556"/>
      <c r="J462" s="556"/>
      <c r="K462" s="556"/>
      <c r="L462" s="556"/>
      <c r="M462" s="556"/>
      <c r="N462" s="556"/>
      <c r="O462" s="557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6"/>
      <c r="B463" s="556"/>
      <c r="C463" s="556"/>
      <c r="D463" s="556"/>
      <c r="E463" s="556"/>
      <c r="F463" s="556"/>
      <c r="G463" s="556"/>
      <c r="H463" s="556"/>
      <c r="I463" s="556"/>
      <c r="J463" s="556"/>
      <c r="K463" s="556"/>
      <c r="L463" s="556"/>
      <c r="M463" s="556"/>
      <c r="N463" s="556"/>
      <c r="O463" s="557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8" t="s">
        <v>136</v>
      </c>
      <c r="B464" s="556"/>
      <c r="C464" s="556"/>
      <c r="D464" s="556"/>
      <c r="E464" s="556"/>
      <c r="F464" s="556"/>
      <c r="G464" s="556"/>
      <c r="H464" s="556"/>
      <c r="I464" s="556"/>
      <c r="J464" s="556"/>
      <c r="K464" s="556"/>
      <c r="L464" s="556"/>
      <c r="M464" s="556"/>
      <c r="N464" s="556"/>
      <c r="O464" s="556"/>
      <c r="P464" s="556"/>
      <c r="Q464" s="556"/>
      <c r="R464" s="556"/>
      <c r="S464" s="556"/>
      <c r="T464" s="556"/>
      <c r="U464" s="556"/>
      <c r="V464" s="556"/>
      <c r="W464" s="556"/>
      <c r="X464" s="556"/>
      <c r="Y464" s="556"/>
      <c r="Z464" s="556"/>
      <c r="AA464" s="535"/>
      <c r="AB464" s="535"/>
      <c r="AC464" s="535"/>
    </row>
    <row r="465" spans="1:68" ht="27" customHeight="1" x14ac:dyDescent="0.25">
      <c r="A465" s="54" t="s">
        <v>711</v>
      </c>
      <c r="B465" s="54" t="s">
        <v>712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714</v>
      </c>
      <c r="B466" s="54" t="s">
        <v>715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717</v>
      </c>
      <c r="B467" s="54" t="s">
        <v>718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6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719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5"/>
      <c r="B468" s="556"/>
      <c r="C468" s="556"/>
      <c r="D468" s="556"/>
      <c r="E468" s="556"/>
      <c r="F468" s="556"/>
      <c r="G468" s="556"/>
      <c r="H468" s="556"/>
      <c r="I468" s="556"/>
      <c r="J468" s="556"/>
      <c r="K468" s="556"/>
      <c r="L468" s="556"/>
      <c r="M468" s="556"/>
      <c r="N468" s="556"/>
      <c r="O468" s="557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6"/>
      <c r="B469" s="556"/>
      <c r="C469" s="556"/>
      <c r="D469" s="556"/>
      <c r="E469" s="556"/>
      <c r="F469" s="556"/>
      <c r="G469" s="556"/>
      <c r="H469" s="556"/>
      <c r="I469" s="556"/>
      <c r="J469" s="556"/>
      <c r="K469" s="556"/>
      <c r="L469" s="556"/>
      <c r="M469" s="556"/>
      <c r="N469" s="556"/>
      <c r="O469" s="557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6"/>
      <c r="C470" s="556"/>
      <c r="D470" s="556"/>
      <c r="E470" s="556"/>
      <c r="F470" s="556"/>
      <c r="G470" s="556"/>
      <c r="H470" s="556"/>
      <c r="I470" s="556"/>
      <c r="J470" s="556"/>
      <c r="K470" s="556"/>
      <c r="L470" s="556"/>
      <c r="M470" s="556"/>
      <c r="N470" s="556"/>
      <c r="O470" s="556"/>
      <c r="P470" s="556"/>
      <c r="Q470" s="556"/>
      <c r="R470" s="556"/>
      <c r="S470" s="556"/>
      <c r="T470" s="556"/>
      <c r="U470" s="556"/>
      <c r="V470" s="556"/>
      <c r="W470" s="556"/>
      <c r="X470" s="556"/>
      <c r="Y470" s="556"/>
      <c r="Z470" s="556"/>
      <c r="AA470" s="535"/>
      <c r="AB470" s="535"/>
      <c r="AC470" s="535"/>
    </row>
    <row r="471" spans="1:68" ht="27" customHeight="1" x14ac:dyDescent="0.25">
      <c r="A471" s="54" t="s">
        <v>720</v>
      </c>
      <c r="B471" s="54" t="s">
        <v>721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722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723</v>
      </c>
      <c r="B472" s="54" t="s">
        <v>724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4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725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5"/>
      <c r="B473" s="556"/>
      <c r="C473" s="556"/>
      <c r="D473" s="556"/>
      <c r="E473" s="556"/>
      <c r="F473" s="556"/>
      <c r="G473" s="556"/>
      <c r="H473" s="556"/>
      <c r="I473" s="556"/>
      <c r="J473" s="556"/>
      <c r="K473" s="556"/>
      <c r="L473" s="556"/>
      <c r="M473" s="556"/>
      <c r="N473" s="556"/>
      <c r="O473" s="557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6"/>
      <c r="B474" s="556"/>
      <c r="C474" s="556"/>
      <c r="D474" s="556"/>
      <c r="E474" s="556"/>
      <c r="F474" s="556"/>
      <c r="G474" s="556"/>
      <c r="H474" s="556"/>
      <c r="I474" s="556"/>
      <c r="J474" s="556"/>
      <c r="K474" s="556"/>
      <c r="L474" s="556"/>
      <c r="M474" s="556"/>
      <c r="N474" s="556"/>
      <c r="O474" s="557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6"/>
      <c r="C475" s="556"/>
      <c r="D475" s="556"/>
      <c r="E475" s="556"/>
      <c r="F475" s="556"/>
      <c r="G475" s="556"/>
      <c r="H475" s="556"/>
      <c r="I475" s="556"/>
      <c r="J475" s="556"/>
      <c r="K475" s="556"/>
      <c r="L475" s="556"/>
      <c r="M475" s="556"/>
      <c r="N475" s="556"/>
      <c r="O475" s="556"/>
      <c r="P475" s="556"/>
      <c r="Q475" s="556"/>
      <c r="R475" s="556"/>
      <c r="S475" s="556"/>
      <c r="T475" s="556"/>
      <c r="U475" s="556"/>
      <c r="V475" s="556"/>
      <c r="W475" s="556"/>
      <c r="X475" s="556"/>
      <c r="Y475" s="556"/>
      <c r="Z475" s="556"/>
      <c r="AA475" s="535"/>
      <c r="AB475" s="535"/>
      <c r="AC475" s="535"/>
    </row>
    <row r="476" spans="1:68" ht="27" customHeight="1" x14ac:dyDescent="0.25">
      <c r="A476" s="54" t="s">
        <v>726</v>
      </c>
      <c r="B476" s="54" t="s">
        <v>727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61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728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5"/>
      <c r="B477" s="556"/>
      <c r="C477" s="556"/>
      <c r="D477" s="556"/>
      <c r="E477" s="556"/>
      <c r="F477" s="556"/>
      <c r="G477" s="556"/>
      <c r="H477" s="556"/>
      <c r="I477" s="556"/>
      <c r="J477" s="556"/>
      <c r="K477" s="556"/>
      <c r="L477" s="556"/>
      <c r="M477" s="556"/>
      <c r="N477" s="556"/>
      <c r="O477" s="557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6"/>
      <c r="B478" s="556"/>
      <c r="C478" s="556"/>
      <c r="D478" s="556"/>
      <c r="E478" s="556"/>
      <c r="F478" s="556"/>
      <c r="G478" s="556"/>
      <c r="H478" s="556"/>
      <c r="I478" s="556"/>
      <c r="J478" s="556"/>
      <c r="K478" s="556"/>
      <c r="L478" s="556"/>
      <c r="M478" s="556"/>
      <c r="N478" s="556"/>
      <c r="O478" s="557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8" t="s">
        <v>164</v>
      </c>
      <c r="B479" s="556"/>
      <c r="C479" s="556"/>
      <c r="D479" s="556"/>
      <c r="E479" s="556"/>
      <c r="F479" s="556"/>
      <c r="G479" s="556"/>
      <c r="H479" s="556"/>
      <c r="I479" s="556"/>
      <c r="J479" s="556"/>
      <c r="K479" s="556"/>
      <c r="L479" s="556"/>
      <c r="M479" s="556"/>
      <c r="N479" s="556"/>
      <c r="O479" s="556"/>
      <c r="P479" s="556"/>
      <c r="Q479" s="556"/>
      <c r="R479" s="556"/>
      <c r="S479" s="556"/>
      <c r="T479" s="556"/>
      <c r="U479" s="556"/>
      <c r="V479" s="556"/>
      <c r="W479" s="556"/>
      <c r="X479" s="556"/>
      <c r="Y479" s="556"/>
      <c r="Z479" s="556"/>
      <c r="AA479" s="535"/>
      <c r="AB479" s="535"/>
      <c r="AC479" s="535"/>
    </row>
    <row r="480" spans="1:68" ht="27" customHeight="1" x14ac:dyDescent="0.25">
      <c r="A480" s="54" t="s">
        <v>729</v>
      </c>
      <c r="B480" s="54" t="s">
        <v>730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6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732</v>
      </c>
      <c r="B481" s="54" t="s">
        <v>733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734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5"/>
      <c r="B482" s="556"/>
      <c r="C482" s="556"/>
      <c r="D482" s="556"/>
      <c r="E482" s="556"/>
      <c r="F482" s="556"/>
      <c r="G482" s="556"/>
      <c r="H482" s="556"/>
      <c r="I482" s="556"/>
      <c r="J482" s="556"/>
      <c r="K482" s="556"/>
      <c r="L482" s="556"/>
      <c r="M482" s="556"/>
      <c r="N482" s="556"/>
      <c r="O482" s="557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6"/>
      <c r="B483" s="556"/>
      <c r="C483" s="556"/>
      <c r="D483" s="556"/>
      <c r="E483" s="556"/>
      <c r="F483" s="556"/>
      <c r="G483" s="556"/>
      <c r="H483" s="556"/>
      <c r="I483" s="556"/>
      <c r="J483" s="556"/>
      <c r="K483" s="556"/>
      <c r="L483" s="556"/>
      <c r="M483" s="556"/>
      <c r="N483" s="556"/>
      <c r="O483" s="557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735</v>
      </c>
      <c r="B484" s="556"/>
      <c r="C484" s="556"/>
      <c r="D484" s="556"/>
      <c r="E484" s="556"/>
      <c r="F484" s="556"/>
      <c r="G484" s="556"/>
      <c r="H484" s="556"/>
      <c r="I484" s="556"/>
      <c r="J484" s="556"/>
      <c r="K484" s="556"/>
      <c r="L484" s="556"/>
      <c r="M484" s="556"/>
      <c r="N484" s="556"/>
      <c r="O484" s="556"/>
      <c r="P484" s="556"/>
      <c r="Q484" s="556"/>
      <c r="R484" s="556"/>
      <c r="S484" s="556"/>
      <c r="T484" s="556"/>
      <c r="U484" s="556"/>
      <c r="V484" s="556"/>
      <c r="W484" s="556"/>
      <c r="X484" s="556"/>
      <c r="Y484" s="556"/>
      <c r="Z484" s="556"/>
      <c r="AA484" s="536"/>
      <c r="AB484" s="536"/>
      <c r="AC484" s="536"/>
    </row>
    <row r="485" spans="1:68" ht="14.25" customHeight="1" x14ac:dyDescent="0.25">
      <c r="A485" s="558" t="s">
        <v>136</v>
      </c>
      <c r="B485" s="556"/>
      <c r="C485" s="556"/>
      <c r="D485" s="556"/>
      <c r="E485" s="556"/>
      <c r="F485" s="556"/>
      <c r="G485" s="556"/>
      <c r="H485" s="556"/>
      <c r="I485" s="556"/>
      <c r="J485" s="556"/>
      <c r="K485" s="556"/>
      <c r="L485" s="556"/>
      <c r="M485" s="556"/>
      <c r="N485" s="556"/>
      <c r="O485" s="556"/>
      <c r="P485" s="556"/>
      <c r="Q485" s="556"/>
      <c r="R485" s="556"/>
      <c r="S485" s="556"/>
      <c r="T485" s="556"/>
      <c r="U485" s="556"/>
      <c r="V485" s="556"/>
      <c r="W485" s="556"/>
      <c r="X485" s="556"/>
      <c r="Y485" s="556"/>
      <c r="Z485" s="556"/>
      <c r="AA485" s="535"/>
      <c r="AB485" s="535"/>
      <c r="AC485" s="535"/>
    </row>
    <row r="486" spans="1:68" ht="27" customHeight="1" x14ac:dyDescent="0.25">
      <c r="A486" s="54" t="s">
        <v>736</v>
      </c>
      <c r="B486" s="54" t="s">
        <v>737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2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738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5"/>
      <c r="B487" s="556"/>
      <c r="C487" s="556"/>
      <c r="D487" s="556"/>
      <c r="E487" s="556"/>
      <c r="F487" s="556"/>
      <c r="G487" s="556"/>
      <c r="H487" s="556"/>
      <c r="I487" s="556"/>
      <c r="J487" s="556"/>
      <c r="K487" s="556"/>
      <c r="L487" s="556"/>
      <c r="M487" s="556"/>
      <c r="N487" s="556"/>
      <c r="O487" s="557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6"/>
      <c r="B488" s="556"/>
      <c r="C488" s="556"/>
      <c r="D488" s="556"/>
      <c r="E488" s="556"/>
      <c r="F488" s="556"/>
      <c r="G488" s="556"/>
      <c r="H488" s="556"/>
      <c r="I488" s="556"/>
      <c r="J488" s="556"/>
      <c r="K488" s="556"/>
      <c r="L488" s="556"/>
      <c r="M488" s="556"/>
      <c r="N488" s="556"/>
      <c r="O488" s="557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3"/>
      <c r="B489" s="556"/>
      <c r="C489" s="556"/>
      <c r="D489" s="556"/>
      <c r="E489" s="556"/>
      <c r="F489" s="556"/>
      <c r="G489" s="556"/>
      <c r="H489" s="556"/>
      <c r="I489" s="556"/>
      <c r="J489" s="556"/>
      <c r="K489" s="556"/>
      <c r="L489" s="556"/>
      <c r="M489" s="556"/>
      <c r="N489" s="556"/>
      <c r="O489" s="701"/>
      <c r="P489" s="630" t="s">
        <v>739</v>
      </c>
      <c r="Q489" s="631"/>
      <c r="R489" s="631"/>
      <c r="S489" s="631"/>
      <c r="T489" s="631"/>
      <c r="U489" s="631"/>
      <c r="V489" s="632"/>
      <c r="W489" s="37" t="s">
        <v>69</v>
      </c>
      <c r="X489" s="543">
        <f>IFERROR(X24+X32+X36+X44+X48+X58+X64+X70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8660</v>
      </c>
      <c r="Y489" s="543">
        <f>IFERROR(Y24+Y32+Y36+Y44+Y48+Y58+Y64+Y70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8781.32</v>
      </c>
      <c r="Z489" s="37"/>
      <c r="AA489" s="544"/>
      <c r="AB489" s="544"/>
      <c r="AC489" s="544"/>
    </row>
    <row r="490" spans="1:68" x14ac:dyDescent="0.2">
      <c r="A490" s="556"/>
      <c r="B490" s="556"/>
      <c r="C490" s="556"/>
      <c r="D490" s="556"/>
      <c r="E490" s="556"/>
      <c r="F490" s="556"/>
      <c r="G490" s="556"/>
      <c r="H490" s="556"/>
      <c r="I490" s="556"/>
      <c r="J490" s="556"/>
      <c r="K490" s="556"/>
      <c r="L490" s="556"/>
      <c r="M490" s="556"/>
      <c r="N490" s="556"/>
      <c r="O490" s="701"/>
      <c r="P490" s="630" t="s">
        <v>740</v>
      </c>
      <c r="Q490" s="631"/>
      <c r="R490" s="631"/>
      <c r="S490" s="631"/>
      <c r="T490" s="631"/>
      <c r="U490" s="631"/>
      <c r="V490" s="632"/>
      <c r="W490" s="37" t="s">
        <v>69</v>
      </c>
      <c r="X490" s="543">
        <f>IFERROR(SUM(BM22:BM486),"0")</f>
        <v>9594.0606721769072</v>
      </c>
      <c r="Y490" s="543">
        <f>IFERROR(SUM(BN22:BN486),"0")</f>
        <v>9722.2980000000007</v>
      </c>
      <c r="Z490" s="37"/>
      <c r="AA490" s="544"/>
      <c r="AB490" s="544"/>
      <c r="AC490" s="544"/>
    </row>
    <row r="491" spans="1:68" x14ac:dyDescent="0.2">
      <c r="A491" s="556"/>
      <c r="B491" s="556"/>
      <c r="C491" s="556"/>
      <c r="D491" s="556"/>
      <c r="E491" s="556"/>
      <c r="F491" s="556"/>
      <c r="G491" s="556"/>
      <c r="H491" s="556"/>
      <c r="I491" s="556"/>
      <c r="J491" s="556"/>
      <c r="K491" s="556"/>
      <c r="L491" s="556"/>
      <c r="M491" s="556"/>
      <c r="N491" s="556"/>
      <c r="O491" s="701"/>
      <c r="P491" s="630" t="s">
        <v>741</v>
      </c>
      <c r="Q491" s="631"/>
      <c r="R491" s="631"/>
      <c r="S491" s="631"/>
      <c r="T491" s="631"/>
      <c r="U491" s="631"/>
      <c r="V491" s="632"/>
      <c r="W491" s="37" t="s">
        <v>742</v>
      </c>
      <c r="X491" s="38">
        <f>ROUNDUP(SUM(BO22:BO486),0)</f>
        <v>16</v>
      </c>
      <c r="Y491" s="38">
        <f>ROUNDUP(SUM(BP22:BP486),0)</f>
        <v>16</v>
      </c>
      <c r="Z491" s="37"/>
      <c r="AA491" s="544"/>
      <c r="AB491" s="544"/>
      <c r="AC491" s="544"/>
    </row>
    <row r="492" spans="1:68" x14ac:dyDescent="0.2">
      <c r="A492" s="556"/>
      <c r="B492" s="556"/>
      <c r="C492" s="556"/>
      <c r="D492" s="556"/>
      <c r="E492" s="556"/>
      <c r="F492" s="556"/>
      <c r="G492" s="556"/>
      <c r="H492" s="556"/>
      <c r="I492" s="556"/>
      <c r="J492" s="556"/>
      <c r="K492" s="556"/>
      <c r="L492" s="556"/>
      <c r="M492" s="556"/>
      <c r="N492" s="556"/>
      <c r="O492" s="701"/>
      <c r="P492" s="630" t="s">
        <v>743</v>
      </c>
      <c r="Q492" s="631"/>
      <c r="R492" s="631"/>
      <c r="S492" s="631"/>
      <c r="T492" s="631"/>
      <c r="U492" s="631"/>
      <c r="V492" s="632"/>
      <c r="W492" s="37" t="s">
        <v>69</v>
      </c>
      <c r="X492" s="543">
        <f>GrossWeightTotal+PalletQtyTotal*25</f>
        <v>9994.0606721769072</v>
      </c>
      <c r="Y492" s="543">
        <f>GrossWeightTotalR+PalletQtyTotalR*25</f>
        <v>10122.298000000001</v>
      </c>
      <c r="Z492" s="37"/>
      <c r="AA492" s="544"/>
      <c r="AB492" s="544"/>
      <c r="AC492" s="544"/>
    </row>
    <row r="493" spans="1:68" x14ac:dyDescent="0.2">
      <c r="A493" s="556"/>
      <c r="B493" s="556"/>
      <c r="C493" s="556"/>
      <c r="D493" s="556"/>
      <c r="E493" s="556"/>
      <c r="F493" s="556"/>
      <c r="G493" s="556"/>
      <c r="H493" s="556"/>
      <c r="I493" s="556"/>
      <c r="J493" s="556"/>
      <c r="K493" s="556"/>
      <c r="L493" s="556"/>
      <c r="M493" s="556"/>
      <c r="N493" s="556"/>
      <c r="O493" s="701"/>
      <c r="P493" s="630" t="s">
        <v>744</v>
      </c>
      <c r="Q493" s="631"/>
      <c r="R493" s="631"/>
      <c r="S493" s="631"/>
      <c r="T493" s="631"/>
      <c r="U493" s="631"/>
      <c r="V493" s="632"/>
      <c r="W493" s="37" t="s">
        <v>742</v>
      </c>
      <c r="X493" s="543">
        <f>IFERROR(X23+X31+X35+X43+X47+X57+X63+X69+X76+X81+X88+X95+X103+X109+X116+X120+X126+X131+X136+X143+X149+X153+X159+X171+X177+X181+X187+X192+X203+X215+X220+X234+X238+X242+X250+X259+X267+X274+X280+X284+X294+X304+X312+X318+X325+X331+X338+X350+X355+X360+X364+X370+X375+X380+X394+X399+X404+X411+X416+X432+X438+X447+X453+X462+X468+X473+X477+X482+X487,"0")</f>
        <v>2026.1403907926892</v>
      </c>
      <c r="Y493" s="543">
        <f>IFERROR(Y23+Y31+Y35+Y43+Y47+Y57+Y63+Y69+Y76+Y81+Y88+Y95+Y103+Y109+Y116+Y120+Y126+Y131+Y136+Y143+Y149+Y153+Y159+Y171+Y177+Y181+Y187+Y192+Y203+Y215+Y220+Y234+Y238+Y242+Y250+Y259+Y267+Y274+Y280+Y284+Y294+Y304+Y312+Y318+Y325+Y331+Y338+Y350+Y355+Y360+Y364+Y370+Y375+Y380+Y394+Y399+Y404+Y411+Y416+Y432+Y438+Y447+Y453+Y462+Y468+Y473+Y477+Y482+Y487,"0")</f>
        <v>2043</v>
      </c>
      <c r="Z493" s="37"/>
      <c r="AA493" s="544"/>
      <c r="AB493" s="544"/>
      <c r="AC493" s="544"/>
    </row>
    <row r="494" spans="1:68" ht="14.25" customHeight="1" x14ac:dyDescent="0.2">
      <c r="A494" s="556"/>
      <c r="B494" s="556"/>
      <c r="C494" s="556"/>
      <c r="D494" s="556"/>
      <c r="E494" s="556"/>
      <c r="F494" s="556"/>
      <c r="G494" s="556"/>
      <c r="H494" s="556"/>
      <c r="I494" s="556"/>
      <c r="J494" s="556"/>
      <c r="K494" s="556"/>
      <c r="L494" s="556"/>
      <c r="M494" s="556"/>
      <c r="N494" s="556"/>
      <c r="O494" s="701"/>
      <c r="P494" s="630" t="s">
        <v>745</v>
      </c>
      <c r="Q494" s="631"/>
      <c r="R494" s="631"/>
      <c r="S494" s="631"/>
      <c r="T494" s="631"/>
      <c r="U494" s="631"/>
      <c r="V494" s="632"/>
      <c r="W494" s="39" t="s">
        <v>746</v>
      </c>
      <c r="X494" s="37"/>
      <c r="Y494" s="37"/>
      <c r="Z494" s="37">
        <f>IFERROR(Z23+Z31+Z35+Z43+Z47+Z57+Z63+Z69+Z76+Z81+Z88+Z95+Z103+Z109+Z116+Z120+Z126+Z131+Z136+Z143+Z149+Z153+Z159+Z171+Z177+Z181+Z187+Z192+Z203+Z215+Z220+Z234+Z238+Z242+Z250+Z259+Z267+Z274+Z280+Z284+Z294+Z304+Z312+Z318+Z325+Z331+Z338+Z350+Z355+Z360+Z364+Z370+Z375+Z380+Z394+Z399+Z404+Z411+Z416+Z432+Z438+Z447+Z453+Z462+Z468+Z473+Z477+Z482+Z487,"0")</f>
        <v>18.626350000000002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747</v>
      </c>
      <c r="B496" s="533" t="s">
        <v>63</v>
      </c>
      <c r="C496" s="591" t="s">
        <v>99</v>
      </c>
      <c r="D496" s="653"/>
      <c r="E496" s="653"/>
      <c r="F496" s="653"/>
      <c r="G496" s="653"/>
      <c r="H496" s="622"/>
      <c r="I496" s="591" t="s">
        <v>255</v>
      </c>
      <c r="J496" s="653"/>
      <c r="K496" s="653"/>
      <c r="L496" s="653"/>
      <c r="M496" s="653"/>
      <c r="N496" s="653"/>
      <c r="O496" s="653"/>
      <c r="P496" s="653"/>
      <c r="Q496" s="653"/>
      <c r="R496" s="622"/>
      <c r="S496" s="591" t="s">
        <v>536</v>
      </c>
      <c r="T496" s="622"/>
      <c r="U496" s="591" t="s">
        <v>588</v>
      </c>
      <c r="V496" s="653"/>
      <c r="W496" s="622"/>
      <c r="X496" s="533" t="s">
        <v>639</v>
      </c>
      <c r="Y496" s="591" t="s">
        <v>699</v>
      </c>
      <c r="Z496" s="622"/>
      <c r="AB496" s="52"/>
      <c r="AC496" s="52"/>
      <c r="AF496" s="534"/>
    </row>
    <row r="497" spans="1:32" ht="14.25" customHeight="1" thickTop="1" x14ac:dyDescent="0.2">
      <c r="A497" s="834" t="s">
        <v>748</v>
      </c>
      <c r="B497" s="591" t="s">
        <v>63</v>
      </c>
      <c r="C497" s="591" t="s">
        <v>100</v>
      </c>
      <c r="D497" s="591" t="s">
        <v>117</v>
      </c>
      <c r="E497" s="591" t="s">
        <v>171</v>
      </c>
      <c r="F497" s="591" t="s">
        <v>190</v>
      </c>
      <c r="G497" s="591" t="s">
        <v>220</v>
      </c>
      <c r="H497" s="591" t="s">
        <v>99</v>
      </c>
      <c r="I497" s="591" t="s">
        <v>256</v>
      </c>
      <c r="J497" s="591" t="s">
        <v>297</v>
      </c>
      <c r="K497" s="591" t="s">
        <v>357</v>
      </c>
      <c r="L497" s="591" t="s">
        <v>399</v>
      </c>
      <c r="M497" s="591" t="s">
        <v>415</v>
      </c>
      <c r="N497" s="534"/>
      <c r="O497" s="591" t="s">
        <v>426</v>
      </c>
      <c r="P497" s="591" t="s">
        <v>435</v>
      </c>
      <c r="Q497" s="591" t="s">
        <v>445</v>
      </c>
      <c r="R497" s="591" t="s">
        <v>526</v>
      </c>
      <c r="S497" s="591" t="s">
        <v>537</v>
      </c>
      <c r="T497" s="591" t="s">
        <v>572</v>
      </c>
      <c r="U497" s="591" t="s">
        <v>589</v>
      </c>
      <c r="V497" s="591" t="s">
        <v>620</v>
      </c>
      <c r="W497" s="591" t="s">
        <v>635</v>
      </c>
      <c r="X497" s="591" t="s">
        <v>639</v>
      </c>
      <c r="Y497" s="591" t="s">
        <v>699</v>
      </c>
      <c r="Z497" s="591" t="s">
        <v>735</v>
      </c>
      <c r="AB497" s="52"/>
      <c r="AC497" s="52"/>
      <c r="AF497" s="534"/>
    </row>
    <row r="498" spans="1:32" ht="13.5" customHeight="1" thickBot="1" x14ac:dyDescent="0.25">
      <c r="A498" s="835"/>
      <c r="B498" s="592"/>
      <c r="C498" s="592"/>
      <c r="D498" s="592"/>
      <c r="E498" s="592"/>
      <c r="F498" s="592"/>
      <c r="G498" s="592"/>
      <c r="H498" s="592"/>
      <c r="I498" s="592"/>
      <c r="J498" s="592"/>
      <c r="K498" s="592"/>
      <c r="L498" s="592"/>
      <c r="M498" s="592"/>
      <c r="N498" s="534"/>
      <c r="O498" s="592"/>
      <c r="P498" s="592"/>
      <c r="Q498" s="592"/>
      <c r="R498" s="592"/>
      <c r="S498" s="592"/>
      <c r="T498" s="592"/>
      <c r="U498" s="592"/>
      <c r="V498" s="592"/>
      <c r="W498" s="592"/>
      <c r="X498" s="592"/>
      <c r="Y498" s="592"/>
      <c r="Z498" s="592"/>
      <c r="AB498" s="52"/>
      <c r="AC498" s="52"/>
      <c r="AF498" s="534"/>
    </row>
    <row r="499" spans="1:32" ht="18" customHeight="1" thickTop="1" thickBot="1" x14ac:dyDescent="0.25">
      <c r="A499" s="40" t="s">
        <v>749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1019</v>
      </c>
      <c r="E499" s="46">
        <f>IFERROR(Y85*1,"0")+IFERROR(Y86*1,"0")+IFERROR(Y87*1,"0")+IFERROR(Y91*1,"0")+IFERROR(Y92*1,"0")+IFERROR(Y93*1,"0")+IFERROR(Y94*1,"0")</f>
        <v>258.48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830.1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100.80000000000001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2336.1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4"/>
      <c r="O499" s="46">
        <f>IFERROR(Y271*1,"0")+IFERROR(Y272*1,"0")+IFERROR(Y273*1,"0")</f>
        <v>100.8</v>
      </c>
      <c r="P499" s="46">
        <f>IFERROR(Y278*1,"0")+IFERROR(Y279*1,"0")+IFERROR(Y283*1,"0")</f>
        <v>0</v>
      </c>
      <c r="Q499" s="46">
        <f>IFERROR(Y288*1,"0")+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226.2</v>
      </c>
      <c r="R499" s="46">
        <f>IFERROR(Y335*1,"0")+IFERROR(Y336*1,"0")+IFERROR(Y337*1,"0")</f>
        <v>50.400000000000006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1146</v>
      </c>
      <c r="T499" s="46">
        <f>IFERROR(Y368*1,"0")+IFERROR(Y369*1,"0")+IFERROR(Y373*1,"0")+IFERROR(Y374*1,"0")+IFERROR(Y378*1,"0")+IFERROR(Y379*1,"0")</f>
        <v>506.4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2207.04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4"/>
    </row>
  </sheetData>
  <sheetProtection algorithmName="SHA-512" hashValue="opWSQxOqg5NUh1yzJABrUsovkIX6m/bEaBWTjpIEKKCyqWQveXY8uHjnDJdRBzDnkMPr2Hvgsd0KMEklD1uPSg==" saltValue="olqZioCsyCaJV8mBFBGIL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G497:G498"/>
    <mergeCell ref="Q497:Q498"/>
    <mergeCell ref="D42:E42"/>
    <mergeCell ref="P356:V356"/>
    <mergeCell ref="P363:T363"/>
    <mergeCell ref="A468:O469"/>
    <mergeCell ref="D17:E18"/>
    <mergeCell ref="D344:E344"/>
    <mergeCell ref="A479:Z479"/>
    <mergeCell ref="D471:E471"/>
    <mergeCell ref="I497:I498"/>
    <mergeCell ref="X17:X18"/>
    <mergeCell ref="P202:T202"/>
    <mergeCell ref="P307:T307"/>
    <mergeCell ref="D421:E421"/>
    <mergeCell ref="P373:T373"/>
    <mergeCell ref="P444:T444"/>
    <mergeCell ref="D408:E408"/>
    <mergeCell ref="P216:V216"/>
    <mergeCell ref="A8:C8"/>
    <mergeCell ref="P124:T124"/>
    <mergeCell ref="D293:E293"/>
    <mergeCell ref="A477:O478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A489:O494"/>
    <mergeCell ref="P60:T60"/>
    <mergeCell ref="D291:E291"/>
    <mergeCell ref="P174:T174"/>
    <mergeCell ref="D266:E266"/>
    <mergeCell ref="U17:V17"/>
    <mergeCell ref="Y17:Y18"/>
    <mergeCell ref="P385:T385"/>
    <mergeCell ref="P410:T410"/>
    <mergeCell ref="A484:Z484"/>
    <mergeCell ref="A487:O488"/>
    <mergeCell ref="A33:Z33"/>
    <mergeCell ref="T497:T498"/>
    <mergeCell ref="D196:E196"/>
    <mergeCell ref="A269:Z269"/>
    <mergeCell ref="A440:Z440"/>
    <mergeCell ref="V497:V498"/>
    <mergeCell ref="A126:O127"/>
    <mergeCell ref="P23:V23"/>
    <mergeCell ref="P381:V381"/>
    <mergeCell ref="A262:Z262"/>
    <mergeCell ref="A333:Z333"/>
    <mergeCell ref="D54:E54"/>
    <mergeCell ref="P160:V160"/>
    <mergeCell ref="D271:E271"/>
    <mergeCell ref="D191:E191"/>
    <mergeCell ref="D458:E458"/>
    <mergeCell ref="P368:T368"/>
    <mergeCell ref="A362:Z362"/>
    <mergeCell ref="P43:V43"/>
    <mergeCell ref="A39:Z39"/>
    <mergeCell ref="D237:E237"/>
    <mergeCell ref="P285:V285"/>
    <mergeCell ref="A215:O216"/>
    <mergeCell ref="A497:A498"/>
    <mergeCell ref="D170:E170"/>
    <mergeCell ref="A31:O32"/>
    <mergeCell ref="N17:N18"/>
    <mergeCell ref="P72:T72"/>
    <mergeCell ref="Q5:R5"/>
    <mergeCell ref="F17:F18"/>
    <mergeCell ref="P132:V132"/>
    <mergeCell ref="P199:T199"/>
    <mergeCell ref="P297:T297"/>
    <mergeCell ref="P435:T435"/>
    <mergeCell ref="D107:E107"/>
    <mergeCell ref="D163:E163"/>
    <mergeCell ref="D278:E278"/>
    <mergeCell ref="P291:T291"/>
    <mergeCell ref="P288:T288"/>
    <mergeCell ref="P263:T263"/>
    <mergeCell ref="P305:V305"/>
    <mergeCell ref="P228:T228"/>
    <mergeCell ref="P293:T293"/>
    <mergeCell ref="A149:O150"/>
    <mergeCell ref="D336:E336"/>
    <mergeCell ref="D407:E407"/>
    <mergeCell ref="A447:O448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A236:Z236"/>
    <mergeCell ref="A223:Z223"/>
    <mergeCell ref="V11:W11"/>
    <mergeCell ref="D392:E392"/>
    <mergeCell ref="A370:O371"/>
    <mergeCell ref="D165:E165"/>
    <mergeCell ref="P75:T75"/>
    <mergeCell ref="P146:T146"/>
    <mergeCell ref="D152:E152"/>
    <mergeCell ref="A136:O137"/>
    <mergeCell ref="A192:O193"/>
    <mergeCell ref="D279:E279"/>
    <mergeCell ref="P317:T317"/>
    <mergeCell ref="W497:W498"/>
    <mergeCell ref="D10:E10"/>
    <mergeCell ref="A23:O24"/>
    <mergeCell ref="F10:G10"/>
    <mergeCell ref="P135:T135"/>
    <mergeCell ref="D34:E34"/>
    <mergeCell ref="A181:O182"/>
    <mergeCell ref="P191:T191"/>
    <mergeCell ref="D99:E99"/>
    <mergeCell ref="P349:T349"/>
    <mergeCell ref="D397:E397"/>
    <mergeCell ref="P376:V376"/>
    <mergeCell ref="D310:E310"/>
    <mergeCell ref="D430:E430"/>
    <mergeCell ref="P469:V469"/>
    <mergeCell ref="P486:T486"/>
    <mergeCell ref="D323:E323"/>
    <mergeCell ref="D450:E450"/>
    <mergeCell ref="D29:E29"/>
    <mergeCell ref="D265:E265"/>
    <mergeCell ref="P344:T344"/>
    <mergeCell ref="A20:Z20"/>
    <mergeCell ref="P371:V371"/>
    <mergeCell ref="D452:E452"/>
    <mergeCell ref="P2:W3"/>
    <mergeCell ref="A57:O58"/>
    <mergeCell ref="P298:T298"/>
    <mergeCell ref="P198:T198"/>
    <mergeCell ref="D241:E241"/>
    <mergeCell ref="P54:T54"/>
    <mergeCell ref="P347:T347"/>
    <mergeCell ref="P369:T369"/>
    <mergeCell ref="D437:E437"/>
    <mergeCell ref="D228:E228"/>
    <mergeCell ref="P312:V312"/>
    <mergeCell ref="P421:T421"/>
    <mergeCell ref="A411:O412"/>
    <mergeCell ref="P408:T408"/>
    <mergeCell ref="P137:V137"/>
    <mergeCell ref="D218:E218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P492:V492"/>
    <mergeCell ref="B497:B498"/>
    <mergeCell ref="A103:O104"/>
    <mergeCell ref="P415:T415"/>
    <mergeCell ref="S496:T496"/>
    <mergeCell ref="M17:M18"/>
    <mergeCell ref="O17:O18"/>
    <mergeCell ref="P336:T336"/>
    <mergeCell ref="P131:V131"/>
    <mergeCell ref="P187:V187"/>
    <mergeCell ref="A453:O454"/>
    <mergeCell ref="P430:T430"/>
    <mergeCell ref="P494:V494"/>
    <mergeCell ref="P350:V350"/>
    <mergeCell ref="P102:T102"/>
    <mergeCell ref="P196:T196"/>
    <mergeCell ref="P281:V281"/>
    <mergeCell ref="D226:E226"/>
    <mergeCell ref="P354:T354"/>
    <mergeCell ref="D164:E164"/>
    <mergeCell ref="P62:T62"/>
    <mergeCell ref="U497:U498"/>
    <mergeCell ref="I496:R496"/>
    <mergeCell ref="P493:V493"/>
    <mergeCell ref="L497:L498"/>
    <mergeCell ref="A318:O319"/>
    <mergeCell ref="P47:V47"/>
    <mergeCell ref="P176:T176"/>
    <mergeCell ref="P114:T114"/>
    <mergeCell ref="P247:T247"/>
    <mergeCell ref="P241:T241"/>
    <mergeCell ref="P41:T41"/>
    <mergeCell ref="D22:E22"/>
    <mergeCell ref="A35:O36"/>
    <mergeCell ref="A157:Z157"/>
    <mergeCell ref="A455:Z455"/>
    <mergeCell ref="A222:Z222"/>
    <mergeCell ref="P301:T301"/>
    <mergeCell ref="D385:E385"/>
    <mergeCell ref="P34:T34"/>
    <mergeCell ref="D481:E481"/>
    <mergeCell ref="D86:E86"/>
    <mergeCell ref="P214:T214"/>
    <mergeCell ref="D257:E257"/>
    <mergeCell ref="D213:E213"/>
    <mergeCell ref="P192:V192"/>
    <mergeCell ref="A457:Z457"/>
    <mergeCell ref="P284:V284"/>
    <mergeCell ref="A9:C9"/>
    <mergeCell ref="P125:T125"/>
    <mergeCell ref="P321:T321"/>
    <mergeCell ref="D202:E202"/>
    <mergeCell ref="D373:E373"/>
    <mergeCell ref="A242:O243"/>
    <mergeCell ref="P112:T112"/>
    <mergeCell ref="A179:Z179"/>
    <mergeCell ref="C496:H496"/>
    <mergeCell ref="P348:T348"/>
    <mergeCell ref="P323:T323"/>
    <mergeCell ref="A414:Z414"/>
    <mergeCell ref="D231:E231"/>
    <mergeCell ref="D358:E358"/>
    <mergeCell ref="P70:V70"/>
    <mergeCell ref="A156:Z156"/>
    <mergeCell ref="A327:Z327"/>
    <mergeCell ref="P116:V116"/>
    <mergeCell ref="P32:V32"/>
    <mergeCell ref="P474:V474"/>
    <mergeCell ref="P103:V103"/>
    <mergeCell ref="Q13:R13"/>
    <mergeCell ref="A155:Z155"/>
    <mergeCell ref="P268:V268"/>
    <mergeCell ref="H5:M5"/>
    <mergeCell ref="P31:V31"/>
    <mergeCell ref="P473:V473"/>
    <mergeCell ref="D212:E212"/>
    <mergeCell ref="D146:E146"/>
    <mergeCell ref="P225:T225"/>
    <mergeCell ref="D317:E317"/>
    <mergeCell ref="D6:M6"/>
    <mergeCell ref="A341:Z341"/>
    <mergeCell ref="A456:Z456"/>
    <mergeCell ref="A306:Z306"/>
    <mergeCell ref="P461:T461"/>
    <mergeCell ref="P175:T175"/>
    <mergeCell ref="P95:V95"/>
    <mergeCell ref="P162:T162"/>
    <mergeCell ref="P331:V331"/>
    <mergeCell ref="P460:T460"/>
    <mergeCell ref="P227:T227"/>
    <mergeCell ref="P398:T398"/>
    <mergeCell ref="D441:E441"/>
    <mergeCell ref="D368:E368"/>
    <mergeCell ref="P106:T106"/>
    <mergeCell ref="P93:T93"/>
    <mergeCell ref="P226:T226"/>
    <mergeCell ref="S497:S498"/>
    <mergeCell ref="K497:K498"/>
    <mergeCell ref="D415:E415"/>
    <mergeCell ref="M497:M498"/>
    <mergeCell ref="P394:V394"/>
    <mergeCell ref="P257:T257"/>
    <mergeCell ref="P80:T80"/>
    <mergeCell ref="Z17:Z18"/>
    <mergeCell ref="AB17:AB18"/>
    <mergeCell ref="A90:Z90"/>
    <mergeCell ref="A277:Z277"/>
    <mergeCell ref="D446:E446"/>
    <mergeCell ref="P44:V44"/>
    <mergeCell ref="D85:E85"/>
    <mergeCell ref="P164:T164"/>
    <mergeCell ref="D207:E207"/>
    <mergeCell ref="P120:V120"/>
    <mergeCell ref="D256:E256"/>
    <mergeCell ref="A294:O295"/>
    <mergeCell ref="P335:T335"/>
    <mergeCell ref="D299:E299"/>
    <mergeCell ref="P405:V405"/>
    <mergeCell ref="A401:Z401"/>
    <mergeCell ref="G17:G18"/>
    <mergeCell ref="V6:W9"/>
    <mergeCell ref="P256:T256"/>
    <mergeCell ref="D199:E199"/>
    <mergeCell ref="P234:V234"/>
    <mergeCell ref="A59:Z59"/>
    <mergeCell ref="A404:O405"/>
    <mergeCell ref="D186:E186"/>
    <mergeCell ref="D435:E435"/>
    <mergeCell ref="P345:T345"/>
    <mergeCell ref="P22:T22"/>
    <mergeCell ref="P40:T40"/>
    <mergeCell ref="D428:E428"/>
    <mergeCell ref="P57:V57"/>
    <mergeCell ref="A81:O82"/>
    <mergeCell ref="P171:V171"/>
    <mergeCell ref="P242:V242"/>
    <mergeCell ref="D80:E80"/>
    <mergeCell ref="P121:V121"/>
    <mergeCell ref="A296:Z296"/>
    <mergeCell ref="D288:E288"/>
    <mergeCell ref="P130:T130"/>
    <mergeCell ref="P190:T190"/>
    <mergeCell ref="P46:T46"/>
    <mergeCell ref="D225:E225"/>
    <mergeCell ref="AC17:AC18"/>
    <mergeCell ref="A377:Z377"/>
    <mergeCell ref="A122:Z122"/>
    <mergeCell ref="P108:T108"/>
    <mergeCell ref="P279:T279"/>
    <mergeCell ref="D393:E393"/>
    <mergeCell ref="A420:Z420"/>
    <mergeCell ref="P472:T472"/>
    <mergeCell ref="P254:T254"/>
    <mergeCell ref="P343:T343"/>
    <mergeCell ref="A462:O463"/>
    <mergeCell ref="D459:E459"/>
    <mergeCell ref="P409:T409"/>
    <mergeCell ref="A399:O400"/>
    <mergeCell ref="D461:E461"/>
    <mergeCell ref="P61:T61"/>
    <mergeCell ref="D200:E200"/>
    <mergeCell ref="P359:T359"/>
    <mergeCell ref="D436:E436"/>
    <mergeCell ref="D292:E292"/>
    <mergeCell ref="P346:T346"/>
    <mergeCell ref="D227:E227"/>
    <mergeCell ref="P339:V339"/>
    <mergeCell ref="P201:T201"/>
    <mergeCell ref="P483:V483"/>
    <mergeCell ref="D298:E298"/>
    <mergeCell ref="P91:T91"/>
    <mergeCell ref="P404:V404"/>
    <mergeCell ref="D273:E273"/>
    <mergeCell ref="P468:V468"/>
    <mergeCell ref="A464:Z464"/>
    <mergeCell ref="H10:M10"/>
    <mergeCell ref="AA17:AA18"/>
    <mergeCell ref="P212:T212"/>
    <mergeCell ref="P482:V482"/>
    <mergeCell ref="D389:E389"/>
    <mergeCell ref="P107:T107"/>
    <mergeCell ref="P278:T278"/>
    <mergeCell ref="D321:E321"/>
    <mergeCell ref="P63:V63"/>
    <mergeCell ref="P101:T101"/>
    <mergeCell ref="D386:E386"/>
    <mergeCell ref="P465:T465"/>
    <mergeCell ref="P250:V250"/>
    <mergeCell ref="A364:O365"/>
    <mergeCell ref="P200:T200"/>
    <mergeCell ref="P134:T134"/>
    <mergeCell ref="P436:T436"/>
    <mergeCell ref="P459:T459"/>
    <mergeCell ref="D465:E465"/>
    <mergeCell ref="P104:V104"/>
    <mergeCell ref="A252:Z252"/>
    <mergeCell ref="P275:V275"/>
    <mergeCell ref="D427:E427"/>
    <mergeCell ref="P27:T27"/>
    <mergeCell ref="A284:O285"/>
    <mergeCell ref="D75:E75"/>
    <mergeCell ref="D206:E206"/>
    <mergeCell ref="P390:T390"/>
    <mergeCell ref="P292:T292"/>
    <mergeCell ref="A360:O361"/>
    <mergeCell ref="D102:E102"/>
    <mergeCell ref="P81:V81"/>
    <mergeCell ref="P85:T85"/>
    <mergeCell ref="P454:V454"/>
    <mergeCell ref="D56:E56"/>
    <mergeCell ref="P206:T206"/>
    <mergeCell ref="P233:T233"/>
    <mergeCell ref="D176:E176"/>
    <mergeCell ref="D347:E347"/>
    <mergeCell ref="D114:E114"/>
    <mergeCell ref="C497:C498"/>
    <mergeCell ref="E497:E498"/>
    <mergeCell ref="P220:V220"/>
    <mergeCell ref="P248:T248"/>
    <mergeCell ref="P441:T441"/>
    <mergeCell ref="D349:E349"/>
    <mergeCell ref="D476:E476"/>
    <mergeCell ref="P207:T207"/>
    <mergeCell ref="A131:O132"/>
    <mergeCell ref="A372:Z372"/>
    <mergeCell ref="P172:V172"/>
    <mergeCell ref="P299:T299"/>
    <mergeCell ref="P150:V150"/>
    <mergeCell ref="P221:V221"/>
    <mergeCell ref="P326:V326"/>
    <mergeCell ref="P215:V215"/>
    <mergeCell ref="P393:T393"/>
    <mergeCell ref="A419:Z419"/>
    <mergeCell ref="A153:O154"/>
    <mergeCell ref="A133:Z133"/>
    <mergeCell ref="D125:E125"/>
    <mergeCell ref="P446:T446"/>
    <mergeCell ref="J9:M9"/>
    <mergeCell ref="D112:E112"/>
    <mergeCell ref="D283:E283"/>
    <mergeCell ref="A418:Z418"/>
    <mergeCell ref="D348:E348"/>
    <mergeCell ref="D62:E62"/>
    <mergeCell ref="P141:T141"/>
    <mergeCell ref="D51:E51"/>
    <mergeCell ref="A38:Z38"/>
    <mergeCell ref="D374:E374"/>
    <mergeCell ref="P232:T232"/>
    <mergeCell ref="P330:T330"/>
    <mergeCell ref="D140:E140"/>
    <mergeCell ref="A340:Z340"/>
    <mergeCell ref="D425:E425"/>
    <mergeCell ref="D359:E359"/>
    <mergeCell ref="H17:H18"/>
    <mergeCell ref="A220:O221"/>
    <mergeCell ref="P388:T388"/>
    <mergeCell ref="P451:T451"/>
    <mergeCell ref="P126:V126"/>
    <mergeCell ref="A470:Z470"/>
    <mergeCell ref="D424:E424"/>
    <mergeCell ref="P224:T224"/>
    <mergeCell ref="P322:T322"/>
    <mergeCell ref="P211:T211"/>
    <mergeCell ref="P309:T309"/>
    <mergeCell ref="P51:T51"/>
    <mergeCell ref="P324:T324"/>
    <mergeCell ref="A143:O144"/>
    <mergeCell ref="A261:Z261"/>
    <mergeCell ref="P338:V338"/>
    <mergeCell ref="P313:V313"/>
    <mergeCell ref="A138:Z138"/>
    <mergeCell ref="P58:V58"/>
    <mergeCell ref="D61:E61"/>
    <mergeCell ref="P115:T115"/>
    <mergeCell ref="D254:E254"/>
    <mergeCell ref="A367:Z367"/>
    <mergeCell ref="A183:Z183"/>
    <mergeCell ref="A88:O89"/>
    <mergeCell ref="D346:E346"/>
    <mergeCell ref="P229:T229"/>
    <mergeCell ref="T5:U5"/>
    <mergeCell ref="D119:E119"/>
    <mergeCell ref="V5:W5"/>
    <mergeCell ref="D190:E190"/>
    <mergeCell ref="D46:E46"/>
    <mergeCell ref="D246:E246"/>
    <mergeCell ref="P294:V294"/>
    <mergeCell ref="D40:E40"/>
    <mergeCell ref="P374:T374"/>
    <mergeCell ref="D233:E233"/>
    <mergeCell ref="Q8:R8"/>
    <mergeCell ref="P140:T140"/>
    <mergeCell ref="P311:T311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149:V149"/>
    <mergeCell ref="A145:Z145"/>
    <mergeCell ref="D497:D498"/>
    <mergeCell ref="A14:M14"/>
    <mergeCell ref="A111:Z111"/>
    <mergeCell ref="P163:T163"/>
    <mergeCell ref="D480:E480"/>
    <mergeCell ref="F497:F498"/>
    <mergeCell ref="D345:E345"/>
    <mergeCell ref="A280:O281"/>
    <mergeCell ref="P424:T424"/>
    <mergeCell ref="D467:E467"/>
    <mergeCell ref="D409:E409"/>
    <mergeCell ref="D444:E444"/>
    <mergeCell ref="P425:T425"/>
    <mergeCell ref="Y497:Y498"/>
    <mergeCell ref="P447:V447"/>
    <mergeCell ref="A139:Z139"/>
    <mergeCell ref="P387:T387"/>
    <mergeCell ref="A406:Z406"/>
    <mergeCell ref="P360:V360"/>
    <mergeCell ref="D422:E422"/>
    <mergeCell ref="D74:E74"/>
    <mergeCell ref="P87:T87"/>
    <mergeCell ref="D130:E130"/>
    <mergeCell ref="D68:E68"/>
    <mergeCell ref="D328:E328"/>
    <mergeCell ref="P136:V136"/>
    <mergeCell ref="A253:Z253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D201:E201"/>
    <mergeCell ref="D335:E335"/>
    <mergeCell ref="A375:O376"/>
    <mergeCell ref="P245:T245"/>
    <mergeCell ref="P26:T26"/>
    <mergeCell ref="A13:M13"/>
    <mergeCell ref="A15:M15"/>
    <mergeCell ref="D198:E198"/>
    <mergeCell ref="V12:W12"/>
    <mergeCell ref="D52:E52"/>
    <mergeCell ref="P110:V110"/>
    <mergeCell ref="D27:E27"/>
    <mergeCell ref="A338:O339"/>
    <mergeCell ref="P208:T208"/>
    <mergeCell ref="P15:T16"/>
    <mergeCell ref="P450:T450"/>
    <mergeCell ref="A325:O326"/>
    <mergeCell ref="D91:E91"/>
    <mergeCell ref="P219:T219"/>
    <mergeCell ref="D162:E162"/>
    <mergeCell ref="A69:O70"/>
    <mergeCell ref="P272:T272"/>
    <mergeCell ref="P210:T210"/>
    <mergeCell ref="D398:E398"/>
    <mergeCell ref="P439:V439"/>
    <mergeCell ref="A267:O268"/>
    <mergeCell ref="P308:T308"/>
    <mergeCell ref="P433:V433"/>
    <mergeCell ref="A438:O439"/>
    <mergeCell ref="D106:E106"/>
    <mergeCell ref="P185:T185"/>
    <mergeCell ref="P427:T427"/>
    <mergeCell ref="P283:T283"/>
    <mergeCell ref="P53:T53"/>
    <mergeCell ref="D167:E167"/>
    <mergeCell ref="P289:T289"/>
    <mergeCell ref="P422:T422"/>
    <mergeCell ref="D232:E232"/>
    <mergeCell ref="D403:E403"/>
    <mergeCell ref="Z497:Z498"/>
    <mergeCell ref="P238:V238"/>
    <mergeCell ref="P264:T264"/>
    <mergeCell ref="P68:T68"/>
    <mergeCell ref="D169:E169"/>
    <mergeCell ref="A312:O313"/>
    <mergeCell ref="P353:T353"/>
    <mergeCell ref="P82:V82"/>
    <mergeCell ref="P204:V204"/>
    <mergeCell ref="P303:T303"/>
    <mergeCell ref="A357:Z357"/>
    <mergeCell ref="D330:E330"/>
    <mergeCell ref="P304:V304"/>
    <mergeCell ref="P181:V181"/>
    <mergeCell ref="A98:Z98"/>
    <mergeCell ref="A396:Z396"/>
    <mergeCell ref="D460:E460"/>
    <mergeCell ref="D93:E93"/>
    <mergeCell ref="P491:V491"/>
    <mergeCell ref="A5:C5"/>
    <mergeCell ref="P412:V412"/>
    <mergeCell ref="P64:V64"/>
    <mergeCell ref="A485:Z485"/>
    <mergeCell ref="D166:E166"/>
    <mergeCell ref="D337:E337"/>
    <mergeCell ref="A17:A18"/>
    <mergeCell ref="K17:K18"/>
    <mergeCell ref="A189:Z189"/>
    <mergeCell ref="A118:Z118"/>
    <mergeCell ref="C17:C18"/>
    <mergeCell ref="P431:T431"/>
    <mergeCell ref="P364:V364"/>
    <mergeCell ref="P300:T300"/>
    <mergeCell ref="P195:T195"/>
    <mergeCell ref="D230:E230"/>
    <mergeCell ref="P358:T358"/>
    <mergeCell ref="D168:E168"/>
    <mergeCell ref="P380:V380"/>
    <mergeCell ref="D466:E466"/>
    <mergeCell ref="P66:T66"/>
    <mergeCell ref="D9:E9"/>
    <mergeCell ref="D180:E180"/>
    <mergeCell ref="O497:O498"/>
    <mergeCell ref="A6:C6"/>
    <mergeCell ref="D309:E309"/>
    <mergeCell ref="D113:E113"/>
    <mergeCell ref="U496:W496"/>
    <mergeCell ref="P180:T180"/>
    <mergeCell ref="P167:T167"/>
    <mergeCell ref="P142:T142"/>
    <mergeCell ref="D26:E26"/>
    <mergeCell ref="D148:E148"/>
    <mergeCell ref="A161:Z161"/>
    <mergeCell ref="D324:E324"/>
    <mergeCell ref="A259:O260"/>
    <mergeCell ref="P378:T378"/>
    <mergeCell ref="P403:T403"/>
    <mergeCell ref="P55:T55"/>
    <mergeCell ref="D115:E115"/>
    <mergeCell ref="D311:E311"/>
    <mergeCell ref="P417:V417"/>
    <mergeCell ref="P480:T480"/>
    <mergeCell ref="Q12:R12"/>
    <mergeCell ref="A203:O204"/>
    <mergeCell ref="P169:T169"/>
    <mergeCell ref="A274:O275"/>
    <mergeCell ref="R497:R498"/>
    <mergeCell ref="P497:P498"/>
    <mergeCell ref="D108:E108"/>
    <mergeCell ref="P258:T258"/>
    <mergeCell ref="P429:T429"/>
    <mergeCell ref="D369:E369"/>
    <mergeCell ref="A304:O305"/>
    <mergeCell ref="P52:T52"/>
    <mergeCell ref="P423:T423"/>
    <mergeCell ref="P481:T481"/>
    <mergeCell ref="D141:E141"/>
    <mergeCell ref="D135:E135"/>
    <mergeCell ref="P203:V203"/>
    <mergeCell ref="D72:E72"/>
    <mergeCell ref="P295:V295"/>
    <mergeCell ref="P178:V178"/>
    <mergeCell ref="A177:O178"/>
    <mergeCell ref="P267:V267"/>
    <mergeCell ref="P463:V463"/>
    <mergeCell ref="D451:E451"/>
    <mergeCell ref="D255:E255"/>
    <mergeCell ref="P478:V478"/>
    <mergeCell ref="A97:Z97"/>
    <mergeCell ref="D322:E322"/>
    <mergeCell ref="P490:V490"/>
    <mergeCell ref="A382:Z382"/>
    <mergeCell ref="A116:O117"/>
    <mergeCell ref="P428:T428"/>
    <mergeCell ref="D100:E100"/>
    <mergeCell ref="P113:T113"/>
    <mergeCell ref="A173:Z173"/>
    <mergeCell ref="P17:T18"/>
    <mergeCell ref="P129:T129"/>
    <mergeCell ref="A482:O483"/>
    <mergeCell ref="A416:O417"/>
    <mergeCell ref="D158:E158"/>
    <mergeCell ref="D329:E329"/>
    <mergeCell ref="D229:E229"/>
    <mergeCell ref="A402:Z402"/>
    <mergeCell ref="I17:I18"/>
    <mergeCell ref="P36:V36"/>
    <mergeCell ref="D388:E388"/>
    <mergeCell ref="P442:T442"/>
    <mergeCell ref="P467:T467"/>
    <mergeCell ref="P489:V489"/>
    <mergeCell ref="P119:T119"/>
    <mergeCell ref="A43:O44"/>
    <mergeCell ref="P246:T246"/>
    <mergeCell ref="D445:E445"/>
    <mergeCell ref="D224:E224"/>
    <mergeCell ref="P230:T230"/>
    <mergeCell ref="P168:T168"/>
    <mergeCell ref="D211:E211"/>
    <mergeCell ref="D1:F1"/>
    <mergeCell ref="P466:T466"/>
    <mergeCell ref="A71:Z71"/>
    <mergeCell ref="P488:V488"/>
    <mergeCell ref="J17:J18"/>
    <mergeCell ref="L17:L18"/>
    <mergeCell ref="A184:Z184"/>
    <mergeCell ref="P48:V48"/>
    <mergeCell ref="A244:Z244"/>
    <mergeCell ref="P255:T255"/>
    <mergeCell ref="P426:T426"/>
    <mergeCell ref="A342:Z342"/>
    <mergeCell ref="Q9:R9"/>
    <mergeCell ref="Q11:R11"/>
    <mergeCell ref="P127:V127"/>
    <mergeCell ref="A123:Z123"/>
    <mergeCell ref="D390:E390"/>
    <mergeCell ref="P197:T197"/>
    <mergeCell ref="F9:G9"/>
    <mergeCell ref="X497:X498"/>
    <mergeCell ref="D354:E354"/>
    <mergeCell ref="A475:Z475"/>
    <mergeCell ref="P177:V177"/>
    <mergeCell ref="A45:Z45"/>
    <mergeCell ref="P462:V462"/>
    <mergeCell ref="A287:Z287"/>
    <mergeCell ref="P35:V35"/>
    <mergeCell ref="P399:V399"/>
    <mergeCell ref="P273:T273"/>
    <mergeCell ref="D316:E316"/>
    <mergeCell ref="D387:E387"/>
    <mergeCell ref="D272:E272"/>
    <mergeCell ref="D443:E443"/>
    <mergeCell ref="D210:E210"/>
    <mergeCell ref="Y496:Z496"/>
    <mergeCell ref="A250:O251"/>
    <mergeCell ref="D308:E308"/>
    <mergeCell ref="D87:E87"/>
    <mergeCell ref="P166:T166"/>
    <mergeCell ref="D147:E147"/>
    <mergeCell ref="P188:V188"/>
    <mergeCell ref="A187:O188"/>
    <mergeCell ref="D209:E209"/>
    <mergeCell ref="H1:Q1"/>
    <mergeCell ref="P109:V109"/>
    <mergeCell ref="P280:V280"/>
    <mergeCell ref="P274:V274"/>
    <mergeCell ref="A366:Z366"/>
    <mergeCell ref="D214:E214"/>
    <mergeCell ref="A286:Z286"/>
    <mergeCell ref="P193:V193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P148:T148"/>
    <mergeCell ref="A109:O110"/>
    <mergeCell ref="A47:O48"/>
    <mergeCell ref="D7:M7"/>
    <mergeCell ref="D129:E129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71:T271"/>
    <mergeCell ref="P94:T94"/>
    <mergeCell ref="P265:T265"/>
    <mergeCell ref="D208:E208"/>
    <mergeCell ref="D8:M8"/>
    <mergeCell ref="D379:E379"/>
    <mergeCell ref="D300:E300"/>
    <mergeCell ref="P237:T237"/>
    <mergeCell ref="P158:T158"/>
    <mergeCell ref="P329:T329"/>
    <mergeCell ref="P251:V251"/>
    <mergeCell ref="P416:V416"/>
    <mergeCell ref="H497:H498"/>
    <mergeCell ref="J497:J498"/>
    <mergeCell ref="P395:V395"/>
    <mergeCell ref="P209:T209"/>
    <mergeCell ref="P147:T147"/>
    <mergeCell ref="P445:T445"/>
    <mergeCell ref="W17:W18"/>
    <mergeCell ref="A50:Z50"/>
    <mergeCell ref="P96:V96"/>
    <mergeCell ref="A434:Z434"/>
    <mergeCell ref="P332:V332"/>
    <mergeCell ref="A331:O332"/>
    <mergeCell ref="A384:Z384"/>
    <mergeCell ref="A151:Z151"/>
    <mergeCell ref="A449:Z449"/>
    <mergeCell ref="P154:V154"/>
    <mergeCell ref="P325:V325"/>
    <mergeCell ref="D142:E142"/>
    <mergeCell ref="A120:O121"/>
    <mergeCell ref="D378:E378"/>
    <mergeCell ref="P458:T458"/>
    <mergeCell ref="P487:V487"/>
    <mergeCell ref="P266:T266"/>
    <mergeCell ref="P182:V182"/>
    <mergeCell ref="P477:V477"/>
    <mergeCell ref="D124:E124"/>
    <mergeCell ref="P56:T56"/>
    <mergeCell ref="V10:W10"/>
    <mergeCell ref="D195:E195"/>
    <mergeCell ref="P379:T379"/>
    <mergeCell ref="D431:E431"/>
    <mergeCell ref="P99:T99"/>
    <mergeCell ref="P170:T170"/>
    <mergeCell ref="D66:E66"/>
    <mergeCell ref="P316:T316"/>
    <mergeCell ref="P443:T443"/>
    <mergeCell ref="D197:E197"/>
    <mergeCell ref="D53:E53"/>
    <mergeCell ref="A84:Z84"/>
    <mergeCell ref="P159:V159"/>
    <mergeCell ref="D289:E289"/>
    <mergeCell ref="A473:O474"/>
    <mergeCell ref="P476:T476"/>
    <mergeCell ref="P407:T407"/>
    <mergeCell ref="P471:T471"/>
    <mergeCell ref="D245:E245"/>
    <mergeCell ref="A282:Z282"/>
    <mergeCell ref="D301:E301"/>
    <mergeCell ref="D486:E486"/>
    <mergeCell ref="P86:T86"/>
    <mergeCell ref="P328:T328"/>
    <mergeCell ref="D134:E134"/>
    <mergeCell ref="P213:T213"/>
    <mergeCell ref="P249:T249"/>
    <mergeCell ref="D363:E363"/>
    <mergeCell ref="R1:T1"/>
    <mergeCell ref="P28:T28"/>
    <mergeCell ref="P392:T392"/>
    <mergeCell ref="D307:E307"/>
    <mergeCell ref="P386:T386"/>
    <mergeCell ref="P165:T165"/>
    <mergeCell ref="P400:V400"/>
    <mergeCell ref="P30:T30"/>
    <mergeCell ref="D73:E73"/>
    <mergeCell ref="P77:V77"/>
    <mergeCell ref="A76:O77"/>
    <mergeCell ref="P152:T152"/>
    <mergeCell ref="P375:V375"/>
    <mergeCell ref="P290:T290"/>
    <mergeCell ref="P452:T452"/>
    <mergeCell ref="P448:V448"/>
    <mergeCell ref="A63:O64"/>
    <mergeCell ref="D472:E472"/>
    <mergeCell ref="A270:Z270"/>
    <mergeCell ref="H9:I9"/>
    <mergeCell ref="A49:Z49"/>
    <mergeCell ref="P24:V24"/>
    <mergeCell ref="P89:V89"/>
    <mergeCell ref="P260:V260"/>
    <mergeCell ref="P389:T389"/>
    <mergeCell ref="P453:V453"/>
    <mergeCell ref="A334:Z334"/>
    <mergeCell ref="A383:Z383"/>
    <mergeCell ref="D297:E297"/>
    <mergeCell ref="P88:V88"/>
    <mergeCell ref="P259:V259"/>
    <mergeCell ref="A78:Z78"/>
    <mergeCell ref="P153:V153"/>
    <mergeCell ref="A205:Z205"/>
    <mergeCell ref="A350:O351"/>
    <mergeCell ref="D263:E263"/>
    <mergeCell ref="A65:Z65"/>
    <mergeCell ref="P391:T391"/>
    <mergeCell ref="D426:E426"/>
    <mergeCell ref="A234:O235"/>
    <mergeCell ref="B17:B18"/>
    <mergeCell ref="P79:T79"/>
    <mergeCell ref="D60:E60"/>
    <mergeCell ref="P73:T73"/>
    <mergeCell ref="P315:T315"/>
    <mergeCell ref="P437:T437"/>
    <mergeCell ref="P231:T231"/>
    <mergeCell ref="D423:E423"/>
    <mergeCell ref="D174:E174"/>
    <mergeCell ref="P302:T302"/>
    <mergeCell ref="A432:O433"/>
    <mergeCell ref="A352:Z352"/>
    <mergeCell ref="A83:Z83"/>
    <mergeCell ref="D410:E410"/>
    <mergeCell ref="A276:Z276"/>
    <mergeCell ref="P143:V143"/>
    <mergeCell ref="A171:O172"/>
    <mergeCell ref="P235:V235"/>
    <mergeCell ref="D258:E258"/>
    <mergeCell ref="P337:T337"/>
    <mergeCell ref="A105:Z105"/>
    <mergeCell ref="D264:E264"/>
    <mergeCell ref="D391:E391"/>
    <mergeCell ref="P370:V370"/>
    <mergeCell ref="A394:O39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3 X75 X79:X80 X85 X87 X91 X94 X99:X101 X112:X115 X119 X124:X125 X129:X130 X135 X141 X146 X148 X162 X164:X166 X168 X186 X195:X200 X202 X208:X214 X218 X227 X232 X254 X256 X258 X273 X283 X289:X293 X297:X298 X300:X301 X303 X307 X310 X315:X317 X324 X335:X337 X343:X345 X349 X353 X358:X359 X368:X369 X373 X378:X379 X385 X387 X397:X398 X407 X421:X423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VH4ELRuFmW6laICfdnTkClULP/G/rgdt4+zGPsuGDH6UnARn6Ra/PAqL8oT5rQO5QysJf+xphYPVWFWV+awKlw==" saltValue="jTyKS0mXBAmyPo+bTjDk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2025-11-06T13:37:11Z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