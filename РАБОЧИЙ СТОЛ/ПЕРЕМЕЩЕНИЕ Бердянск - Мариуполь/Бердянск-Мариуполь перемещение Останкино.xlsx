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ЕРЕМЕЩЕНИЕ Бердянск - Мариуполь\"/>
    </mc:Choice>
  </mc:AlternateContent>
  <xr:revisionPtr revIDLastSave="0" documentId="13_ncr:1_{D005D283-632F-46E1-89FB-4C3E3F099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TDSheet!$A$9:$P$191</definedName>
  </definedNames>
  <calcPr calcId="191029" refMode="R1C1"/>
</workbook>
</file>

<file path=xl/calcChain.xml><?xml version="1.0" encoding="utf-8"?>
<calcChain xmlns="http://schemas.openxmlformats.org/spreadsheetml/2006/main">
  <c r="P165" i="1" l="1"/>
  <c r="O165" i="1"/>
  <c r="P132" i="1"/>
  <c r="O132" i="1"/>
  <c r="P126" i="1"/>
  <c r="O126" i="1"/>
  <c r="P124" i="1"/>
  <c r="O124" i="1"/>
  <c r="P116" i="1"/>
  <c r="O116" i="1"/>
  <c r="P96" i="1"/>
  <c r="O96" i="1"/>
  <c r="P88" i="1"/>
  <c r="O88" i="1"/>
  <c r="P77" i="1"/>
  <c r="O77" i="1"/>
  <c r="P75" i="1"/>
  <c r="O75" i="1"/>
  <c r="P65" i="1"/>
  <c r="O65" i="1"/>
  <c r="P58" i="1"/>
  <c r="O58" i="1"/>
  <c r="P56" i="1"/>
  <c r="O56" i="1"/>
  <c r="P53" i="1"/>
  <c r="O53" i="1"/>
  <c r="P26" i="1"/>
  <c r="O26" i="1"/>
  <c r="J191" i="1" l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4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9" i="1"/>
  <c r="J128" i="1"/>
  <c r="J127" i="1"/>
  <c r="J126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54" i="1"/>
  <c r="J53" i="1"/>
  <c r="J52" i="1"/>
  <c r="J51" i="1"/>
  <c r="J50" i="1"/>
  <c r="J49" i="1"/>
  <c r="J48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12" i="1"/>
  <c r="K12" i="1" l="1"/>
  <c r="M12" i="1" s="1"/>
  <c r="O12" i="1" s="1"/>
  <c r="L12" i="1"/>
  <c r="K13" i="1"/>
  <c r="M13" i="1" s="1"/>
  <c r="O13" i="1" s="1"/>
  <c r="L13" i="1"/>
  <c r="K14" i="1"/>
  <c r="M14" i="1" s="1"/>
  <c r="O14" i="1" s="1"/>
  <c r="L14" i="1"/>
  <c r="K15" i="1"/>
  <c r="M15" i="1" s="1"/>
  <c r="O15" i="1" s="1"/>
  <c r="L15" i="1"/>
  <c r="K16" i="1"/>
  <c r="M16" i="1" s="1"/>
  <c r="O16" i="1" s="1"/>
  <c r="L16" i="1"/>
  <c r="K17" i="1"/>
  <c r="M17" i="1" s="1"/>
  <c r="O17" i="1" s="1"/>
  <c r="L17" i="1"/>
  <c r="K18" i="1"/>
  <c r="M18" i="1" s="1"/>
  <c r="O18" i="1" s="1"/>
  <c r="L18" i="1"/>
  <c r="K19" i="1"/>
  <c r="M19" i="1" s="1"/>
  <c r="O19" i="1" s="1"/>
  <c r="L19" i="1"/>
  <c r="K20" i="1"/>
  <c r="M20" i="1" s="1"/>
  <c r="O20" i="1" s="1"/>
  <c r="L20" i="1"/>
  <c r="K21" i="1"/>
  <c r="M21" i="1" s="1"/>
  <c r="O21" i="1" s="1"/>
  <c r="L21" i="1"/>
  <c r="K22" i="1"/>
  <c r="M22" i="1" s="1"/>
  <c r="L22" i="1"/>
  <c r="K23" i="1"/>
  <c r="M23" i="1" s="1"/>
  <c r="L23" i="1"/>
  <c r="K24" i="1"/>
  <c r="M24" i="1" s="1"/>
  <c r="O24" i="1" s="1"/>
  <c r="L24" i="1"/>
  <c r="K25" i="1"/>
  <c r="M25" i="1" s="1"/>
  <c r="O25" i="1" s="1"/>
  <c r="L25" i="1"/>
  <c r="K26" i="1"/>
  <c r="M26" i="1" s="1"/>
  <c r="L26" i="1"/>
  <c r="K27" i="1"/>
  <c r="M27" i="1" s="1"/>
  <c r="O27" i="1" s="1"/>
  <c r="L27" i="1"/>
  <c r="K28" i="1"/>
  <c r="M28" i="1" s="1"/>
  <c r="L28" i="1"/>
  <c r="K29" i="1"/>
  <c r="M29" i="1" s="1"/>
  <c r="O29" i="1" s="1"/>
  <c r="L29" i="1"/>
  <c r="K30" i="1"/>
  <c r="M30" i="1" s="1"/>
  <c r="L30" i="1"/>
  <c r="K31" i="1"/>
  <c r="M31" i="1" s="1"/>
  <c r="L31" i="1"/>
  <c r="K32" i="1"/>
  <c r="M32" i="1" s="1"/>
  <c r="O32" i="1" s="1"/>
  <c r="L32" i="1"/>
  <c r="K33" i="1"/>
  <c r="M33" i="1" s="1"/>
  <c r="L33" i="1"/>
  <c r="K34" i="1"/>
  <c r="M34" i="1" s="1"/>
  <c r="L34" i="1"/>
  <c r="K35" i="1"/>
  <c r="M35" i="1" s="1"/>
  <c r="L35" i="1"/>
  <c r="K36" i="1"/>
  <c r="M36" i="1" s="1"/>
  <c r="O36" i="1" s="1"/>
  <c r="L36" i="1"/>
  <c r="K37" i="1"/>
  <c r="M37" i="1" s="1"/>
  <c r="O37" i="1" s="1"/>
  <c r="L37" i="1"/>
  <c r="K38" i="1"/>
  <c r="M38" i="1" s="1"/>
  <c r="L38" i="1"/>
  <c r="K39" i="1"/>
  <c r="M39" i="1" s="1"/>
  <c r="L39" i="1"/>
  <c r="K40" i="1"/>
  <c r="M40" i="1" s="1"/>
  <c r="O40" i="1" s="1"/>
  <c r="L40" i="1"/>
  <c r="K41" i="1"/>
  <c r="M41" i="1" s="1"/>
  <c r="O41" i="1" s="1"/>
  <c r="L41" i="1"/>
  <c r="K42" i="1"/>
  <c r="M42" i="1" s="1"/>
  <c r="O42" i="1" s="1"/>
  <c r="L42" i="1"/>
  <c r="K43" i="1"/>
  <c r="M43" i="1" s="1"/>
  <c r="L43" i="1"/>
  <c r="K44" i="1"/>
  <c r="M44" i="1" s="1"/>
  <c r="L44" i="1"/>
  <c r="K45" i="1"/>
  <c r="M45" i="1" s="1"/>
  <c r="O45" i="1" s="1"/>
  <c r="L45" i="1"/>
  <c r="K46" i="1"/>
  <c r="M46" i="1" s="1"/>
  <c r="O46" i="1" s="1"/>
  <c r="L46" i="1"/>
  <c r="K48" i="1"/>
  <c r="M48" i="1" s="1"/>
  <c r="O48" i="1" s="1"/>
  <c r="L48" i="1"/>
  <c r="K49" i="1"/>
  <c r="M49" i="1" s="1"/>
  <c r="O49" i="1" s="1"/>
  <c r="L49" i="1"/>
  <c r="K50" i="1"/>
  <c r="M50" i="1" s="1"/>
  <c r="O50" i="1" s="1"/>
  <c r="L50" i="1"/>
  <c r="K51" i="1"/>
  <c r="M51" i="1" s="1"/>
  <c r="O51" i="1" s="1"/>
  <c r="L51" i="1"/>
  <c r="K52" i="1"/>
  <c r="M52" i="1" s="1"/>
  <c r="O52" i="1" s="1"/>
  <c r="L52" i="1"/>
  <c r="K53" i="1"/>
  <c r="M53" i="1" s="1"/>
  <c r="L53" i="1"/>
  <c r="K54" i="1"/>
  <c r="M54" i="1" s="1"/>
  <c r="O54" i="1" s="1"/>
  <c r="L54" i="1"/>
  <c r="K55" i="1"/>
  <c r="M55" i="1" s="1"/>
  <c r="O55" i="1" s="1"/>
  <c r="L55" i="1"/>
  <c r="K56" i="1"/>
  <c r="M56" i="1" s="1"/>
  <c r="L56" i="1"/>
  <c r="K57" i="1"/>
  <c r="M57" i="1" s="1"/>
  <c r="O57" i="1" s="1"/>
  <c r="L57" i="1"/>
  <c r="K58" i="1"/>
  <c r="M58" i="1" s="1"/>
  <c r="L58" i="1"/>
  <c r="K59" i="1"/>
  <c r="M59" i="1" s="1"/>
  <c r="O59" i="1" s="1"/>
  <c r="L59" i="1"/>
  <c r="K60" i="1"/>
  <c r="M60" i="1" s="1"/>
  <c r="O60" i="1" s="1"/>
  <c r="L60" i="1"/>
  <c r="K61" i="1"/>
  <c r="M61" i="1" s="1"/>
  <c r="L61" i="1"/>
  <c r="K62" i="1"/>
  <c r="M62" i="1" s="1"/>
  <c r="O62" i="1" s="1"/>
  <c r="L62" i="1"/>
  <c r="K63" i="1"/>
  <c r="M63" i="1" s="1"/>
  <c r="O63" i="1" s="1"/>
  <c r="L63" i="1"/>
  <c r="K64" i="1"/>
  <c r="M64" i="1" s="1"/>
  <c r="L64" i="1"/>
  <c r="K65" i="1"/>
  <c r="M65" i="1" s="1"/>
  <c r="L65" i="1"/>
  <c r="K66" i="1"/>
  <c r="M66" i="1" s="1"/>
  <c r="O66" i="1" s="1"/>
  <c r="L66" i="1"/>
  <c r="K67" i="1"/>
  <c r="M67" i="1" s="1"/>
  <c r="O67" i="1" s="1"/>
  <c r="L67" i="1"/>
  <c r="K68" i="1"/>
  <c r="M68" i="1" s="1"/>
  <c r="O68" i="1" s="1"/>
  <c r="L68" i="1"/>
  <c r="K69" i="1"/>
  <c r="M69" i="1" s="1"/>
  <c r="O69" i="1" s="1"/>
  <c r="L69" i="1"/>
  <c r="K70" i="1"/>
  <c r="M70" i="1" s="1"/>
  <c r="O70" i="1" s="1"/>
  <c r="L70" i="1"/>
  <c r="K71" i="1"/>
  <c r="M71" i="1" s="1"/>
  <c r="L71" i="1"/>
  <c r="K72" i="1"/>
  <c r="M72" i="1" s="1"/>
  <c r="O72" i="1" s="1"/>
  <c r="L72" i="1"/>
  <c r="K73" i="1"/>
  <c r="M73" i="1" s="1"/>
  <c r="O73" i="1" s="1"/>
  <c r="L73" i="1"/>
  <c r="K74" i="1"/>
  <c r="M74" i="1" s="1"/>
  <c r="L74" i="1"/>
  <c r="K75" i="1"/>
  <c r="M75" i="1" s="1"/>
  <c r="L75" i="1"/>
  <c r="K76" i="1"/>
  <c r="M76" i="1" s="1"/>
  <c r="O76" i="1" s="1"/>
  <c r="L76" i="1"/>
  <c r="K77" i="1"/>
  <c r="M77" i="1" s="1"/>
  <c r="L77" i="1"/>
  <c r="K78" i="1"/>
  <c r="M78" i="1" s="1"/>
  <c r="O78" i="1" s="1"/>
  <c r="L78" i="1"/>
  <c r="K79" i="1"/>
  <c r="M79" i="1" s="1"/>
  <c r="L79" i="1"/>
  <c r="K80" i="1"/>
  <c r="M80" i="1" s="1"/>
  <c r="O80" i="1" s="1"/>
  <c r="L80" i="1"/>
  <c r="K81" i="1"/>
  <c r="M81" i="1" s="1"/>
  <c r="O81" i="1" s="1"/>
  <c r="L81" i="1"/>
  <c r="K82" i="1"/>
  <c r="M82" i="1" s="1"/>
  <c r="L82" i="1"/>
  <c r="K83" i="1"/>
  <c r="M83" i="1" s="1"/>
  <c r="O83" i="1" s="1"/>
  <c r="L83" i="1"/>
  <c r="K84" i="1"/>
  <c r="M84" i="1" s="1"/>
  <c r="O84" i="1" s="1"/>
  <c r="L84" i="1"/>
  <c r="K85" i="1"/>
  <c r="M85" i="1" s="1"/>
  <c r="O85" i="1" s="1"/>
  <c r="L85" i="1"/>
  <c r="K86" i="1"/>
  <c r="M86" i="1" s="1"/>
  <c r="O86" i="1" s="1"/>
  <c r="L86" i="1"/>
  <c r="K87" i="1"/>
  <c r="M87" i="1" s="1"/>
  <c r="L87" i="1"/>
  <c r="K88" i="1"/>
  <c r="M88" i="1" s="1"/>
  <c r="L88" i="1"/>
  <c r="K89" i="1"/>
  <c r="M89" i="1" s="1"/>
  <c r="O89" i="1" s="1"/>
  <c r="L89" i="1"/>
  <c r="K90" i="1"/>
  <c r="M90" i="1" s="1"/>
  <c r="O90" i="1" s="1"/>
  <c r="L90" i="1"/>
  <c r="K91" i="1"/>
  <c r="M91" i="1" s="1"/>
  <c r="O91" i="1" s="1"/>
  <c r="L91" i="1"/>
  <c r="K92" i="1"/>
  <c r="M92" i="1" s="1"/>
  <c r="O92" i="1" s="1"/>
  <c r="L92" i="1"/>
  <c r="K93" i="1"/>
  <c r="M93" i="1" s="1"/>
  <c r="O93" i="1" s="1"/>
  <c r="L93" i="1"/>
  <c r="K94" i="1"/>
  <c r="M94" i="1" s="1"/>
  <c r="O94" i="1" s="1"/>
  <c r="L94" i="1"/>
  <c r="K95" i="1"/>
  <c r="M95" i="1" s="1"/>
  <c r="O95" i="1" s="1"/>
  <c r="L95" i="1"/>
  <c r="K96" i="1"/>
  <c r="M96" i="1" s="1"/>
  <c r="L96" i="1"/>
  <c r="K97" i="1"/>
  <c r="M97" i="1" s="1"/>
  <c r="O97" i="1" s="1"/>
  <c r="L97" i="1"/>
  <c r="K98" i="1"/>
  <c r="M98" i="1" s="1"/>
  <c r="O98" i="1" s="1"/>
  <c r="L98" i="1"/>
  <c r="K99" i="1"/>
  <c r="M99" i="1" s="1"/>
  <c r="L99" i="1"/>
  <c r="K100" i="1"/>
  <c r="M100" i="1" s="1"/>
  <c r="L100" i="1"/>
  <c r="K101" i="1"/>
  <c r="M101" i="1" s="1"/>
  <c r="L101" i="1"/>
  <c r="K102" i="1"/>
  <c r="M102" i="1" s="1"/>
  <c r="L102" i="1"/>
  <c r="K103" i="1"/>
  <c r="M103" i="1" s="1"/>
  <c r="L103" i="1"/>
  <c r="K104" i="1"/>
  <c r="M104" i="1" s="1"/>
  <c r="O104" i="1" s="1"/>
  <c r="L104" i="1"/>
  <c r="K105" i="1"/>
  <c r="M105" i="1" s="1"/>
  <c r="O105" i="1" s="1"/>
  <c r="L105" i="1"/>
  <c r="K106" i="1"/>
  <c r="M106" i="1" s="1"/>
  <c r="O106" i="1" s="1"/>
  <c r="L106" i="1"/>
  <c r="K107" i="1"/>
  <c r="M107" i="1" s="1"/>
  <c r="O107" i="1" s="1"/>
  <c r="L107" i="1"/>
  <c r="K108" i="1"/>
  <c r="M108" i="1" s="1"/>
  <c r="O108" i="1" s="1"/>
  <c r="L108" i="1"/>
  <c r="K109" i="1"/>
  <c r="M109" i="1" s="1"/>
  <c r="L109" i="1"/>
  <c r="K110" i="1"/>
  <c r="M110" i="1" s="1"/>
  <c r="O110" i="1" s="1"/>
  <c r="L110" i="1"/>
  <c r="K111" i="1"/>
  <c r="M111" i="1" s="1"/>
  <c r="O111" i="1" s="1"/>
  <c r="L111" i="1"/>
  <c r="K112" i="1"/>
  <c r="M112" i="1" s="1"/>
  <c r="O112" i="1" s="1"/>
  <c r="L112" i="1"/>
  <c r="K113" i="1"/>
  <c r="M113" i="1" s="1"/>
  <c r="O113" i="1" s="1"/>
  <c r="L113" i="1"/>
  <c r="K114" i="1"/>
  <c r="M114" i="1" s="1"/>
  <c r="O114" i="1" s="1"/>
  <c r="L114" i="1"/>
  <c r="K115" i="1"/>
  <c r="M115" i="1" s="1"/>
  <c r="O115" i="1" s="1"/>
  <c r="L115" i="1"/>
  <c r="K116" i="1"/>
  <c r="M116" i="1" s="1"/>
  <c r="L116" i="1"/>
  <c r="K117" i="1"/>
  <c r="M117" i="1" s="1"/>
  <c r="O117" i="1" s="1"/>
  <c r="L117" i="1"/>
  <c r="K118" i="1"/>
  <c r="M118" i="1" s="1"/>
  <c r="O118" i="1" s="1"/>
  <c r="L118" i="1"/>
  <c r="K119" i="1"/>
  <c r="M119" i="1" s="1"/>
  <c r="O119" i="1" s="1"/>
  <c r="L119" i="1"/>
  <c r="K120" i="1"/>
  <c r="M120" i="1" s="1"/>
  <c r="L120" i="1"/>
  <c r="K121" i="1"/>
  <c r="M121" i="1" s="1"/>
  <c r="O121" i="1" s="1"/>
  <c r="L121" i="1"/>
  <c r="K122" i="1"/>
  <c r="M122" i="1" s="1"/>
  <c r="O122" i="1" s="1"/>
  <c r="L122" i="1"/>
  <c r="K123" i="1"/>
  <c r="M123" i="1" s="1"/>
  <c r="O123" i="1" s="1"/>
  <c r="L123" i="1"/>
  <c r="K124" i="1"/>
  <c r="M124" i="1" s="1"/>
  <c r="L124" i="1"/>
  <c r="K126" i="1"/>
  <c r="M126" i="1" s="1"/>
  <c r="L126" i="1"/>
  <c r="K127" i="1"/>
  <c r="M127" i="1" s="1"/>
  <c r="O127" i="1" s="1"/>
  <c r="L127" i="1"/>
  <c r="K128" i="1"/>
  <c r="M128" i="1" s="1"/>
  <c r="O128" i="1" s="1"/>
  <c r="L128" i="1"/>
  <c r="K129" i="1"/>
  <c r="M129" i="1" s="1"/>
  <c r="O129" i="1" s="1"/>
  <c r="L129" i="1"/>
  <c r="K130" i="1"/>
  <c r="M130" i="1" s="1"/>
  <c r="O130" i="1" s="1"/>
  <c r="L130" i="1"/>
  <c r="K132" i="1"/>
  <c r="M132" i="1" s="1"/>
  <c r="L132" i="1"/>
  <c r="K133" i="1"/>
  <c r="M133" i="1" s="1"/>
  <c r="O133" i="1" s="1"/>
  <c r="L133" i="1"/>
  <c r="K134" i="1"/>
  <c r="M134" i="1" s="1"/>
  <c r="O134" i="1" s="1"/>
  <c r="L134" i="1"/>
  <c r="K135" i="1"/>
  <c r="M135" i="1" s="1"/>
  <c r="O135" i="1" s="1"/>
  <c r="L135" i="1"/>
  <c r="K136" i="1"/>
  <c r="M136" i="1" s="1"/>
  <c r="O136" i="1" s="1"/>
  <c r="L136" i="1"/>
  <c r="K137" i="1"/>
  <c r="M137" i="1" s="1"/>
  <c r="O137" i="1" s="1"/>
  <c r="L137" i="1"/>
  <c r="K138" i="1"/>
  <c r="M138" i="1" s="1"/>
  <c r="O138" i="1" s="1"/>
  <c r="L138" i="1"/>
  <c r="K139" i="1"/>
  <c r="M139" i="1" s="1"/>
  <c r="O139" i="1" s="1"/>
  <c r="L139" i="1"/>
  <c r="K140" i="1"/>
  <c r="M140" i="1" s="1"/>
  <c r="O140" i="1" s="1"/>
  <c r="L140" i="1"/>
  <c r="K141" i="1"/>
  <c r="M141" i="1" s="1"/>
  <c r="L141" i="1"/>
  <c r="K142" i="1"/>
  <c r="M142" i="1" s="1"/>
  <c r="O142" i="1" s="1"/>
  <c r="L142" i="1"/>
  <c r="K144" i="1"/>
  <c r="M144" i="1" s="1"/>
  <c r="O144" i="1" s="1"/>
  <c r="L144" i="1"/>
  <c r="K146" i="1"/>
  <c r="M146" i="1" s="1"/>
  <c r="L146" i="1"/>
  <c r="K147" i="1"/>
  <c r="M147" i="1" s="1"/>
  <c r="L147" i="1"/>
  <c r="K148" i="1"/>
  <c r="M148" i="1" s="1"/>
  <c r="L148" i="1"/>
  <c r="K149" i="1"/>
  <c r="M149" i="1" s="1"/>
  <c r="L149" i="1"/>
  <c r="K150" i="1"/>
  <c r="M150" i="1" s="1"/>
  <c r="O150" i="1" s="1"/>
  <c r="L150" i="1"/>
  <c r="K151" i="1"/>
  <c r="M151" i="1" s="1"/>
  <c r="L151" i="1"/>
  <c r="K152" i="1"/>
  <c r="M152" i="1" s="1"/>
  <c r="L152" i="1"/>
  <c r="K153" i="1"/>
  <c r="M153" i="1" s="1"/>
  <c r="L153" i="1"/>
  <c r="K154" i="1"/>
  <c r="M154" i="1" s="1"/>
  <c r="O154" i="1" s="1"/>
  <c r="L154" i="1"/>
  <c r="K155" i="1"/>
  <c r="M155" i="1" s="1"/>
  <c r="L155" i="1"/>
  <c r="K156" i="1"/>
  <c r="M156" i="1" s="1"/>
  <c r="L156" i="1"/>
  <c r="K157" i="1"/>
  <c r="M157" i="1" s="1"/>
  <c r="L157" i="1"/>
  <c r="K158" i="1"/>
  <c r="M158" i="1" s="1"/>
  <c r="L158" i="1"/>
  <c r="K159" i="1"/>
  <c r="M159" i="1" s="1"/>
  <c r="L159" i="1"/>
  <c r="K160" i="1"/>
  <c r="M160" i="1" s="1"/>
  <c r="L160" i="1"/>
  <c r="K161" i="1"/>
  <c r="M161" i="1" s="1"/>
  <c r="O161" i="1" s="1"/>
  <c r="L161" i="1"/>
  <c r="K162" i="1"/>
  <c r="M162" i="1" s="1"/>
  <c r="L162" i="1"/>
  <c r="K163" i="1"/>
  <c r="M163" i="1" s="1"/>
  <c r="L163" i="1"/>
  <c r="K164" i="1"/>
  <c r="M164" i="1" s="1"/>
  <c r="L164" i="1"/>
  <c r="K165" i="1"/>
  <c r="M165" i="1" s="1"/>
  <c r="L165" i="1"/>
  <c r="K166" i="1"/>
  <c r="M166" i="1" s="1"/>
  <c r="O166" i="1" s="1"/>
  <c r="L166" i="1"/>
  <c r="K167" i="1"/>
  <c r="M167" i="1" s="1"/>
  <c r="O167" i="1" s="1"/>
  <c r="L167" i="1"/>
  <c r="K168" i="1"/>
  <c r="M168" i="1" s="1"/>
  <c r="O168" i="1" s="1"/>
  <c r="L168" i="1"/>
  <c r="K169" i="1"/>
  <c r="M169" i="1" s="1"/>
  <c r="L169" i="1"/>
  <c r="K170" i="1"/>
  <c r="M170" i="1" s="1"/>
  <c r="O170" i="1" s="1"/>
  <c r="L170" i="1"/>
  <c r="K171" i="1"/>
  <c r="M171" i="1" s="1"/>
  <c r="L171" i="1"/>
  <c r="K172" i="1"/>
  <c r="M172" i="1" s="1"/>
  <c r="L172" i="1"/>
  <c r="K173" i="1"/>
  <c r="M173" i="1" s="1"/>
  <c r="L173" i="1"/>
  <c r="K174" i="1"/>
  <c r="M174" i="1" s="1"/>
  <c r="O174" i="1" s="1"/>
  <c r="L174" i="1"/>
  <c r="K175" i="1"/>
  <c r="M175" i="1" s="1"/>
  <c r="L175" i="1"/>
  <c r="K176" i="1"/>
  <c r="M176" i="1" s="1"/>
  <c r="O176" i="1" s="1"/>
  <c r="L176" i="1"/>
  <c r="K177" i="1"/>
  <c r="M177" i="1" s="1"/>
  <c r="O177" i="1" s="1"/>
  <c r="L177" i="1"/>
  <c r="K178" i="1"/>
  <c r="M178" i="1" s="1"/>
  <c r="L178" i="1"/>
  <c r="K179" i="1"/>
  <c r="M179" i="1" s="1"/>
  <c r="O179" i="1" s="1"/>
  <c r="L179" i="1"/>
  <c r="K180" i="1"/>
  <c r="M180" i="1" s="1"/>
  <c r="O180" i="1" s="1"/>
  <c r="L180" i="1"/>
  <c r="K181" i="1"/>
  <c r="M181" i="1" s="1"/>
  <c r="O181" i="1" s="1"/>
  <c r="L181" i="1"/>
  <c r="K182" i="1"/>
  <c r="M182" i="1" s="1"/>
  <c r="O182" i="1" s="1"/>
  <c r="L182" i="1"/>
  <c r="K183" i="1"/>
  <c r="M183" i="1" s="1"/>
  <c r="O183" i="1" s="1"/>
  <c r="L183" i="1"/>
  <c r="K184" i="1"/>
  <c r="M184" i="1" s="1"/>
  <c r="O184" i="1" s="1"/>
  <c r="L184" i="1"/>
  <c r="K185" i="1"/>
  <c r="M185" i="1" s="1"/>
  <c r="L185" i="1"/>
  <c r="K186" i="1"/>
  <c r="M186" i="1" s="1"/>
  <c r="L186" i="1"/>
  <c r="K187" i="1"/>
  <c r="M187" i="1" s="1"/>
  <c r="O187" i="1" s="1"/>
  <c r="L187" i="1"/>
  <c r="K188" i="1"/>
  <c r="M188" i="1" s="1"/>
  <c r="L188" i="1"/>
  <c r="K189" i="1"/>
  <c r="M189" i="1" s="1"/>
  <c r="L189" i="1"/>
  <c r="K190" i="1"/>
  <c r="M190" i="1" s="1"/>
  <c r="L190" i="1"/>
  <c r="K191" i="1"/>
  <c r="M191" i="1" s="1"/>
  <c r="L191" i="1"/>
  <c r="N7" i="1"/>
  <c r="N8" i="1"/>
  <c r="N6" i="1"/>
  <c r="N166" i="1" l="1"/>
  <c r="P166" i="1" s="1"/>
  <c r="N186" i="1"/>
  <c r="N176" i="1"/>
  <c r="P176" i="1" s="1"/>
  <c r="N156" i="1"/>
  <c r="N146" i="1"/>
  <c r="N134" i="1"/>
  <c r="P134" i="1" s="1"/>
  <c r="N122" i="1"/>
  <c r="P122" i="1" s="1"/>
  <c r="N112" i="1"/>
  <c r="P112" i="1" s="1"/>
  <c r="N102" i="1"/>
  <c r="N92" i="1"/>
  <c r="P92" i="1" s="1"/>
  <c r="N82" i="1"/>
  <c r="N72" i="1"/>
  <c r="P72" i="1" s="1"/>
  <c r="N62" i="1"/>
  <c r="P62" i="1" s="1"/>
  <c r="N52" i="1"/>
  <c r="P52" i="1" s="1"/>
  <c r="N41" i="1"/>
  <c r="P41" i="1" s="1"/>
  <c r="N31" i="1"/>
  <c r="N21" i="1"/>
  <c r="P21" i="1" s="1"/>
  <c r="N185" i="1"/>
  <c r="N175" i="1"/>
  <c r="N165" i="1"/>
  <c r="N155" i="1"/>
  <c r="N144" i="1"/>
  <c r="P144" i="1" s="1"/>
  <c r="N133" i="1"/>
  <c r="P133" i="1" s="1"/>
  <c r="N121" i="1"/>
  <c r="P121" i="1" s="1"/>
  <c r="N111" i="1"/>
  <c r="P111" i="1" s="1"/>
  <c r="N101" i="1"/>
  <c r="N91" i="1"/>
  <c r="P91" i="1" s="1"/>
  <c r="N81" i="1"/>
  <c r="P81" i="1" s="1"/>
  <c r="N71" i="1"/>
  <c r="N61" i="1"/>
  <c r="N51" i="1"/>
  <c r="P51" i="1" s="1"/>
  <c r="N40" i="1"/>
  <c r="P40" i="1" s="1"/>
  <c r="N30" i="1"/>
  <c r="N20" i="1"/>
  <c r="P20" i="1" s="1"/>
  <c r="N184" i="1"/>
  <c r="P184" i="1" s="1"/>
  <c r="N174" i="1"/>
  <c r="P174" i="1" s="1"/>
  <c r="N164" i="1"/>
  <c r="N154" i="1"/>
  <c r="P154" i="1" s="1"/>
  <c r="N142" i="1"/>
  <c r="P142" i="1" s="1"/>
  <c r="N132" i="1"/>
  <c r="N120" i="1"/>
  <c r="N110" i="1"/>
  <c r="P110" i="1" s="1"/>
  <c r="N100" i="1"/>
  <c r="N90" i="1"/>
  <c r="P90" i="1" s="1"/>
  <c r="N80" i="1"/>
  <c r="P80" i="1" s="1"/>
  <c r="N70" i="1"/>
  <c r="P70" i="1" s="1"/>
  <c r="N60" i="1"/>
  <c r="P60" i="1" s="1"/>
  <c r="N50" i="1"/>
  <c r="P50" i="1" s="1"/>
  <c r="N39" i="1"/>
  <c r="N29" i="1"/>
  <c r="P29" i="1" s="1"/>
  <c r="N19" i="1"/>
  <c r="P19" i="1" s="1"/>
  <c r="N183" i="1"/>
  <c r="P183" i="1" s="1"/>
  <c r="N173" i="1"/>
  <c r="N163" i="1"/>
  <c r="N153" i="1"/>
  <c r="N141" i="1"/>
  <c r="N130" i="1"/>
  <c r="P130" i="1" s="1"/>
  <c r="N119" i="1"/>
  <c r="P119" i="1" s="1"/>
  <c r="N109" i="1"/>
  <c r="N99" i="1"/>
  <c r="N89" i="1"/>
  <c r="P89" i="1" s="1"/>
  <c r="N79" i="1"/>
  <c r="N69" i="1"/>
  <c r="P69" i="1" s="1"/>
  <c r="N59" i="1"/>
  <c r="P59" i="1" s="1"/>
  <c r="N49" i="1"/>
  <c r="P49" i="1" s="1"/>
  <c r="N38" i="1"/>
  <c r="N28" i="1"/>
  <c r="N18" i="1"/>
  <c r="P18" i="1" s="1"/>
  <c r="N182" i="1"/>
  <c r="P182" i="1" s="1"/>
  <c r="N172" i="1"/>
  <c r="N162" i="1"/>
  <c r="N152" i="1"/>
  <c r="N140" i="1"/>
  <c r="P140" i="1" s="1"/>
  <c r="N129" i="1"/>
  <c r="P129" i="1" s="1"/>
  <c r="N118" i="1"/>
  <c r="P118" i="1" s="1"/>
  <c r="N108" i="1"/>
  <c r="P108" i="1" s="1"/>
  <c r="N98" i="1"/>
  <c r="P98" i="1" s="1"/>
  <c r="N88" i="1"/>
  <c r="N78" i="1"/>
  <c r="P78" i="1" s="1"/>
  <c r="N68" i="1"/>
  <c r="P68" i="1" s="1"/>
  <c r="N58" i="1"/>
  <c r="N48" i="1"/>
  <c r="P48" i="1" s="1"/>
  <c r="N37" i="1"/>
  <c r="P37" i="1" s="1"/>
  <c r="N27" i="1"/>
  <c r="P27" i="1" s="1"/>
  <c r="N17" i="1"/>
  <c r="P17" i="1" s="1"/>
  <c r="N191" i="1"/>
  <c r="N181" i="1"/>
  <c r="P181" i="1" s="1"/>
  <c r="N171" i="1"/>
  <c r="N161" i="1"/>
  <c r="P161" i="1" s="1"/>
  <c r="N151" i="1"/>
  <c r="N139" i="1"/>
  <c r="P139" i="1" s="1"/>
  <c r="N128" i="1"/>
  <c r="P128" i="1" s="1"/>
  <c r="N117" i="1"/>
  <c r="P117" i="1" s="1"/>
  <c r="N107" i="1"/>
  <c r="P107" i="1" s="1"/>
  <c r="N97" i="1"/>
  <c r="P97" i="1" s="1"/>
  <c r="N87" i="1"/>
  <c r="N77" i="1"/>
  <c r="N67" i="1"/>
  <c r="P67" i="1" s="1"/>
  <c r="N57" i="1"/>
  <c r="P57" i="1" s="1"/>
  <c r="N46" i="1"/>
  <c r="P46" i="1" s="1"/>
  <c r="N36" i="1"/>
  <c r="P36" i="1" s="1"/>
  <c r="N26" i="1"/>
  <c r="N16" i="1"/>
  <c r="P16" i="1" s="1"/>
  <c r="N190" i="1"/>
  <c r="N180" i="1"/>
  <c r="P180" i="1" s="1"/>
  <c r="N170" i="1"/>
  <c r="P170" i="1" s="1"/>
  <c r="N160" i="1"/>
  <c r="N150" i="1"/>
  <c r="P150" i="1" s="1"/>
  <c r="N138" i="1"/>
  <c r="P138" i="1" s="1"/>
  <c r="N127" i="1"/>
  <c r="P127" i="1" s="1"/>
  <c r="N116" i="1"/>
  <c r="N106" i="1"/>
  <c r="P106" i="1" s="1"/>
  <c r="N96" i="1"/>
  <c r="N86" i="1"/>
  <c r="P86" i="1" s="1"/>
  <c r="N76" i="1"/>
  <c r="P76" i="1" s="1"/>
  <c r="N66" i="1"/>
  <c r="P66" i="1" s="1"/>
  <c r="N56" i="1"/>
  <c r="N45" i="1"/>
  <c r="P45" i="1" s="1"/>
  <c r="N35" i="1"/>
  <c r="N25" i="1"/>
  <c r="P25" i="1" s="1"/>
  <c r="N15" i="1"/>
  <c r="P15" i="1" s="1"/>
  <c r="N189" i="1"/>
  <c r="N179" i="1"/>
  <c r="P179" i="1" s="1"/>
  <c r="N169" i="1"/>
  <c r="N159" i="1"/>
  <c r="N149" i="1"/>
  <c r="N137" i="1"/>
  <c r="P137" i="1" s="1"/>
  <c r="N126" i="1"/>
  <c r="N115" i="1"/>
  <c r="P115" i="1" s="1"/>
  <c r="N105" i="1"/>
  <c r="P105" i="1" s="1"/>
  <c r="N95" i="1"/>
  <c r="P95" i="1" s="1"/>
  <c r="N85" i="1"/>
  <c r="P85" i="1" s="1"/>
  <c r="N75" i="1"/>
  <c r="N65" i="1"/>
  <c r="N55" i="1"/>
  <c r="P55" i="1" s="1"/>
  <c r="N44" i="1"/>
  <c r="N34" i="1"/>
  <c r="N24" i="1"/>
  <c r="P24" i="1" s="1"/>
  <c r="N14" i="1"/>
  <c r="P14" i="1" s="1"/>
  <c r="N188" i="1"/>
  <c r="N178" i="1"/>
  <c r="N168" i="1"/>
  <c r="P168" i="1" s="1"/>
  <c r="N158" i="1"/>
  <c r="N148" i="1"/>
  <c r="N136" i="1"/>
  <c r="P136" i="1" s="1"/>
  <c r="N124" i="1"/>
  <c r="N114" i="1"/>
  <c r="P114" i="1" s="1"/>
  <c r="N104" i="1"/>
  <c r="P104" i="1" s="1"/>
  <c r="N94" i="1"/>
  <c r="P94" i="1" s="1"/>
  <c r="N84" i="1"/>
  <c r="P84" i="1" s="1"/>
  <c r="N74" i="1"/>
  <c r="N64" i="1"/>
  <c r="N54" i="1"/>
  <c r="P54" i="1" s="1"/>
  <c r="N43" i="1"/>
  <c r="N33" i="1"/>
  <c r="N23" i="1"/>
  <c r="N13" i="1"/>
  <c r="P13" i="1" s="1"/>
  <c r="N187" i="1"/>
  <c r="P187" i="1" s="1"/>
  <c r="N177" i="1"/>
  <c r="P177" i="1" s="1"/>
  <c r="N167" i="1"/>
  <c r="P167" i="1" s="1"/>
  <c r="N157" i="1"/>
  <c r="N147" i="1"/>
  <c r="N135" i="1"/>
  <c r="P135" i="1" s="1"/>
  <c r="N123" i="1"/>
  <c r="P123" i="1" s="1"/>
  <c r="N113" i="1"/>
  <c r="P113" i="1" s="1"/>
  <c r="N103" i="1"/>
  <c r="N93" i="1"/>
  <c r="P93" i="1" s="1"/>
  <c r="N83" i="1"/>
  <c r="P83" i="1" s="1"/>
  <c r="N73" i="1"/>
  <c r="P73" i="1" s="1"/>
  <c r="N63" i="1"/>
  <c r="P63" i="1" s="1"/>
  <c r="N53" i="1"/>
  <c r="N42" i="1"/>
  <c r="P42" i="1" s="1"/>
  <c r="N32" i="1"/>
  <c r="P32" i="1" s="1"/>
  <c r="N22" i="1"/>
  <c r="N12" i="1"/>
  <c r="P12" i="1" s="1"/>
  <c r="O9" i="1"/>
</calcChain>
</file>

<file path=xl/sharedStrings.xml><?xml version="1.0" encoding="utf-8"?>
<sst xmlns="http://schemas.openxmlformats.org/spreadsheetml/2006/main" count="565" uniqueCount="386">
  <si>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</si>
  <si>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</si>
  <si>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</si>
  <si>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</si>
  <si>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</si>
  <si>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</si>
  <si>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Номенклатура.Код</t>
  </si>
  <si>
    <t>Номенклатура</t>
  </si>
  <si>
    <t>Ед. изм.</t>
  </si>
  <si>
    <t>Количество</t>
  </si>
  <si>
    <t>Вес (нетто), кг</t>
  </si>
  <si>
    <t>Конечный остаток</t>
  </si>
  <si>
    <t>00-ko000631</t>
  </si>
  <si>
    <t>Останкино ООО</t>
  </si>
  <si>
    <t>00-00000632</t>
  </si>
  <si>
    <t>ООО Останкино-Краснодар</t>
  </si>
  <si>
    <t>00-ko010430</t>
  </si>
  <si>
    <t>0614 ПРАЗДНИЧНАЯ с/к в/с дек.спец.мгс  Останкино</t>
  </si>
  <si>
    <t>кг</t>
  </si>
  <si>
    <t>00-00000651</t>
  </si>
  <si>
    <t>3287 САЛЯМИ ИТАЛЬЯНСКАЯ с/к в/у ОСТАНКИНО</t>
  </si>
  <si>
    <t>00-00006364</t>
  </si>
  <si>
    <t>4063 МЯСНАЯ Папа может вар п/о_Л   ОСТАНКИНО</t>
  </si>
  <si>
    <t>00-00006375</t>
  </si>
  <si>
    <t>4117 ЭКСТРА Папа может с/к в/у_Л   ОСТАНКИНО</t>
  </si>
  <si>
    <t>00-00000698</t>
  </si>
  <si>
    <t>4574 Мясная со шпиком Папа может вар п/о ОСТАНКИНО</t>
  </si>
  <si>
    <t>00-00006365</t>
  </si>
  <si>
    <t>4813 ФИЛЕЙНАЯ Папа может вар п/о_Л   ОСТАНКИНО</t>
  </si>
  <si>
    <t>00-00005378</t>
  </si>
  <si>
    <t>5452 ВЕТЧ.МЯСНАЯ Папа может п/о    ОСТАНКИНО</t>
  </si>
  <si>
    <t>00-00005653</t>
  </si>
  <si>
    <t>5544 Сервелат Финский в/к в/у_45с НОВАЯ ОСТАНКИНО</t>
  </si>
  <si>
    <t>00-00005867</t>
  </si>
  <si>
    <t>5708 ПОСОЛЬСКАЯ Папа может с/к в/у ОСТАНКИНО</t>
  </si>
  <si>
    <t>00-00006074</t>
  </si>
  <si>
    <t>5851 ЭКСТРА Папа может вар п/о   ОСТАНКИНО</t>
  </si>
  <si>
    <t>00-ko011702</t>
  </si>
  <si>
    <t>6008 САЛО СОЛЕНОЕ С ЧЕРНЫМ ПЕРЦЕМ мл/к в/у ОСТАНКИНО</t>
  </si>
  <si>
    <t>00-00006417</t>
  </si>
  <si>
    <t>6025 ВЕТЧ.ФИРМЕННАЯ С ИНДЕЙКОЙ п/о   ОСТАНКИНО</t>
  </si>
  <si>
    <t>00-ko009211</t>
  </si>
  <si>
    <t>6220 ГОВЯЖЬЯ папа может вар п/о  Останкино</t>
  </si>
  <si>
    <t>00-00009145</t>
  </si>
  <si>
    <t>6303 Мясные Папа может сос п/о мгс 1,5*3  Останкино</t>
  </si>
  <si>
    <t>00-ko010639</t>
  </si>
  <si>
    <t>6470 ВЕТЧ.МРАМОРНАЯ в/у_45с  ОСТАНКИНО</t>
  </si>
  <si>
    <t>00-00008386</t>
  </si>
  <si>
    <t>6498 МОЛОЧНАЯ Папа может вар п/о  ОСТАНКИНО</t>
  </si>
  <si>
    <t>00-00008387</t>
  </si>
  <si>
    <t>6527 ШПИКАЧКИ СОЧНЫЕ ПМ сар б/о мгс 1*3 45с ОСТАНКИНО</t>
  </si>
  <si>
    <t>00-ko009350</t>
  </si>
  <si>
    <t>6550 МЯСНЫЕ Папа может сар б/о мгс 1*3 О 45с  Останкино</t>
  </si>
  <si>
    <t>00-00008873</t>
  </si>
  <si>
    <t>6608 С ГОВЯДИНОЙ ОРИГИН. сар б/о мгс 1*3_45с  ОСТАНКИНО</t>
  </si>
  <si>
    <t>00-ko010603</t>
  </si>
  <si>
    <t>6620 РЕБРЫШКИ к/в в/у_30с  Останкино</t>
  </si>
  <si>
    <t>00-00009144</t>
  </si>
  <si>
    <t>6661 СОЧНЫЙ ГРИЛЬ ПМ сос п/о мгс 1,5*4_Маяк Останкино</t>
  </si>
  <si>
    <t>00-ko009631</t>
  </si>
  <si>
    <t>6761 МОЛОЧНЫЕ ГОСТ сос ц/о мгс 1*4  Останкино</t>
  </si>
  <si>
    <t>00-ko009595</t>
  </si>
  <si>
    <t>6829  МОЛОЧНЫЕ КЛАССИЧЕСКИЕ сос п/о мгс 2*4 С  Останккино</t>
  </si>
  <si>
    <t>00-ko011780</t>
  </si>
  <si>
    <t>6929 КАРБОНАД ДОМАШНИЙ ПМ к/в кр/к в/у  ОСТАНКИНО</t>
  </si>
  <si>
    <t>00-ko010285</t>
  </si>
  <si>
    <t>7001 КЛАССИЧЕСКИЕ Папа может сар б/о мгс 1*3  Останкино</t>
  </si>
  <si>
    <t>00-ko010282</t>
  </si>
  <si>
    <t>7070 СОЧНЫЕ ПМ сос п/о 1,5*4_А_50с  Останкино</t>
  </si>
  <si>
    <t>00-ko010300</t>
  </si>
  <si>
    <t>7075 МОЛОЧ.ПРЕМИУМ ПМ сос п/о мгс 1,5*4_О_50с  Останкино</t>
  </si>
  <si>
    <t>00-ko011523</t>
  </si>
  <si>
    <t>7083 СЛИВОЧНЫЕ ПМ сос п/о мгс 1.5*4_А_50с  ОСТАНКИНО</t>
  </si>
  <si>
    <t>00-ko010432</t>
  </si>
  <si>
    <t>7157 СЕРВЕЛАТ ЗЕРНИСТЫЙ ПМ в/к в/у_50с  Останкино</t>
  </si>
  <si>
    <t>00-ko010400</t>
  </si>
  <si>
    <t>7166 СЕРВЕЛАТ ОХОТНИЧИЙ ПМ в/к в/у_50с  Останкино</t>
  </si>
  <si>
    <t>00-ko011223</t>
  </si>
  <si>
    <t>7299 НАБОР ДЛЯ ПИЦЦЫ Папа Может с/к в/у  ОСТАНКИНО</t>
  </si>
  <si>
    <t>00-ko011777</t>
  </si>
  <si>
    <t>7514 ЛЮБИТЕЛЬСКАЯ ОСТАНКИНСКАЯ вар п/о в/у  ОСТАНКИНО</t>
  </si>
  <si>
    <t>00-ko011778</t>
  </si>
  <si>
    <t>7518 ТЕЛЯЧЬЯ ГОСТ Останкино вар п/о в/у  ОСТАНКИНО</t>
  </si>
  <si>
    <t>00-ko011756</t>
  </si>
  <si>
    <t>7562 КРАКОВСКАЯ ГОСТ Останкино п/к н/о мгс  ОСТАНКИНО</t>
  </si>
  <si>
    <t>00-ko011684</t>
  </si>
  <si>
    <t>7564 Балыковая в/к в/у Останкино Вес  ОСТАНКИНО</t>
  </si>
  <si>
    <t>00-00000700</t>
  </si>
  <si>
    <t>ООО Останкино-Краснодар (ШТ)</t>
  </si>
  <si>
    <t>00-00005413</t>
  </si>
  <si>
    <t>3215 ВЕТЧ.МЯСНАЯ Папа может п/о 0.4кг 8шт.    ОСТАНКИНО</t>
  </si>
  <si>
    <t>шт</t>
  </si>
  <si>
    <t>00-00000744</t>
  </si>
  <si>
    <t>3986 Ароматная с/к в/у 1/250 ОСТАНКИНО</t>
  </si>
  <si>
    <t>00-00000753</t>
  </si>
  <si>
    <t>4993 САЛЯМИ ИТАЛЬЯНСКАЯ с/к в/у 1/250*8_120c ОСТАНКИНО</t>
  </si>
  <si>
    <t>00-00005436</t>
  </si>
  <si>
    <t>5483 ЭКСТРА Папа может с/к в/у 1/250 8шт.   ОСТАНКИНО</t>
  </si>
  <si>
    <t>00-ko009672</t>
  </si>
  <si>
    <t>5495 ВЕТЧ.С ИНДЕЙКОЙ Папа может п/о 400*6  Останкино</t>
  </si>
  <si>
    <t>00-00009307</t>
  </si>
  <si>
    <t>5819 Сосиски Папа может 400г Мясные  ОСТАНКИНО</t>
  </si>
  <si>
    <t>00-00006294</t>
  </si>
  <si>
    <t>5931 ОХОТНИЧЬЯ Папа может с/к в/у 1/220 8шт.   ОСТАНКИНО</t>
  </si>
  <si>
    <t>00-ko010380</t>
  </si>
  <si>
    <t>6221 НЕОПОЛИТАНСКИЙ ДУЭТ с/к с/н мгс 1/90  Останкино</t>
  </si>
  <si>
    <t>00-ko010780</t>
  </si>
  <si>
    <t>6222 ИТАЛЬЯНСКОЕ АССОРТИ с/в с/н мгс 1/90 ОСТАНКИНО</t>
  </si>
  <si>
    <t>00-ko009215</t>
  </si>
  <si>
    <t>6228 МЯСНОЕ АССОРТИ к/з с/н мгс 1/90 10шт  Останкино</t>
  </si>
  <si>
    <t>00-ko010967</t>
  </si>
  <si>
    <t>6279 КОРЕЙКА ПО-ОСТ.к/в в/с с/н в/у 1/150_45с  Останкино</t>
  </si>
  <si>
    <t>00-00007305</t>
  </si>
  <si>
    <t>6325 ДОКТОРСКАЯ ПРЕМИУМ вар п/о 0.4кг 8шт.  ОСТАНКИНО</t>
  </si>
  <si>
    <t>00-00007020</t>
  </si>
  <si>
    <t>6333 МЯСНАЯ Папа может вар п/о 0.4кг 8шт.  ОСТАНКИНО</t>
  </si>
  <si>
    <t>00-00007023</t>
  </si>
  <si>
    <t>6364 СЕРВЕЛАТ ЗЕРНИСТЫЙ ПМ в/к в/у 0.35кг  ОСТАНКИНО</t>
  </si>
  <si>
    <t>00-00008829</t>
  </si>
  <si>
    <t>6392 ФИЛЕЙНАЯ Папа может вар п/о 0,4кг  ОСТАНКИНО</t>
  </si>
  <si>
    <t>00-ko011752</t>
  </si>
  <si>
    <t>6411 ВЕТЧ.РУБЛЕНАЯ ПМ в/у срез 0.3кг 6шт.  ОСТАНКИНО</t>
  </si>
  <si>
    <t>00-00007953</t>
  </si>
  <si>
    <t>6453 ЭКСТРА Папа может с/к с/н в/у 1/100 14шт.   ОСТАНКИНО</t>
  </si>
  <si>
    <t>00-00009308</t>
  </si>
  <si>
    <t>6475 Сосиски Папа может 400г С сыром  ОСТАНКИНО</t>
  </si>
  <si>
    <t>00-ko009959</t>
  </si>
  <si>
    <t>6495 ВЕТЧ.МРАМОРНАЯ в/у срез 0,3кг 6шт_45с  Останкино</t>
  </si>
  <si>
    <t>00-ko010530</t>
  </si>
  <si>
    <t>6616 МОЛОЧНЫЕ КЛАССИЧЕСКИЕ сос п/о в/у 0,3 кг  Останкино</t>
  </si>
  <si>
    <t>00-00008789</t>
  </si>
  <si>
    <t>6697 СЕРВЕЛАТ ФИНСКИЙ ПМ в/к в/у 0,35кг 8шт  ОСТАНКИНО</t>
  </si>
  <si>
    <t>00-00009132</t>
  </si>
  <si>
    <t>6713 СОЧНЫЙ ГРИЛЬ ПМ сос п/о мгс 0,41кг 8 шт.  ОСТАНКИНО</t>
  </si>
  <si>
    <t>00-ko010964</t>
  </si>
  <si>
    <t>6724 МОЛОЧНЫЕ ПМ сос п/о мгс 0,41кг 10шт  Останкино</t>
  </si>
  <si>
    <t>00-ko009677</t>
  </si>
  <si>
    <t>6765 РУБЛЕНЫЕ сос ц/о мгс 0,36кг 6шт  Останкино</t>
  </si>
  <si>
    <t>00-ko009922</t>
  </si>
  <si>
    <t>6787 СЕРВЕЛАТ КРЕМЛЕВСКИЙ в/к в/у 0,33кг 8шт  Останкино</t>
  </si>
  <si>
    <t>00-ko011300</t>
  </si>
  <si>
    <t>6797 С ИНДЕЙКОЙ Папа может вар п/о 0,4кг 8шт. ОСТАНКИНО</t>
  </si>
  <si>
    <t>00-ko009568</t>
  </si>
  <si>
    <t>6807 СЕРВЕЛАТ ЕВРОПЕЙСКИЙ в/к в/у 0,33кг 8шт  Останкино</t>
  </si>
  <si>
    <t>00-ko010963</t>
  </si>
  <si>
    <t>6837 ФИЛЕЙНЫЕ Папа Может сос ц/о мгс 0,4кг  Останкино</t>
  </si>
  <si>
    <t>00-ko011662</t>
  </si>
  <si>
    <t>6925 ВЕТЧ.КЛАССИЧЕСКАЯ в/у 0,6кг 8шт. ОСТАНКИНО</t>
  </si>
  <si>
    <t>00-ko010384</t>
  </si>
  <si>
    <t>6937 САЛЯМИ Папа может с/к в/у 1/250 8шт  Останкино</t>
  </si>
  <si>
    <t>00-ko010379</t>
  </si>
  <si>
    <t>6967 БУРГУНДИЯ Папа может с/к в/у 1/250 8шт  Останкино</t>
  </si>
  <si>
    <t>00-ko011749</t>
  </si>
  <si>
    <t>7040 С ИНДЕЙКОЙ ПМ сос ц/о в/у 1/270 8шт.  ОСТАНКИНО</t>
  </si>
  <si>
    <t>00-ko011609</t>
  </si>
  <si>
    <t>7059 ШПИКАЧКИ СОЧНЫЕ С БЕК. п/о мгс 0,3кг 60с ОСТАНКИНО</t>
  </si>
  <si>
    <t>00-ko010284</t>
  </si>
  <si>
    <t>7066 СОЧНЫЕ ПМ сос п/о мгс 0,41кг 10шт 50с  Останкино</t>
  </si>
  <si>
    <t>00-ko011706</t>
  </si>
  <si>
    <t>7067 СОЧНЫЕ ПМ сос. п/о мгс 0,41кг СНГ 50с ОСТАНКИНО</t>
  </si>
  <si>
    <t>00-ko010301</t>
  </si>
  <si>
    <t>7073 МОЛОЧ.ПРЕМИУМ ПМ сос п/о в/у 1/350_50с  Останкино</t>
  </si>
  <si>
    <t>00-ko010283</t>
  </si>
  <si>
    <t>7080 СЛИВОЧНЫЕ ПМ сос п/о мгс 0,41кг 10шт 50с  Останкино</t>
  </si>
  <si>
    <t>00-ko010286</t>
  </si>
  <si>
    <t>7090 СВИНИНА ПО-ДОМ.к/в мл/к в/у 0,3кг_50с  Останкино</t>
  </si>
  <si>
    <t>00-ko010254</t>
  </si>
  <si>
    <t>7103 БЕКОН Останкино с/к с/н в/у 1/180_50с  Останкино</t>
  </si>
  <si>
    <t>00-ko011801</t>
  </si>
  <si>
    <t>7143 БРАУНШВЕЙГСКАЯ ГОСТ с/к в/у 1/220 8шт.  ОСТАНКИНО</t>
  </si>
  <si>
    <t>00-ko010673</t>
  </si>
  <si>
    <t>7147 САЛЬЧИЧОН Останкино с/к в/у 1/220 8 шт  Останкино</t>
  </si>
  <si>
    <t>00-ko010401</t>
  </si>
  <si>
    <t>7154 СЕРВЕЛАТ ЗЕРНИСТЫЙ ПМ в/к в/у 0,35кг_50с  Останкино</t>
  </si>
  <si>
    <t>00-ko010399</t>
  </si>
  <si>
    <t>7169 СЕРВЕЛАТ ОХОТНИЧИЙ ПМ в/к в/у 0,35кг_50с  Останкино</t>
  </si>
  <si>
    <t>00-ko010429</t>
  </si>
  <si>
    <t>7177 ЧЕСНОЧНАЯ ПМ п/к в/у 0,35кг 8шт_50с  Останкино</t>
  </si>
  <si>
    <t>00-ko010604</t>
  </si>
  <si>
    <t>7187 ГРУДИНКА ПРЕМИУМ к/в мл/к в/у 0,3кг_50с  Останкино</t>
  </si>
  <si>
    <t>00-ko010962</t>
  </si>
  <si>
    <t>7231 КЛАССИЧЕСКАЯ ПМ вар п/о 0,3кг 8 шт_209к  Останкино</t>
  </si>
  <si>
    <t>00-ko010557</t>
  </si>
  <si>
    <t>7232 БОЯNСКАЯ ПМ п/к в/у 0,28кг 8шт_209к  Останкино</t>
  </si>
  <si>
    <t>00-ko010598</t>
  </si>
  <si>
    <t>7236 СЕРВЕЛАТ КАРЕЛЬСКИЙ в/к в/у 0,28кг_209к  Останкино</t>
  </si>
  <si>
    <t>00-ko010569</t>
  </si>
  <si>
    <t>7238 СЕРВЕЛАТ ОРЕХОВЫЙ в/к в/у 0,31кг_209к  Останкино</t>
  </si>
  <si>
    <t>00-ko010555</t>
  </si>
  <si>
    <t>7241 САЛЯМИ Папа может п/к в/у 0,28кг ОСТАНКИНО</t>
  </si>
  <si>
    <t>00-ko011229</t>
  </si>
  <si>
    <t>7255 МЯСНЫЕ С ГОВЯД.ПМ сос п/о мгс 0.4кг 6шт.  ОСТАНКИНО</t>
  </si>
  <si>
    <t>00-ko010746</t>
  </si>
  <si>
    <t>7284 ДЛЯ ДЕТЕЙ сос п/о мгс 0,33кг 6шт  Останкино</t>
  </si>
  <si>
    <t>00-ko011144</t>
  </si>
  <si>
    <t>7332 БОЯРСКАЯ ПМ п/к в/у 0,28кг ОСТАНКИНО</t>
  </si>
  <si>
    <t>00-ko011145</t>
  </si>
  <si>
    <t>7334 МЯСНАЯ СО ШПИКОМ ПМ вар п/о 0.4кг 8шт.</t>
  </si>
  <si>
    <t>00-ko011803</t>
  </si>
  <si>
    <t>7344 КОНСЕРВЫ МЯС.ГОВЯДИНА ТУШ. В/С 338г_ЧЗ  ОСТАНКИНО</t>
  </si>
  <si>
    <t>00-ko011804</t>
  </si>
  <si>
    <t>7345 КОНСЕРВЫ МЯС.СВИНИНА ТУШ. В/С 325г_ЧЗ  ОСТАНКИНО</t>
  </si>
  <si>
    <t>00-ko011257</t>
  </si>
  <si>
    <t>7382  САЛЯМИ МЕЛКОЗЕРНЕНАЯ с/к в/у1/120 8шт.  ОСТАНКИНО</t>
  </si>
  <si>
    <t>00-ko011738</t>
  </si>
  <si>
    <t>7386 БАРСЕЛОНА ПМ с/к в/у 1/150  ОСТАНКИНО</t>
  </si>
  <si>
    <t>00-ko011802</t>
  </si>
  <si>
    <t>7456 САЛЯМИ ФИНСКАЯ Папа может с/к в/у 1/150  ОСТАНКИНО</t>
  </si>
  <si>
    <t>00-ko011659</t>
  </si>
  <si>
    <t>7461 ДЛЯ ДЕТЕЙ Папа Может сос п/о мгс 0,33кг ОСТАНКИНО</t>
  </si>
  <si>
    <t>00-ko011759</t>
  </si>
  <si>
    <t>7485 РИЕТ МЯСНОЙ С ГРИБАМИ ПМ п/о 1/150  ОСТАНКИНО</t>
  </si>
  <si>
    <t>00-ko011701</t>
  </si>
  <si>
    <t>7489 СЫРРРВЕЛАТ Папа Может в/к в/у 0,28кг 8шт. ОСТАНКИНО</t>
  </si>
  <si>
    <t>00-ko011758</t>
  </si>
  <si>
    <t>7513 ВОСКРЕСЕНСКАЯ ВЯЛЕНАЯ в/к в/у срез 1/260  ОСТАНКИНО</t>
  </si>
  <si>
    <t>00-ko011757</t>
  </si>
  <si>
    <t>7516 НОВОМОСКОВСКАЯ в/к в/у срез 0.31кг  ОСТАНКИНО</t>
  </si>
  <si>
    <t>00-ko011656</t>
  </si>
  <si>
    <t>7523 ГОВЯЖЬЯ Папа Может вар п/о 0,4кг 6шт. ОСТАНКИНО</t>
  </si>
  <si>
    <t>00-ko011655</t>
  </si>
  <si>
    <t>7539 ДОКТОРСКАЯ ГОСТ вар п/о 0,35кг ОСТАНКИНО</t>
  </si>
  <si>
    <t>00-ko011753</t>
  </si>
  <si>
    <t>7601 ДЛЯ ДЕТЕЙ Папа может сос п/о мгс 0.264кг  ОСТАНКИНО</t>
  </si>
  <si>
    <t>00-ko011685</t>
  </si>
  <si>
    <t>7603 БАЛЫКОВАЯ в/к в/у 0.33кг 8шт. ОСТАНКИНО</t>
  </si>
  <si>
    <t>00-ko011721</t>
  </si>
  <si>
    <t>7608 СЕРВЕЛАТ ШВЕЙЦАРСК.в/к с/н в/у 1/100_Л11  ОСТАНКИНО</t>
  </si>
  <si>
    <t>00-ko011719</t>
  </si>
  <si>
    <t>7612 БАЛЫК с/к с/н в/у 1/100 10шт_  ОСТАНКИНО</t>
  </si>
  <si>
    <t>00-ko011737</t>
  </si>
  <si>
    <t>7613 АРОМАТНАЯ с/к с/н в/у 1/100 10шт_Л10  ОСТАНКИНО</t>
  </si>
  <si>
    <t>00-ko011720</t>
  </si>
  <si>
    <t>7616 ЭКСТРА Папа может с/к с/н в/у 1/100_  ОСТАНКИНО</t>
  </si>
  <si>
    <t>00-ko011771</t>
  </si>
  <si>
    <t>7626 БРАУНШВЕЙГСКАЯ с/к с/н мгс 1/100_Л10  ОСТАНКИНО</t>
  </si>
  <si>
    <t>00-ko011715</t>
  </si>
  <si>
    <t>7632 ЭКСТРА Папа может вар п/о 0.4кг 8шт_195к  ОСТАНКИНО</t>
  </si>
  <si>
    <t>00-ko011750</t>
  </si>
  <si>
    <t>7647 ХОЧУ ВЕТЧ.ИЗ СВ.ОТРУБА с/н мгс 1/100_Л11  ОСТАНКИНО</t>
  </si>
  <si>
    <t>00-ko011751</t>
  </si>
  <si>
    <t>7651 ХОЧУ ВЕТЧ.МРАМОР. ПМ с/н мгс 1/100_Л11  ОСТАНКИНО</t>
  </si>
  <si>
    <t>00-ko011800</t>
  </si>
  <si>
    <t>7710 КРАКОВСКАЯ ГОСТ п/к н/о мгс 0.3кг  ОСТАНКИНО</t>
  </si>
  <si>
    <t>00-ko011309</t>
  </si>
  <si>
    <t>Останкино (соусы, майонезы)</t>
  </si>
  <si>
    <t>00-ko011307</t>
  </si>
  <si>
    <t>6948249 Майонезный соус провансаль 824,5гр деликатес.с массовой долей жирн.25% Коровино Останкино</t>
  </si>
  <si>
    <t>00-ko011305</t>
  </si>
  <si>
    <t>6948256 Майонез провансаль классич.оливковый Папа может 372гр с массовой долей жирн. 67% Останкино</t>
  </si>
  <si>
    <t>00-ko011306</t>
  </si>
  <si>
    <t>6948263 Майонез провансаль классич.оливковый Папа может 744гр с массовой долей жирн. 67% Останкино</t>
  </si>
  <si>
    <t>00-ko011303</t>
  </si>
  <si>
    <t>6948270 Майонез провансаль классич.Папа может 372гр с массовой долей жирн. 67% Останкино</t>
  </si>
  <si>
    <t>00-ko011304</t>
  </si>
  <si>
    <t>6948287 Майонез провансаль классич.Папа может 744гр с массовой долей жирн. 67% Останкино</t>
  </si>
  <si>
    <t>00-00005668</t>
  </si>
  <si>
    <t>Останкино Заморозка</t>
  </si>
  <si>
    <t>00-00005671</t>
  </si>
  <si>
    <t>5579 БЛИНЧ.КРУГЛЫЕ С САД.ЯБЛОК.пл.1/420 зам. ОСТАНКИНО</t>
  </si>
  <si>
    <t>00-ko011529</t>
  </si>
  <si>
    <t>5754 БЛИНЧ.КРУГЛЫЕ С МЯСОМ 4,5кг зам. ПМ ОСТАНКИНО</t>
  </si>
  <si>
    <t>00-ko011530</t>
  </si>
  <si>
    <t>5755 БЛИНЧ.КРУГЛЫЕ С ТВОРОГОМ 4,5кг зам. ПМ ОСТАНКИНО</t>
  </si>
  <si>
    <t>00-00006237</t>
  </si>
  <si>
    <t>5897 БЛИНЧ.КРУГЛЫЕ С ГРУШЕЙ пл.1/420 зам.   ОСТАНКИНО</t>
  </si>
  <si>
    <t>00-ko011526</t>
  </si>
  <si>
    <t>6148 БЛИНЧ.КРУГЛЫЕ С ВЕТЧ.И СЫР. ПМ 1/300 зам. ОСТАНКИНО</t>
  </si>
  <si>
    <t>00-ko011527</t>
  </si>
  <si>
    <t>6149 БЛИНЧ.КРУГЛЫЕ С ПЕЧЕНЬЮ ПМ 1/300 зам. ОСТАНКИНО</t>
  </si>
  <si>
    <t>00-ko011525</t>
  </si>
  <si>
    <t>6168 Блинчики с мясом пл. 1/350 зам. ОСТАНКИНО</t>
  </si>
  <si>
    <t>00-ko011528</t>
  </si>
  <si>
    <t>6202 БЛИНЧ.КРУГЛЫЕ С ТВОРОГОМ ПМ 1/300 зам. ОСТАНКИНО</t>
  </si>
  <si>
    <t>00-ko011524</t>
  </si>
  <si>
    <t>6209 Блинчики с куриным мясом пл. 1/350 зам. ОСТАНКИНО</t>
  </si>
  <si>
    <t>00-ko011532</t>
  </si>
  <si>
    <t>6819 БЛИНЧ.КРУГЛЫЕ С САД.ЯБЛОК. пл. 1/300 зам. ОСТАНКИНО</t>
  </si>
  <si>
    <t>00-ko011673</t>
  </si>
  <si>
    <t>7216 СОЧНЫЕ СО СЛ.МАСЛ.ПМ пельм пл.0.7кг зам. ОСТАНКИНО</t>
  </si>
  <si>
    <t>00-00003326</t>
  </si>
  <si>
    <t>Останкино КОРОВИНО (ВЕС)</t>
  </si>
  <si>
    <t>00-ko009992</t>
  </si>
  <si>
    <t>6866 ВЕТЧ.НЕЖНАЯ Коровино п/о_Маяк  Останкино</t>
  </si>
  <si>
    <t>00-00006675</t>
  </si>
  <si>
    <t>Останкино СЫР</t>
  </si>
  <si>
    <t>00-ko011744</t>
  </si>
  <si>
    <t>1103201 Сыр копченый "Косичка" мини ПАПА МОЖЕТ 55г лоток  ОСТАНКИНО</t>
  </si>
  <si>
    <t>00-ko011743</t>
  </si>
  <si>
    <t>2103201 БЖП, произведенный по технологии сыра копченый "Косичка" мини Ассорти  ОСТАНКИНО</t>
  </si>
  <si>
    <t>00-ko011742</t>
  </si>
  <si>
    <t>2105201 БЖП, произведенный по технологии сыра копченый "Балык" резаный 4 вкуса  ОСТАНКИНО</t>
  </si>
  <si>
    <t>00-ko011401</t>
  </si>
  <si>
    <t>3323 Сыр Российский цилиндр 1/4 пленка ЮКМП м.д.ж. 50%  ОСТАНКИНО</t>
  </si>
  <si>
    <t>00-ko010979</t>
  </si>
  <si>
    <t>4421577 Спред растительно-сливочный "Сливочный вкус" 82,5% 180гр  Останкино</t>
  </si>
  <si>
    <t>00-ko010980</t>
  </si>
  <si>
    <t>4421584 Спред растительно-сливочный "Сливочный вкус" 72,5% 180гр  Останкино</t>
  </si>
  <si>
    <t>00-ko011689</t>
  </si>
  <si>
    <t>4931  Сыр полутвердый "Купеческий" с ароматом топленого молока, с м.д.ж. 50% ОСТАНКИНО</t>
  </si>
  <si>
    <t>00-ko009363</t>
  </si>
  <si>
    <t>9988421 Творожный Сыр 60 % С маринованными огурчиками и укропом  Останкино</t>
  </si>
  <si>
    <t>00-ko009361</t>
  </si>
  <si>
    <t>9988438 Плавленый Сыр 45% "С ветчиной" СТМ"ПапаМожет" 180гр  Останкино</t>
  </si>
  <si>
    <t>00-ko009362</t>
  </si>
  <si>
    <t>9988445 Плавленый Сыр 45%"С грибами" СТМ"ПапаМожет" 180 гр  Останкино</t>
  </si>
  <si>
    <t>00-ko010567</t>
  </si>
  <si>
    <t>Cыр Перлини со вкусом Васаби 40% 100гр (8шт)  Останкино</t>
  </si>
  <si>
    <t>00-ko009727</t>
  </si>
  <si>
    <t>Масло "Папа может" 82,5% 180гр  Останкино</t>
  </si>
  <si>
    <t>00-ko009671</t>
  </si>
  <si>
    <t>Масло сливочное 72,5 % 180 гр.(10 шт) СЛАВЯНА  Останкино</t>
  </si>
  <si>
    <t>00-ko009522</t>
  </si>
  <si>
    <t>Плавленый продукт с Сыром колбасный копченый 40% СТМ "Коровино" 400гр  Останкино</t>
  </si>
  <si>
    <t>00-ko011445</t>
  </si>
  <si>
    <t>Плавленый сыр "Шоколадный" 30% 180гр Папа Может Останкино</t>
  </si>
  <si>
    <t>00-ko009521</t>
  </si>
  <si>
    <t>Плавленый Сыр колбасный копченый 40% СТМ"ПапаМожет"400гр  Останкино</t>
  </si>
  <si>
    <t>00-ko011454</t>
  </si>
  <si>
    <t>Продукт белково-жировой Сметанковый 50% ВЕС Коровино Останкино</t>
  </si>
  <si>
    <t>00-ko011449</t>
  </si>
  <si>
    <t>Продукт По-Росийски Классический с ЗМЖ 50% 200г Коровино Останкино</t>
  </si>
  <si>
    <t>00-ko011450</t>
  </si>
  <si>
    <t>Продукт По-Росийски Классический с ЗМЖ 50% ВЕС Коровино Останкино</t>
  </si>
  <si>
    <t>00-00008903</t>
  </si>
  <si>
    <t>Сыр "Пармезан" 40% кусок 180 гр  ОСТАНКИНО</t>
  </si>
  <si>
    <t>00-00008885</t>
  </si>
  <si>
    <t>Сыр Боккончини копченый 40% 100 гр.  ОСТАНКИНО</t>
  </si>
  <si>
    <t>00-ko011451</t>
  </si>
  <si>
    <t>Сыр Косичка сырная 45% 100г/8шт Папа Может Останкино</t>
  </si>
  <si>
    <t>00-ko011446</t>
  </si>
  <si>
    <t>Сыр Косичка сырная копченая 43% 100г/8шт Папа Может Останкино</t>
  </si>
  <si>
    <t>00-ko009386</t>
  </si>
  <si>
    <t>Сыр ПАПА МОЖЕТ "Гауда Голд" 45 % 180 гр (10шт) Останкино</t>
  </si>
  <si>
    <t>00-ko009387</t>
  </si>
  <si>
    <t>Сыр ПАПА МОЖЕТ "Голландский традиционный" 45% 180 гр (10шт)  Останкино</t>
  </si>
  <si>
    <t>00-ko009670</t>
  </si>
  <si>
    <t>Сыр ПАПА МОЖЕТ "Министерский" 180 г фасованный массовая  Останкино</t>
  </si>
  <si>
    <t>00-ko009687</t>
  </si>
  <si>
    <t>Сыр ПАПА МОЖЕТ "Папин завтрак"  45% 180 г  Останкино</t>
  </si>
  <si>
    <t>00-ko009434</t>
  </si>
  <si>
    <t>Сыр ПАПА МОЖЕТ "Российский традиционный"45 % 180 г Останкино</t>
  </si>
  <si>
    <t>00-ko009520</t>
  </si>
  <si>
    <t>Сыр ПАПА МОЖЕТ "Тильзитер" фасованный массовая доля жира в сухом веществе 45%, 180г  Останкино</t>
  </si>
  <si>
    <t>00-ko009626</t>
  </si>
  <si>
    <t>Сыр плавленный Сливочный ж.45% 180г ТМ Папа может (16шт)  Останкино</t>
  </si>
  <si>
    <t>00-ko009875</t>
  </si>
  <si>
    <t>Сыр полутвердый "Гауда" с массовой долей жира в пересчете на сухое вещество 45%,   Останкино</t>
  </si>
  <si>
    <t>00-ko009874</t>
  </si>
  <si>
    <t>Сыр полутвердый "Голландский" с массовой долей жира в пересчете на сухое  Останкино</t>
  </si>
  <si>
    <t>00-ko009385</t>
  </si>
  <si>
    <t>Сыр полутвердый "Российский" с массовой долей жира 50%  Останкино</t>
  </si>
  <si>
    <t>00-ko009524</t>
  </si>
  <si>
    <t>Сыр полутвердый "Сметанковый", с масс долей жира в пересчете на сухое вещес50%, брус  Останкино</t>
  </si>
  <si>
    <t>00-ko009526</t>
  </si>
  <si>
    <t>Сыр полутвердый "Тильзитер" с массовой долей жира в пересчете на сухое вещество 45%. 1/5  Останкино</t>
  </si>
  <si>
    <t>00-00008886</t>
  </si>
  <si>
    <t>Сыр рассольный жирный Чечил 45% 100 гр  ОСТАНКИНО</t>
  </si>
  <si>
    <t>00-00009171</t>
  </si>
  <si>
    <t>Сыр рассольный жирный Чечил копченый 43% 100 гр  Останкино</t>
  </si>
  <si>
    <t>00-00008887</t>
  </si>
  <si>
    <t>Сыр Скаморца свежий 100 гр.  ОСТАНКИНО</t>
  </si>
  <si>
    <t>00-ko009290</t>
  </si>
  <si>
    <t>Сыр Творожный с зеленью 60% Папа может 140 гр.  Останкино</t>
  </si>
  <si>
    <t>00-ko009053</t>
  </si>
  <si>
    <t>Сыр творожный Сливочный 140 гр.  Останкино</t>
  </si>
  <si>
    <t>00-00008341</t>
  </si>
  <si>
    <t>Сыч/Прод Коровино Российский 50% 200г НОВАЯ СЗМЖ  ОСТАНКИНО</t>
  </si>
  <si>
    <t>00-00008340</t>
  </si>
  <si>
    <t>Сыч/Прод Коровино Российский Оригин 50% ВЕС НОВАЯ (3,5 кг)  ОСТАНКИНО</t>
  </si>
  <si>
    <t>00-00008339</t>
  </si>
  <si>
    <t>Сыч/Прод Коровино Тильзитер 50% 200г НОВАЯ СЗМЖ  ОСТАНКИНО</t>
  </si>
  <si>
    <t>00-00007918</t>
  </si>
  <si>
    <t>Сыч/Прод Коровино Тильзитер 50% 200г СЗМЖ  ОСТАНКИНО</t>
  </si>
  <si>
    <t>00-00007917</t>
  </si>
  <si>
    <t>Сыч/Прод Коровино Тильзитер Оригин 50% ВЕС (5 кг брус) СЗМЖ  ОСТАНКИНО</t>
  </si>
  <si>
    <t>00-00008338</t>
  </si>
  <si>
    <t>Сыч/Прод Коровино Тильзитер Оригин 50% ВЕС НОВАЯ (5 кг брус) СЗМЖ  ОСТАНКИНО</t>
  </si>
  <si>
    <t>дня</t>
  </si>
  <si>
    <t>1 день, шт</t>
  </si>
  <si>
    <t>1 день, кг</t>
  </si>
  <si>
    <t>продаж</t>
  </si>
  <si>
    <t>потребность</t>
  </si>
  <si>
    <t>ПЕРЕМЕЩЕНИЕ</t>
  </si>
  <si>
    <t>КГ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</si>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</sst>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4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55;&#1045;&#1056;&#1045;&#1052;&#1045;&#1065;&#1045;&#1053;&#1048;&#1045;%20&#1041;&#1077;&#1088;&#1076;&#1103;&#1085;&#1089;&#1082;%20-%20&#1052;&#1072;&#1088;&#1080;&#1091;&#1087;&#1086;&#1083;&#1100;\&#1087;&#1088;&#1086;&#1076;&#1072;&#1078;&#1080;%20&#1041;&#1077;&#1088;&#1076;&#1103;&#1085;&#1089;&#1082;%2016,08,26-15,09,26.xlsx" TargetMode="External"/><Relationship Id="rId1" Type="http://schemas.openxmlformats.org/officeDocument/2006/relationships/externalLinkPath" Target="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91"/>
  <sheetViews>
    <sheetView tabSelected="1" workbookViewId="0">
      <pane ySplit="9" topLeftCell="A10" activePane="bottomLeft" state="frozen"/>
      <selection pane="bottomLeft" activeCell="S8" sqref="S8"/>
    </sheetView>
  </sheetViews>
  <sheetFormatPr defaultColWidth="10.5" defaultRowHeight="12.75" outlineLevelRow="2" x14ac:dyDescent="0.2"/>
  <cols>
    <col min="1" max="1" width="10.5" style="1" customWidth="1"/>
    <col min="2" max="2" width="4.1640625" style="1" customWidth="1"/>
    <col min="3" max="3" width="6.83203125" style="1" customWidth="1"/>
    <col min="4" max="4" width="48.5" style="1" customWidth="1"/>
    <col min="5" max="5" width="14.6640625" style="1" customWidth="1"/>
    <col min="6" max="6" width="11.5" style="1" customWidth="1"/>
    <col min="7" max="7" width="7.1640625" style="1" customWidth="1"/>
    <col min="8" max="9" width="14" style="1" customWidth="1"/>
    <col min="11" max="14" width="10.5" style="15"/>
    <col min="15" max="16" width="18.1640625" style="18" customWidth="1"/>
  </cols>
  <sheetData>
    <row r="1" spans="1:16" s="1" customFormat="1" x14ac:dyDescent="0.2">
      <c r="K1" s="14"/>
      <c r="L1" s="14"/>
      <c r="M1" s="14"/>
      <c r="N1" s="14"/>
      <c r="O1" s="18"/>
      <c r="P1" s="18"/>
    </row>
    <row r="2" spans="1:16" ht="23.25" x14ac:dyDescent="0.2">
      <c r="A2" s="2" t="s">
        <v>0</v>
      </c>
      <c r="B2" s="2"/>
      <c r="C2" s="2"/>
      <c r="D2" s="2"/>
    </row>
    <row r="3" spans="1:16" s="1" customFormat="1" x14ac:dyDescent="0.2">
      <c r="K3" s="14"/>
      <c r="L3" s="14"/>
      <c r="M3" s="14"/>
      <c r="N3" s="14"/>
      <c r="O3" s="18"/>
      <c r="P3" s="18"/>
    </row>
    <row r="4" spans="1:16" outlineLevel="1" x14ac:dyDescent="0.2">
      <c r="A4" s="3" t="s">
        <v>1</v>
      </c>
      <c r="B4" s="3"/>
      <c r="C4" s="3" t="s">
        <v>2</v>
      </c>
      <c r="D4" s="3"/>
      <c r="E4" s="3"/>
    </row>
    <row r="5" spans="1:16" outlineLevel="1" x14ac:dyDescent="0.2">
      <c r="C5" s="3" t="s">
        <v>3</v>
      </c>
      <c r="D5" s="3"/>
      <c r="E5" s="3"/>
      <c r="M5" s="19" t="s">
        <v>382</v>
      </c>
      <c r="N5" s="20"/>
    </row>
    <row r="6" spans="1:16" outlineLevel="1" x14ac:dyDescent="0.2">
      <c r="A6" s="3" t="s">
        <v>4</v>
      </c>
      <c r="B6" s="3"/>
      <c r="C6" s="27" t="s">
        <v>5</v>
      </c>
      <c r="D6" s="27"/>
      <c r="E6" s="27"/>
      <c r="F6" s="27"/>
      <c r="G6" s="27"/>
      <c r="H6" s="27"/>
      <c r="K6" s="16" t="s">
        <v>380</v>
      </c>
      <c r="L6" s="16" t="s">
        <v>379</v>
      </c>
      <c r="M6" s="15">
        <v>5</v>
      </c>
      <c r="N6" s="15">
        <f>M6</f>
        <v>5</v>
      </c>
      <c r="O6" s="21" t="s">
        <v>383</v>
      </c>
      <c r="P6" s="21"/>
    </row>
    <row r="7" spans="1:16" s="1" customFormat="1" x14ac:dyDescent="0.2">
      <c r="K7" s="16"/>
      <c r="L7" s="16"/>
      <c r="M7" s="17" t="s">
        <v>378</v>
      </c>
      <c r="N7" s="15" t="str">
        <f t="shared" ref="N7:N8" si="0">M7</f>
        <v>дня</v>
      </c>
      <c r="O7" s="18" t="s">
        <v>384</v>
      </c>
      <c r="P7" s="18" t="s">
        <v>385</v>
      </c>
    </row>
    <row r="8" spans="1:16" ht="25.5" x14ac:dyDescent="0.2">
      <c r="A8" s="28" t="s">
        <v>6</v>
      </c>
      <c r="B8" s="28"/>
      <c r="C8" s="28"/>
      <c r="D8" s="28" t="s">
        <v>7</v>
      </c>
      <c r="E8" s="28"/>
      <c r="F8" s="28"/>
      <c r="G8" s="4" t="s">
        <v>8</v>
      </c>
      <c r="H8" s="4" t="s">
        <v>9</v>
      </c>
      <c r="I8" s="4" t="s">
        <v>10</v>
      </c>
      <c r="M8" s="16" t="s">
        <v>381</v>
      </c>
      <c r="N8" s="15" t="str">
        <f t="shared" si="0"/>
        <v>продаж</v>
      </c>
    </row>
    <row r="9" spans="1:16" ht="25.5" x14ac:dyDescent="0.2">
      <c r="A9" s="28" t="s">
        <v>6</v>
      </c>
      <c r="B9" s="28"/>
      <c r="C9" s="28"/>
      <c r="D9" s="28" t="s">
        <v>7</v>
      </c>
      <c r="E9" s="28"/>
      <c r="F9" s="28"/>
      <c r="G9" s="4" t="s">
        <v>8</v>
      </c>
      <c r="H9" s="4" t="s">
        <v>11</v>
      </c>
      <c r="I9" s="4" t="s">
        <v>11</v>
      </c>
      <c r="M9" s="16" t="s">
        <v>18</v>
      </c>
      <c r="N9" s="16" t="s">
        <v>91</v>
      </c>
      <c r="O9" s="18">
        <f>SUM(O12:O191)</f>
        <v>4705.2520000000013</v>
      </c>
    </row>
    <row r="10" spans="1:16" x14ac:dyDescent="0.2">
      <c r="A10" s="24" t="s">
        <v>12</v>
      </c>
      <c r="B10" s="24"/>
      <c r="C10" s="24"/>
      <c r="D10" s="24" t="s">
        <v>13</v>
      </c>
      <c r="E10" s="24"/>
      <c r="F10" s="24"/>
      <c r="G10" s="5"/>
      <c r="H10" s="6"/>
      <c r="I10" s="7"/>
    </row>
    <row r="11" spans="1:16" outlineLevel="1" x14ac:dyDescent="0.2">
      <c r="A11" s="24" t="s">
        <v>14</v>
      </c>
      <c r="B11" s="24"/>
      <c r="C11" s="24"/>
      <c r="D11" s="25" t="s">
        <v>15</v>
      </c>
      <c r="E11" s="25"/>
      <c r="F11" s="25"/>
      <c r="G11" s="5"/>
      <c r="H11" s="7"/>
      <c r="I11" s="7"/>
    </row>
    <row r="12" spans="1:16" outlineLevel="2" x14ac:dyDescent="0.2">
      <c r="A12" s="22" t="s">
        <v>16</v>
      </c>
      <c r="B12" s="22"/>
      <c r="C12" s="22"/>
      <c r="D12" s="23" t="s">
        <v>17</v>
      </c>
      <c r="E12" s="23"/>
      <c r="F12" s="23"/>
      <c r="G12" s="8" t="s">
        <v>18</v>
      </c>
      <c r="H12" s="9">
        <v>3.1909999999999998</v>
      </c>
      <c r="I12" s="9">
        <v>3.1909999999999998</v>
      </c>
      <c r="J12" s="13">
        <f>IF(IFERROR(VLOOKUP(D12,[1]TDSheet!$A:$N,14,0),0)&gt;1,1,IFERROR(VLOOKUP(D12,[1]TDSheet!$A:$N,14,0),0))</f>
        <v>0.49718042798394446</v>
      </c>
      <c r="K12" s="15">
        <f>IFERROR(VLOOKUP(D12,[1]TDSheet!$A:$M,12,0),0)</f>
        <v>0.91772727272727284</v>
      </c>
      <c r="L12" s="15">
        <f>IFERROR(VLOOKUP(D12,[1]TDSheet!$A:$M,13,0),0)</f>
        <v>0.91772727272727284</v>
      </c>
      <c r="M12" s="15">
        <f>IF(K12*$M$6&lt;0,0,K12*$M$6)</f>
        <v>4.5886363636363638</v>
      </c>
      <c r="N12" s="15">
        <f>IF(L12*$N$6&lt;0,0,L12*$N$6)</f>
        <v>4.5886363636363638</v>
      </c>
      <c r="O12" s="18">
        <f>IF(M12&gt;H12,H12,M12)</f>
        <v>3.1909999999999998</v>
      </c>
      <c r="P12" s="18">
        <f>IF(N12&gt;I12,I12,N12)</f>
        <v>3.1909999999999998</v>
      </c>
    </row>
    <row r="13" spans="1:16" outlineLevel="2" x14ac:dyDescent="0.2">
      <c r="A13" s="22" t="s">
        <v>19</v>
      </c>
      <c r="B13" s="22"/>
      <c r="C13" s="22"/>
      <c r="D13" s="23" t="s">
        <v>20</v>
      </c>
      <c r="E13" s="23"/>
      <c r="F13" s="23"/>
      <c r="G13" s="8" t="s">
        <v>18</v>
      </c>
      <c r="H13" s="9">
        <v>251.72499999999999</v>
      </c>
      <c r="I13" s="9">
        <v>251.72499999999999</v>
      </c>
      <c r="J13" s="13">
        <f>IF(IFERROR(VLOOKUP(D13,[1]TDSheet!$A:$N,14,0),0)&gt;1,1,IFERROR(VLOOKUP(D13,[1]TDSheet!$A:$N,14,0),0))</f>
        <v>0.51642644750970512</v>
      </c>
      <c r="K13" s="15">
        <f>IFERROR(VLOOKUP(D13,[1]TDSheet!$A:$M,12,0),0)</f>
        <v>2.2735909090909092</v>
      </c>
      <c r="L13" s="15">
        <f>IFERROR(VLOOKUP(D13,[1]TDSheet!$A:$M,13,0),0)</f>
        <v>2.2735909090909092</v>
      </c>
      <c r="M13" s="15">
        <f t="shared" ref="M13:M76" si="1">IF(K13*$M$6&lt;0,0,K13*$M$6)</f>
        <v>11.367954545454547</v>
      </c>
      <c r="N13" s="15">
        <f t="shared" ref="N13:N76" si="2">IF(L13*$N$6&lt;0,0,L13*$N$6)</f>
        <v>11.367954545454547</v>
      </c>
      <c r="O13" s="18">
        <f t="shared" ref="O13:O76" si="3">IF(M13&gt;H13,H13,M13)</f>
        <v>11.367954545454547</v>
      </c>
      <c r="P13" s="18">
        <f t="shared" ref="P13:P76" si="4">IF(N13&gt;I13,I13,N13)</f>
        <v>11.367954545454547</v>
      </c>
    </row>
    <row r="14" spans="1:16" outlineLevel="2" x14ac:dyDescent="0.2">
      <c r="A14" s="22" t="s">
        <v>21</v>
      </c>
      <c r="B14" s="22"/>
      <c r="C14" s="22"/>
      <c r="D14" s="26" t="s">
        <v>22</v>
      </c>
      <c r="E14" s="23"/>
      <c r="F14" s="23"/>
      <c r="G14" s="8" t="s">
        <v>18</v>
      </c>
      <c r="H14" s="10">
        <v>1300.961</v>
      </c>
      <c r="I14" s="10">
        <v>1300.961</v>
      </c>
      <c r="J14" s="13">
        <f>IF(IFERROR(VLOOKUP(D14,[1]TDSheet!$A:$N,14,0),0)&gt;1,1,IFERROR(VLOOKUP(D14,[1]TDSheet!$A:$N,14,0),0))</f>
        <v>0.63715226215226217</v>
      </c>
      <c r="K14" s="15">
        <f>IFERROR(VLOOKUP(D14,[1]TDSheet!$A:$M,12,0),0)</f>
        <v>32.764454545454548</v>
      </c>
      <c r="L14" s="15">
        <f>IFERROR(VLOOKUP(D14,[1]TDSheet!$A:$M,13,0),0)</f>
        <v>32.764454545454548</v>
      </c>
      <c r="M14" s="15">
        <f t="shared" si="1"/>
        <v>163.82227272727275</v>
      </c>
      <c r="N14" s="15">
        <f t="shared" si="2"/>
        <v>163.82227272727275</v>
      </c>
      <c r="O14" s="18">
        <f t="shared" si="3"/>
        <v>163.82227272727275</v>
      </c>
      <c r="P14" s="18">
        <f t="shared" si="4"/>
        <v>163.82227272727275</v>
      </c>
    </row>
    <row r="15" spans="1:16" outlineLevel="2" x14ac:dyDescent="0.2">
      <c r="A15" s="22" t="s">
        <v>23</v>
      </c>
      <c r="B15" s="22"/>
      <c r="C15" s="22"/>
      <c r="D15" s="23" t="s">
        <v>24</v>
      </c>
      <c r="E15" s="23"/>
      <c r="F15" s="23"/>
      <c r="G15" s="8" t="s">
        <v>18</v>
      </c>
      <c r="H15" s="9">
        <v>147.78200000000001</v>
      </c>
      <c r="I15" s="9">
        <v>147.78200000000001</v>
      </c>
      <c r="J15" s="13">
        <f>IF(IFERROR(VLOOKUP(D15,[1]TDSheet!$A:$N,14,0),0)&gt;1,1,IFERROR(VLOOKUP(D15,[1]TDSheet!$A:$N,14,0),0))</f>
        <v>0.67659440419256001</v>
      </c>
      <c r="K15" s="15">
        <f>IFERROR(VLOOKUP(D15,[1]TDSheet!$A:$M,12,0),0)</f>
        <v>4.2956363636363637</v>
      </c>
      <c r="L15" s="15">
        <f>IFERROR(VLOOKUP(D15,[1]TDSheet!$A:$M,13,0),0)</f>
        <v>4.2956363636363637</v>
      </c>
      <c r="M15" s="15">
        <f t="shared" si="1"/>
        <v>21.478181818181817</v>
      </c>
      <c r="N15" s="15">
        <f t="shared" si="2"/>
        <v>21.478181818181817</v>
      </c>
      <c r="O15" s="18">
        <f t="shared" si="3"/>
        <v>21.478181818181817</v>
      </c>
      <c r="P15" s="18">
        <f t="shared" si="4"/>
        <v>21.478181818181817</v>
      </c>
    </row>
    <row r="16" spans="1:16" outlineLevel="2" x14ac:dyDescent="0.2">
      <c r="A16" s="22" t="s">
        <v>25</v>
      </c>
      <c r="B16" s="22"/>
      <c r="C16" s="22"/>
      <c r="D16" s="23" t="s">
        <v>26</v>
      </c>
      <c r="E16" s="23"/>
      <c r="F16" s="23"/>
      <c r="G16" s="8" t="s">
        <v>18</v>
      </c>
      <c r="H16" s="9">
        <v>85.32</v>
      </c>
      <c r="I16" s="9">
        <v>85.32</v>
      </c>
      <c r="J16" s="13">
        <f>IF(IFERROR(VLOOKUP(D16,[1]TDSheet!$A:$N,14,0),0)&gt;1,1,IFERROR(VLOOKUP(D16,[1]TDSheet!$A:$N,14,0),0))</f>
        <v>0.64048501759638832</v>
      </c>
      <c r="K16" s="15">
        <f>IFERROR(VLOOKUP(D16,[1]TDSheet!$A:$M,12,0),0)</f>
        <v>3.7143181818181819</v>
      </c>
      <c r="L16" s="15">
        <f>IFERROR(VLOOKUP(D16,[1]TDSheet!$A:$M,13,0),0)</f>
        <v>3.7143181818181819</v>
      </c>
      <c r="M16" s="15">
        <f t="shared" si="1"/>
        <v>18.571590909090908</v>
      </c>
      <c r="N16" s="15">
        <f t="shared" si="2"/>
        <v>18.571590909090908</v>
      </c>
      <c r="O16" s="18">
        <f t="shared" si="3"/>
        <v>18.571590909090908</v>
      </c>
      <c r="P16" s="18">
        <f t="shared" si="4"/>
        <v>18.571590909090908</v>
      </c>
    </row>
    <row r="17" spans="1:16" outlineLevel="2" x14ac:dyDescent="0.2">
      <c r="A17" s="22" t="s">
        <v>27</v>
      </c>
      <c r="B17" s="22"/>
      <c r="C17" s="22"/>
      <c r="D17" s="23" t="s">
        <v>28</v>
      </c>
      <c r="E17" s="23"/>
      <c r="F17" s="23"/>
      <c r="G17" s="8" t="s">
        <v>18</v>
      </c>
      <c r="H17" s="10">
        <v>1260.7439999999999</v>
      </c>
      <c r="I17" s="10">
        <v>1260.7439999999999</v>
      </c>
      <c r="J17" s="13">
        <f>IF(IFERROR(VLOOKUP(D17,[1]TDSheet!$A:$N,14,0),0)&gt;1,1,IFERROR(VLOOKUP(D17,[1]TDSheet!$A:$N,14,0),0))</f>
        <v>0.72316201488996323</v>
      </c>
      <c r="K17" s="15">
        <f>IFERROR(VLOOKUP(D17,[1]TDSheet!$A:$M,12,0),0)</f>
        <v>38.933136363636365</v>
      </c>
      <c r="L17" s="15">
        <f>IFERROR(VLOOKUP(D17,[1]TDSheet!$A:$M,13,0),0)</f>
        <v>38.933136363636365</v>
      </c>
      <c r="M17" s="15">
        <f t="shared" si="1"/>
        <v>194.66568181818184</v>
      </c>
      <c r="N17" s="15">
        <f t="shared" si="2"/>
        <v>194.66568181818184</v>
      </c>
      <c r="O17" s="18">
        <f t="shared" si="3"/>
        <v>194.66568181818184</v>
      </c>
      <c r="P17" s="18">
        <f t="shared" si="4"/>
        <v>194.66568181818184</v>
      </c>
    </row>
    <row r="18" spans="1:16" outlineLevel="2" x14ac:dyDescent="0.2">
      <c r="A18" s="22" t="s">
        <v>29</v>
      </c>
      <c r="B18" s="22"/>
      <c r="C18" s="22"/>
      <c r="D18" s="23" t="s">
        <v>30</v>
      </c>
      <c r="E18" s="23"/>
      <c r="F18" s="23"/>
      <c r="G18" s="8" t="s">
        <v>18</v>
      </c>
      <c r="H18" s="9">
        <v>464.29399999999998</v>
      </c>
      <c r="I18" s="9">
        <v>464.29399999999998</v>
      </c>
      <c r="J18" s="13">
        <f>IF(IFERROR(VLOOKUP(D18,[1]TDSheet!$A:$N,14,0),0)&gt;1,1,IFERROR(VLOOKUP(D18,[1]TDSheet!$A:$N,14,0),0))</f>
        <v>0.75044648655669566</v>
      </c>
      <c r="K18" s="15">
        <f>IFERROR(VLOOKUP(D18,[1]TDSheet!$A:$M,12,0),0)</f>
        <v>12.605863636363637</v>
      </c>
      <c r="L18" s="15">
        <f>IFERROR(VLOOKUP(D18,[1]TDSheet!$A:$M,13,0),0)</f>
        <v>12.605863636363637</v>
      </c>
      <c r="M18" s="15">
        <f t="shared" si="1"/>
        <v>63.029318181818184</v>
      </c>
      <c r="N18" s="15">
        <f t="shared" si="2"/>
        <v>63.029318181818184</v>
      </c>
      <c r="O18" s="18">
        <f t="shared" si="3"/>
        <v>63.029318181818184</v>
      </c>
      <c r="P18" s="18">
        <f t="shared" si="4"/>
        <v>63.029318181818184</v>
      </c>
    </row>
    <row r="19" spans="1:16" outlineLevel="2" x14ac:dyDescent="0.2">
      <c r="A19" s="22" t="s">
        <v>31</v>
      </c>
      <c r="B19" s="22"/>
      <c r="C19" s="22"/>
      <c r="D19" s="23" t="s">
        <v>32</v>
      </c>
      <c r="E19" s="23"/>
      <c r="F19" s="23"/>
      <c r="G19" s="8" t="s">
        <v>18</v>
      </c>
      <c r="H19" s="9">
        <v>225.53700000000001</v>
      </c>
      <c r="I19" s="9">
        <v>225.53700000000001</v>
      </c>
      <c r="J19" s="13">
        <f>IF(IFERROR(VLOOKUP(D19,[1]TDSheet!$A:$N,14,0),0)&gt;1,1,IFERROR(VLOOKUP(D19,[1]TDSheet!$A:$N,14,0),0))</f>
        <v>0.46306756150407541</v>
      </c>
      <c r="K19" s="15">
        <f>IFERROR(VLOOKUP(D19,[1]TDSheet!$A:$M,12,0),0)</f>
        <v>17.544409090909088</v>
      </c>
      <c r="L19" s="15">
        <f>IFERROR(VLOOKUP(D19,[1]TDSheet!$A:$M,13,0),0)</f>
        <v>17.544409090909088</v>
      </c>
      <c r="M19" s="15">
        <f t="shared" si="1"/>
        <v>87.722045454545437</v>
      </c>
      <c r="N19" s="15">
        <f t="shared" si="2"/>
        <v>87.722045454545437</v>
      </c>
      <c r="O19" s="18">
        <f t="shared" si="3"/>
        <v>87.722045454545437</v>
      </c>
      <c r="P19" s="18">
        <f t="shared" si="4"/>
        <v>87.722045454545437</v>
      </c>
    </row>
    <row r="20" spans="1:16" outlineLevel="2" x14ac:dyDescent="0.2">
      <c r="A20" s="22" t="s">
        <v>33</v>
      </c>
      <c r="B20" s="22"/>
      <c r="C20" s="22"/>
      <c r="D20" s="23" t="s">
        <v>34</v>
      </c>
      <c r="E20" s="23"/>
      <c r="F20" s="23"/>
      <c r="G20" s="8" t="s">
        <v>18</v>
      </c>
      <c r="H20" s="9">
        <v>101.015</v>
      </c>
      <c r="I20" s="9">
        <v>101.015</v>
      </c>
      <c r="J20" s="13">
        <f>IF(IFERROR(VLOOKUP(D20,[1]TDSheet!$A:$N,14,0),0)&gt;1,1,IFERROR(VLOOKUP(D20,[1]TDSheet!$A:$N,14,0),0))</f>
        <v>0.67197701996579451</v>
      </c>
      <c r="K20" s="15">
        <f>IFERROR(VLOOKUP(D20,[1]TDSheet!$A:$M,12,0),0)</f>
        <v>3.2325454545454546</v>
      </c>
      <c r="L20" s="15">
        <f>IFERROR(VLOOKUP(D20,[1]TDSheet!$A:$M,13,0),0)</f>
        <v>3.2325454545454546</v>
      </c>
      <c r="M20" s="15">
        <f t="shared" si="1"/>
        <v>16.162727272727274</v>
      </c>
      <c r="N20" s="15">
        <f t="shared" si="2"/>
        <v>16.162727272727274</v>
      </c>
      <c r="O20" s="18">
        <f t="shared" si="3"/>
        <v>16.162727272727274</v>
      </c>
      <c r="P20" s="18">
        <f t="shared" si="4"/>
        <v>16.162727272727274</v>
      </c>
    </row>
    <row r="21" spans="1:16" outlineLevel="2" x14ac:dyDescent="0.2">
      <c r="A21" s="22" t="s">
        <v>35</v>
      </c>
      <c r="B21" s="22"/>
      <c r="C21" s="22"/>
      <c r="D21" s="23" t="s">
        <v>36</v>
      </c>
      <c r="E21" s="23"/>
      <c r="F21" s="23"/>
      <c r="G21" s="8" t="s">
        <v>18</v>
      </c>
      <c r="H21" s="9">
        <v>246.61600000000001</v>
      </c>
      <c r="I21" s="9">
        <v>246.61600000000001</v>
      </c>
      <c r="J21" s="13">
        <f>IF(IFERROR(VLOOKUP(D21,[1]TDSheet!$A:$N,14,0),0)&gt;1,1,IFERROR(VLOOKUP(D21,[1]TDSheet!$A:$N,14,0),0))</f>
        <v>0.55205808835300629</v>
      </c>
      <c r="K21" s="15">
        <f>IFERROR(VLOOKUP(D21,[1]TDSheet!$A:$M,12,0),0)</f>
        <v>15.831545454545454</v>
      </c>
      <c r="L21" s="15">
        <f>IFERROR(VLOOKUP(D21,[1]TDSheet!$A:$M,13,0),0)</f>
        <v>15.831545454545454</v>
      </c>
      <c r="M21" s="15">
        <f t="shared" si="1"/>
        <v>79.157727272727271</v>
      </c>
      <c r="N21" s="15">
        <f t="shared" si="2"/>
        <v>79.157727272727271</v>
      </c>
      <c r="O21" s="18">
        <f t="shared" si="3"/>
        <v>79.157727272727271</v>
      </c>
      <c r="P21" s="18">
        <f t="shared" si="4"/>
        <v>79.157727272727271</v>
      </c>
    </row>
    <row r="22" spans="1:16" outlineLevel="2" x14ac:dyDescent="0.2">
      <c r="A22" s="22" t="s">
        <v>37</v>
      </c>
      <c r="B22" s="22"/>
      <c r="C22" s="22"/>
      <c r="D22" s="23" t="s">
        <v>38</v>
      </c>
      <c r="E22" s="23"/>
      <c r="F22" s="23"/>
      <c r="G22" s="8" t="s">
        <v>18</v>
      </c>
      <c r="H22" s="9">
        <v>1.3819999999999999</v>
      </c>
      <c r="I22" s="9">
        <v>1.3819999999999999</v>
      </c>
      <c r="J22" s="13">
        <f>IF(IFERROR(VLOOKUP(D22,[1]TDSheet!$A:$N,14,0),0)&gt;1,1,IFERROR(VLOOKUP(D22,[1]TDSheet!$A:$N,14,0),0))</f>
        <v>7.5181076372971486E-2</v>
      </c>
      <c r="K22" s="15">
        <f>IFERROR(VLOOKUP(D22,[1]TDSheet!$A:$M,12,0),0)</f>
        <v>0.14909090909090908</v>
      </c>
      <c r="L22" s="15">
        <f>IFERROR(VLOOKUP(D22,[1]TDSheet!$A:$M,13,0),0)</f>
        <v>0.14909090909090908</v>
      </c>
      <c r="M22" s="15">
        <f t="shared" si="1"/>
        <v>0.74545454545454537</v>
      </c>
      <c r="N22" s="15">
        <f t="shared" si="2"/>
        <v>0.74545454545454537</v>
      </c>
      <c r="O22" s="18">
        <v>0</v>
      </c>
      <c r="P22" s="18">
        <v>0</v>
      </c>
    </row>
    <row r="23" spans="1:16" outlineLevel="2" x14ac:dyDescent="0.2">
      <c r="A23" s="22" t="s">
        <v>39</v>
      </c>
      <c r="B23" s="22"/>
      <c r="C23" s="22"/>
      <c r="D23" s="23" t="s">
        <v>40</v>
      </c>
      <c r="E23" s="23"/>
      <c r="F23" s="23"/>
      <c r="G23" s="8" t="s">
        <v>18</v>
      </c>
      <c r="H23" s="9">
        <v>39.21</v>
      </c>
      <c r="I23" s="9">
        <v>39.21</v>
      </c>
      <c r="J23" s="13">
        <f>IF(IFERROR(VLOOKUP(D23,[1]TDSheet!$A:$N,14,0),0)&gt;1,1,IFERROR(VLOOKUP(D23,[1]TDSheet!$A:$N,14,0),0))</f>
        <v>0</v>
      </c>
      <c r="K23" s="15">
        <f>IFERROR(VLOOKUP(D23,[1]TDSheet!$A:$M,12,0),0)</f>
        <v>0</v>
      </c>
      <c r="L23" s="15">
        <f>IFERROR(VLOOKUP(D23,[1]TDSheet!$A:$M,13,0),0)</f>
        <v>0</v>
      </c>
      <c r="M23" s="15">
        <f t="shared" si="1"/>
        <v>0</v>
      </c>
      <c r="N23" s="15">
        <f t="shared" si="2"/>
        <v>0</v>
      </c>
      <c r="O23" s="18">
        <v>0</v>
      </c>
      <c r="P23" s="18">
        <v>0</v>
      </c>
    </row>
    <row r="24" spans="1:16" outlineLevel="2" x14ac:dyDescent="0.2">
      <c r="A24" s="22" t="s">
        <v>41</v>
      </c>
      <c r="B24" s="22"/>
      <c r="C24" s="22"/>
      <c r="D24" s="23" t="s">
        <v>42</v>
      </c>
      <c r="E24" s="23"/>
      <c r="F24" s="23"/>
      <c r="G24" s="8" t="s">
        <v>18</v>
      </c>
      <c r="H24" s="9">
        <v>183.30600000000001</v>
      </c>
      <c r="I24" s="9">
        <v>183.30600000000001</v>
      </c>
      <c r="J24" s="13">
        <f>IF(IFERROR(VLOOKUP(D24,[1]TDSheet!$A:$N,14,0),0)&gt;1,1,IFERROR(VLOOKUP(D24,[1]TDSheet!$A:$N,14,0),0))</f>
        <v>0.61142635621350516</v>
      </c>
      <c r="K24" s="15">
        <f>IFERROR(VLOOKUP(D24,[1]TDSheet!$A:$M,12,0),0)</f>
        <v>5.7353181818181822</v>
      </c>
      <c r="L24" s="15">
        <f>IFERROR(VLOOKUP(D24,[1]TDSheet!$A:$M,13,0),0)</f>
        <v>5.7353181818181822</v>
      </c>
      <c r="M24" s="15">
        <f t="shared" si="1"/>
        <v>28.676590909090912</v>
      </c>
      <c r="N24" s="15">
        <f t="shared" si="2"/>
        <v>28.676590909090912</v>
      </c>
      <c r="O24" s="18">
        <f t="shared" si="3"/>
        <v>28.676590909090912</v>
      </c>
      <c r="P24" s="18">
        <f t="shared" si="4"/>
        <v>28.676590909090912</v>
      </c>
    </row>
    <row r="25" spans="1:16" outlineLevel="2" x14ac:dyDescent="0.2">
      <c r="A25" s="22" t="s">
        <v>43</v>
      </c>
      <c r="B25" s="22"/>
      <c r="C25" s="22"/>
      <c r="D25" s="23" t="s">
        <v>44</v>
      </c>
      <c r="E25" s="23"/>
      <c r="F25" s="23"/>
      <c r="G25" s="8" t="s">
        <v>18</v>
      </c>
      <c r="H25" s="10">
        <v>1480.7539999999999</v>
      </c>
      <c r="I25" s="10">
        <v>1480.7539999999999</v>
      </c>
      <c r="J25" s="13">
        <f>IF(IFERROR(VLOOKUP(D25,[1]TDSheet!$A:$N,14,0),0)&gt;1,1,IFERROR(VLOOKUP(D25,[1]TDSheet!$A:$N,14,0),0))</f>
        <v>0.19659807091924739</v>
      </c>
      <c r="K25" s="15">
        <f>IFERROR(VLOOKUP(D25,[1]TDSheet!$A:$M,12,0),0)</f>
        <v>17.589227272727275</v>
      </c>
      <c r="L25" s="15">
        <f>IFERROR(VLOOKUP(D25,[1]TDSheet!$A:$M,13,0),0)</f>
        <v>17.589227272727275</v>
      </c>
      <c r="M25" s="15">
        <f t="shared" si="1"/>
        <v>87.94613636363637</v>
      </c>
      <c r="N25" s="15">
        <f t="shared" si="2"/>
        <v>87.94613636363637</v>
      </c>
      <c r="O25" s="18">
        <f t="shared" si="3"/>
        <v>87.94613636363637</v>
      </c>
      <c r="P25" s="18">
        <f t="shared" si="4"/>
        <v>87.94613636363637</v>
      </c>
    </row>
    <row r="26" spans="1:16" outlineLevel="2" x14ac:dyDescent="0.2">
      <c r="A26" s="22" t="s">
        <v>45</v>
      </c>
      <c r="B26" s="22"/>
      <c r="C26" s="22"/>
      <c r="D26" s="23" t="s">
        <v>46</v>
      </c>
      <c r="E26" s="23"/>
      <c r="F26" s="23"/>
      <c r="G26" s="8" t="s">
        <v>18</v>
      </c>
      <c r="H26" s="9">
        <v>191.99</v>
      </c>
      <c r="I26" s="9">
        <v>191.99</v>
      </c>
      <c r="J26" s="13">
        <f>IF(IFERROR(VLOOKUP(D26,[1]TDSheet!$A:$N,14,0),0)&gt;1,1,IFERROR(VLOOKUP(D26,[1]TDSheet!$A:$N,14,0),0))</f>
        <v>1</v>
      </c>
      <c r="K26" s="15">
        <f>IFERROR(VLOOKUP(D26,[1]TDSheet!$A:$M,12,0),0)</f>
        <v>6.4189090909090911</v>
      </c>
      <c r="L26" s="15">
        <f>IFERROR(VLOOKUP(D26,[1]TDSheet!$A:$M,13,0),0)</f>
        <v>6.4189090909090911</v>
      </c>
      <c r="M26" s="15">
        <f t="shared" si="1"/>
        <v>32.094545454545454</v>
      </c>
      <c r="N26" s="15">
        <f t="shared" si="2"/>
        <v>32.094545454545454</v>
      </c>
      <c r="O26" s="18">
        <f>I26</f>
        <v>191.99</v>
      </c>
      <c r="P26" s="18">
        <f>H26</f>
        <v>191.99</v>
      </c>
    </row>
    <row r="27" spans="1:16" outlineLevel="2" x14ac:dyDescent="0.2">
      <c r="A27" s="22" t="s">
        <v>47</v>
      </c>
      <c r="B27" s="22"/>
      <c r="C27" s="22"/>
      <c r="D27" s="23" t="s">
        <v>48</v>
      </c>
      <c r="E27" s="23"/>
      <c r="F27" s="23"/>
      <c r="G27" s="8" t="s">
        <v>18</v>
      </c>
      <c r="H27" s="10">
        <v>1415.788</v>
      </c>
      <c r="I27" s="10">
        <v>1415.788</v>
      </c>
      <c r="J27" s="13">
        <f>IF(IFERROR(VLOOKUP(D27,[1]TDSheet!$A:$N,14,0),0)&gt;1,1,IFERROR(VLOOKUP(D27,[1]TDSheet!$A:$N,14,0),0))</f>
        <v>0.76191685830446043</v>
      </c>
      <c r="K27" s="15">
        <f>IFERROR(VLOOKUP(D27,[1]TDSheet!$A:$M,12,0),0)</f>
        <v>28.357818181818178</v>
      </c>
      <c r="L27" s="15">
        <f>IFERROR(VLOOKUP(D27,[1]TDSheet!$A:$M,13,0),0)</f>
        <v>28.357818181818178</v>
      </c>
      <c r="M27" s="15">
        <f t="shared" si="1"/>
        <v>141.7890909090909</v>
      </c>
      <c r="N27" s="15">
        <f t="shared" si="2"/>
        <v>141.7890909090909</v>
      </c>
      <c r="O27" s="18">
        <f t="shared" si="3"/>
        <v>141.7890909090909</v>
      </c>
      <c r="P27" s="18">
        <f t="shared" si="4"/>
        <v>141.7890909090909</v>
      </c>
    </row>
    <row r="28" spans="1:16" outlineLevel="2" x14ac:dyDescent="0.2">
      <c r="A28" s="22" t="s">
        <v>49</v>
      </c>
      <c r="B28" s="22"/>
      <c r="C28" s="22"/>
      <c r="D28" s="23" t="s">
        <v>50</v>
      </c>
      <c r="E28" s="23"/>
      <c r="F28" s="23"/>
      <c r="G28" s="8" t="s">
        <v>18</v>
      </c>
      <c r="H28" s="9">
        <v>98.549000000000007</v>
      </c>
      <c r="I28" s="9">
        <v>98.549000000000007</v>
      </c>
      <c r="J28" s="13">
        <f>IF(IFERROR(VLOOKUP(D28,[1]TDSheet!$A:$N,14,0),0)&gt;1,1,IFERROR(VLOOKUP(D28,[1]TDSheet!$A:$N,14,0),0))</f>
        <v>0.11367880237399236</v>
      </c>
      <c r="K28" s="15">
        <f>IFERROR(VLOOKUP(D28,[1]TDSheet!$A:$M,12,0),0)</f>
        <v>1.4583181818181818</v>
      </c>
      <c r="L28" s="15">
        <f>IFERROR(VLOOKUP(D28,[1]TDSheet!$A:$M,13,0),0)</f>
        <v>1.4583181818181818</v>
      </c>
      <c r="M28" s="15">
        <f t="shared" si="1"/>
        <v>7.2915909090909095</v>
      </c>
      <c r="N28" s="15">
        <f t="shared" si="2"/>
        <v>7.2915909090909095</v>
      </c>
      <c r="O28" s="18">
        <v>0</v>
      </c>
      <c r="P28" s="18">
        <v>0</v>
      </c>
    </row>
    <row r="29" spans="1:16" outlineLevel="2" x14ac:dyDescent="0.2">
      <c r="A29" s="22" t="s">
        <v>51</v>
      </c>
      <c r="B29" s="22"/>
      <c r="C29" s="22"/>
      <c r="D29" s="23" t="s">
        <v>52</v>
      </c>
      <c r="E29" s="23"/>
      <c r="F29" s="23"/>
      <c r="G29" s="8" t="s">
        <v>18</v>
      </c>
      <c r="H29" s="9">
        <v>313.00400000000002</v>
      </c>
      <c r="I29" s="9">
        <v>313.00400000000002</v>
      </c>
      <c r="J29" s="13">
        <f>IF(IFERROR(VLOOKUP(D29,[1]TDSheet!$A:$N,14,0),0)&gt;1,1,IFERROR(VLOOKUP(D29,[1]TDSheet!$A:$N,14,0),0))</f>
        <v>0.39876802257807226</v>
      </c>
      <c r="K29" s="15">
        <f>IFERROR(VLOOKUP(D29,[1]TDSheet!$A:$M,12,0),0)</f>
        <v>7.3858181818181814</v>
      </c>
      <c r="L29" s="15">
        <f>IFERROR(VLOOKUP(D29,[1]TDSheet!$A:$M,13,0),0)</f>
        <v>7.3858181818181814</v>
      </c>
      <c r="M29" s="15">
        <f t="shared" si="1"/>
        <v>36.92909090909091</v>
      </c>
      <c r="N29" s="15">
        <f t="shared" si="2"/>
        <v>36.92909090909091</v>
      </c>
      <c r="O29" s="18">
        <f t="shared" si="3"/>
        <v>36.92909090909091</v>
      </c>
      <c r="P29" s="18">
        <f t="shared" si="4"/>
        <v>36.92909090909091</v>
      </c>
    </row>
    <row r="30" spans="1:16" outlineLevel="2" x14ac:dyDescent="0.2">
      <c r="A30" s="22" t="s">
        <v>53</v>
      </c>
      <c r="B30" s="22"/>
      <c r="C30" s="22"/>
      <c r="D30" s="23" t="s">
        <v>54</v>
      </c>
      <c r="E30" s="23"/>
      <c r="F30" s="23"/>
      <c r="G30" s="8" t="s">
        <v>18</v>
      </c>
      <c r="H30" s="9">
        <v>153.31299999999999</v>
      </c>
      <c r="I30" s="9">
        <v>153.31299999999999</v>
      </c>
      <c r="J30" s="13">
        <f>IF(IFERROR(VLOOKUP(D30,[1]TDSheet!$A:$N,14,0),0)&gt;1,1,IFERROR(VLOOKUP(D30,[1]TDSheet!$A:$N,14,0),0))</f>
        <v>0.14720124335219406</v>
      </c>
      <c r="K30" s="15">
        <f>IFERROR(VLOOKUP(D30,[1]TDSheet!$A:$M,12,0),0)</f>
        <v>1.3776363636363635</v>
      </c>
      <c r="L30" s="15">
        <f>IFERROR(VLOOKUP(D30,[1]TDSheet!$A:$M,13,0),0)</f>
        <v>1.3776363636363635</v>
      </c>
      <c r="M30" s="15">
        <f t="shared" si="1"/>
        <v>6.8881818181818177</v>
      </c>
      <c r="N30" s="15">
        <f t="shared" si="2"/>
        <v>6.8881818181818177</v>
      </c>
      <c r="O30" s="18">
        <v>0</v>
      </c>
      <c r="P30" s="18">
        <v>0</v>
      </c>
    </row>
    <row r="31" spans="1:16" outlineLevel="2" x14ac:dyDescent="0.2">
      <c r="A31" s="22" t="s">
        <v>55</v>
      </c>
      <c r="B31" s="22"/>
      <c r="C31" s="22"/>
      <c r="D31" s="23" t="s">
        <v>56</v>
      </c>
      <c r="E31" s="23"/>
      <c r="F31" s="23"/>
      <c r="G31" s="8" t="s">
        <v>18</v>
      </c>
      <c r="H31" s="9">
        <v>57.542000000000002</v>
      </c>
      <c r="I31" s="9">
        <v>57.542000000000002</v>
      </c>
      <c r="J31" s="13">
        <f>IF(IFERROR(VLOOKUP(D31,[1]TDSheet!$A:$N,14,0),0)&gt;1,1,IFERROR(VLOOKUP(D31,[1]TDSheet!$A:$N,14,0),0))</f>
        <v>0</v>
      </c>
      <c r="K31" s="15">
        <f>IFERROR(VLOOKUP(D31,[1]TDSheet!$A:$M,12,0),0)</f>
        <v>0</v>
      </c>
      <c r="L31" s="15">
        <f>IFERROR(VLOOKUP(D31,[1]TDSheet!$A:$M,13,0),0)</f>
        <v>0</v>
      </c>
      <c r="M31" s="15">
        <f t="shared" si="1"/>
        <v>0</v>
      </c>
      <c r="N31" s="15">
        <f t="shared" si="2"/>
        <v>0</v>
      </c>
      <c r="O31" s="18">
        <v>0</v>
      </c>
      <c r="P31" s="18">
        <v>0</v>
      </c>
    </row>
    <row r="32" spans="1:16" outlineLevel="2" x14ac:dyDescent="0.2">
      <c r="A32" s="22" t="s">
        <v>57</v>
      </c>
      <c r="B32" s="22"/>
      <c r="C32" s="22"/>
      <c r="D32" s="23" t="s">
        <v>58</v>
      </c>
      <c r="E32" s="23"/>
      <c r="F32" s="23"/>
      <c r="G32" s="8" t="s">
        <v>18</v>
      </c>
      <c r="H32" s="9">
        <v>309.73500000000001</v>
      </c>
      <c r="I32" s="9">
        <v>309.73500000000001</v>
      </c>
      <c r="J32" s="13">
        <f>IF(IFERROR(VLOOKUP(D32,[1]TDSheet!$A:$N,14,0),0)&gt;1,1,IFERROR(VLOOKUP(D32,[1]TDSheet!$A:$N,14,0),0))</f>
        <v>0.40149635777271597</v>
      </c>
      <c r="K32" s="15">
        <f>IFERROR(VLOOKUP(D32,[1]TDSheet!$A:$M,12,0),0)</f>
        <v>6.473727272727273</v>
      </c>
      <c r="L32" s="15">
        <f>IFERROR(VLOOKUP(D32,[1]TDSheet!$A:$M,13,0),0)</f>
        <v>6.473727272727273</v>
      </c>
      <c r="M32" s="15">
        <f t="shared" si="1"/>
        <v>32.368636363636362</v>
      </c>
      <c r="N32" s="15">
        <f t="shared" si="2"/>
        <v>32.368636363636362</v>
      </c>
      <c r="O32" s="18">
        <f t="shared" si="3"/>
        <v>32.368636363636362</v>
      </c>
      <c r="P32" s="18">
        <f t="shared" si="4"/>
        <v>32.368636363636362</v>
      </c>
    </row>
    <row r="33" spans="1:16" outlineLevel="2" x14ac:dyDescent="0.2">
      <c r="A33" s="22" t="s">
        <v>59</v>
      </c>
      <c r="B33" s="22"/>
      <c r="C33" s="22"/>
      <c r="D33" s="23" t="s">
        <v>60</v>
      </c>
      <c r="E33" s="23"/>
      <c r="F33" s="23"/>
      <c r="G33" s="8" t="s">
        <v>18</v>
      </c>
      <c r="H33" s="9">
        <v>16.449000000000002</v>
      </c>
      <c r="I33" s="9">
        <v>16.449000000000002</v>
      </c>
      <c r="J33" s="13">
        <f>IF(IFERROR(VLOOKUP(D33,[1]TDSheet!$A:$N,14,0),0)&gt;1,1,IFERROR(VLOOKUP(D33,[1]TDSheet!$A:$N,14,0),0))</f>
        <v>0</v>
      </c>
      <c r="K33" s="15">
        <f>IFERROR(VLOOKUP(D33,[1]TDSheet!$A:$M,12,0),0)</f>
        <v>0</v>
      </c>
      <c r="L33" s="15">
        <f>IFERROR(VLOOKUP(D33,[1]TDSheet!$A:$M,13,0),0)</f>
        <v>0</v>
      </c>
      <c r="M33" s="15">
        <f t="shared" si="1"/>
        <v>0</v>
      </c>
      <c r="N33" s="15">
        <f t="shared" si="2"/>
        <v>0</v>
      </c>
      <c r="O33" s="18">
        <v>0</v>
      </c>
      <c r="P33" s="18">
        <v>0</v>
      </c>
    </row>
    <row r="34" spans="1:16" outlineLevel="2" x14ac:dyDescent="0.2">
      <c r="A34" s="22" t="s">
        <v>61</v>
      </c>
      <c r="B34" s="22"/>
      <c r="C34" s="22"/>
      <c r="D34" s="23" t="s">
        <v>62</v>
      </c>
      <c r="E34" s="23"/>
      <c r="F34" s="23"/>
      <c r="G34" s="8" t="s">
        <v>18</v>
      </c>
      <c r="H34" s="9">
        <v>206.52500000000001</v>
      </c>
      <c r="I34" s="9">
        <v>206.52500000000001</v>
      </c>
      <c r="J34" s="13">
        <f>IF(IFERROR(VLOOKUP(D34,[1]TDSheet!$A:$N,14,0),0)&gt;1,1,IFERROR(VLOOKUP(D34,[1]TDSheet!$A:$N,14,0),0))</f>
        <v>0.12663247957849127</v>
      </c>
      <c r="K34" s="15">
        <f>IFERROR(VLOOKUP(D34,[1]TDSheet!$A:$M,12,0),0)</f>
        <v>7.0725909090909092</v>
      </c>
      <c r="L34" s="15">
        <f>IFERROR(VLOOKUP(D34,[1]TDSheet!$A:$M,13,0),0)</f>
        <v>7.0725909090909092</v>
      </c>
      <c r="M34" s="15">
        <f t="shared" si="1"/>
        <v>35.362954545454542</v>
      </c>
      <c r="N34" s="15">
        <f t="shared" si="2"/>
        <v>35.362954545454542</v>
      </c>
      <c r="O34" s="18">
        <v>0</v>
      </c>
      <c r="P34" s="18">
        <v>0</v>
      </c>
    </row>
    <row r="35" spans="1:16" outlineLevel="2" x14ac:dyDescent="0.2">
      <c r="A35" s="22" t="s">
        <v>63</v>
      </c>
      <c r="B35" s="22"/>
      <c r="C35" s="22"/>
      <c r="D35" s="23" t="s">
        <v>64</v>
      </c>
      <c r="E35" s="23"/>
      <c r="F35" s="23"/>
      <c r="G35" s="8" t="s">
        <v>18</v>
      </c>
      <c r="H35" s="9">
        <v>84.635999999999996</v>
      </c>
      <c r="I35" s="9">
        <v>84.635999999999996</v>
      </c>
      <c r="J35" s="13">
        <f>IF(IFERROR(VLOOKUP(D35,[1]TDSheet!$A:$N,14,0),0)&gt;1,1,IFERROR(VLOOKUP(D35,[1]TDSheet!$A:$N,14,0),0))</f>
        <v>0</v>
      </c>
      <c r="K35" s="15">
        <f>IFERROR(VLOOKUP(D35,[1]TDSheet!$A:$M,12,0),0)</f>
        <v>0</v>
      </c>
      <c r="L35" s="15">
        <f>IFERROR(VLOOKUP(D35,[1]TDSheet!$A:$M,13,0),0)</f>
        <v>0</v>
      </c>
      <c r="M35" s="15">
        <f t="shared" si="1"/>
        <v>0</v>
      </c>
      <c r="N35" s="15">
        <f t="shared" si="2"/>
        <v>0</v>
      </c>
      <c r="O35" s="18">
        <v>0</v>
      </c>
      <c r="P35" s="18">
        <v>0</v>
      </c>
    </row>
    <row r="36" spans="1:16" outlineLevel="2" x14ac:dyDescent="0.2">
      <c r="A36" s="22" t="s">
        <v>65</v>
      </c>
      <c r="B36" s="22"/>
      <c r="C36" s="22"/>
      <c r="D36" s="23" t="s">
        <v>66</v>
      </c>
      <c r="E36" s="23"/>
      <c r="F36" s="23"/>
      <c r="G36" s="8" t="s">
        <v>18</v>
      </c>
      <c r="H36" s="9">
        <v>62.631</v>
      </c>
      <c r="I36" s="9">
        <v>62.631</v>
      </c>
      <c r="J36" s="13">
        <f>IF(IFERROR(VLOOKUP(D36,[1]TDSheet!$A:$N,14,0),0)&gt;1,1,IFERROR(VLOOKUP(D36,[1]TDSheet!$A:$N,14,0),0))</f>
        <v>0.15956918726214295</v>
      </c>
      <c r="K36" s="15">
        <f>IFERROR(VLOOKUP(D36,[1]TDSheet!$A:$M,12,0),0)</f>
        <v>0.48218181818181821</v>
      </c>
      <c r="L36" s="15">
        <f>IFERROR(VLOOKUP(D36,[1]TDSheet!$A:$M,13,0),0)</f>
        <v>0.48218181818181821</v>
      </c>
      <c r="M36" s="15">
        <f t="shared" si="1"/>
        <v>2.4109090909090911</v>
      </c>
      <c r="N36" s="15">
        <f t="shared" si="2"/>
        <v>2.4109090909090911</v>
      </c>
      <c r="O36" s="18">
        <f t="shared" si="3"/>
        <v>2.4109090909090911</v>
      </c>
      <c r="P36" s="18">
        <f t="shared" si="4"/>
        <v>2.4109090909090911</v>
      </c>
    </row>
    <row r="37" spans="1:16" outlineLevel="2" x14ac:dyDescent="0.2">
      <c r="A37" s="22" t="s">
        <v>67</v>
      </c>
      <c r="B37" s="22"/>
      <c r="C37" s="22"/>
      <c r="D37" s="23" t="s">
        <v>68</v>
      </c>
      <c r="E37" s="23"/>
      <c r="F37" s="23"/>
      <c r="G37" s="8" t="s">
        <v>18</v>
      </c>
      <c r="H37" s="9">
        <v>630.59900000000005</v>
      </c>
      <c r="I37" s="9">
        <v>630.59900000000005</v>
      </c>
      <c r="J37" s="13">
        <f>IF(IFERROR(VLOOKUP(D37,[1]TDSheet!$A:$N,14,0),0)&gt;1,1,IFERROR(VLOOKUP(D37,[1]TDSheet!$A:$N,14,0),0))</f>
        <v>0.50829720715410276</v>
      </c>
      <c r="K37" s="15">
        <f>IFERROR(VLOOKUP(D37,[1]TDSheet!$A:$M,12,0),0)</f>
        <v>24.771818181818183</v>
      </c>
      <c r="L37" s="15">
        <f>IFERROR(VLOOKUP(D37,[1]TDSheet!$A:$M,13,0),0)</f>
        <v>24.771818181818183</v>
      </c>
      <c r="M37" s="15">
        <f t="shared" si="1"/>
        <v>123.85909090909092</v>
      </c>
      <c r="N37" s="15">
        <f t="shared" si="2"/>
        <v>123.85909090909092</v>
      </c>
      <c r="O37" s="18">
        <f t="shared" si="3"/>
        <v>123.85909090909092</v>
      </c>
      <c r="P37" s="18">
        <f t="shared" si="4"/>
        <v>123.85909090909092</v>
      </c>
    </row>
    <row r="38" spans="1:16" outlineLevel="2" x14ac:dyDescent="0.2">
      <c r="A38" s="22" t="s">
        <v>69</v>
      </c>
      <c r="B38" s="22"/>
      <c r="C38" s="22"/>
      <c r="D38" s="23" t="s">
        <v>70</v>
      </c>
      <c r="E38" s="23"/>
      <c r="F38" s="23"/>
      <c r="G38" s="8" t="s">
        <v>18</v>
      </c>
      <c r="H38" s="9">
        <v>-9.0760000000000005</v>
      </c>
      <c r="I38" s="9">
        <v>-9.0760000000000005</v>
      </c>
      <c r="J38" s="13">
        <f>IF(IFERROR(VLOOKUP(D38,[1]TDSheet!$A:$N,14,0),0)&gt;1,1,IFERROR(VLOOKUP(D38,[1]TDSheet!$A:$N,14,0),0))</f>
        <v>0</v>
      </c>
      <c r="K38" s="15">
        <f>IFERROR(VLOOKUP(D38,[1]TDSheet!$A:$M,12,0),0)</f>
        <v>0</v>
      </c>
      <c r="L38" s="15">
        <f>IFERROR(VLOOKUP(D38,[1]TDSheet!$A:$M,13,0),0)</f>
        <v>0</v>
      </c>
      <c r="M38" s="15">
        <f t="shared" si="1"/>
        <v>0</v>
      </c>
      <c r="N38" s="15">
        <f t="shared" si="2"/>
        <v>0</v>
      </c>
      <c r="O38" s="18">
        <v>0</v>
      </c>
      <c r="P38" s="18">
        <v>0</v>
      </c>
    </row>
    <row r="39" spans="1:16" outlineLevel="2" x14ac:dyDescent="0.2">
      <c r="A39" s="22" t="s">
        <v>71</v>
      </c>
      <c r="B39" s="22"/>
      <c r="C39" s="22"/>
      <c r="D39" s="23" t="s">
        <v>72</v>
      </c>
      <c r="E39" s="23"/>
      <c r="F39" s="23"/>
      <c r="G39" s="8" t="s">
        <v>18</v>
      </c>
      <c r="H39" s="9">
        <v>178.303</v>
      </c>
      <c r="I39" s="9">
        <v>178.303</v>
      </c>
      <c r="J39" s="13">
        <f>IF(IFERROR(VLOOKUP(D39,[1]TDSheet!$A:$N,14,0),0)&gt;1,1,IFERROR(VLOOKUP(D39,[1]TDSheet!$A:$N,14,0),0))</f>
        <v>5.13818006740491E-2</v>
      </c>
      <c r="K39" s="15">
        <f>IFERROR(VLOOKUP(D39,[1]TDSheet!$A:$M,12,0),0)</f>
        <v>0.84890909090909084</v>
      </c>
      <c r="L39" s="15">
        <f>IFERROR(VLOOKUP(D39,[1]TDSheet!$A:$M,13,0),0)</f>
        <v>0.84890909090909084</v>
      </c>
      <c r="M39" s="15">
        <f t="shared" si="1"/>
        <v>4.2445454545454542</v>
      </c>
      <c r="N39" s="15">
        <f t="shared" si="2"/>
        <v>4.2445454545454542</v>
      </c>
      <c r="O39" s="18">
        <v>0</v>
      </c>
      <c r="P39" s="18">
        <v>0</v>
      </c>
    </row>
    <row r="40" spans="1:16" outlineLevel="2" x14ac:dyDescent="0.2">
      <c r="A40" s="22" t="s">
        <v>73</v>
      </c>
      <c r="B40" s="22"/>
      <c r="C40" s="22"/>
      <c r="D40" s="23" t="s">
        <v>74</v>
      </c>
      <c r="E40" s="23"/>
      <c r="F40" s="23"/>
      <c r="G40" s="8" t="s">
        <v>18</v>
      </c>
      <c r="H40" s="9">
        <v>462.47300000000001</v>
      </c>
      <c r="I40" s="9">
        <v>462.47300000000001</v>
      </c>
      <c r="J40" s="13">
        <f>IF(IFERROR(VLOOKUP(D40,[1]TDSheet!$A:$N,14,0),0)&gt;1,1,IFERROR(VLOOKUP(D40,[1]TDSheet!$A:$N,14,0),0))</f>
        <v>0.49845613343158723</v>
      </c>
      <c r="K40" s="15">
        <f>IFERROR(VLOOKUP(D40,[1]TDSheet!$A:$M,12,0),0)</f>
        <v>17.463909090909091</v>
      </c>
      <c r="L40" s="15">
        <f>IFERROR(VLOOKUP(D40,[1]TDSheet!$A:$M,13,0),0)</f>
        <v>17.463909090909091</v>
      </c>
      <c r="M40" s="15">
        <f t="shared" si="1"/>
        <v>87.319545454545448</v>
      </c>
      <c r="N40" s="15">
        <f t="shared" si="2"/>
        <v>87.319545454545448</v>
      </c>
      <c r="O40" s="18">
        <f t="shared" si="3"/>
        <v>87.319545454545448</v>
      </c>
      <c r="P40" s="18">
        <f t="shared" si="4"/>
        <v>87.319545454545448</v>
      </c>
    </row>
    <row r="41" spans="1:16" outlineLevel="2" x14ac:dyDescent="0.2">
      <c r="A41" s="22" t="s">
        <v>75</v>
      </c>
      <c r="B41" s="22"/>
      <c r="C41" s="22"/>
      <c r="D41" s="23" t="s">
        <v>76</v>
      </c>
      <c r="E41" s="23"/>
      <c r="F41" s="23"/>
      <c r="G41" s="8" t="s">
        <v>18</v>
      </c>
      <c r="H41" s="9">
        <v>617.61</v>
      </c>
      <c r="I41" s="9">
        <v>617.61</v>
      </c>
      <c r="J41" s="13">
        <f>IF(IFERROR(VLOOKUP(D41,[1]TDSheet!$A:$N,14,0),0)&gt;1,1,IFERROR(VLOOKUP(D41,[1]TDSheet!$A:$N,14,0),0))</f>
        <v>0.48903541207700518</v>
      </c>
      <c r="K41" s="15">
        <f>IFERROR(VLOOKUP(D41,[1]TDSheet!$A:$M,12,0),0)</f>
        <v>28.555000000000003</v>
      </c>
      <c r="L41" s="15">
        <f>IFERROR(VLOOKUP(D41,[1]TDSheet!$A:$M,13,0),0)</f>
        <v>28.555000000000003</v>
      </c>
      <c r="M41" s="15">
        <f t="shared" si="1"/>
        <v>142.77500000000001</v>
      </c>
      <c r="N41" s="15">
        <f t="shared" si="2"/>
        <v>142.77500000000001</v>
      </c>
      <c r="O41" s="18">
        <f t="shared" si="3"/>
        <v>142.77500000000001</v>
      </c>
      <c r="P41" s="18">
        <f t="shared" si="4"/>
        <v>142.77500000000001</v>
      </c>
    </row>
    <row r="42" spans="1:16" outlineLevel="2" x14ac:dyDescent="0.2">
      <c r="A42" s="22" t="s">
        <v>77</v>
      </c>
      <c r="B42" s="22"/>
      <c r="C42" s="22"/>
      <c r="D42" s="23" t="s">
        <v>78</v>
      </c>
      <c r="E42" s="23"/>
      <c r="F42" s="23"/>
      <c r="G42" s="8" t="s">
        <v>18</v>
      </c>
      <c r="H42" s="9">
        <v>45.453000000000003</v>
      </c>
      <c r="I42" s="9">
        <v>45.453000000000003</v>
      </c>
      <c r="J42" s="13">
        <f>IF(IFERROR(VLOOKUP(D42,[1]TDSheet!$A:$N,14,0),0)&gt;1,1,IFERROR(VLOOKUP(D42,[1]TDSheet!$A:$N,14,0),0))</f>
        <v>0.41066279365617847</v>
      </c>
      <c r="K42" s="15">
        <f>IFERROR(VLOOKUP(D42,[1]TDSheet!$A:$M,12,0),0)</f>
        <v>1.7607727272727274</v>
      </c>
      <c r="L42" s="15">
        <f>IFERROR(VLOOKUP(D42,[1]TDSheet!$A:$M,13,0),0)</f>
        <v>1.7607727272727274</v>
      </c>
      <c r="M42" s="15">
        <f t="shared" si="1"/>
        <v>8.8038636363636371</v>
      </c>
      <c r="N42" s="15">
        <f t="shared" si="2"/>
        <v>8.8038636363636371</v>
      </c>
      <c r="O42" s="18">
        <f t="shared" si="3"/>
        <v>8.8038636363636371</v>
      </c>
      <c r="P42" s="18">
        <f t="shared" si="4"/>
        <v>8.8038636363636371</v>
      </c>
    </row>
    <row r="43" spans="1:16" outlineLevel="2" x14ac:dyDescent="0.2">
      <c r="A43" s="22" t="s">
        <v>79</v>
      </c>
      <c r="B43" s="22"/>
      <c r="C43" s="22"/>
      <c r="D43" s="23" t="s">
        <v>80</v>
      </c>
      <c r="E43" s="23"/>
      <c r="F43" s="23"/>
      <c r="G43" s="8" t="s">
        <v>18</v>
      </c>
      <c r="H43" s="9">
        <v>85.8</v>
      </c>
      <c r="I43" s="9">
        <v>85.8</v>
      </c>
      <c r="J43" s="13">
        <f>IF(IFERROR(VLOOKUP(D43,[1]TDSheet!$A:$N,14,0),0)&gt;1,1,IFERROR(VLOOKUP(D43,[1]TDSheet!$A:$N,14,0),0))</f>
        <v>0</v>
      </c>
      <c r="K43" s="15">
        <f>IFERROR(VLOOKUP(D43,[1]TDSheet!$A:$M,12,0),0)</f>
        <v>0</v>
      </c>
      <c r="L43" s="15">
        <f>IFERROR(VLOOKUP(D43,[1]TDSheet!$A:$M,13,0),0)</f>
        <v>0</v>
      </c>
      <c r="M43" s="15">
        <f t="shared" si="1"/>
        <v>0</v>
      </c>
      <c r="N43" s="15">
        <f t="shared" si="2"/>
        <v>0</v>
      </c>
      <c r="O43" s="18">
        <v>0</v>
      </c>
      <c r="P43" s="18">
        <v>0</v>
      </c>
    </row>
    <row r="44" spans="1:16" outlineLevel="2" x14ac:dyDescent="0.2">
      <c r="A44" s="22" t="s">
        <v>81</v>
      </c>
      <c r="B44" s="22"/>
      <c r="C44" s="22"/>
      <c r="D44" s="23" t="s">
        <v>82</v>
      </c>
      <c r="E44" s="23"/>
      <c r="F44" s="23"/>
      <c r="G44" s="8" t="s">
        <v>18</v>
      </c>
      <c r="H44" s="9">
        <v>95.32</v>
      </c>
      <c r="I44" s="9">
        <v>95.32</v>
      </c>
      <c r="J44" s="13">
        <f>IF(IFERROR(VLOOKUP(D44,[1]TDSheet!$A:$N,14,0),0)&gt;1,1,IFERROR(VLOOKUP(D44,[1]TDSheet!$A:$N,14,0),0))</f>
        <v>0</v>
      </c>
      <c r="K44" s="15">
        <f>IFERROR(VLOOKUP(D44,[1]TDSheet!$A:$M,12,0),0)</f>
        <v>0</v>
      </c>
      <c r="L44" s="15">
        <f>IFERROR(VLOOKUP(D44,[1]TDSheet!$A:$M,13,0),0)</f>
        <v>0</v>
      </c>
      <c r="M44" s="15">
        <f t="shared" si="1"/>
        <v>0</v>
      </c>
      <c r="N44" s="15">
        <f t="shared" si="2"/>
        <v>0</v>
      </c>
      <c r="O44" s="18">
        <v>0</v>
      </c>
      <c r="P44" s="18">
        <v>0</v>
      </c>
    </row>
    <row r="45" spans="1:16" outlineLevel="2" x14ac:dyDescent="0.2">
      <c r="A45" s="22" t="s">
        <v>83</v>
      </c>
      <c r="B45" s="22"/>
      <c r="C45" s="22"/>
      <c r="D45" s="23" t="s">
        <v>84</v>
      </c>
      <c r="E45" s="23"/>
      <c r="F45" s="23"/>
      <c r="G45" s="8" t="s">
        <v>18</v>
      </c>
      <c r="H45" s="9">
        <v>135.017</v>
      </c>
      <c r="I45" s="9">
        <v>135.017</v>
      </c>
      <c r="J45" s="13">
        <f>IF(IFERROR(VLOOKUP(D45,[1]TDSheet!$A:$N,14,0),0)&gt;1,1,IFERROR(VLOOKUP(D45,[1]TDSheet!$A:$N,14,0),0))</f>
        <v>0.4465351162598869</v>
      </c>
      <c r="K45" s="15">
        <f>IFERROR(VLOOKUP(D45,[1]TDSheet!$A:$M,12,0),0)</f>
        <v>2.2145909090909091</v>
      </c>
      <c r="L45" s="15">
        <f>IFERROR(VLOOKUP(D45,[1]TDSheet!$A:$M,13,0),0)</f>
        <v>2.2145909090909091</v>
      </c>
      <c r="M45" s="15">
        <f t="shared" si="1"/>
        <v>11.072954545454545</v>
      </c>
      <c r="N45" s="15">
        <f t="shared" si="2"/>
        <v>11.072954545454545</v>
      </c>
      <c r="O45" s="18">
        <f t="shared" si="3"/>
        <v>11.072954545454545</v>
      </c>
      <c r="P45" s="18">
        <f t="shared" si="4"/>
        <v>11.072954545454545</v>
      </c>
    </row>
    <row r="46" spans="1:16" outlineLevel="2" x14ac:dyDescent="0.2">
      <c r="A46" s="22" t="s">
        <v>85</v>
      </c>
      <c r="B46" s="22"/>
      <c r="C46" s="22"/>
      <c r="D46" s="23" t="s">
        <v>86</v>
      </c>
      <c r="E46" s="23"/>
      <c r="F46" s="23"/>
      <c r="G46" s="8" t="s">
        <v>18</v>
      </c>
      <c r="H46" s="9">
        <v>3.2189999999999999</v>
      </c>
      <c r="I46" s="9">
        <v>3.2189999999999999</v>
      </c>
      <c r="J46" s="13">
        <f>IF(IFERROR(VLOOKUP(D46,[1]TDSheet!$A:$N,14,0),0)&gt;1,1,IFERROR(VLOOKUP(D46,[1]TDSheet!$A:$N,14,0),0))</f>
        <v>0.40681027729125813</v>
      </c>
      <c r="K46" s="15">
        <f>IFERROR(VLOOKUP(D46,[1]TDSheet!$A:$M,12,0),0)</f>
        <v>3.7057272727272728</v>
      </c>
      <c r="L46" s="15">
        <f>IFERROR(VLOOKUP(D46,[1]TDSheet!$A:$M,13,0),0)</f>
        <v>3.7057272727272728</v>
      </c>
      <c r="M46" s="15">
        <f t="shared" si="1"/>
        <v>18.528636363636362</v>
      </c>
      <c r="N46" s="15">
        <f t="shared" si="2"/>
        <v>18.528636363636362</v>
      </c>
      <c r="O46" s="18">
        <f t="shared" si="3"/>
        <v>3.2189999999999999</v>
      </c>
      <c r="P46" s="18">
        <f t="shared" si="4"/>
        <v>3.2189999999999999</v>
      </c>
    </row>
    <row r="47" spans="1:16" outlineLevel="1" x14ac:dyDescent="0.2">
      <c r="A47" s="24" t="s">
        <v>87</v>
      </c>
      <c r="B47" s="24"/>
      <c r="C47" s="24"/>
      <c r="D47" s="25" t="s">
        <v>88</v>
      </c>
      <c r="E47" s="25"/>
      <c r="F47" s="25"/>
      <c r="G47" s="5"/>
      <c r="H47" s="7"/>
      <c r="I47" s="7"/>
      <c r="J47" s="13"/>
    </row>
    <row r="48" spans="1:16" outlineLevel="2" x14ac:dyDescent="0.2">
      <c r="A48" s="22" t="s">
        <v>89</v>
      </c>
      <c r="B48" s="22"/>
      <c r="C48" s="22"/>
      <c r="D48" s="23" t="s">
        <v>90</v>
      </c>
      <c r="E48" s="23"/>
      <c r="F48" s="23"/>
      <c r="G48" s="8" t="s">
        <v>91</v>
      </c>
      <c r="H48" s="9">
        <v>490</v>
      </c>
      <c r="I48" s="9">
        <v>196</v>
      </c>
      <c r="J48" s="13">
        <f>IF(IFERROR(VLOOKUP(D48,[1]TDSheet!$A:$N,14,0),0)&gt;1,1,IFERROR(VLOOKUP(D48,[1]TDSheet!$A:$N,14,0),0))</f>
        <v>0.58595041322314056</v>
      </c>
      <c r="K48" s="15">
        <f>IFERROR(VLOOKUP(D48,[1]TDSheet!$A:$M,12,0),0)</f>
        <v>12.890909090909092</v>
      </c>
      <c r="L48" s="15">
        <f>IFERROR(VLOOKUP(D48,[1]TDSheet!$A:$M,13,0),0)</f>
        <v>32.227272727272727</v>
      </c>
      <c r="M48" s="15">
        <f t="shared" si="1"/>
        <v>64.454545454545467</v>
      </c>
      <c r="N48" s="15">
        <f t="shared" si="2"/>
        <v>161.13636363636363</v>
      </c>
      <c r="O48" s="18">
        <f t="shared" si="3"/>
        <v>64.454545454545467</v>
      </c>
      <c r="P48" s="18">
        <f t="shared" si="4"/>
        <v>161.13636363636363</v>
      </c>
    </row>
    <row r="49" spans="1:16" outlineLevel="2" x14ac:dyDescent="0.2">
      <c r="A49" s="22" t="s">
        <v>92</v>
      </c>
      <c r="B49" s="22"/>
      <c r="C49" s="22"/>
      <c r="D49" s="23" t="s">
        <v>93</v>
      </c>
      <c r="E49" s="23"/>
      <c r="F49" s="23"/>
      <c r="G49" s="8" t="s">
        <v>91</v>
      </c>
      <c r="H49" s="9">
        <v>419</v>
      </c>
      <c r="I49" s="9">
        <v>104.75</v>
      </c>
      <c r="J49" s="13">
        <f>IF(IFERROR(VLOOKUP(D49,[1]TDSheet!$A:$N,14,0),0)&gt;1,1,IFERROR(VLOOKUP(D49,[1]TDSheet!$A:$N,14,0),0))</f>
        <v>0.4478442280945758</v>
      </c>
      <c r="K49" s="15">
        <f>IFERROR(VLOOKUP(D49,[1]TDSheet!$A:$M,12,0),0)</f>
        <v>7.3181818181818183</v>
      </c>
      <c r="L49" s="15">
        <f>IFERROR(VLOOKUP(D49,[1]TDSheet!$A:$M,13,0),0)</f>
        <v>29.272727272727273</v>
      </c>
      <c r="M49" s="15">
        <f t="shared" si="1"/>
        <v>36.590909090909093</v>
      </c>
      <c r="N49" s="15">
        <f t="shared" si="2"/>
        <v>146.36363636363637</v>
      </c>
      <c r="O49" s="18">
        <f t="shared" si="3"/>
        <v>36.590909090909093</v>
      </c>
      <c r="P49" s="18">
        <f t="shared" si="4"/>
        <v>104.75</v>
      </c>
    </row>
    <row r="50" spans="1:16" outlineLevel="2" x14ac:dyDescent="0.2">
      <c r="A50" s="22" t="s">
        <v>94</v>
      </c>
      <c r="B50" s="22"/>
      <c r="C50" s="22"/>
      <c r="D50" s="23" t="s">
        <v>95</v>
      </c>
      <c r="E50" s="23"/>
      <c r="F50" s="23"/>
      <c r="G50" s="8" t="s">
        <v>91</v>
      </c>
      <c r="H50" s="9">
        <v>589</v>
      </c>
      <c r="I50" s="9">
        <v>147.25</v>
      </c>
      <c r="J50" s="13">
        <f>IF(IFERROR(VLOOKUP(D50,[1]TDSheet!$A:$N,14,0),0)&gt;1,1,IFERROR(VLOOKUP(D50,[1]TDSheet!$A:$N,14,0),0))</f>
        <v>0.67886178861788615</v>
      </c>
      <c r="K50" s="15">
        <f>IFERROR(VLOOKUP(D50,[1]TDSheet!$A:$M,12,0),0)</f>
        <v>7.5909090909090908</v>
      </c>
      <c r="L50" s="15">
        <f>IFERROR(VLOOKUP(D50,[1]TDSheet!$A:$M,13,0),0)</f>
        <v>30.363636363636363</v>
      </c>
      <c r="M50" s="15">
        <f t="shared" si="1"/>
        <v>37.954545454545453</v>
      </c>
      <c r="N50" s="15">
        <f t="shared" si="2"/>
        <v>151.81818181818181</v>
      </c>
      <c r="O50" s="18">
        <f t="shared" si="3"/>
        <v>37.954545454545453</v>
      </c>
      <c r="P50" s="18">
        <f t="shared" si="4"/>
        <v>147.25</v>
      </c>
    </row>
    <row r="51" spans="1:16" outlineLevel="2" x14ac:dyDescent="0.2">
      <c r="A51" s="22" t="s">
        <v>96</v>
      </c>
      <c r="B51" s="22"/>
      <c r="C51" s="22"/>
      <c r="D51" s="23" t="s">
        <v>97</v>
      </c>
      <c r="E51" s="23"/>
      <c r="F51" s="23"/>
      <c r="G51" s="8" t="s">
        <v>91</v>
      </c>
      <c r="H51" s="9">
        <v>554</v>
      </c>
      <c r="I51" s="9">
        <v>138.5</v>
      </c>
      <c r="J51" s="13">
        <f>IF(IFERROR(VLOOKUP(D51,[1]TDSheet!$A:$N,14,0),0)&gt;1,1,IFERROR(VLOOKUP(D51,[1]TDSheet!$A:$N,14,0),0))</f>
        <v>0.49424552429667518</v>
      </c>
      <c r="K51" s="15">
        <f>IFERROR(VLOOKUP(D51,[1]TDSheet!$A:$M,12,0),0)</f>
        <v>8.7840909090909083</v>
      </c>
      <c r="L51" s="15">
        <f>IFERROR(VLOOKUP(D51,[1]TDSheet!$A:$M,13,0),0)</f>
        <v>35.136363636363633</v>
      </c>
      <c r="M51" s="15">
        <f t="shared" si="1"/>
        <v>43.92045454545454</v>
      </c>
      <c r="N51" s="15">
        <f t="shared" si="2"/>
        <v>175.68181818181816</v>
      </c>
      <c r="O51" s="18">
        <f t="shared" si="3"/>
        <v>43.92045454545454</v>
      </c>
      <c r="P51" s="18">
        <f t="shared" si="4"/>
        <v>138.5</v>
      </c>
    </row>
    <row r="52" spans="1:16" outlineLevel="2" x14ac:dyDescent="0.2">
      <c r="A52" s="22" t="s">
        <v>98</v>
      </c>
      <c r="B52" s="22"/>
      <c r="C52" s="22"/>
      <c r="D52" s="23" t="s">
        <v>99</v>
      </c>
      <c r="E52" s="23"/>
      <c r="F52" s="23"/>
      <c r="G52" s="8" t="s">
        <v>91</v>
      </c>
      <c r="H52" s="9">
        <v>435</v>
      </c>
      <c r="I52" s="9">
        <v>174</v>
      </c>
      <c r="J52" s="13">
        <f>IF(IFERROR(VLOOKUP(D52,[1]TDSheet!$A:$N,14,0),0)&gt;1,1,IFERROR(VLOOKUP(D52,[1]TDSheet!$A:$N,14,0),0))</f>
        <v>0.47460087082728591</v>
      </c>
      <c r="K52" s="15">
        <f>IFERROR(VLOOKUP(D52,[1]TDSheet!$A:$M,12,0),0)</f>
        <v>5.9454545454545462</v>
      </c>
      <c r="L52" s="15">
        <f>IFERROR(VLOOKUP(D52,[1]TDSheet!$A:$M,13,0),0)</f>
        <v>14.863636363636363</v>
      </c>
      <c r="M52" s="15">
        <f t="shared" si="1"/>
        <v>29.72727272727273</v>
      </c>
      <c r="N52" s="15">
        <f t="shared" si="2"/>
        <v>74.318181818181813</v>
      </c>
      <c r="O52" s="18">
        <f t="shared" si="3"/>
        <v>29.72727272727273</v>
      </c>
      <c r="P52" s="18">
        <f t="shared" si="4"/>
        <v>74.318181818181813</v>
      </c>
    </row>
    <row r="53" spans="1:16" outlineLevel="2" x14ac:dyDescent="0.2">
      <c r="A53" s="22" t="s">
        <v>100</v>
      </c>
      <c r="B53" s="22"/>
      <c r="C53" s="22"/>
      <c r="D53" s="23" t="s">
        <v>101</v>
      </c>
      <c r="E53" s="23"/>
      <c r="F53" s="23"/>
      <c r="G53" s="8" t="s">
        <v>91</v>
      </c>
      <c r="H53" s="9">
        <v>356</v>
      </c>
      <c r="I53" s="9">
        <v>142.4</v>
      </c>
      <c r="J53" s="13">
        <f>IF(IFERROR(VLOOKUP(D53,[1]TDSheet!$A:$N,14,0),0)&gt;1,1,IFERROR(VLOOKUP(D53,[1]TDSheet!$A:$N,14,0),0))</f>
        <v>1</v>
      </c>
      <c r="K53" s="15">
        <f>IFERROR(VLOOKUP(D53,[1]TDSheet!$A:$M,12,0),0)</f>
        <v>0.5636363636363636</v>
      </c>
      <c r="L53" s="15">
        <f>IFERROR(VLOOKUP(D53,[1]TDSheet!$A:$M,13,0),0)</f>
        <v>1.4090909090909092</v>
      </c>
      <c r="M53" s="15">
        <f t="shared" si="1"/>
        <v>2.8181818181818179</v>
      </c>
      <c r="N53" s="15">
        <f t="shared" si="2"/>
        <v>7.0454545454545459</v>
      </c>
      <c r="O53" s="18">
        <f>I53</f>
        <v>142.4</v>
      </c>
      <c r="P53" s="18">
        <f>H53</f>
        <v>356</v>
      </c>
    </row>
    <row r="54" spans="1:16" outlineLevel="2" x14ac:dyDescent="0.2">
      <c r="A54" s="22" t="s">
        <v>102</v>
      </c>
      <c r="B54" s="22"/>
      <c r="C54" s="22"/>
      <c r="D54" s="23" t="s">
        <v>103</v>
      </c>
      <c r="E54" s="23"/>
      <c r="F54" s="23"/>
      <c r="G54" s="8" t="s">
        <v>91</v>
      </c>
      <c r="H54" s="9">
        <v>657</v>
      </c>
      <c r="I54" s="9">
        <v>144.54</v>
      </c>
      <c r="J54" s="13">
        <f>IF(IFERROR(VLOOKUP(D54,[1]TDSheet!$A:$N,14,0),0)&gt;1,1,IFERROR(VLOOKUP(D54,[1]TDSheet!$A:$N,14,0),0))</f>
        <v>0.52799552071668532</v>
      </c>
      <c r="K54" s="15">
        <f>IFERROR(VLOOKUP(D54,[1]TDSheet!$A:$M,12,0),0)</f>
        <v>9.43</v>
      </c>
      <c r="L54" s="15">
        <f>IFERROR(VLOOKUP(D54,[1]TDSheet!$A:$M,13,0),0)</f>
        <v>42.863636363636367</v>
      </c>
      <c r="M54" s="15">
        <f t="shared" si="1"/>
        <v>47.15</v>
      </c>
      <c r="N54" s="15">
        <f t="shared" si="2"/>
        <v>214.31818181818184</v>
      </c>
      <c r="O54" s="18">
        <f t="shared" si="3"/>
        <v>47.15</v>
      </c>
      <c r="P54" s="18">
        <f t="shared" si="4"/>
        <v>144.54</v>
      </c>
    </row>
    <row r="55" spans="1:16" outlineLevel="2" x14ac:dyDescent="0.2">
      <c r="A55" s="22" t="s">
        <v>104</v>
      </c>
      <c r="B55" s="22"/>
      <c r="C55" s="22"/>
      <c r="D55" s="23" t="s">
        <v>105</v>
      </c>
      <c r="E55" s="23"/>
      <c r="F55" s="23"/>
      <c r="G55" s="8" t="s">
        <v>91</v>
      </c>
      <c r="H55" s="9">
        <v>342</v>
      </c>
      <c r="I55" s="9">
        <v>30.78</v>
      </c>
      <c r="J55" s="13">
        <f>IF(IFERROR(VLOOKUP(D55,[1]TDSheet!$A:$N,14,0),0)&gt;1,1,IFERROR(VLOOKUP(D55,[1]TDSheet!$A:$N,14,0),0))</f>
        <v>0.43263288009888751</v>
      </c>
      <c r="K55" s="15">
        <f>IFERROR(VLOOKUP(D55,[1]TDSheet!$A:$M,12,0),0)</f>
        <v>1.4318181818181819</v>
      </c>
      <c r="L55" s="15">
        <f>IFERROR(VLOOKUP(D55,[1]TDSheet!$A:$M,13,0),0)</f>
        <v>15.909090909090908</v>
      </c>
      <c r="M55" s="15">
        <f t="shared" si="1"/>
        <v>7.1590909090909092</v>
      </c>
      <c r="N55" s="15">
        <f t="shared" si="2"/>
        <v>79.545454545454547</v>
      </c>
      <c r="O55" s="18">
        <f t="shared" si="3"/>
        <v>7.1590909090909092</v>
      </c>
      <c r="P55" s="18">
        <f t="shared" si="4"/>
        <v>30.78</v>
      </c>
    </row>
    <row r="56" spans="1:16" outlineLevel="2" x14ac:dyDescent="0.2">
      <c r="A56" s="22" t="s">
        <v>106</v>
      </c>
      <c r="B56" s="22"/>
      <c r="C56" s="22"/>
      <c r="D56" s="23" t="s">
        <v>107</v>
      </c>
      <c r="E56" s="23"/>
      <c r="F56" s="23"/>
      <c r="G56" s="8" t="s">
        <v>91</v>
      </c>
      <c r="H56" s="9">
        <v>68</v>
      </c>
      <c r="I56" s="9">
        <v>6.12</v>
      </c>
      <c r="J56" s="13">
        <f>IF(IFERROR(VLOOKUP(D56,[1]TDSheet!$A:$N,14,0),0)&gt;1,1,IFERROR(VLOOKUP(D56,[1]TDSheet!$A:$N,14,0),0))</f>
        <v>1</v>
      </c>
      <c r="K56" s="15">
        <f>IFERROR(VLOOKUP(D56,[1]TDSheet!$A:$M,12,0),0)</f>
        <v>8.1818181818181807E-3</v>
      </c>
      <c r="L56" s="15">
        <f>IFERROR(VLOOKUP(D56,[1]TDSheet!$A:$M,13,0),0)</f>
        <v>9.0909090909090912E-2</v>
      </c>
      <c r="M56" s="15">
        <f t="shared" si="1"/>
        <v>4.0909090909090902E-2</v>
      </c>
      <c r="N56" s="15">
        <f t="shared" si="2"/>
        <v>0.45454545454545459</v>
      </c>
      <c r="O56" s="18">
        <f>I56</f>
        <v>6.12</v>
      </c>
      <c r="P56" s="18">
        <f>H56</f>
        <v>68</v>
      </c>
    </row>
    <row r="57" spans="1:16" outlineLevel="2" x14ac:dyDescent="0.2">
      <c r="A57" s="22" t="s">
        <v>108</v>
      </c>
      <c r="B57" s="22"/>
      <c r="C57" s="22"/>
      <c r="D57" s="23" t="s">
        <v>109</v>
      </c>
      <c r="E57" s="23"/>
      <c r="F57" s="23"/>
      <c r="G57" s="8" t="s">
        <v>91</v>
      </c>
      <c r="H57" s="9">
        <v>199</v>
      </c>
      <c r="I57" s="9">
        <v>17.91</v>
      </c>
      <c r="J57" s="13">
        <f>IF(IFERROR(VLOOKUP(D57,[1]TDSheet!$A:$N,14,0),0)&gt;1,1,IFERROR(VLOOKUP(D57,[1]TDSheet!$A:$N,14,0),0))</f>
        <v>0.55172413793103448</v>
      </c>
      <c r="K57" s="15">
        <f>IFERROR(VLOOKUP(D57,[1]TDSheet!$A:$M,12,0),0)</f>
        <v>0.32727272727272727</v>
      </c>
      <c r="L57" s="15">
        <f>IFERROR(VLOOKUP(D57,[1]TDSheet!$A:$M,13,0),0)</f>
        <v>3.6363636363636362</v>
      </c>
      <c r="M57" s="15">
        <f t="shared" si="1"/>
        <v>1.6363636363636362</v>
      </c>
      <c r="N57" s="15">
        <f t="shared" si="2"/>
        <v>18.18181818181818</v>
      </c>
      <c r="O57" s="18">
        <f t="shared" si="3"/>
        <v>1.6363636363636362</v>
      </c>
      <c r="P57" s="18">
        <f t="shared" si="4"/>
        <v>17.91</v>
      </c>
    </row>
    <row r="58" spans="1:16" outlineLevel="2" x14ac:dyDescent="0.2">
      <c r="A58" s="22" t="s">
        <v>110</v>
      </c>
      <c r="B58" s="22"/>
      <c r="C58" s="22"/>
      <c r="D58" s="23" t="s">
        <v>111</v>
      </c>
      <c r="E58" s="23"/>
      <c r="F58" s="23"/>
      <c r="G58" s="8" t="s">
        <v>91</v>
      </c>
      <c r="H58" s="9">
        <v>225</v>
      </c>
      <c r="I58" s="9">
        <v>33.75</v>
      </c>
      <c r="J58" s="13">
        <f>IF(IFERROR(VLOOKUP(D58,[1]TDSheet!$A:$N,14,0),0)&gt;1,1,IFERROR(VLOOKUP(D58,[1]TDSheet!$A:$N,14,0),0))</f>
        <v>0.93548387096774177</v>
      </c>
      <c r="K58" s="15">
        <f>IFERROR(VLOOKUP(D58,[1]TDSheet!$A:$M,12,0),0)</f>
        <v>0.19772727272727272</v>
      </c>
      <c r="L58" s="15">
        <f>IFERROR(VLOOKUP(D58,[1]TDSheet!$A:$M,13,0),0)</f>
        <v>1.3181818181818181</v>
      </c>
      <c r="M58" s="15">
        <f t="shared" si="1"/>
        <v>0.98863636363636365</v>
      </c>
      <c r="N58" s="15">
        <f t="shared" si="2"/>
        <v>6.5909090909090908</v>
      </c>
      <c r="O58" s="18">
        <f>I58</f>
        <v>33.75</v>
      </c>
      <c r="P58" s="18">
        <f>H58</f>
        <v>225</v>
      </c>
    </row>
    <row r="59" spans="1:16" outlineLevel="2" x14ac:dyDescent="0.2">
      <c r="A59" s="22" t="s">
        <v>112</v>
      </c>
      <c r="B59" s="22"/>
      <c r="C59" s="22"/>
      <c r="D59" s="23" t="s">
        <v>113</v>
      </c>
      <c r="E59" s="23"/>
      <c r="F59" s="23"/>
      <c r="G59" s="8" t="s">
        <v>91</v>
      </c>
      <c r="H59" s="9">
        <v>129</v>
      </c>
      <c r="I59" s="9">
        <v>51.6</v>
      </c>
      <c r="J59" s="13">
        <f>IF(IFERROR(VLOOKUP(D59,[1]TDSheet!$A:$N,14,0),0)&gt;1,1,IFERROR(VLOOKUP(D59,[1]TDSheet!$A:$N,14,0),0))</f>
        <v>0.56488549618320616</v>
      </c>
      <c r="K59" s="15">
        <f>IFERROR(VLOOKUP(D59,[1]TDSheet!$A:$M,12,0),0)</f>
        <v>5.3818181818181818</v>
      </c>
      <c r="L59" s="15">
        <f>IFERROR(VLOOKUP(D59,[1]TDSheet!$A:$M,13,0),0)</f>
        <v>13.454545454545455</v>
      </c>
      <c r="M59" s="15">
        <f t="shared" si="1"/>
        <v>26.90909090909091</v>
      </c>
      <c r="N59" s="15">
        <f t="shared" si="2"/>
        <v>67.27272727272728</v>
      </c>
      <c r="O59" s="18">
        <f t="shared" si="3"/>
        <v>26.90909090909091</v>
      </c>
      <c r="P59" s="18">
        <f t="shared" si="4"/>
        <v>51.6</v>
      </c>
    </row>
    <row r="60" spans="1:16" outlineLevel="2" x14ac:dyDescent="0.2">
      <c r="A60" s="22" t="s">
        <v>114</v>
      </c>
      <c r="B60" s="22"/>
      <c r="C60" s="22"/>
      <c r="D60" s="23" t="s">
        <v>115</v>
      </c>
      <c r="E60" s="23"/>
      <c r="F60" s="23"/>
      <c r="G60" s="8" t="s">
        <v>91</v>
      </c>
      <c r="H60" s="9">
        <v>836</v>
      </c>
      <c r="I60" s="9">
        <v>334.4</v>
      </c>
      <c r="J60" s="13">
        <f>IF(IFERROR(VLOOKUP(D60,[1]TDSheet!$A:$N,14,0),0)&gt;1,1,IFERROR(VLOOKUP(D60,[1]TDSheet!$A:$N,14,0),0))</f>
        <v>0.56711409395973145</v>
      </c>
      <c r="K60" s="15">
        <f>IFERROR(VLOOKUP(D60,[1]TDSheet!$A:$M,12,0),0)</f>
        <v>24.581818181818178</v>
      </c>
      <c r="L60" s="15">
        <f>IFERROR(VLOOKUP(D60,[1]TDSheet!$A:$M,13,0),0)</f>
        <v>61.454545454545453</v>
      </c>
      <c r="M60" s="15">
        <f t="shared" si="1"/>
        <v>122.90909090909089</v>
      </c>
      <c r="N60" s="15">
        <f t="shared" si="2"/>
        <v>307.27272727272725</v>
      </c>
      <c r="O60" s="18">
        <f t="shared" si="3"/>
        <v>122.90909090909089</v>
      </c>
      <c r="P60" s="18">
        <f t="shared" si="4"/>
        <v>307.27272727272725</v>
      </c>
    </row>
    <row r="61" spans="1:16" outlineLevel="2" x14ac:dyDescent="0.2">
      <c r="A61" s="22" t="s">
        <v>116</v>
      </c>
      <c r="B61" s="22"/>
      <c r="C61" s="22"/>
      <c r="D61" s="23" t="s">
        <v>117</v>
      </c>
      <c r="E61" s="23"/>
      <c r="F61" s="23"/>
      <c r="G61" s="8" t="s">
        <v>91</v>
      </c>
      <c r="H61" s="9">
        <v>-1</v>
      </c>
      <c r="I61" s="9">
        <v>-0.35</v>
      </c>
      <c r="J61" s="13">
        <f>IF(IFERROR(VLOOKUP(D61,[1]TDSheet!$A:$N,14,0),0)&gt;1,1,IFERROR(VLOOKUP(D61,[1]TDSheet!$A:$N,14,0),0))</f>
        <v>0</v>
      </c>
      <c r="K61" s="15">
        <f>IFERROR(VLOOKUP(D61,[1]TDSheet!$A:$M,12,0),0)</f>
        <v>0</v>
      </c>
      <c r="L61" s="15">
        <f>IFERROR(VLOOKUP(D61,[1]TDSheet!$A:$M,13,0),0)</f>
        <v>0</v>
      </c>
      <c r="M61" s="15">
        <f t="shared" si="1"/>
        <v>0</v>
      </c>
      <c r="N61" s="15">
        <f t="shared" si="2"/>
        <v>0</v>
      </c>
      <c r="O61" s="18">
        <v>0</v>
      </c>
      <c r="P61" s="18">
        <v>0</v>
      </c>
    </row>
    <row r="62" spans="1:16" outlineLevel="2" x14ac:dyDescent="0.2">
      <c r="A62" s="22" t="s">
        <v>118</v>
      </c>
      <c r="B62" s="22"/>
      <c r="C62" s="22"/>
      <c r="D62" s="23" t="s">
        <v>119</v>
      </c>
      <c r="E62" s="23"/>
      <c r="F62" s="23"/>
      <c r="G62" s="8" t="s">
        <v>91</v>
      </c>
      <c r="H62" s="9">
        <v>779</v>
      </c>
      <c r="I62" s="9">
        <v>311.60000000000002</v>
      </c>
      <c r="J62" s="13">
        <f>IF(IFERROR(VLOOKUP(D62,[1]TDSheet!$A:$N,14,0),0)&gt;1,1,IFERROR(VLOOKUP(D62,[1]TDSheet!$A:$N,14,0),0))</f>
        <v>0.61348077935755663</v>
      </c>
      <c r="K62" s="15">
        <f>IFERROR(VLOOKUP(D62,[1]TDSheet!$A:$M,12,0),0)</f>
        <v>21.181818181818183</v>
      </c>
      <c r="L62" s="15">
        <f>IFERROR(VLOOKUP(D62,[1]TDSheet!$A:$M,13,0),0)</f>
        <v>52.954545454545453</v>
      </c>
      <c r="M62" s="15">
        <f t="shared" si="1"/>
        <v>105.90909090909092</v>
      </c>
      <c r="N62" s="15">
        <f t="shared" si="2"/>
        <v>264.77272727272725</v>
      </c>
      <c r="O62" s="18">
        <f t="shared" si="3"/>
        <v>105.90909090909092</v>
      </c>
      <c r="P62" s="18">
        <f t="shared" si="4"/>
        <v>264.77272727272725</v>
      </c>
    </row>
    <row r="63" spans="1:16" outlineLevel="2" x14ac:dyDescent="0.2">
      <c r="A63" s="22" t="s">
        <v>120</v>
      </c>
      <c r="B63" s="22"/>
      <c r="C63" s="22"/>
      <c r="D63" s="23" t="s">
        <v>121</v>
      </c>
      <c r="E63" s="23"/>
      <c r="F63" s="23"/>
      <c r="G63" s="8" t="s">
        <v>91</v>
      </c>
      <c r="H63" s="9">
        <v>82</v>
      </c>
      <c r="I63" s="9">
        <v>24.6</v>
      </c>
      <c r="J63" s="13">
        <f>IF(IFERROR(VLOOKUP(D63,[1]TDSheet!$A:$N,14,0),0)&gt;1,1,IFERROR(VLOOKUP(D63,[1]TDSheet!$A:$N,14,0),0))</f>
        <v>0.23214285714285712</v>
      </c>
      <c r="K63" s="15">
        <f>IFERROR(VLOOKUP(D63,[1]TDSheet!$A:$M,12,0),0)</f>
        <v>0.35454545454545455</v>
      </c>
      <c r="L63" s="15">
        <f>IFERROR(VLOOKUP(D63,[1]TDSheet!$A:$M,13,0),0)</f>
        <v>1.1818181818181819</v>
      </c>
      <c r="M63" s="15">
        <f t="shared" si="1"/>
        <v>1.7727272727272727</v>
      </c>
      <c r="N63" s="15">
        <f t="shared" si="2"/>
        <v>5.9090909090909092</v>
      </c>
      <c r="O63" s="18">
        <f t="shared" si="3"/>
        <v>1.7727272727272727</v>
      </c>
      <c r="P63" s="18">
        <f t="shared" si="4"/>
        <v>5.9090909090909092</v>
      </c>
    </row>
    <row r="64" spans="1:16" outlineLevel="2" x14ac:dyDescent="0.2">
      <c r="A64" s="22" t="s">
        <v>122</v>
      </c>
      <c r="B64" s="22"/>
      <c r="C64" s="22"/>
      <c r="D64" s="23" t="s">
        <v>123</v>
      </c>
      <c r="E64" s="23"/>
      <c r="F64" s="23"/>
      <c r="G64" s="8" t="s">
        <v>91</v>
      </c>
      <c r="H64" s="9">
        <v>2</v>
      </c>
      <c r="I64" s="9">
        <v>0.2</v>
      </c>
      <c r="J64" s="13">
        <f>IF(IFERROR(VLOOKUP(D64,[1]TDSheet!$A:$N,14,0),0)&gt;1,1,IFERROR(VLOOKUP(D64,[1]TDSheet!$A:$N,14,0),0))</f>
        <v>0</v>
      </c>
      <c r="K64" s="15">
        <f>IFERROR(VLOOKUP(D64,[1]TDSheet!$A:$M,12,0),0)</f>
        <v>0</v>
      </c>
      <c r="L64" s="15">
        <f>IFERROR(VLOOKUP(D64,[1]TDSheet!$A:$M,13,0),0)</f>
        <v>0</v>
      </c>
      <c r="M64" s="15">
        <f t="shared" si="1"/>
        <v>0</v>
      </c>
      <c r="N64" s="15">
        <f t="shared" si="2"/>
        <v>0</v>
      </c>
      <c r="O64" s="18">
        <v>0</v>
      </c>
      <c r="P64" s="18">
        <v>0</v>
      </c>
    </row>
    <row r="65" spans="1:16" outlineLevel="2" x14ac:dyDescent="0.2">
      <c r="A65" s="22" t="s">
        <v>124</v>
      </c>
      <c r="B65" s="22"/>
      <c r="C65" s="22"/>
      <c r="D65" s="23" t="s">
        <v>125</v>
      </c>
      <c r="E65" s="23"/>
      <c r="F65" s="23"/>
      <c r="G65" s="8" t="s">
        <v>91</v>
      </c>
      <c r="H65" s="9">
        <v>270</v>
      </c>
      <c r="I65" s="9">
        <v>108</v>
      </c>
      <c r="J65" s="13">
        <f>IF(IFERROR(VLOOKUP(D65,[1]TDSheet!$A:$N,14,0),0)&gt;1,1,IFERROR(VLOOKUP(D65,[1]TDSheet!$A:$N,14,0),0))</f>
        <v>1</v>
      </c>
      <c r="K65" s="15">
        <f>IFERROR(VLOOKUP(D65,[1]TDSheet!$A:$M,12,0),0)</f>
        <v>2.0909090909090908</v>
      </c>
      <c r="L65" s="15">
        <f>IFERROR(VLOOKUP(D65,[1]TDSheet!$A:$M,13,0),0)</f>
        <v>5.2272727272727275</v>
      </c>
      <c r="M65" s="15">
        <f t="shared" si="1"/>
        <v>10.454545454545453</v>
      </c>
      <c r="N65" s="15">
        <f t="shared" si="2"/>
        <v>26.136363636363637</v>
      </c>
      <c r="O65" s="18">
        <f>I65</f>
        <v>108</v>
      </c>
      <c r="P65" s="18">
        <f>H65</f>
        <v>270</v>
      </c>
    </row>
    <row r="66" spans="1:16" outlineLevel="2" x14ac:dyDescent="0.2">
      <c r="A66" s="22" t="s">
        <v>126</v>
      </c>
      <c r="B66" s="22"/>
      <c r="C66" s="22"/>
      <c r="D66" s="23" t="s">
        <v>127</v>
      </c>
      <c r="E66" s="23"/>
      <c r="F66" s="23"/>
      <c r="G66" s="8" t="s">
        <v>91</v>
      </c>
      <c r="H66" s="9">
        <v>332</v>
      </c>
      <c r="I66" s="9">
        <v>99.6</v>
      </c>
      <c r="J66" s="13">
        <f>IF(IFERROR(VLOOKUP(D66,[1]TDSheet!$A:$N,14,0),0)&gt;1,1,IFERROR(VLOOKUP(D66,[1]TDSheet!$A:$N,14,0),0))</f>
        <v>0.49881796690307323</v>
      </c>
      <c r="K66" s="15">
        <f>IFERROR(VLOOKUP(D66,[1]TDSheet!$A:$M,12,0),0)</f>
        <v>2.877272727272727</v>
      </c>
      <c r="L66" s="15">
        <f>IFERROR(VLOOKUP(D66,[1]TDSheet!$A:$M,13,0),0)</f>
        <v>9.5909090909090917</v>
      </c>
      <c r="M66" s="15">
        <f t="shared" si="1"/>
        <v>14.386363636363635</v>
      </c>
      <c r="N66" s="15">
        <f t="shared" si="2"/>
        <v>47.95454545454546</v>
      </c>
      <c r="O66" s="18">
        <f t="shared" si="3"/>
        <v>14.386363636363635</v>
      </c>
      <c r="P66" s="18">
        <f t="shared" si="4"/>
        <v>47.95454545454546</v>
      </c>
    </row>
    <row r="67" spans="1:16" outlineLevel="2" x14ac:dyDescent="0.2">
      <c r="A67" s="22" t="s">
        <v>128</v>
      </c>
      <c r="B67" s="22"/>
      <c r="C67" s="22"/>
      <c r="D67" s="23" t="s">
        <v>129</v>
      </c>
      <c r="E67" s="23"/>
      <c r="F67" s="23"/>
      <c r="G67" s="8" t="s">
        <v>91</v>
      </c>
      <c r="H67" s="9">
        <v>501</v>
      </c>
      <c r="I67" s="9">
        <v>150.30000000000001</v>
      </c>
      <c r="J67" s="13">
        <f>IF(IFERROR(VLOOKUP(D67,[1]TDSheet!$A:$N,14,0),0)&gt;1,1,IFERROR(VLOOKUP(D67,[1]TDSheet!$A:$N,14,0),0))</f>
        <v>0.29040404040404044</v>
      </c>
      <c r="K67" s="15">
        <f>IFERROR(VLOOKUP(D67,[1]TDSheet!$A:$M,12,0),0)</f>
        <v>4.7045454545454541</v>
      </c>
      <c r="L67" s="15">
        <f>IFERROR(VLOOKUP(D67,[1]TDSheet!$A:$M,13,0),0)</f>
        <v>15.681818181818182</v>
      </c>
      <c r="M67" s="15">
        <f t="shared" si="1"/>
        <v>23.52272727272727</v>
      </c>
      <c r="N67" s="15">
        <f t="shared" si="2"/>
        <v>78.409090909090907</v>
      </c>
      <c r="O67" s="18">
        <f t="shared" si="3"/>
        <v>23.52272727272727</v>
      </c>
      <c r="P67" s="18">
        <f t="shared" si="4"/>
        <v>78.409090909090907</v>
      </c>
    </row>
    <row r="68" spans="1:16" outlineLevel="2" x14ac:dyDescent="0.2">
      <c r="A68" s="22" t="s">
        <v>130</v>
      </c>
      <c r="B68" s="22"/>
      <c r="C68" s="22"/>
      <c r="D68" s="23" t="s">
        <v>131</v>
      </c>
      <c r="E68" s="23"/>
      <c r="F68" s="23"/>
      <c r="G68" s="8" t="s">
        <v>91</v>
      </c>
      <c r="H68" s="9">
        <v>938</v>
      </c>
      <c r="I68" s="9">
        <v>328.3</v>
      </c>
      <c r="J68" s="13">
        <f>IF(IFERROR(VLOOKUP(D68,[1]TDSheet!$A:$N,14,0),0)&gt;1,1,IFERROR(VLOOKUP(D68,[1]TDSheet!$A:$N,14,0),0))</f>
        <v>0.59639759839893258</v>
      </c>
      <c r="K68" s="15">
        <f>IFERROR(VLOOKUP(D68,[1]TDSheet!$A:$M,12,0),0)</f>
        <v>28.445454545454542</v>
      </c>
      <c r="L68" s="15">
        <f>IFERROR(VLOOKUP(D68,[1]TDSheet!$A:$M,13,0),0)</f>
        <v>81.272727272727266</v>
      </c>
      <c r="M68" s="15">
        <f t="shared" si="1"/>
        <v>142.22727272727272</v>
      </c>
      <c r="N68" s="15">
        <f t="shared" si="2"/>
        <v>406.36363636363632</v>
      </c>
      <c r="O68" s="18">
        <f t="shared" si="3"/>
        <v>142.22727272727272</v>
      </c>
      <c r="P68" s="18">
        <f t="shared" si="4"/>
        <v>328.3</v>
      </c>
    </row>
    <row r="69" spans="1:16" outlineLevel="2" x14ac:dyDescent="0.2">
      <c r="A69" s="22" t="s">
        <v>132</v>
      </c>
      <c r="B69" s="22"/>
      <c r="C69" s="22"/>
      <c r="D69" s="23" t="s">
        <v>133</v>
      </c>
      <c r="E69" s="23"/>
      <c r="F69" s="23"/>
      <c r="G69" s="8" t="s">
        <v>91</v>
      </c>
      <c r="H69" s="10">
        <v>1353</v>
      </c>
      <c r="I69" s="9">
        <v>554.73</v>
      </c>
      <c r="J69" s="13">
        <f>IF(IFERROR(VLOOKUP(D69,[1]TDSheet!$A:$N,14,0),0)&gt;1,1,IFERROR(VLOOKUP(D69,[1]TDSheet!$A:$N,14,0),0))</f>
        <v>0.60706401766004414</v>
      </c>
      <c r="K69" s="15">
        <f>IFERROR(VLOOKUP(D69,[1]TDSheet!$A:$M,12,0),0)</f>
        <v>5.125</v>
      </c>
      <c r="L69" s="15">
        <f>IFERROR(VLOOKUP(D69,[1]TDSheet!$A:$M,13,0),0)</f>
        <v>12.5</v>
      </c>
      <c r="M69" s="15">
        <f t="shared" si="1"/>
        <v>25.625</v>
      </c>
      <c r="N69" s="15">
        <f t="shared" si="2"/>
        <v>62.5</v>
      </c>
      <c r="O69" s="18">
        <f t="shared" si="3"/>
        <v>25.625</v>
      </c>
      <c r="P69" s="18">
        <f t="shared" si="4"/>
        <v>62.5</v>
      </c>
    </row>
    <row r="70" spans="1:16" outlineLevel="2" x14ac:dyDescent="0.2">
      <c r="A70" s="22" t="s">
        <v>134</v>
      </c>
      <c r="B70" s="22"/>
      <c r="C70" s="22"/>
      <c r="D70" s="23" t="s">
        <v>135</v>
      </c>
      <c r="E70" s="23"/>
      <c r="F70" s="23"/>
      <c r="G70" s="8" t="s">
        <v>91</v>
      </c>
      <c r="H70" s="9">
        <v>824</v>
      </c>
      <c r="I70" s="9">
        <v>337.84</v>
      </c>
      <c r="J70" s="13">
        <f>IF(IFERROR(VLOOKUP(D70,[1]TDSheet!$A:$N,14,0),0)&gt;1,1,IFERROR(VLOOKUP(D70,[1]TDSheet!$A:$N,14,0),0))</f>
        <v>0.41992551210428308</v>
      </c>
      <c r="K70" s="15">
        <f>IFERROR(VLOOKUP(D70,[1]TDSheet!$A:$M,12,0),0)</f>
        <v>8.4049999999999994</v>
      </c>
      <c r="L70" s="15">
        <f>IFERROR(VLOOKUP(D70,[1]TDSheet!$A:$M,13,0),0)</f>
        <v>20.5</v>
      </c>
      <c r="M70" s="15">
        <f t="shared" si="1"/>
        <v>42.024999999999999</v>
      </c>
      <c r="N70" s="15">
        <f t="shared" si="2"/>
        <v>102.5</v>
      </c>
      <c r="O70" s="18">
        <f t="shared" si="3"/>
        <v>42.024999999999999</v>
      </c>
      <c r="P70" s="18">
        <f t="shared" si="4"/>
        <v>102.5</v>
      </c>
    </row>
    <row r="71" spans="1:16" outlineLevel="2" x14ac:dyDescent="0.2">
      <c r="A71" s="22" t="s">
        <v>136</v>
      </c>
      <c r="B71" s="22"/>
      <c r="C71" s="22"/>
      <c r="D71" s="23" t="s">
        <v>137</v>
      </c>
      <c r="E71" s="23"/>
      <c r="F71" s="23"/>
      <c r="G71" s="8" t="s">
        <v>91</v>
      </c>
      <c r="H71" s="9">
        <v>7</v>
      </c>
      <c r="I71" s="9">
        <v>2.52</v>
      </c>
      <c r="J71" s="13">
        <f>IF(IFERROR(VLOOKUP(D71,[1]TDSheet!$A:$N,14,0),0)&gt;1,1,IFERROR(VLOOKUP(D71,[1]TDSheet!$A:$N,14,0),0))</f>
        <v>8.1967213114754092E-2</v>
      </c>
      <c r="K71" s="15">
        <f>IFERROR(VLOOKUP(D71,[1]TDSheet!$A:$M,12,0),0)</f>
        <v>0.16363636363636364</v>
      </c>
      <c r="L71" s="15">
        <f>IFERROR(VLOOKUP(D71,[1]TDSheet!$A:$M,13,0),0)</f>
        <v>0.45454545454545453</v>
      </c>
      <c r="M71" s="15">
        <f t="shared" si="1"/>
        <v>0.81818181818181812</v>
      </c>
      <c r="N71" s="15">
        <f t="shared" si="2"/>
        <v>2.2727272727272725</v>
      </c>
      <c r="O71" s="18">
        <v>0</v>
      </c>
      <c r="P71" s="18">
        <v>0</v>
      </c>
    </row>
    <row r="72" spans="1:16" outlineLevel="2" x14ac:dyDescent="0.2">
      <c r="A72" s="22" t="s">
        <v>138</v>
      </c>
      <c r="B72" s="22"/>
      <c r="C72" s="22"/>
      <c r="D72" s="23" t="s">
        <v>139</v>
      </c>
      <c r="E72" s="23"/>
      <c r="F72" s="23"/>
      <c r="G72" s="8" t="s">
        <v>91</v>
      </c>
      <c r="H72" s="9">
        <v>29</v>
      </c>
      <c r="I72" s="9">
        <v>9.57</v>
      </c>
      <c r="J72" s="13">
        <f>IF(IFERROR(VLOOKUP(D72,[1]TDSheet!$A:$N,14,0),0)&gt;1,1,IFERROR(VLOOKUP(D72,[1]TDSheet!$A:$N,14,0),0))</f>
        <v>0.38644067796610171</v>
      </c>
      <c r="K72" s="15">
        <f>IFERROR(VLOOKUP(D72,[1]TDSheet!$A:$M,12,0),0)</f>
        <v>1.71</v>
      </c>
      <c r="L72" s="15">
        <f>IFERROR(VLOOKUP(D72,[1]TDSheet!$A:$M,13,0),0)</f>
        <v>5.1818181818181817</v>
      </c>
      <c r="M72" s="15">
        <f t="shared" si="1"/>
        <v>8.5500000000000007</v>
      </c>
      <c r="N72" s="15">
        <f t="shared" si="2"/>
        <v>25.909090909090907</v>
      </c>
      <c r="O72" s="18">
        <f t="shared" si="3"/>
        <v>8.5500000000000007</v>
      </c>
      <c r="P72" s="18">
        <f t="shared" si="4"/>
        <v>9.57</v>
      </c>
    </row>
    <row r="73" spans="1:16" outlineLevel="2" x14ac:dyDescent="0.2">
      <c r="A73" s="22" t="s">
        <v>140</v>
      </c>
      <c r="B73" s="22"/>
      <c r="C73" s="22"/>
      <c r="D73" s="23" t="s">
        <v>141</v>
      </c>
      <c r="E73" s="23"/>
      <c r="F73" s="23"/>
      <c r="G73" s="8" t="s">
        <v>91</v>
      </c>
      <c r="H73" s="9">
        <v>59</v>
      </c>
      <c r="I73" s="9">
        <v>23.6</v>
      </c>
      <c r="J73" s="13">
        <f>IF(IFERROR(VLOOKUP(D73,[1]TDSheet!$A:$N,14,0),0)&gt;1,1,IFERROR(VLOOKUP(D73,[1]TDSheet!$A:$N,14,0),0))</f>
        <v>0.50269541778975735</v>
      </c>
      <c r="K73" s="15">
        <f>IFERROR(VLOOKUP(D73,[1]TDSheet!$A:$M,12,0),0)</f>
        <v>6.7818181818181813</v>
      </c>
      <c r="L73" s="15">
        <f>IFERROR(VLOOKUP(D73,[1]TDSheet!$A:$M,13,0),0)</f>
        <v>16.954545454545453</v>
      </c>
      <c r="M73" s="15">
        <f t="shared" si="1"/>
        <v>33.909090909090907</v>
      </c>
      <c r="N73" s="15">
        <f t="shared" si="2"/>
        <v>84.772727272727266</v>
      </c>
      <c r="O73" s="18">
        <f t="shared" si="3"/>
        <v>33.909090909090907</v>
      </c>
      <c r="P73" s="18">
        <f t="shared" si="4"/>
        <v>23.6</v>
      </c>
    </row>
    <row r="74" spans="1:16" outlineLevel="2" x14ac:dyDescent="0.2">
      <c r="A74" s="22" t="s">
        <v>142</v>
      </c>
      <c r="B74" s="22"/>
      <c r="C74" s="22"/>
      <c r="D74" s="23" t="s">
        <v>143</v>
      </c>
      <c r="E74" s="23"/>
      <c r="F74" s="23"/>
      <c r="G74" s="8" t="s">
        <v>91</v>
      </c>
      <c r="H74" s="9">
        <v>42</v>
      </c>
      <c r="I74" s="9">
        <v>13.86</v>
      </c>
      <c r="J74" s="13">
        <f>IF(IFERROR(VLOOKUP(D74,[1]TDSheet!$A:$N,14,0),0)&gt;1,1,IFERROR(VLOOKUP(D74,[1]TDSheet!$A:$N,14,0),0))</f>
        <v>3.7037037037037035E-2</v>
      </c>
      <c r="K74" s="15">
        <f>IFERROR(VLOOKUP(D74,[1]TDSheet!$A:$M,12,0),0)</f>
        <v>1.5000000000000001E-2</v>
      </c>
      <c r="L74" s="15">
        <f>IFERROR(VLOOKUP(D74,[1]TDSheet!$A:$M,13,0),0)</f>
        <v>4.5454545454545456E-2</v>
      </c>
      <c r="M74" s="15">
        <f t="shared" si="1"/>
        <v>7.5000000000000011E-2</v>
      </c>
      <c r="N74" s="15">
        <f t="shared" si="2"/>
        <v>0.22727272727272729</v>
      </c>
      <c r="O74" s="18">
        <v>0</v>
      </c>
      <c r="P74" s="18">
        <v>0</v>
      </c>
    </row>
    <row r="75" spans="1:16" outlineLevel="2" x14ac:dyDescent="0.2">
      <c r="A75" s="22" t="s">
        <v>144</v>
      </c>
      <c r="B75" s="22"/>
      <c r="C75" s="22"/>
      <c r="D75" s="23" t="s">
        <v>145</v>
      </c>
      <c r="E75" s="23"/>
      <c r="F75" s="23"/>
      <c r="G75" s="8" t="s">
        <v>91</v>
      </c>
      <c r="H75" s="9">
        <v>312</v>
      </c>
      <c r="I75" s="9">
        <v>124.8</v>
      </c>
      <c r="J75" s="13">
        <f>IF(IFERROR(VLOOKUP(D75,[1]TDSheet!$A:$N,14,0),0)&gt;1,1,IFERROR(VLOOKUP(D75,[1]TDSheet!$A:$N,14,0),0))</f>
        <v>1</v>
      </c>
      <c r="K75" s="15">
        <f>IFERROR(VLOOKUP(D75,[1]TDSheet!$A:$M,12,0),0)</f>
        <v>2.6</v>
      </c>
      <c r="L75" s="15">
        <f>IFERROR(VLOOKUP(D75,[1]TDSheet!$A:$M,13,0),0)</f>
        <v>6.5</v>
      </c>
      <c r="M75" s="15">
        <f t="shared" si="1"/>
        <v>13</v>
      </c>
      <c r="N75" s="15">
        <f t="shared" si="2"/>
        <v>32.5</v>
      </c>
      <c r="O75" s="18">
        <f>I75</f>
        <v>124.8</v>
      </c>
      <c r="P75" s="18">
        <f>H75</f>
        <v>312</v>
      </c>
    </row>
    <row r="76" spans="1:16" outlineLevel="2" x14ac:dyDescent="0.2">
      <c r="A76" s="22" t="s">
        <v>146</v>
      </c>
      <c r="B76" s="22"/>
      <c r="C76" s="22"/>
      <c r="D76" s="23" t="s">
        <v>147</v>
      </c>
      <c r="E76" s="23"/>
      <c r="F76" s="23"/>
      <c r="G76" s="8" t="s">
        <v>91</v>
      </c>
      <c r="H76" s="9">
        <v>44</v>
      </c>
      <c r="I76" s="9">
        <v>26.4</v>
      </c>
      <c r="J76" s="13">
        <f>IF(IFERROR(VLOOKUP(D76,[1]TDSheet!$A:$N,14,0),0)&gt;1,1,IFERROR(VLOOKUP(D76,[1]TDSheet!$A:$N,14,0),0))</f>
        <v>0.39999999999999997</v>
      </c>
      <c r="K76" s="15">
        <f>IFERROR(VLOOKUP(D76,[1]TDSheet!$A:$M,12,0),0)</f>
        <v>1.8545454545454545</v>
      </c>
      <c r="L76" s="15">
        <f>IFERROR(VLOOKUP(D76,[1]TDSheet!$A:$M,13,0),0)</f>
        <v>3.0909090909090908</v>
      </c>
      <c r="M76" s="15">
        <f t="shared" si="1"/>
        <v>9.2727272727272734</v>
      </c>
      <c r="N76" s="15">
        <f t="shared" si="2"/>
        <v>15.454545454545453</v>
      </c>
      <c r="O76" s="18">
        <f t="shared" si="3"/>
        <v>9.2727272727272734</v>
      </c>
      <c r="P76" s="18">
        <f t="shared" si="4"/>
        <v>15.454545454545453</v>
      </c>
    </row>
    <row r="77" spans="1:16" outlineLevel="2" x14ac:dyDescent="0.2">
      <c r="A77" s="22" t="s">
        <v>148</v>
      </c>
      <c r="B77" s="22"/>
      <c r="C77" s="22"/>
      <c r="D77" s="23" t="s">
        <v>149</v>
      </c>
      <c r="E77" s="23"/>
      <c r="F77" s="23"/>
      <c r="G77" s="8" t="s">
        <v>91</v>
      </c>
      <c r="H77" s="9">
        <v>119</v>
      </c>
      <c r="I77" s="9">
        <v>29.75</v>
      </c>
      <c r="J77" s="13">
        <f>IF(IFERROR(VLOOKUP(D77,[1]TDSheet!$A:$N,14,0),0)&gt;1,1,IFERROR(VLOOKUP(D77,[1]TDSheet!$A:$N,14,0),0))</f>
        <v>1</v>
      </c>
      <c r="K77" s="15">
        <f>IFERROR(VLOOKUP(D77,[1]TDSheet!$A:$M,12,0),0)</f>
        <v>0.19318181818181818</v>
      </c>
      <c r="L77" s="15">
        <f>IFERROR(VLOOKUP(D77,[1]TDSheet!$A:$M,13,0),0)</f>
        <v>0.77272727272727271</v>
      </c>
      <c r="M77" s="15">
        <f t="shared" ref="M77:M140" si="5">IF(K77*$M$6&lt;0,0,K77*$M$6)</f>
        <v>0.96590909090909083</v>
      </c>
      <c r="N77" s="15">
        <f t="shared" ref="N77:N140" si="6">IF(L77*$N$6&lt;0,0,L77*$N$6)</f>
        <v>3.8636363636363633</v>
      </c>
      <c r="O77" s="18">
        <f>I77</f>
        <v>29.75</v>
      </c>
      <c r="P77" s="18">
        <f>H77</f>
        <v>119</v>
      </c>
    </row>
    <row r="78" spans="1:16" outlineLevel="2" x14ac:dyDescent="0.2">
      <c r="A78" s="22" t="s">
        <v>150</v>
      </c>
      <c r="B78" s="22"/>
      <c r="C78" s="22"/>
      <c r="D78" s="23" t="s">
        <v>151</v>
      </c>
      <c r="E78" s="23"/>
      <c r="F78" s="23"/>
      <c r="G78" s="8" t="s">
        <v>91</v>
      </c>
      <c r="H78" s="9">
        <v>370</v>
      </c>
      <c r="I78" s="9">
        <v>92.5</v>
      </c>
      <c r="J78" s="13">
        <f>IF(IFERROR(VLOOKUP(D78,[1]TDSheet!$A:$N,14,0),0)&gt;1,1,IFERROR(VLOOKUP(D78,[1]TDSheet!$A:$N,14,0),0))</f>
        <v>0.56802721088435371</v>
      </c>
      <c r="K78" s="15">
        <f>IFERROR(VLOOKUP(D78,[1]TDSheet!$A:$M,12,0),0)</f>
        <v>3.7954545454545454</v>
      </c>
      <c r="L78" s="15">
        <f>IFERROR(VLOOKUP(D78,[1]TDSheet!$A:$M,13,0),0)</f>
        <v>15.181818181818182</v>
      </c>
      <c r="M78" s="15">
        <f t="shared" si="5"/>
        <v>18.977272727272727</v>
      </c>
      <c r="N78" s="15">
        <f t="shared" si="6"/>
        <v>75.909090909090907</v>
      </c>
      <c r="O78" s="18">
        <f t="shared" ref="O78:O140" si="7">IF(M78&gt;H78,H78,M78)</f>
        <v>18.977272727272727</v>
      </c>
      <c r="P78" s="18">
        <f t="shared" ref="P78:P140" si="8">IF(N78&gt;I78,I78,N78)</f>
        <v>75.909090909090907</v>
      </c>
    </row>
    <row r="79" spans="1:16" outlineLevel="2" x14ac:dyDescent="0.2">
      <c r="A79" s="22" t="s">
        <v>152</v>
      </c>
      <c r="B79" s="22"/>
      <c r="C79" s="22"/>
      <c r="D79" s="23" t="s">
        <v>153</v>
      </c>
      <c r="E79" s="23"/>
      <c r="F79" s="23"/>
      <c r="G79" s="8" t="s">
        <v>91</v>
      </c>
      <c r="H79" s="11"/>
      <c r="I79" s="11"/>
      <c r="J79" s="13">
        <f>IF(IFERROR(VLOOKUP(D79,[1]TDSheet!$A:$N,14,0),0)&gt;1,1,IFERROR(VLOOKUP(D79,[1]TDSheet!$A:$N,14,0),0))</f>
        <v>5.7142857142857143E-3</v>
      </c>
      <c r="K79" s="15">
        <f>IFERROR(VLOOKUP(D79,[1]TDSheet!$A:$M,12,0),0)</f>
        <v>2.4545454545454547E-2</v>
      </c>
      <c r="L79" s="15">
        <f>IFERROR(VLOOKUP(D79,[1]TDSheet!$A:$M,13,0),0)</f>
        <v>9.0909090909090912E-2</v>
      </c>
      <c r="M79" s="15">
        <f t="shared" si="5"/>
        <v>0.12272727272727274</v>
      </c>
      <c r="N79" s="15">
        <f t="shared" si="6"/>
        <v>0.45454545454545459</v>
      </c>
      <c r="O79" s="18">
        <v>0</v>
      </c>
      <c r="P79" s="18">
        <v>0</v>
      </c>
    </row>
    <row r="80" spans="1:16" outlineLevel="2" x14ac:dyDescent="0.2">
      <c r="A80" s="22" t="s">
        <v>154</v>
      </c>
      <c r="B80" s="22"/>
      <c r="C80" s="22"/>
      <c r="D80" s="23" t="s">
        <v>155</v>
      </c>
      <c r="E80" s="23"/>
      <c r="F80" s="23"/>
      <c r="G80" s="8" t="s">
        <v>91</v>
      </c>
      <c r="H80" s="9">
        <v>12</v>
      </c>
      <c r="I80" s="9">
        <v>3.6</v>
      </c>
      <c r="J80" s="13">
        <f>IF(IFERROR(VLOOKUP(D80,[1]TDSheet!$A:$N,14,0),0)&gt;1,1,IFERROR(VLOOKUP(D80,[1]TDSheet!$A:$N,14,0),0))</f>
        <v>0.19747899159663865</v>
      </c>
      <c r="K80" s="15">
        <f>IFERROR(VLOOKUP(D80,[1]TDSheet!$A:$M,12,0),0)</f>
        <v>1.2818181818181817</v>
      </c>
      <c r="L80" s="15">
        <f>IFERROR(VLOOKUP(D80,[1]TDSheet!$A:$M,13,0),0)</f>
        <v>4.2727272727272725</v>
      </c>
      <c r="M80" s="15">
        <f t="shared" si="5"/>
        <v>6.4090909090909083</v>
      </c>
      <c r="N80" s="15">
        <f t="shared" si="6"/>
        <v>21.363636363636363</v>
      </c>
      <c r="O80" s="18">
        <f t="shared" si="7"/>
        <v>6.4090909090909083</v>
      </c>
      <c r="P80" s="18">
        <f t="shared" si="8"/>
        <v>3.6</v>
      </c>
    </row>
    <row r="81" spans="1:16" outlineLevel="2" x14ac:dyDescent="0.2">
      <c r="A81" s="22" t="s">
        <v>156</v>
      </c>
      <c r="B81" s="22"/>
      <c r="C81" s="22"/>
      <c r="D81" s="23" t="s">
        <v>157</v>
      </c>
      <c r="E81" s="23"/>
      <c r="F81" s="23"/>
      <c r="G81" s="8" t="s">
        <v>91</v>
      </c>
      <c r="H81" s="10">
        <v>2661</v>
      </c>
      <c r="I81" s="10">
        <v>1091.01</v>
      </c>
      <c r="J81" s="13">
        <f>IF(IFERROR(VLOOKUP(D81,[1]TDSheet!$A:$N,14,0),0)&gt;1,1,IFERROR(VLOOKUP(D81,[1]TDSheet!$A:$N,14,0),0))</f>
        <v>0.44748274980833119</v>
      </c>
      <c r="K81" s="15">
        <f>IFERROR(VLOOKUP(D81,[1]TDSheet!$A:$M,12,0),0)</f>
        <v>32.632272727272728</v>
      </c>
      <c r="L81" s="15">
        <f>IFERROR(VLOOKUP(D81,[1]TDSheet!$A:$M,13,0),0)</f>
        <v>79.590909090909093</v>
      </c>
      <c r="M81" s="15">
        <f t="shared" si="5"/>
        <v>163.16136363636363</v>
      </c>
      <c r="N81" s="15">
        <f t="shared" si="6"/>
        <v>397.9545454545455</v>
      </c>
      <c r="O81" s="18">
        <f t="shared" si="7"/>
        <v>163.16136363636363</v>
      </c>
      <c r="P81" s="18">
        <f t="shared" si="8"/>
        <v>397.9545454545455</v>
      </c>
    </row>
    <row r="82" spans="1:16" outlineLevel="2" x14ac:dyDescent="0.2">
      <c r="A82" s="22" t="s">
        <v>158</v>
      </c>
      <c r="B82" s="22"/>
      <c r="C82" s="22"/>
      <c r="D82" s="23" t="s">
        <v>159</v>
      </c>
      <c r="E82" s="23"/>
      <c r="F82" s="23"/>
      <c r="G82" s="8" t="s">
        <v>91</v>
      </c>
      <c r="H82" s="9">
        <v>-1</v>
      </c>
      <c r="I82" s="9">
        <v>-0.41</v>
      </c>
      <c r="J82" s="13">
        <f>IF(IFERROR(VLOOKUP(D82,[1]TDSheet!$A:$N,14,0),0)&gt;1,1,IFERROR(VLOOKUP(D82,[1]TDSheet!$A:$N,14,0),0))</f>
        <v>0</v>
      </c>
      <c r="K82" s="15">
        <f>IFERROR(VLOOKUP(D82,[1]TDSheet!$A:$M,12,0),0)</f>
        <v>0</v>
      </c>
      <c r="L82" s="15">
        <f>IFERROR(VLOOKUP(D82,[1]TDSheet!$A:$M,13,0),0)</f>
        <v>0</v>
      </c>
      <c r="M82" s="15">
        <f t="shared" si="5"/>
        <v>0</v>
      </c>
      <c r="N82" s="15">
        <f t="shared" si="6"/>
        <v>0</v>
      </c>
      <c r="O82" s="18">
        <v>0</v>
      </c>
      <c r="P82" s="18">
        <v>0</v>
      </c>
    </row>
    <row r="83" spans="1:16" outlineLevel="2" x14ac:dyDescent="0.2">
      <c r="A83" s="22" t="s">
        <v>160</v>
      </c>
      <c r="B83" s="22"/>
      <c r="C83" s="22"/>
      <c r="D83" s="23" t="s">
        <v>161</v>
      </c>
      <c r="E83" s="23"/>
      <c r="F83" s="23"/>
      <c r="G83" s="8" t="s">
        <v>91</v>
      </c>
      <c r="H83" s="9">
        <v>452</v>
      </c>
      <c r="I83" s="9">
        <v>158.19999999999999</v>
      </c>
      <c r="J83" s="13">
        <f>IF(IFERROR(VLOOKUP(D83,[1]TDSheet!$A:$N,14,0),0)&gt;1,1,IFERROR(VLOOKUP(D83,[1]TDSheet!$A:$N,14,0),0))</f>
        <v>0.62863795110593723</v>
      </c>
      <c r="K83" s="15">
        <f>IFERROR(VLOOKUP(D83,[1]TDSheet!$A:$M,12,0),0)</f>
        <v>8.5909090909090917</v>
      </c>
      <c r="L83" s="15">
        <f>IFERROR(VLOOKUP(D83,[1]TDSheet!$A:$M,13,0),0)</f>
        <v>24.545454545454547</v>
      </c>
      <c r="M83" s="15">
        <f t="shared" si="5"/>
        <v>42.95454545454546</v>
      </c>
      <c r="N83" s="15">
        <f t="shared" si="6"/>
        <v>122.72727272727273</v>
      </c>
      <c r="O83" s="18">
        <f t="shared" si="7"/>
        <v>42.95454545454546</v>
      </c>
      <c r="P83" s="18">
        <f t="shared" si="8"/>
        <v>122.72727272727273</v>
      </c>
    </row>
    <row r="84" spans="1:16" outlineLevel="2" x14ac:dyDescent="0.2">
      <c r="A84" s="22" t="s">
        <v>162</v>
      </c>
      <c r="B84" s="22"/>
      <c r="C84" s="22"/>
      <c r="D84" s="23" t="s">
        <v>163</v>
      </c>
      <c r="E84" s="23"/>
      <c r="F84" s="23"/>
      <c r="G84" s="8" t="s">
        <v>91</v>
      </c>
      <c r="H84" s="10">
        <v>1485</v>
      </c>
      <c r="I84" s="9">
        <v>608.85</v>
      </c>
      <c r="J84" s="13">
        <f>IF(IFERROR(VLOOKUP(D84,[1]TDSheet!$A:$N,14,0),0)&gt;1,1,IFERROR(VLOOKUP(D84,[1]TDSheet!$A:$N,14,0),0))</f>
        <v>0.49294045426642114</v>
      </c>
      <c r="K84" s="15">
        <f>IFERROR(VLOOKUP(D84,[1]TDSheet!$A:$M,12,0),0)</f>
        <v>29.930000000000003</v>
      </c>
      <c r="L84" s="15">
        <f>IFERROR(VLOOKUP(D84,[1]TDSheet!$A:$M,13,0),0)</f>
        <v>73</v>
      </c>
      <c r="M84" s="15">
        <f t="shared" si="5"/>
        <v>149.65</v>
      </c>
      <c r="N84" s="15">
        <f t="shared" si="6"/>
        <v>365</v>
      </c>
      <c r="O84" s="18">
        <f t="shared" si="7"/>
        <v>149.65</v>
      </c>
      <c r="P84" s="18">
        <f t="shared" si="8"/>
        <v>365</v>
      </c>
    </row>
    <row r="85" spans="1:16" outlineLevel="2" x14ac:dyDescent="0.2">
      <c r="A85" s="22" t="s">
        <v>164</v>
      </c>
      <c r="B85" s="22"/>
      <c r="C85" s="22"/>
      <c r="D85" s="23" t="s">
        <v>165</v>
      </c>
      <c r="E85" s="23"/>
      <c r="F85" s="23"/>
      <c r="G85" s="8" t="s">
        <v>91</v>
      </c>
      <c r="H85" s="9">
        <v>481</v>
      </c>
      <c r="I85" s="9">
        <v>144.30000000000001</v>
      </c>
      <c r="J85" s="13">
        <f>IF(IFERROR(VLOOKUP(D85,[1]TDSheet!$A:$N,14,0),0)&gt;1,1,IFERROR(VLOOKUP(D85,[1]TDSheet!$A:$N,14,0),0))</f>
        <v>0.60492379835873389</v>
      </c>
      <c r="K85" s="15">
        <f>IFERROR(VLOOKUP(D85,[1]TDSheet!$A:$M,12,0),0)</f>
        <v>7.036363636363637</v>
      </c>
      <c r="L85" s="15">
        <f>IFERROR(VLOOKUP(D85,[1]TDSheet!$A:$M,13,0),0)</f>
        <v>23.454545454545453</v>
      </c>
      <c r="M85" s="15">
        <f t="shared" si="5"/>
        <v>35.181818181818187</v>
      </c>
      <c r="N85" s="15">
        <f t="shared" si="6"/>
        <v>117.27272727272727</v>
      </c>
      <c r="O85" s="18">
        <f t="shared" si="7"/>
        <v>35.181818181818187</v>
      </c>
      <c r="P85" s="18">
        <f t="shared" si="8"/>
        <v>117.27272727272727</v>
      </c>
    </row>
    <row r="86" spans="1:16" outlineLevel="2" x14ac:dyDescent="0.2">
      <c r="A86" s="22" t="s">
        <v>166</v>
      </c>
      <c r="B86" s="22"/>
      <c r="C86" s="22"/>
      <c r="D86" s="23" t="s">
        <v>167</v>
      </c>
      <c r="E86" s="23"/>
      <c r="F86" s="23"/>
      <c r="G86" s="8" t="s">
        <v>91</v>
      </c>
      <c r="H86" s="9">
        <v>231</v>
      </c>
      <c r="I86" s="9">
        <v>41.58</v>
      </c>
      <c r="J86" s="13">
        <f>IF(IFERROR(VLOOKUP(D86,[1]TDSheet!$A:$N,14,0),0)&gt;1,1,IFERROR(VLOOKUP(D86,[1]TDSheet!$A:$N,14,0),0))</f>
        <v>0.69161290322580649</v>
      </c>
      <c r="K86" s="15">
        <f>IFERROR(VLOOKUP(D86,[1]TDSheet!$A:$M,12,0),0)</f>
        <v>4.3854545454545457</v>
      </c>
      <c r="L86" s="15">
        <f>IFERROR(VLOOKUP(D86,[1]TDSheet!$A:$M,13,0),0)</f>
        <v>24.363636363636363</v>
      </c>
      <c r="M86" s="15">
        <f t="shared" si="5"/>
        <v>21.927272727272729</v>
      </c>
      <c r="N86" s="15">
        <f t="shared" si="6"/>
        <v>121.81818181818181</v>
      </c>
      <c r="O86" s="18">
        <f t="shared" si="7"/>
        <v>21.927272727272729</v>
      </c>
      <c r="P86" s="18">
        <f t="shared" si="8"/>
        <v>41.58</v>
      </c>
    </row>
    <row r="87" spans="1:16" outlineLevel="2" x14ac:dyDescent="0.2">
      <c r="A87" s="22" t="s">
        <v>168</v>
      </c>
      <c r="B87" s="22"/>
      <c r="C87" s="22"/>
      <c r="D87" s="23" t="s">
        <v>169</v>
      </c>
      <c r="E87" s="23"/>
      <c r="F87" s="23"/>
      <c r="G87" s="8" t="s">
        <v>91</v>
      </c>
      <c r="H87" s="9">
        <v>262</v>
      </c>
      <c r="I87" s="9">
        <v>57.64</v>
      </c>
      <c r="J87" s="13">
        <f>IF(IFERROR(VLOOKUP(D87,[1]TDSheet!$A:$N,14,0),0)&gt;1,1,IFERROR(VLOOKUP(D87,[1]TDSheet!$A:$N,14,0),0))</f>
        <v>0</v>
      </c>
      <c r="K87" s="15">
        <f>IFERROR(VLOOKUP(D87,[1]TDSheet!$A:$M,12,0),0)</f>
        <v>0</v>
      </c>
      <c r="L87" s="15">
        <f>IFERROR(VLOOKUP(D87,[1]TDSheet!$A:$M,13,0),0)</f>
        <v>0</v>
      </c>
      <c r="M87" s="15">
        <f t="shared" si="5"/>
        <v>0</v>
      </c>
      <c r="N87" s="15">
        <f t="shared" si="6"/>
        <v>0</v>
      </c>
      <c r="O87" s="18">
        <v>0</v>
      </c>
      <c r="P87" s="18">
        <v>0</v>
      </c>
    </row>
    <row r="88" spans="1:16" outlineLevel="2" x14ac:dyDescent="0.2">
      <c r="A88" s="22" t="s">
        <v>170</v>
      </c>
      <c r="B88" s="22"/>
      <c r="C88" s="22"/>
      <c r="D88" s="23" t="s">
        <v>171</v>
      </c>
      <c r="E88" s="23"/>
      <c r="F88" s="23"/>
      <c r="G88" s="8" t="s">
        <v>91</v>
      </c>
      <c r="H88" s="9">
        <v>144</v>
      </c>
      <c r="I88" s="9">
        <v>31.68</v>
      </c>
      <c r="J88" s="13">
        <f>IF(IFERROR(VLOOKUP(D88,[1]TDSheet!$A:$N,14,0),0)&gt;1,1,IFERROR(VLOOKUP(D88,[1]TDSheet!$A:$N,14,0),0))</f>
        <v>1</v>
      </c>
      <c r="K88" s="15">
        <f>IFERROR(VLOOKUP(D88,[1]TDSheet!$A:$M,12,0),0)</f>
        <v>-0.01</v>
      </c>
      <c r="L88" s="15">
        <f>IFERROR(VLOOKUP(D88,[1]TDSheet!$A:$M,13,0),0)</f>
        <v>-4.5454545454545456E-2</v>
      </c>
      <c r="M88" s="15">
        <f t="shared" si="5"/>
        <v>0</v>
      </c>
      <c r="N88" s="15">
        <f t="shared" si="6"/>
        <v>0</v>
      </c>
      <c r="O88" s="18">
        <f>I88</f>
        <v>31.68</v>
      </c>
      <c r="P88" s="18">
        <f>H88</f>
        <v>144</v>
      </c>
    </row>
    <row r="89" spans="1:16" outlineLevel="2" x14ac:dyDescent="0.2">
      <c r="A89" s="22" t="s">
        <v>172</v>
      </c>
      <c r="B89" s="22"/>
      <c r="C89" s="22"/>
      <c r="D89" s="23" t="s">
        <v>173</v>
      </c>
      <c r="E89" s="23"/>
      <c r="F89" s="23"/>
      <c r="G89" s="8" t="s">
        <v>91</v>
      </c>
      <c r="H89" s="10">
        <v>1284</v>
      </c>
      <c r="I89" s="9">
        <v>449.4</v>
      </c>
      <c r="J89" s="13">
        <f>IF(IFERROR(VLOOKUP(D89,[1]TDSheet!$A:$N,14,0),0)&gt;1,1,IFERROR(VLOOKUP(D89,[1]TDSheet!$A:$N,14,0),0))</f>
        <v>0.61917293233082715</v>
      </c>
      <c r="K89" s="15">
        <f>IFERROR(VLOOKUP(D89,[1]TDSheet!$A:$M,12,0),0)</f>
        <v>26.202272727272728</v>
      </c>
      <c r="L89" s="15">
        <f>IFERROR(VLOOKUP(D89,[1]TDSheet!$A:$M,13,0),0)</f>
        <v>74.86363636363636</v>
      </c>
      <c r="M89" s="15">
        <f t="shared" si="5"/>
        <v>131.01136363636363</v>
      </c>
      <c r="N89" s="15">
        <f t="shared" si="6"/>
        <v>374.31818181818181</v>
      </c>
      <c r="O89" s="18">
        <f t="shared" si="7"/>
        <v>131.01136363636363</v>
      </c>
      <c r="P89" s="18">
        <f t="shared" si="8"/>
        <v>374.31818181818181</v>
      </c>
    </row>
    <row r="90" spans="1:16" outlineLevel="2" x14ac:dyDescent="0.2">
      <c r="A90" s="22" t="s">
        <v>174</v>
      </c>
      <c r="B90" s="22"/>
      <c r="C90" s="22"/>
      <c r="D90" s="23" t="s">
        <v>175</v>
      </c>
      <c r="E90" s="23"/>
      <c r="F90" s="23"/>
      <c r="G90" s="8" t="s">
        <v>91</v>
      </c>
      <c r="H90" s="9">
        <v>927</v>
      </c>
      <c r="I90" s="9">
        <v>324.45</v>
      </c>
      <c r="J90" s="13">
        <f>IF(IFERROR(VLOOKUP(D90,[1]TDSheet!$A:$N,14,0),0)&gt;1,1,IFERROR(VLOOKUP(D90,[1]TDSheet!$A:$N,14,0),0))</f>
        <v>0.54810049019607832</v>
      </c>
      <c r="K90" s="15">
        <f>IFERROR(VLOOKUP(D90,[1]TDSheet!$A:$M,12,0),0)</f>
        <v>28.461363636363636</v>
      </c>
      <c r="L90" s="15">
        <f>IFERROR(VLOOKUP(D90,[1]TDSheet!$A:$M,13,0),0)</f>
        <v>81.318181818181813</v>
      </c>
      <c r="M90" s="15">
        <f t="shared" si="5"/>
        <v>142.30681818181819</v>
      </c>
      <c r="N90" s="15">
        <f t="shared" si="6"/>
        <v>406.59090909090907</v>
      </c>
      <c r="O90" s="18">
        <f t="shared" si="7"/>
        <v>142.30681818181819</v>
      </c>
      <c r="P90" s="18">
        <f t="shared" si="8"/>
        <v>324.45</v>
      </c>
    </row>
    <row r="91" spans="1:16" outlineLevel="2" x14ac:dyDescent="0.2">
      <c r="A91" s="22" t="s">
        <v>176</v>
      </c>
      <c r="B91" s="22"/>
      <c r="C91" s="22"/>
      <c r="D91" s="23" t="s">
        <v>177</v>
      </c>
      <c r="E91" s="23"/>
      <c r="F91" s="23"/>
      <c r="G91" s="8" t="s">
        <v>91</v>
      </c>
      <c r="H91" s="9">
        <v>39</v>
      </c>
      <c r="I91" s="9">
        <v>13.65</v>
      </c>
      <c r="J91" s="13">
        <f>IF(IFERROR(VLOOKUP(D91,[1]TDSheet!$A:$N,14,0),0)&gt;1,1,IFERROR(VLOOKUP(D91,[1]TDSheet!$A:$N,14,0),0))</f>
        <v>0.5960264900662251</v>
      </c>
      <c r="K91" s="15">
        <f>IFERROR(VLOOKUP(D91,[1]TDSheet!$A:$M,12,0),0)</f>
        <v>1.4318181818181819</v>
      </c>
      <c r="L91" s="15">
        <f>IFERROR(VLOOKUP(D91,[1]TDSheet!$A:$M,13,0),0)</f>
        <v>4.0909090909090908</v>
      </c>
      <c r="M91" s="15">
        <f t="shared" si="5"/>
        <v>7.1590909090909092</v>
      </c>
      <c r="N91" s="15">
        <f t="shared" si="6"/>
        <v>20.454545454545453</v>
      </c>
      <c r="O91" s="18">
        <f t="shared" si="7"/>
        <v>7.1590909090909092</v>
      </c>
      <c r="P91" s="18">
        <f t="shared" si="8"/>
        <v>13.65</v>
      </c>
    </row>
    <row r="92" spans="1:16" outlineLevel="2" x14ac:dyDescent="0.2">
      <c r="A92" s="22" t="s">
        <v>178</v>
      </c>
      <c r="B92" s="22"/>
      <c r="C92" s="22"/>
      <c r="D92" s="23" t="s">
        <v>179</v>
      </c>
      <c r="E92" s="23"/>
      <c r="F92" s="23"/>
      <c r="G92" s="8" t="s">
        <v>91</v>
      </c>
      <c r="H92" s="9">
        <v>348</v>
      </c>
      <c r="I92" s="9">
        <v>104.4</v>
      </c>
      <c r="J92" s="13">
        <f>IF(IFERROR(VLOOKUP(D92,[1]TDSheet!$A:$N,14,0),0)&gt;1,1,IFERROR(VLOOKUP(D92,[1]TDSheet!$A:$N,14,0),0))</f>
        <v>0.4534075104311544</v>
      </c>
      <c r="K92" s="15">
        <f>IFERROR(VLOOKUP(D92,[1]TDSheet!$A:$M,12,0),0)</f>
        <v>4.4454545454545453</v>
      </c>
      <c r="L92" s="15">
        <f>IFERROR(VLOOKUP(D92,[1]TDSheet!$A:$M,13,0),0)</f>
        <v>14.818181818181818</v>
      </c>
      <c r="M92" s="15">
        <f t="shared" si="5"/>
        <v>22.227272727272727</v>
      </c>
      <c r="N92" s="15">
        <f t="shared" si="6"/>
        <v>74.090909090909093</v>
      </c>
      <c r="O92" s="18">
        <f t="shared" si="7"/>
        <v>22.227272727272727</v>
      </c>
      <c r="P92" s="18">
        <f t="shared" si="8"/>
        <v>74.090909090909093</v>
      </c>
    </row>
    <row r="93" spans="1:16" outlineLevel="2" x14ac:dyDescent="0.2">
      <c r="A93" s="22" t="s">
        <v>180</v>
      </c>
      <c r="B93" s="22"/>
      <c r="C93" s="22"/>
      <c r="D93" s="23" t="s">
        <v>181</v>
      </c>
      <c r="E93" s="23"/>
      <c r="F93" s="23"/>
      <c r="G93" s="8" t="s">
        <v>91</v>
      </c>
      <c r="H93" s="9">
        <v>6</v>
      </c>
      <c r="I93" s="9">
        <v>1.8</v>
      </c>
      <c r="J93" s="13">
        <f>IF(IFERROR(VLOOKUP(D93,[1]TDSheet!$A:$N,14,0),0)&gt;1,1,IFERROR(VLOOKUP(D93,[1]TDSheet!$A:$N,14,0),0))</f>
        <v>0.20731707317073167</v>
      </c>
      <c r="K93" s="15">
        <f>IFERROR(VLOOKUP(D93,[1]TDSheet!$A:$M,12,0),0)</f>
        <v>0.46363636363636362</v>
      </c>
      <c r="L93" s="15">
        <f>IFERROR(VLOOKUP(D93,[1]TDSheet!$A:$M,13,0),0)</f>
        <v>1.5454545454545454</v>
      </c>
      <c r="M93" s="15">
        <f t="shared" si="5"/>
        <v>2.3181818181818183</v>
      </c>
      <c r="N93" s="15">
        <f t="shared" si="6"/>
        <v>7.7272727272727266</v>
      </c>
      <c r="O93" s="18">
        <f t="shared" si="7"/>
        <v>2.3181818181818183</v>
      </c>
      <c r="P93" s="18">
        <f t="shared" si="8"/>
        <v>1.8</v>
      </c>
    </row>
    <row r="94" spans="1:16" outlineLevel="2" x14ac:dyDescent="0.2">
      <c r="A94" s="22" t="s">
        <v>182</v>
      </c>
      <c r="B94" s="22"/>
      <c r="C94" s="22"/>
      <c r="D94" s="23" t="s">
        <v>183</v>
      </c>
      <c r="E94" s="23"/>
      <c r="F94" s="23"/>
      <c r="G94" s="8" t="s">
        <v>91</v>
      </c>
      <c r="H94" s="9">
        <v>728</v>
      </c>
      <c r="I94" s="9">
        <v>203.84</v>
      </c>
      <c r="J94" s="13">
        <f>IF(IFERROR(VLOOKUP(D94,[1]TDSheet!$A:$N,14,0),0)&gt;1,1,IFERROR(VLOOKUP(D94,[1]TDSheet!$A:$N,14,0),0))</f>
        <v>0.55424836601307192</v>
      </c>
      <c r="K94" s="15">
        <f>IFERROR(VLOOKUP(D94,[1]TDSheet!$A:$M,12,0),0)</f>
        <v>10.792727272727273</v>
      </c>
      <c r="L94" s="15">
        <f>IFERROR(VLOOKUP(D94,[1]TDSheet!$A:$M,13,0),0)</f>
        <v>38.545454545454547</v>
      </c>
      <c r="M94" s="15">
        <f t="shared" si="5"/>
        <v>53.963636363636368</v>
      </c>
      <c r="N94" s="15">
        <f t="shared" si="6"/>
        <v>192.72727272727275</v>
      </c>
      <c r="O94" s="18">
        <f t="shared" si="7"/>
        <v>53.963636363636368</v>
      </c>
      <c r="P94" s="18">
        <f t="shared" si="8"/>
        <v>192.72727272727275</v>
      </c>
    </row>
    <row r="95" spans="1:16" outlineLevel="2" x14ac:dyDescent="0.2">
      <c r="A95" s="22" t="s">
        <v>184</v>
      </c>
      <c r="B95" s="22"/>
      <c r="C95" s="22"/>
      <c r="D95" s="23" t="s">
        <v>185</v>
      </c>
      <c r="E95" s="23"/>
      <c r="F95" s="23"/>
      <c r="G95" s="8" t="s">
        <v>91</v>
      </c>
      <c r="H95" s="9">
        <v>852</v>
      </c>
      <c r="I95" s="9">
        <v>238.56</v>
      </c>
      <c r="J95" s="13">
        <f>IF(IFERROR(VLOOKUP(D95,[1]TDSheet!$A:$N,14,0),0)&gt;1,1,IFERROR(VLOOKUP(D95,[1]TDSheet!$A:$N,14,0),0))</f>
        <v>0.65466101694915257</v>
      </c>
      <c r="K95" s="15">
        <f>IFERROR(VLOOKUP(D95,[1]TDSheet!$A:$M,12,0),0)</f>
        <v>15.730909090909091</v>
      </c>
      <c r="L95" s="15">
        <f>IFERROR(VLOOKUP(D95,[1]TDSheet!$A:$M,13,0),0)</f>
        <v>56.18181818181818</v>
      </c>
      <c r="M95" s="15">
        <f t="shared" si="5"/>
        <v>78.654545454545456</v>
      </c>
      <c r="N95" s="15">
        <f t="shared" si="6"/>
        <v>280.90909090909088</v>
      </c>
      <c r="O95" s="18">
        <f t="shared" si="7"/>
        <v>78.654545454545456</v>
      </c>
      <c r="P95" s="18">
        <f t="shared" si="8"/>
        <v>238.56</v>
      </c>
    </row>
    <row r="96" spans="1:16" outlineLevel="2" x14ac:dyDescent="0.2">
      <c r="A96" s="22" t="s">
        <v>186</v>
      </c>
      <c r="B96" s="22"/>
      <c r="C96" s="22"/>
      <c r="D96" s="23" t="s">
        <v>187</v>
      </c>
      <c r="E96" s="23"/>
      <c r="F96" s="23"/>
      <c r="G96" s="8" t="s">
        <v>91</v>
      </c>
      <c r="H96" s="9">
        <v>284</v>
      </c>
      <c r="I96" s="9">
        <v>88.04</v>
      </c>
      <c r="J96" s="13">
        <f>IF(IFERROR(VLOOKUP(D96,[1]TDSheet!$A:$N,14,0),0)&gt;1,1,IFERROR(VLOOKUP(D96,[1]TDSheet!$A:$N,14,0),0))</f>
        <v>1</v>
      </c>
      <c r="K96" s="15">
        <f>IFERROR(VLOOKUP(D96,[1]TDSheet!$A:$M,12,0),0)</f>
        <v>2.8181818181818183E-2</v>
      </c>
      <c r="L96" s="15">
        <f>IFERROR(VLOOKUP(D96,[1]TDSheet!$A:$M,13,0),0)</f>
        <v>9.0909090909090912E-2</v>
      </c>
      <c r="M96" s="15">
        <f t="shared" si="5"/>
        <v>0.14090909090909093</v>
      </c>
      <c r="N96" s="15">
        <f t="shared" si="6"/>
        <v>0.45454545454545459</v>
      </c>
      <c r="O96" s="18">
        <f>I96</f>
        <v>88.04</v>
      </c>
      <c r="P96" s="18">
        <f>H96</f>
        <v>284</v>
      </c>
    </row>
    <row r="97" spans="1:16" outlineLevel="2" x14ac:dyDescent="0.2">
      <c r="A97" s="22" t="s">
        <v>188</v>
      </c>
      <c r="B97" s="22"/>
      <c r="C97" s="22"/>
      <c r="D97" s="23" t="s">
        <v>189</v>
      </c>
      <c r="E97" s="23"/>
      <c r="F97" s="23"/>
      <c r="G97" s="8" t="s">
        <v>91</v>
      </c>
      <c r="H97" s="9">
        <v>358</v>
      </c>
      <c r="I97" s="9">
        <v>100.24</v>
      </c>
      <c r="J97" s="13">
        <f>IF(IFERROR(VLOOKUP(D97,[1]TDSheet!$A:$N,14,0),0)&gt;1,1,IFERROR(VLOOKUP(D97,[1]TDSheet!$A:$N,14,0),0))</f>
        <v>0.65590062111801239</v>
      </c>
      <c r="K97" s="15">
        <f>IFERROR(VLOOKUP(D97,[1]TDSheet!$A:$M,12,0),0)</f>
        <v>13.44</v>
      </c>
      <c r="L97" s="15">
        <f>IFERROR(VLOOKUP(D97,[1]TDSheet!$A:$M,13,0),0)</f>
        <v>48</v>
      </c>
      <c r="M97" s="15">
        <f t="shared" si="5"/>
        <v>67.2</v>
      </c>
      <c r="N97" s="15">
        <f t="shared" si="6"/>
        <v>240</v>
      </c>
      <c r="O97" s="18">
        <f t="shared" si="7"/>
        <v>67.2</v>
      </c>
      <c r="P97" s="18">
        <f t="shared" si="8"/>
        <v>100.24</v>
      </c>
    </row>
    <row r="98" spans="1:16" outlineLevel="2" x14ac:dyDescent="0.2">
      <c r="A98" s="22" t="s">
        <v>190</v>
      </c>
      <c r="B98" s="22"/>
      <c r="C98" s="22"/>
      <c r="D98" s="23" t="s">
        <v>191</v>
      </c>
      <c r="E98" s="23"/>
      <c r="F98" s="23"/>
      <c r="G98" s="8" t="s">
        <v>91</v>
      </c>
      <c r="H98" s="10">
        <v>1883</v>
      </c>
      <c r="I98" s="9">
        <v>753.2</v>
      </c>
      <c r="J98" s="13">
        <f>IF(IFERROR(VLOOKUP(D98,[1]TDSheet!$A:$N,14,0),0)&gt;1,1,IFERROR(VLOOKUP(D98,[1]TDSheet!$A:$N,14,0),0))</f>
        <v>0.53124018838304554</v>
      </c>
      <c r="K98" s="15">
        <f>IFERROR(VLOOKUP(D98,[1]TDSheet!$A:$M,12,0),0)</f>
        <v>30.763636363636362</v>
      </c>
      <c r="L98" s="15">
        <f>IFERROR(VLOOKUP(D98,[1]TDSheet!$A:$M,13,0),0)</f>
        <v>76.909090909090907</v>
      </c>
      <c r="M98" s="15">
        <f t="shared" si="5"/>
        <v>153.81818181818181</v>
      </c>
      <c r="N98" s="15">
        <f t="shared" si="6"/>
        <v>384.5454545454545</v>
      </c>
      <c r="O98" s="18">
        <f t="shared" si="7"/>
        <v>153.81818181818181</v>
      </c>
      <c r="P98" s="18">
        <f t="shared" si="8"/>
        <v>384.5454545454545</v>
      </c>
    </row>
    <row r="99" spans="1:16" outlineLevel="2" x14ac:dyDescent="0.2">
      <c r="A99" s="22" t="s">
        <v>192</v>
      </c>
      <c r="B99" s="22"/>
      <c r="C99" s="22"/>
      <c r="D99" s="23" t="s">
        <v>193</v>
      </c>
      <c r="E99" s="23"/>
      <c r="F99" s="23"/>
      <c r="G99" s="8" t="s">
        <v>91</v>
      </c>
      <c r="H99" s="9">
        <v>-6</v>
      </c>
      <c r="I99" s="9">
        <v>-1.98</v>
      </c>
      <c r="J99" s="13">
        <f>IF(IFERROR(VLOOKUP(D99,[1]TDSheet!$A:$N,14,0),0)&gt;1,1,IFERROR(VLOOKUP(D99,[1]TDSheet!$A:$N,14,0),0))</f>
        <v>0</v>
      </c>
      <c r="K99" s="15">
        <f>IFERROR(VLOOKUP(D99,[1]TDSheet!$A:$M,12,0),0)</f>
        <v>0</v>
      </c>
      <c r="L99" s="15">
        <f>IFERROR(VLOOKUP(D99,[1]TDSheet!$A:$M,13,0),0)</f>
        <v>0</v>
      </c>
      <c r="M99" s="15">
        <f t="shared" si="5"/>
        <v>0</v>
      </c>
      <c r="N99" s="15">
        <f t="shared" si="6"/>
        <v>0</v>
      </c>
      <c r="O99" s="18">
        <v>0</v>
      </c>
      <c r="P99" s="18">
        <v>0</v>
      </c>
    </row>
    <row r="100" spans="1:16" outlineLevel="2" x14ac:dyDescent="0.2">
      <c r="A100" s="22" t="s">
        <v>194</v>
      </c>
      <c r="B100" s="22"/>
      <c r="C100" s="22"/>
      <c r="D100" s="23" t="s">
        <v>195</v>
      </c>
      <c r="E100" s="23"/>
      <c r="F100" s="23"/>
      <c r="G100" s="8" t="s">
        <v>91</v>
      </c>
      <c r="H100" s="9">
        <v>3</v>
      </c>
      <c r="I100" s="9">
        <v>0.84</v>
      </c>
      <c r="J100" s="13">
        <f>IF(IFERROR(VLOOKUP(D100,[1]TDSheet!$A:$N,14,0),0)&gt;1,1,IFERROR(VLOOKUP(D100,[1]TDSheet!$A:$N,14,0),0))</f>
        <v>9.45945945945946E-2</v>
      </c>
      <c r="K100" s="15">
        <f>IFERROR(VLOOKUP(D100,[1]TDSheet!$A:$M,12,0),0)</f>
        <v>8.9090909090909096E-2</v>
      </c>
      <c r="L100" s="15">
        <f>IFERROR(VLOOKUP(D100,[1]TDSheet!$A:$M,13,0),0)</f>
        <v>0.31818181818181818</v>
      </c>
      <c r="M100" s="15">
        <f t="shared" si="5"/>
        <v>0.44545454545454549</v>
      </c>
      <c r="N100" s="15">
        <f t="shared" si="6"/>
        <v>1.5909090909090908</v>
      </c>
      <c r="O100" s="18">
        <v>0</v>
      </c>
      <c r="P100" s="18">
        <v>0</v>
      </c>
    </row>
    <row r="101" spans="1:16" outlineLevel="2" x14ac:dyDescent="0.2">
      <c r="A101" s="22" t="s">
        <v>196</v>
      </c>
      <c r="B101" s="22"/>
      <c r="C101" s="22"/>
      <c r="D101" s="23" t="s">
        <v>197</v>
      </c>
      <c r="E101" s="23"/>
      <c r="F101" s="23"/>
      <c r="G101" s="8" t="s">
        <v>91</v>
      </c>
      <c r="H101" s="9">
        <v>280</v>
      </c>
      <c r="I101" s="9">
        <v>112</v>
      </c>
      <c r="J101" s="13">
        <f>IF(IFERROR(VLOOKUP(D101,[1]TDSheet!$A:$N,14,0),0)&gt;1,1,IFERROR(VLOOKUP(D101,[1]TDSheet!$A:$N,14,0),0))</f>
        <v>0</v>
      </c>
      <c r="K101" s="15">
        <f>IFERROR(VLOOKUP(D101,[1]TDSheet!$A:$M,12,0),0)</f>
        <v>0</v>
      </c>
      <c r="L101" s="15">
        <f>IFERROR(VLOOKUP(D101,[1]TDSheet!$A:$M,13,0),0)</f>
        <v>0</v>
      </c>
      <c r="M101" s="15">
        <f t="shared" si="5"/>
        <v>0</v>
      </c>
      <c r="N101" s="15">
        <f t="shared" si="6"/>
        <v>0</v>
      </c>
      <c r="O101" s="18">
        <v>0</v>
      </c>
      <c r="P101" s="18">
        <v>0</v>
      </c>
    </row>
    <row r="102" spans="1:16" outlineLevel="2" x14ac:dyDescent="0.2">
      <c r="A102" s="22" t="s">
        <v>198</v>
      </c>
      <c r="B102" s="22"/>
      <c r="C102" s="22"/>
      <c r="D102" s="23" t="s">
        <v>199</v>
      </c>
      <c r="E102" s="23"/>
      <c r="F102" s="23"/>
      <c r="G102" s="8" t="s">
        <v>91</v>
      </c>
      <c r="H102" s="9">
        <v>248</v>
      </c>
      <c r="I102" s="9">
        <v>83.823999999999998</v>
      </c>
      <c r="J102" s="13">
        <f>IF(IFERROR(VLOOKUP(D102,[1]TDSheet!$A:$N,14,0),0)&gt;1,1,IFERROR(VLOOKUP(D102,[1]TDSheet!$A:$N,14,0),0))</f>
        <v>0</v>
      </c>
      <c r="K102" s="15">
        <f>IFERROR(VLOOKUP(D102,[1]TDSheet!$A:$M,12,0),0)</f>
        <v>0</v>
      </c>
      <c r="L102" s="15">
        <f>IFERROR(VLOOKUP(D102,[1]TDSheet!$A:$M,13,0),0)</f>
        <v>0</v>
      </c>
      <c r="M102" s="15">
        <f t="shared" si="5"/>
        <v>0</v>
      </c>
      <c r="N102" s="15">
        <f t="shared" si="6"/>
        <v>0</v>
      </c>
      <c r="O102" s="18">
        <v>0</v>
      </c>
      <c r="P102" s="18">
        <v>0</v>
      </c>
    </row>
    <row r="103" spans="1:16" outlineLevel="2" x14ac:dyDescent="0.2">
      <c r="A103" s="22" t="s">
        <v>200</v>
      </c>
      <c r="B103" s="22"/>
      <c r="C103" s="22"/>
      <c r="D103" s="23" t="s">
        <v>201</v>
      </c>
      <c r="E103" s="23"/>
      <c r="F103" s="23"/>
      <c r="G103" s="8" t="s">
        <v>91</v>
      </c>
      <c r="H103" s="9">
        <v>259</v>
      </c>
      <c r="I103" s="9">
        <v>84.174999999999997</v>
      </c>
      <c r="J103" s="13">
        <f>IF(IFERROR(VLOOKUP(D103,[1]TDSheet!$A:$N,14,0),0)&gt;1,1,IFERROR(VLOOKUP(D103,[1]TDSheet!$A:$N,14,0),0))</f>
        <v>0</v>
      </c>
      <c r="K103" s="15">
        <f>IFERROR(VLOOKUP(D103,[1]TDSheet!$A:$M,12,0),0)</f>
        <v>0</v>
      </c>
      <c r="L103" s="15">
        <f>IFERROR(VLOOKUP(D103,[1]TDSheet!$A:$M,13,0),0)</f>
        <v>0</v>
      </c>
      <c r="M103" s="15">
        <f t="shared" si="5"/>
        <v>0</v>
      </c>
      <c r="N103" s="15">
        <f t="shared" si="6"/>
        <v>0</v>
      </c>
      <c r="O103" s="18">
        <v>0</v>
      </c>
      <c r="P103" s="18">
        <v>0</v>
      </c>
    </row>
    <row r="104" spans="1:16" outlineLevel="2" x14ac:dyDescent="0.2">
      <c r="A104" s="22" t="s">
        <v>202</v>
      </c>
      <c r="B104" s="22"/>
      <c r="C104" s="22"/>
      <c r="D104" s="23" t="s">
        <v>203</v>
      </c>
      <c r="E104" s="23"/>
      <c r="F104" s="23"/>
      <c r="G104" s="8" t="s">
        <v>91</v>
      </c>
      <c r="H104" s="9">
        <v>355</v>
      </c>
      <c r="I104" s="9">
        <v>42.6</v>
      </c>
      <c r="J104" s="13">
        <f>IF(IFERROR(VLOOKUP(D104,[1]TDSheet!$A:$N,14,0),0)&gt;1,1,IFERROR(VLOOKUP(D104,[1]TDSheet!$A:$N,14,0),0))</f>
        <v>0.54972375690607733</v>
      </c>
      <c r="K104" s="15">
        <f>IFERROR(VLOOKUP(D104,[1]TDSheet!$A:$M,12,0),0)</f>
        <v>4.3418181818181818</v>
      </c>
      <c r="L104" s="15">
        <f>IFERROR(VLOOKUP(D104,[1]TDSheet!$A:$M,13,0),0)</f>
        <v>36.18181818181818</v>
      </c>
      <c r="M104" s="15">
        <f t="shared" si="5"/>
        <v>21.709090909090911</v>
      </c>
      <c r="N104" s="15">
        <f t="shared" si="6"/>
        <v>180.90909090909091</v>
      </c>
      <c r="O104" s="18">
        <f t="shared" si="7"/>
        <v>21.709090909090911</v>
      </c>
      <c r="P104" s="18">
        <f t="shared" si="8"/>
        <v>42.6</v>
      </c>
    </row>
    <row r="105" spans="1:16" outlineLevel="2" x14ac:dyDescent="0.2">
      <c r="A105" s="22" t="s">
        <v>204</v>
      </c>
      <c r="B105" s="22"/>
      <c r="C105" s="22"/>
      <c r="D105" s="23" t="s">
        <v>205</v>
      </c>
      <c r="E105" s="23"/>
      <c r="F105" s="23"/>
      <c r="G105" s="8" t="s">
        <v>91</v>
      </c>
      <c r="H105" s="9">
        <v>189</v>
      </c>
      <c r="I105" s="9">
        <v>28.35</v>
      </c>
      <c r="J105" s="13">
        <f>IF(IFERROR(VLOOKUP(D105,[1]TDSheet!$A:$N,14,0),0)&gt;1,1,IFERROR(VLOOKUP(D105,[1]TDSheet!$A:$N,14,0),0))</f>
        <v>0.65546218487394947</v>
      </c>
      <c r="K105" s="15">
        <f>IFERROR(VLOOKUP(D105,[1]TDSheet!$A:$M,12,0),0)</f>
        <v>0.53181818181818175</v>
      </c>
      <c r="L105" s="15">
        <f>IFERROR(VLOOKUP(D105,[1]TDSheet!$A:$M,13,0),0)</f>
        <v>3.5454545454545454</v>
      </c>
      <c r="M105" s="15">
        <f t="shared" si="5"/>
        <v>2.6590909090909087</v>
      </c>
      <c r="N105" s="15">
        <f t="shared" si="6"/>
        <v>17.727272727272727</v>
      </c>
      <c r="O105" s="18">
        <f t="shared" si="7"/>
        <v>2.6590909090909087</v>
      </c>
      <c r="P105" s="18">
        <f t="shared" si="8"/>
        <v>17.727272727272727</v>
      </c>
    </row>
    <row r="106" spans="1:16" outlineLevel="2" x14ac:dyDescent="0.2">
      <c r="A106" s="22" t="s">
        <v>206</v>
      </c>
      <c r="B106" s="22"/>
      <c r="C106" s="22"/>
      <c r="D106" s="23" t="s">
        <v>207</v>
      </c>
      <c r="E106" s="23"/>
      <c r="F106" s="23"/>
      <c r="G106" s="8" t="s">
        <v>91</v>
      </c>
      <c r="H106" s="9">
        <v>22</v>
      </c>
      <c r="I106" s="9">
        <v>3.3</v>
      </c>
      <c r="J106" s="13">
        <f>IF(IFERROR(VLOOKUP(D106,[1]TDSheet!$A:$N,14,0),0)&gt;1,1,IFERROR(VLOOKUP(D106,[1]TDSheet!$A:$N,14,0),0))</f>
        <v>0.15384615384615385</v>
      </c>
      <c r="K106" s="15">
        <f>IFERROR(VLOOKUP(D106,[1]TDSheet!$A:$M,12,0),0)</f>
        <v>4.0909090909090909E-2</v>
      </c>
      <c r="L106" s="15">
        <f>IFERROR(VLOOKUP(D106,[1]TDSheet!$A:$M,13,0),0)</f>
        <v>0.27272727272727271</v>
      </c>
      <c r="M106" s="15">
        <f t="shared" si="5"/>
        <v>0.20454545454545453</v>
      </c>
      <c r="N106" s="15">
        <f t="shared" si="6"/>
        <v>1.3636363636363635</v>
      </c>
      <c r="O106" s="18">
        <f t="shared" si="7"/>
        <v>0.20454545454545453</v>
      </c>
      <c r="P106" s="18">
        <f t="shared" si="8"/>
        <v>1.3636363636363635</v>
      </c>
    </row>
    <row r="107" spans="1:16" outlineLevel="2" x14ac:dyDescent="0.2">
      <c r="A107" s="22" t="s">
        <v>208</v>
      </c>
      <c r="B107" s="22"/>
      <c r="C107" s="22"/>
      <c r="D107" s="23" t="s">
        <v>209</v>
      </c>
      <c r="E107" s="23"/>
      <c r="F107" s="23"/>
      <c r="G107" s="8" t="s">
        <v>91</v>
      </c>
      <c r="H107" s="9">
        <v>122</v>
      </c>
      <c r="I107" s="9">
        <v>40.26</v>
      </c>
      <c r="J107" s="13">
        <f>IF(IFERROR(VLOOKUP(D107,[1]TDSheet!$A:$N,14,0),0)&gt;1,1,IFERROR(VLOOKUP(D107,[1]TDSheet!$A:$N,14,0),0))</f>
        <v>0.40757575757575754</v>
      </c>
      <c r="K107" s="15">
        <f>IFERROR(VLOOKUP(D107,[1]TDSheet!$A:$M,12,0),0)</f>
        <v>4.0350000000000001</v>
      </c>
      <c r="L107" s="15">
        <f>IFERROR(VLOOKUP(D107,[1]TDSheet!$A:$M,13,0),0)</f>
        <v>12.227272727272727</v>
      </c>
      <c r="M107" s="15">
        <f t="shared" si="5"/>
        <v>20.175000000000001</v>
      </c>
      <c r="N107" s="15">
        <f t="shared" si="6"/>
        <v>61.136363636363633</v>
      </c>
      <c r="O107" s="18">
        <f t="shared" si="7"/>
        <v>20.175000000000001</v>
      </c>
      <c r="P107" s="18">
        <f t="shared" si="8"/>
        <v>40.26</v>
      </c>
    </row>
    <row r="108" spans="1:16" outlineLevel="2" x14ac:dyDescent="0.2">
      <c r="A108" s="22" t="s">
        <v>210</v>
      </c>
      <c r="B108" s="22"/>
      <c r="C108" s="22"/>
      <c r="D108" s="23" t="s">
        <v>211</v>
      </c>
      <c r="E108" s="23"/>
      <c r="F108" s="23"/>
      <c r="G108" s="8" t="s">
        <v>91</v>
      </c>
      <c r="H108" s="9">
        <v>9</v>
      </c>
      <c r="I108" s="9">
        <v>1.35</v>
      </c>
      <c r="J108" s="13">
        <f>IF(IFERROR(VLOOKUP(D108,[1]TDSheet!$A:$N,14,0),0)&gt;1,1,IFERROR(VLOOKUP(D108,[1]TDSheet!$A:$N,14,0),0))</f>
        <v>0.3141891891891892</v>
      </c>
      <c r="K108" s="15">
        <f>IFERROR(VLOOKUP(D108,[1]TDSheet!$A:$M,12,0),0)</f>
        <v>0.63409090909090904</v>
      </c>
      <c r="L108" s="15">
        <f>IFERROR(VLOOKUP(D108,[1]TDSheet!$A:$M,13,0),0)</f>
        <v>4.2272727272727275</v>
      </c>
      <c r="M108" s="15">
        <f t="shared" si="5"/>
        <v>3.170454545454545</v>
      </c>
      <c r="N108" s="15">
        <f t="shared" si="6"/>
        <v>21.136363636363637</v>
      </c>
      <c r="O108" s="18">
        <f t="shared" si="7"/>
        <v>3.170454545454545</v>
      </c>
      <c r="P108" s="18">
        <f t="shared" si="8"/>
        <v>1.35</v>
      </c>
    </row>
    <row r="109" spans="1:16" outlineLevel="2" x14ac:dyDescent="0.2">
      <c r="A109" s="22" t="s">
        <v>212</v>
      </c>
      <c r="B109" s="22"/>
      <c r="C109" s="22"/>
      <c r="D109" s="23" t="s">
        <v>213</v>
      </c>
      <c r="E109" s="23"/>
      <c r="F109" s="23"/>
      <c r="G109" s="8" t="s">
        <v>91</v>
      </c>
      <c r="H109" s="9">
        <v>128</v>
      </c>
      <c r="I109" s="9">
        <v>35.840000000000003</v>
      </c>
      <c r="J109" s="13">
        <f>IF(IFERROR(VLOOKUP(D109,[1]TDSheet!$A:$N,14,0),0)&gt;1,1,IFERROR(VLOOKUP(D109,[1]TDSheet!$A:$N,14,0),0))</f>
        <v>0</v>
      </c>
      <c r="K109" s="15">
        <f>IFERROR(VLOOKUP(D109,[1]TDSheet!$A:$M,12,0),0)</f>
        <v>0</v>
      </c>
      <c r="L109" s="15">
        <f>IFERROR(VLOOKUP(D109,[1]TDSheet!$A:$M,13,0),0)</f>
        <v>0</v>
      </c>
      <c r="M109" s="15">
        <f t="shared" si="5"/>
        <v>0</v>
      </c>
      <c r="N109" s="15">
        <f t="shared" si="6"/>
        <v>0</v>
      </c>
      <c r="O109" s="18">
        <v>0</v>
      </c>
      <c r="P109" s="18">
        <v>0</v>
      </c>
    </row>
    <row r="110" spans="1:16" outlineLevel="2" x14ac:dyDescent="0.2">
      <c r="A110" s="22" t="s">
        <v>214</v>
      </c>
      <c r="B110" s="22"/>
      <c r="C110" s="22"/>
      <c r="D110" s="23" t="s">
        <v>215</v>
      </c>
      <c r="E110" s="23"/>
      <c r="F110" s="23"/>
      <c r="G110" s="8" t="s">
        <v>91</v>
      </c>
      <c r="H110" s="9">
        <v>100</v>
      </c>
      <c r="I110" s="9">
        <v>26</v>
      </c>
      <c r="J110" s="13">
        <f>IF(IFERROR(VLOOKUP(D110,[1]TDSheet!$A:$N,14,0),0)&gt;1,1,IFERROR(VLOOKUP(D110,[1]TDSheet!$A:$N,14,0),0))</f>
        <v>0.51412429378531066</v>
      </c>
      <c r="K110" s="15">
        <f>IFERROR(VLOOKUP(D110,[1]TDSheet!$A:$M,12,0),0)</f>
        <v>1.0754545454545454</v>
      </c>
      <c r="L110" s="15">
        <f>IFERROR(VLOOKUP(D110,[1]TDSheet!$A:$M,13,0),0)</f>
        <v>4.1363636363636367</v>
      </c>
      <c r="M110" s="15">
        <f t="shared" si="5"/>
        <v>5.377272727272727</v>
      </c>
      <c r="N110" s="15">
        <f t="shared" si="6"/>
        <v>20.681818181818183</v>
      </c>
      <c r="O110" s="18">
        <f t="shared" si="7"/>
        <v>5.377272727272727</v>
      </c>
      <c r="P110" s="18">
        <f t="shared" si="8"/>
        <v>20.681818181818183</v>
      </c>
    </row>
    <row r="111" spans="1:16" outlineLevel="2" x14ac:dyDescent="0.2">
      <c r="A111" s="22" t="s">
        <v>216</v>
      </c>
      <c r="B111" s="22"/>
      <c r="C111" s="22"/>
      <c r="D111" s="23" t="s">
        <v>217</v>
      </c>
      <c r="E111" s="23"/>
      <c r="F111" s="23"/>
      <c r="G111" s="8" t="s">
        <v>91</v>
      </c>
      <c r="H111" s="9">
        <v>91</v>
      </c>
      <c r="I111" s="9">
        <v>28.21</v>
      </c>
      <c r="J111" s="13">
        <f>IF(IFERROR(VLOOKUP(D111,[1]TDSheet!$A:$N,14,0),0)&gt;1,1,IFERROR(VLOOKUP(D111,[1]TDSheet!$A:$N,14,0),0))</f>
        <v>0.4705882352941177</v>
      </c>
      <c r="K111" s="15">
        <f>IFERROR(VLOOKUP(D111,[1]TDSheet!$A:$M,12,0),0)</f>
        <v>1.24</v>
      </c>
      <c r="L111" s="15">
        <f>IFERROR(VLOOKUP(D111,[1]TDSheet!$A:$M,13,0),0)</f>
        <v>4</v>
      </c>
      <c r="M111" s="15">
        <f t="shared" si="5"/>
        <v>6.2</v>
      </c>
      <c r="N111" s="15">
        <f t="shared" si="6"/>
        <v>20</v>
      </c>
      <c r="O111" s="18">
        <f t="shared" si="7"/>
        <v>6.2</v>
      </c>
      <c r="P111" s="18">
        <f t="shared" si="8"/>
        <v>20</v>
      </c>
    </row>
    <row r="112" spans="1:16" outlineLevel="2" x14ac:dyDescent="0.2">
      <c r="A112" s="22" t="s">
        <v>218</v>
      </c>
      <c r="B112" s="22"/>
      <c r="C112" s="22"/>
      <c r="D112" s="23" t="s">
        <v>219</v>
      </c>
      <c r="E112" s="23"/>
      <c r="F112" s="23"/>
      <c r="G112" s="8" t="s">
        <v>91</v>
      </c>
      <c r="H112" s="9">
        <v>596</v>
      </c>
      <c r="I112" s="9">
        <v>238.4</v>
      </c>
      <c r="J112" s="13">
        <f>IF(IFERROR(VLOOKUP(D112,[1]TDSheet!$A:$N,14,0),0)&gt;1,1,IFERROR(VLOOKUP(D112,[1]TDSheet!$A:$N,14,0),0))</f>
        <v>0.68349514563106806</v>
      </c>
      <c r="K112" s="15">
        <f>IFERROR(VLOOKUP(D112,[1]TDSheet!$A:$M,12,0),0)</f>
        <v>12.8</v>
      </c>
      <c r="L112" s="15">
        <f>IFERROR(VLOOKUP(D112,[1]TDSheet!$A:$M,13,0),0)</f>
        <v>32</v>
      </c>
      <c r="M112" s="15">
        <f t="shared" si="5"/>
        <v>64</v>
      </c>
      <c r="N112" s="15">
        <f t="shared" si="6"/>
        <v>160</v>
      </c>
      <c r="O112" s="18">
        <f t="shared" si="7"/>
        <v>64</v>
      </c>
      <c r="P112" s="18">
        <f t="shared" si="8"/>
        <v>160</v>
      </c>
    </row>
    <row r="113" spans="1:16" outlineLevel="2" x14ac:dyDescent="0.2">
      <c r="A113" s="22" t="s">
        <v>220</v>
      </c>
      <c r="B113" s="22"/>
      <c r="C113" s="22"/>
      <c r="D113" s="23" t="s">
        <v>221</v>
      </c>
      <c r="E113" s="23"/>
      <c r="F113" s="23"/>
      <c r="G113" s="8" t="s">
        <v>91</v>
      </c>
      <c r="H113" s="9">
        <v>128</v>
      </c>
      <c r="I113" s="9">
        <v>44.8</v>
      </c>
      <c r="J113" s="13">
        <f>IF(IFERROR(VLOOKUP(D113,[1]TDSheet!$A:$N,14,0),0)&gt;1,1,IFERROR(VLOOKUP(D113,[1]TDSheet!$A:$N,14,0),0))</f>
        <v>0.5</v>
      </c>
      <c r="K113" s="15">
        <f>IFERROR(VLOOKUP(D113,[1]TDSheet!$A:$M,12,0),0)</f>
        <v>0.63636363636363635</v>
      </c>
      <c r="L113" s="15">
        <f>IFERROR(VLOOKUP(D113,[1]TDSheet!$A:$M,13,0),0)</f>
        <v>1.8181818181818181</v>
      </c>
      <c r="M113" s="15">
        <f t="shared" si="5"/>
        <v>3.1818181818181817</v>
      </c>
      <c r="N113" s="15">
        <f t="shared" si="6"/>
        <v>9.0909090909090899</v>
      </c>
      <c r="O113" s="18">
        <f t="shared" si="7"/>
        <v>3.1818181818181817</v>
      </c>
      <c r="P113" s="18">
        <f t="shared" si="8"/>
        <v>9.0909090909090899</v>
      </c>
    </row>
    <row r="114" spans="1:16" outlineLevel="2" x14ac:dyDescent="0.2">
      <c r="A114" s="22" t="s">
        <v>222</v>
      </c>
      <c r="B114" s="22"/>
      <c r="C114" s="22"/>
      <c r="D114" s="23" t="s">
        <v>223</v>
      </c>
      <c r="E114" s="23"/>
      <c r="F114" s="23"/>
      <c r="G114" s="8" t="s">
        <v>91</v>
      </c>
      <c r="H114" s="9">
        <v>158</v>
      </c>
      <c r="I114" s="9">
        <v>41.712000000000003</v>
      </c>
      <c r="J114" s="13">
        <f>IF(IFERROR(VLOOKUP(D114,[1]TDSheet!$A:$N,14,0),0)&gt;1,1,IFERROR(VLOOKUP(D114,[1]TDSheet!$A:$N,14,0),0))</f>
        <v>0.42307692307692307</v>
      </c>
      <c r="K114" s="15">
        <f>IFERROR(VLOOKUP(D114,[1]TDSheet!$A:$M,12,0),0)</f>
        <v>0.13200000000000001</v>
      </c>
      <c r="L114" s="15">
        <f>IFERROR(VLOOKUP(D114,[1]TDSheet!$A:$M,13,0),0)</f>
        <v>0.5</v>
      </c>
      <c r="M114" s="15">
        <f t="shared" si="5"/>
        <v>0.66</v>
      </c>
      <c r="N114" s="15">
        <f t="shared" si="6"/>
        <v>2.5</v>
      </c>
      <c r="O114" s="18">
        <f t="shared" si="7"/>
        <v>0.66</v>
      </c>
      <c r="P114" s="18">
        <f t="shared" si="8"/>
        <v>2.5</v>
      </c>
    </row>
    <row r="115" spans="1:16" outlineLevel="2" x14ac:dyDescent="0.2">
      <c r="A115" s="22" t="s">
        <v>224</v>
      </c>
      <c r="B115" s="22"/>
      <c r="C115" s="22"/>
      <c r="D115" s="23" t="s">
        <v>225</v>
      </c>
      <c r="E115" s="23"/>
      <c r="F115" s="23"/>
      <c r="G115" s="8" t="s">
        <v>91</v>
      </c>
      <c r="H115" s="9">
        <v>316</v>
      </c>
      <c r="I115" s="9">
        <v>104.28</v>
      </c>
      <c r="J115" s="13">
        <f>IF(IFERROR(VLOOKUP(D115,[1]TDSheet!$A:$N,14,0),0)&gt;1,1,IFERROR(VLOOKUP(D115,[1]TDSheet!$A:$N,14,0),0))</f>
        <v>0.7021276595744681</v>
      </c>
      <c r="K115" s="15">
        <f>IFERROR(VLOOKUP(D115,[1]TDSheet!$A:$M,12,0),0)</f>
        <v>0.9900000000000001</v>
      </c>
      <c r="L115" s="15">
        <f>IFERROR(VLOOKUP(D115,[1]TDSheet!$A:$M,13,0),0)</f>
        <v>3</v>
      </c>
      <c r="M115" s="15">
        <f t="shared" si="5"/>
        <v>4.95</v>
      </c>
      <c r="N115" s="15">
        <f t="shared" si="6"/>
        <v>15</v>
      </c>
      <c r="O115" s="18">
        <f t="shared" si="7"/>
        <v>4.95</v>
      </c>
      <c r="P115" s="18">
        <f t="shared" si="8"/>
        <v>15</v>
      </c>
    </row>
    <row r="116" spans="1:16" outlineLevel="2" x14ac:dyDescent="0.2">
      <c r="A116" s="22" t="s">
        <v>226</v>
      </c>
      <c r="B116" s="22"/>
      <c r="C116" s="22"/>
      <c r="D116" s="23" t="s">
        <v>227</v>
      </c>
      <c r="E116" s="23"/>
      <c r="F116" s="23"/>
      <c r="G116" s="8" t="s">
        <v>91</v>
      </c>
      <c r="H116" s="9">
        <v>46</v>
      </c>
      <c r="I116" s="9">
        <v>4.5999999999999996</v>
      </c>
      <c r="J116" s="13">
        <f>IF(IFERROR(VLOOKUP(D116,[1]TDSheet!$A:$N,14,0),0)&gt;1,1,IFERROR(VLOOKUP(D116,[1]TDSheet!$A:$N,14,0),0))</f>
        <v>0.90909090909090906</v>
      </c>
      <c r="K116" s="15">
        <f>IFERROR(VLOOKUP(D116,[1]TDSheet!$A:$M,12,0),0)</f>
        <v>4.5454545454545456E-2</v>
      </c>
      <c r="L116" s="15">
        <f>IFERROR(VLOOKUP(D116,[1]TDSheet!$A:$M,13,0),0)</f>
        <v>0.45454545454545453</v>
      </c>
      <c r="M116" s="15">
        <f t="shared" si="5"/>
        <v>0.22727272727272729</v>
      </c>
      <c r="N116" s="15">
        <f t="shared" si="6"/>
        <v>2.2727272727272725</v>
      </c>
      <c r="O116" s="18">
        <f>I116</f>
        <v>4.5999999999999996</v>
      </c>
      <c r="P116" s="18">
        <f>H116</f>
        <v>46</v>
      </c>
    </row>
    <row r="117" spans="1:16" outlineLevel="2" x14ac:dyDescent="0.2">
      <c r="A117" s="22" t="s">
        <v>228</v>
      </c>
      <c r="B117" s="22"/>
      <c r="C117" s="22"/>
      <c r="D117" s="23" t="s">
        <v>229</v>
      </c>
      <c r="E117" s="23"/>
      <c r="F117" s="23"/>
      <c r="G117" s="8" t="s">
        <v>91</v>
      </c>
      <c r="H117" s="9">
        <v>154</v>
      </c>
      <c r="I117" s="9">
        <v>15.4</v>
      </c>
      <c r="J117" s="13">
        <f>IF(IFERROR(VLOOKUP(D117,[1]TDSheet!$A:$N,14,0),0)&gt;1,1,IFERROR(VLOOKUP(D117,[1]TDSheet!$A:$N,14,0),0))</f>
        <v>0.51694915254237284</v>
      </c>
      <c r="K117" s="15">
        <f>IFERROR(VLOOKUP(D117,[1]TDSheet!$A:$M,12,0),0)</f>
        <v>0.27727272727272728</v>
      </c>
      <c r="L117" s="15">
        <f>IFERROR(VLOOKUP(D117,[1]TDSheet!$A:$M,13,0),0)</f>
        <v>2.7727272727272729</v>
      </c>
      <c r="M117" s="15">
        <f t="shared" si="5"/>
        <v>1.3863636363636365</v>
      </c>
      <c r="N117" s="15">
        <f t="shared" si="6"/>
        <v>13.863636363636365</v>
      </c>
      <c r="O117" s="18">
        <f t="shared" si="7"/>
        <v>1.3863636363636365</v>
      </c>
      <c r="P117" s="18">
        <f t="shared" si="8"/>
        <v>13.863636363636365</v>
      </c>
    </row>
    <row r="118" spans="1:16" outlineLevel="2" x14ac:dyDescent="0.2">
      <c r="A118" s="22" t="s">
        <v>230</v>
      </c>
      <c r="B118" s="22"/>
      <c r="C118" s="22"/>
      <c r="D118" s="23" t="s">
        <v>231</v>
      </c>
      <c r="E118" s="23"/>
      <c r="F118" s="23"/>
      <c r="G118" s="8" t="s">
        <v>91</v>
      </c>
      <c r="H118" s="9">
        <v>278</v>
      </c>
      <c r="I118" s="9">
        <v>27.8</v>
      </c>
      <c r="J118" s="13">
        <f>IF(IFERROR(VLOOKUP(D118,[1]TDSheet!$A:$N,14,0),0)&gt;1,1,IFERROR(VLOOKUP(D118,[1]TDSheet!$A:$N,14,0),0))</f>
        <v>0.24617737003058104</v>
      </c>
      <c r="K118" s="15">
        <f>IFERROR(VLOOKUP(D118,[1]TDSheet!$A:$M,12,0),0)</f>
        <v>0.73181818181818192</v>
      </c>
      <c r="L118" s="15">
        <f>IFERROR(VLOOKUP(D118,[1]TDSheet!$A:$M,13,0),0)</f>
        <v>7.3181818181818183</v>
      </c>
      <c r="M118" s="15">
        <f t="shared" si="5"/>
        <v>3.6590909090909096</v>
      </c>
      <c r="N118" s="15">
        <f t="shared" si="6"/>
        <v>36.590909090909093</v>
      </c>
      <c r="O118" s="18">
        <f t="shared" si="7"/>
        <v>3.6590909090909096</v>
      </c>
      <c r="P118" s="18">
        <f t="shared" si="8"/>
        <v>27.8</v>
      </c>
    </row>
    <row r="119" spans="1:16" outlineLevel="2" x14ac:dyDescent="0.2">
      <c r="A119" s="22" t="s">
        <v>232</v>
      </c>
      <c r="B119" s="22"/>
      <c r="C119" s="22"/>
      <c r="D119" s="23" t="s">
        <v>233</v>
      </c>
      <c r="E119" s="23"/>
      <c r="F119" s="23"/>
      <c r="G119" s="8" t="s">
        <v>91</v>
      </c>
      <c r="H119" s="9">
        <v>211</v>
      </c>
      <c r="I119" s="9">
        <v>21.1</v>
      </c>
      <c r="J119" s="13">
        <f>IF(IFERROR(VLOOKUP(D119,[1]TDSheet!$A:$N,14,0),0)&gt;1,1,IFERROR(VLOOKUP(D119,[1]TDSheet!$A:$N,14,0),0))</f>
        <v>0.50526315789473686</v>
      </c>
      <c r="K119" s="15">
        <f>IFERROR(VLOOKUP(D119,[1]TDSheet!$A:$M,12,0),0)</f>
        <v>1.7454545454545454</v>
      </c>
      <c r="L119" s="15">
        <f>IFERROR(VLOOKUP(D119,[1]TDSheet!$A:$M,13,0),0)</f>
        <v>17.454545454545453</v>
      </c>
      <c r="M119" s="15">
        <f t="shared" si="5"/>
        <v>8.7272727272727266</v>
      </c>
      <c r="N119" s="15">
        <f t="shared" si="6"/>
        <v>87.272727272727266</v>
      </c>
      <c r="O119" s="18">
        <f t="shared" si="7"/>
        <v>8.7272727272727266</v>
      </c>
      <c r="P119" s="18">
        <f t="shared" si="8"/>
        <v>21.1</v>
      </c>
    </row>
    <row r="120" spans="1:16" outlineLevel="2" x14ac:dyDescent="0.2">
      <c r="A120" s="22" t="s">
        <v>234</v>
      </c>
      <c r="B120" s="22"/>
      <c r="C120" s="22"/>
      <c r="D120" s="23" t="s">
        <v>235</v>
      </c>
      <c r="E120" s="23"/>
      <c r="F120" s="23"/>
      <c r="G120" s="8" t="s">
        <v>91</v>
      </c>
      <c r="H120" s="9">
        <v>-3</v>
      </c>
      <c r="I120" s="9">
        <v>-0.3</v>
      </c>
      <c r="J120" s="13">
        <f>IF(IFERROR(VLOOKUP(D120,[1]TDSheet!$A:$N,14,0),0)&gt;1,1,IFERROR(VLOOKUP(D120,[1]TDSheet!$A:$N,14,0),0))</f>
        <v>0</v>
      </c>
      <c r="K120" s="15">
        <f>IFERROR(VLOOKUP(D120,[1]TDSheet!$A:$M,12,0),0)</f>
        <v>0</v>
      </c>
      <c r="L120" s="15">
        <f>IFERROR(VLOOKUP(D120,[1]TDSheet!$A:$M,13,0),0)</f>
        <v>0</v>
      </c>
      <c r="M120" s="15">
        <f t="shared" si="5"/>
        <v>0</v>
      </c>
      <c r="N120" s="15">
        <f t="shared" si="6"/>
        <v>0</v>
      </c>
      <c r="O120" s="18">
        <v>0</v>
      </c>
      <c r="P120" s="18">
        <v>0</v>
      </c>
    </row>
    <row r="121" spans="1:16" outlineLevel="2" x14ac:dyDescent="0.2">
      <c r="A121" s="22" t="s">
        <v>236</v>
      </c>
      <c r="B121" s="22"/>
      <c r="C121" s="22"/>
      <c r="D121" s="23" t="s">
        <v>237</v>
      </c>
      <c r="E121" s="23"/>
      <c r="F121" s="23"/>
      <c r="G121" s="8" t="s">
        <v>91</v>
      </c>
      <c r="H121" s="9">
        <v>795</v>
      </c>
      <c r="I121" s="9">
        <v>318</v>
      </c>
      <c r="J121" s="13">
        <f>IF(IFERROR(VLOOKUP(D121,[1]TDSheet!$A:$N,14,0),0)&gt;1,1,IFERROR(VLOOKUP(D121,[1]TDSheet!$A:$N,14,0),0))</f>
        <v>0.34303977272727271</v>
      </c>
      <c r="K121" s="15">
        <f>IFERROR(VLOOKUP(D121,[1]TDSheet!$A:$M,12,0),0)</f>
        <v>8.7818181818181813</v>
      </c>
      <c r="L121" s="15">
        <f>IFERROR(VLOOKUP(D121,[1]TDSheet!$A:$M,13,0),0)</f>
        <v>21.954545454545453</v>
      </c>
      <c r="M121" s="15">
        <f t="shared" si="5"/>
        <v>43.909090909090907</v>
      </c>
      <c r="N121" s="15">
        <f t="shared" si="6"/>
        <v>109.77272727272727</v>
      </c>
      <c r="O121" s="18">
        <f t="shared" si="7"/>
        <v>43.909090909090907</v>
      </c>
      <c r="P121" s="18">
        <f t="shared" si="8"/>
        <v>109.77272727272727</v>
      </c>
    </row>
    <row r="122" spans="1:16" outlineLevel="2" x14ac:dyDescent="0.2">
      <c r="A122" s="22" t="s">
        <v>238</v>
      </c>
      <c r="B122" s="22"/>
      <c r="C122" s="22"/>
      <c r="D122" s="23" t="s">
        <v>239</v>
      </c>
      <c r="E122" s="23"/>
      <c r="F122" s="23"/>
      <c r="G122" s="8" t="s">
        <v>91</v>
      </c>
      <c r="H122" s="9">
        <v>167</v>
      </c>
      <c r="I122" s="9">
        <v>16.7</v>
      </c>
      <c r="J122" s="13">
        <f>IF(IFERROR(VLOOKUP(D122,[1]TDSheet!$A:$N,14,0),0)&gt;1,1,IFERROR(VLOOKUP(D122,[1]TDSheet!$A:$N,14,0),0))</f>
        <v>0.30463576158940397</v>
      </c>
      <c r="K122" s="15">
        <f>IFERROR(VLOOKUP(D122,[1]TDSheet!$A:$M,12,0),0)</f>
        <v>0.20909090909090908</v>
      </c>
      <c r="L122" s="15">
        <f>IFERROR(VLOOKUP(D122,[1]TDSheet!$A:$M,13,0),0)</f>
        <v>2.0909090909090908</v>
      </c>
      <c r="M122" s="15">
        <f t="shared" si="5"/>
        <v>1.0454545454545454</v>
      </c>
      <c r="N122" s="15">
        <f t="shared" si="6"/>
        <v>10.454545454545453</v>
      </c>
      <c r="O122" s="18">
        <f t="shared" si="7"/>
        <v>1.0454545454545454</v>
      </c>
      <c r="P122" s="18">
        <f t="shared" si="8"/>
        <v>10.454545454545453</v>
      </c>
    </row>
    <row r="123" spans="1:16" outlineLevel="2" x14ac:dyDescent="0.2">
      <c r="A123" s="22" t="s">
        <v>240</v>
      </c>
      <c r="B123" s="22"/>
      <c r="C123" s="22"/>
      <c r="D123" s="23" t="s">
        <v>241</v>
      </c>
      <c r="E123" s="23"/>
      <c r="F123" s="23"/>
      <c r="G123" s="8" t="s">
        <v>91</v>
      </c>
      <c r="H123" s="9">
        <v>165</v>
      </c>
      <c r="I123" s="9">
        <v>16.5</v>
      </c>
      <c r="J123" s="13">
        <f>IF(IFERROR(VLOOKUP(D123,[1]TDSheet!$A:$N,14,0),0)&gt;1,1,IFERROR(VLOOKUP(D123,[1]TDSheet!$A:$N,14,0),0))</f>
        <v>0.30722891566265054</v>
      </c>
      <c r="K123" s="15">
        <f>IFERROR(VLOOKUP(D123,[1]TDSheet!$A:$M,12,0),0)</f>
        <v>0.23181818181818181</v>
      </c>
      <c r="L123" s="15">
        <f>IFERROR(VLOOKUP(D123,[1]TDSheet!$A:$M,13,0),0)</f>
        <v>2.3181818181818183</v>
      </c>
      <c r="M123" s="15">
        <f t="shared" si="5"/>
        <v>1.1590909090909092</v>
      </c>
      <c r="N123" s="15">
        <f t="shared" si="6"/>
        <v>11.590909090909092</v>
      </c>
      <c r="O123" s="18">
        <f t="shared" si="7"/>
        <v>1.1590909090909092</v>
      </c>
      <c r="P123" s="18">
        <f t="shared" si="8"/>
        <v>11.590909090909092</v>
      </c>
    </row>
    <row r="124" spans="1:16" outlineLevel="2" x14ac:dyDescent="0.2">
      <c r="A124" s="22" t="s">
        <v>242</v>
      </c>
      <c r="B124" s="22"/>
      <c r="C124" s="22"/>
      <c r="D124" s="23" t="s">
        <v>243</v>
      </c>
      <c r="E124" s="23"/>
      <c r="F124" s="23"/>
      <c r="G124" s="8" t="s">
        <v>91</v>
      </c>
      <c r="H124" s="9">
        <v>105</v>
      </c>
      <c r="I124" s="9">
        <v>31.5</v>
      </c>
      <c r="J124" s="13">
        <f>IF(IFERROR(VLOOKUP(D124,[1]TDSheet!$A:$N,14,0),0)&gt;1,1,IFERROR(VLOOKUP(D124,[1]TDSheet!$A:$N,14,0),0))</f>
        <v>1</v>
      </c>
      <c r="K124" s="15">
        <f>IFERROR(VLOOKUP(D124,[1]TDSheet!$A:$M,12,0),0)</f>
        <v>4.0909090909090909E-2</v>
      </c>
      <c r="L124" s="15">
        <f>IFERROR(VLOOKUP(D124,[1]TDSheet!$A:$M,13,0),0)</f>
        <v>0.13636363636363635</v>
      </c>
      <c r="M124" s="15">
        <f t="shared" si="5"/>
        <v>0.20454545454545453</v>
      </c>
      <c r="N124" s="15">
        <f t="shared" si="6"/>
        <v>0.68181818181818177</v>
      </c>
      <c r="O124" s="18">
        <f>I124</f>
        <v>31.5</v>
      </c>
      <c r="P124" s="18">
        <f>H124</f>
        <v>105</v>
      </c>
    </row>
    <row r="125" spans="1:16" outlineLevel="1" x14ac:dyDescent="0.2">
      <c r="A125" s="24" t="s">
        <v>244</v>
      </c>
      <c r="B125" s="24"/>
      <c r="C125" s="24"/>
      <c r="D125" s="25" t="s">
        <v>245</v>
      </c>
      <c r="E125" s="25"/>
      <c r="F125" s="25"/>
      <c r="G125" s="5"/>
      <c r="H125" s="12"/>
      <c r="I125" s="12"/>
      <c r="J125" s="13"/>
    </row>
    <row r="126" spans="1:16" outlineLevel="2" x14ac:dyDescent="0.2">
      <c r="A126" s="22" t="s">
        <v>246</v>
      </c>
      <c r="B126" s="22"/>
      <c r="C126" s="22"/>
      <c r="D126" s="23" t="s">
        <v>247</v>
      </c>
      <c r="E126" s="23"/>
      <c r="F126" s="23"/>
      <c r="G126" s="8" t="s">
        <v>91</v>
      </c>
      <c r="H126" s="9">
        <v>128</v>
      </c>
      <c r="I126" s="9">
        <v>105.47199999999999</v>
      </c>
      <c r="J126" s="13">
        <f>IF(IFERROR(VLOOKUP(D126,[1]TDSheet!$A:$N,14,0),0)&gt;1,1,IFERROR(VLOOKUP(D126,[1]TDSheet!$A:$N,14,0),0))</f>
        <v>1</v>
      </c>
      <c r="K126" s="15">
        <f>IFERROR(VLOOKUP(D126,[1]TDSheet!$A:$M,12,0),0)</f>
        <v>0.29963636363636365</v>
      </c>
      <c r="L126" s="15">
        <f>IFERROR(VLOOKUP(D126,[1]TDSheet!$A:$M,13,0),0)</f>
        <v>0.36363636363636365</v>
      </c>
      <c r="M126" s="15">
        <f t="shared" si="5"/>
        <v>1.4981818181818183</v>
      </c>
      <c r="N126" s="15">
        <f t="shared" si="6"/>
        <v>1.8181818181818183</v>
      </c>
      <c r="O126" s="18">
        <f>I126</f>
        <v>105.47199999999999</v>
      </c>
      <c r="P126" s="18">
        <f>H126</f>
        <v>128</v>
      </c>
    </row>
    <row r="127" spans="1:16" outlineLevel="2" x14ac:dyDescent="0.2">
      <c r="A127" s="22" t="s">
        <v>248</v>
      </c>
      <c r="B127" s="22"/>
      <c r="C127" s="22"/>
      <c r="D127" s="23" t="s">
        <v>249</v>
      </c>
      <c r="E127" s="23"/>
      <c r="F127" s="23"/>
      <c r="G127" s="8" t="s">
        <v>91</v>
      </c>
      <c r="H127" s="9">
        <v>124</v>
      </c>
      <c r="I127" s="9">
        <v>46.128</v>
      </c>
      <c r="J127" s="13">
        <f>IF(IFERROR(VLOOKUP(D127,[1]TDSheet!$A:$N,14,0),0)&gt;1,1,IFERROR(VLOOKUP(D127,[1]TDSheet!$A:$N,14,0),0))</f>
        <v>0.41855203619909498</v>
      </c>
      <c r="K127" s="15">
        <f>IFERROR(VLOOKUP(D127,[1]TDSheet!$A:$M,12,0),0)</f>
        <v>3.128181818181818</v>
      </c>
      <c r="L127" s="15">
        <f>IFERROR(VLOOKUP(D127,[1]TDSheet!$A:$M,13,0),0)</f>
        <v>8.4090909090909083</v>
      </c>
      <c r="M127" s="15">
        <f t="shared" si="5"/>
        <v>15.640909090909091</v>
      </c>
      <c r="N127" s="15">
        <f t="shared" si="6"/>
        <v>42.04545454545454</v>
      </c>
      <c r="O127" s="18">
        <f t="shared" si="7"/>
        <v>15.640909090909091</v>
      </c>
      <c r="P127" s="18">
        <f t="shared" si="8"/>
        <v>42.04545454545454</v>
      </c>
    </row>
    <row r="128" spans="1:16" outlineLevel="2" x14ac:dyDescent="0.2">
      <c r="A128" s="22" t="s">
        <v>250</v>
      </c>
      <c r="B128" s="22"/>
      <c r="C128" s="22"/>
      <c r="D128" s="23" t="s">
        <v>251</v>
      </c>
      <c r="E128" s="23"/>
      <c r="F128" s="23"/>
      <c r="G128" s="8" t="s">
        <v>91</v>
      </c>
      <c r="H128" s="9">
        <v>173</v>
      </c>
      <c r="I128" s="9">
        <v>128.71199999999999</v>
      </c>
      <c r="J128" s="13">
        <f>IF(IFERROR(VLOOKUP(D128,[1]TDSheet!$A:$N,14,0),0)&gt;1,1,IFERROR(VLOOKUP(D128,[1]TDSheet!$A:$N,14,0),0))</f>
        <v>0.31338028169014082</v>
      </c>
      <c r="K128" s="15">
        <f>IFERROR(VLOOKUP(D128,[1]TDSheet!$A:$M,12,0),0)</f>
        <v>3.0098181818181815</v>
      </c>
      <c r="L128" s="15">
        <f>IFERROR(VLOOKUP(D128,[1]TDSheet!$A:$M,13,0),0)</f>
        <v>4.0454545454545459</v>
      </c>
      <c r="M128" s="15">
        <f t="shared" si="5"/>
        <v>15.049090909090907</v>
      </c>
      <c r="N128" s="15">
        <f t="shared" si="6"/>
        <v>20.22727272727273</v>
      </c>
      <c r="O128" s="18">
        <f t="shared" si="7"/>
        <v>15.049090909090907</v>
      </c>
      <c r="P128" s="18">
        <f t="shared" si="8"/>
        <v>20.22727272727273</v>
      </c>
    </row>
    <row r="129" spans="1:16" outlineLevel="2" x14ac:dyDescent="0.2">
      <c r="A129" s="22" t="s">
        <v>252</v>
      </c>
      <c r="B129" s="22"/>
      <c r="C129" s="22"/>
      <c r="D129" s="23" t="s">
        <v>253</v>
      </c>
      <c r="E129" s="23"/>
      <c r="F129" s="23"/>
      <c r="G129" s="8" t="s">
        <v>91</v>
      </c>
      <c r="H129" s="9">
        <v>299</v>
      </c>
      <c r="I129" s="9">
        <v>111.22799999999999</v>
      </c>
      <c r="J129" s="13">
        <f>IF(IFERROR(VLOOKUP(D129,[1]TDSheet!$A:$N,14,0),0)&gt;1,1,IFERROR(VLOOKUP(D129,[1]TDSheet!$A:$N,14,0),0))</f>
        <v>0.33272394881170014</v>
      </c>
      <c r="K129" s="15">
        <f>IFERROR(VLOOKUP(D129,[1]TDSheet!$A:$M,12,0),0)</f>
        <v>3.077454545454545</v>
      </c>
      <c r="L129" s="15">
        <f>IFERROR(VLOOKUP(D129,[1]TDSheet!$A:$M,13,0),0)</f>
        <v>8.2727272727272734</v>
      </c>
      <c r="M129" s="15">
        <f t="shared" si="5"/>
        <v>15.387272727272725</v>
      </c>
      <c r="N129" s="15">
        <f t="shared" si="6"/>
        <v>41.363636363636367</v>
      </c>
      <c r="O129" s="18">
        <f t="shared" si="7"/>
        <v>15.387272727272725</v>
      </c>
      <c r="P129" s="18">
        <f t="shared" si="8"/>
        <v>41.363636363636367</v>
      </c>
    </row>
    <row r="130" spans="1:16" outlineLevel="2" x14ac:dyDescent="0.2">
      <c r="A130" s="22" t="s">
        <v>254</v>
      </c>
      <c r="B130" s="22"/>
      <c r="C130" s="22"/>
      <c r="D130" s="23" t="s">
        <v>255</v>
      </c>
      <c r="E130" s="23"/>
      <c r="F130" s="23"/>
      <c r="G130" s="8" t="s">
        <v>91</v>
      </c>
      <c r="H130" s="9">
        <v>157</v>
      </c>
      <c r="I130" s="9">
        <v>116.80800000000001</v>
      </c>
      <c r="J130" s="13">
        <f>IF(IFERROR(VLOOKUP(D130,[1]TDSheet!$A:$N,14,0),0)&gt;1,1,IFERROR(VLOOKUP(D130,[1]TDSheet!$A:$N,14,0),0))</f>
        <v>0.21840659340659344</v>
      </c>
      <c r="K130" s="15">
        <f>IFERROR(VLOOKUP(D130,[1]TDSheet!$A:$M,12,0),0)</f>
        <v>5.3770909090909091</v>
      </c>
      <c r="L130" s="15">
        <f>IFERROR(VLOOKUP(D130,[1]TDSheet!$A:$M,13,0),0)</f>
        <v>7.2272727272727275</v>
      </c>
      <c r="M130" s="15">
        <f t="shared" si="5"/>
        <v>26.885454545454547</v>
      </c>
      <c r="N130" s="15">
        <f t="shared" si="6"/>
        <v>36.13636363636364</v>
      </c>
      <c r="O130" s="18">
        <f t="shared" si="7"/>
        <v>26.885454545454547</v>
      </c>
      <c r="P130" s="18">
        <f t="shared" si="8"/>
        <v>36.13636363636364</v>
      </c>
    </row>
    <row r="131" spans="1:16" outlineLevel="1" x14ac:dyDescent="0.2">
      <c r="A131" s="24" t="s">
        <v>256</v>
      </c>
      <c r="B131" s="24"/>
      <c r="C131" s="24"/>
      <c r="D131" s="25" t="s">
        <v>257</v>
      </c>
      <c r="E131" s="25"/>
      <c r="F131" s="25"/>
      <c r="G131" s="5"/>
      <c r="H131" s="6"/>
      <c r="I131" s="12"/>
      <c r="J131" s="13"/>
    </row>
    <row r="132" spans="1:16" outlineLevel="2" x14ac:dyDescent="0.2">
      <c r="A132" s="22" t="s">
        <v>258</v>
      </c>
      <c r="B132" s="22"/>
      <c r="C132" s="22"/>
      <c r="D132" s="23" t="s">
        <v>259</v>
      </c>
      <c r="E132" s="23"/>
      <c r="F132" s="23"/>
      <c r="G132" s="8" t="s">
        <v>91</v>
      </c>
      <c r="H132" s="9">
        <v>240</v>
      </c>
      <c r="I132" s="9">
        <v>100.8</v>
      </c>
      <c r="J132" s="13">
        <f>IF(IFERROR(VLOOKUP(D132,[1]TDSheet!$A:$N,14,0),0)&gt;1,1,IFERROR(VLOOKUP(D132,[1]TDSheet!$A:$N,14,0),0))</f>
        <v>1</v>
      </c>
      <c r="K132" s="15">
        <f>IFERROR(VLOOKUP(D132,[1]TDSheet!$A:$M,12,0),0)</f>
        <v>-3.8181818181818178E-2</v>
      </c>
      <c r="L132" s="15">
        <f>IFERROR(VLOOKUP(D132,[1]TDSheet!$A:$M,13,0),0)</f>
        <v>-9.0909090909090912E-2</v>
      </c>
      <c r="M132" s="15">
        <f t="shared" si="5"/>
        <v>0</v>
      </c>
      <c r="N132" s="15">
        <f t="shared" si="6"/>
        <v>0</v>
      </c>
      <c r="O132" s="18">
        <f>I132</f>
        <v>100.8</v>
      </c>
      <c r="P132" s="18">
        <f>H132</f>
        <v>240</v>
      </c>
    </row>
    <row r="133" spans="1:16" outlineLevel="2" x14ac:dyDescent="0.2">
      <c r="A133" s="22" t="s">
        <v>260</v>
      </c>
      <c r="B133" s="22"/>
      <c r="C133" s="22"/>
      <c r="D133" s="23" t="s">
        <v>261</v>
      </c>
      <c r="E133" s="23"/>
      <c r="F133" s="23"/>
      <c r="G133" s="8" t="s">
        <v>18</v>
      </c>
      <c r="H133" s="9">
        <v>78.346000000000004</v>
      </c>
      <c r="I133" s="9">
        <v>78.346000000000004</v>
      </c>
      <c r="J133" s="13">
        <f>IF(IFERROR(VLOOKUP(D133,[1]TDSheet!$A:$N,14,0),0)&gt;1,1,IFERROR(VLOOKUP(D133,[1]TDSheet!$A:$N,14,0),0))</f>
        <v>0.2006630605478974</v>
      </c>
      <c r="K133" s="15">
        <f>IFERROR(VLOOKUP(D133,[1]TDSheet!$A:$M,12,0),0)</f>
        <v>0.20909090909090908</v>
      </c>
      <c r="L133" s="15">
        <f>IFERROR(VLOOKUP(D133,[1]TDSheet!$A:$M,13,0),0)</f>
        <v>0.20909090909090908</v>
      </c>
      <c r="M133" s="15">
        <f t="shared" si="5"/>
        <v>1.0454545454545454</v>
      </c>
      <c r="N133" s="15">
        <f t="shared" si="6"/>
        <v>1.0454545454545454</v>
      </c>
      <c r="O133" s="18">
        <f t="shared" si="7"/>
        <v>1.0454545454545454</v>
      </c>
      <c r="P133" s="18">
        <f t="shared" si="8"/>
        <v>1.0454545454545454</v>
      </c>
    </row>
    <row r="134" spans="1:16" outlineLevel="2" x14ac:dyDescent="0.2">
      <c r="A134" s="22" t="s">
        <v>262</v>
      </c>
      <c r="B134" s="22"/>
      <c r="C134" s="22"/>
      <c r="D134" s="23" t="s">
        <v>263</v>
      </c>
      <c r="E134" s="23"/>
      <c r="F134" s="23"/>
      <c r="G134" s="8" t="s">
        <v>18</v>
      </c>
      <c r="H134" s="9">
        <v>316.50400000000002</v>
      </c>
      <c r="I134" s="9">
        <v>316.50400000000002</v>
      </c>
      <c r="J134" s="13">
        <f>IF(IFERROR(VLOOKUP(D134,[1]TDSheet!$A:$N,14,0),0)&gt;1,1,IFERROR(VLOOKUP(D134,[1]TDSheet!$A:$N,14,0),0))</f>
        <v>0.19038059389376827</v>
      </c>
      <c r="K134" s="15">
        <f>IFERROR(VLOOKUP(D134,[1]TDSheet!$A:$M,12,0),0)</f>
        <v>0.2069090909090909</v>
      </c>
      <c r="L134" s="15">
        <f>IFERROR(VLOOKUP(D134,[1]TDSheet!$A:$M,13,0),0)</f>
        <v>0.2069090909090909</v>
      </c>
      <c r="M134" s="15">
        <f t="shared" si="5"/>
        <v>1.0345454545454544</v>
      </c>
      <c r="N134" s="15">
        <f t="shared" si="6"/>
        <v>1.0345454545454544</v>
      </c>
      <c r="O134" s="18">
        <f t="shared" si="7"/>
        <v>1.0345454545454544</v>
      </c>
      <c r="P134" s="18">
        <f t="shared" si="8"/>
        <v>1.0345454545454544</v>
      </c>
    </row>
    <row r="135" spans="1:16" outlineLevel="2" x14ac:dyDescent="0.2">
      <c r="A135" s="22" t="s">
        <v>264</v>
      </c>
      <c r="B135" s="22"/>
      <c r="C135" s="22"/>
      <c r="D135" s="23" t="s">
        <v>265</v>
      </c>
      <c r="E135" s="23"/>
      <c r="F135" s="23"/>
      <c r="G135" s="8" t="s">
        <v>91</v>
      </c>
      <c r="H135" s="9">
        <v>97</v>
      </c>
      <c r="I135" s="9">
        <v>40.74</v>
      </c>
      <c r="J135" s="13">
        <f>IF(IFERROR(VLOOKUP(D135,[1]TDSheet!$A:$N,14,0),0)&gt;1,1,IFERROR(VLOOKUP(D135,[1]TDSheet!$A:$N,14,0),0))</f>
        <v>0.75</v>
      </c>
      <c r="K135" s="15">
        <f>IFERROR(VLOOKUP(D135,[1]TDSheet!$A:$M,12,0),0)</f>
        <v>5.7272727272727274E-2</v>
      </c>
      <c r="L135" s="15">
        <f>IFERROR(VLOOKUP(D135,[1]TDSheet!$A:$M,13,0),0)</f>
        <v>0.13636363636363635</v>
      </c>
      <c r="M135" s="15">
        <f t="shared" si="5"/>
        <v>0.28636363636363638</v>
      </c>
      <c r="N135" s="15">
        <f t="shared" si="6"/>
        <v>0.68181818181818177</v>
      </c>
      <c r="O135" s="18">
        <f t="shared" si="7"/>
        <v>0.28636363636363638</v>
      </c>
      <c r="P135" s="18">
        <f t="shared" si="8"/>
        <v>0.68181818181818177</v>
      </c>
    </row>
    <row r="136" spans="1:16" outlineLevel="2" x14ac:dyDescent="0.2">
      <c r="A136" s="22" t="s">
        <v>266</v>
      </c>
      <c r="B136" s="22"/>
      <c r="C136" s="22"/>
      <c r="D136" s="23" t="s">
        <v>267</v>
      </c>
      <c r="E136" s="23"/>
      <c r="F136" s="23"/>
      <c r="G136" s="8" t="s">
        <v>91</v>
      </c>
      <c r="H136" s="9">
        <v>45</v>
      </c>
      <c r="I136" s="9">
        <v>13.5</v>
      </c>
      <c r="J136" s="13">
        <f>IF(IFERROR(VLOOKUP(D136,[1]TDSheet!$A:$N,14,0),0)&gt;1,1,IFERROR(VLOOKUP(D136,[1]TDSheet!$A:$N,14,0),0))</f>
        <v>0.16216216216216214</v>
      </c>
      <c r="K136" s="15">
        <f>IFERROR(VLOOKUP(D136,[1]TDSheet!$A:$M,12,0),0)</f>
        <v>0.57272727272727275</v>
      </c>
      <c r="L136" s="15">
        <f>IFERROR(VLOOKUP(D136,[1]TDSheet!$A:$M,13,0),0)</f>
        <v>1.9090909090909092</v>
      </c>
      <c r="M136" s="15">
        <f t="shared" si="5"/>
        <v>2.8636363636363638</v>
      </c>
      <c r="N136" s="15">
        <f t="shared" si="6"/>
        <v>9.5454545454545467</v>
      </c>
      <c r="O136" s="18">
        <f t="shared" si="7"/>
        <v>2.8636363636363638</v>
      </c>
      <c r="P136" s="18">
        <f>IF(N136&gt;I136,I136,N136)</f>
        <v>9.5454545454545467</v>
      </c>
    </row>
    <row r="137" spans="1:16" outlineLevel="2" x14ac:dyDescent="0.2">
      <c r="A137" s="22" t="s">
        <v>268</v>
      </c>
      <c r="B137" s="22"/>
      <c r="C137" s="22"/>
      <c r="D137" s="23" t="s">
        <v>269</v>
      </c>
      <c r="E137" s="23"/>
      <c r="F137" s="23"/>
      <c r="G137" s="8" t="s">
        <v>91</v>
      </c>
      <c r="H137" s="9">
        <v>27</v>
      </c>
      <c r="I137" s="9">
        <v>8.1</v>
      </c>
      <c r="J137" s="13">
        <f>IF(IFERROR(VLOOKUP(D137,[1]TDSheet!$A:$N,14,0),0)&gt;1,1,IFERROR(VLOOKUP(D137,[1]TDSheet!$A:$N,14,0),0))</f>
        <v>0.291866028708134</v>
      </c>
      <c r="K137" s="15">
        <f>IFERROR(VLOOKUP(D137,[1]TDSheet!$A:$M,12,0),0)</f>
        <v>0.8318181818181819</v>
      </c>
      <c r="L137" s="15">
        <f>IFERROR(VLOOKUP(D137,[1]TDSheet!$A:$M,13,0),0)</f>
        <v>2.7727272727272729</v>
      </c>
      <c r="M137" s="15">
        <f t="shared" si="5"/>
        <v>4.1590909090909092</v>
      </c>
      <c r="N137" s="15">
        <f t="shared" si="6"/>
        <v>13.863636363636365</v>
      </c>
      <c r="O137" s="18">
        <f t="shared" si="7"/>
        <v>4.1590909090909092</v>
      </c>
      <c r="P137" s="18">
        <f t="shared" si="8"/>
        <v>8.1</v>
      </c>
    </row>
    <row r="138" spans="1:16" outlineLevel="2" x14ac:dyDescent="0.2">
      <c r="A138" s="22" t="s">
        <v>270</v>
      </c>
      <c r="B138" s="22"/>
      <c r="C138" s="22"/>
      <c r="D138" s="23" t="s">
        <v>271</v>
      </c>
      <c r="E138" s="23"/>
      <c r="F138" s="23"/>
      <c r="G138" s="8" t="s">
        <v>91</v>
      </c>
      <c r="H138" s="9">
        <v>10</v>
      </c>
      <c r="I138" s="9">
        <v>3.5</v>
      </c>
      <c r="J138" s="13">
        <f>IF(IFERROR(VLOOKUP(D138,[1]TDSheet!$A:$N,14,0),0)&gt;1,1,IFERROR(VLOOKUP(D138,[1]TDSheet!$A:$N,14,0),0))</f>
        <v>0.19414893617021278</v>
      </c>
      <c r="K138" s="15">
        <f>IFERROR(VLOOKUP(D138,[1]TDSheet!$A:$M,12,0),0)</f>
        <v>1.1613636363636364</v>
      </c>
      <c r="L138" s="15">
        <f>IFERROR(VLOOKUP(D138,[1]TDSheet!$A:$M,13,0),0)</f>
        <v>3.3181818181818183</v>
      </c>
      <c r="M138" s="15">
        <f t="shared" si="5"/>
        <v>5.8068181818181817</v>
      </c>
      <c r="N138" s="15">
        <f t="shared" si="6"/>
        <v>16.590909090909093</v>
      </c>
      <c r="O138" s="18">
        <f t="shared" si="7"/>
        <v>5.8068181818181817</v>
      </c>
      <c r="P138" s="18">
        <f t="shared" si="8"/>
        <v>3.5</v>
      </c>
    </row>
    <row r="139" spans="1:16" outlineLevel="2" x14ac:dyDescent="0.2">
      <c r="A139" s="22" t="s">
        <v>272</v>
      </c>
      <c r="B139" s="22"/>
      <c r="C139" s="22"/>
      <c r="D139" s="23" t="s">
        <v>273</v>
      </c>
      <c r="E139" s="23"/>
      <c r="F139" s="23"/>
      <c r="G139" s="8" t="s">
        <v>91</v>
      </c>
      <c r="H139" s="9">
        <v>6</v>
      </c>
      <c r="I139" s="9">
        <v>1.8</v>
      </c>
      <c r="J139" s="13">
        <f>IF(IFERROR(VLOOKUP(D139,[1]TDSheet!$A:$N,14,0),0)&gt;1,1,IFERROR(VLOOKUP(D139,[1]TDSheet!$A:$N,14,0),0))</f>
        <v>0.23602484472049692</v>
      </c>
      <c r="K139" s="15">
        <f>IFERROR(VLOOKUP(D139,[1]TDSheet!$A:$M,12,0),0)</f>
        <v>0.51818181818181819</v>
      </c>
      <c r="L139" s="15">
        <f>IFERROR(VLOOKUP(D139,[1]TDSheet!$A:$M,13,0),0)</f>
        <v>1.7272727272727273</v>
      </c>
      <c r="M139" s="15">
        <f t="shared" si="5"/>
        <v>2.5909090909090908</v>
      </c>
      <c r="N139" s="15">
        <f t="shared" si="6"/>
        <v>8.6363636363636367</v>
      </c>
      <c r="O139" s="18">
        <f t="shared" si="7"/>
        <v>2.5909090909090908</v>
      </c>
      <c r="P139" s="18">
        <f t="shared" si="8"/>
        <v>1.8</v>
      </c>
    </row>
    <row r="140" spans="1:16" outlineLevel="2" x14ac:dyDescent="0.2">
      <c r="A140" s="22" t="s">
        <v>274</v>
      </c>
      <c r="B140" s="22"/>
      <c r="C140" s="22"/>
      <c r="D140" s="23" t="s">
        <v>275</v>
      </c>
      <c r="E140" s="23"/>
      <c r="F140" s="23"/>
      <c r="G140" s="8" t="s">
        <v>91</v>
      </c>
      <c r="H140" s="9">
        <v>28</v>
      </c>
      <c r="I140" s="9">
        <v>9.8000000000000007</v>
      </c>
      <c r="J140" s="13">
        <f>IF(IFERROR(VLOOKUP(D140,[1]TDSheet!$A:$N,14,0),0)&gt;1,1,IFERROR(VLOOKUP(D140,[1]TDSheet!$A:$N,14,0),0))</f>
        <v>0.25641025641025639</v>
      </c>
      <c r="K140" s="15">
        <f>IFERROR(VLOOKUP(D140,[1]TDSheet!$A:$M,12,0),0)</f>
        <v>1.5909090909090908</v>
      </c>
      <c r="L140" s="15">
        <f>IFERROR(VLOOKUP(D140,[1]TDSheet!$A:$M,13,0),0)</f>
        <v>4.5454545454545459</v>
      </c>
      <c r="M140" s="15">
        <f t="shared" si="5"/>
        <v>7.9545454545454541</v>
      </c>
      <c r="N140" s="15">
        <f t="shared" si="6"/>
        <v>22.72727272727273</v>
      </c>
      <c r="O140" s="18">
        <f t="shared" si="7"/>
        <v>7.9545454545454541</v>
      </c>
      <c r="P140" s="18">
        <f t="shared" si="8"/>
        <v>9.8000000000000007</v>
      </c>
    </row>
    <row r="141" spans="1:16" outlineLevel="2" x14ac:dyDescent="0.2">
      <c r="A141" s="22" t="s">
        <v>276</v>
      </c>
      <c r="B141" s="22"/>
      <c r="C141" s="22"/>
      <c r="D141" s="23" t="s">
        <v>277</v>
      </c>
      <c r="E141" s="23"/>
      <c r="F141" s="23"/>
      <c r="G141" s="8" t="s">
        <v>91</v>
      </c>
      <c r="H141" s="9">
        <v>100</v>
      </c>
      <c r="I141" s="9">
        <v>30</v>
      </c>
      <c r="J141" s="13">
        <f>IF(IFERROR(VLOOKUP(D141,[1]TDSheet!$A:$N,14,0),0)&gt;1,1,IFERROR(VLOOKUP(D141,[1]TDSheet!$A:$N,14,0),0))</f>
        <v>0</v>
      </c>
      <c r="K141" s="15">
        <f>IFERROR(VLOOKUP(D141,[1]TDSheet!$A:$M,12,0),0)</f>
        <v>0</v>
      </c>
      <c r="L141" s="15">
        <f>IFERROR(VLOOKUP(D141,[1]TDSheet!$A:$M,13,0),0)</f>
        <v>0</v>
      </c>
      <c r="M141" s="15">
        <f t="shared" ref="M141:M191" si="9">IF(K141*$M$6&lt;0,0,K141*$M$6)</f>
        <v>0</v>
      </c>
      <c r="N141" s="15">
        <f t="shared" ref="N141:N191" si="10">IF(L141*$N$6&lt;0,0,L141*$N$6)</f>
        <v>0</v>
      </c>
      <c r="O141" s="18">
        <v>0</v>
      </c>
      <c r="P141" s="18">
        <v>0</v>
      </c>
    </row>
    <row r="142" spans="1:16" outlineLevel="2" x14ac:dyDescent="0.2">
      <c r="A142" s="22" t="s">
        <v>278</v>
      </c>
      <c r="B142" s="22"/>
      <c r="C142" s="22"/>
      <c r="D142" s="23" t="s">
        <v>279</v>
      </c>
      <c r="E142" s="23"/>
      <c r="F142" s="23"/>
      <c r="G142" s="8" t="s">
        <v>91</v>
      </c>
      <c r="H142" s="9">
        <v>83</v>
      </c>
      <c r="I142" s="9">
        <v>58.1</v>
      </c>
      <c r="J142" s="13">
        <f>IF(IFERROR(VLOOKUP(D142,[1]TDSheet!$A:$N,14,0),0)&gt;1,1,IFERROR(VLOOKUP(D142,[1]TDSheet!$A:$N,14,0),0))</f>
        <v>0.15596330275229359</v>
      </c>
      <c r="K142" s="15">
        <f>IFERROR(VLOOKUP(D142,[1]TDSheet!$A:$M,12,0),0)</f>
        <v>1.0818181818181818</v>
      </c>
      <c r="L142" s="15">
        <f>IFERROR(VLOOKUP(D142,[1]TDSheet!$A:$M,13,0),0)</f>
        <v>1.5454545454545454</v>
      </c>
      <c r="M142" s="15">
        <f t="shared" si="9"/>
        <v>5.4090909090909092</v>
      </c>
      <c r="N142" s="15">
        <f t="shared" si="10"/>
        <v>7.7272727272727266</v>
      </c>
      <c r="O142" s="18">
        <f t="shared" ref="O142:O187" si="11">IF(M142&gt;H142,H142,M142)</f>
        <v>5.4090909090909092</v>
      </c>
      <c r="P142" s="18">
        <f t="shared" ref="P142:P187" si="12">IF(N142&gt;I142,I142,N142)</f>
        <v>7.7272727272727266</v>
      </c>
    </row>
    <row r="143" spans="1:16" outlineLevel="1" x14ac:dyDescent="0.2">
      <c r="A143" s="24" t="s">
        <v>280</v>
      </c>
      <c r="B143" s="24"/>
      <c r="C143" s="24"/>
      <c r="D143" s="25" t="s">
        <v>281</v>
      </c>
      <c r="E143" s="25"/>
      <c r="F143" s="25"/>
      <c r="G143" s="5"/>
      <c r="H143" s="12"/>
      <c r="I143" s="12"/>
      <c r="J143" s="13"/>
    </row>
    <row r="144" spans="1:16" outlineLevel="2" x14ac:dyDescent="0.2">
      <c r="A144" s="22" t="s">
        <v>282</v>
      </c>
      <c r="B144" s="22"/>
      <c r="C144" s="22"/>
      <c r="D144" s="23" t="s">
        <v>283</v>
      </c>
      <c r="E144" s="23"/>
      <c r="F144" s="23"/>
      <c r="G144" s="8" t="s">
        <v>18</v>
      </c>
      <c r="H144" s="9">
        <v>268.755</v>
      </c>
      <c r="I144" s="9">
        <v>268.755</v>
      </c>
      <c r="J144" s="13">
        <f>IF(IFERROR(VLOOKUP(D144,[1]TDSheet!$A:$N,14,0),0)&gt;1,1,IFERROR(VLOOKUP(D144,[1]TDSheet!$A:$N,14,0),0))</f>
        <v>0.36221305452517327</v>
      </c>
      <c r="K144" s="15">
        <f>IFERROR(VLOOKUP(D144,[1]TDSheet!$A:$M,12,0),0)</f>
        <v>3.7194999999999996</v>
      </c>
      <c r="L144" s="15">
        <f>IFERROR(VLOOKUP(D144,[1]TDSheet!$A:$M,13,0),0)</f>
        <v>3.7194999999999996</v>
      </c>
      <c r="M144" s="15">
        <f t="shared" si="9"/>
        <v>18.597499999999997</v>
      </c>
      <c r="N144" s="15">
        <f t="shared" si="10"/>
        <v>18.597499999999997</v>
      </c>
      <c r="O144" s="18">
        <f t="shared" si="11"/>
        <v>18.597499999999997</v>
      </c>
      <c r="P144" s="18">
        <f t="shared" si="12"/>
        <v>18.597499999999997</v>
      </c>
    </row>
    <row r="145" spans="1:16" outlineLevel="1" x14ac:dyDescent="0.2">
      <c r="A145" s="24" t="s">
        <v>284</v>
      </c>
      <c r="B145" s="24"/>
      <c r="C145" s="24"/>
      <c r="D145" s="25" t="s">
        <v>285</v>
      </c>
      <c r="E145" s="25"/>
      <c r="F145" s="25"/>
      <c r="G145" s="5"/>
      <c r="H145" s="6"/>
      <c r="I145" s="7"/>
      <c r="J145" s="13"/>
    </row>
    <row r="146" spans="1:16" outlineLevel="2" x14ac:dyDescent="0.2">
      <c r="A146" s="22" t="s">
        <v>286</v>
      </c>
      <c r="B146" s="22"/>
      <c r="C146" s="22"/>
      <c r="D146" s="23" t="s">
        <v>287</v>
      </c>
      <c r="E146" s="23"/>
      <c r="F146" s="23"/>
      <c r="G146" s="8" t="s">
        <v>91</v>
      </c>
      <c r="H146" s="9">
        <v>23</v>
      </c>
      <c r="I146" s="9">
        <v>1.2649999999999999</v>
      </c>
      <c r="J146" s="13">
        <f>IF(IFERROR(VLOOKUP(D146,[1]TDSheet!$A:$N,14,0),0)&gt;1,1,IFERROR(VLOOKUP(D146,[1]TDSheet!$A:$N,14,0),0))</f>
        <v>0</v>
      </c>
      <c r="K146" s="15">
        <f>IFERROR(VLOOKUP(D146,[1]TDSheet!$A:$M,12,0),0)</f>
        <v>0</v>
      </c>
      <c r="L146" s="15">
        <f>IFERROR(VLOOKUP(D146,[1]TDSheet!$A:$M,13,0),0)</f>
        <v>0</v>
      </c>
      <c r="M146" s="15">
        <f t="shared" si="9"/>
        <v>0</v>
      </c>
      <c r="N146" s="15">
        <f t="shared" si="10"/>
        <v>0</v>
      </c>
      <c r="O146" s="18">
        <v>0</v>
      </c>
      <c r="P146" s="18">
        <v>0</v>
      </c>
    </row>
    <row r="147" spans="1:16" outlineLevel="2" x14ac:dyDescent="0.2">
      <c r="A147" s="22" t="s">
        <v>288</v>
      </c>
      <c r="B147" s="22"/>
      <c r="C147" s="22"/>
      <c r="D147" s="23" t="s">
        <v>289</v>
      </c>
      <c r="E147" s="23"/>
      <c r="F147" s="23"/>
      <c r="G147" s="8" t="s">
        <v>91</v>
      </c>
      <c r="H147" s="9">
        <v>21</v>
      </c>
      <c r="I147" s="9">
        <v>2.1</v>
      </c>
      <c r="J147" s="13">
        <f>IF(IFERROR(VLOOKUP(D147,[1]TDSheet!$A:$N,14,0),0)&gt;1,1,IFERROR(VLOOKUP(D147,[1]TDSheet!$A:$N,14,0),0))</f>
        <v>0</v>
      </c>
      <c r="K147" s="15">
        <f>IFERROR(VLOOKUP(D147,[1]TDSheet!$A:$M,12,0),0)</f>
        <v>0</v>
      </c>
      <c r="L147" s="15">
        <f>IFERROR(VLOOKUP(D147,[1]TDSheet!$A:$M,13,0),0)</f>
        <v>0</v>
      </c>
      <c r="M147" s="15">
        <f t="shared" si="9"/>
        <v>0</v>
      </c>
      <c r="N147" s="15">
        <f t="shared" si="10"/>
        <v>0</v>
      </c>
      <c r="O147" s="18">
        <v>0</v>
      </c>
      <c r="P147" s="18">
        <v>0</v>
      </c>
    </row>
    <row r="148" spans="1:16" outlineLevel="2" x14ac:dyDescent="0.2">
      <c r="A148" s="22" t="s">
        <v>290</v>
      </c>
      <c r="B148" s="22"/>
      <c r="C148" s="22"/>
      <c r="D148" s="23" t="s">
        <v>291</v>
      </c>
      <c r="E148" s="23"/>
      <c r="F148" s="23"/>
      <c r="G148" s="8" t="s">
        <v>91</v>
      </c>
      <c r="H148" s="9">
        <v>27</v>
      </c>
      <c r="I148" s="9">
        <v>2.7</v>
      </c>
      <c r="J148" s="13">
        <f>IF(IFERROR(VLOOKUP(D148,[1]TDSheet!$A:$N,14,0),0)&gt;1,1,IFERROR(VLOOKUP(D148,[1]TDSheet!$A:$N,14,0),0))</f>
        <v>0</v>
      </c>
      <c r="K148" s="15">
        <f>IFERROR(VLOOKUP(D148,[1]TDSheet!$A:$M,12,0),0)</f>
        <v>0</v>
      </c>
      <c r="L148" s="15">
        <f>IFERROR(VLOOKUP(D148,[1]TDSheet!$A:$M,13,0),0)</f>
        <v>0</v>
      </c>
      <c r="M148" s="15">
        <f t="shared" si="9"/>
        <v>0</v>
      </c>
      <c r="N148" s="15">
        <f t="shared" si="10"/>
        <v>0</v>
      </c>
      <c r="O148" s="18">
        <v>0</v>
      </c>
      <c r="P148" s="18">
        <v>0</v>
      </c>
    </row>
    <row r="149" spans="1:16" outlineLevel="2" x14ac:dyDescent="0.2">
      <c r="A149" s="22" t="s">
        <v>292</v>
      </c>
      <c r="B149" s="22"/>
      <c r="C149" s="22"/>
      <c r="D149" s="23" t="s">
        <v>293</v>
      </c>
      <c r="E149" s="23"/>
      <c r="F149" s="23"/>
      <c r="G149" s="8" t="s">
        <v>18</v>
      </c>
      <c r="H149" s="9">
        <v>60.197000000000003</v>
      </c>
      <c r="I149" s="9">
        <v>60.197000000000003</v>
      </c>
      <c r="J149" s="13">
        <f>IF(IFERROR(VLOOKUP(D149,[1]TDSheet!$A:$N,14,0),0)&gt;1,1,IFERROR(VLOOKUP(D149,[1]TDSheet!$A:$N,14,0),0))</f>
        <v>7.066910019782513E-2</v>
      </c>
      <c r="K149" s="15">
        <f>IFERROR(VLOOKUP(D149,[1]TDSheet!$A:$M,12,0),0)</f>
        <v>0.79727272727272724</v>
      </c>
      <c r="L149" s="15">
        <f>IFERROR(VLOOKUP(D149,[1]TDSheet!$A:$M,13,0),0)</f>
        <v>0.79727272727272724</v>
      </c>
      <c r="M149" s="15">
        <f t="shared" si="9"/>
        <v>3.9863636363636363</v>
      </c>
      <c r="N149" s="15">
        <f t="shared" si="10"/>
        <v>3.9863636363636363</v>
      </c>
      <c r="O149" s="18">
        <v>0</v>
      </c>
      <c r="P149" s="18">
        <v>0</v>
      </c>
    </row>
    <row r="150" spans="1:16" outlineLevel="2" x14ac:dyDescent="0.2">
      <c r="A150" s="22" t="s">
        <v>294</v>
      </c>
      <c r="B150" s="22"/>
      <c r="C150" s="22"/>
      <c r="D150" s="23" t="s">
        <v>295</v>
      </c>
      <c r="E150" s="23"/>
      <c r="F150" s="23"/>
      <c r="G150" s="8" t="s">
        <v>91</v>
      </c>
      <c r="H150" s="9">
        <v>32</v>
      </c>
      <c r="I150" s="9">
        <v>5.76</v>
      </c>
      <c r="J150" s="13">
        <f>IF(IFERROR(VLOOKUP(D150,[1]TDSheet!$A:$N,14,0),0)&gt;1,1,IFERROR(VLOOKUP(D150,[1]TDSheet!$A:$N,14,0),0))</f>
        <v>0.51138716356107661</v>
      </c>
      <c r="K150" s="15">
        <f>IFERROR(VLOOKUP(D150,[1]TDSheet!$A:$M,12,0),0)</f>
        <v>2.020909090909091</v>
      </c>
      <c r="L150" s="15">
        <f>IFERROR(VLOOKUP(D150,[1]TDSheet!$A:$M,13,0),0)</f>
        <v>11.227272727272727</v>
      </c>
      <c r="M150" s="15">
        <f t="shared" si="9"/>
        <v>10.104545454545455</v>
      </c>
      <c r="N150" s="15">
        <f t="shared" si="10"/>
        <v>56.136363636363633</v>
      </c>
      <c r="O150" s="18">
        <f t="shared" si="11"/>
        <v>10.104545454545455</v>
      </c>
      <c r="P150" s="18">
        <f t="shared" si="12"/>
        <v>5.76</v>
      </c>
    </row>
    <row r="151" spans="1:16" outlineLevel="2" x14ac:dyDescent="0.2">
      <c r="A151" s="22" t="s">
        <v>296</v>
      </c>
      <c r="B151" s="22"/>
      <c r="C151" s="22"/>
      <c r="D151" s="23" t="s">
        <v>297</v>
      </c>
      <c r="E151" s="23"/>
      <c r="F151" s="23"/>
      <c r="G151" s="8" t="s">
        <v>91</v>
      </c>
      <c r="H151" s="9">
        <v>123</v>
      </c>
      <c r="I151" s="9">
        <v>22.14</v>
      </c>
      <c r="J151" s="13">
        <f>IF(IFERROR(VLOOKUP(D151,[1]TDSheet!$A:$N,14,0),0)&gt;1,1,IFERROR(VLOOKUP(D151,[1]TDSheet!$A:$N,14,0),0))</f>
        <v>0.10526315789473684</v>
      </c>
      <c r="K151" s="15">
        <f>IFERROR(VLOOKUP(D151,[1]TDSheet!$A:$M,12,0),0)</f>
        <v>1.6363636363636361E-2</v>
      </c>
      <c r="L151" s="15">
        <f>IFERROR(VLOOKUP(D151,[1]TDSheet!$A:$M,13,0),0)</f>
        <v>9.0909090909090912E-2</v>
      </c>
      <c r="M151" s="15">
        <f t="shared" si="9"/>
        <v>8.1818181818181804E-2</v>
      </c>
      <c r="N151" s="15">
        <f t="shared" si="10"/>
        <v>0.45454545454545459</v>
      </c>
      <c r="O151" s="18">
        <v>0</v>
      </c>
      <c r="P151" s="18">
        <v>0</v>
      </c>
    </row>
    <row r="152" spans="1:16" outlineLevel="2" x14ac:dyDescent="0.2">
      <c r="A152" s="22" t="s">
        <v>298</v>
      </c>
      <c r="B152" s="22"/>
      <c r="C152" s="22"/>
      <c r="D152" s="23" t="s">
        <v>299</v>
      </c>
      <c r="E152" s="23"/>
      <c r="F152" s="23"/>
      <c r="G152" s="8" t="s">
        <v>18</v>
      </c>
      <c r="H152" s="9">
        <v>9.8439999999999994</v>
      </c>
      <c r="I152" s="9">
        <v>9.8439999999999994</v>
      </c>
      <c r="J152" s="13">
        <f>IF(IFERROR(VLOOKUP(D152,[1]TDSheet!$A:$N,14,0),0)&gt;1,1,IFERROR(VLOOKUP(D152,[1]TDSheet!$A:$N,14,0),0))</f>
        <v>9.3498736503560761E-2</v>
      </c>
      <c r="K152" s="15">
        <f>IFERROR(VLOOKUP(D152,[1]TDSheet!$A:$M,12,0),0)</f>
        <v>0.14799999999999999</v>
      </c>
      <c r="L152" s="15">
        <f>IFERROR(VLOOKUP(D152,[1]TDSheet!$A:$M,13,0),0)</f>
        <v>0.14799999999999999</v>
      </c>
      <c r="M152" s="15">
        <f t="shared" si="9"/>
        <v>0.74</v>
      </c>
      <c r="N152" s="15">
        <f t="shared" si="10"/>
        <v>0.74</v>
      </c>
      <c r="O152" s="18">
        <v>0</v>
      </c>
      <c r="P152" s="18">
        <v>0</v>
      </c>
    </row>
    <row r="153" spans="1:16" outlineLevel="2" x14ac:dyDescent="0.2">
      <c r="A153" s="22" t="s">
        <v>300</v>
      </c>
      <c r="B153" s="22"/>
      <c r="C153" s="22"/>
      <c r="D153" s="23" t="s">
        <v>301</v>
      </c>
      <c r="E153" s="23"/>
      <c r="F153" s="23"/>
      <c r="G153" s="8" t="s">
        <v>91</v>
      </c>
      <c r="H153" s="9">
        <v>30</v>
      </c>
      <c r="I153" s="9">
        <v>4.2</v>
      </c>
      <c r="J153" s="13">
        <f>IF(IFERROR(VLOOKUP(D153,[1]TDSheet!$A:$N,14,0),0)&gt;1,1,IFERROR(VLOOKUP(D153,[1]TDSheet!$A:$N,14,0),0))</f>
        <v>5.1724137931034489E-2</v>
      </c>
      <c r="K153" s="15">
        <f>IFERROR(VLOOKUP(D153,[1]TDSheet!$A:$M,12,0),0)</f>
        <v>1.9090909090909089E-2</v>
      </c>
      <c r="L153" s="15">
        <f>IFERROR(VLOOKUP(D153,[1]TDSheet!$A:$M,13,0),0)</f>
        <v>0.13636363636363635</v>
      </c>
      <c r="M153" s="15">
        <f t="shared" si="9"/>
        <v>9.5454545454545445E-2</v>
      </c>
      <c r="N153" s="15">
        <f t="shared" si="10"/>
        <v>0.68181818181818177</v>
      </c>
      <c r="O153" s="18">
        <v>0</v>
      </c>
      <c r="P153" s="18">
        <v>0</v>
      </c>
    </row>
    <row r="154" spans="1:16" outlineLevel="2" x14ac:dyDescent="0.2">
      <c r="A154" s="22" t="s">
        <v>302</v>
      </c>
      <c r="B154" s="22"/>
      <c r="C154" s="22"/>
      <c r="D154" s="23" t="s">
        <v>303</v>
      </c>
      <c r="E154" s="23"/>
      <c r="F154" s="23"/>
      <c r="G154" s="8" t="s">
        <v>91</v>
      </c>
      <c r="H154" s="9">
        <v>53</v>
      </c>
      <c r="I154" s="9">
        <v>9.5399999999999991</v>
      </c>
      <c r="J154" s="13">
        <f>IF(IFERROR(VLOOKUP(D154,[1]TDSheet!$A:$N,14,0),0)&gt;1,1,IFERROR(VLOOKUP(D154,[1]TDSheet!$A:$N,14,0),0))</f>
        <v>0.15189873417721519</v>
      </c>
      <c r="K154" s="15">
        <f>IFERROR(VLOOKUP(D154,[1]TDSheet!$A:$M,12,0),0)</f>
        <v>9.818181818181819E-2</v>
      </c>
      <c r="L154" s="15">
        <f>IFERROR(VLOOKUP(D154,[1]TDSheet!$A:$M,13,0),0)</f>
        <v>0.54545454545454541</v>
      </c>
      <c r="M154" s="15">
        <f t="shared" si="9"/>
        <v>0.49090909090909096</v>
      </c>
      <c r="N154" s="15">
        <f t="shared" si="10"/>
        <v>2.7272727272727271</v>
      </c>
      <c r="O154" s="18">
        <f t="shared" si="11"/>
        <v>0.49090909090909096</v>
      </c>
      <c r="P154" s="18">
        <f t="shared" si="12"/>
        <v>2.7272727272727271</v>
      </c>
    </row>
    <row r="155" spans="1:16" outlineLevel="2" x14ac:dyDescent="0.2">
      <c r="A155" s="22" t="s">
        <v>304</v>
      </c>
      <c r="B155" s="22"/>
      <c r="C155" s="22"/>
      <c r="D155" s="23" t="s">
        <v>305</v>
      </c>
      <c r="E155" s="23"/>
      <c r="F155" s="23"/>
      <c r="G155" s="8" t="s">
        <v>91</v>
      </c>
      <c r="H155" s="9">
        <v>77</v>
      </c>
      <c r="I155" s="9">
        <v>13.86</v>
      </c>
      <c r="J155" s="13">
        <f>IF(IFERROR(VLOOKUP(D155,[1]TDSheet!$A:$N,14,0),0)&gt;1,1,IFERROR(VLOOKUP(D155,[1]TDSheet!$A:$N,14,0),0))</f>
        <v>0.14150943396226418</v>
      </c>
      <c r="K155" s="15">
        <f>IFERROR(VLOOKUP(D155,[1]TDSheet!$A:$M,12,0),0)</f>
        <v>0.24545454545454548</v>
      </c>
      <c r="L155" s="15">
        <f>IFERROR(VLOOKUP(D155,[1]TDSheet!$A:$M,13,0),0)</f>
        <v>1.3636363636363635</v>
      </c>
      <c r="M155" s="15">
        <f t="shared" si="9"/>
        <v>1.2272727272727275</v>
      </c>
      <c r="N155" s="15">
        <f t="shared" si="10"/>
        <v>6.8181818181818175</v>
      </c>
      <c r="O155" s="18">
        <v>0</v>
      </c>
      <c r="P155" s="18">
        <v>0</v>
      </c>
    </row>
    <row r="156" spans="1:16" outlineLevel="2" x14ac:dyDescent="0.2">
      <c r="A156" s="22" t="s">
        <v>306</v>
      </c>
      <c r="B156" s="22"/>
      <c r="C156" s="22"/>
      <c r="D156" s="23" t="s">
        <v>307</v>
      </c>
      <c r="E156" s="23"/>
      <c r="F156" s="23"/>
      <c r="G156" s="8" t="s">
        <v>91</v>
      </c>
      <c r="H156" s="9">
        <v>55</v>
      </c>
      <c r="I156" s="9">
        <v>5.5</v>
      </c>
      <c r="J156" s="13">
        <f>IF(IFERROR(VLOOKUP(D156,[1]TDSheet!$A:$N,14,0),0)&gt;1,1,IFERROR(VLOOKUP(D156,[1]TDSheet!$A:$N,14,0),0))</f>
        <v>0</v>
      </c>
      <c r="K156" s="15">
        <f>IFERROR(VLOOKUP(D156,[1]TDSheet!$A:$M,12,0),0)</f>
        <v>-1.8181818181818184E-2</v>
      </c>
      <c r="L156" s="15">
        <f>IFERROR(VLOOKUP(D156,[1]TDSheet!$A:$M,13,0),0)</f>
        <v>-0.18181818181818182</v>
      </c>
      <c r="M156" s="15">
        <f t="shared" si="9"/>
        <v>0</v>
      </c>
      <c r="N156" s="15">
        <f t="shared" si="10"/>
        <v>0</v>
      </c>
      <c r="O156" s="18">
        <v>0</v>
      </c>
      <c r="P156" s="18">
        <v>0</v>
      </c>
    </row>
    <row r="157" spans="1:16" outlineLevel="2" x14ac:dyDescent="0.2">
      <c r="A157" s="22" t="s">
        <v>308</v>
      </c>
      <c r="B157" s="22"/>
      <c r="C157" s="22"/>
      <c r="D157" s="23" t="s">
        <v>309</v>
      </c>
      <c r="E157" s="23"/>
      <c r="F157" s="23"/>
      <c r="G157" s="8" t="s">
        <v>91</v>
      </c>
      <c r="H157" s="9">
        <v>392</v>
      </c>
      <c r="I157" s="9">
        <v>70.56</v>
      </c>
      <c r="J157" s="13">
        <f>IF(IFERROR(VLOOKUP(D157,[1]TDSheet!$A:$N,14,0),0)&gt;1,1,IFERROR(VLOOKUP(D157,[1]TDSheet!$A:$N,14,0),0))</f>
        <v>0.14578910120311395</v>
      </c>
      <c r="K157" s="15">
        <f>IFERROR(VLOOKUP(D157,[1]TDSheet!$A:$M,12,0),0)</f>
        <v>1.6854545454545453</v>
      </c>
      <c r="L157" s="15">
        <f>IFERROR(VLOOKUP(D157,[1]TDSheet!$A:$M,13,0),0)</f>
        <v>9.3636363636363633</v>
      </c>
      <c r="M157" s="15">
        <f t="shared" si="9"/>
        <v>8.4272727272727259</v>
      </c>
      <c r="N157" s="15">
        <f t="shared" si="10"/>
        <v>46.818181818181813</v>
      </c>
      <c r="O157" s="18">
        <v>0</v>
      </c>
      <c r="P157" s="18">
        <v>0</v>
      </c>
    </row>
    <row r="158" spans="1:16" outlineLevel="2" x14ac:dyDescent="0.2">
      <c r="A158" s="22" t="s">
        <v>310</v>
      </c>
      <c r="B158" s="22"/>
      <c r="C158" s="22"/>
      <c r="D158" s="23" t="s">
        <v>311</v>
      </c>
      <c r="E158" s="23"/>
      <c r="F158" s="23"/>
      <c r="G158" s="8" t="s">
        <v>91</v>
      </c>
      <c r="H158" s="9">
        <v>475</v>
      </c>
      <c r="I158" s="9">
        <v>85.5</v>
      </c>
      <c r="J158" s="13">
        <f>IF(IFERROR(VLOOKUP(D158,[1]TDSheet!$A:$N,14,0),0)&gt;1,1,IFERROR(VLOOKUP(D158,[1]TDSheet!$A:$N,14,0),0))</f>
        <v>0.11357702349869452</v>
      </c>
      <c r="K158" s="15">
        <f>IFERROR(VLOOKUP(D158,[1]TDSheet!$A:$M,12,0),0)</f>
        <v>0.71181818181818179</v>
      </c>
      <c r="L158" s="15">
        <f>IFERROR(VLOOKUP(D158,[1]TDSheet!$A:$M,13,0),0)</f>
        <v>3.9545454545454546</v>
      </c>
      <c r="M158" s="15">
        <f t="shared" si="9"/>
        <v>3.5590909090909091</v>
      </c>
      <c r="N158" s="15">
        <f t="shared" si="10"/>
        <v>19.772727272727273</v>
      </c>
      <c r="O158" s="18">
        <v>0</v>
      </c>
      <c r="P158" s="18">
        <v>0</v>
      </c>
    </row>
    <row r="159" spans="1:16" outlineLevel="2" x14ac:dyDescent="0.2">
      <c r="A159" s="22" t="s">
        <v>312</v>
      </c>
      <c r="B159" s="22"/>
      <c r="C159" s="22"/>
      <c r="D159" s="23" t="s">
        <v>313</v>
      </c>
      <c r="E159" s="23"/>
      <c r="F159" s="23"/>
      <c r="G159" s="8" t="s">
        <v>91</v>
      </c>
      <c r="H159" s="9">
        <v>85</v>
      </c>
      <c r="I159" s="9">
        <v>34</v>
      </c>
      <c r="J159" s="13">
        <f>IF(IFERROR(VLOOKUP(D159,[1]TDSheet!$A:$N,14,0),0)&gt;1,1,IFERROR(VLOOKUP(D159,[1]TDSheet!$A:$N,14,0),0))</f>
        <v>0</v>
      </c>
      <c r="K159" s="15">
        <f>IFERROR(VLOOKUP(D159,[1]TDSheet!$A:$M,12,0),0)</f>
        <v>-1.8181818181818184E-2</v>
      </c>
      <c r="L159" s="15">
        <f>IFERROR(VLOOKUP(D159,[1]TDSheet!$A:$M,13,0),0)</f>
        <v>-4.5454545454545456E-2</v>
      </c>
      <c r="M159" s="15">
        <f t="shared" si="9"/>
        <v>0</v>
      </c>
      <c r="N159" s="15">
        <f t="shared" si="10"/>
        <v>0</v>
      </c>
      <c r="O159" s="18">
        <v>0</v>
      </c>
      <c r="P159" s="18">
        <v>0</v>
      </c>
    </row>
    <row r="160" spans="1:16" outlineLevel="2" x14ac:dyDescent="0.2">
      <c r="A160" s="22" t="s">
        <v>314</v>
      </c>
      <c r="B160" s="22"/>
      <c r="C160" s="22"/>
      <c r="D160" s="23" t="s">
        <v>315</v>
      </c>
      <c r="E160" s="23"/>
      <c r="F160" s="23"/>
      <c r="G160" s="8" t="s">
        <v>91</v>
      </c>
      <c r="H160" s="9">
        <v>174</v>
      </c>
      <c r="I160" s="9">
        <v>31.32</v>
      </c>
      <c r="J160" s="13">
        <f>IF(IFERROR(VLOOKUP(D160,[1]TDSheet!$A:$N,14,0),0)&gt;1,1,IFERROR(VLOOKUP(D160,[1]TDSheet!$A:$N,14,0),0))</f>
        <v>0.12195121951219513</v>
      </c>
      <c r="K160" s="15">
        <f>IFERROR(VLOOKUP(D160,[1]TDSheet!$A:$M,12,0),0)</f>
        <v>4.0909090909090909E-2</v>
      </c>
      <c r="L160" s="15">
        <f>IFERROR(VLOOKUP(D160,[1]TDSheet!$A:$M,13,0),0)</f>
        <v>0.22727272727272727</v>
      </c>
      <c r="M160" s="15">
        <f t="shared" si="9"/>
        <v>0.20454545454545453</v>
      </c>
      <c r="N160" s="15">
        <f t="shared" si="10"/>
        <v>1.1363636363636362</v>
      </c>
      <c r="O160" s="18">
        <v>0</v>
      </c>
      <c r="P160" s="18">
        <v>0</v>
      </c>
    </row>
    <row r="161" spans="1:16" outlineLevel="2" x14ac:dyDescent="0.2">
      <c r="A161" s="22" t="s">
        <v>316</v>
      </c>
      <c r="B161" s="22"/>
      <c r="C161" s="22"/>
      <c r="D161" s="23" t="s">
        <v>317</v>
      </c>
      <c r="E161" s="23"/>
      <c r="F161" s="23"/>
      <c r="G161" s="8" t="s">
        <v>91</v>
      </c>
      <c r="H161" s="9">
        <v>42</v>
      </c>
      <c r="I161" s="9">
        <v>16.8</v>
      </c>
      <c r="J161" s="13">
        <f>IF(IFERROR(VLOOKUP(D161,[1]TDSheet!$A:$N,14,0),0)&gt;1,1,IFERROR(VLOOKUP(D161,[1]TDSheet!$A:$N,14,0),0))</f>
        <v>0.22222222222222224</v>
      </c>
      <c r="K161" s="15">
        <f>IFERROR(VLOOKUP(D161,[1]TDSheet!$A:$M,12,0),0)</f>
        <v>7.2727272727272738E-2</v>
      </c>
      <c r="L161" s="15">
        <f>IFERROR(VLOOKUP(D161,[1]TDSheet!$A:$M,13,0),0)</f>
        <v>0.18181818181818182</v>
      </c>
      <c r="M161" s="15">
        <f t="shared" si="9"/>
        <v>0.3636363636363637</v>
      </c>
      <c r="N161" s="15">
        <f t="shared" si="10"/>
        <v>0.90909090909090917</v>
      </c>
      <c r="O161" s="18">
        <f t="shared" si="11"/>
        <v>0.3636363636363637</v>
      </c>
      <c r="P161" s="18">
        <f t="shared" si="12"/>
        <v>0.90909090909090917</v>
      </c>
    </row>
    <row r="162" spans="1:16" outlineLevel="2" x14ac:dyDescent="0.2">
      <c r="A162" s="22" t="s">
        <v>318</v>
      </c>
      <c r="B162" s="22"/>
      <c r="C162" s="22"/>
      <c r="D162" s="23" t="s">
        <v>319</v>
      </c>
      <c r="E162" s="23"/>
      <c r="F162" s="23"/>
      <c r="G162" s="8" t="s">
        <v>18</v>
      </c>
      <c r="H162" s="9">
        <v>59.395000000000003</v>
      </c>
      <c r="I162" s="9">
        <v>59.395000000000003</v>
      </c>
      <c r="J162" s="13">
        <f>IF(IFERROR(VLOOKUP(D162,[1]TDSheet!$A:$N,14,0),0)&gt;1,1,IFERROR(VLOOKUP(D162,[1]TDSheet!$A:$N,14,0),0))</f>
        <v>0</v>
      </c>
      <c r="K162" s="15">
        <f>IFERROR(VLOOKUP(D162,[1]TDSheet!$A:$M,12,0),0)</f>
        <v>0</v>
      </c>
      <c r="L162" s="15">
        <f>IFERROR(VLOOKUP(D162,[1]TDSheet!$A:$M,13,0),0)</f>
        <v>0</v>
      </c>
      <c r="M162" s="15">
        <f t="shared" si="9"/>
        <v>0</v>
      </c>
      <c r="N162" s="15">
        <f t="shared" si="10"/>
        <v>0</v>
      </c>
      <c r="O162" s="18">
        <v>0</v>
      </c>
      <c r="P162" s="18">
        <v>0</v>
      </c>
    </row>
    <row r="163" spans="1:16" outlineLevel="2" x14ac:dyDescent="0.2">
      <c r="A163" s="22" t="s">
        <v>320</v>
      </c>
      <c r="B163" s="22"/>
      <c r="C163" s="22"/>
      <c r="D163" s="23" t="s">
        <v>321</v>
      </c>
      <c r="E163" s="23"/>
      <c r="F163" s="23"/>
      <c r="G163" s="8" t="s">
        <v>91</v>
      </c>
      <c r="H163" s="9">
        <v>24</v>
      </c>
      <c r="I163" s="9">
        <v>4.8</v>
      </c>
      <c r="J163" s="13">
        <f>IF(IFERROR(VLOOKUP(D163,[1]TDSheet!$A:$N,14,0),0)&gt;1,1,IFERROR(VLOOKUP(D163,[1]TDSheet!$A:$N,14,0),0))</f>
        <v>0</v>
      </c>
      <c r="K163" s="15">
        <f>IFERROR(VLOOKUP(D163,[1]TDSheet!$A:$M,12,0),0)</f>
        <v>0</v>
      </c>
      <c r="L163" s="15">
        <f>IFERROR(VLOOKUP(D163,[1]TDSheet!$A:$M,13,0),0)</f>
        <v>0</v>
      </c>
      <c r="M163" s="15">
        <f t="shared" si="9"/>
        <v>0</v>
      </c>
      <c r="N163" s="15">
        <f t="shared" si="10"/>
        <v>0</v>
      </c>
      <c r="O163" s="18">
        <v>0</v>
      </c>
      <c r="P163" s="18">
        <v>0</v>
      </c>
    </row>
    <row r="164" spans="1:16" outlineLevel="2" x14ac:dyDescent="0.2">
      <c r="A164" s="22" t="s">
        <v>322</v>
      </c>
      <c r="B164" s="22"/>
      <c r="C164" s="22"/>
      <c r="D164" s="23" t="s">
        <v>323</v>
      </c>
      <c r="E164" s="23"/>
      <c r="F164" s="23"/>
      <c r="G164" s="8" t="s">
        <v>18</v>
      </c>
      <c r="H164" s="9">
        <v>14.645</v>
      </c>
      <c r="I164" s="9">
        <v>14.645</v>
      </c>
      <c r="J164" s="13">
        <f>IF(IFERROR(VLOOKUP(D164,[1]TDSheet!$A:$N,14,0),0)&gt;1,1,IFERROR(VLOOKUP(D164,[1]TDSheet!$A:$N,14,0),0))</f>
        <v>0</v>
      </c>
      <c r="K164" s="15">
        <f>IFERROR(VLOOKUP(D164,[1]TDSheet!$A:$M,12,0),0)</f>
        <v>0</v>
      </c>
      <c r="L164" s="15">
        <f>IFERROR(VLOOKUP(D164,[1]TDSheet!$A:$M,13,0),0)</f>
        <v>0</v>
      </c>
      <c r="M164" s="15">
        <f t="shared" si="9"/>
        <v>0</v>
      </c>
      <c r="N164" s="15">
        <f t="shared" si="10"/>
        <v>0</v>
      </c>
      <c r="O164" s="18">
        <v>0</v>
      </c>
      <c r="P164" s="18">
        <v>0</v>
      </c>
    </row>
    <row r="165" spans="1:16" outlineLevel="2" x14ac:dyDescent="0.2">
      <c r="A165" s="22" t="s">
        <v>324</v>
      </c>
      <c r="B165" s="22"/>
      <c r="C165" s="22"/>
      <c r="D165" s="23" t="s">
        <v>325</v>
      </c>
      <c r="E165" s="23"/>
      <c r="F165" s="23"/>
      <c r="G165" s="8" t="s">
        <v>91</v>
      </c>
      <c r="H165" s="9">
        <v>111</v>
      </c>
      <c r="I165" s="9">
        <v>19.98</v>
      </c>
      <c r="J165" s="13">
        <f>IF(IFERROR(VLOOKUP(D165,[1]TDSheet!$A:$N,14,0),0)&gt;1,1,IFERROR(VLOOKUP(D165,[1]TDSheet!$A:$N,14,0),0))</f>
        <v>1</v>
      </c>
      <c r="K165" s="15">
        <f>IFERROR(VLOOKUP(D165,[1]TDSheet!$A:$M,12,0),0)</f>
        <v>5.7272727272727274E-2</v>
      </c>
      <c r="L165" s="15">
        <f>IFERROR(VLOOKUP(D165,[1]TDSheet!$A:$M,13,0),0)</f>
        <v>0.31818181818181818</v>
      </c>
      <c r="M165" s="15">
        <f t="shared" si="9"/>
        <v>0.28636363636363638</v>
      </c>
      <c r="N165" s="15">
        <f t="shared" si="10"/>
        <v>1.5909090909090908</v>
      </c>
      <c r="O165" s="18">
        <f>I165</f>
        <v>19.98</v>
      </c>
      <c r="P165" s="18">
        <f>H165</f>
        <v>111</v>
      </c>
    </row>
    <row r="166" spans="1:16" outlineLevel="2" x14ac:dyDescent="0.2">
      <c r="A166" s="22" t="s">
        <v>326</v>
      </c>
      <c r="B166" s="22"/>
      <c r="C166" s="22"/>
      <c r="D166" s="23" t="s">
        <v>327</v>
      </c>
      <c r="E166" s="23"/>
      <c r="F166" s="23"/>
      <c r="G166" s="8" t="s">
        <v>91</v>
      </c>
      <c r="H166" s="9">
        <v>86</v>
      </c>
      <c r="I166" s="9">
        <v>8.6</v>
      </c>
      <c r="J166" s="13">
        <f>IF(IFERROR(VLOOKUP(D166,[1]TDSheet!$A:$N,14,0),0)&gt;1,1,IFERROR(VLOOKUP(D166,[1]TDSheet!$A:$N,14,0),0))</f>
        <v>0.4763779527559055</v>
      </c>
      <c r="K166" s="15">
        <f>IFERROR(VLOOKUP(D166,[1]TDSheet!$A:$M,12,0),0)</f>
        <v>0.54999999999999993</v>
      </c>
      <c r="L166" s="15">
        <f>IFERROR(VLOOKUP(D166,[1]TDSheet!$A:$M,13,0),0)</f>
        <v>5.5</v>
      </c>
      <c r="M166" s="15">
        <f t="shared" si="9"/>
        <v>2.7499999999999996</v>
      </c>
      <c r="N166" s="15">
        <f t="shared" si="10"/>
        <v>27.5</v>
      </c>
      <c r="O166" s="18">
        <f t="shared" si="11"/>
        <v>2.7499999999999996</v>
      </c>
      <c r="P166" s="18">
        <f t="shared" si="12"/>
        <v>8.6</v>
      </c>
    </row>
    <row r="167" spans="1:16" outlineLevel="2" x14ac:dyDescent="0.2">
      <c r="A167" s="22" t="s">
        <v>328</v>
      </c>
      <c r="B167" s="22"/>
      <c r="C167" s="22"/>
      <c r="D167" s="23" t="s">
        <v>329</v>
      </c>
      <c r="E167" s="23"/>
      <c r="F167" s="23"/>
      <c r="G167" s="8" t="s">
        <v>91</v>
      </c>
      <c r="H167" s="9">
        <v>294</v>
      </c>
      <c r="I167" s="9">
        <v>29.4</v>
      </c>
      <c r="J167" s="13">
        <f>IF(IFERROR(VLOOKUP(D167,[1]TDSheet!$A:$N,14,0),0)&gt;1,1,IFERROR(VLOOKUP(D167,[1]TDSheet!$A:$N,14,0),0))</f>
        <v>0.36930860033726814</v>
      </c>
      <c r="K167" s="15">
        <f>IFERROR(VLOOKUP(D167,[1]TDSheet!$A:$M,12,0),0)</f>
        <v>0.99545454545454537</v>
      </c>
      <c r="L167" s="15">
        <f>IFERROR(VLOOKUP(D167,[1]TDSheet!$A:$M,13,0),0)</f>
        <v>9.954545454545455</v>
      </c>
      <c r="M167" s="15">
        <f t="shared" si="9"/>
        <v>4.9772727272727266</v>
      </c>
      <c r="N167" s="15">
        <f t="shared" si="10"/>
        <v>49.772727272727273</v>
      </c>
      <c r="O167" s="18">
        <f t="shared" si="11"/>
        <v>4.9772727272727266</v>
      </c>
      <c r="P167" s="18">
        <f t="shared" si="12"/>
        <v>29.4</v>
      </c>
    </row>
    <row r="168" spans="1:16" outlineLevel="2" x14ac:dyDescent="0.2">
      <c r="A168" s="22" t="s">
        <v>330</v>
      </c>
      <c r="B168" s="22"/>
      <c r="C168" s="22"/>
      <c r="D168" s="23" t="s">
        <v>331</v>
      </c>
      <c r="E168" s="23"/>
      <c r="F168" s="23"/>
      <c r="G168" s="8" t="s">
        <v>91</v>
      </c>
      <c r="H168" s="9">
        <v>64</v>
      </c>
      <c r="I168" s="9">
        <v>6.4</v>
      </c>
      <c r="J168" s="13">
        <f>IF(IFERROR(VLOOKUP(D168,[1]TDSheet!$A:$N,14,0),0)&gt;1,1,IFERROR(VLOOKUP(D168,[1]TDSheet!$A:$N,14,0),0))</f>
        <v>0.38228438228438227</v>
      </c>
      <c r="K168" s="15">
        <f>IFERROR(VLOOKUP(D168,[1]TDSheet!$A:$M,12,0),0)</f>
        <v>0.74545454545454537</v>
      </c>
      <c r="L168" s="15">
        <f>IFERROR(VLOOKUP(D168,[1]TDSheet!$A:$M,13,0),0)</f>
        <v>7.4545454545454541</v>
      </c>
      <c r="M168" s="15">
        <f t="shared" si="9"/>
        <v>3.7272727272727266</v>
      </c>
      <c r="N168" s="15">
        <f t="shared" si="10"/>
        <v>37.272727272727273</v>
      </c>
      <c r="O168" s="18">
        <f t="shared" si="11"/>
        <v>3.7272727272727266</v>
      </c>
      <c r="P168" s="18">
        <f t="shared" si="12"/>
        <v>6.4</v>
      </c>
    </row>
    <row r="169" spans="1:16" outlineLevel="2" x14ac:dyDescent="0.2">
      <c r="A169" s="22" t="s">
        <v>332</v>
      </c>
      <c r="B169" s="22"/>
      <c r="C169" s="22"/>
      <c r="D169" s="23" t="s">
        <v>333</v>
      </c>
      <c r="E169" s="23"/>
      <c r="F169" s="23"/>
      <c r="G169" s="8" t="s">
        <v>91</v>
      </c>
      <c r="H169" s="9">
        <v>95</v>
      </c>
      <c r="I169" s="9">
        <v>17.100000000000001</v>
      </c>
      <c r="J169" s="13">
        <f>IF(IFERROR(VLOOKUP(D169,[1]TDSheet!$A:$N,14,0),0)&gt;1,1,IFERROR(VLOOKUP(D169,[1]TDSheet!$A:$N,14,0),0))</f>
        <v>9.0909090909090912E-2</v>
      </c>
      <c r="K169" s="15">
        <f>IFERROR(VLOOKUP(D169,[1]TDSheet!$A:$M,12,0),0)</f>
        <v>-8.1818181818181807E-3</v>
      </c>
      <c r="L169" s="15">
        <f>IFERROR(VLOOKUP(D169,[1]TDSheet!$A:$M,13,0),0)</f>
        <v>-4.5454545454545456E-2</v>
      </c>
      <c r="M169" s="15">
        <f t="shared" si="9"/>
        <v>0</v>
      </c>
      <c r="N169" s="15">
        <f t="shared" si="10"/>
        <v>0</v>
      </c>
      <c r="O169" s="18">
        <v>0</v>
      </c>
      <c r="P169" s="18">
        <v>0</v>
      </c>
    </row>
    <row r="170" spans="1:16" outlineLevel="2" x14ac:dyDescent="0.2">
      <c r="A170" s="22" t="s">
        <v>334</v>
      </c>
      <c r="B170" s="22"/>
      <c r="C170" s="22"/>
      <c r="D170" s="23" t="s">
        <v>335</v>
      </c>
      <c r="E170" s="23"/>
      <c r="F170" s="23"/>
      <c r="G170" s="8" t="s">
        <v>91</v>
      </c>
      <c r="H170" s="9">
        <v>126</v>
      </c>
      <c r="I170" s="9">
        <v>22.68</v>
      </c>
      <c r="J170" s="13">
        <f>IF(IFERROR(VLOOKUP(D170,[1]TDSheet!$A:$N,14,0),0)&gt;1,1,IFERROR(VLOOKUP(D170,[1]TDSheet!$A:$N,14,0),0))</f>
        <v>0.22115384615384617</v>
      </c>
      <c r="K170" s="15">
        <f>IFERROR(VLOOKUP(D170,[1]TDSheet!$A:$M,12,0),0)</f>
        <v>1.3172727272727274</v>
      </c>
      <c r="L170" s="15">
        <f>IFERROR(VLOOKUP(D170,[1]TDSheet!$A:$M,13,0),0)</f>
        <v>7.3181818181818183</v>
      </c>
      <c r="M170" s="15">
        <f t="shared" si="9"/>
        <v>6.5863636363636369</v>
      </c>
      <c r="N170" s="15">
        <f t="shared" si="10"/>
        <v>36.590909090909093</v>
      </c>
      <c r="O170" s="18">
        <f t="shared" si="11"/>
        <v>6.5863636363636369</v>
      </c>
      <c r="P170" s="18">
        <f t="shared" si="12"/>
        <v>22.68</v>
      </c>
    </row>
    <row r="171" spans="1:16" outlineLevel="2" x14ac:dyDescent="0.2">
      <c r="A171" s="22" t="s">
        <v>336</v>
      </c>
      <c r="B171" s="22"/>
      <c r="C171" s="22"/>
      <c r="D171" s="23" t="s">
        <v>337</v>
      </c>
      <c r="E171" s="23"/>
      <c r="F171" s="23"/>
      <c r="G171" s="8" t="s">
        <v>91</v>
      </c>
      <c r="H171" s="9">
        <v>3</v>
      </c>
      <c r="I171" s="9">
        <v>0.54</v>
      </c>
      <c r="J171" s="13">
        <f>IF(IFERROR(VLOOKUP(D171,[1]TDSheet!$A:$N,14,0),0)&gt;1,1,IFERROR(VLOOKUP(D171,[1]TDSheet!$A:$N,14,0),0))</f>
        <v>0</v>
      </c>
      <c r="K171" s="15">
        <f>IFERROR(VLOOKUP(D171,[1]TDSheet!$A:$M,12,0),0)</f>
        <v>0</v>
      </c>
      <c r="L171" s="15">
        <f>IFERROR(VLOOKUP(D171,[1]TDSheet!$A:$M,13,0),0)</f>
        <v>0</v>
      </c>
      <c r="M171" s="15">
        <f t="shared" si="9"/>
        <v>0</v>
      </c>
      <c r="N171" s="15">
        <f t="shared" si="10"/>
        <v>0</v>
      </c>
      <c r="O171" s="18">
        <v>0</v>
      </c>
      <c r="P171" s="18">
        <v>0</v>
      </c>
    </row>
    <row r="172" spans="1:16" outlineLevel="2" x14ac:dyDescent="0.2">
      <c r="A172" s="22" t="s">
        <v>338</v>
      </c>
      <c r="B172" s="22"/>
      <c r="C172" s="22"/>
      <c r="D172" s="23" t="s">
        <v>339</v>
      </c>
      <c r="E172" s="23"/>
      <c r="F172" s="23"/>
      <c r="G172" s="8" t="s">
        <v>91</v>
      </c>
      <c r="H172" s="9">
        <v>106</v>
      </c>
      <c r="I172" s="9">
        <v>19.079999999999998</v>
      </c>
      <c r="J172" s="13">
        <f>IF(IFERROR(VLOOKUP(D172,[1]TDSheet!$A:$N,14,0),0)&gt;1,1,IFERROR(VLOOKUP(D172,[1]TDSheet!$A:$N,14,0),0))</f>
        <v>9.3750000000000014E-2</v>
      </c>
      <c r="K172" s="15">
        <f>IFERROR(VLOOKUP(D172,[1]TDSheet!$A:$M,12,0),0)</f>
        <v>9.818181818181819E-2</v>
      </c>
      <c r="L172" s="15">
        <f>IFERROR(VLOOKUP(D172,[1]TDSheet!$A:$M,13,0),0)</f>
        <v>0.54545454545454541</v>
      </c>
      <c r="M172" s="15">
        <f t="shared" si="9"/>
        <v>0.49090909090909096</v>
      </c>
      <c r="N172" s="15">
        <f t="shared" si="10"/>
        <v>2.7272727272727271</v>
      </c>
      <c r="O172" s="18">
        <v>0</v>
      </c>
      <c r="P172" s="18">
        <v>0</v>
      </c>
    </row>
    <row r="173" spans="1:16" outlineLevel="2" x14ac:dyDescent="0.2">
      <c r="A173" s="22" t="s">
        <v>340</v>
      </c>
      <c r="B173" s="22"/>
      <c r="C173" s="22"/>
      <c r="D173" s="23" t="s">
        <v>341</v>
      </c>
      <c r="E173" s="23"/>
      <c r="F173" s="23"/>
      <c r="G173" s="8" t="s">
        <v>91</v>
      </c>
      <c r="H173" s="9">
        <v>542</v>
      </c>
      <c r="I173" s="9">
        <v>97.56</v>
      </c>
      <c r="J173" s="13">
        <f>IF(IFERROR(VLOOKUP(D173,[1]TDSheet!$A:$N,14,0),0)&gt;1,1,IFERROR(VLOOKUP(D173,[1]TDSheet!$A:$N,14,0),0))</f>
        <v>0.12488928255093003</v>
      </c>
      <c r="K173" s="15">
        <f>IFERROR(VLOOKUP(D173,[1]TDSheet!$A:$M,12,0),0)</f>
        <v>1.1536363636363636</v>
      </c>
      <c r="L173" s="15">
        <f>IFERROR(VLOOKUP(D173,[1]TDSheet!$A:$M,13,0),0)</f>
        <v>6.4090909090909092</v>
      </c>
      <c r="M173" s="15">
        <f t="shared" si="9"/>
        <v>5.7681818181818176</v>
      </c>
      <c r="N173" s="15">
        <f t="shared" si="10"/>
        <v>32.045454545454547</v>
      </c>
      <c r="O173" s="18">
        <v>0</v>
      </c>
      <c r="P173" s="18">
        <v>0</v>
      </c>
    </row>
    <row r="174" spans="1:16" outlineLevel="2" x14ac:dyDescent="0.2">
      <c r="A174" s="22" t="s">
        <v>342</v>
      </c>
      <c r="B174" s="22"/>
      <c r="C174" s="22"/>
      <c r="D174" s="23" t="s">
        <v>343</v>
      </c>
      <c r="E174" s="23"/>
      <c r="F174" s="23"/>
      <c r="G174" s="8" t="s">
        <v>91</v>
      </c>
      <c r="H174" s="9">
        <v>204</v>
      </c>
      <c r="I174" s="9">
        <v>36.72</v>
      </c>
      <c r="J174" s="13">
        <f>IF(IFERROR(VLOOKUP(D174,[1]TDSheet!$A:$N,14,0),0)&gt;1,1,IFERROR(VLOOKUP(D174,[1]TDSheet!$A:$N,14,0),0))</f>
        <v>0.18965517241379309</v>
      </c>
      <c r="K174" s="15">
        <f>IFERROR(VLOOKUP(D174,[1]TDSheet!$A:$M,12,0),0)</f>
        <v>0.63</v>
      </c>
      <c r="L174" s="15">
        <f>IFERROR(VLOOKUP(D174,[1]TDSheet!$A:$M,13,0),0)</f>
        <v>3.5</v>
      </c>
      <c r="M174" s="15">
        <f t="shared" si="9"/>
        <v>3.15</v>
      </c>
      <c r="N174" s="15">
        <f t="shared" si="10"/>
        <v>17.5</v>
      </c>
      <c r="O174" s="18">
        <f t="shared" si="11"/>
        <v>3.15</v>
      </c>
      <c r="P174" s="18">
        <f t="shared" si="12"/>
        <v>17.5</v>
      </c>
    </row>
    <row r="175" spans="1:16" outlineLevel="2" x14ac:dyDescent="0.2">
      <c r="A175" s="22" t="s">
        <v>344</v>
      </c>
      <c r="B175" s="22"/>
      <c r="C175" s="22"/>
      <c r="D175" s="23" t="s">
        <v>345</v>
      </c>
      <c r="E175" s="23"/>
      <c r="F175" s="23"/>
      <c r="G175" s="8" t="s">
        <v>91</v>
      </c>
      <c r="H175" s="9">
        <v>142</v>
      </c>
      <c r="I175" s="9">
        <v>25.56</v>
      </c>
      <c r="J175" s="13">
        <f>IF(IFERROR(VLOOKUP(D175,[1]TDSheet!$A:$N,14,0),0)&gt;1,1,IFERROR(VLOOKUP(D175,[1]TDSheet!$A:$N,14,0),0))</f>
        <v>0.11989100817438691</v>
      </c>
      <c r="K175" s="15">
        <f>IFERROR(VLOOKUP(D175,[1]TDSheet!$A:$M,12,0),0)</f>
        <v>0.36</v>
      </c>
      <c r="L175" s="15">
        <f>IFERROR(VLOOKUP(D175,[1]TDSheet!$A:$M,13,0),0)</f>
        <v>2</v>
      </c>
      <c r="M175" s="15">
        <f t="shared" si="9"/>
        <v>1.7999999999999998</v>
      </c>
      <c r="N175" s="15">
        <f t="shared" si="10"/>
        <v>10</v>
      </c>
      <c r="O175" s="18">
        <v>0</v>
      </c>
      <c r="P175" s="18">
        <v>0</v>
      </c>
    </row>
    <row r="176" spans="1:16" outlineLevel="2" x14ac:dyDescent="0.2">
      <c r="A176" s="22" t="s">
        <v>346</v>
      </c>
      <c r="B176" s="22"/>
      <c r="C176" s="22"/>
      <c r="D176" s="23" t="s">
        <v>347</v>
      </c>
      <c r="E176" s="23"/>
      <c r="F176" s="23"/>
      <c r="G176" s="8" t="s">
        <v>18</v>
      </c>
      <c r="H176" s="9">
        <v>162.59399999999999</v>
      </c>
      <c r="I176" s="9">
        <v>162.59399999999999</v>
      </c>
      <c r="J176" s="13">
        <f>IF(IFERROR(VLOOKUP(D176,[1]TDSheet!$A:$N,14,0),0)&gt;1,1,IFERROR(VLOOKUP(D176,[1]TDSheet!$A:$N,14,0),0))</f>
        <v>0.3927738927738928</v>
      </c>
      <c r="K176" s="15">
        <f>IFERROR(VLOOKUP(D176,[1]TDSheet!$A:$M,12,0),0)</f>
        <v>0.45954545454545453</v>
      </c>
      <c r="L176" s="15">
        <f>IFERROR(VLOOKUP(D176,[1]TDSheet!$A:$M,13,0),0)</f>
        <v>0.45954545454545453</v>
      </c>
      <c r="M176" s="15">
        <f t="shared" si="9"/>
        <v>2.2977272727272728</v>
      </c>
      <c r="N176" s="15">
        <f t="shared" si="10"/>
        <v>2.2977272727272728</v>
      </c>
      <c r="O176" s="18">
        <f t="shared" si="11"/>
        <v>2.2977272727272728</v>
      </c>
      <c r="P176" s="18">
        <f t="shared" si="12"/>
        <v>2.2977272727272728</v>
      </c>
    </row>
    <row r="177" spans="1:16" outlineLevel="2" x14ac:dyDescent="0.2">
      <c r="A177" s="22" t="s">
        <v>348</v>
      </c>
      <c r="B177" s="22"/>
      <c r="C177" s="22"/>
      <c r="D177" s="23" t="s">
        <v>349</v>
      </c>
      <c r="E177" s="23"/>
      <c r="F177" s="23"/>
      <c r="G177" s="8" t="s">
        <v>18</v>
      </c>
      <c r="H177" s="9">
        <v>43.125999999999998</v>
      </c>
      <c r="I177" s="9">
        <v>43.125999999999998</v>
      </c>
      <c r="J177" s="13">
        <f>IF(IFERROR(VLOOKUP(D177,[1]TDSheet!$A:$N,14,0),0)&gt;1,1,IFERROR(VLOOKUP(D177,[1]TDSheet!$A:$N,14,0),0))</f>
        <v>0.47729935258452366</v>
      </c>
      <c r="K177" s="15">
        <f>IFERROR(VLOOKUP(D177,[1]TDSheet!$A:$M,12,0),0)</f>
        <v>2.111181818181818</v>
      </c>
      <c r="L177" s="15">
        <f>IFERROR(VLOOKUP(D177,[1]TDSheet!$A:$M,13,0),0)</f>
        <v>2.111181818181818</v>
      </c>
      <c r="M177" s="15">
        <f t="shared" si="9"/>
        <v>10.55590909090909</v>
      </c>
      <c r="N177" s="15">
        <f t="shared" si="10"/>
        <v>10.55590909090909</v>
      </c>
      <c r="O177" s="18">
        <f t="shared" si="11"/>
        <v>10.55590909090909</v>
      </c>
      <c r="P177" s="18">
        <f t="shared" si="12"/>
        <v>10.55590909090909</v>
      </c>
    </row>
    <row r="178" spans="1:16" outlineLevel="2" x14ac:dyDescent="0.2">
      <c r="A178" s="22" t="s">
        <v>350</v>
      </c>
      <c r="B178" s="22"/>
      <c r="C178" s="22"/>
      <c r="D178" s="23" t="s">
        <v>351</v>
      </c>
      <c r="E178" s="23"/>
      <c r="F178" s="23"/>
      <c r="G178" s="8" t="s">
        <v>18</v>
      </c>
      <c r="H178" s="9">
        <v>-13.666</v>
      </c>
      <c r="I178" s="9">
        <v>-13.666</v>
      </c>
      <c r="J178" s="13">
        <f>IF(IFERROR(VLOOKUP(D178,[1]TDSheet!$A:$N,14,0),0)&gt;1,1,IFERROR(VLOOKUP(D178,[1]TDSheet!$A:$N,14,0),0))</f>
        <v>1</v>
      </c>
      <c r="K178" s="15">
        <f>IFERROR(VLOOKUP(D178,[1]TDSheet!$A:$M,12,0),0)</f>
        <v>0.502</v>
      </c>
      <c r="L178" s="15">
        <f>IFERROR(VLOOKUP(D178,[1]TDSheet!$A:$M,13,0),0)</f>
        <v>0.502</v>
      </c>
      <c r="M178" s="15">
        <f t="shared" si="9"/>
        <v>2.5099999999999998</v>
      </c>
      <c r="N178" s="15">
        <f t="shared" si="10"/>
        <v>2.5099999999999998</v>
      </c>
      <c r="O178" s="18">
        <v>0</v>
      </c>
      <c r="P178" s="18">
        <v>0</v>
      </c>
    </row>
    <row r="179" spans="1:16" outlineLevel="2" x14ac:dyDescent="0.2">
      <c r="A179" s="22" t="s">
        <v>352</v>
      </c>
      <c r="B179" s="22"/>
      <c r="C179" s="22"/>
      <c r="D179" s="23" t="s">
        <v>353</v>
      </c>
      <c r="E179" s="23"/>
      <c r="F179" s="23"/>
      <c r="G179" s="8" t="s">
        <v>18</v>
      </c>
      <c r="H179" s="9">
        <v>66.222999999999999</v>
      </c>
      <c r="I179" s="9">
        <v>66.222999999999999</v>
      </c>
      <c r="J179" s="13">
        <f>IF(IFERROR(VLOOKUP(D179,[1]TDSheet!$A:$N,14,0),0)&gt;1,1,IFERROR(VLOOKUP(D179,[1]TDSheet!$A:$N,14,0),0))</f>
        <v>0.36792548174100526</v>
      </c>
      <c r="K179" s="15">
        <f>IFERROR(VLOOKUP(D179,[1]TDSheet!$A:$M,12,0),0)</f>
        <v>3.9714545454545456</v>
      </c>
      <c r="L179" s="15">
        <f>IFERROR(VLOOKUP(D179,[1]TDSheet!$A:$M,13,0),0)</f>
        <v>3.9714545454545456</v>
      </c>
      <c r="M179" s="15">
        <f t="shared" si="9"/>
        <v>19.857272727272729</v>
      </c>
      <c r="N179" s="15">
        <f t="shared" si="10"/>
        <v>19.857272727272729</v>
      </c>
      <c r="O179" s="18">
        <f t="shared" si="11"/>
        <v>19.857272727272729</v>
      </c>
      <c r="P179" s="18">
        <f t="shared" si="12"/>
        <v>19.857272727272729</v>
      </c>
    </row>
    <row r="180" spans="1:16" outlineLevel="2" x14ac:dyDescent="0.2">
      <c r="A180" s="22" t="s">
        <v>354</v>
      </c>
      <c r="B180" s="22"/>
      <c r="C180" s="22"/>
      <c r="D180" s="23" t="s">
        <v>355</v>
      </c>
      <c r="E180" s="23"/>
      <c r="F180" s="23"/>
      <c r="G180" s="8" t="s">
        <v>18</v>
      </c>
      <c r="H180" s="9">
        <v>55.496000000000002</v>
      </c>
      <c r="I180" s="9">
        <v>55.496000000000002</v>
      </c>
      <c r="J180" s="13">
        <f>IF(IFERROR(VLOOKUP(D180,[1]TDSheet!$A:$N,14,0),0)&gt;1,1,IFERROR(VLOOKUP(D180,[1]TDSheet!$A:$N,14,0),0))</f>
        <v>0.2718761253150882</v>
      </c>
      <c r="K180" s="15">
        <f>IFERROR(VLOOKUP(D180,[1]TDSheet!$A:$M,12,0),0)</f>
        <v>0.27454545454545454</v>
      </c>
      <c r="L180" s="15">
        <f>IFERROR(VLOOKUP(D180,[1]TDSheet!$A:$M,13,0),0)</f>
        <v>0.27454545454545454</v>
      </c>
      <c r="M180" s="15">
        <f t="shared" si="9"/>
        <v>1.3727272727272726</v>
      </c>
      <c r="N180" s="15">
        <f t="shared" si="10"/>
        <v>1.3727272727272726</v>
      </c>
      <c r="O180" s="18">
        <f t="shared" si="11"/>
        <v>1.3727272727272726</v>
      </c>
      <c r="P180" s="18">
        <f t="shared" si="12"/>
        <v>1.3727272727272726</v>
      </c>
    </row>
    <row r="181" spans="1:16" outlineLevel="2" x14ac:dyDescent="0.2">
      <c r="A181" s="22" t="s">
        <v>356</v>
      </c>
      <c r="B181" s="22"/>
      <c r="C181" s="22"/>
      <c r="D181" s="23" t="s">
        <v>357</v>
      </c>
      <c r="E181" s="23"/>
      <c r="F181" s="23"/>
      <c r="G181" s="8" t="s">
        <v>91</v>
      </c>
      <c r="H181" s="9">
        <v>250</v>
      </c>
      <c r="I181" s="9">
        <v>25</v>
      </c>
      <c r="J181" s="13">
        <f>IF(IFERROR(VLOOKUP(D181,[1]TDSheet!$A:$N,14,0),0)&gt;1,1,IFERROR(VLOOKUP(D181,[1]TDSheet!$A:$N,14,0),0))</f>
        <v>0.35618479880774961</v>
      </c>
      <c r="K181" s="15">
        <f>IFERROR(VLOOKUP(D181,[1]TDSheet!$A:$M,12,0),0)</f>
        <v>1.0863636363636362</v>
      </c>
      <c r="L181" s="15">
        <f>IFERROR(VLOOKUP(D181,[1]TDSheet!$A:$M,13,0),0)</f>
        <v>10.863636363636363</v>
      </c>
      <c r="M181" s="15">
        <f t="shared" si="9"/>
        <v>5.4318181818181808</v>
      </c>
      <c r="N181" s="15">
        <f t="shared" si="10"/>
        <v>54.318181818181813</v>
      </c>
      <c r="O181" s="18">
        <f t="shared" si="11"/>
        <v>5.4318181818181808</v>
      </c>
      <c r="P181" s="18">
        <f t="shared" si="12"/>
        <v>25</v>
      </c>
    </row>
    <row r="182" spans="1:16" outlineLevel="2" x14ac:dyDescent="0.2">
      <c r="A182" s="22" t="s">
        <v>358</v>
      </c>
      <c r="B182" s="22"/>
      <c r="C182" s="22"/>
      <c r="D182" s="23" t="s">
        <v>359</v>
      </c>
      <c r="E182" s="23"/>
      <c r="F182" s="23"/>
      <c r="G182" s="8" t="s">
        <v>91</v>
      </c>
      <c r="H182" s="9">
        <v>235</v>
      </c>
      <c r="I182" s="9">
        <v>23.5</v>
      </c>
      <c r="J182" s="13">
        <f>IF(IFERROR(VLOOKUP(D182,[1]TDSheet!$A:$N,14,0),0)&gt;1,1,IFERROR(VLOOKUP(D182,[1]TDSheet!$A:$N,14,0),0))</f>
        <v>0.38918918918918921</v>
      </c>
      <c r="K182" s="15">
        <f>IFERROR(VLOOKUP(D182,[1]TDSheet!$A:$M,12,0),0)</f>
        <v>1.3090909090909091</v>
      </c>
      <c r="L182" s="15">
        <f>IFERROR(VLOOKUP(D182,[1]TDSheet!$A:$M,13,0),0)</f>
        <v>13.090909090909092</v>
      </c>
      <c r="M182" s="15">
        <f t="shared" si="9"/>
        <v>6.545454545454545</v>
      </c>
      <c r="N182" s="15">
        <f t="shared" si="10"/>
        <v>65.454545454545453</v>
      </c>
      <c r="O182" s="18">
        <f t="shared" si="11"/>
        <v>6.545454545454545</v>
      </c>
      <c r="P182" s="18">
        <f t="shared" si="12"/>
        <v>23.5</v>
      </c>
    </row>
    <row r="183" spans="1:16" outlineLevel="2" x14ac:dyDescent="0.2">
      <c r="A183" s="22" t="s">
        <v>360</v>
      </c>
      <c r="B183" s="22"/>
      <c r="C183" s="22"/>
      <c r="D183" s="23" t="s">
        <v>361</v>
      </c>
      <c r="E183" s="23"/>
      <c r="F183" s="23"/>
      <c r="G183" s="8" t="s">
        <v>91</v>
      </c>
      <c r="H183" s="9">
        <v>20</v>
      </c>
      <c r="I183" s="9">
        <v>2</v>
      </c>
      <c r="J183" s="13">
        <f>IF(IFERROR(VLOOKUP(D183,[1]TDSheet!$A:$N,14,0),0)&gt;1,1,IFERROR(VLOOKUP(D183,[1]TDSheet!$A:$N,14,0),0))</f>
        <v>0.27777777777777779</v>
      </c>
      <c r="K183" s="15">
        <f>IFERROR(VLOOKUP(D183,[1]TDSheet!$A:$M,12,0),0)</f>
        <v>2.2727272727272728E-2</v>
      </c>
      <c r="L183" s="15">
        <f>IFERROR(VLOOKUP(D183,[1]TDSheet!$A:$M,13,0),0)</f>
        <v>0.22727272727272727</v>
      </c>
      <c r="M183" s="15">
        <f t="shared" si="9"/>
        <v>0.11363636363636365</v>
      </c>
      <c r="N183" s="15">
        <f t="shared" si="10"/>
        <v>1.1363636363636362</v>
      </c>
      <c r="O183" s="18">
        <f t="shared" si="11"/>
        <v>0.11363636363636365</v>
      </c>
      <c r="P183" s="18">
        <f t="shared" si="12"/>
        <v>1.1363636363636362</v>
      </c>
    </row>
    <row r="184" spans="1:16" outlineLevel="2" x14ac:dyDescent="0.2">
      <c r="A184" s="22" t="s">
        <v>362</v>
      </c>
      <c r="B184" s="22"/>
      <c r="C184" s="22"/>
      <c r="D184" s="23" t="s">
        <v>363</v>
      </c>
      <c r="E184" s="23"/>
      <c r="F184" s="23"/>
      <c r="G184" s="8" t="s">
        <v>91</v>
      </c>
      <c r="H184" s="9">
        <v>46</v>
      </c>
      <c r="I184" s="9">
        <v>6.44</v>
      </c>
      <c r="J184" s="13">
        <f>IF(IFERROR(VLOOKUP(D184,[1]TDSheet!$A:$N,14,0),0)&gt;1,1,IFERROR(VLOOKUP(D184,[1]TDSheet!$A:$N,14,0),0))</f>
        <v>0.15116279069767444</v>
      </c>
      <c r="K184" s="15">
        <f>IFERROR(VLOOKUP(D184,[1]TDSheet!$A:$M,12,0),0)</f>
        <v>8.2727272727272733E-2</v>
      </c>
      <c r="L184" s="15">
        <f>IFERROR(VLOOKUP(D184,[1]TDSheet!$A:$M,13,0),0)</f>
        <v>0.59090909090909094</v>
      </c>
      <c r="M184" s="15">
        <f t="shared" si="9"/>
        <v>0.41363636363636369</v>
      </c>
      <c r="N184" s="15">
        <f t="shared" si="10"/>
        <v>2.9545454545454546</v>
      </c>
      <c r="O184" s="18">
        <f t="shared" si="11"/>
        <v>0.41363636363636369</v>
      </c>
      <c r="P184" s="18">
        <f t="shared" si="12"/>
        <v>2.9545454545454546</v>
      </c>
    </row>
    <row r="185" spans="1:16" outlineLevel="2" x14ac:dyDescent="0.2">
      <c r="A185" s="22" t="s">
        <v>364</v>
      </c>
      <c r="B185" s="22"/>
      <c r="C185" s="22"/>
      <c r="D185" s="23" t="s">
        <v>365</v>
      </c>
      <c r="E185" s="23"/>
      <c r="F185" s="23"/>
      <c r="G185" s="8" t="s">
        <v>91</v>
      </c>
      <c r="H185" s="9">
        <v>29</v>
      </c>
      <c r="I185" s="9">
        <v>4.0599999999999996</v>
      </c>
      <c r="J185" s="13">
        <f>IF(IFERROR(VLOOKUP(D185,[1]TDSheet!$A:$N,14,0),0)&gt;1,1,IFERROR(VLOOKUP(D185,[1]TDSheet!$A:$N,14,0),0))</f>
        <v>0.11486486486486487</v>
      </c>
      <c r="K185" s="15">
        <f>IFERROR(VLOOKUP(D185,[1]TDSheet!$A:$M,12,0),0)</f>
        <v>0.10818181818181817</v>
      </c>
      <c r="L185" s="15">
        <f>IFERROR(VLOOKUP(D185,[1]TDSheet!$A:$M,13,0),0)</f>
        <v>0.77272727272727271</v>
      </c>
      <c r="M185" s="15">
        <f t="shared" si="9"/>
        <v>0.54090909090909089</v>
      </c>
      <c r="N185" s="15">
        <f t="shared" si="10"/>
        <v>3.8636363636363633</v>
      </c>
      <c r="O185" s="18">
        <v>0</v>
      </c>
      <c r="P185" s="18">
        <v>0</v>
      </c>
    </row>
    <row r="186" spans="1:16" outlineLevel="2" x14ac:dyDescent="0.2">
      <c r="A186" s="22" t="s">
        <v>366</v>
      </c>
      <c r="B186" s="22"/>
      <c r="C186" s="22"/>
      <c r="D186" s="23" t="s">
        <v>367</v>
      </c>
      <c r="E186" s="23"/>
      <c r="F186" s="23"/>
      <c r="G186" s="8" t="s">
        <v>91</v>
      </c>
      <c r="H186" s="9">
        <v>29</v>
      </c>
      <c r="I186" s="9">
        <v>5.8</v>
      </c>
      <c r="J186" s="13">
        <f>IF(IFERROR(VLOOKUP(D186,[1]TDSheet!$A:$N,14,0),0)&gt;1,1,IFERROR(VLOOKUP(D186,[1]TDSheet!$A:$N,14,0),0))</f>
        <v>4.0816326530612242E-2</v>
      </c>
      <c r="K186" s="15">
        <f>IFERROR(VLOOKUP(D186,[1]TDSheet!$A:$M,12,0),0)</f>
        <v>3.6363636363636369E-2</v>
      </c>
      <c r="L186" s="15">
        <f>IFERROR(VLOOKUP(D186,[1]TDSheet!$A:$M,13,0),0)</f>
        <v>0.18181818181818182</v>
      </c>
      <c r="M186" s="15">
        <f t="shared" si="9"/>
        <v>0.18181818181818185</v>
      </c>
      <c r="N186" s="15">
        <f t="shared" si="10"/>
        <v>0.90909090909090917</v>
      </c>
      <c r="O186" s="18">
        <v>0</v>
      </c>
      <c r="P186" s="18">
        <v>0</v>
      </c>
    </row>
    <row r="187" spans="1:16" outlineLevel="2" x14ac:dyDescent="0.2">
      <c r="A187" s="22" t="s">
        <v>368</v>
      </c>
      <c r="B187" s="22"/>
      <c r="C187" s="22"/>
      <c r="D187" s="23" t="s">
        <v>369</v>
      </c>
      <c r="E187" s="23"/>
      <c r="F187" s="23"/>
      <c r="G187" s="8" t="s">
        <v>18</v>
      </c>
      <c r="H187" s="9">
        <v>58.478000000000002</v>
      </c>
      <c r="I187" s="9">
        <v>58.478000000000002</v>
      </c>
      <c r="J187" s="13">
        <f>IF(IFERROR(VLOOKUP(D187,[1]TDSheet!$A:$N,14,0),0)&gt;1,1,IFERROR(VLOOKUP(D187,[1]TDSheet!$A:$N,14,0),0))</f>
        <v>0.42950654582074521</v>
      </c>
      <c r="K187" s="15">
        <f>IFERROR(VLOOKUP(D187,[1]TDSheet!$A:$M,12,0),0)</f>
        <v>0.7754545454545454</v>
      </c>
      <c r="L187" s="15">
        <f>IFERROR(VLOOKUP(D187,[1]TDSheet!$A:$M,13,0),0)</f>
        <v>0.7754545454545454</v>
      </c>
      <c r="M187" s="15">
        <f t="shared" si="9"/>
        <v>3.877272727272727</v>
      </c>
      <c r="N187" s="15">
        <f t="shared" si="10"/>
        <v>3.877272727272727</v>
      </c>
      <c r="O187" s="18">
        <f t="shared" si="11"/>
        <v>3.877272727272727</v>
      </c>
      <c r="P187" s="18">
        <f t="shared" si="12"/>
        <v>3.877272727272727</v>
      </c>
    </row>
    <row r="188" spans="1:16" outlineLevel="2" x14ac:dyDescent="0.2">
      <c r="A188" s="22" t="s">
        <v>370</v>
      </c>
      <c r="B188" s="22"/>
      <c r="C188" s="22"/>
      <c r="D188" s="23" t="s">
        <v>371</v>
      </c>
      <c r="E188" s="23"/>
      <c r="F188" s="23"/>
      <c r="G188" s="8" t="s">
        <v>91</v>
      </c>
      <c r="H188" s="9">
        <v>49</v>
      </c>
      <c r="I188" s="9">
        <v>9.8000000000000007</v>
      </c>
      <c r="J188" s="13">
        <f>IF(IFERROR(VLOOKUP(D188,[1]TDSheet!$A:$N,14,0),0)&gt;1,1,IFERROR(VLOOKUP(D188,[1]TDSheet!$A:$N,14,0),0))</f>
        <v>7.6923076923076927E-2</v>
      </c>
      <c r="K188" s="15">
        <f>IFERROR(VLOOKUP(D188,[1]TDSheet!$A:$M,12,0),0)</f>
        <v>6.363636363636363E-2</v>
      </c>
      <c r="L188" s="15">
        <f>IFERROR(VLOOKUP(D188,[1]TDSheet!$A:$M,13,0),0)</f>
        <v>0.31818181818181818</v>
      </c>
      <c r="M188" s="15">
        <f t="shared" si="9"/>
        <v>0.31818181818181812</v>
      </c>
      <c r="N188" s="15">
        <f t="shared" si="10"/>
        <v>1.5909090909090908</v>
      </c>
      <c r="O188" s="18">
        <v>0</v>
      </c>
      <c r="P188" s="18">
        <v>0</v>
      </c>
    </row>
    <row r="189" spans="1:16" outlineLevel="2" x14ac:dyDescent="0.2">
      <c r="A189" s="22" t="s">
        <v>372</v>
      </c>
      <c r="B189" s="22"/>
      <c r="C189" s="22"/>
      <c r="D189" s="23" t="s">
        <v>373</v>
      </c>
      <c r="E189" s="23"/>
      <c r="F189" s="23"/>
      <c r="G189" s="8" t="s">
        <v>91</v>
      </c>
      <c r="H189" s="9">
        <v>-19</v>
      </c>
      <c r="I189" s="9">
        <v>-3.8</v>
      </c>
      <c r="J189" s="13">
        <f>IF(IFERROR(VLOOKUP(D189,[1]TDSheet!$A:$N,14,0),0)&gt;1,1,IFERROR(VLOOKUP(D189,[1]TDSheet!$A:$N,14,0),0))</f>
        <v>0</v>
      </c>
      <c r="K189" s="15">
        <f>IFERROR(VLOOKUP(D189,[1]TDSheet!$A:$M,12,0),0)</f>
        <v>0</v>
      </c>
      <c r="L189" s="15">
        <f>IFERROR(VLOOKUP(D189,[1]TDSheet!$A:$M,13,0),0)</f>
        <v>0</v>
      </c>
      <c r="M189" s="15">
        <f t="shared" si="9"/>
        <v>0</v>
      </c>
      <c r="N189" s="15">
        <f t="shared" si="10"/>
        <v>0</v>
      </c>
      <c r="O189" s="18">
        <v>0</v>
      </c>
      <c r="P189" s="18">
        <v>0</v>
      </c>
    </row>
    <row r="190" spans="1:16" outlineLevel="2" x14ac:dyDescent="0.2">
      <c r="A190" s="22" t="s">
        <v>374</v>
      </c>
      <c r="B190" s="22"/>
      <c r="C190" s="22"/>
      <c r="D190" s="23" t="s">
        <v>375</v>
      </c>
      <c r="E190" s="23"/>
      <c r="F190" s="23"/>
      <c r="G190" s="8" t="s">
        <v>18</v>
      </c>
      <c r="H190" s="9">
        <v>-3.6240000000000001</v>
      </c>
      <c r="I190" s="9">
        <v>-3.6240000000000001</v>
      </c>
      <c r="J190" s="13">
        <f>IF(IFERROR(VLOOKUP(D190,[1]TDSheet!$A:$N,14,0),0)&gt;1,1,IFERROR(VLOOKUP(D190,[1]TDSheet!$A:$N,14,0),0))</f>
        <v>0</v>
      </c>
      <c r="K190" s="15">
        <f>IFERROR(VLOOKUP(D190,[1]TDSheet!$A:$M,12,0),0)</f>
        <v>0</v>
      </c>
      <c r="L190" s="15">
        <f>IFERROR(VLOOKUP(D190,[1]TDSheet!$A:$M,13,0),0)</f>
        <v>0</v>
      </c>
      <c r="M190" s="15">
        <f t="shared" si="9"/>
        <v>0</v>
      </c>
      <c r="N190" s="15">
        <f t="shared" si="10"/>
        <v>0</v>
      </c>
      <c r="O190" s="18">
        <v>0</v>
      </c>
      <c r="P190" s="18">
        <v>0</v>
      </c>
    </row>
    <row r="191" spans="1:16" outlineLevel="2" x14ac:dyDescent="0.2">
      <c r="A191" s="22" t="s">
        <v>376</v>
      </c>
      <c r="B191" s="22"/>
      <c r="C191" s="22"/>
      <c r="D191" s="23" t="s">
        <v>377</v>
      </c>
      <c r="E191" s="23"/>
      <c r="F191" s="23"/>
      <c r="G191" s="8" t="s">
        <v>18</v>
      </c>
      <c r="H191" s="9">
        <v>1.5940000000000001</v>
      </c>
      <c r="I191" s="9">
        <v>1.5940000000000001</v>
      </c>
      <c r="J191" s="13">
        <f>IF(IFERROR(VLOOKUP(D191,[1]TDSheet!$A:$N,14,0),0)&gt;1,1,IFERROR(VLOOKUP(D191,[1]TDSheet!$A:$N,14,0),0))</f>
        <v>0.1320820864687543</v>
      </c>
      <c r="K191" s="15">
        <f>IFERROR(VLOOKUP(D191,[1]TDSheet!$A:$M,12,0),0)</f>
        <v>0.95899999999999996</v>
      </c>
      <c r="L191" s="15">
        <f>IFERROR(VLOOKUP(D191,[1]TDSheet!$A:$M,13,0),0)</f>
        <v>0.95899999999999996</v>
      </c>
      <c r="M191" s="15">
        <f t="shared" si="9"/>
        <v>4.7949999999999999</v>
      </c>
      <c r="N191" s="15">
        <f t="shared" si="10"/>
        <v>4.7949999999999999</v>
      </c>
      <c r="O191" s="18">
        <v>0</v>
      </c>
      <c r="P191" s="18">
        <v>0</v>
      </c>
    </row>
  </sheetData>
  <autoFilter ref="A9:P191" xr:uid="{00000000-0001-0000-0000-000000000000}">
    <filterColumn colId="0" showButton="0"/>
    <filterColumn colId="1" showButton="0"/>
    <filterColumn colId="3" showButton="0"/>
    <filterColumn colId="4" showButton="0"/>
  </autoFilter>
  <mergeCells count="371">
    <mergeCell ref="C6:H6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74:C174"/>
    <mergeCell ref="D174:F174"/>
    <mergeCell ref="A175:C175"/>
    <mergeCell ref="D175:F175"/>
    <mergeCell ref="A176:C176"/>
    <mergeCell ref="D176:F17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91:C191"/>
    <mergeCell ref="D191:F19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M5:N5"/>
    <mergeCell ref="O6:P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77:C177"/>
    <mergeCell ref="D177:F177"/>
    <mergeCell ref="A178:C178"/>
    <mergeCell ref="D178:F178"/>
    <mergeCell ref="A179:C179"/>
    <mergeCell ref="D179:F179"/>
    <mergeCell ref="A180:C180"/>
    <mergeCell ref="D180:F180"/>
    <mergeCell ref="A181:C181"/>
    <mergeCell ref="D181:F181"/>
    <mergeCell ref="A172:C172"/>
    <mergeCell ref="D172:F172"/>
    <mergeCell ref="A173:C173"/>
    <mergeCell ref="D173:F17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2026-09-15T17:52:11Z</dcterms:modified>
</cp:coreProperties>
</file>