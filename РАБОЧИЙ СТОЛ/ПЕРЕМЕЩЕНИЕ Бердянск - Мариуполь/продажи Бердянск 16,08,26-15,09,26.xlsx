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ЕРЕМЕЩЕНИЕ Бердянск - Мариуполь\"/>
    </mc:Choice>
  </mc:AlternateContent>
  <xr:revisionPtr revIDLastSave="0" documentId="13_ncr:1_{B07AB758-166B-4444-9180-BB63D9E3B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TDSheet!$A$5:$N$363</definedName>
  </definedNames>
  <calcPr calcId="191029" refMode="R1C1"/>
</workbook>
</file>

<file path=xl/calcChain.xml><?xml version="1.0" encoding="utf-8"?>
<calcChain xmlns="http://schemas.openxmlformats.org/spreadsheetml/2006/main">
  <c r="K8" i="1" l="1"/>
  <c r="M8" i="1" s="1"/>
  <c r="K9" i="1"/>
  <c r="M9" i="1" s="1"/>
  <c r="K10" i="1"/>
  <c r="M10" i="1" s="1"/>
  <c r="K11" i="1"/>
  <c r="M11" i="1" s="1"/>
  <c r="K12" i="1"/>
  <c r="M12" i="1" s="1"/>
  <c r="K13" i="1"/>
  <c r="M13" i="1" s="1"/>
  <c r="K14" i="1"/>
  <c r="M14" i="1" s="1"/>
  <c r="K15" i="1"/>
  <c r="M15" i="1" s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M108" i="1" s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M123" i="1" s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M136" i="1" s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M143" i="1" s="1"/>
  <c r="K144" i="1"/>
  <c r="M144" i="1" s="1"/>
  <c r="K145" i="1"/>
  <c r="M145" i="1" s="1"/>
  <c r="K146" i="1"/>
  <c r="M146" i="1" s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M165" i="1" s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M194" i="1" s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M230" i="1" s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M239" i="1" s="1"/>
  <c r="K240" i="1"/>
  <c r="M240" i="1" s="1"/>
  <c r="K241" i="1"/>
  <c r="M241" i="1" s="1"/>
  <c r="K242" i="1"/>
  <c r="M242" i="1" s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M248" i="1" s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M266" i="1" s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M304" i="1" s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M320" i="1" s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M356" i="1" s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M362" i="1" s="1"/>
  <c r="K363" i="1"/>
  <c r="M363" i="1" s="1"/>
  <c r="K7" i="1"/>
  <c r="M7" i="1" s="1"/>
  <c r="J8" i="1"/>
  <c r="L8" i="1" s="1"/>
  <c r="J9" i="1"/>
  <c r="L9" i="1" s="1"/>
  <c r="J10" i="1"/>
  <c r="N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N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N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N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N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N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N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N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7" i="1"/>
  <c r="N7" i="1" s="1"/>
  <c r="L90" i="1" l="1"/>
  <c r="N347" i="1"/>
  <c r="N327" i="1"/>
  <c r="N307" i="1"/>
  <c r="N287" i="1"/>
  <c r="N267" i="1"/>
  <c r="N247" i="1"/>
  <c r="N227" i="1"/>
  <c r="N207" i="1"/>
  <c r="N187" i="1"/>
  <c r="N167" i="1"/>
  <c r="N147" i="1"/>
  <c r="N127" i="1"/>
  <c r="N107" i="1"/>
  <c r="N87" i="1"/>
  <c r="N67" i="1"/>
  <c r="N47" i="1"/>
  <c r="N27" i="1"/>
  <c r="L70" i="1"/>
  <c r="N346" i="1"/>
  <c r="N326" i="1"/>
  <c r="N306" i="1"/>
  <c r="N286" i="1"/>
  <c r="N266" i="1"/>
  <c r="N246" i="1"/>
  <c r="N226" i="1"/>
  <c r="N206" i="1"/>
  <c r="N186" i="1"/>
  <c r="N166" i="1"/>
  <c r="N146" i="1"/>
  <c r="N126" i="1"/>
  <c r="N106" i="1"/>
  <c r="N86" i="1"/>
  <c r="N66" i="1"/>
  <c r="N46" i="1"/>
  <c r="N26" i="1"/>
  <c r="L50" i="1"/>
  <c r="L7" i="1"/>
  <c r="N345" i="1"/>
  <c r="N325" i="1"/>
  <c r="N305" i="1"/>
  <c r="N285" i="1"/>
  <c r="N265" i="1"/>
  <c r="N245" i="1"/>
  <c r="N225" i="1"/>
  <c r="N205" i="1"/>
  <c r="N185" i="1"/>
  <c r="N165" i="1"/>
  <c r="N145" i="1"/>
  <c r="N125" i="1"/>
  <c r="N105" i="1"/>
  <c r="N85" i="1"/>
  <c r="N65" i="1"/>
  <c r="N45" i="1"/>
  <c r="N25" i="1"/>
  <c r="L30" i="1"/>
  <c r="N344" i="1"/>
  <c r="N324" i="1"/>
  <c r="N304" i="1"/>
  <c r="N284" i="1"/>
  <c r="N264" i="1"/>
  <c r="N244" i="1"/>
  <c r="N224" i="1"/>
  <c r="N204" i="1"/>
  <c r="N184" i="1"/>
  <c r="N164" i="1"/>
  <c r="N144" i="1"/>
  <c r="N124" i="1"/>
  <c r="N104" i="1"/>
  <c r="N84" i="1"/>
  <c r="N64" i="1"/>
  <c r="N44" i="1"/>
  <c r="N24" i="1"/>
  <c r="L10" i="1"/>
  <c r="N363" i="1"/>
  <c r="N343" i="1"/>
  <c r="N323" i="1"/>
  <c r="N303" i="1"/>
  <c r="N283" i="1"/>
  <c r="N263" i="1"/>
  <c r="N243" i="1"/>
  <c r="N223" i="1"/>
  <c r="N203" i="1"/>
  <c r="N183" i="1"/>
  <c r="N163" i="1"/>
  <c r="N143" i="1"/>
  <c r="N123" i="1"/>
  <c r="N103" i="1"/>
  <c r="N83" i="1"/>
  <c r="N63" i="1"/>
  <c r="N43" i="1"/>
  <c r="N23" i="1"/>
  <c r="N362" i="1"/>
  <c r="N342" i="1"/>
  <c r="N322" i="1"/>
  <c r="N302" i="1"/>
  <c r="N282" i="1"/>
  <c r="N262" i="1"/>
  <c r="N242" i="1"/>
  <c r="N222" i="1"/>
  <c r="N202" i="1"/>
  <c r="N182" i="1"/>
  <c r="N162" i="1"/>
  <c r="N142" i="1"/>
  <c r="N122" i="1"/>
  <c r="N102" i="1"/>
  <c r="N82" i="1"/>
  <c r="N62" i="1"/>
  <c r="N42" i="1"/>
  <c r="N22" i="1"/>
  <c r="N361" i="1"/>
  <c r="N341" i="1"/>
  <c r="N321" i="1"/>
  <c r="N301" i="1"/>
  <c r="N281" i="1"/>
  <c r="N261" i="1"/>
  <c r="N241" i="1"/>
  <c r="N221" i="1"/>
  <c r="N201" i="1"/>
  <c r="N181" i="1"/>
  <c r="N161" i="1"/>
  <c r="N141" i="1"/>
  <c r="N121" i="1"/>
  <c r="N101" i="1"/>
  <c r="N81" i="1"/>
  <c r="N61" i="1"/>
  <c r="N41" i="1"/>
  <c r="N21" i="1"/>
  <c r="N360" i="1"/>
  <c r="N340" i="1"/>
  <c r="N320" i="1"/>
  <c r="N300" i="1"/>
  <c r="N280" i="1"/>
  <c r="N260" i="1"/>
  <c r="N240" i="1"/>
  <c r="N220" i="1"/>
  <c r="N200" i="1"/>
  <c r="N180" i="1"/>
  <c r="N160" i="1"/>
  <c r="N140" i="1"/>
  <c r="N120" i="1"/>
  <c r="N100" i="1"/>
  <c r="N80" i="1"/>
  <c r="N60" i="1"/>
  <c r="N40" i="1"/>
  <c r="N20" i="1"/>
  <c r="N359" i="1"/>
  <c r="N339" i="1"/>
  <c r="N319" i="1"/>
  <c r="N299" i="1"/>
  <c r="N279" i="1"/>
  <c r="N259" i="1"/>
  <c r="N239" i="1"/>
  <c r="N219" i="1"/>
  <c r="N199" i="1"/>
  <c r="N179" i="1"/>
  <c r="N159" i="1"/>
  <c r="N139" i="1"/>
  <c r="N119" i="1"/>
  <c r="N99" i="1"/>
  <c r="N79" i="1"/>
  <c r="N59" i="1"/>
  <c r="N39" i="1"/>
  <c r="N19" i="1"/>
  <c r="N358" i="1"/>
  <c r="N338" i="1"/>
  <c r="N318" i="1"/>
  <c r="N298" i="1"/>
  <c r="N278" i="1"/>
  <c r="N258" i="1"/>
  <c r="N238" i="1"/>
  <c r="N218" i="1"/>
  <c r="N198" i="1"/>
  <c r="N178" i="1"/>
  <c r="N158" i="1"/>
  <c r="N138" i="1"/>
  <c r="N118" i="1"/>
  <c r="N98" i="1"/>
  <c r="N78" i="1"/>
  <c r="N58" i="1"/>
  <c r="N38" i="1"/>
  <c r="N18" i="1"/>
  <c r="N357" i="1"/>
  <c r="N337" i="1"/>
  <c r="N317" i="1"/>
  <c r="N297" i="1"/>
  <c r="N277" i="1"/>
  <c r="N257" i="1"/>
  <c r="N237" i="1"/>
  <c r="N217" i="1"/>
  <c r="N197" i="1"/>
  <c r="N177" i="1"/>
  <c r="N157" i="1"/>
  <c r="N137" i="1"/>
  <c r="N117" i="1"/>
  <c r="N97" i="1"/>
  <c r="N77" i="1"/>
  <c r="N57" i="1"/>
  <c r="N37" i="1"/>
  <c r="N17" i="1"/>
  <c r="N356" i="1"/>
  <c r="N336" i="1"/>
  <c r="N316" i="1"/>
  <c r="N296" i="1"/>
  <c r="N276" i="1"/>
  <c r="N256" i="1"/>
  <c r="N236" i="1"/>
  <c r="N216" i="1"/>
  <c r="N196" i="1"/>
  <c r="N176" i="1"/>
  <c r="N156" i="1"/>
  <c r="N136" i="1"/>
  <c r="N116" i="1"/>
  <c r="N96" i="1"/>
  <c r="N76" i="1"/>
  <c r="N56" i="1"/>
  <c r="N36" i="1"/>
  <c r="N16" i="1"/>
  <c r="N355" i="1"/>
  <c r="N335" i="1"/>
  <c r="N315" i="1"/>
  <c r="N295" i="1"/>
  <c r="N275" i="1"/>
  <c r="N255" i="1"/>
  <c r="N235" i="1"/>
  <c r="N215" i="1"/>
  <c r="N195" i="1"/>
  <c r="N175" i="1"/>
  <c r="N155" i="1"/>
  <c r="N135" i="1"/>
  <c r="N115" i="1"/>
  <c r="N95" i="1"/>
  <c r="N75" i="1"/>
  <c r="N55" i="1"/>
  <c r="N35" i="1"/>
  <c r="N15" i="1"/>
  <c r="N354" i="1"/>
  <c r="N334" i="1"/>
  <c r="N314" i="1"/>
  <c r="N294" i="1"/>
  <c r="N274" i="1"/>
  <c r="N254" i="1"/>
  <c r="N234" i="1"/>
  <c r="N214" i="1"/>
  <c r="N194" i="1"/>
  <c r="N174" i="1"/>
  <c r="N154" i="1"/>
  <c r="N134" i="1"/>
  <c r="N114" i="1"/>
  <c r="N94" i="1"/>
  <c r="N74" i="1"/>
  <c r="N54" i="1"/>
  <c r="N34" i="1"/>
  <c r="N14" i="1"/>
  <c r="N353" i="1"/>
  <c r="N333" i="1"/>
  <c r="N313" i="1"/>
  <c r="N293" i="1"/>
  <c r="N273" i="1"/>
  <c r="N253" i="1"/>
  <c r="N233" i="1"/>
  <c r="N213" i="1"/>
  <c r="N193" i="1"/>
  <c r="N173" i="1"/>
  <c r="N153" i="1"/>
  <c r="N133" i="1"/>
  <c r="N113" i="1"/>
  <c r="N93" i="1"/>
  <c r="N73" i="1"/>
  <c r="N53" i="1"/>
  <c r="N33" i="1"/>
  <c r="N13" i="1"/>
  <c r="L190" i="1"/>
  <c r="N352" i="1"/>
  <c r="N332" i="1"/>
  <c r="N312" i="1"/>
  <c r="N292" i="1"/>
  <c r="N272" i="1"/>
  <c r="N252" i="1"/>
  <c r="N232" i="1"/>
  <c r="N212" i="1"/>
  <c r="N192" i="1"/>
  <c r="N172" i="1"/>
  <c r="N152" i="1"/>
  <c r="N132" i="1"/>
  <c r="N112" i="1"/>
  <c r="N92" i="1"/>
  <c r="N72" i="1"/>
  <c r="N52" i="1"/>
  <c r="N32" i="1"/>
  <c r="N12" i="1"/>
  <c r="L170" i="1"/>
  <c r="N351" i="1"/>
  <c r="N331" i="1"/>
  <c r="N311" i="1"/>
  <c r="N291" i="1"/>
  <c r="N271" i="1"/>
  <c r="N251" i="1"/>
  <c r="N231" i="1"/>
  <c r="N211" i="1"/>
  <c r="N191" i="1"/>
  <c r="N171" i="1"/>
  <c r="N151" i="1"/>
  <c r="N131" i="1"/>
  <c r="N111" i="1"/>
  <c r="N91" i="1"/>
  <c r="N71" i="1"/>
  <c r="N51" i="1"/>
  <c r="N31" i="1"/>
  <c r="N11" i="1"/>
  <c r="L150" i="1"/>
  <c r="N350" i="1"/>
  <c r="N330" i="1"/>
  <c r="N310" i="1"/>
  <c r="N290" i="1"/>
  <c r="N270" i="1"/>
  <c r="N250" i="1"/>
  <c r="N230" i="1"/>
  <c r="N210" i="1"/>
  <c r="N130" i="1"/>
  <c r="N110" i="1"/>
  <c r="N349" i="1"/>
  <c r="N329" i="1"/>
  <c r="N309" i="1"/>
  <c r="N289" i="1"/>
  <c r="N269" i="1"/>
  <c r="N249" i="1"/>
  <c r="N229" i="1"/>
  <c r="N209" i="1"/>
  <c r="N189" i="1"/>
  <c r="N169" i="1"/>
  <c r="N149" i="1"/>
  <c r="N129" i="1"/>
  <c r="N109" i="1"/>
  <c r="N89" i="1"/>
  <c r="N69" i="1"/>
  <c r="N49" i="1"/>
  <c r="N29" i="1"/>
  <c r="N9" i="1"/>
  <c r="N348" i="1"/>
  <c r="N328" i="1"/>
  <c r="N308" i="1"/>
  <c r="N288" i="1"/>
  <c r="N268" i="1"/>
  <c r="N248" i="1"/>
  <c r="N228" i="1"/>
  <c r="N208" i="1"/>
  <c r="N188" i="1"/>
  <c r="N168" i="1"/>
  <c r="N148" i="1"/>
  <c r="N128" i="1"/>
  <c r="N108" i="1"/>
  <c r="N88" i="1"/>
  <c r="N68" i="1"/>
  <c r="N48" i="1"/>
  <c r="N28" i="1"/>
  <c r="N8" i="1"/>
</calcChain>
</file>

<file path=xl/sharedStrings.xml><?xml version="1.0" encoding="utf-8"?>
<sst xmlns="http://schemas.openxmlformats.org/spreadsheetml/2006/main" count="737" uniqueCount="730">
  <si>
    <t>Параметры:</t>
  </si>
  <si>
    <t>Период отчета: 16.08.2026 - 15.09.2026</t>
  </si>
  <si>
    <t>Отбор:</t>
  </si>
  <si>
    <t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</si>
  <si>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</si>
  <si>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</si>
  <si>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</si>
  <si>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</si>
  <si>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</si>
  <si>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</si>
  <si>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</si>
  <si>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</si>
  <si>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</si>
  <si>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</si>
  <si>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</si>
  <si>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</si>
  <si>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</si>
  <si>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</si>
  <si>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</si>
  <si>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</si>
  <si>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</si>
  <si>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</si>
  <si>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</si>
  <si>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</si>
  <si>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</si>
  <si>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</si>
  <si>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</si>
  <si>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</si>
  <si>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</si>
  <si>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</si>
  <si>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</si>
  <si>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</si>
  <si>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</si>
  <si>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</si>
  <si>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</si>
  <si>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</si>
  <si>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</si>
  <si>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</si>
  <si>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</si>
  <si>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</si>
  <si>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</si>
  <si>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</si>
  <si>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</si>
  <si>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</si>
  <si>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</si>
  <si>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</si>
  <si>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</si>
  <si>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</si>
  <si>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</si>
  <si>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</si>
  <si>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</si>
  <si>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</si>
  <si>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</si>
  <si>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</si>
  <si>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</si>
  <si>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</si>
  <si>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</si>
  <si>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</si>
  <si>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</si>
  <si>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</si>
  <si>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</si>
  <si>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</si>
  <si>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</si>
  <si>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</si>
  <si>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</si>
  <si>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</si>
  <si>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</si>
  <si>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</si>
  <si>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</si>
  <si>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</si>
  <si>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</si>
  <si>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</si>
  <si>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</si>
  <si>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</si>
  <si>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</si>
  <si>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</si>
  <si>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</si>
  <si>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</si>
  <si>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</si>
  <si>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</si>
  <si>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</si>
  <si>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</si>
  <si>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</si>
  <si>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</si>
  <si>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</si>
  <si>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</si>
  <si>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</si>
  <si>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</si>
  <si>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</si>
  <si>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</si>
  <si>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</si>
  <si>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</si>
  <si>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</si>
  <si>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</si>
  <si>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</si>
  <si>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</si>
  <si>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</si>
  <si>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</si>
  <si>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</si>
  <si>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</si>
  <si>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</si>
  <si>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</si>
  <si>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</si>
  <si>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</si>
  <si>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</si>
  <si>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</si>
  <si>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</si>
  <si>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</si>
  <si>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</si>
  <si>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</si>
  <si>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</si>
  <si>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</si>
  <si>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</si>
  <si>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</si>
  <si>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</si>
  <si>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</si>
  <si>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</si>
  <si>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</si>
  <si>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</si>
  <si>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</si>
  <si>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</si>
  <si>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</si>
  <si>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</si>
  <si>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</si>
  <si>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</si>
  <si>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</si>
  <si>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</si>
  <si>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</si>
  <si>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</si>
  <si>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</si>
  <si>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</si>
  <si>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</si>
  <si>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</si>
  <si>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</si>
  <si>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</si>
  <si>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</si>
  <si>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</si>
  <si>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</si>
  <si>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</si>
  <si>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</si>
  <si>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</si>
  <si>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</si>
  <si>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</si>
  <si>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</si>
  <si>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378  Колбаса Докторская Дугушка 0,6кг НЕГОСТ ТМ Стародворье  ПОКОМ </t>
  </si>
  <si>
    <t>00-ko009070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</si>
  <si>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</si>
  <si>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</si>
  <si>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</si>
  <si>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</si>
  <si>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</si>
  <si>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</si>
  <si>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</si>
  <si>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</si>
  <si>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</si>
  <si>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</si>
  <si>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</si>
  <si>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</si>
  <si>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</si>
  <si>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</si>
  <si>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</si>
  <si>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</si>
  <si>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</si>
  <si>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</si>
  <si>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</si>
  <si>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</si>
  <si>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</si>
  <si>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</si>
  <si>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</si>
  <si>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</si>
  <si>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</si>
  <si>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</si>
  <si>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</si>
  <si>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</si>
  <si>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</si>
  <si>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</si>
  <si>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</si>
  <si>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</si>
  <si>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</si>
  <si>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</si>
  <si>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</si>
  <si>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</si>
  <si>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</si>
  <si>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</si>
  <si>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</si>
  <si>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</si>
  <si>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</si>
  <si>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</si>
  <si>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</si>
  <si>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</si>
  <si>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</si>
  <si>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</si>
  <si>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</si>
  <si>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</si>
  <si>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</si>
  <si>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</si>
  <si>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</si>
  <si>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</si>
  <si>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</si>
  <si>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</si>
  <si>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</si>
  <si>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</si>
  <si>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</si>
  <si>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</si>
  <si>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</si>
  <si>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</si>
  <si>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</si>
  <si>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</si>
  <si>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</si>
  <si>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</si>
  <si>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</si>
  <si>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</si>
  <si>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</si>
  <si>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</si>
  <si>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</si>
  <si>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</si>
  <si>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</si>
  <si>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</si>
  <si>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</si>
  <si>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</si>
  <si>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</si>
  <si>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</si>
  <si>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</si>
  <si>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</si>
  <si>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</si>
  <si>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</si>
  <si>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</si>
  <si>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</si>
  <si>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</si>
  <si>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</si>
  <si>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</si>
  <si>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</si>
  <si>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0614 ПРАЗДНИЧНАЯ с/к в/с дек.спец.мгс  Останкино</t>
  </si>
  <si>
    <t>00-ko010430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</si>
  <si>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</si>
  <si>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</si>
  <si>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</si>
  <si>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</si>
  <si>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</si>
  <si>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</si>
  <si>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</si>
  <si>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</si>
  <si>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</si>
  <si>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</si>
  <si>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3323 Сыр Российский цилиндр 1/4 пленка ЮКМП м.д.ж. 50%  ОСТАНКИНО</t>
  </si>
  <si>
    <t>00-ko011401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</si>
  <si>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</si>
  <si>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</si>
  <si>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</si>
  <si>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</si>
  <si>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</si>
  <si>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</si>
  <si>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</si>
  <si>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</si>
  <si>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</si>
  <si>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</si>
  <si>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</si>
  <si>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</si>
  <si>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</si>
  <si>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</si>
  <si>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4931  Сыр полутвердый "Купеческий" с ароматом топленого молока, с м.д.ж. 50% ОСТАНКИНО</t>
  </si>
  <si>
    <t>00-ko011689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</si>
  <si>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</si>
  <si>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</si>
  <si>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</si>
  <si>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</si>
  <si>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4993 САЛЯМИ ИТАЛЬЯНСКАЯ с/к в/у 1/250*8_120c ОСТАНКИНО</t>
  </si>
  <si>
    <t>00-00000753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</si>
  <si>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</si>
  <si>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</si>
  <si>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</si>
  <si>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</si>
  <si>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</si>
  <si>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</si>
  <si>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</si>
  <si>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</si>
  <si>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</si>
  <si>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</si>
  <si>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</si>
  <si>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</si>
  <si>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</si>
  <si>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</si>
  <si>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5579 БЛИНЧ.КРУГЛЫЕ С САД.ЯБЛОК.пл.1/420 зам. ОСТАНКИНО</t>
  </si>
  <si>
    <t>00-00005671</t>
  </si>
  <si>
    <t>5708 ПОСОЛЬСКАЯ Папа может с/к в/у ОСТАНКИНО</t>
  </si>
  <si>
    <t>00-00005867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</si>
  <si>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</si>
  <si>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</si>
  <si>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</si>
  <si>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</si>
  <si>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</si>
  <si>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</si>
  <si>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</si>
  <si>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</si>
  <si>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5897 БЛИНЧ.КРУГЛЫЕ С ГРУШЕЙ пл.1/420 зам.   ОСТАНКИНО</t>
  </si>
  <si>
    <t>00-00006237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</si>
  <si>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</si>
  <si>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</si>
  <si>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</si>
  <si>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</si>
  <si>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</si>
  <si>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</si>
  <si>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</si>
  <si>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</si>
  <si>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</si>
  <si>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</si>
  <si>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</si>
  <si>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</si>
  <si>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</si>
  <si>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</si>
  <si>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6208 ДЫМОВИЦА ИЗ ЛОПАТКИ ПМ к/в с/н в/у 1/150  Останкино</t>
  </si>
  <si>
    <t>00-ko010377</t>
  </si>
  <si>
    <t>6209 Блинчики с куриным мясом пл. 1/350 зам. ОСТАНКИНО</t>
  </si>
  <si>
    <t>00-ko011524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</si>
  <si>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</si>
  <si>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</si>
  <si>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</si>
  <si>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</si>
  <si>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</si>
  <si>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</si>
  <si>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</si>
  <si>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</si>
  <si>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</si>
  <si>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</si>
  <si>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</si>
  <si>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</si>
  <si>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</si>
  <si>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</si>
  <si>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</si>
  <si>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</si>
  <si>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</si>
  <si>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</si>
  <si>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</si>
  <si>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</si>
  <si>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</si>
  <si>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</si>
  <si>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</si>
  <si>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</si>
  <si>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</si>
  <si>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</si>
  <si>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</si>
  <si>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</si>
  <si>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</si>
  <si>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</si>
  <si>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</si>
  <si>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</si>
  <si>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</si>
  <si>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</si>
  <si>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</si>
  <si>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</si>
  <si>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</si>
  <si>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</si>
  <si>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</si>
  <si>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</si>
  <si>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</si>
  <si>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</si>
  <si>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</si>
  <si>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</si>
  <si>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</si>
  <si>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</si>
  <si>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</si>
  <si>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</si>
  <si>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</si>
  <si>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</si>
  <si>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</si>
  <si>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</si>
  <si>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</si>
  <si>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</si>
  <si>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</si>
  <si>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</si>
  <si>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</si>
  <si>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</si>
  <si>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</si>
  <si>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</si>
  <si>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6819 БЛИНЧ.КРУГЛЫЕ С САД.ЯБЛОК. пл. 1/300 зам. ОСТАНКИНО</t>
  </si>
  <si>
    <t>00-ko011532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</si>
  <si>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</si>
  <si>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</si>
  <si>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</si>
  <si>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</si>
  <si>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</si>
  <si>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</si>
  <si>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</si>
  <si>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</si>
  <si>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</si>
  <si>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</si>
  <si>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</si>
  <si>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</si>
  <si>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6937 САЛЯМИ Папа может с/к в/у 1/250 8шт  Останкино</t>
  </si>
  <si>
    <t>00-ko010384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</si>
  <si>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</si>
  <si>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</si>
  <si>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</si>
  <si>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</si>
  <si>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</si>
  <si>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</si>
  <si>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</si>
  <si>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</si>
  <si>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</si>
  <si>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</si>
  <si>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</si>
  <si>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</si>
  <si>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</si>
  <si>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</si>
  <si>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</si>
  <si>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</si>
  <si>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</si>
  <si>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</si>
  <si>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</si>
  <si>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</si>
  <si>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</si>
  <si>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</si>
  <si>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</si>
  <si>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</si>
  <si>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</si>
  <si>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</si>
  <si>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</si>
  <si>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</si>
  <si>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</si>
  <si>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</si>
  <si>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</si>
  <si>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</si>
  <si>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</si>
  <si>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</si>
  <si>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</si>
  <si>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</si>
  <si>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</si>
  <si>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</si>
  <si>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</si>
  <si>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</si>
  <si>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</si>
  <si>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</si>
  <si>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</si>
  <si>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</si>
  <si>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</si>
  <si>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</si>
  <si>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</si>
  <si>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</si>
  <si>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7216 СОЧНЫЕ СО СЛ.МАСЛ.ПМ пельм пл.0.7кг зам. ОСТАНКИНО</t>
  </si>
  <si>
    <t>00-ko011673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</si>
  <si>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</si>
  <si>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</si>
  <si>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</si>
  <si>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</si>
  <si>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</si>
  <si>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</si>
  <si>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</si>
  <si>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</si>
  <si>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</si>
  <si>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</si>
  <si>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</si>
  <si>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</si>
  <si>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</si>
  <si>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</si>
  <si>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</si>
  <si>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</si>
  <si>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</si>
  <si>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</si>
  <si>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</si>
  <si>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</si>
  <si>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</si>
  <si>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</si>
  <si>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</si>
  <si>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</si>
  <si>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</si>
  <si>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</si>
  <si>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</si>
  <si>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</si>
  <si>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</si>
  <si>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</si>
  <si>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</si>
  <si>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</si>
  <si>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</si>
  <si>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</si>
  <si>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</si>
  <si>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</si>
  <si>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</si>
  <si>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</si>
  <si>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</si>
  <si>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</si>
  <si>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</si>
  <si>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</si>
  <si>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</si>
  <si>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</si>
  <si>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</si>
  <si>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</si>
  <si>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</si>
  <si>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</si>
  <si>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</si>
  <si>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</si>
  <si>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</si>
  <si>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</si>
  <si>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</si>
  <si>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</si>
  <si>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</si>
  <si>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</si>
  <si>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</si>
  <si>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</si>
  <si>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</si>
  <si>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</si>
  <si>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</si>
  <si>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</si>
  <si>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</si>
  <si>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</si>
  <si>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</si>
  <si>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</si>
  <si>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</si>
  <si>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</si>
  <si>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</si>
  <si>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</si>
  <si>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</si>
  <si>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</si>
  <si>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</si>
  <si>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</si>
  <si>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</si>
  <si>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</si>
  <si>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</si>
  <si>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</si>
  <si>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</si>
  <si>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</si>
  <si>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со вкусом Васаби 40% 100гр (8шт)  Останкино</t>
  </si>
  <si>
    <t>00-ko010567</t>
  </si>
  <si>
    <t>БОНУС_ 334  Паштет Любительский ТМ Стародворье ламистер 0,1 кг  ПОКОМ</t>
  </si>
  <si>
    <t>00-ko011784</t>
  </si>
  <si>
    <t>БОНУС_615  Гречка по-купечески с говядиной и овощами 0,325кг ТМ Стародворье  ПОКОМ</t>
  </si>
  <si>
    <t>00-ko011755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</si>
  <si>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</si>
  <si>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</si>
  <si>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</si>
  <si>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</si>
  <si>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БОНУС_Пирожки с мясом 3,7кг ВЕС ТМ Зареченские  ПОКОМ</t>
  </si>
  <si>
    <t>00-ko011385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</si>
  <si>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</si>
  <si>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</si>
  <si>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</si>
  <si>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</si>
  <si>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</si>
  <si>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</si>
  <si>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</si>
  <si>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</si>
  <si>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</si>
  <si>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</si>
  <si>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</si>
  <si>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</si>
  <si>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</si>
  <si>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</si>
  <si>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</si>
  <si>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</si>
  <si>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</si>
  <si>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</si>
  <si>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</si>
  <si>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</si>
  <si>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</si>
  <si>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</si>
  <si>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</si>
  <si>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</si>
  <si>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</si>
  <si>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</si>
  <si>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</si>
  <si>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</si>
  <si>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</si>
  <si>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</si>
  <si>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</si>
  <si>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</si>
  <si>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</si>
  <si>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</si>
  <si>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</si>
  <si>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</si>
  <si>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</si>
  <si>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</si>
  <si>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</si>
  <si>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</si>
  <si>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</si>
  <si>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</si>
  <si>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</si>
  <si>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</si>
  <si>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</si>
  <si>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</si>
  <si>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</si>
  <si>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</si>
  <si>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</si>
  <si>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</si>
  <si>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</si>
  <si>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</si>
  <si>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</si>
  <si>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</si>
  <si>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</si>
  <si>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</si>
  <si>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</si>
  <si>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</si>
  <si>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</si>
  <si>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</si>
  <si>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</si>
  <si>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</si>
  <si>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</si>
  <si>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</si>
  <si>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</si>
  <si>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</si>
  <si>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</si>
  <si>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</si>
  <si>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</si>
  <si>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</si>
  <si>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</si>
  <si>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</si>
  <si>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</si>
  <si>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</si>
  <si>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</si>
  <si>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</si>
  <si>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</si>
  <si>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</si>
  <si>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</si>
  <si>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</si>
  <si>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</si>
  <si>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</si>
  <si>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</si>
  <si>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</si>
  <si>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</si>
  <si>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</si>
  <si>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</si>
  <si>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</si>
  <si>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</si>
  <si>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</si>
  <si>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</si>
  <si>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</si>
  <si>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</si>
  <si>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</si>
  <si>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</si>
  <si>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</si>
  <si>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</si>
  <si>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</si>
  <si>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</si>
  <si>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</si>
  <si>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</si>
  <si>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</si>
  <si>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</si>
  <si>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</si>
  <si>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По-Росийски Классический с ЗМЖ 50% ВЕС Коровино Останкино</t>
  </si>
  <si>
    <t>00-ko011450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</si>
  <si>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</si>
  <si>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</si>
  <si>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</si>
  <si>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</si>
  <si>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</si>
  <si>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</si>
  <si>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</si>
  <si>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</si>
  <si>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</si>
  <si>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</si>
  <si>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</si>
  <si>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</si>
  <si>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</si>
  <si>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</si>
  <si>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</si>
  <si>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</si>
  <si>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</si>
  <si>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</si>
  <si>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</si>
  <si>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</si>
  <si>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</si>
  <si>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</si>
  <si>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</si>
  <si>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</si>
  <si>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</si>
  <si>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</si>
  <si>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</si>
  <si>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</si>
  <si>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</si>
  <si>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</si>
  <si>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</si>
  <si>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</si>
  <si>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</si>
  <si>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</si>
  <si>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</si>
  <si>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</si>
  <si>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</si>
  <si>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</si>
  <si>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</si>
  <si>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</si>
  <si>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</si>
  <si>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</si>
  <si>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</si>
  <si>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</si>
  <si>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</si>
  <si>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</si>
  <si>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</si>
  <si>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</si>
  <si>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(5 кг брус) СЗМЖ  ОСТАНКИНО</t>
  </si>
  <si>
    <t>00-00007917</t>
  </si>
  <si>
    <t>Сыч/Прод Коровино Тильзитер Оригин 50% ВЕС НОВАЯ (5 кг брус) СЗМЖ  ОСТАНКИНО</t>
  </si>
  <si>
    <t>00-00008338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</si>
  <si>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</si>
  <si>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</si>
  <si>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</si>
  <si>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</si>
  <si>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</si>
  <si>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</si>
  <si>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</si>
  <si>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</si>
  <si>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</si>
  <si>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</si>
  <si>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</si>
  <si>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</si>
  <si>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</si>
  <si>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</si>
  <si>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</si>
  <si>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</si>
  <si>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</si>
  <si>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</si>
  <si>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</si>
  <si>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</si>
  <si>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</si>
  <si>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</si>
  <si>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</si>
  <si>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</si>
  <si>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</si>
  <si>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</si>
  <si>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</si>
  <si>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</si>
  <si>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</si>
  <si>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</si>
  <si>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</si>
  <si>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</si>
  <si>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</si>
  <si>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</si>
  <si>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</si>
  <si>
    <t>Мариуполь</t>
  </si>
  <si>
    <t>22 торговых дня</t>
  </si>
  <si>
    <t>продажи в день</t>
  </si>
  <si>
    <t>процент</t>
  </si>
  <si>
    <t>Мариуполь / Бердянск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</si>
</sst>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000"/>
    <numFmt numFmtId="167" formatCode="0.0"/>
    <numFmt numFmtId="168" formatCode="#,##0.0"/>
    <numFmt numFmtId="169" formatCode="#,##0.0000"/>
  </numFmts>
  <fonts count="4" x14ac:knownFonts="1">
    <font>
      <sz val="8"/>
      <name val="Arial"/>
    </font>
    <font>
      <b/>
      <sz val="10"/>
      <color rgb="FF64512D"/>
      <name val="Arial"/>
    </font>
    <font>
      <b/>
      <sz val="10"/>
      <name val="Arial"/>
      <family val="2"/>
      <charset val="204"/>
    </font>
    <font>
      <b/>
      <sz val="10"/>
      <color rgb="FF64512D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9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2" fontId="1" fillId="2" borderId="5" xfId="0" applyNumberFormat="1" applyFont="1" applyFill="1" applyBorder="1" applyAlignment="1">
      <alignment horizontal="left" vertical="top" wrapText="1"/>
    </xf>
    <xf numFmtId="1" fontId="0" fillId="0" borderId="0" xfId="0" applyNumberFormat="1"/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3" fillId="4" borderId="5" xfId="0" applyNumberFormat="1" applyFont="1" applyFill="1" applyBorder="1" applyAlignment="1">
      <alignment horizontal="left" vertical="top" wrapText="1"/>
    </xf>
    <xf numFmtId="2" fontId="1" fillId="4" borderId="5" xfId="0" applyNumberFormat="1" applyFont="1" applyFill="1" applyBorder="1" applyAlignment="1">
      <alignment horizontal="left" vertical="top" wrapText="1"/>
    </xf>
    <xf numFmtId="2" fontId="3" fillId="4" borderId="5" xfId="0" applyNumberFormat="1" applyFont="1" applyFill="1" applyBorder="1" applyAlignment="1">
      <alignment horizontal="left" vertical="top" wrapText="1"/>
    </xf>
    <xf numFmtId="2" fontId="3" fillId="2" borderId="5" xfId="0" applyNumberFormat="1" applyFont="1" applyFill="1" applyBorder="1" applyAlignment="1">
      <alignment horizontal="left" vertical="top" wrapText="1"/>
    </xf>
    <xf numFmtId="10" fontId="0" fillId="0" borderId="0" xfId="0" applyNumberFormat="1"/>
    <xf numFmtId="0" fontId="0" fillId="5" borderId="6" xfId="0" applyFill="1" applyBorder="1" applyAlignment="1">
      <alignment horizontal="left" vertical="top" wrapText="1"/>
    </xf>
    <xf numFmtId="165" fontId="0" fillId="5" borderId="6" xfId="0" applyNumberFormat="1" applyFill="1" applyBorder="1" applyAlignment="1">
      <alignment horizontal="right" vertical="top"/>
    </xf>
    <xf numFmtId="0" fontId="0" fillId="5" borderId="0" xfId="0" applyFill="1"/>
    <xf numFmtId="2" fontId="0" fillId="5" borderId="0" xfId="0" applyNumberFormat="1" applyFill="1"/>
    <xf numFmtId="10" fontId="0" fillId="5" borderId="0" xfId="0" applyNumberFormat="1" applyFill="1"/>
    <xf numFmtId="2" fontId="0" fillId="5" borderId="6" xfId="0" applyNumberFormat="1" applyFill="1" applyBorder="1" applyAlignment="1">
      <alignment horizontal="right" vertical="top"/>
    </xf>
    <xf numFmtId="167" fontId="0" fillId="5" borderId="6" xfId="0" applyNumberFormat="1" applyFill="1" applyBorder="1" applyAlignment="1">
      <alignment horizontal="right" vertical="top"/>
    </xf>
    <xf numFmtId="0" fontId="0" fillId="5" borderId="6" xfId="0" applyFill="1" applyBorder="1" applyAlignment="1">
      <alignment horizontal="right" vertical="top"/>
    </xf>
    <xf numFmtId="1" fontId="0" fillId="5" borderId="6" xfId="0" applyNumberForma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55;&#1045;&#1056;&#1045;&#1052;&#1045;&#1065;&#1045;&#1053;&#1048;&#1045;%20&#1041;&#1077;&#1088;&#1076;&#1103;&#1085;&#1089;&#1082;%20-%20&#1052;&#1072;&#1088;&#1080;&#1091;&#1087;&#1086;&#1083;&#1100;\&#1087;&#1088;&#1086;&#1076;&#1072;&#1078;&#1080;%20&#1085;&#1072;%20&#1052;&#1072;&#1088;&#1080;&#1091;&#1087;&#1086;&#1083;&#1100;%2016,08,26-15,09,26.xlsx" TargetMode="External"/><Relationship Id="rId1" Type="http://schemas.openxmlformats.org/officeDocument/2006/relationships/externalLinkPath" Target="&#1087;&#1088;&#1086;&#1076;&#1072;&#1078;&#1080;%20&#1085;&#1072;%20&#1052;&#1072;&#1088;&#1080;&#1091;&#1087;&#1086;&#1083;&#1100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16.08.2026 - 15.09.2026</v>
          </cell>
        </row>
        <row r="3">
          <cell r="A3" t="str">
            <v>Отбор:</v>
          </cell>
          <cell r="C3" t="str">
            <v>Номенклатура В группе из списка "Останкино ООО; 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Останкино; АСП Бердянск Молоко Остан...; АСП Бердянск ПОКОМ; АСП Бердянск Заморозка"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484.81</v>
          </cell>
          <cell r="G7">
            <v>484.81</v>
          </cell>
          <cell r="H7">
            <v>16.006</v>
          </cell>
          <cell r="I7">
            <v>16.006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673.18799999999999</v>
          </cell>
          <cell r="G8">
            <v>673.18799999999999</v>
          </cell>
          <cell r="H8">
            <v>10.952999999999999</v>
          </cell>
          <cell r="I8">
            <v>10.952999999999999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673.21400000000006</v>
          </cell>
          <cell r="G9">
            <v>673.21400000000006</v>
          </cell>
          <cell r="H9">
            <v>8.0649999999999995</v>
          </cell>
          <cell r="I9">
            <v>8.0649999999999995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276.99209999999999</v>
          </cell>
          <cell r="G10">
            <v>615.53800000000001</v>
          </cell>
          <cell r="H10">
            <v>18</v>
          </cell>
          <cell r="I10">
            <v>40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570.15</v>
          </cell>
          <cell r="G11">
            <v>1267</v>
          </cell>
          <cell r="H11">
            <v>8.1</v>
          </cell>
          <cell r="I11">
            <v>18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15.81</v>
          </cell>
          <cell r="G12">
            <v>93</v>
          </cell>
          <cell r="H12">
            <v>0.51</v>
          </cell>
          <cell r="I12">
            <v>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10.5</v>
          </cell>
          <cell r="G13">
            <v>35</v>
          </cell>
          <cell r="H13">
            <v>3.3</v>
          </cell>
          <cell r="I13">
            <v>11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50.15</v>
          </cell>
          <cell r="G14">
            <v>295</v>
          </cell>
          <cell r="H14">
            <v>0.51</v>
          </cell>
          <cell r="I14">
            <v>3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1120.6110000000001</v>
          </cell>
          <cell r="G15">
            <v>1120.6110000000001</v>
          </cell>
          <cell r="H15">
            <v>4.3630000000000004</v>
          </cell>
          <cell r="I15">
            <v>4.3630000000000004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2834.8470000000002</v>
          </cell>
          <cell r="G16">
            <v>2834.8470000000002</v>
          </cell>
          <cell r="H16">
            <v>3.706</v>
          </cell>
          <cell r="I16">
            <v>3.706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211.797</v>
          </cell>
          <cell r="G17">
            <v>211.797</v>
          </cell>
          <cell r="H17">
            <v>0.23799999999999999</v>
          </cell>
          <cell r="I17">
            <v>0.23799999999999999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D18" t="str">
            <v>00-00005969</v>
          </cell>
          <cell r="F18">
            <v>135.071</v>
          </cell>
          <cell r="G18">
            <v>135.071</v>
          </cell>
          <cell r="H18">
            <v>0.88</v>
          </cell>
          <cell r="I18">
            <v>0.88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D19" t="str">
            <v>00-00005539</v>
          </cell>
          <cell r="F19">
            <v>12.195</v>
          </cell>
          <cell r="G19">
            <v>12.195</v>
          </cell>
        </row>
        <row r="20">
          <cell r="A20" t="str">
            <v xml:space="preserve"> 229  Колбаса Молочная Дугушка, в/у, ВЕС, ТМ Стародворье   ПОКОМ</v>
          </cell>
          <cell r="D20" t="str">
            <v>00-00005274</v>
          </cell>
          <cell r="F20">
            <v>826.65599999999995</v>
          </cell>
          <cell r="G20">
            <v>826.65599999999995</v>
          </cell>
          <cell r="H20">
            <v>8.7390000000000008</v>
          </cell>
          <cell r="I20">
            <v>8.7390000000000008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D21" t="str">
            <v>00-00005635</v>
          </cell>
          <cell r="F21">
            <v>329.166</v>
          </cell>
          <cell r="G21">
            <v>329.166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D22" t="str">
            <v>00-00005603</v>
          </cell>
          <cell r="F22">
            <v>413.45299999999997</v>
          </cell>
          <cell r="G22">
            <v>413.45299999999997</v>
          </cell>
          <cell r="H22">
            <v>0.86899999999999999</v>
          </cell>
          <cell r="I22">
            <v>0.86899999999999999</v>
          </cell>
        </row>
        <row r="23">
          <cell r="A23" t="str">
            <v xml:space="preserve"> 240  Колбаса Салями охотничья, ВЕС. ПОКОМ</v>
          </cell>
          <cell r="D23" t="str">
            <v>00-00000910</v>
          </cell>
          <cell r="F23">
            <v>10.039999999999999</v>
          </cell>
          <cell r="G23">
            <v>10.039999999999999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D24" t="str">
            <v>00-00005636</v>
          </cell>
          <cell r="F24">
            <v>532.90800000000002</v>
          </cell>
          <cell r="G24">
            <v>532.90800000000002</v>
          </cell>
          <cell r="H24">
            <v>10.48</v>
          </cell>
          <cell r="I24">
            <v>10.48</v>
          </cell>
        </row>
        <row r="25">
          <cell r="A25" t="str">
            <v xml:space="preserve"> 247  Сардельки Нежные, ВЕС.  ПОКОМ</v>
          </cell>
          <cell r="D25" t="str">
            <v>00-00000890</v>
          </cell>
          <cell r="F25">
            <v>97.078999999999994</v>
          </cell>
          <cell r="G25">
            <v>97.078999999999994</v>
          </cell>
          <cell r="H25">
            <v>4.2249999999999996</v>
          </cell>
          <cell r="I25">
            <v>4.2249999999999996</v>
          </cell>
        </row>
        <row r="26">
          <cell r="A26" t="str">
            <v xml:space="preserve"> 248  Сардельки Сочные ТМ Особый рецепт,   ПОКОМ</v>
          </cell>
          <cell r="D26" t="str">
            <v>00-00006239</v>
          </cell>
          <cell r="F26">
            <v>-1.042</v>
          </cell>
          <cell r="G26">
            <v>-1.042</v>
          </cell>
          <cell r="H26">
            <v>1.042</v>
          </cell>
          <cell r="I26">
            <v>1.042</v>
          </cell>
        </row>
        <row r="27">
          <cell r="A27" t="str">
            <v xml:space="preserve"> 250  Сардельки стародворские с говядиной в обол. NDX, ВЕС. ПОКОМ</v>
          </cell>
          <cell r="D27" t="str">
            <v>00-00006052</v>
          </cell>
          <cell r="F27">
            <v>83.641999999999996</v>
          </cell>
          <cell r="G27">
            <v>83.641999999999996</v>
          </cell>
          <cell r="H27">
            <v>13.609</v>
          </cell>
          <cell r="I27">
            <v>13.609</v>
          </cell>
        </row>
        <row r="28">
          <cell r="A28" t="str">
            <v xml:space="preserve"> 255  Сосиски Молочные для завтрака ТМ Особый рецепт, п/а МГС, ВЕС, ТМ Стародворье  ПОКОМ</v>
          </cell>
          <cell r="D28" t="str">
            <v>00-00006302</v>
          </cell>
          <cell r="F28">
            <v>387.38600000000002</v>
          </cell>
          <cell r="G28">
            <v>387.38600000000002</v>
          </cell>
          <cell r="H28">
            <v>7.9349999999999996</v>
          </cell>
          <cell r="I28">
            <v>7.9349999999999996</v>
          </cell>
        </row>
        <row r="29">
          <cell r="A29" t="str">
            <v xml:space="preserve"> 257  Сосиски Молочные оригинальные ТМ Особый рецепт, ВЕС.   ПОКОМ</v>
          </cell>
          <cell r="D29" t="str">
            <v>00-00005822</v>
          </cell>
          <cell r="F29">
            <v>21.16</v>
          </cell>
          <cell r="G29">
            <v>21.16</v>
          </cell>
        </row>
        <row r="30">
          <cell r="A30" t="str">
            <v xml:space="preserve"> 263  Шпикачки Стародворские, ВЕС.  ПОКОМ</v>
          </cell>
          <cell r="D30" t="str">
            <v>00-00000899</v>
          </cell>
          <cell r="F30">
            <v>5.1879999999999997</v>
          </cell>
          <cell r="G30">
            <v>5.1879999999999997</v>
          </cell>
          <cell r="H30">
            <v>0.63</v>
          </cell>
          <cell r="I30">
            <v>0.63</v>
          </cell>
        </row>
        <row r="31">
          <cell r="A31" t="str">
            <v xml:space="preserve"> 265  Колбаса Балыкбургская, ВЕС, ТМ Баварушка  ПОКОМ</v>
          </cell>
          <cell r="D31" t="str">
            <v>00-00006426</v>
          </cell>
          <cell r="F31">
            <v>45.902999999999999</v>
          </cell>
          <cell r="G31">
            <v>45.902999999999999</v>
          </cell>
        </row>
        <row r="32">
          <cell r="A32" t="str">
            <v xml:space="preserve"> 266  Колбаса Филейбургская с сочным окороком, ВЕС, ТМ Баварушка  ПОКОМ</v>
          </cell>
          <cell r="D32" t="str">
            <v>00-00006428</v>
          </cell>
          <cell r="F32">
            <v>2.7559999999999998</v>
          </cell>
          <cell r="G32">
            <v>2.7559999999999998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D33" t="str">
            <v>00-00006480</v>
          </cell>
          <cell r="F33">
            <v>24.664999999999999</v>
          </cell>
          <cell r="G33">
            <v>24.664999999999999</v>
          </cell>
          <cell r="H33">
            <v>2.8159999999999998</v>
          </cell>
          <cell r="I33">
            <v>2.8159999999999998</v>
          </cell>
        </row>
        <row r="34">
          <cell r="A34" t="str">
            <v xml:space="preserve"> 273  Сосиски Сочинки с сочной грудинкой, МГС 0.4кг,   ПОКОМ</v>
          </cell>
          <cell r="D34" t="str">
            <v>00-00007884</v>
          </cell>
          <cell r="F34">
            <v>478.8</v>
          </cell>
          <cell r="G34">
            <v>1197</v>
          </cell>
          <cell r="H34">
            <v>25.6</v>
          </cell>
          <cell r="I34">
            <v>64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D35" t="str">
            <v>00-00007904</v>
          </cell>
          <cell r="F35">
            <v>340.2</v>
          </cell>
          <cell r="G35">
            <v>756</v>
          </cell>
          <cell r="H35">
            <v>3.6</v>
          </cell>
          <cell r="I35">
            <v>8</v>
          </cell>
        </row>
        <row r="36">
          <cell r="A36" t="str">
            <v xml:space="preserve"> 278  Сосиски Сочинки с сочным окороком, МГС 0.4кг,   ПОКОМ</v>
          </cell>
          <cell r="D36" t="str">
            <v>00-00008111</v>
          </cell>
          <cell r="F36">
            <v>199.2</v>
          </cell>
          <cell r="G36">
            <v>498</v>
          </cell>
          <cell r="H36">
            <v>22.8</v>
          </cell>
          <cell r="I36">
            <v>57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D37" t="str">
            <v>00-00008552</v>
          </cell>
          <cell r="F37">
            <v>8.4</v>
          </cell>
          <cell r="G37">
            <v>21</v>
          </cell>
          <cell r="H37">
            <v>2.4</v>
          </cell>
          <cell r="I37">
            <v>6</v>
          </cell>
        </row>
        <row r="38">
          <cell r="A38" t="str">
            <v xml:space="preserve"> 283  Сосиски Сочинки, ВЕС, ТМ Стародворье ПОКОМ</v>
          </cell>
          <cell r="D38" t="str">
            <v>00-00007182</v>
          </cell>
          <cell r="F38">
            <v>14.545999999999999</v>
          </cell>
          <cell r="G38">
            <v>14.545999999999999</v>
          </cell>
          <cell r="H38">
            <v>1.4870000000000001</v>
          </cell>
          <cell r="I38">
            <v>1.4870000000000001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 t="str">
            <v>00-00008448</v>
          </cell>
          <cell r="F39">
            <v>11</v>
          </cell>
          <cell r="G39">
            <v>110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 t="str">
            <v>00-00007883</v>
          </cell>
          <cell r="F40">
            <v>-1.05</v>
          </cell>
          <cell r="G40">
            <v>-3</v>
          </cell>
          <cell r="H40">
            <v>1.4</v>
          </cell>
          <cell r="I40">
            <v>4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 t="str">
            <v>00-00007882</v>
          </cell>
          <cell r="F41">
            <v>29.190999999999999</v>
          </cell>
          <cell r="G41">
            <v>29.190999999999999</v>
          </cell>
          <cell r="H41">
            <v>1.462</v>
          </cell>
          <cell r="I41">
            <v>1.462</v>
          </cell>
        </row>
        <row r="42">
          <cell r="A42" t="str">
            <v xml:space="preserve"> 298  Колбаса Сливушка ТМ Вязанка, 0,375кг,  ПОКОМ</v>
          </cell>
          <cell r="D42" t="str">
            <v>00-00009312</v>
          </cell>
          <cell r="F42">
            <v>0.75</v>
          </cell>
          <cell r="G42">
            <v>2</v>
          </cell>
          <cell r="H42">
            <v>0.375</v>
          </cell>
          <cell r="I42">
            <v>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 t="str">
            <v>00-00007885</v>
          </cell>
          <cell r="F43">
            <v>57.2</v>
          </cell>
          <cell r="G43">
            <v>143</v>
          </cell>
          <cell r="H43">
            <v>3.2</v>
          </cell>
          <cell r="I43">
            <v>8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 t="str">
            <v>00-00007886</v>
          </cell>
          <cell r="F44">
            <v>136.80000000000001</v>
          </cell>
          <cell r="G44">
            <v>342</v>
          </cell>
          <cell r="H44">
            <v>2.8</v>
          </cell>
          <cell r="I44">
            <v>7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 t="str">
            <v>00-00008651</v>
          </cell>
          <cell r="F45">
            <v>52.329000000000001</v>
          </cell>
          <cell r="G45">
            <v>52.329000000000001</v>
          </cell>
          <cell r="H45">
            <v>7.5519999999999996</v>
          </cell>
          <cell r="I45">
            <v>7.5519999999999996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D46" t="str">
            <v>00-00008268</v>
          </cell>
          <cell r="F46">
            <v>56</v>
          </cell>
          <cell r="G46">
            <v>160</v>
          </cell>
          <cell r="H46">
            <v>2.4500000000000002</v>
          </cell>
          <cell r="I46">
            <v>7</v>
          </cell>
        </row>
        <row r="47">
          <cell r="A47" t="str">
            <v xml:space="preserve"> 309  Сосиски Сочинки с сыром 0,4 кг ТМ Стародворье  ПОКОМ</v>
          </cell>
          <cell r="D47" t="str">
            <v>00-00008169</v>
          </cell>
          <cell r="F47">
            <v>194</v>
          </cell>
          <cell r="G47">
            <v>485</v>
          </cell>
          <cell r="H47">
            <v>1.6</v>
          </cell>
          <cell r="I47">
            <v>4</v>
          </cell>
        </row>
        <row r="48">
          <cell r="A48" t="str">
            <v xml:space="preserve"> 312  Ветчина Филейская ВЕС ТМ  Вязанка ТС Столичная  ПОКОМ</v>
          </cell>
          <cell r="D48" t="str">
            <v>00-00007957</v>
          </cell>
          <cell r="F48">
            <v>153.68700000000001</v>
          </cell>
          <cell r="G48">
            <v>153.68700000000001</v>
          </cell>
          <cell r="H48">
            <v>1.6639999999999999</v>
          </cell>
          <cell r="I48">
            <v>1.6639999999999999</v>
          </cell>
        </row>
        <row r="49">
          <cell r="A49" t="str">
            <v xml:space="preserve"> 315  Колбаса вареная Молокуша ТМ Вязанка ВЕС, ПОКОМ</v>
          </cell>
          <cell r="D49" t="str">
            <v>00-00008011</v>
          </cell>
          <cell r="F49">
            <v>161.52699999999999</v>
          </cell>
          <cell r="G49">
            <v>161.52699999999999</v>
          </cell>
          <cell r="H49">
            <v>5.6980000000000004</v>
          </cell>
          <cell r="I49">
            <v>5.6980000000000004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D50" t="str">
            <v>00-00008110</v>
          </cell>
          <cell r="F50">
            <v>149.4</v>
          </cell>
          <cell r="G50">
            <v>332</v>
          </cell>
          <cell r="H50">
            <v>11.25</v>
          </cell>
          <cell r="I50">
            <v>25</v>
          </cell>
        </row>
        <row r="51">
          <cell r="A51" t="str">
            <v xml:space="preserve"> 322  Колбаса вареная Молокуша 0,45кг ТМ Вязанка  ПОКОМ</v>
          </cell>
          <cell r="D51" t="str">
            <v>00-00008752</v>
          </cell>
          <cell r="F51">
            <v>206.1</v>
          </cell>
          <cell r="G51">
            <v>458</v>
          </cell>
          <cell r="H51">
            <v>1.35</v>
          </cell>
          <cell r="I51">
            <v>3</v>
          </cell>
        </row>
        <row r="52">
          <cell r="A52" t="str">
            <v xml:space="preserve"> 328  Сардельки Сочинки Стародворье ТМ  0,4 кг ПОКОМ</v>
          </cell>
          <cell r="D52" t="str">
            <v>00-00008901</v>
          </cell>
          <cell r="F52">
            <v>6.4</v>
          </cell>
          <cell r="G52">
            <v>16</v>
          </cell>
          <cell r="H52">
            <v>1.2</v>
          </cell>
          <cell r="I52">
            <v>3</v>
          </cell>
        </row>
        <row r="53">
          <cell r="A53" t="str">
            <v xml:space="preserve"> 329  Сардельки Сочинки с сыром Стародворье ТМ, 0,4 кг. ПОКОМ</v>
          </cell>
          <cell r="D53" t="str">
            <v>00-00008517</v>
          </cell>
          <cell r="F53">
            <v>-1.2</v>
          </cell>
          <cell r="G53">
            <v>-3</v>
          </cell>
          <cell r="H53">
            <v>4</v>
          </cell>
          <cell r="I53">
            <v>10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D54" t="str">
            <v>00-00008056</v>
          </cell>
          <cell r="F54">
            <v>159.68899999999999</v>
          </cell>
          <cell r="G54">
            <v>159.68899999999999</v>
          </cell>
          <cell r="H54">
            <v>3.4359999999999999</v>
          </cell>
          <cell r="I54">
            <v>3.4359999999999999</v>
          </cell>
        </row>
        <row r="55">
          <cell r="A55" t="str">
            <v xml:space="preserve"> 334  Паштет Любительский ТМ Стародворье ламистер 0,1 кг  ПОКОМ</v>
          </cell>
          <cell r="D55" t="str">
            <v>00-00009323</v>
          </cell>
          <cell r="F55">
            <v>9.1</v>
          </cell>
          <cell r="G55">
            <v>91</v>
          </cell>
        </row>
        <row r="56">
          <cell r="A56" t="str">
            <v xml:space="preserve"> 335  Колбаса Сливушка ТМ Вязанка. ВЕС.  ПОКОМ </v>
          </cell>
          <cell r="D56" t="str">
            <v>00-00008855</v>
          </cell>
          <cell r="F56">
            <v>276.12200000000001</v>
          </cell>
          <cell r="G56">
            <v>276.12200000000001</v>
          </cell>
          <cell r="H56">
            <v>2.0830000000000002</v>
          </cell>
          <cell r="I56">
            <v>2.0830000000000002</v>
          </cell>
        </row>
        <row r="57">
          <cell r="A57" t="str">
            <v xml:space="preserve"> 336  Ветчина Сливушка с индейкой ТМ Вязанка. ВЕС  ПОКОМ</v>
          </cell>
          <cell r="D57" t="str">
            <v>00-00008856</v>
          </cell>
          <cell r="F57">
            <v>39.6</v>
          </cell>
          <cell r="G57">
            <v>39.6</v>
          </cell>
          <cell r="H57">
            <v>1.3420000000000001</v>
          </cell>
          <cell r="I57">
            <v>1.3420000000000001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D58" t="str">
            <v>00-00009324</v>
          </cell>
          <cell r="F58">
            <v>6.5</v>
          </cell>
          <cell r="G58">
            <v>65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D59" t="str">
            <v>00-00008397</v>
          </cell>
          <cell r="F59">
            <v>2.4</v>
          </cell>
          <cell r="G59">
            <v>6</v>
          </cell>
        </row>
        <row r="60">
          <cell r="A60" t="str">
            <v xml:space="preserve"> 340  Сосиски Сочинки Молочные ТМ Стародворье, ВЕС ПОКОМ</v>
          </cell>
          <cell r="D60" t="str">
            <v>00-ko009080</v>
          </cell>
          <cell r="F60">
            <v>85.436999999999998</v>
          </cell>
          <cell r="G60">
            <v>85.436999999999998</v>
          </cell>
          <cell r="H60">
            <v>1.214</v>
          </cell>
          <cell r="I60">
            <v>1.214</v>
          </cell>
        </row>
        <row r="61">
          <cell r="A61" t="str">
            <v xml:space="preserve"> 341 Сосиски Сочинки Сливочные ТМ Стародворье ВЕС ПОКОМ</v>
          </cell>
          <cell r="D61" t="str">
            <v>00-00000799</v>
          </cell>
          <cell r="F61">
            <v>36.030999999999999</v>
          </cell>
          <cell r="G61">
            <v>36.030999999999999</v>
          </cell>
        </row>
        <row r="62">
          <cell r="A62" t="str">
            <v xml:space="preserve"> 342 Сосиски Сочинки Молочные ТМ Стародворье 0,4 кг ПОКОМ</v>
          </cell>
          <cell r="D62" t="str">
            <v>00-00008857</v>
          </cell>
          <cell r="F62">
            <v>196.4</v>
          </cell>
          <cell r="G62">
            <v>491</v>
          </cell>
          <cell r="H62">
            <v>10</v>
          </cell>
          <cell r="I62">
            <v>25</v>
          </cell>
        </row>
        <row r="63">
          <cell r="A63" t="str">
            <v xml:space="preserve"> 343 Сосиски Сочинки Сливочные ТМ Стародворье  0,4 кг ПОКОМ</v>
          </cell>
          <cell r="D63" t="str">
            <v>00-00008858</v>
          </cell>
          <cell r="F63">
            <v>118.4</v>
          </cell>
          <cell r="G63">
            <v>296</v>
          </cell>
          <cell r="H63">
            <v>2.4</v>
          </cell>
          <cell r="I63">
            <v>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 t="str">
            <v>00-00008906</v>
          </cell>
          <cell r="F64">
            <v>75.662999999999997</v>
          </cell>
          <cell r="G64">
            <v>75.662999999999997</v>
          </cell>
          <cell r="H64">
            <v>2.7130000000000001</v>
          </cell>
          <cell r="I64">
            <v>2.7130000000000001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 t="str">
            <v>00-00008907</v>
          </cell>
          <cell r="F65">
            <v>44.350999999999999</v>
          </cell>
          <cell r="G65">
            <v>44.350999999999999</v>
          </cell>
          <cell r="H65">
            <v>5.4340000000000002</v>
          </cell>
          <cell r="I65">
            <v>5.4340000000000002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 t="str">
            <v>00-ko009147</v>
          </cell>
          <cell r="F66">
            <v>288.142</v>
          </cell>
          <cell r="G66">
            <v>288.142</v>
          </cell>
          <cell r="H66">
            <v>12.513</v>
          </cell>
          <cell r="I66">
            <v>12.513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 t="str">
            <v>00-00009321</v>
          </cell>
          <cell r="F67">
            <v>146.50200000000001</v>
          </cell>
          <cell r="G67">
            <v>146.50200000000001</v>
          </cell>
          <cell r="H67">
            <v>7.21</v>
          </cell>
          <cell r="I67">
            <v>7.21</v>
          </cell>
        </row>
        <row r="68">
          <cell r="A68" t="str">
            <v xml:space="preserve"> 364  Сардельки Филейские Вязанка ВЕС NDX ТМ Вязанка  ПОКОМ</v>
          </cell>
          <cell r="D68" t="str">
            <v>00-00008656</v>
          </cell>
          <cell r="F68">
            <v>43.098999999999997</v>
          </cell>
          <cell r="G68">
            <v>43.098999999999997</v>
          </cell>
          <cell r="H68">
            <v>15.03</v>
          </cell>
          <cell r="I68">
            <v>15.03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D69" t="str">
            <v>00-00009081</v>
          </cell>
          <cell r="F69">
            <v>129.6</v>
          </cell>
          <cell r="G69">
            <v>216</v>
          </cell>
          <cell r="H69">
            <v>1.2</v>
          </cell>
          <cell r="I69">
            <v>2</v>
          </cell>
        </row>
        <row r="70">
          <cell r="A70" t="str">
            <v xml:space="preserve"> 377  Колбаса Молочная Дугушка 0,6кг ТМ Стародворье  ПОКОМ</v>
          </cell>
          <cell r="D70" t="str">
            <v>00-ko009847</v>
          </cell>
          <cell r="F70">
            <v>254.4</v>
          </cell>
          <cell r="G70">
            <v>424</v>
          </cell>
          <cell r="H70">
            <v>15</v>
          </cell>
          <cell r="I70">
            <v>25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D71" t="str">
            <v>00-00009009</v>
          </cell>
          <cell r="F71">
            <v>57.6</v>
          </cell>
          <cell r="G71">
            <v>144</v>
          </cell>
          <cell r="H71">
            <v>1.2</v>
          </cell>
          <cell r="I71">
            <v>3</v>
          </cell>
        </row>
        <row r="72">
          <cell r="A72" t="str">
            <v xml:space="preserve"> 388  Сосиски Восточные Халяль ТМ Вязанка 0,33 кг АК. ПОКОМ</v>
          </cell>
          <cell r="D72" t="str">
            <v>00-00009010</v>
          </cell>
          <cell r="F72">
            <v>81.84</v>
          </cell>
          <cell r="G72">
            <v>248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D73" t="str">
            <v>00-ko011455</v>
          </cell>
          <cell r="F73">
            <v>87.85</v>
          </cell>
          <cell r="G73">
            <v>251</v>
          </cell>
          <cell r="H73">
            <v>1.4</v>
          </cell>
          <cell r="I73">
            <v>4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D74" t="str">
            <v>00-00009080</v>
          </cell>
          <cell r="F74">
            <v>2.96</v>
          </cell>
          <cell r="G74">
            <v>8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D75" t="str">
            <v>00-00009084</v>
          </cell>
          <cell r="F75">
            <v>98.4</v>
          </cell>
          <cell r="G75">
            <v>164</v>
          </cell>
          <cell r="H75">
            <v>3</v>
          </cell>
          <cell r="I75">
            <v>5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 t="str">
            <v>00-00009325</v>
          </cell>
          <cell r="F76">
            <v>25.74</v>
          </cell>
          <cell r="G76">
            <v>78</v>
          </cell>
          <cell r="H76">
            <v>3.63</v>
          </cell>
          <cell r="I76">
            <v>11</v>
          </cell>
        </row>
        <row r="77">
          <cell r="A77" t="str">
            <v xml:space="preserve"> 408  Ветчина Сливушка с индейкой ТМ Вязанка, 0,4кг  ПОКОМ</v>
          </cell>
          <cell r="D77" t="str">
            <v>00-00009082</v>
          </cell>
          <cell r="F77">
            <v>8.8000000000000007</v>
          </cell>
          <cell r="G77">
            <v>22</v>
          </cell>
        </row>
        <row r="78">
          <cell r="A78" t="str">
            <v xml:space="preserve"> 410  Сосиски Баварские с сыром ТМ Стародворье 0,35 кг. ПОКОМ</v>
          </cell>
          <cell r="D78" t="str">
            <v>00-ko009100</v>
          </cell>
          <cell r="F78">
            <v>-0.7</v>
          </cell>
          <cell r="G78">
            <v>-2</v>
          </cell>
          <cell r="H78">
            <v>0.7</v>
          </cell>
          <cell r="I78">
            <v>2</v>
          </cell>
        </row>
        <row r="79">
          <cell r="A79" t="str">
            <v xml:space="preserve"> 412  Сосиски Баварские ТМ Стародворье 0,35 кг ПОКОМ</v>
          </cell>
          <cell r="D79" t="str">
            <v>00-ko009128</v>
          </cell>
          <cell r="F79">
            <v>43.4</v>
          </cell>
          <cell r="G79">
            <v>124</v>
          </cell>
          <cell r="H79">
            <v>1.05</v>
          </cell>
          <cell r="I79">
            <v>3</v>
          </cell>
        </row>
        <row r="80">
          <cell r="A80" t="str">
            <v xml:space="preserve"> 449  Колбаса Дугушка Стародворская ВЕС ТС Дугушка ПОКОМ</v>
          </cell>
          <cell r="D80" t="str">
            <v>00-ko009715</v>
          </cell>
          <cell r="F80">
            <v>480.351</v>
          </cell>
          <cell r="G80">
            <v>480.351</v>
          </cell>
          <cell r="H80">
            <v>5.9710000000000001</v>
          </cell>
          <cell r="I80">
            <v>5.9710000000000001</v>
          </cell>
        </row>
        <row r="81">
          <cell r="A81" t="str">
            <v xml:space="preserve"> 452  Колбаса Со шпиком ВЕС большой батон ТМ Особый рецепт  ПОКОМ</v>
          </cell>
          <cell r="D81" t="str">
            <v>00-ko009574</v>
          </cell>
          <cell r="F81">
            <v>1462.9269999999999</v>
          </cell>
          <cell r="G81">
            <v>1462.9269999999999</v>
          </cell>
          <cell r="H81">
            <v>5.1970000000000001</v>
          </cell>
          <cell r="I81">
            <v>5.1970000000000001</v>
          </cell>
        </row>
        <row r="82">
          <cell r="A82" t="str">
            <v xml:space="preserve"> 456  Колбаса Филейная ТМ Особый рецепт ВЕС большой батон  ПОКОМ</v>
          </cell>
          <cell r="D82" t="str">
            <v>00-ko009644</v>
          </cell>
          <cell r="F82">
            <v>1247.9659999999999</v>
          </cell>
          <cell r="G82">
            <v>1247.9659999999999</v>
          </cell>
          <cell r="H82">
            <v>3.0960000000000001</v>
          </cell>
          <cell r="I82">
            <v>3.0960000000000001</v>
          </cell>
        </row>
        <row r="83">
          <cell r="A83" t="str">
            <v xml:space="preserve"> 457  Колбаса Молочная ТМ Особый рецепт ВЕС большой батон  ПОКОМ</v>
          </cell>
          <cell r="D83" t="str">
            <v>00-ko009646</v>
          </cell>
          <cell r="F83">
            <v>2123.1419999999998</v>
          </cell>
          <cell r="G83">
            <v>2123.1419999999998</v>
          </cell>
          <cell r="H83">
            <v>4.8230000000000004</v>
          </cell>
          <cell r="I83">
            <v>4.8230000000000004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D84" t="str">
            <v>00-ko010045</v>
          </cell>
          <cell r="F84">
            <v>0.3</v>
          </cell>
          <cell r="G84">
            <v>1</v>
          </cell>
          <cell r="H84">
            <v>3</v>
          </cell>
          <cell r="I84">
            <v>10</v>
          </cell>
        </row>
        <row r="85">
          <cell r="A85" t="str">
            <v xml:space="preserve"> 523  Колбаса Сальчичон нарезка 0,07кг ТМ Стародворье  ПОКОМ </v>
          </cell>
          <cell r="D85" t="str">
            <v>00-ko011123</v>
          </cell>
          <cell r="F85">
            <v>3.78</v>
          </cell>
          <cell r="G85">
            <v>54</v>
          </cell>
          <cell r="H85">
            <v>7.0000000000000007E-2</v>
          </cell>
          <cell r="I85">
            <v>1</v>
          </cell>
        </row>
        <row r="86">
          <cell r="A86" t="str">
            <v xml:space="preserve"> 524  Колбаса Сервелат Ореховый нарезка 0,07кг ТМ Стародворье  ПОКОМ</v>
          </cell>
          <cell r="D86" t="str">
            <v>00-ko011142</v>
          </cell>
          <cell r="F86">
            <v>2.73</v>
          </cell>
          <cell r="G86">
            <v>39</v>
          </cell>
        </row>
        <row r="87">
          <cell r="A87" t="str">
            <v xml:space="preserve"> 525  Колбаса Фуэт нарезка 0,07кг ТМ Стародворье  ПОКОМ</v>
          </cell>
          <cell r="D87" t="str">
            <v>00-ko011128</v>
          </cell>
          <cell r="F87">
            <v>5.04</v>
          </cell>
          <cell r="G87">
            <v>72</v>
          </cell>
          <cell r="H87">
            <v>0.21</v>
          </cell>
          <cell r="I87">
            <v>3</v>
          </cell>
        </row>
        <row r="88">
          <cell r="A88" t="str">
            <v xml:space="preserve"> 526  Корейка вяленая выдержанная нарезка 0,05кг ТМ Стародворье  ПОКОМ</v>
          </cell>
          <cell r="D88" t="str">
            <v>00-ko011127</v>
          </cell>
          <cell r="F88">
            <v>1.05</v>
          </cell>
          <cell r="G88">
            <v>21</v>
          </cell>
        </row>
        <row r="89">
          <cell r="A89" t="str">
            <v xml:space="preserve"> 530  Окорок Хамон выдержанный нарезка 0,055кг ТМ Стародворье  ПОКОМ</v>
          </cell>
          <cell r="D89" t="str">
            <v>00-ko011124</v>
          </cell>
          <cell r="F89">
            <v>-0.16500000000000001</v>
          </cell>
          <cell r="G89">
            <v>-3</v>
          </cell>
          <cell r="H89">
            <v>0.16500000000000001</v>
          </cell>
          <cell r="I89">
            <v>3</v>
          </cell>
        </row>
        <row r="90">
          <cell r="A90" t="str">
            <v xml:space="preserve"> 544  Сосиски Мясные для гриля ТС Ядрена копоть 0,3 кг  ПОКОМ</v>
          </cell>
          <cell r="D90" t="str">
            <v>00-ko011597</v>
          </cell>
          <cell r="F90">
            <v>1.2</v>
          </cell>
          <cell r="G90">
            <v>4</v>
          </cell>
        </row>
        <row r="91">
          <cell r="A91" t="str">
            <v xml:space="preserve"> 547  Колбаса Мясная Классическая ТМ Вязанка в оболочке полиамид. ВЕС  ПОКОМ</v>
          </cell>
          <cell r="D91" t="str">
            <v>00-ko011537</v>
          </cell>
          <cell r="F91">
            <v>7.12</v>
          </cell>
          <cell r="G91">
            <v>7.12</v>
          </cell>
        </row>
        <row r="92">
          <cell r="A92" t="str">
            <v xml:space="preserve"> 551  Колбаса Сливушка ТМ Вязанка в модифицированной газовой среде 0,11 кг нарезка  ПОКОМ</v>
          </cell>
          <cell r="D92" t="str">
            <v>00-ko011465</v>
          </cell>
          <cell r="F92">
            <v>2.2000000000000002</v>
          </cell>
          <cell r="G92">
            <v>20</v>
          </cell>
          <cell r="H92">
            <v>10.78</v>
          </cell>
          <cell r="I92">
            <v>98</v>
          </cell>
        </row>
        <row r="93">
          <cell r="A93" t="str">
            <v xml:space="preserve"> 553  Ассорти колбас Мясорубская коллекция: Сервелат Делюкс, С балыком 0,08 кг нарезка  ПОКОМ</v>
          </cell>
          <cell r="D93" t="str">
            <v>00-ko011467</v>
          </cell>
          <cell r="F93">
            <v>14.8</v>
          </cell>
          <cell r="G93">
            <v>185</v>
          </cell>
          <cell r="H93">
            <v>0.32</v>
          </cell>
          <cell r="I93">
            <v>4</v>
          </cell>
        </row>
        <row r="94">
          <cell r="A94" t="str">
            <v xml:space="preserve"> 554  Колбаса Сервелат Мясорубский ТМ Стародворье в упаковке скин 0,08 кг нарезка  ПОКОМ</v>
          </cell>
          <cell r="D94" t="str">
            <v>00-ko011468</v>
          </cell>
          <cell r="F94">
            <v>13.12</v>
          </cell>
          <cell r="G94">
            <v>164</v>
          </cell>
          <cell r="H94">
            <v>1.04</v>
          </cell>
          <cell r="I94">
            <v>13</v>
          </cell>
        </row>
        <row r="95">
          <cell r="A95" t="str">
            <v xml:space="preserve"> 555  Колбаса Молокуша ТМ Вязанка в модифицированной газовой среде 0,17 кг нарезка  ПОКОМ</v>
          </cell>
          <cell r="D95" t="str">
            <v>00-ko011464</v>
          </cell>
          <cell r="F95">
            <v>3.91</v>
          </cell>
          <cell r="G95">
            <v>23</v>
          </cell>
          <cell r="H95">
            <v>0.34</v>
          </cell>
          <cell r="I95">
            <v>2</v>
          </cell>
        </row>
        <row r="96">
          <cell r="A96" t="str">
            <v xml:space="preserve"> 556  Колбаса Сервелат Ореховый ТМ Вязанка в оболочке фиброуз в вакуумной упаковке, ВЕС  ПОКОМ</v>
          </cell>
          <cell r="D96" t="str">
            <v>00-ko011536</v>
          </cell>
          <cell r="F96">
            <v>62.573</v>
          </cell>
          <cell r="G96">
            <v>62.573</v>
          </cell>
          <cell r="H96">
            <v>6.0289999999999999</v>
          </cell>
          <cell r="I96">
            <v>6.0289999999999999</v>
          </cell>
        </row>
        <row r="97">
          <cell r="A97" t="str">
            <v xml:space="preserve"> 557  Колбаса Сервелат Финский ТМ Вязанка в оболочке фиброуз в вакуумной упаковке, ВЕС  ПОКОМ</v>
          </cell>
          <cell r="D97" t="str">
            <v>00-ko011534</v>
          </cell>
          <cell r="F97">
            <v>41.18</v>
          </cell>
          <cell r="G97">
            <v>41.18</v>
          </cell>
          <cell r="H97">
            <v>6.5519999999999996</v>
          </cell>
          <cell r="I97">
            <v>6.5519999999999996</v>
          </cell>
        </row>
        <row r="98">
          <cell r="A98" t="str">
            <v xml:space="preserve"> 558  Колбаса Балыковая НОВАЯ ВЕС Вязанка фиброуз в/у ПОКОМ</v>
          </cell>
          <cell r="D98" t="str">
            <v>00-ko011531</v>
          </cell>
          <cell r="F98">
            <v>18.71</v>
          </cell>
          <cell r="G98">
            <v>18.71</v>
          </cell>
          <cell r="H98">
            <v>5.6669999999999998</v>
          </cell>
          <cell r="I98">
            <v>5.6669999999999998</v>
          </cell>
        </row>
        <row r="99">
          <cell r="A99" t="str">
            <v xml:space="preserve"> 569  Колбаса Балыковая ТМ Вязанка в оболочке фиброуз в вакуумной упаковке 0,28 кг срез.  ПОКОМ</v>
          </cell>
          <cell r="D99" t="str">
            <v>00-ko011578</v>
          </cell>
          <cell r="F99">
            <v>26.88</v>
          </cell>
          <cell r="G99">
            <v>96</v>
          </cell>
          <cell r="H99">
            <v>4.4800000000000004</v>
          </cell>
          <cell r="I99">
            <v>16</v>
          </cell>
        </row>
        <row r="100">
          <cell r="A100" t="str">
            <v xml:space="preserve"> 570  Колбаса Сервелат Финский ТМ Вязанка в оболочке фиброуз в вак. упаковке 0,28 кг срез  ПОКОМ</v>
          </cell>
          <cell r="D100" t="str">
            <v>00-ko011690</v>
          </cell>
          <cell r="F100">
            <v>30.52</v>
          </cell>
          <cell r="G100">
            <v>109</v>
          </cell>
          <cell r="H100">
            <v>2.2400000000000002</v>
          </cell>
          <cell r="I100">
            <v>8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D101" t="str">
            <v>00-ko011580</v>
          </cell>
          <cell r="F101">
            <v>17.64</v>
          </cell>
          <cell r="G101">
            <v>63</v>
          </cell>
          <cell r="H101">
            <v>3.36</v>
          </cell>
          <cell r="I101">
            <v>12</v>
          </cell>
        </row>
        <row r="102">
          <cell r="A102" t="str">
            <v xml:space="preserve"> 574  Колбаса Сервелат Финский ТМ Вязанка в упаковке скин 0,09 кг нарезка  ПОКОМ</v>
          </cell>
          <cell r="D102" t="str">
            <v>00-ko011712</v>
          </cell>
          <cell r="F102">
            <v>2.79</v>
          </cell>
          <cell r="G102">
            <v>31</v>
          </cell>
        </row>
        <row r="103">
          <cell r="A103" t="str">
            <v xml:space="preserve"> 579  Колбаса Ветчинно-рубленая ТМ Особый рецепт в оболочке полиамид.ВЕС  ПОКОМ</v>
          </cell>
          <cell r="D103" t="str">
            <v>00-ko011582</v>
          </cell>
          <cell r="F103">
            <v>32.813000000000002</v>
          </cell>
          <cell r="G103">
            <v>32.813000000000002</v>
          </cell>
        </row>
        <row r="104">
          <cell r="A104" t="str">
            <v xml:space="preserve"> 580  Ветчина Нежная с индейкой ТМ Особый рецепт в оболочке полиамид.ВЕС  ПОКОМ</v>
          </cell>
          <cell r="D104" t="str">
            <v>00-ko011583</v>
          </cell>
          <cell r="F104">
            <v>27.266999999999999</v>
          </cell>
          <cell r="G104">
            <v>27.266999999999999</v>
          </cell>
        </row>
        <row r="105">
          <cell r="A105" t="str">
            <v xml:space="preserve"> 583  Колбаса Балыковая ТМ Вязанка в упаковке скин 0,09 кг нарезка  ПОКОМ</v>
          </cell>
          <cell r="D105" t="str">
            <v>00-ko011711</v>
          </cell>
          <cell r="F105">
            <v>1.35</v>
          </cell>
          <cell r="G105">
            <v>15</v>
          </cell>
        </row>
        <row r="106">
          <cell r="A106" t="str">
            <v xml:space="preserve"> 584  Колбаса Сервелат Ореховый ТМ Вязанка в упаковке скин 0,09 кг нарезка  ПОКОМ</v>
          </cell>
          <cell r="D106" t="str">
            <v>00-ko011713</v>
          </cell>
          <cell r="F106">
            <v>1.62</v>
          </cell>
          <cell r="G106">
            <v>18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D107" t="str">
            <v>00-ko011661</v>
          </cell>
          <cell r="F107">
            <v>95.251999999999995</v>
          </cell>
          <cell r="G107">
            <v>95.251999999999995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D108" t="str">
            <v>00-ko011581</v>
          </cell>
          <cell r="F108">
            <v>274.97899999999998</v>
          </cell>
          <cell r="G108">
            <v>274.97899999999998</v>
          </cell>
          <cell r="H108">
            <v>2.38</v>
          </cell>
          <cell r="I108">
            <v>2.38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D109" t="str">
            <v>00-ko011611</v>
          </cell>
          <cell r="F109">
            <v>46.457999999999998</v>
          </cell>
          <cell r="G109">
            <v>46.457999999999998</v>
          </cell>
        </row>
        <row r="110">
          <cell r="A110" t="str">
            <v xml:space="preserve"> 597  Колбаса Классическая ТМ Особый рецепт в оболочке полиамид ВЕС. ПОКОМ</v>
          </cell>
          <cell r="D110" t="str">
            <v>00-ko011707</v>
          </cell>
          <cell r="F110">
            <v>805.23900000000003</v>
          </cell>
          <cell r="G110">
            <v>805.23900000000003</v>
          </cell>
          <cell r="H110">
            <v>3.915</v>
          </cell>
          <cell r="I110">
            <v>3.915</v>
          </cell>
        </row>
        <row r="111">
          <cell r="A111" t="str">
            <v xml:space="preserve"> 614  Буженина в пряном маринаде 0,25 кг консервы из мяса индейки ТМ Стародворье  ПОКОМ</v>
          </cell>
          <cell r="D111" t="str">
            <v>00-ko011745</v>
          </cell>
          <cell r="F111">
            <v>4</v>
          </cell>
          <cell r="G111">
            <v>16</v>
          </cell>
        </row>
        <row r="112">
          <cell r="A112" t="str">
            <v xml:space="preserve"> 615  Гречка по-купечески с говядиной и овощами 0,325кг ТМ Стародворье  ПОКОМ</v>
          </cell>
          <cell r="D112" t="str">
            <v>00-ko011746</v>
          </cell>
          <cell r="F112">
            <v>9.1</v>
          </cell>
          <cell r="G112">
            <v>28</v>
          </cell>
        </row>
        <row r="113">
          <cell r="A113" t="str">
            <v xml:space="preserve"> 616  Индейка томлёная в собственном соку 0,25кг ТМ Стародлворье Консервый из мяс.птицы  ПОКОМ</v>
          </cell>
          <cell r="D113" t="str">
            <v>00-ko011747</v>
          </cell>
          <cell r="F113">
            <v>7.75</v>
          </cell>
          <cell r="G113">
            <v>31</v>
          </cell>
        </row>
        <row r="114">
          <cell r="A114" t="str">
            <v>0614 ПРАЗДНИЧНАЯ с/к в/с дек.спец.мгс  Останкино</v>
          </cell>
          <cell r="D114" t="str">
            <v>00-ko010430</v>
          </cell>
          <cell r="F114">
            <v>20.190000000000001</v>
          </cell>
          <cell r="G114">
            <v>20.190000000000001</v>
          </cell>
        </row>
        <row r="115">
          <cell r="A115" t="str">
            <v>3215 ВЕТЧ.МЯСНАЯ Папа может п/о 0.4кг 8шт.    ОСТАНКИНО</v>
          </cell>
          <cell r="D115" t="str">
            <v>00-00005413</v>
          </cell>
          <cell r="F115">
            <v>283.60000000000002</v>
          </cell>
          <cell r="G115">
            <v>709</v>
          </cell>
          <cell r="H115">
            <v>2</v>
          </cell>
          <cell r="I115">
            <v>5</v>
          </cell>
        </row>
        <row r="116">
          <cell r="A116" t="str">
            <v>3287 САЛЯМИ ИТАЛЬЯНСКАЯ с/к в/у ОСТАНКИНО</v>
          </cell>
          <cell r="D116" t="str">
            <v>00-00000651</v>
          </cell>
          <cell r="F116">
            <v>50.018999999999998</v>
          </cell>
          <cell r="G116">
            <v>50.018999999999998</v>
          </cell>
        </row>
        <row r="117">
          <cell r="A117" t="str">
            <v>3323 Сыр Российский цилиндр 1/4 пленка ЮКМП м.д.ж. 50%  ОСТАНКИНО</v>
          </cell>
          <cell r="D117" t="str">
            <v>00-ko011401</v>
          </cell>
          <cell r="F117">
            <v>17.54</v>
          </cell>
          <cell r="G117">
            <v>17.54</v>
          </cell>
          <cell r="H117">
            <v>1.1040000000000001</v>
          </cell>
          <cell r="I117">
            <v>1.1040000000000001</v>
          </cell>
        </row>
        <row r="118">
          <cell r="A118" t="str">
            <v>3986 Ароматная с/к в/у 1/250 ОСТАНКИНО</v>
          </cell>
          <cell r="D118" t="str">
            <v>00-00000744</v>
          </cell>
          <cell r="F118">
            <v>161</v>
          </cell>
          <cell r="G118">
            <v>644</v>
          </cell>
          <cell r="H118">
            <v>3.5</v>
          </cell>
          <cell r="I118">
            <v>14</v>
          </cell>
        </row>
        <row r="119">
          <cell r="A119" t="str">
            <v>4063 МЯСНАЯ Папа может вар п/о_Л   ОСТАНКИНО</v>
          </cell>
          <cell r="D119" t="str">
            <v>00-00006364</v>
          </cell>
          <cell r="F119">
            <v>720.81799999999998</v>
          </cell>
          <cell r="G119">
            <v>720.81799999999998</v>
          </cell>
          <cell r="H119">
            <v>4.9740000000000002</v>
          </cell>
          <cell r="I119">
            <v>4.9740000000000002</v>
          </cell>
        </row>
        <row r="120">
          <cell r="A120" t="str">
            <v>4117 ЭКСТРА Папа может с/к в/у_Л   ОСТАНКИНО</v>
          </cell>
          <cell r="D120" t="str">
            <v>00-00006375</v>
          </cell>
          <cell r="F120">
            <v>94.504000000000005</v>
          </cell>
          <cell r="G120">
            <v>94.504000000000005</v>
          </cell>
          <cell r="H120">
            <v>1.982</v>
          </cell>
          <cell r="I120">
            <v>1.982</v>
          </cell>
        </row>
        <row r="121">
          <cell r="A121" t="str">
            <v>4421577 Спред растительно-сливочный "Сливочный вкус" 82,5% 180гр  Останкино</v>
          </cell>
          <cell r="D121" t="str">
            <v>00-ko010979</v>
          </cell>
          <cell r="F121">
            <v>44.46</v>
          </cell>
          <cell r="G121">
            <v>247</v>
          </cell>
          <cell r="H121">
            <v>9.5399999999999991</v>
          </cell>
          <cell r="I121">
            <v>53</v>
          </cell>
        </row>
        <row r="122">
          <cell r="A122" t="str">
            <v>4421584 Спред растительно-сливочный "Сливочный вкус" 72,5% 180гр  Останкино</v>
          </cell>
          <cell r="D122" t="str">
            <v>00-ko010980</v>
          </cell>
          <cell r="F122">
            <v>0.36</v>
          </cell>
          <cell r="G122">
            <v>2</v>
          </cell>
        </row>
        <row r="123">
          <cell r="A123" t="str">
            <v>4574 Мясная со шпиком Папа может вар п/о ОСТАНКИНО</v>
          </cell>
          <cell r="D123" t="str">
            <v>00-00000698</v>
          </cell>
          <cell r="F123">
            <v>81.715000000000003</v>
          </cell>
          <cell r="G123">
            <v>81.715000000000003</v>
          </cell>
          <cell r="H123">
            <v>3.2530000000000001</v>
          </cell>
          <cell r="I123">
            <v>3.2530000000000001</v>
          </cell>
        </row>
        <row r="124">
          <cell r="A124" t="str">
            <v>4813 ФИЛЕЙНАЯ Папа может вар п/о_Л   ОСТАНКИНО</v>
          </cell>
          <cell r="D124" t="str">
            <v>00-00006365</v>
          </cell>
          <cell r="F124">
            <v>856.529</v>
          </cell>
          <cell r="G124">
            <v>856.529</v>
          </cell>
          <cell r="H124">
            <v>4.3120000000000003</v>
          </cell>
          <cell r="I124">
            <v>4.3120000000000003</v>
          </cell>
        </row>
        <row r="125">
          <cell r="A125" t="str">
            <v>4931  Сыр полутвердый "Купеческий" с ароматом топленого молока, с м.д.ж. 50% ОСТАНКИНО</v>
          </cell>
          <cell r="D125" t="str">
            <v>00-ko011689</v>
          </cell>
          <cell r="F125">
            <v>3.2559999999999998</v>
          </cell>
          <cell r="G125">
            <v>3.2559999999999998</v>
          </cell>
        </row>
        <row r="126">
          <cell r="A126" t="str">
            <v>495  Колбаса Сочинка по-европейски с сочной грудинкой 0,3кг ТМ Стародворье  ПОКОМ</v>
          </cell>
          <cell r="D126" t="str">
            <v>00-ko010043</v>
          </cell>
          <cell r="F126">
            <v>18</v>
          </cell>
          <cell r="G126">
            <v>60</v>
          </cell>
          <cell r="H126">
            <v>3.3</v>
          </cell>
          <cell r="I126">
            <v>11</v>
          </cell>
        </row>
        <row r="127">
          <cell r="A127" t="str">
            <v>496  Колбаса Сочинка по-фински с сочным окроком 0,3кг ТМ Стародворье  ПОКОМ</v>
          </cell>
          <cell r="D127" t="str">
            <v>00-ko010044</v>
          </cell>
          <cell r="F127">
            <v>-3</v>
          </cell>
          <cell r="G127">
            <v>-10</v>
          </cell>
          <cell r="H127">
            <v>3.3</v>
          </cell>
          <cell r="I127">
            <v>11</v>
          </cell>
        </row>
        <row r="128">
          <cell r="A128" t="str">
            <v>4993 САЛЯМИ ИТАЛЬЯНСКАЯ с/к в/у 1/250*8_120c ОСТАНКИНО</v>
          </cell>
          <cell r="D128" t="str">
            <v>00-00000753</v>
          </cell>
          <cell r="F128">
            <v>167</v>
          </cell>
          <cell r="G128">
            <v>668</v>
          </cell>
          <cell r="H128">
            <v>0.75</v>
          </cell>
          <cell r="I128">
            <v>3</v>
          </cell>
        </row>
        <row r="129">
          <cell r="A129" t="str">
            <v>503 Колбаса Филейская со шпиком ТМ Вязанка в оболочке полиамид.ПОКОМ</v>
          </cell>
          <cell r="D129" t="str">
            <v>00-ko010042</v>
          </cell>
          <cell r="F129">
            <v>29.334</v>
          </cell>
          <cell r="G129">
            <v>29.334</v>
          </cell>
        </row>
        <row r="130">
          <cell r="A130" t="str">
            <v>515  Колбаса Сервелат Мясорубский Делюкс 0,3кг ТМ Стародворье  ПОКОМ</v>
          </cell>
          <cell r="D130" t="str">
            <v>00-ko010491</v>
          </cell>
          <cell r="F130">
            <v>10.5</v>
          </cell>
          <cell r="G130">
            <v>35</v>
          </cell>
          <cell r="H130">
            <v>0.6</v>
          </cell>
          <cell r="I130">
            <v>2</v>
          </cell>
        </row>
        <row r="131">
          <cell r="A131" t="str">
            <v>519  Грудинка 0,12 кг нарезка ТМ Стародворье  ПОКОМ</v>
          </cell>
          <cell r="D131" t="str">
            <v>00-ko010568</v>
          </cell>
          <cell r="F131">
            <v>4.5599999999999996</v>
          </cell>
          <cell r="G131">
            <v>38</v>
          </cell>
          <cell r="H131">
            <v>0.48</v>
          </cell>
          <cell r="I131">
            <v>4</v>
          </cell>
        </row>
        <row r="132">
          <cell r="A132" t="str">
            <v>5452 ВЕТЧ.МЯСНАЯ Папа может п/о    ОСТАНКИНО</v>
          </cell>
          <cell r="D132" t="str">
            <v>00-00005378</v>
          </cell>
          <cell r="F132">
            <v>277.32900000000001</v>
          </cell>
          <cell r="G132">
            <v>277.32900000000001</v>
          </cell>
          <cell r="H132">
            <v>2.661</v>
          </cell>
          <cell r="I132">
            <v>2.661</v>
          </cell>
        </row>
        <row r="133">
          <cell r="A133" t="str">
            <v>5483 ЭКСТРА Папа может с/к в/у 1/250 8шт.   ОСТАНКИНО</v>
          </cell>
          <cell r="D133" t="str">
            <v>00-00005436</v>
          </cell>
          <cell r="F133">
            <v>193.25</v>
          </cell>
          <cell r="G133">
            <v>773</v>
          </cell>
          <cell r="H133">
            <v>1</v>
          </cell>
          <cell r="I133">
            <v>4</v>
          </cell>
        </row>
        <row r="134">
          <cell r="A134" t="str">
            <v>5495 ВЕТЧ.С ИНДЕЙКОЙ Папа может п/о 400*6  Останкино</v>
          </cell>
          <cell r="D134" t="str">
            <v>00-ko009672</v>
          </cell>
          <cell r="F134">
            <v>130.80000000000001</v>
          </cell>
          <cell r="G134">
            <v>327</v>
          </cell>
          <cell r="H134">
            <v>1.6</v>
          </cell>
          <cell r="I134">
            <v>4</v>
          </cell>
        </row>
        <row r="135">
          <cell r="A135" t="str">
            <v>5544 Сервелат Финский в/к в/у_45с НОВАЯ ОСТАНКИНО</v>
          </cell>
          <cell r="D135" t="str">
            <v>00-00005653</v>
          </cell>
          <cell r="F135">
            <v>385.97699999999998</v>
          </cell>
          <cell r="G135">
            <v>385.97699999999998</v>
          </cell>
          <cell r="H135">
            <v>5.8860000000000001</v>
          </cell>
          <cell r="I135">
            <v>5.8860000000000001</v>
          </cell>
        </row>
        <row r="136">
          <cell r="A136" t="str">
            <v>5579 БЛИНЧ.КРУГЛЫЕ С САД.ЯБЛОК.пл.1/420 зам. ОСТАНКИНО</v>
          </cell>
          <cell r="D136" t="str">
            <v>00-00005671</v>
          </cell>
          <cell r="F136">
            <v>-0.84</v>
          </cell>
          <cell r="G136">
            <v>-2</v>
          </cell>
          <cell r="H136">
            <v>0.84</v>
          </cell>
          <cell r="I136">
            <v>2</v>
          </cell>
        </row>
        <row r="137">
          <cell r="A137" t="str">
            <v>5708 ПОСОЛЬСКАЯ Папа может с/к в/у ОСТАНКИНО</v>
          </cell>
          <cell r="D137" t="str">
            <v>00-00005867</v>
          </cell>
          <cell r="F137">
            <v>71.116</v>
          </cell>
          <cell r="G137">
            <v>71.116</v>
          </cell>
          <cell r="H137">
            <v>0.499</v>
          </cell>
          <cell r="I137">
            <v>0.499</v>
          </cell>
        </row>
        <row r="138">
          <cell r="A138" t="str">
            <v>5754 БЛИНЧ.КРУГЛЫЕ С МЯСОМ 4,5кг зам. ПМ ОСТАНКИНО</v>
          </cell>
          <cell r="D138" t="str">
            <v>00-ko011529</v>
          </cell>
          <cell r="F138">
            <v>4.5999999999999996</v>
          </cell>
          <cell r="G138">
            <v>4.5999999999999996</v>
          </cell>
        </row>
        <row r="139">
          <cell r="A139" t="str">
            <v>5755 БЛИНЧ.КРУГЛЫЕ С ТВОРОГОМ 4,5кг зам. ПМ ОСТАНКИНО</v>
          </cell>
          <cell r="D139" t="str">
            <v>00-ko011530</v>
          </cell>
          <cell r="F139">
            <v>4.5519999999999996</v>
          </cell>
          <cell r="G139">
            <v>4.5519999999999996</v>
          </cell>
        </row>
        <row r="140">
          <cell r="A140" t="str">
            <v>5819 Сосиски Папа может 400г Мясные  ОСТАНКИНО</v>
          </cell>
          <cell r="D140" t="str">
            <v>00-00009307</v>
          </cell>
          <cell r="F140">
            <v>12.4</v>
          </cell>
          <cell r="G140">
            <v>31</v>
          </cell>
        </row>
        <row r="141">
          <cell r="A141" t="str">
            <v>5851 ЭКСТРА Папа может вар п/о   ОСТАНКИНО</v>
          </cell>
          <cell r="D141" t="str">
            <v>00-00006074</v>
          </cell>
          <cell r="F141">
            <v>348.29399999999998</v>
          </cell>
          <cell r="G141">
            <v>348.29399999999998</v>
          </cell>
          <cell r="H141">
            <v>3.0009999999999999</v>
          </cell>
          <cell r="I141">
            <v>3.0009999999999999</v>
          </cell>
        </row>
        <row r="142">
          <cell r="A142" t="str">
            <v>5897 БЛИНЧ.КРУГЛЫЕ С ГРУШЕЙ пл.1/420 зам.   ОСТАНКИНО</v>
          </cell>
          <cell r="D142" t="str">
            <v>00-00006237</v>
          </cell>
          <cell r="F142">
            <v>1.26</v>
          </cell>
          <cell r="G142">
            <v>3</v>
          </cell>
          <cell r="H142">
            <v>1.26</v>
          </cell>
          <cell r="I142">
            <v>3</v>
          </cell>
        </row>
        <row r="143">
          <cell r="A143" t="str">
            <v>5931 ОХОТНИЧЬЯ Папа может с/к в/у 1/220 8шт.   ОСТАНКИНО</v>
          </cell>
          <cell r="D143" t="str">
            <v>00-00006294</v>
          </cell>
          <cell r="F143">
            <v>207.46</v>
          </cell>
          <cell r="G143">
            <v>943</v>
          </cell>
          <cell r="H143">
            <v>0.88</v>
          </cell>
          <cell r="I143">
            <v>4</v>
          </cell>
        </row>
        <row r="144">
          <cell r="A144" t="str">
            <v>6008 САЛО СОЛЕНОЕ С ЧЕРНЫМ ПЕРЦЕМ мл/к в/у ОСТАНКИНО</v>
          </cell>
          <cell r="D144" t="str">
            <v>00-ko011702</v>
          </cell>
          <cell r="F144">
            <v>3.28</v>
          </cell>
          <cell r="G144">
            <v>3.28</v>
          </cell>
        </row>
        <row r="145">
          <cell r="A145" t="str">
            <v>6148 БЛИНЧ.КРУГЛЫЕ С ВЕТЧ.И СЫР. ПМ 1/300 зам. ОСТАНКИНО</v>
          </cell>
          <cell r="D145" t="str">
            <v>00-ko011526</v>
          </cell>
          <cell r="F145">
            <v>12.6</v>
          </cell>
          <cell r="G145">
            <v>42</v>
          </cell>
          <cell r="H145">
            <v>1.2</v>
          </cell>
          <cell r="I145">
            <v>4</v>
          </cell>
        </row>
        <row r="146">
          <cell r="A146" t="str">
            <v>6149 БЛИНЧ.КРУГЛЫЕ С ПЕЧЕНЬЮ ПМ 1/300 зам. ОСТАНКИНО</v>
          </cell>
          <cell r="D146" t="str">
            <v>00-ko011527</v>
          </cell>
          <cell r="F146">
            <v>18.3</v>
          </cell>
          <cell r="G146">
            <v>61</v>
          </cell>
        </row>
        <row r="147">
          <cell r="A147" t="str">
            <v>6168 Блинчики с мясом пл. 1/350 зам. ОСТАНКИНО</v>
          </cell>
          <cell r="D147" t="str">
            <v>00-ko011525</v>
          </cell>
          <cell r="F147">
            <v>25.55</v>
          </cell>
          <cell r="G147">
            <v>73</v>
          </cell>
          <cell r="H147">
            <v>0.7</v>
          </cell>
          <cell r="I147">
            <v>2</v>
          </cell>
        </row>
        <row r="148">
          <cell r="A148" t="str">
            <v>6202 БЛИНЧ.КРУГЛЫЕ С ТВОРОГОМ ПМ 1/300 зам. ОСТАНКИНО</v>
          </cell>
          <cell r="D148" t="str">
            <v>00-ko011528</v>
          </cell>
          <cell r="F148">
            <v>11.4</v>
          </cell>
          <cell r="G148">
            <v>38</v>
          </cell>
        </row>
        <row r="149">
          <cell r="A149" t="str">
            <v>6208 ДЫМОВИЦА ИЗ ЛОПАТКИ ПМ к/в с/н в/у 1/150  Останкино</v>
          </cell>
          <cell r="D149" t="str">
            <v>00-ko010377</v>
          </cell>
          <cell r="F149">
            <v>1.5</v>
          </cell>
          <cell r="G149">
            <v>10</v>
          </cell>
        </row>
        <row r="150">
          <cell r="A150" t="str">
            <v>6209 Блинчики с куриным мясом пл. 1/350 зам. ОСТАНКИНО</v>
          </cell>
          <cell r="D150" t="str">
            <v>00-ko011524</v>
          </cell>
          <cell r="F150">
            <v>35</v>
          </cell>
          <cell r="G150">
            <v>100</v>
          </cell>
          <cell r="H150">
            <v>0.7</v>
          </cell>
          <cell r="I150">
            <v>2</v>
          </cell>
        </row>
        <row r="151">
          <cell r="A151" t="str">
            <v>6220 ГОВЯЖЬЯ папа может вар п/о  Останкино</v>
          </cell>
          <cell r="D151" t="str">
            <v>00-ko009211</v>
          </cell>
          <cell r="F151">
            <v>126.17700000000001</v>
          </cell>
          <cell r="G151">
            <v>126.17700000000001</v>
          </cell>
        </row>
        <row r="152">
          <cell r="A152" t="str">
            <v>6221 НЕОПОЛИТАНСКИЙ ДУЭТ с/к с/н мгс 1/90  Останкино</v>
          </cell>
          <cell r="D152" t="str">
            <v>00-ko010380</v>
          </cell>
          <cell r="F152">
            <v>31.5</v>
          </cell>
          <cell r="G152">
            <v>350</v>
          </cell>
          <cell r="H152">
            <v>0.45</v>
          </cell>
          <cell r="I152">
            <v>5</v>
          </cell>
        </row>
        <row r="153">
          <cell r="A153" t="str">
            <v>6222 ИТАЛЬЯНСКОЕ АССОРТИ с/в с/н мгс 1/90 ОСТАНКИНО</v>
          </cell>
          <cell r="D153" t="str">
            <v>00-ko010780</v>
          </cell>
          <cell r="F153">
            <v>0.18</v>
          </cell>
          <cell r="G153">
            <v>2</v>
          </cell>
        </row>
        <row r="154">
          <cell r="A154" t="str">
            <v>6228 МЯСНОЕ АССОРТИ к/з с/н мгс 1/90 10шт  Останкино</v>
          </cell>
          <cell r="D154" t="str">
            <v>00-ko009215</v>
          </cell>
          <cell r="F154">
            <v>7.2</v>
          </cell>
          <cell r="G154">
            <v>80</v>
          </cell>
          <cell r="H154">
            <v>0.99</v>
          </cell>
          <cell r="I154">
            <v>11</v>
          </cell>
        </row>
        <row r="155">
          <cell r="A155" t="str">
            <v>6279 КОРЕЙКА ПО-ОСТ.к/в в/с с/н в/у 1/150_45с  Останкино</v>
          </cell>
          <cell r="D155" t="str">
            <v>00-ko010967</v>
          </cell>
          <cell r="F155">
            <v>4.3499999999999996</v>
          </cell>
          <cell r="G155">
            <v>29</v>
          </cell>
        </row>
        <row r="156">
          <cell r="A156" t="str">
            <v>6303 Мясные Папа может сос п/о мгс 1,5*3  Останкино</v>
          </cell>
          <cell r="D156" t="str">
            <v>00-00009145</v>
          </cell>
          <cell r="F156">
            <v>386.96300000000002</v>
          </cell>
          <cell r="G156">
            <v>386.96300000000002</v>
          </cell>
          <cell r="H156">
            <v>0.92500000000000004</v>
          </cell>
          <cell r="I156">
            <v>0.92500000000000004</v>
          </cell>
        </row>
        <row r="157">
          <cell r="A157" t="str">
            <v>6325 ДОКТОРСКАЯ ПРЕМИУМ вар п/о 0.4кг 8шт.  ОСТАНКИНО</v>
          </cell>
          <cell r="D157" t="str">
            <v>00-00007305</v>
          </cell>
          <cell r="F157">
            <v>118.4</v>
          </cell>
          <cell r="G157">
            <v>296</v>
          </cell>
        </row>
        <row r="158">
          <cell r="A158" t="str">
            <v>6333 МЯСНАЯ Папа может вар п/о 0.4кг 8шт.  ОСТАНКИНО</v>
          </cell>
          <cell r="D158" t="str">
            <v>00-00007020</v>
          </cell>
          <cell r="F158">
            <v>540.79999999999995</v>
          </cell>
          <cell r="G158">
            <v>1352</v>
          </cell>
          <cell r="H158">
            <v>8</v>
          </cell>
          <cell r="I158">
            <v>20</v>
          </cell>
        </row>
        <row r="159">
          <cell r="A159" t="str">
            <v>6353 ЭКСТРА Папа может вар п/о 0.4кг 8шт.  ОСТАНКИНО</v>
          </cell>
          <cell r="D159" t="str">
            <v>00-00007022</v>
          </cell>
          <cell r="F159">
            <v>-0.8</v>
          </cell>
          <cell r="G159">
            <v>-2</v>
          </cell>
          <cell r="H159">
            <v>0.8</v>
          </cell>
          <cell r="I159">
            <v>2</v>
          </cell>
        </row>
        <row r="160">
          <cell r="A160" t="str">
            <v>6392 ФИЛЕЙНАЯ Папа может вар п/о 0,4кг  ОСТАНКИНО</v>
          </cell>
          <cell r="D160" t="str">
            <v>00-00008829</v>
          </cell>
          <cell r="F160">
            <v>466</v>
          </cell>
          <cell r="G160">
            <v>1165</v>
          </cell>
          <cell r="H160">
            <v>5.6</v>
          </cell>
          <cell r="I160">
            <v>14</v>
          </cell>
        </row>
        <row r="161">
          <cell r="A161" t="str">
            <v>6411 ВЕТЧ.РУБЛЕНАЯ ПМ в/у срез 0.3кг 6шт.  ОСТАНКИНО</v>
          </cell>
          <cell r="D161" t="str">
            <v>00-ko011752</v>
          </cell>
          <cell r="F161">
            <v>7.8</v>
          </cell>
          <cell r="G161">
            <v>26</v>
          </cell>
        </row>
        <row r="162">
          <cell r="A162" t="str">
            <v>6459 СЕРВЕЛАТ ШВЕЙЦАРСК. в/к с/н в/у 1/100*10  Останкино</v>
          </cell>
          <cell r="D162" t="str">
            <v>00-ko010965</v>
          </cell>
          <cell r="F162">
            <v>-0.3</v>
          </cell>
          <cell r="G162">
            <v>-3</v>
          </cell>
          <cell r="H162">
            <v>0.3</v>
          </cell>
          <cell r="I162">
            <v>3</v>
          </cell>
        </row>
        <row r="163">
          <cell r="A163" t="str">
            <v>6470 ВЕТЧ.МРАМОРНАЯ в/у_45с  ОСТАНКИНО</v>
          </cell>
          <cell r="D163" t="str">
            <v>00-ko010639</v>
          </cell>
          <cell r="F163">
            <v>141.21600000000001</v>
          </cell>
          <cell r="G163">
            <v>141.21600000000001</v>
          </cell>
        </row>
        <row r="164">
          <cell r="A164" t="str">
            <v>6475 Сосиски Папа может 400г С сыром  ОСТАНКИНО</v>
          </cell>
          <cell r="D164" t="str">
            <v>00-00009308</v>
          </cell>
          <cell r="F164">
            <v>46</v>
          </cell>
          <cell r="G164">
            <v>115</v>
          </cell>
          <cell r="H164">
            <v>2</v>
          </cell>
          <cell r="I164">
            <v>5</v>
          </cell>
        </row>
        <row r="165">
          <cell r="A165" t="str">
            <v>6495 ВЕТЧ.МРАМОРНАЯ в/у срез 0,3кг 6шт_45с  Останкино</v>
          </cell>
          <cell r="D165" t="str">
            <v>00-ko009959</v>
          </cell>
          <cell r="F165">
            <v>63.3</v>
          </cell>
          <cell r="G165">
            <v>211</v>
          </cell>
          <cell r="H165">
            <v>6.9</v>
          </cell>
          <cell r="I165">
            <v>23</v>
          </cell>
        </row>
        <row r="166">
          <cell r="A166" t="str">
            <v>6498 МОЛОЧНАЯ Папа может вар п/о  ОСТАНКИНО</v>
          </cell>
          <cell r="D166" t="str">
            <v>00-00008386</v>
          </cell>
          <cell r="F166">
            <v>623.87199999999996</v>
          </cell>
          <cell r="G166">
            <v>623.87199999999996</v>
          </cell>
          <cell r="H166">
            <v>1.8660000000000001</v>
          </cell>
          <cell r="I166">
            <v>1.8660000000000001</v>
          </cell>
        </row>
        <row r="167">
          <cell r="A167" t="str">
            <v>6527 ШПИКАЧКИ СОЧНЫЕ ПМ сар б/о мгс 1*3 45с ОСТАНКИНО</v>
          </cell>
          <cell r="D167" t="str">
            <v>00-00008387</v>
          </cell>
          <cell r="F167">
            <v>32.082999999999998</v>
          </cell>
          <cell r="G167">
            <v>32.082999999999998</v>
          </cell>
          <cell r="H167">
            <v>0.39600000000000002</v>
          </cell>
          <cell r="I167">
            <v>0.39600000000000002</v>
          </cell>
        </row>
        <row r="168">
          <cell r="A168" t="str">
            <v>6550 МЯСНЫЕ Папа может сар б/о мгс 1*3 О 45с  Останкино</v>
          </cell>
          <cell r="D168" t="str">
            <v>00-ko009350</v>
          </cell>
          <cell r="F168">
            <v>162.488</v>
          </cell>
          <cell r="G168">
            <v>162.488</v>
          </cell>
          <cell r="H168">
            <v>2.21</v>
          </cell>
          <cell r="I168">
            <v>2.21</v>
          </cell>
        </row>
        <row r="169">
          <cell r="A169" t="str">
            <v>6608 С ГОВЯДИНОЙ ОРИГИН. сар б/о мгс 1*3_45с  ОСТАНКИНО</v>
          </cell>
          <cell r="D169" t="str">
            <v>00-00008873</v>
          </cell>
          <cell r="F169">
            <v>30.308</v>
          </cell>
          <cell r="G169">
            <v>30.308</v>
          </cell>
          <cell r="H169">
            <v>6.6269999999999998</v>
          </cell>
          <cell r="I169">
            <v>6.6269999999999998</v>
          </cell>
        </row>
        <row r="170">
          <cell r="A170" t="str">
            <v>6616 МОЛОЧНЫЕ КЛАССИЧЕСКИЕ сос п/о в/у 0,3 кг  Останкино</v>
          </cell>
          <cell r="D170" t="str">
            <v>00-ko010530</v>
          </cell>
          <cell r="F170">
            <v>103.5</v>
          </cell>
          <cell r="G170">
            <v>345</v>
          </cell>
          <cell r="H170">
            <v>3.6</v>
          </cell>
          <cell r="I170">
            <v>12</v>
          </cell>
        </row>
        <row r="171">
          <cell r="A171" t="str">
            <v>6661 СОЧНЫЙ ГРИЛЬ ПМ сос п/о мгс 1,5*4_Маяк Останкино</v>
          </cell>
          <cell r="D171" t="str">
            <v>00-00009144</v>
          </cell>
          <cell r="F171">
            <v>142.422</v>
          </cell>
          <cell r="G171">
            <v>142.422</v>
          </cell>
        </row>
        <row r="172">
          <cell r="A172" t="str">
            <v>6697 СЕРВЕЛАТ ФИНСКИЙ ПМ в/к в/у 0,35кг 8шт  ОСТАНКИНО</v>
          </cell>
          <cell r="D172" t="str">
            <v>00-00008789</v>
          </cell>
          <cell r="F172">
            <v>625.79999999999995</v>
          </cell>
          <cell r="G172">
            <v>1788</v>
          </cell>
          <cell r="H172">
            <v>14</v>
          </cell>
          <cell r="I172">
            <v>40</v>
          </cell>
        </row>
        <row r="173">
          <cell r="A173" t="str">
            <v>6713 СОЧНЫЙ ГРИЛЬ ПМ сос п/о мгс 0,41кг 8 шт.  ОСТАНКИНО</v>
          </cell>
          <cell r="D173" t="str">
            <v>00-00009132</v>
          </cell>
          <cell r="F173">
            <v>112.75</v>
          </cell>
          <cell r="G173">
            <v>275</v>
          </cell>
          <cell r="H173">
            <v>16.399999999999999</v>
          </cell>
          <cell r="I173">
            <v>40</v>
          </cell>
        </row>
        <row r="174">
          <cell r="A174" t="str">
            <v>6724 МОЛОЧНЫЕ ПМ сос п/о мгс 0,41кг 10шт  Останкино</v>
          </cell>
          <cell r="D174" t="str">
            <v>00-ko010964</v>
          </cell>
          <cell r="F174">
            <v>184.91</v>
          </cell>
          <cell r="G174">
            <v>451</v>
          </cell>
          <cell r="H174">
            <v>2.0499999999999998</v>
          </cell>
          <cell r="I174">
            <v>5</v>
          </cell>
        </row>
        <row r="175">
          <cell r="A175" t="str">
            <v>6765 РУБЛЕНЫЕ сос ц/о мгс 0,36кг 6шт  Останкино</v>
          </cell>
          <cell r="D175" t="str">
            <v>00-ko009677</v>
          </cell>
          <cell r="F175">
            <v>3.6</v>
          </cell>
          <cell r="G175">
            <v>10</v>
          </cell>
        </row>
        <row r="176">
          <cell r="A176" t="str">
            <v>6787 СЕРВЕЛАТ КРЕМЛЕВСКИЙ в/к в/у 0,33кг 8шт  Останкино</v>
          </cell>
          <cell r="D176" t="str">
            <v>00-ko009922</v>
          </cell>
          <cell r="F176">
            <v>37.619999999999997</v>
          </cell>
          <cell r="G176">
            <v>114</v>
          </cell>
          <cell r="H176">
            <v>0.99</v>
          </cell>
          <cell r="I176">
            <v>3</v>
          </cell>
        </row>
        <row r="177">
          <cell r="A177" t="str">
            <v>6797 С ИНДЕЙКОЙ Папа может вар п/о 0,4кг 8шт. ОСТАНКИНО</v>
          </cell>
          <cell r="D177" t="str">
            <v>00-ko011300</v>
          </cell>
          <cell r="F177">
            <v>149.19999999999999</v>
          </cell>
          <cell r="G177">
            <v>373</v>
          </cell>
          <cell r="H177">
            <v>1.6</v>
          </cell>
          <cell r="I177">
            <v>4</v>
          </cell>
        </row>
        <row r="178">
          <cell r="A178" t="str">
            <v>6807 СЕРВЕЛАТ ЕВРОПЕЙСКИЙ в/к в/у 0,33кг 8шт  Останкино</v>
          </cell>
          <cell r="D178" t="str">
            <v>00-ko009568</v>
          </cell>
          <cell r="F178">
            <v>0.33</v>
          </cell>
          <cell r="G178">
            <v>1</v>
          </cell>
        </row>
        <row r="179">
          <cell r="A179" t="str">
            <v>6829  МОЛОЧНЫЕ КЛАССИЧЕСКИЕ сос п/о мгс 2*4 С  Останккино</v>
          </cell>
          <cell r="D179" t="str">
            <v>00-ko009595</v>
          </cell>
          <cell r="F179">
            <v>155.59700000000001</v>
          </cell>
          <cell r="G179">
            <v>155.59700000000001</v>
          </cell>
          <cell r="H179">
            <v>2.9510000000000001</v>
          </cell>
          <cell r="I179">
            <v>2.9510000000000001</v>
          </cell>
        </row>
        <row r="180">
          <cell r="A180" t="str">
            <v>6834 ПОСОЛЬСКАЯ с/к с/н в/у 1/100 10шт  Останкино</v>
          </cell>
          <cell r="D180" t="str">
            <v>00-ko009682</v>
          </cell>
          <cell r="F180">
            <v>-0.2</v>
          </cell>
          <cell r="G180">
            <v>-2</v>
          </cell>
          <cell r="H180">
            <v>0.2</v>
          </cell>
          <cell r="I180">
            <v>2</v>
          </cell>
        </row>
        <row r="181">
          <cell r="A181" t="str">
            <v>6837 ФИЛЕЙНЫЕ Папа Может сос ц/о мгс 0,4кг  Останкино</v>
          </cell>
          <cell r="D181" t="str">
            <v>00-ko010963</v>
          </cell>
          <cell r="F181">
            <v>57.2</v>
          </cell>
          <cell r="G181">
            <v>143</v>
          </cell>
          <cell r="H181">
            <v>5.2</v>
          </cell>
          <cell r="I181">
            <v>13</v>
          </cell>
        </row>
        <row r="182">
          <cell r="A182" t="str">
            <v>6866 ВЕТЧ.НЕЖНАЯ Коровино п/о_Маяк  Останкино</v>
          </cell>
          <cell r="D182" t="str">
            <v>00-ko009992</v>
          </cell>
          <cell r="F182">
            <v>81.828999999999994</v>
          </cell>
          <cell r="G182">
            <v>81.828999999999994</v>
          </cell>
        </row>
        <row r="183">
          <cell r="A183" t="str">
            <v>6925 ВЕТЧ.КЛАССИЧЕСКАЯ в/у 0,6кг 8шт. ОСТАНКИНО</v>
          </cell>
          <cell r="D183" t="str">
            <v>00-ko011662</v>
          </cell>
          <cell r="F183">
            <v>40.799999999999997</v>
          </cell>
          <cell r="G183">
            <v>68</v>
          </cell>
          <cell r="H183">
            <v>3</v>
          </cell>
          <cell r="I183">
            <v>5</v>
          </cell>
        </row>
        <row r="184">
          <cell r="A184" t="str">
            <v>6937 САЛЯМИ Папа может с/к в/у 1/250 8шт  Останкино</v>
          </cell>
          <cell r="D184" t="str">
            <v>00-ko010384</v>
          </cell>
          <cell r="F184">
            <v>4.25</v>
          </cell>
          <cell r="G184">
            <v>17</v>
          </cell>
        </row>
        <row r="185">
          <cell r="A185" t="str">
            <v>6948249 Майонезный соус провансаль 824,5гр деликатес.с массовой долей жирн.25% Коровино Останкино</v>
          </cell>
          <cell r="D185" t="str">
            <v>00-ko011307</v>
          </cell>
          <cell r="F185">
            <v>6.5919999999999996</v>
          </cell>
          <cell r="G185">
            <v>8</v>
          </cell>
        </row>
        <row r="186">
          <cell r="A186" t="str">
            <v>6948256 Майонез провансаль классич.оливковый Папа может 372гр с массовой долей жирн. 67% Останкино</v>
          </cell>
          <cell r="D186" t="str">
            <v>00-ko011305</v>
          </cell>
          <cell r="F186">
            <v>68.819999999999993</v>
          </cell>
          <cell r="G186">
            <v>185</v>
          </cell>
          <cell r="H186">
            <v>0.74399999999999999</v>
          </cell>
          <cell r="I186">
            <v>2</v>
          </cell>
        </row>
        <row r="187">
          <cell r="A187" t="str">
            <v>6948263 Майонез провансаль классич.оливковый Папа может 744гр с массовой долей жирн. 67% Останкино</v>
          </cell>
          <cell r="D187" t="str">
            <v>00-ko011306</v>
          </cell>
          <cell r="F187">
            <v>66.215999999999994</v>
          </cell>
          <cell r="G187">
            <v>89</v>
          </cell>
        </row>
        <row r="188">
          <cell r="A188" t="str">
            <v>6948270 Майонез провансаль классич.Папа может 372гр с массовой долей жирн. 67% Останкино</v>
          </cell>
          <cell r="D188" t="str">
            <v>00-ko011303</v>
          </cell>
          <cell r="F188">
            <v>67.703999999999994</v>
          </cell>
          <cell r="G188">
            <v>182</v>
          </cell>
        </row>
        <row r="189">
          <cell r="A189" t="str">
            <v>6948287 Майонез провансаль классич.Папа может 744гр с массовой долей жирн. 67% Останкино</v>
          </cell>
          <cell r="D189" t="str">
            <v>00-ko011304</v>
          </cell>
          <cell r="F189">
            <v>118.29600000000001</v>
          </cell>
          <cell r="G189">
            <v>159</v>
          </cell>
        </row>
        <row r="190">
          <cell r="A190" t="str">
            <v>6967 БУРГУНДИЯ Папа может с/к в/у 1/250 8шт  Останкино</v>
          </cell>
          <cell r="D190" t="str">
            <v>00-ko010379</v>
          </cell>
          <cell r="F190">
            <v>83.5</v>
          </cell>
          <cell r="G190">
            <v>334</v>
          </cell>
          <cell r="H190">
            <v>1.75</v>
          </cell>
          <cell r="I190">
            <v>7</v>
          </cell>
        </row>
        <row r="191">
          <cell r="A191" t="str">
            <v>7001 КЛАССИЧЕСКИЕ Папа может сар б/о мгс 1*3  Останкино</v>
          </cell>
          <cell r="D191" t="str">
            <v>00-ko010285</v>
          </cell>
          <cell r="F191">
            <v>10.608000000000001</v>
          </cell>
          <cell r="G191">
            <v>10.608000000000001</v>
          </cell>
        </row>
        <row r="192">
          <cell r="A192" t="str">
            <v>7040 С ИНДЕЙКОЙ ПМ сос ц/о в/у 1/270 8шт.  ОСТАНКИНО</v>
          </cell>
          <cell r="D192" t="str">
            <v>00-ko011749</v>
          </cell>
          <cell r="F192">
            <v>0.54</v>
          </cell>
          <cell r="G192">
            <v>2</v>
          </cell>
        </row>
        <row r="193">
          <cell r="A193" t="str">
            <v>7059 ШПИКАЧКИ СОЧНЫЕ С БЕК. п/о мгс 0,3кг 60с ОСТАНКИНО</v>
          </cell>
          <cell r="D193" t="str">
            <v>00-ko011609</v>
          </cell>
          <cell r="F193">
            <v>28.2</v>
          </cell>
          <cell r="G193">
            <v>94</v>
          </cell>
          <cell r="H193">
            <v>0.3</v>
          </cell>
          <cell r="I193">
            <v>1</v>
          </cell>
        </row>
        <row r="194">
          <cell r="A194" t="str">
            <v>7066 СОЧНЫЕ ПМ сос п/о мгс 0,41кг 10шт 50с  Останкино</v>
          </cell>
          <cell r="D194" t="str">
            <v>00-ko010284</v>
          </cell>
          <cell r="F194">
            <v>717.91</v>
          </cell>
          <cell r="G194">
            <v>1751</v>
          </cell>
          <cell r="H194">
            <v>4.0999999999999996</v>
          </cell>
          <cell r="I194">
            <v>10</v>
          </cell>
        </row>
        <row r="195">
          <cell r="A195" t="str">
            <v>7070 СОЧНЫЕ ПМ сос п/о 1,5*4_А_50с  Останкино</v>
          </cell>
          <cell r="D195" t="str">
            <v>00-ko010282</v>
          </cell>
          <cell r="F195">
            <v>544.98</v>
          </cell>
          <cell r="G195">
            <v>544.98</v>
          </cell>
          <cell r="H195">
            <v>0.9</v>
          </cell>
          <cell r="I195">
            <v>0.9</v>
          </cell>
        </row>
        <row r="196">
          <cell r="A196" t="str">
            <v>7073 МОЛОЧ.ПРЕМИУМ ПМ сос п/о в/у 1/350_50с  Останкино</v>
          </cell>
          <cell r="D196" t="str">
            <v>00-ko010301</v>
          </cell>
          <cell r="F196">
            <v>189</v>
          </cell>
          <cell r="G196">
            <v>540</v>
          </cell>
          <cell r="H196">
            <v>3.15</v>
          </cell>
          <cell r="I196">
            <v>9</v>
          </cell>
        </row>
        <row r="197">
          <cell r="A197" t="str">
            <v>7080 СЛИВОЧНЫЕ ПМ сос п/о мгс 0,41кг 10шт 50с  Останкино</v>
          </cell>
          <cell r="D197" t="str">
            <v>00-ko010283</v>
          </cell>
          <cell r="F197">
            <v>658.46</v>
          </cell>
          <cell r="G197">
            <v>1606</v>
          </cell>
          <cell r="H197">
            <v>5.74</v>
          </cell>
          <cell r="I197">
            <v>14</v>
          </cell>
        </row>
        <row r="198">
          <cell r="A198" t="str">
            <v>7083 СЛИВОЧНЫЕ ПМ сос п/о мгс 1.5*4_А_50с  ОСТАНКИНО</v>
          </cell>
          <cell r="D198" t="str">
            <v>00-ko011523</v>
          </cell>
          <cell r="F198">
            <v>18.675999999999998</v>
          </cell>
          <cell r="G198">
            <v>18.675999999999998</v>
          </cell>
        </row>
        <row r="199">
          <cell r="A199" t="str">
            <v>7090 СВИНИНА ПО-ДОМ.к/в мл/к в/у 0,3кг_50с  Останкино</v>
          </cell>
          <cell r="D199" t="str">
            <v>00-ko010286</v>
          </cell>
          <cell r="F199">
            <v>154.80000000000001</v>
          </cell>
          <cell r="G199">
            <v>516</v>
          </cell>
          <cell r="H199">
            <v>1.2</v>
          </cell>
          <cell r="I199">
            <v>4</v>
          </cell>
        </row>
        <row r="200">
          <cell r="A200" t="str">
            <v>7103 БЕКОН Останкино с/к с/н в/у 1/180_50с  Останкино</v>
          </cell>
          <cell r="D200" t="str">
            <v>00-ko010254</v>
          </cell>
          <cell r="F200">
            <v>96.48</v>
          </cell>
          <cell r="G200">
            <v>536</v>
          </cell>
          <cell r="H200">
            <v>1.62</v>
          </cell>
          <cell r="I200">
            <v>9</v>
          </cell>
        </row>
        <row r="201">
          <cell r="A201" t="str">
            <v>7147 САЛЬЧИЧОН Останкино с/к в/у 1/220 8 шт  Останкино</v>
          </cell>
          <cell r="D201" t="str">
            <v>00-ko010673</v>
          </cell>
          <cell r="F201">
            <v>-0.22</v>
          </cell>
          <cell r="G201">
            <v>-1</v>
          </cell>
          <cell r="H201">
            <v>0.22</v>
          </cell>
          <cell r="I201">
            <v>1</v>
          </cell>
        </row>
        <row r="202">
          <cell r="A202" t="str">
            <v>7154 СЕРВЕЛАТ ЗЕРНИСТЫЙ ПМ в/к в/у 0,35кг_50с  Останкино</v>
          </cell>
          <cell r="D202" t="str">
            <v>00-ko010401</v>
          </cell>
          <cell r="F202">
            <v>576.45000000000005</v>
          </cell>
          <cell r="G202">
            <v>1647</v>
          </cell>
          <cell r="H202">
            <v>4.2</v>
          </cell>
          <cell r="I202">
            <v>12</v>
          </cell>
        </row>
        <row r="203">
          <cell r="A203" t="str">
            <v>7157 СЕРВЕЛАТ ЗЕРНИСТЫЙ ПМ в/к в/у_50с  Останкино</v>
          </cell>
          <cell r="D203" t="str">
            <v>00-ko010432</v>
          </cell>
          <cell r="F203">
            <v>384.20600000000002</v>
          </cell>
          <cell r="G203">
            <v>384.20600000000002</v>
          </cell>
          <cell r="H203">
            <v>4.1130000000000004</v>
          </cell>
          <cell r="I203">
            <v>4.1130000000000004</v>
          </cell>
        </row>
        <row r="204">
          <cell r="A204" t="str">
            <v>7166 СЕРВЕЛАТ ОХОТНИЧИЙ ПМ в/к в/у_50с  Останкино</v>
          </cell>
          <cell r="D204" t="str">
            <v>00-ko010400</v>
          </cell>
          <cell r="F204">
            <v>628.21</v>
          </cell>
          <cell r="G204">
            <v>628.21</v>
          </cell>
          <cell r="H204">
            <v>6.2919999999999998</v>
          </cell>
          <cell r="I204">
            <v>6.2919999999999998</v>
          </cell>
        </row>
        <row r="205">
          <cell r="A205" t="str">
            <v>7169 СЕРВЕЛАТ ОХОТНИЧИЙ ПМ в/к в/у 0,35кг_50с  Останкино</v>
          </cell>
          <cell r="D205" t="str">
            <v>00-ko010399</v>
          </cell>
          <cell r="F205">
            <v>626.15</v>
          </cell>
          <cell r="G205">
            <v>1789</v>
          </cell>
          <cell r="H205">
            <v>10.85</v>
          </cell>
          <cell r="I205">
            <v>31</v>
          </cell>
        </row>
        <row r="206">
          <cell r="A206" t="str">
            <v>7177 ЧЕСНОЧНАЯ ПМ п/к в/у 0,35кг 8шт_50с  Останкино</v>
          </cell>
          <cell r="D206" t="str">
            <v>00-ko010429</v>
          </cell>
          <cell r="F206">
            <v>31.5</v>
          </cell>
          <cell r="G206">
            <v>90</v>
          </cell>
        </row>
        <row r="207">
          <cell r="A207" t="str">
            <v>7187 ГРУДИНКА ПРЕМИУМ к/в мл/к в/у 0,3кг_50с  Останкино</v>
          </cell>
          <cell r="D207" t="str">
            <v>00-ko010604</v>
          </cell>
          <cell r="F207">
            <v>97.8</v>
          </cell>
          <cell r="G207">
            <v>326</v>
          </cell>
          <cell r="H207">
            <v>1.5</v>
          </cell>
          <cell r="I207">
            <v>5</v>
          </cell>
        </row>
        <row r="208">
          <cell r="A208" t="str">
            <v>7216 СОЧНЫЕ СО СЛ.МАСЛ.ПМ пельм пл.0.7кг зам. ОСТАНКИНО</v>
          </cell>
          <cell r="D208" t="str">
            <v>00-ko011673</v>
          </cell>
          <cell r="F208">
            <v>23.8</v>
          </cell>
          <cell r="G208">
            <v>34</v>
          </cell>
        </row>
        <row r="209">
          <cell r="A209" t="str">
            <v>7231 КЛАССИЧЕСКАЯ ПМ вар п/о 0,3кг 8 шт_209к  Останкино</v>
          </cell>
          <cell r="D209" t="str">
            <v>00-ko010962</v>
          </cell>
          <cell r="F209">
            <v>10.199999999999999</v>
          </cell>
          <cell r="G209">
            <v>34</v>
          </cell>
          <cell r="H209">
            <v>0.6</v>
          </cell>
          <cell r="I209">
            <v>2</v>
          </cell>
        </row>
        <row r="210">
          <cell r="A210" t="str">
            <v>7232 БОЯNСКАЯ ПМ п/к в/у 0,28кг 8шт_209к  Останкино</v>
          </cell>
          <cell r="D210" t="str">
            <v>00-ko010557</v>
          </cell>
          <cell r="F210">
            <v>237.44</v>
          </cell>
          <cell r="G210">
            <v>848</v>
          </cell>
          <cell r="H210">
            <v>6.72</v>
          </cell>
          <cell r="I210">
            <v>24</v>
          </cell>
        </row>
        <row r="211">
          <cell r="A211" t="str">
            <v>7236 СЕРВЕЛАТ КАРЕЛЬСКИЙ в/к в/у 0,28кг_209к  Останкино</v>
          </cell>
          <cell r="D211" t="str">
            <v>00-ko010598</v>
          </cell>
          <cell r="F211">
            <v>346.08</v>
          </cell>
          <cell r="G211">
            <v>1236</v>
          </cell>
          <cell r="H211">
            <v>2.8</v>
          </cell>
          <cell r="I211">
            <v>10</v>
          </cell>
        </row>
        <row r="212">
          <cell r="A212" t="str">
            <v>7237 СЕРВЕЛАТ ШВАРЦЕР ПМ в/к в/у 0,28кг_209к  Останкино</v>
          </cell>
          <cell r="D212" t="str">
            <v>00-ko010558</v>
          </cell>
          <cell r="F212">
            <v>-1.96</v>
          </cell>
          <cell r="G212">
            <v>-7</v>
          </cell>
          <cell r="H212">
            <v>1.96</v>
          </cell>
          <cell r="I212">
            <v>7</v>
          </cell>
        </row>
        <row r="213">
          <cell r="A213" t="str">
            <v>7238 СЕРВЕЛАТ ОРЕХОВЫЙ в/к в/у 0,31кг_209к  Останкино</v>
          </cell>
          <cell r="D213" t="str">
            <v>00-ko010569</v>
          </cell>
          <cell r="F213">
            <v>0.62</v>
          </cell>
          <cell r="G213">
            <v>2</v>
          </cell>
        </row>
        <row r="214">
          <cell r="A214" t="str">
            <v>7241 САЛЯМИ Папа может п/к в/у 0,28кг ОСТАНКИНО</v>
          </cell>
          <cell r="D214" t="str">
            <v>00-ko010555</v>
          </cell>
          <cell r="F214">
            <v>295.68</v>
          </cell>
          <cell r="G214">
            <v>1056</v>
          </cell>
          <cell r="H214">
            <v>3.92</v>
          </cell>
          <cell r="I214">
            <v>14</v>
          </cell>
        </row>
        <row r="215">
          <cell r="A215" t="str">
            <v>7255 МЯСНЫЕ С ГОВЯД.ПМ сос п/о мгс 0.4кг 6шт.  ОСТАНКИНО</v>
          </cell>
          <cell r="D215" t="str">
            <v>00-ko011229</v>
          </cell>
          <cell r="F215">
            <v>676.8</v>
          </cell>
          <cell r="G215">
            <v>1692</v>
          </cell>
          <cell r="H215">
            <v>1.6</v>
          </cell>
          <cell r="I215">
            <v>4</v>
          </cell>
        </row>
        <row r="216">
          <cell r="A216" t="str">
            <v>7299 НАБОР ДЛЯ ПИЦЦЫ Папа Может с/к в/у  ОСТАНКИНО</v>
          </cell>
          <cell r="D216" t="str">
            <v>00-ko011223</v>
          </cell>
          <cell r="F216">
            <v>38.737000000000002</v>
          </cell>
          <cell r="G216">
            <v>38.737000000000002</v>
          </cell>
          <cell r="H216">
            <v>0.316</v>
          </cell>
          <cell r="I216">
            <v>0.316</v>
          </cell>
        </row>
        <row r="217">
          <cell r="A217" t="str">
            <v>7332 БОЯРСКАЯ ПМ п/к в/у 0,28кг ОСТАНКИНО</v>
          </cell>
          <cell r="D217" t="str">
            <v>00-ko011144</v>
          </cell>
          <cell r="F217">
            <v>1.96</v>
          </cell>
          <cell r="G217">
            <v>7</v>
          </cell>
        </row>
        <row r="218">
          <cell r="A218" t="str">
            <v>7371 БРЕСТСКИЕ сос п/о в/у 0,3кг 8шт. ОСТАНКИНО</v>
          </cell>
          <cell r="D218" t="str">
            <v>00-ko011660</v>
          </cell>
          <cell r="F218">
            <v>-0.9</v>
          </cell>
          <cell r="G218">
            <v>-3</v>
          </cell>
          <cell r="H218">
            <v>0.9</v>
          </cell>
          <cell r="I218">
            <v>3</v>
          </cell>
        </row>
        <row r="219">
          <cell r="A219" t="str">
            <v>7382  САЛЯМИ МЕЛКОЗЕРНЕНАЯ с/к в/у1/120 8шт.  ОСТАНКИНО</v>
          </cell>
          <cell r="D219" t="str">
            <v>00-ko011257</v>
          </cell>
          <cell r="F219">
            <v>95.52</v>
          </cell>
          <cell r="G219">
            <v>796</v>
          </cell>
          <cell r="H219">
            <v>0.36</v>
          </cell>
          <cell r="I219">
            <v>3</v>
          </cell>
        </row>
        <row r="220">
          <cell r="A220" t="str">
            <v>7386 БАРСЕЛОНА ПМ с/к в/у 1/150  ОСТАНКИНО</v>
          </cell>
          <cell r="D220" t="str">
            <v>00-ko011738</v>
          </cell>
          <cell r="F220">
            <v>11.7</v>
          </cell>
          <cell r="G220">
            <v>78</v>
          </cell>
        </row>
        <row r="221">
          <cell r="A221" t="str">
            <v>7456 САЛЯМИ ФИНСКАЯ Папа может с/к в/у 1/150  ОСТАНКИНО</v>
          </cell>
          <cell r="D221" t="str">
            <v>00-ko011802</v>
          </cell>
          <cell r="F221">
            <v>0.9</v>
          </cell>
          <cell r="G221">
            <v>6</v>
          </cell>
        </row>
        <row r="222">
          <cell r="A222" t="str">
            <v>7461 ДЛЯ ДЕТЕЙ Папа Может сос п/о мгс 0,33кг ОСТАНКИНО</v>
          </cell>
          <cell r="D222" t="str">
            <v>00-ko011659</v>
          </cell>
          <cell r="F222">
            <v>88.77</v>
          </cell>
          <cell r="G222">
            <v>269</v>
          </cell>
          <cell r="H222">
            <v>8.58</v>
          </cell>
          <cell r="I222">
            <v>26</v>
          </cell>
        </row>
        <row r="223">
          <cell r="A223" t="str">
            <v>7485 РИЕТ МЯСНОЙ С ГРИБАМИ ПМ п/о 1/150  ОСТАНКИНО</v>
          </cell>
          <cell r="D223" t="str">
            <v>00-ko011759</v>
          </cell>
          <cell r="F223">
            <v>13.95</v>
          </cell>
          <cell r="G223">
            <v>93</v>
          </cell>
        </row>
        <row r="224">
          <cell r="A224" t="str">
            <v>7513 ВОСКРЕСЕНСКАЯ ВЯЛЕНАЯ в/к в/у срез 1/260  ОСТАНКИНО</v>
          </cell>
          <cell r="D224" t="str">
            <v>00-ko011758</v>
          </cell>
          <cell r="F224">
            <v>23.66</v>
          </cell>
          <cell r="G224">
            <v>91</v>
          </cell>
        </row>
        <row r="225">
          <cell r="A225" t="str">
            <v>7516 НОВОМОСКОВСКАЯ в/к в/у срез 0.31кг  ОСТАНКИНО</v>
          </cell>
          <cell r="D225" t="str">
            <v>00-ko011757</v>
          </cell>
          <cell r="F225">
            <v>27.28</v>
          </cell>
          <cell r="G225">
            <v>88</v>
          </cell>
        </row>
        <row r="226">
          <cell r="A226" t="str">
            <v>7523 ГОВЯЖЬЯ Папа Может вар п/о 0,4кг 6шт. ОСТАНКИНО</v>
          </cell>
          <cell r="D226" t="str">
            <v>00-ko011656</v>
          </cell>
          <cell r="F226">
            <v>281.60000000000002</v>
          </cell>
          <cell r="G226">
            <v>704</v>
          </cell>
        </row>
        <row r="227">
          <cell r="A227" t="str">
            <v>7539 ДОКТОРСКАЯ ГОСТ вар п/о 0,35кг ОСТАНКИНО</v>
          </cell>
          <cell r="D227" t="str">
            <v>00-ko011655</v>
          </cell>
          <cell r="F227">
            <v>14</v>
          </cell>
          <cell r="G227">
            <v>40</v>
          </cell>
        </row>
        <row r="228">
          <cell r="A228" t="str">
            <v>7562 КРАКОВСКАЯ ГОСТ Останкино п/к н/о мгс  ОСТАНКИНО</v>
          </cell>
          <cell r="D228" t="str">
            <v>00-ko011756</v>
          </cell>
          <cell r="F228">
            <v>48.720999999999997</v>
          </cell>
          <cell r="G228">
            <v>48.720999999999997</v>
          </cell>
        </row>
        <row r="229">
          <cell r="A229" t="str">
            <v>7564 Балыковая в/к в/у Останкино Вес  ОСТАНКИНО</v>
          </cell>
          <cell r="D229" t="str">
            <v>00-ko011684</v>
          </cell>
          <cell r="F229">
            <v>81.525999999999996</v>
          </cell>
          <cell r="G229">
            <v>81.525999999999996</v>
          </cell>
        </row>
        <row r="230">
          <cell r="A230" t="str">
            <v>7601 ДЛЯ ДЕТЕЙ Папа может сос п/о мгс 0.264кг  ОСТАНКИНО</v>
          </cell>
          <cell r="D230" t="str">
            <v>00-ko011753</v>
          </cell>
          <cell r="F230">
            <v>2.9039999999999999</v>
          </cell>
          <cell r="G230">
            <v>11</v>
          </cell>
        </row>
        <row r="231">
          <cell r="A231" t="str">
            <v>7603 БАЛЫКОВАЯ в/к в/у 0.33кг 8шт. ОСТАНКИНО</v>
          </cell>
          <cell r="D231" t="str">
            <v>00-ko011685</v>
          </cell>
          <cell r="F231">
            <v>21.78</v>
          </cell>
          <cell r="G231">
            <v>66</v>
          </cell>
        </row>
        <row r="232">
          <cell r="A232" t="str">
            <v>7608 СЕРВЕЛАТ ШВЕЙЦАРСК.в/к с/н в/у 1/100_Л11  ОСТАНКИНО</v>
          </cell>
          <cell r="D232" t="str">
            <v>00-ko011721</v>
          </cell>
          <cell r="F232">
            <v>1</v>
          </cell>
          <cell r="G232">
            <v>10</v>
          </cell>
          <cell r="H232">
            <v>0.1</v>
          </cell>
          <cell r="I232">
            <v>1</v>
          </cell>
        </row>
        <row r="233">
          <cell r="A233" t="str">
            <v>7612 БАЛЫК с/к с/н в/у 1/100 10шт_  ОСТАНКИНО</v>
          </cell>
          <cell r="D233" t="str">
            <v>00-ko011719</v>
          </cell>
          <cell r="F233">
            <v>6.1</v>
          </cell>
          <cell r="G233">
            <v>61</v>
          </cell>
        </row>
        <row r="234">
          <cell r="A234" t="str">
            <v>7613 АРОМАТНАЯ с/к с/н в/у 1/100 10шт_Л10  ОСТАНКИНО</v>
          </cell>
          <cell r="D234" t="str">
            <v>00-ko011737</v>
          </cell>
          <cell r="F234">
            <v>16.100000000000001</v>
          </cell>
          <cell r="G234">
            <v>161</v>
          </cell>
          <cell r="H234">
            <v>1</v>
          </cell>
          <cell r="I234">
            <v>10</v>
          </cell>
        </row>
        <row r="235">
          <cell r="A235" t="str">
            <v>7616 ЭКСТРА Папа может с/к с/н в/у 1/100_  ОСТАНКИНО</v>
          </cell>
          <cell r="D235" t="str">
            <v>00-ko011720</v>
          </cell>
          <cell r="F235">
            <v>38.4</v>
          </cell>
          <cell r="G235">
            <v>384</v>
          </cell>
        </row>
        <row r="236">
          <cell r="A236" t="str">
            <v>7632 ЭКСТРА Папа может вар п/о 0.4кг 8шт_195к  ОСТАНКИНО</v>
          </cell>
          <cell r="D236" t="str">
            <v>00-ko011715</v>
          </cell>
          <cell r="F236">
            <v>193.2</v>
          </cell>
          <cell r="G236">
            <v>483</v>
          </cell>
          <cell r="H236">
            <v>0.8</v>
          </cell>
          <cell r="I236">
            <v>2</v>
          </cell>
        </row>
        <row r="237">
          <cell r="A237" t="str">
            <v>7647 ХОЧУ ВЕТЧ.ИЗ СВ.ОТРУБА с/н мгс 1/100_Л11  ОСТАНКИНО</v>
          </cell>
          <cell r="D237" t="str">
            <v>00-ko011750</v>
          </cell>
          <cell r="F237">
            <v>4.5999999999999996</v>
          </cell>
          <cell r="G237">
            <v>46</v>
          </cell>
          <cell r="H237">
            <v>0.5</v>
          </cell>
          <cell r="I237">
            <v>5</v>
          </cell>
        </row>
        <row r="238">
          <cell r="A238" t="str">
            <v>7651 ХОЧУ ВЕТЧ.МРАМОР. ПМ с/н мгс 1/100_Л11  ОСТАНКИНО</v>
          </cell>
          <cell r="D238" t="str">
            <v>00-ko011751</v>
          </cell>
          <cell r="F238">
            <v>5.0999999999999996</v>
          </cell>
          <cell r="G238">
            <v>51</v>
          </cell>
          <cell r="H238">
            <v>0.1</v>
          </cell>
          <cell r="I238">
            <v>1</v>
          </cell>
        </row>
        <row r="239">
          <cell r="A239" t="str">
            <v>7710 КРАКОВСКАЯ ГОСТ п/к н/о мгс 0.3кг  ОСТАНКИНО</v>
          </cell>
          <cell r="D239" t="str">
            <v>00-ko011800</v>
          </cell>
          <cell r="F239">
            <v>0.9</v>
          </cell>
          <cell r="G239">
            <v>3</v>
          </cell>
        </row>
        <row r="240">
          <cell r="A240" t="str">
            <v>9988421 Творожный Сыр 60 % С маринованными огурчиками и укропом  Останкино</v>
          </cell>
          <cell r="D240" t="str">
            <v>00-ko009363</v>
          </cell>
          <cell r="F240">
            <v>0.42</v>
          </cell>
          <cell r="G240">
            <v>3</v>
          </cell>
          <cell r="H240">
            <v>0.28000000000000003</v>
          </cell>
          <cell r="I240">
            <v>2</v>
          </cell>
        </row>
        <row r="241">
          <cell r="A241" t="str">
            <v>9988438 Плавленый Сыр 45% "С ветчиной" СТМ"ПапаМожет" 180гр  Останкино</v>
          </cell>
          <cell r="D241" t="str">
            <v>00-ko009361</v>
          </cell>
          <cell r="F241">
            <v>2.16</v>
          </cell>
          <cell r="G241">
            <v>12</v>
          </cell>
        </row>
        <row r="242">
          <cell r="A242" t="str">
            <v>9988445 Плавленый Сыр 45%"С грибами" СТМ"ПапаМожет" 180 гр  Останкино</v>
          </cell>
          <cell r="D242" t="str">
            <v>00-ko009362</v>
          </cell>
          <cell r="F242">
            <v>5.4</v>
          </cell>
          <cell r="G242">
            <v>30</v>
          </cell>
          <cell r="H242">
            <v>0.36</v>
          </cell>
          <cell r="I242">
            <v>2</v>
          </cell>
        </row>
        <row r="243">
          <cell r="A243" t="str">
            <v>Cыр Перлини со вкусом Васаби 40% 100гр (8шт)  Останкино</v>
          </cell>
          <cell r="D243" t="str">
            <v>00-ko010567</v>
          </cell>
          <cell r="F243">
            <v>-0.4</v>
          </cell>
          <cell r="G243">
            <v>-4</v>
          </cell>
          <cell r="H243">
            <v>1.5</v>
          </cell>
          <cell r="I243">
            <v>15</v>
          </cell>
        </row>
        <row r="244">
          <cell r="A244" t="str">
            <v>БОНУС_ 334  Паштет Любительский ТМ Стародворье ламистер 0,1 кг  ПОКОМ</v>
          </cell>
          <cell r="D244" t="str">
            <v>00-ko011784</v>
          </cell>
          <cell r="F244">
            <v>3</v>
          </cell>
          <cell r="G244">
            <v>30</v>
          </cell>
        </row>
        <row r="245">
          <cell r="A245" t="str">
            <v>БОНУС_Готовые чебупели сочные с мясом ТМ Горячая штучка флоу-пак 0,24 кг  ПОКОМ</v>
          </cell>
          <cell r="D245" t="str">
            <v>00-ko011279</v>
          </cell>
          <cell r="F245">
            <v>28.56</v>
          </cell>
          <cell r="G245">
            <v>119</v>
          </cell>
        </row>
        <row r="246">
          <cell r="A246" t="str">
            <v>БОНУС_Наггетсы Нагетосы Сочная курочка ТМ Горячая штучка 0,25 кг зам  ПОКОМ</v>
          </cell>
          <cell r="D246" t="str">
            <v>00-ko011760</v>
          </cell>
          <cell r="F246">
            <v>15.5</v>
          </cell>
          <cell r="G246">
            <v>62</v>
          </cell>
        </row>
        <row r="247">
          <cell r="A247" t="str">
            <v>Бульмени хрустящие с мясом ТМ Горячая штучка ТС Бульмени ГШ сфера 0,22 кг  Поком</v>
          </cell>
          <cell r="D247" t="str">
            <v>00-ko010601</v>
          </cell>
          <cell r="F247">
            <v>4.84</v>
          </cell>
          <cell r="G247">
            <v>22</v>
          </cell>
        </row>
        <row r="248">
          <cell r="A248" t="str">
            <v>Готовые бельмеши сочные с мясом ТМ Горячая штучка 0,3кг зам  ПОКОМ</v>
          </cell>
          <cell r="D248" t="str">
            <v>00-00000996</v>
          </cell>
          <cell r="F248">
            <v>44.1</v>
          </cell>
          <cell r="G248">
            <v>147</v>
          </cell>
        </row>
        <row r="249">
          <cell r="A249" t="str">
            <v>Готовые хотстеры ТМ Горячая штучка ТС Хотстеры флоу-пак 0,25 кг.  ПОКОМ</v>
          </cell>
          <cell r="D249" t="str">
            <v>00-ko011786</v>
          </cell>
          <cell r="F249">
            <v>0.75</v>
          </cell>
          <cell r="G249">
            <v>3</v>
          </cell>
        </row>
        <row r="250">
          <cell r="A250" t="str">
            <v>Готовые чебуманы с говядиной ТМ горячая штучка 0,28 кг.  Поком</v>
          </cell>
          <cell r="D250" t="str">
            <v>00-ko010311</v>
          </cell>
          <cell r="F250">
            <v>84.84</v>
          </cell>
          <cell r="G250">
            <v>303</v>
          </cell>
        </row>
        <row r="251">
          <cell r="A251" t="str">
            <v>Готовые чебупели острые с мясом ТМ Горячая штучка флоу-пак 0,24 кг  Поком</v>
          </cell>
          <cell r="D251" t="str">
            <v>00-ko010683</v>
          </cell>
          <cell r="F251">
            <v>160.08000000000001</v>
          </cell>
          <cell r="G251">
            <v>667</v>
          </cell>
        </row>
        <row r="252">
          <cell r="A252" t="str">
            <v>Готовые чебупели с ветчиной и сыром 0,24 кг НОВАЯ ТМ Горячая штучка  ПОКОМ</v>
          </cell>
          <cell r="D252" t="str">
            <v>00-ko011788</v>
          </cell>
          <cell r="F252">
            <v>3.36</v>
          </cell>
          <cell r="G252">
            <v>14</v>
          </cell>
        </row>
        <row r="253">
          <cell r="A253" t="str">
            <v>Готовые чебупели с ветчиной и сыром ТМ Горячая штучка флоу-пак 0,24 кг.  ПОКОМ</v>
          </cell>
          <cell r="D253" t="str">
            <v>00-ko010823</v>
          </cell>
          <cell r="F253">
            <v>251.76</v>
          </cell>
          <cell r="G253">
            <v>1049</v>
          </cell>
        </row>
        <row r="254">
          <cell r="A254" t="str">
            <v>Готовые чебупели с мясом ТМ Горячая штучка 0,24 кг  ПОКОМ</v>
          </cell>
          <cell r="D254" t="str">
            <v>00-ko010809</v>
          </cell>
          <cell r="F254">
            <v>103.68</v>
          </cell>
          <cell r="G254">
            <v>432</v>
          </cell>
          <cell r="H254">
            <v>1.44</v>
          </cell>
          <cell r="I254">
            <v>6</v>
          </cell>
        </row>
        <row r="255">
          <cell r="A255" t="str">
            <v>Готовые чебупели сочные с мясом 0,48 кг НОВАЯ ТМ Горячая штучка флоу-пак МЕГАпачка  ПОКОМ</v>
          </cell>
          <cell r="D255" t="str">
            <v>00-ko011790</v>
          </cell>
          <cell r="F255">
            <v>1.92</v>
          </cell>
          <cell r="G255">
            <v>4</v>
          </cell>
          <cell r="H255">
            <v>1.44</v>
          </cell>
          <cell r="I255">
            <v>3</v>
          </cell>
        </row>
        <row r="256">
          <cell r="A256" t="str">
            <v>Готовые чебупели сочные с мясом ТМ Горячая штучка флоу-пак 0,24 кг  ПОКОМ</v>
          </cell>
          <cell r="D256" t="str">
            <v>00-ko010785</v>
          </cell>
          <cell r="F256">
            <v>203.04</v>
          </cell>
          <cell r="G256">
            <v>846</v>
          </cell>
          <cell r="H256">
            <v>3.84</v>
          </cell>
          <cell r="I256">
            <v>16</v>
          </cell>
        </row>
        <row r="257">
          <cell r="A257" t="str">
            <v>Готовые чебупели сочные с мясом ТМ Горячая штучка флоу-пак 0,48 кг XXL  Поком</v>
          </cell>
          <cell r="D257" t="str">
            <v>00-ko010599</v>
          </cell>
          <cell r="F257">
            <v>103.68</v>
          </cell>
          <cell r="G257">
            <v>216</v>
          </cell>
        </row>
        <row r="258">
          <cell r="A258" t="str">
            <v>Готовые чебуреки с мясом ТМ Горячая штучка 0,09 кг флоу-пак ПОКОМ</v>
          </cell>
          <cell r="D258" t="str">
            <v>00-00005599</v>
          </cell>
          <cell r="F258">
            <v>47.79</v>
          </cell>
          <cell r="G258">
            <v>531</v>
          </cell>
        </row>
        <row r="259">
          <cell r="A259" t="str">
            <v>Готовые чебуреки со свининой и говядиной ТМ Горячая штучка ТС Базовый ассортимент 0,36 кг  ПОКОМ</v>
          </cell>
          <cell r="D259" t="str">
            <v>00-00008520</v>
          </cell>
          <cell r="F259">
            <v>57.96</v>
          </cell>
          <cell r="G259">
            <v>161</v>
          </cell>
        </row>
        <row r="260">
          <cell r="A260" t="str">
            <v>Жареные вареники с картофелем и беконом ТМ Стародворье 0,2 кг  ПОКОМ</v>
          </cell>
          <cell r="D260" t="str">
            <v>00-ko011549</v>
          </cell>
          <cell r="F260">
            <v>14</v>
          </cell>
          <cell r="G260">
            <v>70</v>
          </cell>
        </row>
        <row r="261">
          <cell r="A261" t="str">
            <v>Круггетсы с сырным соусом ТМ Горячая штучка ТС Круггетсы флоу-пак 0,2 кг  ПОКОМ</v>
          </cell>
          <cell r="D261" t="str">
            <v>00-ko010824</v>
          </cell>
          <cell r="F261">
            <v>159.19999999999999</v>
          </cell>
          <cell r="G261">
            <v>796</v>
          </cell>
        </row>
        <row r="262">
          <cell r="A262" t="str">
            <v>Круггетсы сочные ТМ Горячая штучка ТС Круггетсы флоу-пак  0,2 кг.  ПОКОМ</v>
          </cell>
          <cell r="D262" t="str">
            <v>00-ko010825</v>
          </cell>
          <cell r="F262">
            <v>118.8</v>
          </cell>
          <cell r="G262">
            <v>594</v>
          </cell>
        </row>
        <row r="263">
          <cell r="A263" t="str">
            <v>Масло "Папа может" 82,5% 180гр  Останкино</v>
          </cell>
          <cell r="D263" t="str">
            <v>00-ko009727</v>
          </cell>
          <cell r="F263">
            <v>37.08</v>
          </cell>
          <cell r="G263">
            <v>206</v>
          </cell>
          <cell r="H263">
            <v>0.36</v>
          </cell>
          <cell r="I263">
            <v>2</v>
          </cell>
        </row>
        <row r="264">
          <cell r="A264" t="str">
            <v>Масло сливочное 72,5 % 180 гр.(10 шт) СЛАВЯНА  Останкино</v>
          </cell>
          <cell r="D264" t="str">
            <v>00-ko009671</v>
          </cell>
          <cell r="F264">
            <v>15.66</v>
          </cell>
          <cell r="G264">
            <v>87</v>
          </cell>
          <cell r="H264">
            <v>1.62</v>
          </cell>
          <cell r="I264">
            <v>9</v>
          </cell>
        </row>
        <row r="265">
          <cell r="A265" t="str">
            <v>Мини-сосиски в ароматном тесте ВЕС ТМ Зареченские продукты  ПОКОМ</v>
          </cell>
          <cell r="D265" t="str">
            <v>00-ko011774</v>
          </cell>
          <cell r="F265">
            <v>19.8</v>
          </cell>
          <cell r="G265">
            <v>19.8</v>
          </cell>
        </row>
        <row r="266">
          <cell r="A266" t="str">
            <v>Мини-сосиски в тесте 5кг ВЕС ТМ Зареченские  ПОКОМ</v>
          </cell>
          <cell r="D266" t="str">
            <v>00-ko011470</v>
          </cell>
          <cell r="F266">
            <v>110</v>
          </cell>
          <cell r="G266">
            <v>110</v>
          </cell>
        </row>
        <row r="267">
          <cell r="A267" t="str">
            <v>Мини-шарики с курочкой и сыром ТМ Зареченские ВЕС ПОКОМ</v>
          </cell>
          <cell r="D267" t="str">
            <v>00-ko009757</v>
          </cell>
          <cell r="F267">
            <v>69</v>
          </cell>
          <cell r="G267">
            <v>69</v>
          </cell>
        </row>
        <row r="268">
          <cell r="A268" t="str">
            <v>Наггетсы из печи 0,25кг ТМ Вязанка замор.  ПОКОМ</v>
          </cell>
          <cell r="D268" t="str">
            <v>00-00006147</v>
          </cell>
          <cell r="F268">
            <v>141.75</v>
          </cell>
          <cell r="G268">
            <v>567</v>
          </cell>
        </row>
        <row r="269">
          <cell r="A269" t="str">
            <v>Наггетсы Нагетосы Сочная курочка со сметаной и зеленью ТМ Горячая штучка флоу-пак 0,25 кг  Поком</v>
          </cell>
          <cell r="D269" t="str">
            <v>00-ko010740</v>
          </cell>
          <cell r="F269">
            <v>95.75</v>
          </cell>
          <cell r="G269">
            <v>383</v>
          </cell>
        </row>
        <row r="270">
          <cell r="A270" t="str">
            <v>Наггетсы Нагетосы Сочная курочка ТМ Горячая штучка 0,25 кг зам  ПОКОМ</v>
          </cell>
          <cell r="D270" t="str">
            <v>00-00006204</v>
          </cell>
          <cell r="F270">
            <v>288</v>
          </cell>
          <cell r="G270">
            <v>1152</v>
          </cell>
          <cell r="H270">
            <v>1.5</v>
          </cell>
          <cell r="I270">
            <v>6</v>
          </cell>
        </row>
        <row r="271">
          <cell r="A271" t="str">
            <v>Наггетсы с индейкой 0,25кг ТМ Вязанка ТС Из печи Сливушки ПОКОМ</v>
          </cell>
          <cell r="D271" t="str">
            <v>00-ko009536</v>
          </cell>
          <cell r="F271">
            <v>169</v>
          </cell>
          <cell r="G271">
            <v>676</v>
          </cell>
        </row>
        <row r="272">
          <cell r="A272" t="str">
            <v>Наггетсы с куриным филе и сыром ТМ Вязанка ТС Из печи Сливушки 0,25 кг.  Поком</v>
          </cell>
          <cell r="D272" t="str">
            <v>00-ko009301</v>
          </cell>
          <cell r="F272">
            <v>131.75</v>
          </cell>
          <cell r="G272">
            <v>527</v>
          </cell>
        </row>
        <row r="273">
          <cell r="A273" t="str">
            <v>Наггетсы Хрустящие ТМ Зареченские ТС Зареченские продукты. Поком</v>
          </cell>
          <cell r="D273" t="str">
            <v>00-00009290</v>
          </cell>
          <cell r="F273">
            <v>114</v>
          </cell>
          <cell r="G273">
            <v>114</v>
          </cell>
        </row>
        <row r="274">
          <cell r="A274" t="str">
            <v>Наггетсы Хрустящие ТМ Стародворье с сочной курочкой 0,23 кг  ПОКОМ</v>
          </cell>
          <cell r="D274" t="str">
            <v>00-ko010776</v>
          </cell>
          <cell r="F274">
            <v>37.26</v>
          </cell>
          <cell r="G274">
            <v>162</v>
          </cell>
        </row>
        <row r="275">
          <cell r="A275" t="str">
            <v>Пекерсы с индейкой в сливочном соусе ТМ Горячая штучка 0,25 кг зам  ПОКОМ</v>
          </cell>
          <cell r="D275" t="str">
            <v>00-00005722</v>
          </cell>
          <cell r="F275">
            <v>96.75</v>
          </cell>
          <cell r="G275">
            <v>387</v>
          </cell>
        </row>
        <row r="276">
          <cell r="A276" t="str">
            <v>Пельмени Grandmeni с говядиной и свининой ТМ Горячаяштучка флоу-па классическая форма 0,7 кг.  Поком</v>
          </cell>
          <cell r="D276" t="str">
            <v>00-ko010309</v>
          </cell>
          <cell r="F276">
            <v>113.4</v>
          </cell>
          <cell r="G276">
            <v>162</v>
          </cell>
        </row>
        <row r="277">
          <cell r="A277" t="str">
            <v>Пельмени Grandmeni с говядиной ТМ Горячаяштучка флоу-пак сфера 0,7 кг.  Поком</v>
          </cell>
          <cell r="D277" t="str">
            <v>00-ko010308</v>
          </cell>
          <cell r="F277">
            <v>179.9</v>
          </cell>
          <cell r="G277">
            <v>257</v>
          </cell>
        </row>
        <row r="278">
          <cell r="A278" t="str">
            <v>Пельмени Grandmeni со сливочным маслом  ТМ Горячая штучка флоу-пак сфера 0,7 кг.  Поком</v>
          </cell>
          <cell r="D278" t="str">
            <v>00-ko010310</v>
          </cell>
          <cell r="F278">
            <v>19.600000000000001</v>
          </cell>
          <cell r="G278">
            <v>28</v>
          </cell>
          <cell r="H278">
            <v>3.5</v>
          </cell>
          <cell r="I278">
            <v>5</v>
          </cell>
        </row>
        <row r="279">
          <cell r="A279" t="str">
            <v>Пельмени Бигбули #МЕГАВКУСИЩЕ с сочной грудинкой  ТМ Горячая штучка  флоу-пак сфера 0,7 кг.  Поком</v>
          </cell>
          <cell r="D279" t="str">
            <v>00-ko009913</v>
          </cell>
          <cell r="F279">
            <v>462.7</v>
          </cell>
          <cell r="G279">
            <v>661</v>
          </cell>
          <cell r="H279">
            <v>2.8</v>
          </cell>
          <cell r="I279">
            <v>4</v>
          </cell>
        </row>
        <row r="280">
          <cell r="A280" t="str">
            <v>Пельмени Бигбули с мясом ТМ Горячая штучка БУЛЬМЕНИ ТС Бигбули ГШ  флоу-пак сфера 0,7.   Поком</v>
          </cell>
          <cell r="D280" t="str">
            <v>00-ko010165</v>
          </cell>
          <cell r="F280">
            <v>385.7</v>
          </cell>
          <cell r="G280">
            <v>551</v>
          </cell>
        </row>
        <row r="281">
          <cell r="A281" t="str">
            <v>Пельмени Бигбули со сливочным маслом  ТС Бигбули ГШ#МЕГАМАСЛИЩЕ флоу-пак сфера 0,7.  Поком</v>
          </cell>
          <cell r="D281" t="str">
            <v>00-ko010164</v>
          </cell>
          <cell r="F281">
            <v>501.2</v>
          </cell>
          <cell r="G281">
            <v>716</v>
          </cell>
          <cell r="H281">
            <v>22.4</v>
          </cell>
          <cell r="I281">
            <v>32</v>
          </cell>
        </row>
        <row r="282">
          <cell r="A282" t="str">
            <v>Пельмени Бульмени мини с мясом и оливковым маслом  ТС Бульмени ГШ флоу-пак сфера 0,7кг  Поком</v>
          </cell>
          <cell r="D282" t="str">
            <v>00-ko010600</v>
          </cell>
          <cell r="F282">
            <v>144.19999999999999</v>
          </cell>
          <cell r="G282">
            <v>206</v>
          </cell>
          <cell r="H282">
            <v>1.4</v>
          </cell>
          <cell r="I282">
            <v>2</v>
          </cell>
        </row>
        <row r="283">
          <cell r="A283" t="str">
            <v>Пельмени Бульмени с говядиной и свининой Наваристые Горячая штучка ВЕС  ПОКОМ</v>
          </cell>
          <cell r="D283" t="str">
            <v>00-00006393</v>
          </cell>
          <cell r="F283">
            <v>1890</v>
          </cell>
          <cell r="G283">
            <v>1890</v>
          </cell>
        </row>
        <row r="284">
          <cell r="A284" t="str">
            <v>Пельмени Бульмени с говядиной и свининой ТМ Горячая штучка  флоу-пак сфера 0,4 кг  Поком</v>
          </cell>
          <cell r="D284" t="str">
            <v>00-ko009907</v>
          </cell>
          <cell r="F284">
            <v>89.2</v>
          </cell>
          <cell r="G284">
            <v>223</v>
          </cell>
          <cell r="H284">
            <v>2.4</v>
          </cell>
          <cell r="I284">
            <v>6</v>
          </cell>
        </row>
        <row r="285">
          <cell r="A285" t="str">
            <v>Пельмени Бульмени с говядиной и свининой ТМ Горячая штучка БУЛЬМЕНИ  флоу-пак сфера 0,7 кг.  Поком</v>
          </cell>
          <cell r="D285" t="str">
            <v>00-ko009908</v>
          </cell>
          <cell r="F285">
            <v>1202.5999999999999</v>
          </cell>
          <cell r="G285">
            <v>1718</v>
          </cell>
          <cell r="H285">
            <v>2.1</v>
          </cell>
          <cell r="I285">
            <v>3</v>
          </cell>
        </row>
        <row r="286">
          <cell r="A286" t="str">
            <v>Пельмени Бульмени со сливочным маслом ТМ Горячая штучка  флоу-пак сфера 0,4 кг .  Поком</v>
          </cell>
          <cell r="D286" t="str">
            <v>00-ko009909</v>
          </cell>
          <cell r="F286">
            <v>349.2</v>
          </cell>
          <cell r="G286">
            <v>873</v>
          </cell>
          <cell r="H286">
            <v>2.4</v>
          </cell>
          <cell r="I286">
            <v>6</v>
          </cell>
        </row>
        <row r="287">
          <cell r="A287" t="str">
            <v>Пельмени Бульмени со сливочным маслом ТМ Горячая штучка флоу-пак сфера 0,7 кг .  Поком</v>
          </cell>
          <cell r="D287" t="str">
            <v>00-ko009910</v>
          </cell>
          <cell r="F287">
            <v>1205.4000000000001</v>
          </cell>
          <cell r="G287">
            <v>1722</v>
          </cell>
        </row>
        <row r="288">
          <cell r="A288" t="str">
            <v>Пельмени Домашние со сливочным маслом ТМ Зареченские  продукты флоу-пак сфера 0,7 кг.  Поком</v>
          </cell>
          <cell r="D288" t="str">
            <v>00-ko009737</v>
          </cell>
          <cell r="F288">
            <v>14</v>
          </cell>
          <cell r="G288">
            <v>20</v>
          </cell>
        </row>
        <row r="289">
          <cell r="A289" t="str">
            <v>Пельмени Медвежье ушко Премиум Мясные ТМ Медвежье ушко классическая форма флоу-пак 0,8 кг. ПОКОМ</v>
          </cell>
          <cell r="D289" t="str">
            <v>00-ko011722</v>
          </cell>
          <cell r="F289">
            <v>48</v>
          </cell>
          <cell r="G289">
            <v>60</v>
          </cell>
        </row>
        <row r="290">
          <cell r="A290" t="str">
            <v>Пельмени Мясные с говядиной ТМ Стародворье сфера флоу-пак 1 кг  ПОКОМ</v>
          </cell>
          <cell r="D290" t="str">
            <v>00-ko010777</v>
          </cell>
          <cell r="F290">
            <v>331</v>
          </cell>
          <cell r="G290">
            <v>331</v>
          </cell>
          <cell r="H290">
            <v>6</v>
          </cell>
          <cell r="I290">
            <v>6</v>
          </cell>
        </row>
        <row r="291">
          <cell r="A291" t="str">
            <v>Пельмени Отборные из свинины и говядины 0,9 кг ТМ Стародворье ТС Медвежье ушко  ПОКОМ</v>
          </cell>
          <cell r="D291" t="str">
            <v>00-00005724</v>
          </cell>
          <cell r="F291">
            <v>81.900000000000006</v>
          </cell>
          <cell r="G291">
            <v>91</v>
          </cell>
        </row>
        <row r="292">
          <cell r="A292" t="str">
            <v>Пельмени Отборные с говядиной 0,9 кг НОВА ТМ Стародворье ТС Медвежье ушко  ПОКОМ</v>
          </cell>
          <cell r="D292" t="str">
            <v>00-00006296</v>
          </cell>
          <cell r="F292">
            <v>40.5</v>
          </cell>
          <cell r="G292">
            <v>45</v>
          </cell>
        </row>
        <row r="293">
          <cell r="A293" t="str">
            <v>Пельмени С говядиной и свининой, ВЕС, ТМ Славница сфера пуговки  ПОКОМ</v>
          </cell>
          <cell r="D293" t="str">
            <v>00-00005600</v>
          </cell>
          <cell r="F293">
            <v>195</v>
          </cell>
          <cell r="G293">
            <v>195</v>
          </cell>
        </row>
        <row r="294">
          <cell r="A294" t="str">
            <v>Пельмени Со свининой и говядиной ТМ Особый рецепт Любимая ложка 1,0 кг  ПОКОМ</v>
          </cell>
          <cell r="D294" t="str">
            <v>00-00006247</v>
          </cell>
          <cell r="F294">
            <v>38</v>
          </cell>
          <cell r="G294">
            <v>38</v>
          </cell>
        </row>
        <row r="295">
          <cell r="A295" t="str">
            <v>Пирожки с мясом 3,7кг ВЕС ТМ Зареченские  ПОКОМ</v>
          </cell>
          <cell r="D295" t="str">
            <v>00-ko009753</v>
          </cell>
          <cell r="F295">
            <v>7.4</v>
          </cell>
          <cell r="G295">
            <v>7.4</v>
          </cell>
        </row>
        <row r="296">
          <cell r="A296" t="str">
            <v>Плавленый продукт с Сыром колбасный копченый 40% СТМ "Коровино" 400гр  Останкино</v>
          </cell>
          <cell r="D296" t="str">
            <v>00-ko009522</v>
          </cell>
          <cell r="F296">
            <v>-0.4</v>
          </cell>
          <cell r="G296">
            <v>-1</v>
          </cell>
          <cell r="H296">
            <v>0.4</v>
          </cell>
          <cell r="I296">
            <v>1</v>
          </cell>
        </row>
        <row r="297">
          <cell r="A297" t="str">
            <v>Плавленый сыр "Шоколадный" 30% 180гр Папа Может Останкино</v>
          </cell>
          <cell r="D297" t="str">
            <v>00-ko011445</v>
          </cell>
          <cell r="F297">
            <v>0.9</v>
          </cell>
          <cell r="G297">
            <v>5</v>
          </cell>
        </row>
        <row r="298">
          <cell r="A298" t="str">
            <v>Плавленый Сыр колбасный копченый 40% СТМ"ПапаМожет"400гр  Останкино</v>
          </cell>
          <cell r="D298" t="str">
            <v>00-ko009521</v>
          </cell>
          <cell r="F298">
            <v>1.6</v>
          </cell>
          <cell r="G298">
            <v>4</v>
          </cell>
        </row>
        <row r="299">
          <cell r="A299" t="str">
            <v>Сыр "Пармезан" 40% кусок 180 гр  ОСТАНКИНО</v>
          </cell>
          <cell r="D299" t="str">
            <v>00-00008903</v>
          </cell>
          <cell r="F299">
            <v>1.26</v>
          </cell>
          <cell r="G299">
            <v>7</v>
          </cell>
        </row>
        <row r="300">
          <cell r="A300" t="str">
            <v>Сыр Боккончини копченый 40% 100 гр.  ОСТАНКИНО</v>
          </cell>
          <cell r="D300" t="str">
            <v>00-00008885</v>
          </cell>
          <cell r="F300">
            <v>12.1</v>
          </cell>
          <cell r="G300">
            <v>121</v>
          </cell>
          <cell r="H300">
            <v>0.3</v>
          </cell>
          <cell r="I300">
            <v>3</v>
          </cell>
        </row>
        <row r="301">
          <cell r="A301" t="str">
            <v>Сыр Косичка сырная 45% 100г/8шт Папа Может Останкино</v>
          </cell>
          <cell r="D301" t="str">
            <v>00-ko011451</v>
          </cell>
          <cell r="F301">
            <v>21.9</v>
          </cell>
          <cell r="G301">
            <v>219</v>
          </cell>
          <cell r="H301">
            <v>0.5</v>
          </cell>
          <cell r="I301">
            <v>5</v>
          </cell>
        </row>
        <row r="302">
          <cell r="A302" t="str">
            <v>Сыр Косичка сырная копченая 43% 100г/8шт Папа Может Останкино</v>
          </cell>
          <cell r="D302" t="str">
            <v>00-ko011446</v>
          </cell>
          <cell r="F302">
            <v>16.399999999999999</v>
          </cell>
          <cell r="G302">
            <v>164</v>
          </cell>
          <cell r="H302">
            <v>0.5</v>
          </cell>
          <cell r="I302">
            <v>5</v>
          </cell>
        </row>
        <row r="303">
          <cell r="A303" t="str">
            <v>Сыр ПАПА МОЖЕТ "Гауда Голд" 45 % 180 гр (10шт) Останкино</v>
          </cell>
          <cell r="D303" t="str">
            <v>00-ko009386</v>
          </cell>
          <cell r="F303">
            <v>-0.18</v>
          </cell>
          <cell r="G303">
            <v>-1</v>
          </cell>
          <cell r="H303">
            <v>0.18</v>
          </cell>
          <cell r="I303">
            <v>1</v>
          </cell>
        </row>
        <row r="304">
          <cell r="A304" t="str">
            <v>Сыр ПАПА МОЖЕТ "Голландский традиционный" 45% 180 гр (10шт)  Останкино</v>
          </cell>
          <cell r="D304" t="str">
            <v>00-ko009387</v>
          </cell>
          <cell r="F304">
            <v>28.98</v>
          </cell>
          <cell r="G304">
            <v>161</v>
          </cell>
          <cell r="H304">
            <v>2.34</v>
          </cell>
          <cell r="I304">
            <v>13</v>
          </cell>
        </row>
        <row r="305">
          <cell r="A305" t="str">
            <v>Сыр ПАПА МОЖЕТ "Папин завтрак"  45% 180 г  Останкино</v>
          </cell>
          <cell r="D305" t="str">
            <v>00-ko009687</v>
          </cell>
          <cell r="F305">
            <v>2.16</v>
          </cell>
          <cell r="G305">
            <v>12</v>
          </cell>
          <cell r="H305">
            <v>0.18</v>
          </cell>
          <cell r="I305">
            <v>1</v>
          </cell>
        </row>
        <row r="306">
          <cell r="A306" t="str">
            <v>Сыр ПАПА МОЖЕТ "Российский традиционный"45 % 180 г Останкино</v>
          </cell>
          <cell r="D306" t="str">
            <v>00-ko009434</v>
          </cell>
          <cell r="F306">
            <v>25.38</v>
          </cell>
          <cell r="G306">
            <v>141</v>
          </cell>
          <cell r="H306">
            <v>4.68</v>
          </cell>
          <cell r="I306">
            <v>26</v>
          </cell>
        </row>
        <row r="307">
          <cell r="A307" t="str">
            <v>Сыр ПАПА МОЖЕТ "Тильзитер" фасованный массовая доля жира в сухом веществе 45%, 180г  Останкино</v>
          </cell>
          <cell r="D307" t="str">
            <v>00-ko009520</v>
          </cell>
          <cell r="F307">
            <v>13.86</v>
          </cell>
          <cell r="G307">
            <v>77</v>
          </cell>
          <cell r="H307">
            <v>0.72</v>
          </cell>
          <cell r="I307">
            <v>4</v>
          </cell>
        </row>
        <row r="308">
          <cell r="A308" t="str">
            <v>Сыр плавленный Сливочный ж.45% 180г ТМ Папа может (16шт)  Останкино</v>
          </cell>
          <cell r="D308" t="str">
            <v>00-ko009626</v>
          </cell>
          <cell r="F308">
            <v>7.92</v>
          </cell>
          <cell r="G308">
            <v>44</v>
          </cell>
          <cell r="H308">
            <v>0.72</v>
          </cell>
          <cell r="I308">
            <v>4</v>
          </cell>
        </row>
        <row r="309">
          <cell r="A309" t="str">
            <v>Сыр полутвердый "Гауда" с массовой долей жира в пересчете на сухое вещество 45%,   Останкино</v>
          </cell>
          <cell r="D309" t="str">
            <v>00-ko009875</v>
          </cell>
          <cell r="F309">
            <v>10.11</v>
          </cell>
          <cell r="G309">
            <v>10.11</v>
          </cell>
          <cell r="H309">
            <v>3.2160000000000002</v>
          </cell>
          <cell r="I309">
            <v>3.2160000000000002</v>
          </cell>
        </row>
        <row r="310">
          <cell r="A310" t="str">
            <v>Сыр полутвердый "Голландский" с массовой долей жира в пересчете на сухое  Останкино</v>
          </cell>
          <cell r="D310" t="str">
            <v>00-ko009874</v>
          </cell>
          <cell r="F310">
            <v>46.445999999999998</v>
          </cell>
          <cell r="G310">
            <v>46.445999999999998</v>
          </cell>
        </row>
        <row r="311">
          <cell r="A311" t="str">
            <v>Сыр полутвердый "Российский" с массовой долей жира 50%  Останкино</v>
          </cell>
          <cell r="D311" t="str">
            <v>00-ko009385</v>
          </cell>
          <cell r="F311">
            <v>11.044</v>
          </cell>
          <cell r="G311">
            <v>11.044</v>
          </cell>
        </row>
        <row r="312">
          <cell r="A312" t="str">
            <v>Сыр полутвердый "Сметанковый", с масс долей жира в пересчете на сухое вещес50%, брус  Останкино</v>
          </cell>
          <cell r="D312" t="str">
            <v>00-ko009524</v>
          </cell>
          <cell r="F312">
            <v>87.372</v>
          </cell>
          <cell r="G312">
            <v>87.372</v>
          </cell>
        </row>
        <row r="313">
          <cell r="A313" t="str">
            <v>Сыр полутвердый "Тильзитер" с массовой долей жира в пересчете на сухое вещество 45%. 1/5  Останкино</v>
          </cell>
          <cell r="D313" t="str">
            <v>00-ko009526</v>
          </cell>
          <cell r="F313">
            <v>6.04</v>
          </cell>
          <cell r="G313">
            <v>6.04</v>
          </cell>
        </row>
        <row r="314">
          <cell r="A314" t="str">
            <v>Сыр рассольный жирный Чечил 45% 100 гр  ОСТАНКИНО</v>
          </cell>
          <cell r="D314" t="str">
            <v>00-00008886</v>
          </cell>
          <cell r="F314">
            <v>23.9</v>
          </cell>
          <cell r="G314">
            <v>239</v>
          </cell>
          <cell r="H314">
            <v>0.6</v>
          </cell>
          <cell r="I314">
            <v>6</v>
          </cell>
        </row>
        <row r="315">
          <cell r="A315" t="str">
            <v>Сыр рассольный жирный Чечил копченый 43% 100 гр  Останкино</v>
          </cell>
          <cell r="D315" t="str">
            <v>00-00009171</v>
          </cell>
          <cell r="F315">
            <v>28.8</v>
          </cell>
          <cell r="G315">
            <v>288</v>
          </cell>
          <cell r="H315">
            <v>0.3</v>
          </cell>
          <cell r="I315">
            <v>3</v>
          </cell>
        </row>
        <row r="316">
          <cell r="A316" t="str">
            <v>Сыр Скаморца свежий 100 гр.  ОСТАНКИНО</v>
          </cell>
          <cell r="D316" t="str">
            <v>00-00008887</v>
          </cell>
          <cell r="F316">
            <v>0.5</v>
          </cell>
          <cell r="G316">
            <v>5</v>
          </cell>
          <cell r="H316">
            <v>0.2</v>
          </cell>
          <cell r="I316">
            <v>2</v>
          </cell>
        </row>
        <row r="317">
          <cell r="A317" t="str">
            <v>Сыр Творожный с зеленью 60% Папа может 140 гр.  Останкино</v>
          </cell>
          <cell r="D317" t="str">
            <v>00-ko009290</v>
          </cell>
          <cell r="F317">
            <v>1.82</v>
          </cell>
          <cell r="G317">
            <v>13</v>
          </cell>
        </row>
        <row r="318">
          <cell r="A318" t="str">
            <v>Сыр творожный Сливочный 140 гр.  Останкино</v>
          </cell>
          <cell r="D318" t="str">
            <v>00-ko009053</v>
          </cell>
          <cell r="F318">
            <v>2.38</v>
          </cell>
          <cell r="G318">
            <v>17</v>
          </cell>
          <cell r="H318">
            <v>1.1200000000000001</v>
          </cell>
          <cell r="I318">
            <v>8</v>
          </cell>
        </row>
        <row r="319">
          <cell r="A319" t="str">
            <v>Сыч/Прод Коровино Российский 50% 200г НОВАЯ СЗМЖ  ОСТАНКИНО</v>
          </cell>
          <cell r="D319" t="str">
            <v>00-00008341</v>
          </cell>
          <cell r="F319">
            <v>0.8</v>
          </cell>
          <cell r="G319">
            <v>4</v>
          </cell>
        </row>
        <row r="320">
          <cell r="A320" t="str">
            <v>Сыч/Прод Коровино Российский Оригин 50% ВЕС НОВАЯ (3,5 кг)  ОСТАНКИНО</v>
          </cell>
          <cell r="D320" t="str">
            <v>00-00008340</v>
          </cell>
          <cell r="F320">
            <v>17.059999999999999</v>
          </cell>
          <cell r="G320">
            <v>17.059999999999999</v>
          </cell>
        </row>
        <row r="321">
          <cell r="A321" t="str">
            <v>Сыч/Прод Коровино Тильзитер 50% 200г НОВАЯ СЗМЖ  ОСТАНКИНО</v>
          </cell>
          <cell r="D321" t="str">
            <v>00-00008339</v>
          </cell>
          <cell r="F321">
            <v>1.4</v>
          </cell>
          <cell r="G321">
            <v>7</v>
          </cell>
        </row>
        <row r="322">
          <cell r="A322" t="str">
            <v>Сыч/Прод Коровино Тильзитер Оригин 50% ВЕС НОВАЯ (5 кг брус) СЗМЖ  ОСТАНКИНО</v>
          </cell>
          <cell r="D322" t="str">
            <v>00-00008338</v>
          </cell>
          <cell r="F322">
            <v>21.097999999999999</v>
          </cell>
          <cell r="G322">
            <v>21.097999999999999</v>
          </cell>
          <cell r="H322">
            <v>3.6240000000000001</v>
          </cell>
          <cell r="I322">
            <v>3.6240000000000001</v>
          </cell>
        </row>
        <row r="323">
          <cell r="A323" t="str">
            <v>Хотстеры Васаби-чили ТМ Горячая штучка ТС Хотстеры 0,23кг жареные ПОКОМ</v>
          </cell>
          <cell r="D323" t="str">
            <v>00-ko011462</v>
          </cell>
          <cell r="F323">
            <v>30.59</v>
          </cell>
          <cell r="G323">
            <v>133</v>
          </cell>
        </row>
        <row r="324">
          <cell r="A324" t="str">
            <v>Хотстеры с сыром ТМ Горячая штучка ТС Хотстеры 0,25кг.  Поком</v>
          </cell>
          <cell r="D324" t="str">
            <v>00-ko009756</v>
          </cell>
          <cell r="F324">
            <v>181.25</v>
          </cell>
          <cell r="G324">
            <v>725</v>
          </cell>
        </row>
        <row r="325">
          <cell r="A325" t="str">
            <v>Хотстеры ТМ Горячая штучка ТС Хотстеры 0,25 кг зам  ПОКОМ</v>
          </cell>
          <cell r="D325" t="str">
            <v>00-00001002</v>
          </cell>
          <cell r="F325">
            <v>288</v>
          </cell>
          <cell r="G325">
            <v>1152</v>
          </cell>
          <cell r="H325">
            <v>7.5</v>
          </cell>
          <cell r="I325">
            <v>30</v>
          </cell>
        </row>
        <row r="326">
          <cell r="A326" t="str">
            <v>Хрустипай апельсин имбирь ТМ Горячая штучка 0,18 кг  ПОКОМ</v>
          </cell>
          <cell r="D326" t="str">
            <v>00-ko011543</v>
          </cell>
          <cell r="F326">
            <v>4.1399999999999997</v>
          </cell>
          <cell r="G326">
            <v>23</v>
          </cell>
        </row>
        <row r="327">
          <cell r="A327" t="str">
            <v>Хрустипай манго маракуйя ТМ Горячая штучка 0,18 кг  ПОКОМ</v>
          </cell>
          <cell r="D327" t="str">
            <v>00-ko011544</v>
          </cell>
          <cell r="F327">
            <v>1.98</v>
          </cell>
          <cell r="G327">
            <v>11</v>
          </cell>
        </row>
        <row r="328">
          <cell r="A328" t="str">
            <v>Хрустипай манго чили ТМ Горячая штучка 0,18кг с начинкой ПОКОМ</v>
          </cell>
          <cell r="D328" t="str">
            <v>00-ko011567</v>
          </cell>
          <cell r="F328">
            <v>2.16</v>
          </cell>
          <cell r="G328">
            <v>12</v>
          </cell>
        </row>
        <row r="329">
          <cell r="A329" t="str">
            <v>Хрустящие крылышки острые к пиву ТМ Горячая штучка 0,3кг зам  ПОКОМ</v>
          </cell>
          <cell r="D329" t="str">
            <v>00-00000998</v>
          </cell>
          <cell r="F329">
            <v>135</v>
          </cell>
          <cell r="G329">
            <v>450</v>
          </cell>
        </row>
        <row r="330">
          <cell r="A330" t="str">
            <v>Хрустящие крылышки ТМ Горячая штучка 0,3 кг зам  ПОКОМ</v>
          </cell>
          <cell r="D330" t="str">
            <v>00-00000997</v>
          </cell>
          <cell r="F330">
            <v>180.9</v>
          </cell>
          <cell r="G330">
            <v>603</v>
          </cell>
        </row>
        <row r="331">
          <cell r="A331" t="str">
            <v>Чебупели Курочка гриль Базовый ассортимент Фикс.вес 0,3 Пакет Горячая штучка  Поком</v>
          </cell>
          <cell r="D331" t="str">
            <v>00-ko009099</v>
          </cell>
          <cell r="F331">
            <v>162</v>
          </cell>
          <cell r="G331">
            <v>540</v>
          </cell>
          <cell r="H331">
            <v>0.3</v>
          </cell>
          <cell r="I331">
            <v>1</v>
          </cell>
        </row>
        <row r="332">
          <cell r="A332" t="str">
            <v>Чебупели со вкусом Фо бо ТМ Горячая штучка 0,22 кг  ПОКОМ</v>
          </cell>
          <cell r="D332" t="str">
            <v>00-ko011552</v>
          </cell>
          <cell r="F332">
            <v>15.18</v>
          </cell>
          <cell r="G332">
            <v>69</v>
          </cell>
        </row>
        <row r="333">
          <cell r="A333" t="str">
            <v>Чебупицца курочка по-итальянски Горячая штучка 0,25 кг зам  ПОКОМ</v>
          </cell>
          <cell r="D333" t="str">
            <v>00-00001000</v>
          </cell>
          <cell r="F333">
            <v>357.75</v>
          </cell>
          <cell r="G333">
            <v>1431</v>
          </cell>
        </row>
        <row r="334">
          <cell r="A334" t="str">
            <v>Чебупицца Пепперони ТМ Горячая штучка ТС Чебупицца 0.25кг зам  ПОКОМ</v>
          </cell>
          <cell r="D334" t="str">
            <v>00-00000999</v>
          </cell>
          <cell r="F334">
            <v>508.25</v>
          </cell>
          <cell r="G334">
            <v>2033</v>
          </cell>
        </row>
        <row r="335">
          <cell r="A335" t="str">
            <v>Чебупицца со вкусом 4 сыра 0,2кг ТМ Горячая штучка ТС Foodgital  ПОКОМ</v>
          </cell>
          <cell r="D335" t="str">
            <v>00-ko010879</v>
          </cell>
          <cell r="F335">
            <v>32</v>
          </cell>
          <cell r="G335">
            <v>160</v>
          </cell>
        </row>
        <row r="336">
          <cell r="A336" t="str">
            <v>Чебупицца со вкусом Том ям ТМ Горячая штучка ТС Чебупицца 0,23кг жареные ПОКОМ</v>
          </cell>
          <cell r="D336" t="str">
            <v>00-ko011461</v>
          </cell>
          <cell r="F336">
            <v>69.459999999999994</v>
          </cell>
          <cell r="G336">
            <v>302</v>
          </cell>
        </row>
        <row r="337">
          <cell r="A337" t="str">
            <v>Чебупицца со вкусом Утка по-пекински ТМ Горячая штучка ТС Чебупицца 0,23 кг.  ПОКОМ</v>
          </cell>
          <cell r="D337" t="str">
            <v>00-ko011772</v>
          </cell>
          <cell r="F337">
            <v>32.659999999999997</v>
          </cell>
          <cell r="G337">
            <v>142</v>
          </cell>
        </row>
        <row r="338">
          <cell r="A338" t="str">
            <v>Чебуреки Мясные вес 2,7 кг ТМ Зареченские ТС Зареченские продукты   Поком</v>
          </cell>
          <cell r="D338" t="str">
            <v>00-ko009121</v>
          </cell>
          <cell r="F338">
            <v>16.2</v>
          </cell>
          <cell r="G338">
            <v>16.2</v>
          </cell>
        </row>
        <row r="339">
          <cell r="A339" t="str">
            <v>Чебуреки сочные ТМ Зареченские ТС Зареченские продукты.  Поком</v>
          </cell>
          <cell r="D339" t="str">
            <v>00-00009291</v>
          </cell>
          <cell r="F339">
            <v>150</v>
          </cell>
          <cell r="G339">
            <v>150</v>
          </cell>
        </row>
        <row r="340">
          <cell r="A340" t="str">
            <v>Итого</v>
          </cell>
          <cell r="F340">
            <v>50464.2071</v>
          </cell>
          <cell r="G340">
            <v>94524.365999999995</v>
          </cell>
          <cell r="H340">
            <v>693.08600000000001</v>
          </cell>
          <cell r="I340">
            <v>1596.1320000000001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63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5.83203125" style="1" customWidth="1"/>
    <col min="7" max="7" width="15.6640625" style="1" customWidth="1"/>
    <col min="8" max="9" width="12.33203125" style="1" customWidth="1"/>
    <col min="12" max="13" width="10.5" style="26"/>
    <col min="14" max="14" width="15.33203125" customWidth="1"/>
  </cols>
  <sheetData>
    <row r="1" spans="1:14" s="1" customFormat="1" ht="12.75" x14ac:dyDescent="0.2">
      <c r="C1" s="24" t="s">
        <v>726</v>
      </c>
      <c r="L1" s="25"/>
      <c r="M1" s="25"/>
    </row>
    <row r="2" spans="1:14" ht="11.1" customHeight="1" outlineLevel="1" x14ac:dyDescent="0.2">
      <c r="A2" s="2" t="s">
        <v>0</v>
      </c>
      <c r="B2" s="2"/>
      <c r="C2" s="2" t="s">
        <v>1</v>
      </c>
      <c r="D2" s="2"/>
      <c r="L2" s="28">
        <v>22</v>
      </c>
    </row>
    <row r="3" spans="1:14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J3" s="29" t="s">
        <v>725</v>
      </c>
      <c r="K3" s="29"/>
      <c r="L3" s="30" t="s">
        <v>725</v>
      </c>
      <c r="M3" s="30"/>
      <c r="N3" s="29" t="s">
        <v>725</v>
      </c>
    </row>
    <row r="4" spans="1:14" s="1" customFormat="1" ht="9.9499999999999993" customHeight="1" x14ac:dyDescent="0.2">
      <c r="J4" s="31"/>
      <c r="K4" s="31"/>
      <c r="L4" s="32"/>
      <c r="M4" s="32"/>
      <c r="N4" s="29"/>
    </row>
    <row r="5" spans="1:14" ht="12.95" customHeight="1" x14ac:dyDescent="0.2">
      <c r="A5" s="17" t="s">
        <v>4</v>
      </c>
      <c r="B5" s="17"/>
      <c r="C5" s="17"/>
      <c r="D5" s="17" t="s">
        <v>5</v>
      </c>
      <c r="E5" s="17"/>
      <c r="F5" s="21" t="s">
        <v>6</v>
      </c>
      <c r="G5" s="21"/>
      <c r="H5" s="21" t="s">
        <v>7</v>
      </c>
      <c r="I5" s="21"/>
      <c r="J5" s="21" t="s">
        <v>6</v>
      </c>
      <c r="K5" s="21"/>
      <c r="L5" s="33" t="s">
        <v>727</v>
      </c>
      <c r="M5" s="34"/>
      <c r="N5" s="35" t="s">
        <v>728</v>
      </c>
    </row>
    <row r="6" spans="1:14" ht="26.1" customHeight="1" x14ac:dyDescent="0.2">
      <c r="A6" s="18"/>
      <c r="B6" s="19"/>
      <c r="C6" s="20"/>
      <c r="D6" s="18"/>
      <c r="E6" s="20"/>
      <c r="F6" s="3" t="s">
        <v>8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9</v>
      </c>
      <c r="L6" s="27" t="s">
        <v>8</v>
      </c>
      <c r="M6" s="27" t="s">
        <v>9</v>
      </c>
      <c r="N6" s="36" t="s">
        <v>729</v>
      </c>
    </row>
    <row r="7" spans="1:14" ht="11.1" customHeight="1" x14ac:dyDescent="0.2">
      <c r="A7" s="22" t="s">
        <v>12</v>
      </c>
      <c r="B7" s="22"/>
      <c r="C7" s="22"/>
      <c r="D7" s="22" t="s">
        <v>13</v>
      </c>
      <c r="E7" s="22"/>
      <c r="F7" s="4">
        <v>1049.309</v>
      </c>
      <c r="G7" s="4">
        <v>1049.309</v>
      </c>
      <c r="H7" s="5">
        <v>22.161999999999999</v>
      </c>
      <c r="I7" s="5">
        <v>22.161999999999999</v>
      </c>
      <c r="J7">
        <f>IFERROR(VLOOKUP(A7,[1]TDSheet!$A:$AV,6,0),0)</f>
        <v>484.81</v>
      </c>
      <c r="K7">
        <f>IFERROR(VLOOKUP(A7,[1]TDSheet!$A:$AV,7,0),0)</f>
        <v>484.81</v>
      </c>
      <c r="L7" s="26">
        <f>J7/$L$2</f>
        <v>22.03681818181818</v>
      </c>
      <c r="M7" s="26">
        <f>K7/$L$2</f>
        <v>22.03681818181818</v>
      </c>
      <c r="N7" s="37">
        <f>IF(J7/F7&lt;0,0,J7/F7)</f>
        <v>0.46202786786351779</v>
      </c>
    </row>
    <row r="8" spans="1:14" ht="11.1" customHeight="1" x14ac:dyDescent="0.2">
      <c r="A8" s="22" t="s">
        <v>14</v>
      </c>
      <c r="B8" s="22"/>
      <c r="C8" s="22"/>
      <c r="D8" s="22" t="s">
        <v>15</v>
      </c>
      <c r="E8" s="22"/>
      <c r="F8" s="4">
        <v>2066.7559999999999</v>
      </c>
      <c r="G8" s="4">
        <v>2066.7559999999999</v>
      </c>
      <c r="H8" s="5">
        <v>45.131999999999998</v>
      </c>
      <c r="I8" s="5">
        <v>45.131999999999998</v>
      </c>
      <c r="J8">
        <f>IFERROR(VLOOKUP(A8,[1]TDSheet!$A:$AV,6,0),0)</f>
        <v>673.18799999999999</v>
      </c>
      <c r="K8">
        <f>IFERROR(VLOOKUP(A8,[1]TDSheet!$A:$AV,7,0),0)</f>
        <v>673.18799999999999</v>
      </c>
      <c r="L8" s="26">
        <f t="shared" ref="L8:L71" si="0">J8/$L$2</f>
        <v>30.599454545454545</v>
      </c>
      <c r="M8" s="26">
        <f t="shared" ref="M8:M71" si="1">K8/$L$2</f>
        <v>30.599454545454545</v>
      </c>
      <c r="N8" s="37">
        <f t="shared" ref="N8:N71" si="2">IF(J8/F8&lt;0,0,J8/F8)</f>
        <v>0.32572204943399224</v>
      </c>
    </row>
    <row r="9" spans="1:14" ht="11.1" customHeight="1" x14ac:dyDescent="0.2">
      <c r="A9" s="22" t="s">
        <v>16</v>
      </c>
      <c r="B9" s="22"/>
      <c r="C9" s="22"/>
      <c r="D9" s="22" t="s">
        <v>17</v>
      </c>
      <c r="E9" s="22"/>
      <c r="F9" s="4">
        <v>2079.8919999999998</v>
      </c>
      <c r="G9" s="4">
        <v>2079.8919999999998</v>
      </c>
      <c r="H9" s="5">
        <v>28.984999999999999</v>
      </c>
      <c r="I9" s="5">
        <v>28.984999999999999</v>
      </c>
      <c r="J9">
        <f>IFERROR(VLOOKUP(A9,[1]TDSheet!$A:$AV,6,0),0)</f>
        <v>673.21400000000006</v>
      </c>
      <c r="K9">
        <f>IFERROR(VLOOKUP(A9,[1]TDSheet!$A:$AV,7,0),0)</f>
        <v>673.21400000000006</v>
      </c>
      <c r="L9" s="26">
        <f t="shared" si="0"/>
        <v>30.600636363636365</v>
      </c>
      <c r="M9" s="26">
        <f t="shared" si="1"/>
        <v>30.600636363636365</v>
      </c>
      <c r="N9" s="37">
        <f t="shared" si="2"/>
        <v>0.32367738324874568</v>
      </c>
    </row>
    <row r="10" spans="1:14" ht="11.1" customHeight="1" x14ac:dyDescent="0.2">
      <c r="A10" s="22" t="s">
        <v>18</v>
      </c>
      <c r="B10" s="22"/>
      <c r="C10" s="22"/>
      <c r="D10" s="22" t="s">
        <v>19</v>
      </c>
      <c r="E10" s="22"/>
      <c r="F10" s="6">
        <v>486.69209999999998</v>
      </c>
      <c r="G10" s="4">
        <v>1081.538</v>
      </c>
      <c r="H10" s="7">
        <v>51.3</v>
      </c>
      <c r="I10" s="5">
        <v>114</v>
      </c>
      <c r="J10">
        <f>IFERROR(VLOOKUP(A10,[1]TDSheet!$A:$AV,6,0),0)</f>
        <v>276.99209999999999</v>
      </c>
      <c r="K10">
        <f>IFERROR(VLOOKUP(A10,[1]TDSheet!$A:$AV,7,0),0)</f>
        <v>615.53800000000001</v>
      </c>
      <c r="L10" s="26">
        <f t="shared" si="0"/>
        <v>12.59055</v>
      </c>
      <c r="M10" s="26">
        <f t="shared" si="1"/>
        <v>27.978999999999999</v>
      </c>
      <c r="N10" s="37">
        <f t="shared" si="2"/>
        <v>0.5691321063152659</v>
      </c>
    </row>
    <row r="11" spans="1:14" ht="11.1" customHeight="1" x14ac:dyDescent="0.2">
      <c r="A11" s="22" t="s">
        <v>20</v>
      </c>
      <c r="B11" s="22"/>
      <c r="C11" s="22"/>
      <c r="D11" s="22" t="s">
        <v>21</v>
      </c>
      <c r="E11" s="22"/>
      <c r="F11" s="8">
        <v>1122.3</v>
      </c>
      <c r="G11" s="4">
        <v>2494</v>
      </c>
      <c r="H11" s="7">
        <v>61.2</v>
      </c>
      <c r="I11" s="5">
        <v>136</v>
      </c>
      <c r="J11">
        <f>IFERROR(VLOOKUP(A11,[1]TDSheet!$A:$AV,6,0),0)</f>
        <v>570.15</v>
      </c>
      <c r="K11">
        <f>IFERROR(VLOOKUP(A11,[1]TDSheet!$A:$AV,7,0),0)</f>
        <v>1267</v>
      </c>
      <c r="L11" s="26">
        <f t="shared" si="0"/>
        <v>25.915909090909089</v>
      </c>
      <c r="M11" s="26">
        <f t="shared" si="1"/>
        <v>57.590909090909093</v>
      </c>
      <c r="N11" s="37">
        <f t="shared" si="2"/>
        <v>0.50801924619085803</v>
      </c>
    </row>
    <row r="12" spans="1:14" ht="21.95" customHeight="1" x14ac:dyDescent="0.2">
      <c r="A12" s="22" t="s">
        <v>22</v>
      </c>
      <c r="B12" s="22"/>
      <c r="C12" s="22"/>
      <c r="D12" s="22" t="s">
        <v>23</v>
      </c>
      <c r="E12" s="22"/>
      <c r="F12" s="9">
        <v>40.97</v>
      </c>
      <c r="G12" s="5">
        <v>241</v>
      </c>
      <c r="H12" s="9">
        <v>0.51</v>
      </c>
      <c r="I12" s="5">
        <v>3</v>
      </c>
      <c r="J12">
        <f>IFERROR(VLOOKUP(A12,[1]TDSheet!$A:$AV,6,0),0)</f>
        <v>15.81</v>
      </c>
      <c r="K12">
        <f>IFERROR(VLOOKUP(A12,[1]TDSheet!$A:$AV,7,0),0)</f>
        <v>93</v>
      </c>
      <c r="L12" s="26">
        <f t="shared" si="0"/>
        <v>0.71863636363636363</v>
      </c>
      <c r="M12" s="26">
        <f t="shared" si="1"/>
        <v>4.2272727272727275</v>
      </c>
      <c r="N12" s="37">
        <f t="shared" si="2"/>
        <v>0.38589211618257263</v>
      </c>
    </row>
    <row r="13" spans="1:14" ht="11.1" customHeight="1" x14ac:dyDescent="0.2">
      <c r="A13" s="22" t="s">
        <v>24</v>
      </c>
      <c r="B13" s="22"/>
      <c r="C13" s="22"/>
      <c r="D13" s="22" t="s">
        <v>25</v>
      </c>
      <c r="E13" s="22"/>
      <c r="F13" s="7">
        <v>57.3</v>
      </c>
      <c r="G13" s="5">
        <v>191</v>
      </c>
      <c r="H13" s="7">
        <v>6.9</v>
      </c>
      <c r="I13" s="5">
        <v>23</v>
      </c>
      <c r="J13">
        <f>IFERROR(VLOOKUP(A13,[1]TDSheet!$A:$AV,6,0),0)</f>
        <v>10.5</v>
      </c>
      <c r="K13">
        <f>IFERROR(VLOOKUP(A13,[1]TDSheet!$A:$AV,7,0),0)</f>
        <v>35</v>
      </c>
      <c r="L13" s="26">
        <f t="shared" si="0"/>
        <v>0.47727272727272729</v>
      </c>
      <c r="M13" s="26">
        <f t="shared" si="1"/>
        <v>1.5909090909090908</v>
      </c>
      <c r="N13" s="37">
        <f t="shared" si="2"/>
        <v>0.18324607329842932</v>
      </c>
    </row>
    <row r="14" spans="1:14" ht="11.1" customHeight="1" x14ac:dyDescent="0.2">
      <c r="A14" s="22" t="s">
        <v>26</v>
      </c>
      <c r="B14" s="22"/>
      <c r="C14" s="22"/>
      <c r="D14" s="22" t="s">
        <v>27</v>
      </c>
      <c r="E14" s="22"/>
      <c r="F14" s="9">
        <v>167.45</v>
      </c>
      <c r="G14" s="5">
        <v>985</v>
      </c>
      <c r="H14" s="9">
        <v>0.51</v>
      </c>
      <c r="I14" s="5">
        <v>3</v>
      </c>
      <c r="J14">
        <f>IFERROR(VLOOKUP(A14,[1]TDSheet!$A:$AV,6,0),0)</f>
        <v>50.15</v>
      </c>
      <c r="K14">
        <f>IFERROR(VLOOKUP(A14,[1]TDSheet!$A:$AV,7,0),0)</f>
        <v>295</v>
      </c>
      <c r="L14" s="26">
        <f t="shared" si="0"/>
        <v>2.2795454545454543</v>
      </c>
      <c r="M14" s="26">
        <f t="shared" si="1"/>
        <v>13.409090909090908</v>
      </c>
      <c r="N14" s="37">
        <f t="shared" si="2"/>
        <v>0.29949238578680204</v>
      </c>
    </row>
    <row r="15" spans="1:14" ht="11.1" customHeight="1" x14ac:dyDescent="0.2">
      <c r="A15" s="22" t="s">
        <v>28</v>
      </c>
      <c r="B15" s="22"/>
      <c r="C15" s="22"/>
      <c r="D15" s="22" t="s">
        <v>29</v>
      </c>
      <c r="E15" s="22"/>
      <c r="F15" s="4">
        <v>1915.479</v>
      </c>
      <c r="G15" s="4">
        <v>1915.479</v>
      </c>
      <c r="H15" s="5">
        <v>7.2859999999999996</v>
      </c>
      <c r="I15" s="5">
        <v>7.2859999999999996</v>
      </c>
      <c r="J15">
        <f>IFERROR(VLOOKUP(A15,[1]TDSheet!$A:$AV,6,0),0)</f>
        <v>1120.6110000000001</v>
      </c>
      <c r="K15">
        <f>IFERROR(VLOOKUP(A15,[1]TDSheet!$A:$AV,7,0),0)</f>
        <v>1120.6110000000001</v>
      </c>
      <c r="L15" s="26">
        <f t="shared" si="0"/>
        <v>50.93686363636364</v>
      </c>
      <c r="M15" s="26">
        <f t="shared" si="1"/>
        <v>50.93686363636364</v>
      </c>
      <c r="N15" s="37">
        <f t="shared" si="2"/>
        <v>0.58502912326368495</v>
      </c>
    </row>
    <row r="16" spans="1:14" ht="11.1" customHeight="1" x14ac:dyDescent="0.2">
      <c r="A16" s="22" t="s">
        <v>30</v>
      </c>
      <c r="B16" s="22"/>
      <c r="C16" s="22"/>
      <c r="D16" s="22" t="s">
        <v>31</v>
      </c>
      <c r="E16" s="22"/>
      <c r="F16" s="4">
        <v>9339.9279999999999</v>
      </c>
      <c r="G16" s="4">
        <v>9339.9279999999999</v>
      </c>
      <c r="H16" s="5">
        <v>17.925000000000001</v>
      </c>
      <c r="I16" s="5">
        <v>17.925000000000001</v>
      </c>
      <c r="J16">
        <f>IFERROR(VLOOKUP(A16,[1]TDSheet!$A:$AV,6,0),0)</f>
        <v>2834.8470000000002</v>
      </c>
      <c r="K16">
        <f>IFERROR(VLOOKUP(A16,[1]TDSheet!$A:$AV,7,0),0)</f>
        <v>2834.8470000000002</v>
      </c>
      <c r="L16" s="26">
        <f t="shared" si="0"/>
        <v>128.85668181818184</v>
      </c>
      <c r="M16" s="26">
        <f t="shared" si="1"/>
        <v>128.85668181818184</v>
      </c>
      <c r="N16" s="37">
        <f t="shared" si="2"/>
        <v>0.30351914918401945</v>
      </c>
    </row>
    <row r="17" spans="1:14" ht="11.1" customHeight="1" x14ac:dyDescent="0.2">
      <c r="A17" s="22" t="s">
        <v>32</v>
      </c>
      <c r="B17" s="22"/>
      <c r="C17" s="22"/>
      <c r="D17" s="22" t="s">
        <v>33</v>
      </c>
      <c r="E17" s="22"/>
      <c r="F17" s="5">
        <v>280.18200000000002</v>
      </c>
      <c r="G17" s="5">
        <v>280.18200000000002</v>
      </c>
      <c r="H17" s="5">
        <v>1.119</v>
      </c>
      <c r="I17" s="5">
        <v>1.119</v>
      </c>
      <c r="J17">
        <f>IFERROR(VLOOKUP(A17,[1]TDSheet!$A:$AV,6,0),0)</f>
        <v>211.797</v>
      </c>
      <c r="K17">
        <f>IFERROR(VLOOKUP(A17,[1]TDSheet!$A:$AV,7,0),0)</f>
        <v>211.797</v>
      </c>
      <c r="L17" s="26">
        <f t="shared" si="0"/>
        <v>9.6271363636363638</v>
      </c>
      <c r="M17" s="26">
        <f t="shared" si="1"/>
        <v>9.6271363636363638</v>
      </c>
      <c r="N17" s="37">
        <f t="shared" si="2"/>
        <v>0.75592650491466251</v>
      </c>
    </row>
    <row r="18" spans="1:14" ht="11.1" customHeight="1" x14ac:dyDescent="0.2">
      <c r="A18" s="38" t="s">
        <v>34</v>
      </c>
      <c r="B18" s="38"/>
      <c r="C18" s="38"/>
      <c r="D18" s="38" t="s">
        <v>35</v>
      </c>
      <c r="E18" s="38"/>
      <c r="F18" s="39">
        <v>4.2380000000000004</v>
      </c>
      <c r="G18" s="39">
        <v>4.2380000000000004</v>
      </c>
      <c r="H18" s="39">
        <v>0.79400000000000004</v>
      </c>
      <c r="I18" s="39">
        <v>0.79400000000000004</v>
      </c>
      <c r="J18" s="40">
        <f>IFERROR(VLOOKUP(A18,[1]TDSheet!$A:$AV,6,0),0)</f>
        <v>0</v>
      </c>
      <c r="K18" s="40">
        <f>IFERROR(VLOOKUP(A18,[1]TDSheet!$A:$AV,7,0),0)</f>
        <v>0</v>
      </c>
      <c r="L18" s="41">
        <f t="shared" si="0"/>
        <v>0</v>
      </c>
      <c r="M18" s="41">
        <f t="shared" si="1"/>
        <v>0</v>
      </c>
      <c r="N18" s="42">
        <f t="shared" si="2"/>
        <v>0</v>
      </c>
    </row>
    <row r="19" spans="1:14" ht="11.1" customHeight="1" x14ac:dyDescent="0.2">
      <c r="A19" s="22" t="s">
        <v>36</v>
      </c>
      <c r="B19" s="22"/>
      <c r="C19" s="22"/>
      <c r="D19" s="22" t="s">
        <v>37</v>
      </c>
      <c r="E19" s="22"/>
      <c r="F19" s="5">
        <v>178.11099999999999</v>
      </c>
      <c r="G19" s="5">
        <v>178.11099999999999</v>
      </c>
      <c r="H19" s="9">
        <v>0.88</v>
      </c>
      <c r="I19" s="5">
        <v>0.88</v>
      </c>
      <c r="J19">
        <f>IFERROR(VLOOKUP(A19,[1]TDSheet!$A:$AV,6,0),0)</f>
        <v>135.071</v>
      </c>
      <c r="K19">
        <f>IFERROR(VLOOKUP(A19,[1]TDSheet!$A:$AV,7,0),0)</f>
        <v>135.071</v>
      </c>
      <c r="L19" s="26">
        <f t="shared" si="0"/>
        <v>6.1395909090909093</v>
      </c>
      <c r="M19" s="26">
        <f t="shared" si="1"/>
        <v>6.1395909090909093</v>
      </c>
      <c r="N19" s="37">
        <f t="shared" si="2"/>
        <v>0.75835293721331087</v>
      </c>
    </row>
    <row r="20" spans="1:14" ht="21.95" customHeight="1" x14ac:dyDescent="0.2">
      <c r="A20" s="22" t="s">
        <v>38</v>
      </c>
      <c r="B20" s="22"/>
      <c r="C20" s="22"/>
      <c r="D20" s="22" t="s">
        <v>39</v>
      </c>
      <c r="E20" s="22"/>
      <c r="F20" s="5">
        <v>132.68600000000001</v>
      </c>
      <c r="G20" s="5">
        <v>132.68600000000001</v>
      </c>
      <c r="H20" s="10"/>
      <c r="I20" s="10"/>
      <c r="J20">
        <f>IFERROR(VLOOKUP(A20,[1]TDSheet!$A:$AV,6,0),0)</f>
        <v>12.195</v>
      </c>
      <c r="K20">
        <f>IFERROR(VLOOKUP(A20,[1]TDSheet!$A:$AV,7,0),0)</f>
        <v>12.195</v>
      </c>
      <c r="L20" s="26">
        <f t="shared" si="0"/>
        <v>0.55431818181818182</v>
      </c>
      <c r="M20" s="26">
        <f t="shared" si="1"/>
        <v>0.55431818181818182</v>
      </c>
      <c r="N20" s="37">
        <f t="shared" si="2"/>
        <v>9.1908716820161884E-2</v>
      </c>
    </row>
    <row r="21" spans="1:14" ht="11.1" customHeight="1" x14ac:dyDescent="0.2">
      <c r="A21" s="22" t="s">
        <v>40</v>
      </c>
      <c r="B21" s="22"/>
      <c r="C21" s="22"/>
      <c r="D21" s="22" t="s">
        <v>41</v>
      </c>
      <c r="E21" s="22"/>
      <c r="F21" s="4">
        <v>1383.7850000000001</v>
      </c>
      <c r="G21" s="4">
        <v>1383.7850000000001</v>
      </c>
      <c r="H21" s="9">
        <v>13.32</v>
      </c>
      <c r="I21" s="5">
        <v>13.32</v>
      </c>
      <c r="J21">
        <f>IFERROR(VLOOKUP(A21,[1]TDSheet!$A:$AV,6,0),0)</f>
        <v>826.65599999999995</v>
      </c>
      <c r="K21">
        <f>IFERROR(VLOOKUP(A21,[1]TDSheet!$A:$AV,7,0),0)</f>
        <v>826.65599999999995</v>
      </c>
      <c r="L21" s="26">
        <f t="shared" si="0"/>
        <v>37.575272727272726</v>
      </c>
      <c r="M21" s="26">
        <f t="shared" si="1"/>
        <v>37.575272727272726</v>
      </c>
      <c r="N21" s="37">
        <f t="shared" si="2"/>
        <v>0.59738759995230462</v>
      </c>
    </row>
    <row r="22" spans="1:14" ht="11.1" customHeight="1" x14ac:dyDescent="0.2">
      <c r="A22" s="22" t="s">
        <v>42</v>
      </c>
      <c r="B22" s="22"/>
      <c r="C22" s="22"/>
      <c r="D22" s="22" t="s">
        <v>43</v>
      </c>
      <c r="E22" s="22"/>
      <c r="F22" s="9">
        <v>432.34</v>
      </c>
      <c r="G22" s="5">
        <v>432.34</v>
      </c>
      <c r="H22" s="5">
        <v>4.915</v>
      </c>
      <c r="I22" s="5">
        <v>4.915</v>
      </c>
      <c r="J22">
        <f>IFERROR(VLOOKUP(A22,[1]TDSheet!$A:$AV,6,0),0)</f>
        <v>329.166</v>
      </c>
      <c r="K22">
        <f>IFERROR(VLOOKUP(A22,[1]TDSheet!$A:$AV,7,0),0)</f>
        <v>329.166</v>
      </c>
      <c r="L22" s="26">
        <f t="shared" si="0"/>
        <v>14.962090909090909</v>
      </c>
      <c r="M22" s="26">
        <f t="shared" si="1"/>
        <v>14.962090909090909</v>
      </c>
      <c r="N22" s="37">
        <f t="shared" si="2"/>
        <v>0.76135911551094049</v>
      </c>
    </row>
    <row r="23" spans="1:14" ht="21.95" customHeight="1" x14ac:dyDescent="0.2">
      <c r="A23" s="22" t="s">
        <v>44</v>
      </c>
      <c r="B23" s="22"/>
      <c r="C23" s="22"/>
      <c r="D23" s="22" t="s">
        <v>45</v>
      </c>
      <c r="E23" s="22"/>
      <c r="F23" s="5">
        <v>585.66300000000001</v>
      </c>
      <c r="G23" s="5">
        <v>585.66300000000001</v>
      </c>
      <c r="H23" s="5">
        <v>8.7569999999999997</v>
      </c>
      <c r="I23" s="5">
        <v>8.7569999999999997</v>
      </c>
      <c r="J23">
        <f>IFERROR(VLOOKUP(A23,[1]TDSheet!$A:$AV,6,0),0)</f>
        <v>413.45299999999997</v>
      </c>
      <c r="K23">
        <f>IFERROR(VLOOKUP(A23,[1]TDSheet!$A:$AV,7,0),0)</f>
        <v>413.45299999999997</v>
      </c>
      <c r="L23" s="26">
        <f t="shared" si="0"/>
        <v>18.793318181818179</v>
      </c>
      <c r="M23" s="26">
        <f t="shared" si="1"/>
        <v>18.793318181818179</v>
      </c>
      <c r="N23" s="37">
        <f t="shared" si="2"/>
        <v>0.70595718015309139</v>
      </c>
    </row>
    <row r="24" spans="1:14" ht="11.1" customHeight="1" x14ac:dyDescent="0.2">
      <c r="A24" s="22" t="s">
        <v>46</v>
      </c>
      <c r="B24" s="22"/>
      <c r="C24" s="22"/>
      <c r="D24" s="22" t="s">
        <v>47</v>
      </c>
      <c r="E24" s="22"/>
      <c r="F24" s="5">
        <v>115.182</v>
      </c>
      <c r="G24" s="5">
        <v>115.182</v>
      </c>
      <c r="H24" s="10"/>
      <c r="I24" s="10"/>
      <c r="J24">
        <f>IFERROR(VLOOKUP(A24,[1]TDSheet!$A:$AV,6,0),0)</f>
        <v>10.039999999999999</v>
      </c>
      <c r="K24">
        <f>IFERROR(VLOOKUP(A24,[1]TDSheet!$A:$AV,7,0),0)</f>
        <v>10.039999999999999</v>
      </c>
      <c r="L24" s="26">
        <f t="shared" si="0"/>
        <v>0.4563636363636363</v>
      </c>
      <c r="M24" s="26">
        <f t="shared" si="1"/>
        <v>0.4563636363636363</v>
      </c>
      <c r="N24" s="37">
        <f t="shared" si="2"/>
        <v>8.7166397527391429E-2</v>
      </c>
    </row>
    <row r="25" spans="1:14" ht="11.1" customHeight="1" x14ac:dyDescent="0.2">
      <c r="A25" s="22" t="s">
        <v>48</v>
      </c>
      <c r="B25" s="22"/>
      <c r="C25" s="22"/>
      <c r="D25" s="22" t="s">
        <v>49</v>
      </c>
      <c r="E25" s="22"/>
      <c r="F25" s="5">
        <v>803.16200000000003</v>
      </c>
      <c r="G25" s="5">
        <v>803.16200000000003</v>
      </c>
      <c r="H25" s="9">
        <v>12.24</v>
      </c>
      <c r="I25" s="5">
        <v>12.24</v>
      </c>
      <c r="J25">
        <f>IFERROR(VLOOKUP(A25,[1]TDSheet!$A:$AV,6,0),0)</f>
        <v>532.90800000000002</v>
      </c>
      <c r="K25">
        <f>IFERROR(VLOOKUP(A25,[1]TDSheet!$A:$AV,7,0),0)</f>
        <v>532.90800000000002</v>
      </c>
      <c r="L25" s="26">
        <f t="shared" si="0"/>
        <v>24.22309090909091</v>
      </c>
      <c r="M25" s="26">
        <f t="shared" si="1"/>
        <v>24.22309090909091</v>
      </c>
      <c r="N25" s="37">
        <f t="shared" si="2"/>
        <v>0.66351246697428412</v>
      </c>
    </row>
    <row r="26" spans="1:14" ht="11.1" customHeight="1" x14ac:dyDescent="0.2">
      <c r="A26" s="22" t="s">
        <v>50</v>
      </c>
      <c r="B26" s="22"/>
      <c r="C26" s="22"/>
      <c r="D26" s="22" t="s">
        <v>51</v>
      </c>
      <c r="E26" s="22"/>
      <c r="F26" s="5">
        <v>397.53300000000002</v>
      </c>
      <c r="G26" s="5">
        <v>397.53300000000002</v>
      </c>
      <c r="H26" s="5">
        <v>35.154000000000003</v>
      </c>
      <c r="I26" s="5">
        <v>35.154000000000003</v>
      </c>
      <c r="J26">
        <f>IFERROR(VLOOKUP(A26,[1]TDSheet!$A:$AV,6,0),0)</f>
        <v>97.078999999999994</v>
      </c>
      <c r="K26">
        <f>IFERROR(VLOOKUP(A26,[1]TDSheet!$A:$AV,7,0),0)</f>
        <v>97.078999999999994</v>
      </c>
      <c r="L26" s="26">
        <f t="shared" si="0"/>
        <v>4.4126818181818175</v>
      </c>
      <c r="M26" s="26">
        <f t="shared" si="1"/>
        <v>4.4126818181818175</v>
      </c>
      <c r="N26" s="37">
        <f t="shared" si="2"/>
        <v>0.24420362586250699</v>
      </c>
    </row>
    <row r="27" spans="1:14" ht="11.1" customHeight="1" x14ac:dyDescent="0.2">
      <c r="A27" s="38" t="s">
        <v>52</v>
      </c>
      <c r="B27" s="38"/>
      <c r="C27" s="38"/>
      <c r="D27" s="38" t="s">
        <v>53</v>
      </c>
      <c r="E27" s="38"/>
      <c r="F27" s="39">
        <v>34.448</v>
      </c>
      <c r="G27" s="39">
        <v>34.448</v>
      </c>
      <c r="H27" s="39">
        <v>10.406000000000001</v>
      </c>
      <c r="I27" s="39">
        <v>10.406000000000001</v>
      </c>
      <c r="J27" s="40">
        <f>IFERROR(VLOOKUP(A27,[1]TDSheet!$A:$AV,6,0),0)</f>
        <v>-1.042</v>
      </c>
      <c r="K27" s="40">
        <f>IFERROR(VLOOKUP(A27,[1]TDSheet!$A:$AV,7,0),0)</f>
        <v>-1.042</v>
      </c>
      <c r="L27" s="41">
        <f t="shared" si="0"/>
        <v>-4.7363636363636365E-2</v>
      </c>
      <c r="M27" s="41">
        <f t="shared" si="1"/>
        <v>-4.7363636363636365E-2</v>
      </c>
      <c r="N27" s="42">
        <f t="shared" si="2"/>
        <v>0</v>
      </c>
    </row>
    <row r="28" spans="1:14" ht="11.1" customHeight="1" x14ac:dyDescent="0.2">
      <c r="A28" s="22" t="s">
        <v>54</v>
      </c>
      <c r="B28" s="22"/>
      <c r="C28" s="22"/>
      <c r="D28" s="22" t="s">
        <v>55</v>
      </c>
      <c r="E28" s="22"/>
      <c r="F28" s="5">
        <v>695.23400000000004</v>
      </c>
      <c r="G28" s="5">
        <v>695.23400000000004</v>
      </c>
      <c r="H28" s="5">
        <v>69.287999999999997</v>
      </c>
      <c r="I28" s="5">
        <v>69.287999999999997</v>
      </c>
      <c r="J28">
        <f>IFERROR(VLOOKUP(A28,[1]TDSheet!$A:$AV,6,0),0)</f>
        <v>83.641999999999996</v>
      </c>
      <c r="K28">
        <f>IFERROR(VLOOKUP(A28,[1]TDSheet!$A:$AV,7,0),0)</f>
        <v>83.641999999999996</v>
      </c>
      <c r="L28" s="26">
        <f t="shared" si="0"/>
        <v>3.8019090909090907</v>
      </c>
      <c r="M28" s="26">
        <f t="shared" si="1"/>
        <v>3.8019090909090907</v>
      </c>
      <c r="N28" s="37">
        <f t="shared" si="2"/>
        <v>0.1203076949631347</v>
      </c>
    </row>
    <row r="29" spans="1:14" ht="21.95" customHeight="1" x14ac:dyDescent="0.2">
      <c r="A29" s="22" t="s">
        <v>56</v>
      </c>
      <c r="B29" s="22"/>
      <c r="C29" s="22"/>
      <c r="D29" s="22" t="s">
        <v>57</v>
      </c>
      <c r="E29" s="22"/>
      <c r="F29" s="11">
        <v>1352.14</v>
      </c>
      <c r="G29" s="4">
        <v>1352.14</v>
      </c>
      <c r="H29" s="5">
        <v>11.313000000000001</v>
      </c>
      <c r="I29" s="5">
        <v>11.313000000000001</v>
      </c>
      <c r="J29">
        <f>IFERROR(VLOOKUP(A29,[1]TDSheet!$A:$AV,6,0),0)</f>
        <v>387.38600000000002</v>
      </c>
      <c r="K29">
        <f>IFERROR(VLOOKUP(A29,[1]TDSheet!$A:$AV,7,0),0)</f>
        <v>387.38600000000002</v>
      </c>
      <c r="L29" s="26">
        <f t="shared" si="0"/>
        <v>17.608454545454546</v>
      </c>
      <c r="M29" s="26">
        <f t="shared" si="1"/>
        <v>17.608454545454546</v>
      </c>
      <c r="N29" s="37">
        <f t="shared" si="2"/>
        <v>0.28649843951070153</v>
      </c>
    </row>
    <row r="30" spans="1:14" ht="11.1" customHeight="1" x14ac:dyDescent="0.2">
      <c r="A30" s="22" t="s">
        <v>58</v>
      </c>
      <c r="B30" s="22"/>
      <c r="C30" s="22"/>
      <c r="D30" s="22" t="s">
        <v>59</v>
      </c>
      <c r="E30" s="22"/>
      <c r="F30" s="5">
        <v>43.298000000000002</v>
      </c>
      <c r="G30" s="5">
        <v>43.298000000000002</v>
      </c>
      <c r="H30" s="10"/>
      <c r="I30" s="10"/>
      <c r="J30">
        <f>IFERROR(VLOOKUP(A30,[1]TDSheet!$A:$AV,6,0),0)</f>
        <v>21.16</v>
      </c>
      <c r="K30">
        <f>IFERROR(VLOOKUP(A30,[1]TDSheet!$A:$AV,7,0),0)</f>
        <v>21.16</v>
      </c>
      <c r="L30" s="26">
        <f t="shared" si="0"/>
        <v>0.96181818181818179</v>
      </c>
      <c r="M30" s="26">
        <f t="shared" si="1"/>
        <v>0.96181818181818179</v>
      </c>
      <c r="N30" s="37">
        <f t="shared" si="2"/>
        <v>0.48870617580488707</v>
      </c>
    </row>
    <row r="31" spans="1:14" ht="11.1" customHeight="1" x14ac:dyDescent="0.2">
      <c r="A31" s="22" t="s">
        <v>60</v>
      </c>
      <c r="B31" s="22"/>
      <c r="C31" s="22"/>
      <c r="D31" s="22" t="s">
        <v>61</v>
      </c>
      <c r="E31" s="22"/>
      <c r="F31" s="5">
        <v>248.09800000000001</v>
      </c>
      <c r="G31" s="5">
        <v>248.09800000000001</v>
      </c>
      <c r="H31" s="5">
        <v>42.195</v>
      </c>
      <c r="I31" s="5">
        <v>42.195</v>
      </c>
      <c r="J31">
        <f>IFERROR(VLOOKUP(A31,[1]TDSheet!$A:$AV,6,0),0)</f>
        <v>5.1879999999999997</v>
      </c>
      <c r="K31">
        <f>IFERROR(VLOOKUP(A31,[1]TDSheet!$A:$AV,7,0),0)</f>
        <v>5.1879999999999997</v>
      </c>
      <c r="L31" s="26">
        <f t="shared" si="0"/>
        <v>0.23581818181818182</v>
      </c>
      <c r="M31" s="26">
        <f t="shared" si="1"/>
        <v>0.23581818181818182</v>
      </c>
      <c r="N31" s="37">
        <f t="shared" si="2"/>
        <v>2.091109158477698E-2</v>
      </c>
    </row>
    <row r="32" spans="1:14" ht="11.1" customHeight="1" x14ac:dyDescent="0.2">
      <c r="A32" s="22" t="s">
        <v>62</v>
      </c>
      <c r="B32" s="22"/>
      <c r="C32" s="22"/>
      <c r="D32" s="22" t="s">
        <v>63</v>
      </c>
      <c r="E32" s="22"/>
      <c r="F32" s="5">
        <v>299.78500000000003</v>
      </c>
      <c r="G32" s="5">
        <v>299.78500000000003</v>
      </c>
      <c r="H32" s="5">
        <v>28.077999999999999</v>
      </c>
      <c r="I32" s="5">
        <v>28.077999999999999</v>
      </c>
      <c r="J32">
        <f>IFERROR(VLOOKUP(A32,[1]TDSheet!$A:$AV,6,0),0)</f>
        <v>45.902999999999999</v>
      </c>
      <c r="K32">
        <f>IFERROR(VLOOKUP(A32,[1]TDSheet!$A:$AV,7,0),0)</f>
        <v>45.902999999999999</v>
      </c>
      <c r="L32" s="26">
        <f t="shared" si="0"/>
        <v>2.0865</v>
      </c>
      <c r="M32" s="26">
        <f t="shared" si="1"/>
        <v>2.0865</v>
      </c>
      <c r="N32" s="37">
        <f t="shared" si="2"/>
        <v>0.15311973581066429</v>
      </c>
    </row>
    <row r="33" spans="1:14" ht="11.1" customHeight="1" x14ac:dyDescent="0.2">
      <c r="A33" s="22" t="s">
        <v>64</v>
      </c>
      <c r="B33" s="22"/>
      <c r="C33" s="22"/>
      <c r="D33" s="22" t="s">
        <v>65</v>
      </c>
      <c r="E33" s="22"/>
      <c r="F33" s="5">
        <v>2.7559999999999998</v>
      </c>
      <c r="G33" s="5">
        <v>2.7559999999999998</v>
      </c>
      <c r="H33" s="10"/>
      <c r="I33" s="10"/>
      <c r="J33">
        <f>IFERROR(VLOOKUP(A33,[1]TDSheet!$A:$AV,6,0),0)</f>
        <v>2.7559999999999998</v>
      </c>
      <c r="K33">
        <f>IFERROR(VLOOKUP(A33,[1]TDSheet!$A:$AV,7,0),0)</f>
        <v>2.7559999999999998</v>
      </c>
      <c r="L33" s="26">
        <f t="shared" si="0"/>
        <v>0.12527272727272726</v>
      </c>
      <c r="M33" s="26">
        <f t="shared" si="1"/>
        <v>0.12527272727272726</v>
      </c>
      <c r="N33" s="37">
        <f t="shared" si="2"/>
        <v>1</v>
      </c>
    </row>
    <row r="34" spans="1:14" ht="21.95" customHeight="1" x14ac:dyDescent="0.2">
      <c r="A34" s="22" t="s">
        <v>66</v>
      </c>
      <c r="B34" s="22"/>
      <c r="C34" s="22"/>
      <c r="D34" s="22" t="s">
        <v>67</v>
      </c>
      <c r="E34" s="22"/>
      <c r="F34" s="5">
        <v>347.71699999999998</v>
      </c>
      <c r="G34" s="5">
        <v>347.71699999999998</v>
      </c>
      <c r="H34" s="5">
        <v>19.175000000000001</v>
      </c>
      <c r="I34" s="5">
        <v>19.175000000000001</v>
      </c>
      <c r="J34">
        <f>IFERROR(VLOOKUP(A34,[1]TDSheet!$A:$AV,6,0),0)</f>
        <v>24.664999999999999</v>
      </c>
      <c r="K34">
        <f>IFERROR(VLOOKUP(A34,[1]TDSheet!$A:$AV,7,0),0)</f>
        <v>24.664999999999999</v>
      </c>
      <c r="L34" s="26">
        <f t="shared" si="0"/>
        <v>1.1211363636363636</v>
      </c>
      <c r="M34" s="26">
        <f t="shared" si="1"/>
        <v>1.1211363636363636</v>
      </c>
      <c r="N34" s="37">
        <f t="shared" si="2"/>
        <v>7.0934121713922535E-2</v>
      </c>
    </row>
    <row r="35" spans="1:14" ht="11.1" customHeight="1" x14ac:dyDescent="0.2">
      <c r="A35" s="22" t="s">
        <v>68</v>
      </c>
      <c r="B35" s="22"/>
      <c r="C35" s="22"/>
      <c r="D35" s="22" t="s">
        <v>69</v>
      </c>
      <c r="E35" s="22"/>
      <c r="F35" s="12">
        <v>1082</v>
      </c>
      <c r="G35" s="4">
        <v>2705</v>
      </c>
      <c r="H35" s="7">
        <v>43.6</v>
      </c>
      <c r="I35" s="5">
        <v>109</v>
      </c>
      <c r="J35">
        <f>IFERROR(VLOOKUP(A35,[1]TDSheet!$A:$AV,6,0),0)</f>
        <v>478.8</v>
      </c>
      <c r="K35">
        <f>IFERROR(VLOOKUP(A35,[1]TDSheet!$A:$AV,7,0),0)</f>
        <v>1197</v>
      </c>
      <c r="L35" s="26">
        <f t="shared" si="0"/>
        <v>21.763636363636365</v>
      </c>
      <c r="M35" s="26">
        <f t="shared" si="1"/>
        <v>54.409090909090907</v>
      </c>
      <c r="N35" s="37">
        <f t="shared" si="2"/>
        <v>0.44251386321626618</v>
      </c>
    </row>
    <row r="36" spans="1:14" ht="11.1" customHeight="1" x14ac:dyDescent="0.2">
      <c r="A36" s="22" t="s">
        <v>70</v>
      </c>
      <c r="B36" s="22"/>
      <c r="C36" s="22"/>
      <c r="D36" s="22" t="s">
        <v>71</v>
      </c>
      <c r="E36" s="22"/>
      <c r="F36" s="9">
        <v>580.95000000000005</v>
      </c>
      <c r="G36" s="4">
        <v>1291</v>
      </c>
      <c r="H36" s="7">
        <v>4.5</v>
      </c>
      <c r="I36" s="5">
        <v>10</v>
      </c>
      <c r="J36">
        <f>IFERROR(VLOOKUP(A36,[1]TDSheet!$A:$AV,6,0),0)</f>
        <v>340.2</v>
      </c>
      <c r="K36">
        <f>IFERROR(VLOOKUP(A36,[1]TDSheet!$A:$AV,7,0),0)</f>
        <v>756</v>
      </c>
      <c r="L36" s="26">
        <f t="shared" si="0"/>
        <v>15.463636363636363</v>
      </c>
      <c r="M36" s="26">
        <f t="shared" si="1"/>
        <v>34.363636363636367</v>
      </c>
      <c r="N36" s="37">
        <f t="shared" si="2"/>
        <v>0.58559256390395031</v>
      </c>
    </row>
    <row r="37" spans="1:14" ht="11.1" customHeight="1" x14ac:dyDescent="0.2">
      <c r="A37" s="22" t="s">
        <v>72</v>
      </c>
      <c r="B37" s="22"/>
      <c r="C37" s="22"/>
      <c r="D37" s="22" t="s">
        <v>73</v>
      </c>
      <c r="E37" s="22"/>
      <c r="F37" s="7">
        <v>315.60000000000002</v>
      </c>
      <c r="G37" s="5">
        <v>789</v>
      </c>
      <c r="H37" s="7">
        <v>27.2</v>
      </c>
      <c r="I37" s="5">
        <v>68</v>
      </c>
      <c r="J37">
        <f>IFERROR(VLOOKUP(A37,[1]TDSheet!$A:$AV,6,0),0)</f>
        <v>199.2</v>
      </c>
      <c r="K37">
        <f>IFERROR(VLOOKUP(A37,[1]TDSheet!$A:$AV,7,0),0)</f>
        <v>498</v>
      </c>
      <c r="L37" s="26">
        <f t="shared" si="0"/>
        <v>9.0545454545454547</v>
      </c>
      <c r="M37" s="26">
        <f t="shared" si="1"/>
        <v>22.636363636363637</v>
      </c>
      <c r="N37" s="37">
        <f t="shared" si="2"/>
        <v>0.63117870722433456</v>
      </c>
    </row>
    <row r="38" spans="1:14" ht="11.1" customHeight="1" x14ac:dyDescent="0.2">
      <c r="A38" s="22" t="s">
        <v>74</v>
      </c>
      <c r="B38" s="22"/>
      <c r="C38" s="22"/>
      <c r="D38" s="22" t="s">
        <v>75</v>
      </c>
      <c r="E38" s="22"/>
      <c r="F38" s="7">
        <v>34.4</v>
      </c>
      <c r="G38" s="5">
        <v>86</v>
      </c>
      <c r="H38" s="7">
        <v>4.4000000000000004</v>
      </c>
      <c r="I38" s="5">
        <v>11</v>
      </c>
      <c r="J38">
        <f>IFERROR(VLOOKUP(A38,[1]TDSheet!$A:$AV,6,0),0)</f>
        <v>8.4</v>
      </c>
      <c r="K38">
        <f>IFERROR(VLOOKUP(A38,[1]TDSheet!$A:$AV,7,0),0)</f>
        <v>21</v>
      </c>
      <c r="L38" s="26">
        <f t="shared" si="0"/>
        <v>0.38181818181818183</v>
      </c>
      <c r="M38" s="26">
        <f t="shared" si="1"/>
        <v>0.95454545454545459</v>
      </c>
      <c r="N38" s="37">
        <f t="shared" si="2"/>
        <v>0.24418604651162792</v>
      </c>
    </row>
    <row r="39" spans="1:14" ht="11.1" customHeight="1" x14ac:dyDescent="0.2">
      <c r="A39" s="22" t="s">
        <v>76</v>
      </c>
      <c r="B39" s="22"/>
      <c r="C39" s="22"/>
      <c r="D39" s="22" t="s">
        <v>77</v>
      </c>
      <c r="E39" s="22"/>
      <c r="F39" s="5">
        <v>199.22200000000001</v>
      </c>
      <c r="G39" s="5">
        <v>199.22200000000001</v>
      </c>
      <c r="H39" s="5">
        <v>6.2880000000000003</v>
      </c>
      <c r="I39" s="5">
        <v>6.2880000000000003</v>
      </c>
      <c r="J39">
        <f>IFERROR(VLOOKUP(A39,[1]TDSheet!$A:$AV,6,0),0)</f>
        <v>14.545999999999999</v>
      </c>
      <c r="K39">
        <f>IFERROR(VLOOKUP(A39,[1]TDSheet!$A:$AV,7,0),0)</f>
        <v>14.545999999999999</v>
      </c>
      <c r="L39" s="26">
        <f t="shared" si="0"/>
        <v>0.6611818181818182</v>
      </c>
      <c r="M39" s="26">
        <f t="shared" si="1"/>
        <v>0.6611818181818182</v>
      </c>
      <c r="N39" s="37">
        <f t="shared" si="2"/>
        <v>7.3014024555520973E-2</v>
      </c>
    </row>
    <row r="40" spans="1:14" ht="11.1" customHeight="1" x14ac:dyDescent="0.2">
      <c r="A40" s="22" t="s">
        <v>78</v>
      </c>
      <c r="B40" s="22"/>
      <c r="C40" s="22"/>
      <c r="D40" s="22" t="s">
        <v>79</v>
      </c>
      <c r="E40" s="22"/>
      <c r="F40" s="7">
        <v>62.1</v>
      </c>
      <c r="G40" s="5">
        <v>621</v>
      </c>
      <c r="H40" s="10"/>
      <c r="I40" s="10"/>
      <c r="J40">
        <f>IFERROR(VLOOKUP(A40,[1]TDSheet!$A:$AV,6,0),0)</f>
        <v>11</v>
      </c>
      <c r="K40">
        <f>IFERROR(VLOOKUP(A40,[1]TDSheet!$A:$AV,7,0),0)</f>
        <v>110</v>
      </c>
      <c r="L40" s="26">
        <f t="shared" si="0"/>
        <v>0.5</v>
      </c>
      <c r="M40" s="26">
        <f t="shared" si="1"/>
        <v>5</v>
      </c>
      <c r="N40" s="37">
        <f t="shared" si="2"/>
        <v>0.17713365539452497</v>
      </c>
    </row>
    <row r="41" spans="1:14" ht="21.95" customHeight="1" x14ac:dyDescent="0.2">
      <c r="A41" s="38" t="s">
        <v>80</v>
      </c>
      <c r="B41" s="38"/>
      <c r="C41" s="38"/>
      <c r="D41" s="38" t="s">
        <v>81</v>
      </c>
      <c r="E41" s="38"/>
      <c r="F41" s="43">
        <v>3.15</v>
      </c>
      <c r="G41" s="39">
        <v>9</v>
      </c>
      <c r="H41" s="43">
        <v>8.0500000000000007</v>
      </c>
      <c r="I41" s="39">
        <v>23</v>
      </c>
      <c r="J41" s="40">
        <f>IFERROR(VLOOKUP(A41,[1]TDSheet!$A:$AV,6,0),0)</f>
        <v>-1.05</v>
      </c>
      <c r="K41" s="40">
        <f>IFERROR(VLOOKUP(A41,[1]TDSheet!$A:$AV,7,0),0)</f>
        <v>-3</v>
      </c>
      <c r="L41" s="41">
        <f t="shared" si="0"/>
        <v>-4.7727272727272729E-2</v>
      </c>
      <c r="M41" s="41">
        <f t="shared" si="1"/>
        <v>-0.13636363636363635</v>
      </c>
      <c r="N41" s="42">
        <f t="shared" si="2"/>
        <v>0</v>
      </c>
    </row>
    <row r="42" spans="1:14" ht="11.1" customHeight="1" x14ac:dyDescent="0.2">
      <c r="A42" s="22" t="s">
        <v>82</v>
      </c>
      <c r="B42" s="22"/>
      <c r="C42" s="22"/>
      <c r="D42" s="22" t="s">
        <v>83</v>
      </c>
      <c r="E42" s="22"/>
      <c r="F42" s="5">
        <v>159.05500000000001</v>
      </c>
      <c r="G42" s="5">
        <v>159.05500000000001</v>
      </c>
      <c r="H42" s="5">
        <v>11.695</v>
      </c>
      <c r="I42" s="5">
        <v>11.695</v>
      </c>
      <c r="J42">
        <f>IFERROR(VLOOKUP(A42,[1]TDSheet!$A:$AV,6,0),0)</f>
        <v>29.190999999999999</v>
      </c>
      <c r="K42">
        <f>IFERROR(VLOOKUP(A42,[1]TDSheet!$A:$AV,7,0),0)</f>
        <v>29.190999999999999</v>
      </c>
      <c r="L42" s="26">
        <f t="shared" si="0"/>
        <v>1.3268636363636364</v>
      </c>
      <c r="M42" s="26">
        <f t="shared" si="1"/>
        <v>1.3268636363636364</v>
      </c>
      <c r="N42" s="37">
        <f t="shared" si="2"/>
        <v>0.18352771054037911</v>
      </c>
    </row>
    <row r="43" spans="1:14" ht="11.1" customHeight="1" x14ac:dyDescent="0.2">
      <c r="A43" s="22" t="s">
        <v>84</v>
      </c>
      <c r="B43" s="22"/>
      <c r="C43" s="22"/>
      <c r="D43" s="22" t="s">
        <v>85</v>
      </c>
      <c r="E43" s="22"/>
      <c r="F43" s="9">
        <v>2.25</v>
      </c>
      <c r="G43" s="5">
        <v>6</v>
      </c>
      <c r="H43" s="5">
        <v>0.375</v>
      </c>
      <c r="I43" s="5">
        <v>1</v>
      </c>
      <c r="J43">
        <f>IFERROR(VLOOKUP(A43,[1]TDSheet!$A:$AV,6,0),0)</f>
        <v>0.75</v>
      </c>
      <c r="K43">
        <f>IFERROR(VLOOKUP(A43,[1]TDSheet!$A:$AV,7,0),0)</f>
        <v>2</v>
      </c>
      <c r="L43" s="26">
        <f t="shared" si="0"/>
        <v>3.4090909090909088E-2</v>
      </c>
      <c r="M43" s="26">
        <f t="shared" si="1"/>
        <v>9.0909090909090912E-2</v>
      </c>
      <c r="N43" s="37">
        <f t="shared" si="2"/>
        <v>0.33333333333333331</v>
      </c>
    </row>
    <row r="44" spans="1:14" ht="11.1" customHeight="1" x14ac:dyDescent="0.2">
      <c r="A44" s="22" t="s">
        <v>86</v>
      </c>
      <c r="B44" s="22"/>
      <c r="C44" s="22"/>
      <c r="D44" s="22" t="s">
        <v>87</v>
      </c>
      <c r="E44" s="22"/>
      <c r="F44" s="7">
        <v>114.8</v>
      </c>
      <c r="G44" s="5">
        <v>287</v>
      </c>
      <c r="H44" s="7">
        <v>13.2</v>
      </c>
      <c r="I44" s="5">
        <v>33</v>
      </c>
      <c r="J44">
        <f>IFERROR(VLOOKUP(A44,[1]TDSheet!$A:$AV,6,0),0)</f>
        <v>57.2</v>
      </c>
      <c r="K44">
        <f>IFERROR(VLOOKUP(A44,[1]TDSheet!$A:$AV,7,0),0)</f>
        <v>143</v>
      </c>
      <c r="L44" s="26">
        <f t="shared" si="0"/>
        <v>2.6</v>
      </c>
      <c r="M44" s="26">
        <f t="shared" si="1"/>
        <v>6.5</v>
      </c>
      <c r="N44" s="37">
        <f t="shared" si="2"/>
        <v>0.49825783972125437</v>
      </c>
    </row>
    <row r="45" spans="1:14" ht="11.1" customHeight="1" x14ac:dyDescent="0.2">
      <c r="A45" s="22" t="s">
        <v>88</v>
      </c>
      <c r="B45" s="22"/>
      <c r="C45" s="22"/>
      <c r="D45" s="22" t="s">
        <v>89</v>
      </c>
      <c r="E45" s="22"/>
      <c r="F45" s="7">
        <v>235.2</v>
      </c>
      <c r="G45" s="5">
        <v>588</v>
      </c>
      <c r="H45" s="7">
        <v>6.8</v>
      </c>
      <c r="I45" s="5">
        <v>17</v>
      </c>
      <c r="J45">
        <f>IFERROR(VLOOKUP(A45,[1]TDSheet!$A:$AV,6,0),0)</f>
        <v>136.80000000000001</v>
      </c>
      <c r="K45">
        <f>IFERROR(VLOOKUP(A45,[1]TDSheet!$A:$AV,7,0),0)</f>
        <v>342</v>
      </c>
      <c r="L45" s="26">
        <f t="shared" si="0"/>
        <v>6.2181818181818187</v>
      </c>
      <c r="M45" s="26">
        <f t="shared" si="1"/>
        <v>15.545454545454545</v>
      </c>
      <c r="N45" s="37">
        <f t="shared" si="2"/>
        <v>0.58163265306122458</v>
      </c>
    </row>
    <row r="46" spans="1:14" ht="21.95" customHeight="1" x14ac:dyDescent="0.2">
      <c r="A46" s="22" t="s">
        <v>90</v>
      </c>
      <c r="B46" s="22"/>
      <c r="C46" s="22"/>
      <c r="D46" s="22" t="s">
        <v>91</v>
      </c>
      <c r="E46" s="22"/>
      <c r="F46" s="5">
        <v>133.23599999999999</v>
      </c>
      <c r="G46" s="5">
        <v>133.23599999999999</v>
      </c>
      <c r="H46" s="9">
        <v>14.82</v>
      </c>
      <c r="I46" s="5">
        <v>14.82</v>
      </c>
      <c r="J46">
        <f>IFERROR(VLOOKUP(A46,[1]TDSheet!$A:$AV,6,0),0)</f>
        <v>52.329000000000001</v>
      </c>
      <c r="K46">
        <f>IFERROR(VLOOKUP(A46,[1]TDSheet!$A:$AV,7,0),0)</f>
        <v>52.329000000000001</v>
      </c>
      <c r="L46" s="26">
        <f t="shared" si="0"/>
        <v>2.3785909090909092</v>
      </c>
      <c r="M46" s="26">
        <f t="shared" si="1"/>
        <v>2.3785909090909092</v>
      </c>
      <c r="N46" s="37">
        <f t="shared" si="2"/>
        <v>0.39275421057371884</v>
      </c>
    </row>
    <row r="47" spans="1:14" ht="21.95" customHeight="1" x14ac:dyDescent="0.2">
      <c r="A47" s="22" t="s">
        <v>92</v>
      </c>
      <c r="B47" s="22"/>
      <c r="C47" s="22"/>
      <c r="D47" s="22" t="s">
        <v>93</v>
      </c>
      <c r="E47" s="22"/>
      <c r="F47" s="7">
        <v>209.3</v>
      </c>
      <c r="G47" s="5">
        <v>598</v>
      </c>
      <c r="H47" s="7">
        <v>7.7</v>
      </c>
      <c r="I47" s="5">
        <v>22</v>
      </c>
      <c r="J47">
        <f>IFERROR(VLOOKUP(A47,[1]TDSheet!$A:$AV,6,0),0)</f>
        <v>56</v>
      </c>
      <c r="K47">
        <f>IFERROR(VLOOKUP(A47,[1]TDSheet!$A:$AV,7,0),0)</f>
        <v>160</v>
      </c>
      <c r="L47" s="26">
        <f t="shared" si="0"/>
        <v>2.5454545454545454</v>
      </c>
      <c r="M47" s="26">
        <f t="shared" si="1"/>
        <v>7.2727272727272725</v>
      </c>
      <c r="N47" s="37">
        <f t="shared" si="2"/>
        <v>0.26755852842809363</v>
      </c>
    </row>
    <row r="48" spans="1:14" ht="11.1" customHeight="1" x14ac:dyDescent="0.2">
      <c r="A48" s="22" t="s">
        <v>94</v>
      </c>
      <c r="B48" s="22"/>
      <c r="C48" s="22"/>
      <c r="D48" s="22" t="s">
        <v>95</v>
      </c>
      <c r="E48" s="22"/>
      <c r="F48" s="7">
        <v>508.4</v>
      </c>
      <c r="G48" s="4">
        <v>1271</v>
      </c>
      <c r="H48" s="7">
        <v>3.6</v>
      </c>
      <c r="I48" s="5">
        <v>9</v>
      </c>
      <c r="J48">
        <f>IFERROR(VLOOKUP(A48,[1]TDSheet!$A:$AV,6,0),0)</f>
        <v>194</v>
      </c>
      <c r="K48">
        <f>IFERROR(VLOOKUP(A48,[1]TDSheet!$A:$AV,7,0),0)</f>
        <v>485</v>
      </c>
      <c r="L48" s="26">
        <f t="shared" si="0"/>
        <v>8.8181818181818183</v>
      </c>
      <c r="M48" s="26">
        <f t="shared" si="1"/>
        <v>22.045454545454547</v>
      </c>
      <c r="N48" s="37">
        <f t="shared" si="2"/>
        <v>0.38158929976396538</v>
      </c>
    </row>
    <row r="49" spans="1:14" ht="11.1" customHeight="1" x14ac:dyDescent="0.2">
      <c r="A49" s="22" t="s">
        <v>96</v>
      </c>
      <c r="B49" s="22"/>
      <c r="C49" s="22"/>
      <c r="D49" s="22" t="s">
        <v>97</v>
      </c>
      <c r="E49" s="22"/>
      <c r="F49" s="5">
        <v>322.154</v>
      </c>
      <c r="G49" s="5">
        <v>322.154</v>
      </c>
      <c r="H49" s="5">
        <v>6.0730000000000004</v>
      </c>
      <c r="I49" s="5">
        <v>6.0730000000000004</v>
      </c>
      <c r="J49">
        <f>IFERROR(VLOOKUP(A49,[1]TDSheet!$A:$AV,6,0),0)</f>
        <v>153.68700000000001</v>
      </c>
      <c r="K49">
        <f>IFERROR(VLOOKUP(A49,[1]TDSheet!$A:$AV,7,0),0)</f>
        <v>153.68700000000001</v>
      </c>
      <c r="L49" s="26">
        <f t="shared" si="0"/>
        <v>6.9857727272727281</v>
      </c>
      <c r="M49" s="26">
        <f t="shared" si="1"/>
        <v>6.9857727272727281</v>
      </c>
      <c r="N49" s="37">
        <f t="shared" si="2"/>
        <v>0.47706066042948408</v>
      </c>
    </row>
    <row r="50" spans="1:14" ht="11.1" customHeight="1" x14ac:dyDescent="0.2">
      <c r="A50" s="22" t="s">
        <v>98</v>
      </c>
      <c r="B50" s="22"/>
      <c r="C50" s="22"/>
      <c r="D50" s="22" t="s">
        <v>99</v>
      </c>
      <c r="E50" s="22"/>
      <c r="F50" s="5">
        <v>278.19400000000002</v>
      </c>
      <c r="G50" s="5">
        <v>278.19400000000002</v>
      </c>
      <c r="H50" s="5">
        <v>13.066000000000001</v>
      </c>
      <c r="I50" s="5">
        <v>13.066000000000001</v>
      </c>
      <c r="J50">
        <f>IFERROR(VLOOKUP(A50,[1]TDSheet!$A:$AV,6,0),0)</f>
        <v>161.52699999999999</v>
      </c>
      <c r="K50">
        <f>IFERROR(VLOOKUP(A50,[1]TDSheet!$A:$AV,7,0),0)</f>
        <v>161.52699999999999</v>
      </c>
      <c r="L50" s="26">
        <f t="shared" si="0"/>
        <v>7.3421363636363628</v>
      </c>
      <c r="M50" s="26">
        <f t="shared" si="1"/>
        <v>7.3421363636363628</v>
      </c>
      <c r="N50" s="37">
        <f t="shared" si="2"/>
        <v>0.58062718822116932</v>
      </c>
    </row>
    <row r="51" spans="1:14" ht="11.1" customHeight="1" x14ac:dyDescent="0.2">
      <c r="A51" s="38" t="s">
        <v>100</v>
      </c>
      <c r="B51" s="38"/>
      <c r="C51" s="38"/>
      <c r="D51" s="38" t="s">
        <v>101</v>
      </c>
      <c r="E51" s="38"/>
      <c r="F51" s="39">
        <v>-13.259</v>
      </c>
      <c r="G51" s="39">
        <v>-13.259</v>
      </c>
      <c r="H51" s="39">
        <v>13.259</v>
      </c>
      <c r="I51" s="39">
        <v>13.259</v>
      </c>
      <c r="J51" s="40">
        <f>IFERROR(VLOOKUP(A51,[1]TDSheet!$A:$AV,6,0),0)</f>
        <v>0</v>
      </c>
      <c r="K51" s="40">
        <f>IFERROR(VLOOKUP(A51,[1]TDSheet!$A:$AV,7,0),0)</f>
        <v>0</v>
      </c>
      <c r="L51" s="41">
        <f t="shared" si="0"/>
        <v>0</v>
      </c>
      <c r="M51" s="41">
        <f t="shared" si="1"/>
        <v>0</v>
      </c>
      <c r="N51" s="42">
        <f t="shared" si="2"/>
        <v>0</v>
      </c>
    </row>
    <row r="52" spans="1:14" ht="11.1" customHeight="1" x14ac:dyDescent="0.2">
      <c r="A52" s="22" t="s">
        <v>102</v>
      </c>
      <c r="B52" s="22"/>
      <c r="C52" s="22"/>
      <c r="D52" s="22" t="s">
        <v>103</v>
      </c>
      <c r="E52" s="22"/>
      <c r="F52" s="9">
        <v>282.14999999999998</v>
      </c>
      <c r="G52" s="5">
        <v>627</v>
      </c>
      <c r="H52" s="7">
        <v>12.6</v>
      </c>
      <c r="I52" s="5">
        <v>28</v>
      </c>
      <c r="J52">
        <f>IFERROR(VLOOKUP(A52,[1]TDSheet!$A:$AV,6,0),0)</f>
        <v>149.4</v>
      </c>
      <c r="K52">
        <f>IFERROR(VLOOKUP(A52,[1]TDSheet!$A:$AV,7,0),0)</f>
        <v>332</v>
      </c>
      <c r="L52" s="26">
        <f t="shared" si="0"/>
        <v>6.790909090909091</v>
      </c>
      <c r="M52" s="26">
        <f t="shared" si="1"/>
        <v>15.090909090909092</v>
      </c>
      <c r="N52" s="37">
        <f t="shared" si="2"/>
        <v>0.52950558213716115</v>
      </c>
    </row>
    <row r="53" spans="1:14" ht="11.1" customHeight="1" x14ac:dyDescent="0.2">
      <c r="A53" s="22" t="s">
        <v>104</v>
      </c>
      <c r="B53" s="22"/>
      <c r="C53" s="22"/>
      <c r="D53" s="22" t="s">
        <v>105</v>
      </c>
      <c r="E53" s="22"/>
      <c r="F53" s="7">
        <v>348.3</v>
      </c>
      <c r="G53" s="5">
        <v>774</v>
      </c>
      <c r="H53" s="7">
        <v>10.8</v>
      </c>
      <c r="I53" s="5">
        <v>24</v>
      </c>
      <c r="J53">
        <f>IFERROR(VLOOKUP(A53,[1]TDSheet!$A:$AV,6,0),0)</f>
        <v>206.1</v>
      </c>
      <c r="K53">
        <f>IFERROR(VLOOKUP(A53,[1]TDSheet!$A:$AV,7,0),0)</f>
        <v>458</v>
      </c>
      <c r="L53" s="26">
        <f t="shared" si="0"/>
        <v>9.3681818181818173</v>
      </c>
      <c r="M53" s="26">
        <f t="shared" si="1"/>
        <v>20.818181818181817</v>
      </c>
      <c r="N53" s="37">
        <f t="shared" si="2"/>
        <v>0.59173126614987082</v>
      </c>
    </row>
    <row r="54" spans="1:14" ht="11.1" customHeight="1" x14ac:dyDescent="0.2">
      <c r="A54" s="22" t="s">
        <v>106</v>
      </c>
      <c r="B54" s="22"/>
      <c r="C54" s="22"/>
      <c r="D54" s="22" t="s">
        <v>107</v>
      </c>
      <c r="E54" s="22"/>
      <c r="F54" s="7">
        <v>45.6</v>
      </c>
      <c r="G54" s="5">
        <v>114</v>
      </c>
      <c r="H54" s="7">
        <v>2.8</v>
      </c>
      <c r="I54" s="5">
        <v>7</v>
      </c>
      <c r="J54">
        <f>IFERROR(VLOOKUP(A54,[1]TDSheet!$A:$AV,6,0),0)</f>
        <v>6.4</v>
      </c>
      <c r="K54">
        <f>IFERROR(VLOOKUP(A54,[1]TDSheet!$A:$AV,7,0),0)</f>
        <v>16</v>
      </c>
      <c r="L54" s="26">
        <f t="shared" si="0"/>
        <v>0.29090909090909095</v>
      </c>
      <c r="M54" s="26">
        <f t="shared" si="1"/>
        <v>0.72727272727272729</v>
      </c>
      <c r="N54" s="37">
        <f t="shared" si="2"/>
        <v>0.14035087719298245</v>
      </c>
    </row>
    <row r="55" spans="1:14" ht="11.1" customHeight="1" x14ac:dyDescent="0.2">
      <c r="A55" s="38" t="s">
        <v>108</v>
      </c>
      <c r="B55" s="38"/>
      <c r="C55" s="38"/>
      <c r="D55" s="38" t="s">
        <v>109</v>
      </c>
      <c r="E55" s="38"/>
      <c r="F55" s="44">
        <v>56.8</v>
      </c>
      <c r="G55" s="39">
        <v>142</v>
      </c>
      <c r="H55" s="44">
        <v>5.2</v>
      </c>
      <c r="I55" s="39">
        <v>13</v>
      </c>
      <c r="J55" s="40">
        <f>IFERROR(VLOOKUP(A55,[1]TDSheet!$A:$AV,6,0),0)</f>
        <v>-1.2</v>
      </c>
      <c r="K55" s="40">
        <f>IFERROR(VLOOKUP(A55,[1]TDSheet!$A:$AV,7,0),0)</f>
        <v>-3</v>
      </c>
      <c r="L55" s="41">
        <f t="shared" si="0"/>
        <v>-5.4545454545454543E-2</v>
      </c>
      <c r="M55" s="41">
        <f t="shared" si="1"/>
        <v>-0.13636363636363635</v>
      </c>
      <c r="N55" s="42">
        <f t="shared" si="2"/>
        <v>0</v>
      </c>
    </row>
    <row r="56" spans="1:14" ht="11.1" customHeight="1" x14ac:dyDescent="0.2">
      <c r="A56" s="22" t="s">
        <v>110</v>
      </c>
      <c r="B56" s="22"/>
      <c r="C56" s="22"/>
      <c r="D56" s="22" t="s">
        <v>111</v>
      </c>
      <c r="E56" s="22"/>
      <c r="F56" s="5">
        <v>259.75400000000002</v>
      </c>
      <c r="G56" s="5">
        <v>259.75400000000002</v>
      </c>
      <c r="H56" s="5">
        <v>4.766</v>
      </c>
      <c r="I56" s="5">
        <v>4.766</v>
      </c>
      <c r="J56">
        <f>IFERROR(VLOOKUP(A56,[1]TDSheet!$A:$AV,6,0),0)</f>
        <v>159.68899999999999</v>
      </c>
      <c r="K56">
        <f>IFERROR(VLOOKUP(A56,[1]TDSheet!$A:$AV,7,0),0)</f>
        <v>159.68899999999999</v>
      </c>
      <c r="L56" s="26">
        <f t="shared" si="0"/>
        <v>7.2585909090909091</v>
      </c>
      <c r="M56" s="26">
        <f t="shared" si="1"/>
        <v>7.2585909090909091</v>
      </c>
      <c r="N56" s="37">
        <f t="shared" si="2"/>
        <v>0.61477012866019376</v>
      </c>
    </row>
    <row r="57" spans="1:14" ht="11.1" customHeight="1" x14ac:dyDescent="0.2">
      <c r="A57" s="22" t="s">
        <v>112</v>
      </c>
      <c r="B57" s="22"/>
      <c r="C57" s="22"/>
      <c r="D57" s="22" t="s">
        <v>113</v>
      </c>
      <c r="E57" s="22"/>
      <c r="F57" s="7">
        <v>47.5</v>
      </c>
      <c r="G57" s="5">
        <v>475</v>
      </c>
      <c r="H57" s="10"/>
      <c r="I57" s="10"/>
      <c r="J57">
        <f>IFERROR(VLOOKUP(A57,[1]TDSheet!$A:$AV,6,0),0)</f>
        <v>9.1</v>
      </c>
      <c r="K57">
        <f>IFERROR(VLOOKUP(A57,[1]TDSheet!$A:$AV,7,0),0)</f>
        <v>91</v>
      </c>
      <c r="L57" s="26">
        <f t="shared" si="0"/>
        <v>0.41363636363636364</v>
      </c>
      <c r="M57" s="26">
        <f t="shared" si="1"/>
        <v>4.1363636363636367</v>
      </c>
      <c r="N57" s="37">
        <f t="shared" si="2"/>
        <v>0.19157894736842104</v>
      </c>
    </row>
    <row r="58" spans="1:14" ht="11.1" customHeight="1" x14ac:dyDescent="0.2">
      <c r="A58" s="22" t="s">
        <v>114</v>
      </c>
      <c r="B58" s="22"/>
      <c r="C58" s="22"/>
      <c r="D58" s="22" t="s">
        <v>115</v>
      </c>
      <c r="E58" s="22"/>
      <c r="F58" s="5">
        <v>474.00400000000002</v>
      </c>
      <c r="G58" s="5">
        <v>474.00400000000002</v>
      </c>
      <c r="H58" s="5">
        <v>4.2729999999999997</v>
      </c>
      <c r="I58" s="5">
        <v>4.2729999999999997</v>
      </c>
      <c r="J58">
        <f>IFERROR(VLOOKUP(A58,[1]TDSheet!$A:$AV,6,0),0)</f>
        <v>276.12200000000001</v>
      </c>
      <c r="K58">
        <f>IFERROR(VLOOKUP(A58,[1]TDSheet!$A:$AV,7,0),0)</f>
        <v>276.12200000000001</v>
      </c>
      <c r="L58" s="26">
        <f t="shared" si="0"/>
        <v>12.551</v>
      </c>
      <c r="M58" s="26">
        <f t="shared" si="1"/>
        <v>12.551</v>
      </c>
      <c r="N58" s="37">
        <f t="shared" si="2"/>
        <v>0.58253094910591474</v>
      </c>
    </row>
    <row r="59" spans="1:14" ht="11.1" customHeight="1" x14ac:dyDescent="0.2">
      <c r="A59" s="22" t="s">
        <v>116</v>
      </c>
      <c r="B59" s="22"/>
      <c r="C59" s="22"/>
      <c r="D59" s="22" t="s">
        <v>117</v>
      </c>
      <c r="E59" s="22"/>
      <c r="F59" s="5">
        <v>151.87799999999999</v>
      </c>
      <c r="G59" s="5">
        <v>151.87799999999999</v>
      </c>
      <c r="H59" s="5">
        <v>3.306</v>
      </c>
      <c r="I59" s="5">
        <v>3.306</v>
      </c>
      <c r="J59">
        <f>IFERROR(VLOOKUP(A59,[1]TDSheet!$A:$AV,6,0),0)</f>
        <v>39.6</v>
      </c>
      <c r="K59">
        <f>IFERROR(VLOOKUP(A59,[1]TDSheet!$A:$AV,7,0),0)</f>
        <v>39.6</v>
      </c>
      <c r="L59" s="26">
        <f t="shared" si="0"/>
        <v>1.8</v>
      </c>
      <c r="M59" s="26">
        <f t="shared" si="1"/>
        <v>1.8</v>
      </c>
      <c r="N59" s="37">
        <f t="shared" si="2"/>
        <v>0.26073559040809074</v>
      </c>
    </row>
    <row r="60" spans="1:14" ht="11.1" customHeight="1" x14ac:dyDescent="0.2">
      <c r="A60" s="22" t="s">
        <v>118</v>
      </c>
      <c r="B60" s="22"/>
      <c r="C60" s="22"/>
      <c r="D60" s="22" t="s">
        <v>119</v>
      </c>
      <c r="E60" s="22"/>
      <c r="F60" s="7">
        <v>50.9</v>
      </c>
      <c r="G60" s="5">
        <v>509</v>
      </c>
      <c r="H60" s="10"/>
      <c r="I60" s="10"/>
      <c r="J60">
        <f>IFERROR(VLOOKUP(A60,[1]TDSheet!$A:$AV,6,0),0)</f>
        <v>6.5</v>
      </c>
      <c r="K60">
        <f>IFERROR(VLOOKUP(A60,[1]TDSheet!$A:$AV,7,0),0)</f>
        <v>65</v>
      </c>
      <c r="L60" s="26">
        <f t="shared" si="0"/>
        <v>0.29545454545454547</v>
      </c>
      <c r="M60" s="26">
        <f t="shared" si="1"/>
        <v>2.9545454545454546</v>
      </c>
      <c r="N60" s="37">
        <f t="shared" si="2"/>
        <v>0.12770137524557956</v>
      </c>
    </row>
    <row r="61" spans="1:14" ht="11.1" customHeight="1" x14ac:dyDescent="0.2">
      <c r="A61" s="22" t="s">
        <v>120</v>
      </c>
      <c r="B61" s="22"/>
      <c r="C61" s="22"/>
      <c r="D61" s="22" t="s">
        <v>121</v>
      </c>
      <c r="E61" s="22"/>
      <c r="F61" s="7">
        <v>21.6</v>
      </c>
      <c r="G61" s="5">
        <v>54</v>
      </c>
      <c r="H61" s="10"/>
      <c r="I61" s="10"/>
      <c r="J61">
        <f>IFERROR(VLOOKUP(A61,[1]TDSheet!$A:$AV,6,0),0)</f>
        <v>2.4</v>
      </c>
      <c r="K61">
        <f>IFERROR(VLOOKUP(A61,[1]TDSheet!$A:$AV,7,0),0)</f>
        <v>6</v>
      </c>
      <c r="L61" s="26">
        <f t="shared" si="0"/>
        <v>0.10909090909090909</v>
      </c>
      <c r="M61" s="26">
        <f t="shared" si="1"/>
        <v>0.27272727272727271</v>
      </c>
      <c r="N61" s="37">
        <f t="shared" si="2"/>
        <v>0.1111111111111111</v>
      </c>
    </row>
    <row r="62" spans="1:14" ht="11.1" customHeight="1" x14ac:dyDescent="0.2">
      <c r="A62" s="22" t="s">
        <v>122</v>
      </c>
      <c r="B62" s="22"/>
      <c r="C62" s="22"/>
      <c r="D62" s="22" t="s">
        <v>123</v>
      </c>
      <c r="E62" s="22"/>
      <c r="F62" s="5">
        <v>458.04399999999998</v>
      </c>
      <c r="G62" s="5">
        <v>458.04399999999998</v>
      </c>
      <c r="H62" s="5">
        <v>9.5920000000000005</v>
      </c>
      <c r="I62" s="5">
        <v>9.5920000000000005</v>
      </c>
      <c r="J62">
        <f>IFERROR(VLOOKUP(A62,[1]TDSheet!$A:$AV,6,0),0)</f>
        <v>85.436999999999998</v>
      </c>
      <c r="K62">
        <f>IFERROR(VLOOKUP(A62,[1]TDSheet!$A:$AV,7,0),0)</f>
        <v>85.436999999999998</v>
      </c>
      <c r="L62" s="26">
        <f t="shared" si="0"/>
        <v>3.8834999999999997</v>
      </c>
      <c r="M62" s="26">
        <f t="shared" si="1"/>
        <v>3.8834999999999997</v>
      </c>
      <c r="N62" s="37">
        <f t="shared" si="2"/>
        <v>0.1865257486180367</v>
      </c>
    </row>
    <row r="63" spans="1:14" ht="11.1" customHeight="1" x14ac:dyDescent="0.2">
      <c r="A63" s="22" t="s">
        <v>124</v>
      </c>
      <c r="B63" s="22"/>
      <c r="C63" s="22"/>
      <c r="D63" s="22" t="s">
        <v>125</v>
      </c>
      <c r="E63" s="22"/>
      <c r="F63" s="5">
        <v>499.17399999999998</v>
      </c>
      <c r="G63" s="5">
        <v>499.17399999999998</v>
      </c>
      <c r="H63" s="5">
        <v>3.5030000000000001</v>
      </c>
      <c r="I63" s="5">
        <v>3.5030000000000001</v>
      </c>
      <c r="J63">
        <f>IFERROR(VLOOKUP(A63,[1]TDSheet!$A:$AV,6,0),0)</f>
        <v>36.030999999999999</v>
      </c>
      <c r="K63">
        <f>IFERROR(VLOOKUP(A63,[1]TDSheet!$A:$AV,7,0),0)</f>
        <v>36.030999999999999</v>
      </c>
      <c r="L63" s="26">
        <f t="shared" si="0"/>
        <v>1.6377727272727272</v>
      </c>
      <c r="M63" s="26">
        <f t="shared" si="1"/>
        <v>1.6377727272727272</v>
      </c>
      <c r="N63" s="37">
        <f t="shared" si="2"/>
        <v>7.2181243414120133E-2</v>
      </c>
    </row>
    <row r="64" spans="1:14" ht="11.1" customHeight="1" x14ac:dyDescent="0.2">
      <c r="A64" s="22" t="s">
        <v>126</v>
      </c>
      <c r="B64" s="22"/>
      <c r="C64" s="22"/>
      <c r="D64" s="22" t="s">
        <v>127</v>
      </c>
      <c r="E64" s="22"/>
      <c r="F64" s="7">
        <v>549.6</v>
      </c>
      <c r="G64" s="4">
        <v>1374</v>
      </c>
      <c r="H64" s="7">
        <v>32.4</v>
      </c>
      <c r="I64" s="5">
        <v>81</v>
      </c>
      <c r="J64">
        <f>IFERROR(VLOOKUP(A64,[1]TDSheet!$A:$AV,6,0),0)</f>
        <v>196.4</v>
      </c>
      <c r="K64">
        <f>IFERROR(VLOOKUP(A64,[1]TDSheet!$A:$AV,7,0),0)</f>
        <v>491</v>
      </c>
      <c r="L64" s="26">
        <f t="shared" si="0"/>
        <v>8.9272727272727277</v>
      </c>
      <c r="M64" s="26">
        <f t="shared" si="1"/>
        <v>22.318181818181817</v>
      </c>
      <c r="N64" s="37">
        <f t="shared" si="2"/>
        <v>0.35735080058224161</v>
      </c>
    </row>
    <row r="65" spans="1:14" ht="11.1" customHeight="1" x14ac:dyDescent="0.2">
      <c r="A65" s="22" t="s">
        <v>128</v>
      </c>
      <c r="B65" s="22"/>
      <c r="C65" s="22"/>
      <c r="D65" s="22" t="s">
        <v>129</v>
      </c>
      <c r="E65" s="22"/>
      <c r="F65" s="7">
        <v>397.2</v>
      </c>
      <c r="G65" s="5">
        <v>993</v>
      </c>
      <c r="H65" s="13">
        <v>14</v>
      </c>
      <c r="I65" s="5">
        <v>35</v>
      </c>
      <c r="J65">
        <f>IFERROR(VLOOKUP(A65,[1]TDSheet!$A:$AV,6,0),0)</f>
        <v>118.4</v>
      </c>
      <c r="K65">
        <f>IFERROR(VLOOKUP(A65,[1]TDSheet!$A:$AV,7,0),0)</f>
        <v>296</v>
      </c>
      <c r="L65" s="26">
        <f t="shared" si="0"/>
        <v>5.3818181818181818</v>
      </c>
      <c r="M65" s="26">
        <f t="shared" si="1"/>
        <v>13.454545454545455</v>
      </c>
      <c r="N65" s="37">
        <f t="shared" si="2"/>
        <v>0.29808660624370598</v>
      </c>
    </row>
    <row r="66" spans="1:14" ht="21.95" customHeight="1" x14ac:dyDescent="0.2">
      <c r="A66" s="22" t="s">
        <v>130</v>
      </c>
      <c r="B66" s="22"/>
      <c r="C66" s="22"/>
      <c r="D66" s="22" t="s">
        <v>131</v>
      </c>
      <c r="E66" s="22"/>
      <c r="F66" s="5">
        <v>351.96899999999999</v>
      </c>
      <c r="G66" s="5">
        <v>351.96899999999999</v>
      </c>
      <c r="H66" s="5">
        <v>19.010999999999999</v>
      </c>
      <c r="I66" s="5">
        <v>19.010999999999999</v>
      </c>
      <c r="J66">
        <f>IFERROR(VLOOKUP(A66,[1]TDSheet!$A:$AV,6,0),0)</f>
        <v>75.662999999999997</v>
      </c>
      <c r="K66">
        <f>IFERROR(VLOOKUP(A66,[1]TDSheet!$A:$AV,7,0),0)</f>
        <v>75.662999999999997</v>
      </c>
      <c r="L66" s="26">
        <f t="shared" si="0"/>
        <v>3.4392272727272726</v>
      </c>
      <c r="M66" s="26">
        <f t="shared" si="1"/>
        <v>3.4392272727272726</v>
      </c>
      <c r="N66" s="37">
        <f t="shared" si="2"/>
        <v>0.21497063661856583</v>
      </c>
    </row>
    <row r="67" spans="1:14" ht="11.1" customHeight="1" x14ac:dyDescent="0.2">
      <c r="A67" s="22" t="s">
        <v>132</v>
      </c>
      <c r="B67" s="22"/>
      <c r="C67" s="22"/>
      <c r="D67" s="22" t="s">
        <v>133</v>
      </c>
      <c r="E67" s="22"/>
      <c r="F67" s="5">
        <v>193.392</v>
      </c>
      <c r="G67" s="5">
        <v>193.392</v>
      </c>
      <c r="H67" s="5">
        <v>28.032</v>
      </c>
      <c r="I67" s="5">
        <v>28.032</v>
      </c>
      <c r="J67">
        <f>IFERROR(VLOOKUP(A67,[1]TDSheet!$A:$AV,6,0),0)</f>
        <v>44.350999999999999</v>
      </c>
      <c r="K67">
        <f>IFERROR(VLOOKUP(A67,[1]TDSheet!$A:$AV,7,0),0)</f>
        <v>44.350999999999999</v>
      </c>
      <c r="L67" s="26">
        <f t="shared" si="0"/>
        <v>2.0159545454545453</v>
      </c>
      <c r="M67" s="26">
        <f t="shared" si="1"/>
        <v>2.0159545454545453</v>
      </c>
      <c r="N67" s="37">
        <f t="shared" si="2"/>
        <v>0.2293321336973608</v>
      </c>
    </row>
    <row r="68" spans="1:14" ht="11.1" customHeight="1" x14ac:dyDescent="0.2">
      <c r="A68" s="22" t="s">
        <v>134</v>
      </c>
      <c r="B68" s="22"/>
      <c r="C68" s="22"/>
      <c r="D68" s="22" t="s">
        <v>135</v>
      </c>
      <c r="E68" s="22"/>
      <c r="F68" s="4">
        <v>1115.835</v>
      </c>
      <c r="G68" s="4">
        <v>1115.835</v>
      </c>
      <c r="H68" s="5">
        <v>30.091000000000001</v>
      </c>
      <c r="I68" s="5">
        <v>30.091000000000001</v>
      </c>
      <c r="J68">
        <f>IFERROR(VLOOKUP(A68,[1]TDSheet!$A:$AV,6,0),0)</f>
        <v>288.142</v>
      </c>
      <c r="K68">
        <f>IFERROR(VLOOKUP(A68,[1]TDSheet!$A:$AV,7,0),0)</f>
        <v>288.142</v>
      </c>
      <c r="L68" s="26">
        <f t="shared" si="0"/>
        <v>13.097363636363637</v>
      </c>
      <c r="M68" s="26">
        <f t="shared" si="1"/>
        <v>13.097363636363637</v>
      </c>
      <c r="N68" s="37">
        <f t="shared" si="2"/>
        <v>0.25822993542952138</v>
      </c>
    </row>
    <row r="69" spans="1:14" ht="11.1" customHeight="1" x14ac:dyDescent="0.2">
      <c r="A69" s="22" t="s">
        <v>136</v>
      </c>
      <c r="B69" s="22"/>
      <c r="C69" s="22"/>
      <c r="D69" s="22" t="s">
        <v>137</v>
      </c>
      <c r="E69" s="22"/>
      <c r="F69" s="5">
        <v>477.012</v>
      </c>
      <c r="G69" s="5">
        <v>477.012</v>
      </c>
      <c r="H69" s="5">
        <v>40.249000000000002</v>
      </c>
      <c r="I69" s="5">
        <v>40.249000000000002</v>
      </c>
      <c r="J69">
        <f>IFERROR(VLOOKUP(A69,[1]TDSheet!$A:$AV,6,0),0)</f>
        <v>146.50200000000001</v>
      </c>
      <c r="K69">
        <f>IFERROR(VLOOKUP(A69,[1]TDSheet!$A:$AV,7,0),0)</f>
        <v>146.50200000000001</v>
      </c>
      <c r="L69" s="26">
        <f t="shared" si="0"/>
        <v>6.6591818181818185</v>
      </c>
      <c r="M69" s="26">
        <f t="shared" si="1"/>
        <v>6.6591818181818185</v>
      </c>
      <c r="N69" s="37">
        <f t="shared" si="2"/>
        <v>0.30712434907297931</v>
      </c>
    </row>
    <row r="70" spans="1:14" ht="11.1" customHeight="1" x14ac:dyDescent="0.2">
      <c r="A70" s="22" t="s">
        <v>138</v>
      </c>
      <c r="B70" s="22"/>
      <c r="C70" s="22"/>
      <c r="D70" s="22" t="s">
        <v>139</v>
      </c>
      <c r="E70" s="22"/>
      <c r="F70" s="5">
        <v>421.15699999999998</v>
      </c>
      <c r="G70" s="5">
        <v>421.15699999999998</v>
      </c>
      <c r="H70" s="5">
        <v>71.793999999999997</v>
      </c>
      <c r="I70" s="5">
        <v>71.793999999999997</v>
      </c>
      <c r="J70">
        <f>IFERROR(VLOOKUP(A70,[1]TDSheet!$A:$AV,6,0),0)</f>
        <v>43.098999999999997</v>
      </c>
      <c r="K70">
        <f>IFERROR(VLOOKUP(A70,[1]TDSheet!$A:$AV,7,0),0)</f>
        <v>43.098999999999997</v>
      </c>
      <c r="L70" s="26">
        <f t="shared" si="0"/>
        <v>1.9590454545454543</v>
      </c>
      <c r="M70" s="26">
        <f t="shared" si="1"/>
        <v>1.9590454545454543</v>
      </c>
      <c r="N70" s="37">
        <f t="shared" si="2"/>
        <v>0.10233475877166946</v>
      </c>
    </row>
    <row r="71" spans="1:14" ht="11.1" customHeight="1" x14ac:dyDescent="0.2">
      <c r="A71" s="22" t="s">
        <v>140</v>
      </c>
      <c r="B71" s="22"/>
      <c r="C71" s="22"/>
      <c r="D71" s="22" t="s">
        <v>141</v>
      </c>
      <c r="E71" s="22"/>
      <c r="F71" s="7">
        <v>197.4</v>
      </c>
      <c r="G71" s="5">
        <v>329</v>
      </c>
      <c r="H71" s="7">
        <v>4.8</v>
      </c>
      <c r="I71" s="5">
        <v>8</v>
      </c>
      <c r="J71">
        <f>IFERROR(VLOOKUP(A71,[1]TDSheet!$A:$AV,6,0),0)</f>
        <v>129.6</v>
      </c>
      <c r="K71">
        <f>IFERROR(VLOOKUP(A71,[1]TDSheet!$A:$AV,7,0),0)</f>
        <v>216</v>
      </c>
      <c r="L71" s="26">
        <f t="shared" si="0"/>
        <v>5.8909090909090907</v>
      </c>
      <c r="M71" s="26">
        <f t="shared" si="1"/>
        <v>9.8181818181818183</v>
      </c>
      <c r="N71" s="37">
        <f t="shared" si="2"/>
        <v>0.65653495440729481</v>
      </c>
    </row>
    <row r="72" spans="1:14" ht="11.1" customHeight="1" x14ac:dyDescent="0.2">
      <c r="A72" s="22" t="s">
        <v>142</v>
      </c>
      <c r="B72" s="22"/>
      <c r="C72" s="22"/>
      <c r="D72" s="22" t="s">
        <v>143</v>
      </c>
      <c r="E72" s="22"/>
      <c r="F72" s="7">
        <v>350.4</v>
      </c>
      <c r="G72" s="5">
        <v>584</v>
      </c>
      <c r="H72" s="7">
        <v>17.399999999999999</v>
      </c>
      <c r="I72" s="5">
        <v>29</v>
      </c>
      <c r="J72">
        <f>IFERROR(VLOOKUP(A72,[1]TDSheet!$A:$AV,6,0),0)</f>
        <v>254.4</v>
      </c>
      <c r="K72">
        <f>IFERROR(VLOOKUP(A72,[1]TDSheet!$A:$AV,7,0),0)</f>
        <v>424</v>
      </c>
      <c r="L72" s="26">
        <f t="shared" ref="L72:L135" si="3">J72/$L$2</f>
        <v>11.563636363636364</v>
      </c>
      <c r="M72" s="26">
        <f t="shared" ref="M72:M135" si="4">K72/$L$2</f>
        <v>19.272727272727273</v>
      </c>
      <c r="N72" s="37">
        <f t="shared" ref="N72:N135" si="5">IF(J72/F72&lt;0,0,J72/F72)</f>
        <v>0.72602739726027399</v>
      </c>
    </row>
    <row r="73" spans="1:14" ht="11.1" customHeight="1" x14ac:dyDescent="0.2">
      <c r="A73" s="38" t="s">
        <v>144</v>
      </c>
      <c r="B73" s="38"/>
      <c r="C73" s="38"/>
      <c r="D73" s="38" t="s">
        <v>145</v>
      </c>
      <c r="E73" s="38"/>
      <c r="F73" s="44">
        <v>1.8</v>
      </c>
      <c r="G73" s="39">
        <v>3</v>
      </c>
      <c r="H73" s="45"/>
      <c r="I73" s="45"/>
      <c r="J73" s="40">
        <f>IFERROR(VLOOKUP(A73,[1]TDSheet!$A:$AV,6,0),0)</f>
        <v>0</v>
      </c>
      <c r="K73" s="40">
        <f>IFERROR(VLOOKUP(A73,[1]TDSheet!$A:$AV,7,0),0)</f>
        <v>0</v>
      </c>
      <c r="L73" s="41">
        <f t="shared" si="3"/>
        <v>0</v>
      </c>
      <c r="M73" s="41">
        <f t="shared" si="4"/>
        <v>0</v>
      </c>
      <c r="N73" s="42">
        <f t="shared" si="5"/>
        <v>0</v>
      </c>
    </row>
    <row r="74" spans="1:14" ht="11.1" customHeight="1" x14ac:dyDescent="0.2">
      <c r="A74" s="22" t="s">
        <v>146</v>
      </c>
      <c r="B74" s="22"/>
      <c r="C74" s="22"/>
      <c r="D74" s="22" t="s">
        <v>147</v>
      </c>
      <c r="E74" s="22"/>
      <c r="F74" s="13">
        <v>198</v>
      </c>
      <c r="G74" s="5">
        <v>495</v>
      </c>
      <c r="H74" s="7">
        <v>1.6</v>
      </c>
      <c r="I74" s="5">
        <v>4</v>
      </c>
      <c r="J74">
        <f>IFERROR(VLOOKUP(A74,[1]TDSheet!$A:$AV,6,0),0)</f>
        <v>57.6</v>
      </c>
      <c r="K74">
        <f>IFERROR(VLOOKUP(A74,[1]TDSheet!$A:$AV,7,0),0)</f>
        <v>144</v>
      </c>
      <c r="L74" s="26">
        <f t="shared" si="3"/>
        <v>2.6181818181818182</v>
      </c>
      <c r="M74" s="26">
        <f t="shared" si="4"/>
        <v>6.5454545454545459</v>
      </c>
      <c r="N74" s="37">
        <f t="shared" si="5"/>
        <v>0.29090909090909089</v>
      </c>
    </row>
    <row r="75" spans="1:14" ht="11.1" customHeight="1" x14ac:dyDescent="0.2">
      <c r="A75" s="22" t="s">
        <v>148</v>
      </c>
      <c r="B75" s="22"/>
      <c r="C75" s="22"/>
      <c r="D75" s="22" t="s">
        <v>149</v>
      </c>
      <c r="E75" s="22"/>
      <c r="F75" s="9">
        <v>242.55</v>
      </c>
      <c r="G75" s="5">
        <v>735</v>
      </c>
      <c r="H75" s="9">
        <v>0.66</v>
      </c>
      <c r="I75" s="5">
        <v>2</v>
      </c>
      <c r="J75">
        <f>IFERROR(VLOOKUP(A75,[1]TDSheet!$A:$AV,6,0),0)</f>
        <v>81.84</v>
      </c>
      <c r="K75">
        <f>IFERROR(VLOOKUP(A75,[1]TDSheet!$A:$AV,7,0),0)</f>
        <v>248</v>
      </c>
      <c r="L75" s="26">
        <f t="shared" si="3"/>
        <v>3.72</v>
      </c>
      <c r="M75" s="26">
        <f t="shared" si="4"/>
        <v>11.272727272727273</v>
      </c>
      <c r="N75" s="37">
        <f t="shared" si="5"/>
        <v>0.33741496598639453</v>
      </c>
    </row>
    <row r="76" spans="1:14" ht="21.95" customHeight="1" x14ac:dyDescent="0.2">
      <c r="A76" s="22" t="s">
        <v>150</v>
      </c>
      <c r="B76" s="22"/>
      <c r="C76" s="22"/>
      <c r="D76" s="22" t="s">
        <v>151</v>
      </c>
      <c r="E76" s="22"/>
      <c r="F76" s="9">
        <v>219.45</v>
      </c>
      <c r="G76" s="5">
        <v>627</v>
      </c>
      <c r="H76" s="7">
        <v>2.1</v>
      </c>
      <c r="I76" s="5">
        <v>6</v>
      </c>
      <c r="J76">
        <f>IFERROR(VLOOKUP(A76,[1]TDSheet!$A:$AV,6,0),0)</f>
        <v>87.85</v>
      </c>
      <c r="K76">
        <f>IFERROR(VLOOKUP(A76,[1]TDSheet!$A:$AV,7,0),0)</f>
        <v>251</v>
      </c>
      <c r="L76" s="26">
        <f t="shared" si="3"/>
        <v>3.9931818181818177</v>
      </c>
      <c r="M76" s="26">
        <f t="shared" si="4"/>
        <v>11.409090909090908</v>
      </c>
      <c r="N76" s="37">
        <f t="shared" si="5"/>
        <v>0.40031897926634769</v>
      </c>
    </row>
    <row r="77" spans="1:14" ht="11.1" customHeight="1" x14ac:dyDescent="0.2">
      <c r="A77" s="22" t="s">
        <v>152</v>
      </c>
      <c r="B77" s="22"/>
      <c r="C77" s="22"/>
      <c r="D77" s="22" t="s">
        <v>153</v>
      </c>
      <c r="E77" s="22"/>
      <c r="F77" s="9">
        <v>6.66</v>
      </c>
      <c r="G77" s="5">
        <v>18</v>
      </c>
      <c r="H77" s="10"/>
      <c r="I77" s="10"/>
      <c r="J77">
        <f>IFERROR(VLOOKUP(A77,[1]TDSheet!$A:$AV,6,0),0)</f>
        <v>2.96</v>
      </c>
      <c r="K77">
        <f>IFERROR(VLOOKUP(A77,[1]TDSheet!$A:$AV,7,0),0)</f>
        <v>8</v>
      </c>
      <c r="L77" s="26">
        <f t="shared" si="3"/>
        <v>0.13454545454545455</v>
      </c>
      <c r="M77" s="26">
        <f t="shared" si="4"/>
        <v>0.36363636363636365</v>
      </c>
      <c r="N77" s="37">
        <f t="shared" si="5"/>
        <v>0.44444444444444442</v>
      </c>
    </row>
    <row r="78" spans="1:14" ht="21.95" customHeight="1" x14ac:dyDescent="0.2">
      <c r="A78" s="22" t="s">
        <v>154</v>
      </c>
      <c r="B78" s="22"/>
      <c r="C78" s="22"/>
      <c r="D78" s="22" t="s">
        <v>155</v>
      </c>
      <c r="E78" s="22"/>
      <c r="F78" s="7">
        <v>122.4</v>
      </c>
      <c r="G78" s="5">
        <v>204</v>
      </c>
      <c r="H78" s="7">
        <v>3.6</v>
      </c>
      <c r="I78" s="5">
        <v>6</v>
      </c>
      <c r="J78">
        <f>IFERROR(VLOOKUP(A78,[1]TDSheet!$A:$AV,6,0),0)</f>
        <v>98.4</v>
      </c>
      <c r="K78">
        <f>IFERROR(VLOOKUP(A78,[1]TDSheet!$A:$AV,7,0),0)</f>
        <v>164</v>
      </c>
      <c r="L78" s="26">
        <f t="shared" si="3"/>
        <v>4.4727272727272727</v>
      </c>
      <c r="M78" s="26">
        <f t="shared" si="4"/>
        <v>7.4545454545454541</v>
      </c>
      <c r="N78" s="37">
        <f t="shared" si="5"/>
        <v>0.80392156862745101</v>
      </c>
    </row>
    <row r="79" spans="1:14" ht="11.1" customHeight="1" x14ac:dyDescent="0.2">
      <c r="A79" s="22" t="s">
        <v>156</v>
      </c>
      <c r="B79" s="22"/>
      <c r="C79" s="22"/>
      <c r="D79" s="22" t="s">
        <v>157</v>
      </c>
      <c r="E79" s="22"/>
      <c r="F79" s="9">
        <v>75.569999999999993</v>
      </c>
      <c r="G79" s="5">
        <v>229</v>
      </c>
      <c r="H79" s="9">
        <v>3.96</v>
      </c>
      <c r="I79" s="5">
        <v>12</v>
      </c>
      <c r="J79">
        <f>IFERROR(VLOOKUP(A79,[1]TDSheet!$A:$AV,6,0),0)</f>
        <v>25.74</v>
      </c>
      <c r="K79">
        <f>IFERROR(VLOOKUP(A79,[1]TDSheet!$A:$AV,7,0),0)</f>
        <v>78</v>
      </c>
      <c r="L79" s="26">
        <f t="shared" si="3"/>
        <v>1.17</v>
      </c>
      <c r="M79" s="26">
        <f t="shared" si="4"/>
        <v>3.5454545454545454</v>
      </c>
      <c r="N79" s="37">
        <f t="shared" si="5"/>
        <v>0.34061135371179041</v>
      </c>
    </row>
    <row r="80" spans="1:14" ht="11.1" customHeight="1" x14ac:dyDescent="0.2">
      <c r="A80" s="22" t="s">
        <v>158</v>
      </c>
      <c r="B80" s="22"/>
      <c r="C80" s="22"/>
      <c r="D80" s="22" t="s">
        <v>159</v>
      </c>
      <c r="E80" s="22"/>
      <c r="F80" s="7">
        <v>74.8</v>
      </c>
      <c r="G80" s="5">
        <v>187</v>
      </c>
      <c r="H80" s="7">
        <v>10.8</v>
      </c>
      <c r="I80" s="5">
        <v>27</v>
      </c>
      <c r="J80">
        <f>IFERROR(VLOOKUP(A80,[1]TDSheet!$A:$AV,6,0),0)</f>
        <v>8.8000000000000007</v>
      </c>
      <c r="K80">
        <f>IFERROR(VLOOKUP(A80,[1]TDSheet!$A:$AV,7,0),0)</f>
        <v>22</v>
      </c>
      <c r="L80" s="26">
        <f t="shared" si="3"/>
        <v>0.4</v>
      </c>
      <c r="M80" s="26">
        <f t="shared" si="4"/>
        <v>1</v>
      </c>
      <c r="N80" s="37">
        <f t="shared" si="5"/>
        <v>0.11764705882352942</v>
      </c>
    </row>
    <row r="81" spans="1:14" ht="11.1" customHeight="1" x14ac:dyDescent="0.2">
      <c r="A81" s="38" t="s">
        <v>160</v>
      </c>
      <c r="B81" s="38"/>
      <c r="C81" s="38"/>
      <c r="D81" s="38" t="s">
        <v>161</v>
      </c>
      <c r="E81" s="38"/>
      <c r="F81" s="43">
        <v>5.95</v>
      </c>
      <c r="G81" s="39">
        <v>17</v>
      </c>
      <c r="H81" s="44">
        <v>2.1</v>
      </c>
      <c r="I81" s="39">
        <v>6</v>
      </c>
      <c r="J81" s="40">
        <f>IFERROR(VLOOKUP(A81,[1]TDSheet!$A:$AV,6,0),0)</f>
        <v>-0.7</v>
      </c>
      <c r="K81" s="40">
        <f>IFERROR(VLOOKUP(A81,[1]TDSheet!$A:$AV,7,0),0)</f>
        <v>-2</v>
      </c>
      <c r="L81" s="41">
        <f t="shared" si="3"/>
        <v>-3.1818181818181815E-2</v>
      </c>
      <c r="M81" s="41">
        <f t="shared" si="4"/>
        <v>-9.0909090909090912E-2</v>
      </c>
      <c r="N81" s="42">
        <f t="shared" si="5"/>
        <v>0</v>
      </c>
    </row>
    <row r="82" spans="1:14" ht="11.1" customHeight="1" x14ac:dyDescent="0.2">
      <c r="A82" s="22" t="s">
        <v>162</v>
      </c>
      <c r="B82" s="22"/>
      <c r="C82" s="22"/>
      <c r="D82" s="22" t="s">
        <v>163</v>
      </c>
      <c r="E82" s="22"/>
      <c r="F82" s="9">
        <v>80.849999999999994</v>
      </c>
      <c r="G82" s="5">
        <v>231</v>
      </c>
      <c r="H82" s="7">
        <v>2.1</v>
      </c>
      <c r="I82" s="5">
        <v>6</v>
      </c>
      <c r="J82">
        <f>IFERROR(VLOOKUP(A82,[1]TDSheet!$A:$AV,6,0),0)</f>
        <v>43.4</v>
      </c>
      <c r="K82">
        <f>IFERROR(VLOOKUP(A82,[1]TDSheet!$A:$AV,7,0),0)</f>
        <v>124</v>
      </c>
      <c r="L82" s="26">
        <f t="shared" si="3"/>
        <v>1.9727272727272727</v>
      </c>
      <c r="M82" s="26">
        <f t="shared" si="4"/>
        <v>5.6363636363636367</v>
      </c>
      <c r="N82" s="37">
        <f t="shared" si="5"/>
        <v>0.53679653679653683</v>
      </c>
    </row>
    <row r="83" spans="1:14" ht="11.1" customHeight="1" x14ac:dyDescent="0.2">
      <c r="A83" s="22" t="s">
        <v>164</v>
      </c>
      <c r="B83" s="22"/>
      <c r="C83" s="22"/>
      <c r="D83" s="22" t="s">
        <v>165</v>
      </c>
      <c r="E83" s="22"/>
      <c r="F83" s="9">
        <v>714.71</v>
      </c>
      <c r="G83" s="5">
        <v>714.71</v>
      </c>
      <c r="H83" s="5">
        <v>14.627000000000001</v>
      </c>
      <c r="I83" s="5">
        <v>14.627000000000001</v>
      </c>
      <c r="J83">
        <f>IFERROR(VLOOKUP(A83,[1]TDSheet!$A:$AV,6,0),0)</f>
        <v>480.351</v>
      </c>
      <c r="K83">
        <f>IFERROR(VLOOKUP(A83,[1]TDSheet!$A:$AV,7,0),0)</f>
        <v>480.351</v>
      </c>
      <c r="L83" s="26">
        <f t="shared" si="3"/>
        <v>21.834136363636365</v>
      </c>
      <c r="M83" s="26">
        <f t="shared" si="4"/>
        <v>21.834136363636365</v>
      </c>
      <c r="N83" s="37">
        <f t="shared" si="5"/>
        <v>0.67209217724671544</v>
      </c>
    </row>
    <row r="84" spans="1:14" ht="11.1" customHeight="1" x14ac:dyDescent="0.2">
      <c r="A84" s="22" t="s">
        <v>166</v>
      </c>
      <c r="B84" s="22"/>
      <c r="C84" s="22"/>
      <c r="D84" s="22" t="s">
        <v>167</v>
      </c>
      <c r="E84" s="22"/>
      <c r="F84" s="4">
        <v>6758.0360000000001</v>
      </c>
      <c r="G84" s="4">
        <v>6758.0360000000001</v>
      </c>
      <c r="H84" s="5">
        <v>18.132999999999999</v>
      </c>
      <c r="I84" s="5">
        <v>18.132999999999999</v>
      </c>
      <c r="J84">
        <f>IFERROR(VLOOKUP(A84,[1]TDSheet!$A:$AV,6,0),0)</f>
        <v>1462.9269999999999</v>
      </c>
      <c r="K84">
        <f>IFERROR(VLOOKUP(A84,[1]TDSheet!$A:$AV,7,0),0)</f>
        <v>1462.9269999999999</v>
      </c>
      <c r="L84" s="26">
        <f t="shared" si="3"/>
        <v>66.496681818181813</v>
      </c>
      <c r="M84" s="26">
        <f t="shared" si="4"/>
        <v>66.496681818181813</v>
      </c>
      <c r="N84" s="37">
        <f t="shared" si="5"/>
        <v>0.21647221174909395</v>
      </c>
    </row>
    <row r="85" spans="1:14" ht="11.1" customHeight="1" x14ac:dyDescent="0.2">
      <c r="A85" s="22" t="s">
        <v>168</v>
      </c>
      <c r="B85" s="22"/>
      <c r="C85" s="22"/>
      <c r="D85" s="22" t="s">
        <v>169</v>
      </c>
      <c r="E85" s="22"/>
      <c r="F85" s="4">
        <v>4607.7039999999997</v>
      </c>
      <c r="G85" s="4">
        <v>4607.7039999999997</v>
      </c>
      <c r="H85" s="7">
        <v>24.1</v>
      </c>
      <c r="I85" s="5">
        <v>24.1</v>
      </c>
      <c r="J85">
        <f>IFERROR(VLOOKUP(A85,[1]TDSheet!$A:$AV,6,0),0)</f>
        <v>1247.9659999999999</v>
      </c>
      <c r="K85">
        <f>IFERROR(VLOOKUP(A85,[1]TDSheet!$A:$AV,7,0),0)</f>
        <v>1247.9659999999999</v>
      </c>
      <c r="L85" s="26">
        <f t="shared" si="3"/>
        <v>56.725727272727269</v>
      </c>
      <c r="M85" s="26">
        <f t="shared" si="4"/>
        <v>56.725727272727269</v>
      </c>
      <c r="N85" s="37">
        <f t="shared" si="5"/>
        <v>0.27084335278481431</v>
      </c>
    </row>
    <row r="86" spans="1:14" ht="11.1" customHeight="1" x14ac:dyDescent="0.2">
      <c r="A86" s="22" t="s">
        <v>170</v>
      </c>
      <c r="B86" s="22"/>
      <c r="C86" s="22"/>
      <c r="D86" s="22" t="s">
        <v>171</v>
      </c>
      <c r="E86" s="22"/>
      <c r="F86" s="4">
        <v>6286.4560000000001</v>
      </c>
      <c r="G86" s="4">
        <v>6286.4560000000001</v>
      </c>
      <c r="H86" s="5">
        <v>19.568999999999999</v>
      </c>
      <c r="I86" s="5">
        <v>19.568999999999999</v>
      </c>
      <c r="J86">
        <f>IFERROR(VLOOKUP(A86,[1]TDSheet!$A:$AV,6,0),0)</f>
        <v>2123.1419999999998</v>
      </c>
      <c r="K86">
        <f>IFERROR(VLOOKUP(A86,[1]TDSheet!$A:$AV,7,0),0)</f>
        <v>2123.1419999999998</v>
      </c>
      <c r="L86" s="26">
        <f t="shared" si="3"/>
        <v>96.506454545454531</v>
      </c>
      <c r="M86" s="26">
        <f t="shared" si="4"/>
        <v>96.506454545454531</v>
      </c>
      <c r="N86" s="37">
        <f t="shared" si="5"/>
        <v>0.33773273844595425</v>
      </c>
    </row>
    <row r="87" spans="1:14" ht="11.1" customHeight="1" x14ac:dyDescent="0.2">
      <c r="A87" s="38" t="s">
        <v>172</v>
      </c>
      <c r="B87" s="38"/>
      <c r="C87" s="38"/>
      <c r="D87" s="38" t="s">
        <v>173</v>
      </c>
      <c r="E87" s="38"/>
      <c r="F87" s="46">
        <v>-3</v>
      </c>
      <c r="G87" s="39">
        <v>-10</v>
      </c>
      <c r="H87" s="46">
        <v>12</v>
      </c>
      <c r="I87" s="39">
        <v>40</v>
      </c>
      <c r="J87" s="40">
        <f>IFERROR(VLOOKUP(A87,[1]TDSheet!$A:$AV,6,0),0)</f>
        <v>0.3</v>
      </c>
      <c r="K87" s="40">
        <f>IFERROR(VLOOKUP(A87,[1]TDSheet!$A:$AV,7,0),0)</f>
        <v>1</v>
      </c>
      <c r="L87" s="41">
        <f t="shared" si="3"/>
        <v>1.3636363636363636E-2</v>
      </c>
      <c r="M87" s="41">
        <f t="shared" si="4"/>
        <v>4.5454545454545456E-2</v>
      </c>
      <c r="N87" s="42">
        <f t="shared" si="5"/>
        <v>0</v>
      </c>
    </row>
    <row r="88" spans="1:14" ht="11.1" customHeight="1" x14ac:dyDescent="0.2">
      <c r="A88" s="22" t="s">
        <v>174</v>
      </c>
      <c r="B88" s="22"/>
      <c r="C88" s="22"/>
      <c r="D88" s="22" t="s">
        <v>175</v>
      </c>
      <c r="E88" s="22"/>
      <c r="F88" s="9">
        <v>17.920000000000002</v>
      </c>
      <c r="G88" s="5">
        <v>256</v>
      </c>
      <c r="H88" s="9">
        <v>0.21</v>
      </c>
      <c r="I88" s="5">
        <v>3</v>
      </c>
      <c r="J88">
        <f>IFERROR(VLOOKUP(A88,[1]TDSheet!$A:$AV,6,0),0)</f>
        <v>3.78</v>
      </c>
      <c r="K88">
        <f>IFERROR(VLOOKUP(A88,[1]TDSheet!$A:$AV,7,0),0)</f>
        <v>54</v>
      </c>
      <c r="L88" s="26">
        <f t="shared" si="3"/>
        <v>0.17181818181818181</v>
      </c>
      <c r="M88" s="26">
        <f t="shared" si="4"/>
        <v>2.4545454545454546</v>
      </c>
      <c r="N88" s="37">
        <f t="shared" si="5"/>
        <v>0.21093749999999997</v>
      </c>
    </row>
    <row r="89" spans="1:14" ht="11.1" customHeight="1" x14ac:dyDescent="0.2">
      <c r="A89" s="22" t="s">
        <v>176</v>
      </c>
      <c r="B89" s="22"/>
      <c r="C89" s="22"/>
      <c r="D89" s="22" t="s">
        <v>177</v>
      </c>
      <c r="E89" s="22"/>
      <c r="F89" s="9">
        <v>18.059999999999999</v>
      </c>
      <c r="G89" s="5">
        <v>258</v>
      </c>
      <c r="H89" s="10"/>
      <c r="I89" s="10"/>
      <c r="J89">
        <f>IFERROR(VLOOKUP(A89,[1]TDSheet!$A:$AV,6,0),0)</f>
        <v>2.73</v>
      </c>
      <c r="K89">
        <f>IFERROR(VLOOKUP(A89,[1]TDSheet!$A:$AV,7,0),0)</f>
        <v>39</v>
      </c>
      <c r="L89" s="26">
        <f t="shared" si="3"/>
        <v>0.12409090909090909</v>
      </c>
      <c r="M89" s="26">
        <f t="shared" si="4"/>
        <v>1.7727272727272727</v>
      </c>
      <c r="N89" s="37">
        <f t="shared" si="5"/>
        <v>0.15116279069767444</v>
      </c>
    </row>
    <row r="90" spans="1:14" ht="11.1" customHeight="1" x14ac:dyDescent="0.2">
      <c r="A90" s="22" t="s">
        <v>178</v>
      </c>
      <c r="B90" s="22"/>
      <c r="C90" s="22"/>
      <c r="D90" s="22" t="s">
        <v>179</v>
      </c>
      <c r="E90" s="22"/>
      <c r="F90" s="9">
        <v>30.38</v>
      </c>
      <c r="G90" s="5">
        <v>434</v>
      </c>
      <c r="H90" s="9">
        <v>0.84</v>
      </c>
      <c r="I90" s="5">
        <v>12</v>
      </c>
      <c r="J90">
        <f>IFERROR(VLOOKUP(A90,[1]TDSheet!$A:$AV,6,0),0)</f>
        <v>5.04</v>
      </c>
      <c r="K90">
        <f>IFERROR(VLOOKUP(A90,[1]TDSheet!$A:$AV,7,0),0)</f>
        <v>72</v>
      </c>
      <c r="L90" s="26">
        <f t="shared" si="3"/>
        <v>0.2290909090909091</v>
      </c>
      <c r="M90" s="26">
        <f t="shared" si="4"/>
        <v>3.2727272727272729</v>
      </c>
      <c r="N90" s="37">
        <f t="shared" si="5"/>
        <v>0.16589861751152074</v>
      </c>
    </row>
    <row r="91" spans="1:14" ht="11.1" customHeight="1" x14ac:dyDescent="0.2">
      <c r="A91" s="22" t="s">
        <v>180</v>
      </c>
      <c r="B91" s="22"/>
      <c r="C91" s="22"/>
      <c r="D91" s="22" t="s">
        <v>181</v>
      </c>
      <c r="E91" s="22"/>
      <c r="F91" s="9">
        <v>1.95</v>
      </c>
      <c r="G91" s="5">
        <v>39</v>
      </c>
      <c r="H91" s="10"/>
      <c r="I91" s="10"/>
      <c r="J91">
        <f>IFERROR(VLOOKUP(A91,[1]TDSheet!$A:$AV,6,0),0)</f>
        <v>1.05</v>
      </c>
      <c r="K91">
        <f>IFERROR(VLOOKUP(A91,[1]TDSheet!$A:$AV,7,0),0)</f>
        <v>21</v>
      </c>
      <c r="L91" s="26">
        <f t="shared" si="3"/>
        <v>4.7727272727272729E-2</v>
      </c>
      <c r="M91" s="26">
        <f t="shared" si="4"/>
        <v>0.95454545454545459</v>
      </c>
      <c r="N91" s="37">
        <f t="shared" si="5"/>
        <v>0.53846153846153855</v>
      </c>
    </row>
    <row r="92" spans="1:14" ht="11.1" customHeight="1" x14ac:dyDescent="0.2">
      <c r="A92" s="22" t="s">
        <v>182</v>
      </c>
      <c r="B92" s="22"/>
      <c r="C92" s="22"/>
      <c r="D92" s="22" t="s">
        <v>183</v>
      </c>
      <c r="E92" s="22"/>
      <c r="F92" s="9">
        <v>-0.55000000000000004</v>
      </c>
      <c r="G92" s="5">
        <v>-10</v>
      </c>
      <c r="H92" s="9">
        <v>0.55000000000000004</v>
      </c>
      <c r="I92" s="5">
        <v>10</v>
      </c>
      <c r="J92">
        <f>IFERROR(VLOOKUP(A92,[1]TDSheet!$A:$AV,6,0),0)</f>
        <v>-0.16500000000000001</v>
      </c>
      <c r="K92">
        <f>IFERROR(VLOOKUP(A92,[1]TDSheet!$A:$AV,7,0),0)</f>
        <v>-3</v>
      </c>
      <c r="L92" s="26">
        <f t="shared" si="3"/>
        <v>-7.5000000000000006E-3</v>
      </c>
      <c r="M92" s="26">
        <f t="shared" si="4"/>
        <v>-0.13636363636363635</v>
      </c>
      <c r="N92" s="37">
        <f t="shared" si="5"/>
        <v>0.3</v>
      </c>
    </row>
    <row r="93" spans="1:14" ht="11.1" customHeight="1" x14ac:dyDescent="0.2">
      <c r="A93" s="22" t="s">
        <v>184</v>
      </c>
      <c r="B93" s="22"/>
      <c r="C93" s="22"/>
      <c r="D93" s="22" t="s">
        <v>185</v>
      </c>
      <c r="E93" s="22"/>
      <c r="F93" s="7">
        <v>24.9</v>
      </c>
      <c r="G93" s="5">
        <v>83</v>
      </c>
      <c r="H93" s="10"/>
      <c r="I93" s="10"/>
      <c r="J93">
        <f>IFERROR(VLOOKUP(A93,[1]TDSheet!$A:$AV,6,0),0)</f>
        <v>1.2</v>
      </c>
      <c r="K93">
        <f>IFERROR(VLOOKUP(A93,[1]TDSheet!$A:$AV,7,0),0)</f>
        <v>4</v>
      </c>
      <c r="L93" s="26">
        <f t="shared" si="3"/>
        <v>5.4545454545454543E-2</v>
      </c>
      <c r="M93" s="26">
        <f t="shared" si="4"/>
        <v>0.18181818181818182</v>
      </c>
      <c r="N93" s="37">
        <f t="shared" si="5"/>
        <v>4.8192771084337352E-2</v>
      </c>
    </row>
    <row r="94" spans="1:14" ht="11.1" customHeight="1" x14ac:dyDescent="0.2">
      <c r="A94" s="22" t="s">
        <v>186</v>
      </c>
      <c r="B94" s="22"/>
      <c r="C94" s="22"/>
      <c r="D94" s="22" t="s">
        <v>187</v>
      </c>
      <c r="E94" s="22"/>
      <c r="F94" s="5">
        <v>8.9930000000000003</v>
      </c>
      <c r="G94" s="5">
        <v>8.9930000000000003</v>
      </c>
      <c r="H94" s="5">
        <v>3.2170000000000001</v>
      </c>
      <c r="I94" s="5">
        <v>3.2170000000000001</v>
      </c>
      <c r="J94">
        <f>IFERROR(VLOOKUP(A94,[1]TDSheet!$A:$AV,6,0),0)</f>
        <v>7.12</v>
      </c>
      <c r="K94">
        <f>IFERROR(VLOOKUP(A94,[1]TDSheet!$A:$AV,7,0),0)</f>
        <v>7.12</v>
      </c>
      <c r="L94" s="26">
        <f t="shared" si="3"/>
        <v>0.32363636363636367</v>
      </c>
      <c r="M94" s="26">
        <f t="shared" si="4"/>
        <v>0.32363636363636367</v>
      </c>
      <c r="N94" s="37">
        <f t="shared" si="5"/>
        <v>0.79172689869898805</v>
      </c>
    </row>
    <row r="95" spans="1:14" ht="21.95" customHeight="1" x14ac:dyDescent="0.2">
      <c r="A95" s="22" t="s">
        <v>188</v>
      </c>
      <c r="B95" s="22"/>
      <c r="C95" s="22"/>
      <c r="D95" s="22" t="s">
        <v>189</v>
      </c>
      <c r="E95" s="22"/>
      <c r="F95" s="9">
        <v>3.74</v>
      </c>
      <c r="G95" s="5">
        <v>34</v>
      </c>
      <c r="H95" s="9">
        <v>10.78</v>
      </c>
      <c r="I95" s="5">
        <v>98</v>
      </c>
      <c r="J95">
        <f>IFERROR(VLOOKUP(A95,[1]TDSheet!$A:$AV,6,0),0)</f>
        <v>2.2000000000000002</v>
      </c>
      <c r="K95">
        <f>IFERROR(VLOOKUP(A95,[1]TDSheet!$A:$AV,7,0),0)</f>
        <v>20</v>
      </c>
      <c r="L95" s="26">
        <f t="shared" si="3"/>
        <v>0.1</v>
      </c>
      <c r="M95" s="26">
        <f t="shared" si="4"/>
        <v>0.90909090909090906</v>
      </c>
      <c r="N95" s="37">
        <f t="shared" si="5"/>
        <v>0.58823529411764708</v>
      </c>
    </row>
    <row r="96" spans="1:14" ht="21.95" customHeight="1" x14ac:dyDescent="0.2">
      <c r="A96" s="22" t="s">
        <v>190</v>
      </c>
      <c r="B96" s="22"/>
      <c r="C96" s="22"/>
      <c r="D96" s="22" t="s">
        <v>191</v>
      </c>
      <c r="E96" s="22"/>
      <c r="F96" s="9">
        <v>34.159999999999997</v>
      </c>
      <c r="G96" s="5">
        <v>427</v>
      </c>
      <c r="H96" s="9">
        <v>0.56000000000000005</v>
      </c>
      <c r="I96" s="5">
        <v>7</v>
      </c>
      <c r="J96">
        <f>IFERROR(VLOOKUP(A96,[1]TDSheet!$A:$AV,6,0),0)</f>
        <v>14.8</v>
      </c>
      <c r="K96">
        <f>IFERROR(VLOOKUP(A96,[1]TDSheet!$A:$AV,7,0),0)</f>
        <v>185</v>
      </c>
      <c r="L96" s="26">
        <f t="shared" si="3"/>
        <v>0.67272727272727273</v>
      </c>
      <c r="M96" s="26">
        <f t="shared" si="4"/>
        <v>8.4090909090909083</v>
      </c>
      <c r="N96" s="37">
        <f t="shared" si="5"/>
        <v>0.43325526932084313</v>
      </c>
    </row>
    <row r="97" spans="1:14" ht="21.95" customHeight="1" x14ac:dyDescent="0.2">
      <c r="A97" s="22" t="s">
        <v>192</v>
      </c>
      <c r="B97" s="22"/>
      <c r="C97" s="22"/>
      <c r="D97" s="22" t="s">
        <v>193</v>
      </c>
      <c r="E97" s="22"/>
      <c r="F97" s="9">
        <v>26.32</v>
      </c>
      <c r="G97" s="5">
        <v>329</v>
      </c>
      <c r="H97" s="9">
        <v>1.36</v>
      </c>
      <c r="I97" s="5">
        <v>17</v>
      </c>
      <c r="J97">
        <f>IFERROR(VLOOKUP(A97,[1]TDSheet!$A:$AV,6,0),0)</f>
        <v>13.12</v>
      </c>
      <c r="K97">
        <f>IFERROR(VLOOKUP(A97,[1]TDSheet!$A:$AV,7,0),0)</f>
        <v>164</v>
      </c>
      <c r="L97" s="26">
        <f t="shared" si="3"/>
        <v>0.59636363636363632</v>
      </c>
      <c r="M97" s="26">
        <f t="shared" si="4"/>
        <v>7.4545454545454541</v>
      </c>
      <c r="N97" s="37">
        <f t="shared" si="5"/>
        <v>0.49848024316109418</v>
      </c>
    </row>
    <row r="98" spans="1:14" ht="21.95" customHeight="1" x14ac:dyDescent="0.2">
      <c r="A98" s="22" t="s">
        <v>194</v>
      </c>
      <c r="B98" s="22"/>
      <c r="C98" s="22"/>
      <c r="D98" s="22" t="s">
        <v>195</v>
      </c>
      <c r="E98" s="22"/>
      <c r="F98" s="7">
        <v>5.0999999999999996</v>
      </c>
      <c r="G98" s="5">
        <v>30</v>
      </c>
      <c r="H98" s="9">
        <v>0.34</v>
      </c>
      <c r="I98" s="5">
        <v>2</v>
      </c>
      <c r="J98">
        <f>IFERROR(VLOOKUP(A98,[1]TDSheet!$A:$AV,6,0),0)</f>
        <v>3.91</v>
      </c>
      <c r="K98">
        <f>IFERROR(VLOOKUP(A98,[1]TDSheet!$A:$AV,7,0),0)</f>
        <v>23</v>
      </c>
      <c r="L98" s="26">
        <f t="shared" si="3"/>
        <v>0.17772727272727273</v>
      </c>
      <c r="M98" s="26">
        <f t="shared" si="4"/>
        <v>1.0454545454545454</v>
      </c>
      <c r="N98" s="37">
        <f t="shared" si="5"/>
        <v>0.76666666666666672</v>
      </c>
    </row>
    <row r="99" spans="1:14" ht="21.95" customHeight="1" x14ac:dyDescent="0.2">
      <c r="A99" s="22" t="s">
        <v>196</v>
      </c>
      <c r="B99" s="22"/>
      <c r="C99" s="22"/>
      <c r="D99" s="22" t="s">
        <v>197</v>
      </c>
      <c r="E99" s="22"/>
      <c r="F99" s="9">
        <v>223.83</v>
      </c>
      <c r="G99" s="5">
        <v>223.83</v>
      </c>
      <c r="H99" s="5">
        <v>16.905999999999999</v>
      </c>
      <c r="I99" s="5">
        <v>16.905999999999999</v>
      </c>
      <c r="J99">
        <f>IFERROR(VLOOKUP(A99,[1]TDSheet!$A:$AV,6,0),0)</f>
        <v>62.573</v>
      </c>
      <c r="K99">
        <f>IFERROR(VLOOKUP(A99,[1]TDSheet!$A:$AV,7,0),0)</f>
        <v>62.573</v>
      </c>
      <c r="L99" s="26">
        <f t="shared" si="3"/>
        <v>2.8442272727272728</v>
      </c>
      <c r="M99" s="26">
        <f t="shared" si="4"/>
        <v>2.8442272727272728</v>
      </c>
      <c r="N99" s="37">
        <f t="shared" si="5"/>
        <v>0.27955591296966448</v>
      </c>
    </row>
    <row r="100" spans="1:14" ht="21.95" customHeight="1" x14ac:dyDescent="0.2">
      <c r="A100" s="22" t="s">
        <v>198</v>
      </c>
      <c r="B100" s="22"/>
      <c r="C100" s="22"/>
      <c r="D100" s="22" t="s">
        <v>199</v>
      </c>
      <c r="E100" s="22"/>
      <c r="F100" s="5">
        <v>255.566</v>
      </c>
      <c r="G100" s="5">
        <v>255.566</v>
      </c>
      <c r="H100" s="5">
        <v>23.268999999999998</v>
      </c>
      <c r="I100" s="5">
        <v>23.268999999999998</v>
      </c>
      <c r="J100">
        <f>IFERROR(VLOOKUP(A100,[1]TDSheet!$A:$AV,6,0),0)</f>
        <v>41.18</v>
      </c>
      <c r="K100">
        <f>IFERROR(VLOOKUP(A100,[1]TDSheet!$A:$AV,7,0),0)</f>
        <v>41.18</v>
      </c>
      <c r="L100" s="26">
        <f t="shared" si="3"/>
        <v>1.8718181818181818</v>
      </c>
      <c r="M100" s="26">
        <f t="shared" si="4"/>
        <v>1.8718181818181818</v>
      </c>
      <c r="N100" s="37">
        <f t="shared" si="5"/>
        <v>0.16113254501772536</v>
      </c>
    </row>
    <row r="101" spans="1:14" ht="11.1" customHeight="1" x14ac:dyDescent="0.2">
      <c r="A101" s="22" t="s">
        <v>200</v>
      </c>
      <c r="B101" s="22"/>
      <c r="C101" s="22"/>
      <c r="D101" s="22" t="s">
        <v>201</v>
      </c>
      <c r="E101" s="22"/>
      <c r="F101" s="5">
        <v>107.598</v>
      </c>
      <c r="G101" s="5">
        <v>107.598</v>
      </c>
      <c r="H101" s="5">
        <v>21.167000000000002</v>
      </c>
      <c r="I101" s="5">
        <v>21.167000000000002</v>
      </c>
      <c r="J101">
        <f>IFERROR(VLOOKUP(A101,[1]TDSheet!$A:$AV,6,0),0)</f>
        <v>18.71</v>
      </c>
      <c r="K101">
        <f>IFERROR(VLOOKUP(A101,[1]TDSheet!$A:$AV,7,0),0)</f>
        <v>18.71</v>
      </c>
      <c r="L101" s="26">
        <f t="shared" si="3"/>
        <v>0.85045454545454546</v>
      </c>
      <c r="M101" s="26">
        <f t="shared" si="4"/>
        <v>0.85045454545454546</v>
      </c>
      <c r="N101" s="37">
        <f t="shared" si="5"/>
        <v>0.1738879904830945</v>
      </c>
    </row>
    <row r="102" spans="1:14" ht="21.95" customHeight="1" x14ac:dyDescent="0.2">
      <c r="A102" s="22" t="s">
        <v>202</v>
      </c>
      <c r="B102" s="22"/>
      <c r="C102" s="22"/>
      <c r="D102" s="22" t="s">
        <v>203</v>
      </c>
      <c r="E102" s="22"/>
      <c r="F102" s="13">
        <v>49</v>
      </c>
      <c r="G102" s="5">
        <v>175</v>
      </c>
      <c r="H102" s="9">
        <v>10.08</v>
      </c>
      <c r="I102" s="5">
        <v>36</v>
      </c>
      <c r="J102">
        <f>IFERROR(VLOOKUP(A102,[1]TDSheet!$A:$AV,6,0),0)</f>
        <v>26.88</v>
      </c>
      <c r="K102">
        <f>IFERROR(VLOOKUP(A102,[1]TDSheet!$A:$AV,7,0),0)</f>
        <v>96</v>
      </c>
      <c r="L102" s="26">
        <f t="shared" si="3"/>
        <v>1.2218181818181817</v>
      </c>
      <c r="M102" s="26">
        <f t="shared" si="4"/>
        <v>4.3636363636363633</v>
      </c>
      <c r="N102" s="37">
        <f t="shared" si="5"/>
        <v>0.5485714285714286</v>
      </c>
    </row>
    <row r="103" spans="1:14" ht="21.95" customHeight="1" x14ac:dyDescent="0.2">
      <c r="A103" s="22" t="s">
        <v>204</v>
      </c>
      <c r="B103" s="22"/>
      <c r="C103" s="22"/>
      <c r="D103" s="22" t="s">
        <v>205</v>
      </c>
      <c r="E103" s="22"/>
      <c r="F103" s="9">
        <v>57.68</v>
      </c>
      <c r="G103" s="5">
        <v>206</v>
      </c>
      <c r="H103" s="9">
        <v>6.16</v>
      </c>
      <c r="I103" s="5">
        <v>22</v>
      </c>
      <c r="J103">
        <f>IFERROR(VLOOKUP(A103,[1]TDSheet!$A:$AV,6,0),0)</f>
        <v>30.52</v>
      </c>
      <c r="K103">
        <f>IFERROR(VLOOKUP(A103,[1]TDSheet!$A:$AV,7,0),0)</f>
        <v>109</v>
      </c>
      <c r="L103" s="26">
        <f t="shared" si="3"/>
        <v>1.3872727272727272</v>
      </c>
      <c r="M103" s="26">
        <f t="shared" si="4"/>
        <v>4.9545454545454541</v>
      </c>
      <c r="N103" s="37">
        <f t="shared" si="5"/>
        <v>0.529126213592233</v>
      </c>
    </row>
    <row r="104" spans="1:14" ht="21.95" customHeight="1" x14ac:dyDescent="0.2">
      <c r="A104" s="22" t="s">
        <v>206</v>
      </c>
      <c r="B104" s="22"/>
      <c r="C104" s="22"/>
      <c r="D104" s="22" t="s">
        <v>207</v>
      </c>
      <c r="E104" s="22"/>
      <c r="F104" s="9">
        <v>32.76</v>
      </c>
      <c r="G104" s="5">
        <v>117</v>
      </c>
      <c r="H104" s="9">
        <v>6.72</v>
      </c>
      <c r="I104" s="5">
        <v>24</v>
      </c>
      <c r="J104">
        <f>IFERROR(VLOOKUP(A104,[1]TDSheet!$A:$AV,6,0),0)</f>
        <v>17.64</v>
      </c>
      <c r="K104">
        <f>IFERROR(VLOOKUP(A104,[1]TDSheet!$A:$AV,7,0),0)</f>
        <v>63</v>
      </c>
      <c r="L104" s="26">
        <f t="shared" si="3"/>
        <v>0.80181818181818187</v>
      </c>
      <c r="M104" s="26">
        <f t="shared" si="4"/>
        <v>2.8636363636363638</v>
      </c>
      <c r="N104" s="37">
        <f t="shared" si="5"/>
        <v>0.53846153846153855</v>
      </c>
    </row>
    <row r="105" spans="1:14" ht="11.1" customHeight="1" x14ac:dyDescent="0.2">
      <c r="A105" s="22" t="s">
        <v>208</v>
      </c>
      <c r="B105" s="22"/>
      <c r="C105" s="22"/>
      <c r="D105" s="22" t="s">
        <v>209</v>
      </c>
      <c r="E105" s="22"/>
      <c r="F105" s="9">
        <v>21.51</v>
      </c>
      <c r="G105" s="5">
        <v>239</v>
      </c>
      <c r="H105" s="9">
        <v>0.18</v>
      </c>
      <c r="I105" s="5">
        <v>2</v>
      </c>
      <c r="J105">
        <f>IFERROR(VLOOKUP(A105,[1]TDSheet!$A:$AV,6,0),0)</f>
        <v>2.79</v>
      </c>
      <c r="K105">
        <f>IFERROR(VLOOKUP(A105,[1]TDSheet!$A:$AV,7,0),0)</f>
        <v>31</v>
      </c>
      <c r="L105" s="26">
        <f t="shared" si="3"/>
        <v>0.12681818181818183</v>
      </c>
      <c r="M105" s="26">
        <f t="shared" si="4"/>
        <v>1.4090909090909092</v>
      </c>
      <c r="N105" s="37">
        <f t="shared" si="5"/>
        <v>0.1297071129707113</v>
      </c>
    </row>
    <row r="106" spans="1:14" ht="21.95" customHeight="1" x14ac:dyDescent="0.2">
      <c r="A106" s="22" t="s">
        <v>210</v>
      </c>
      <c r="B106" s="22"/>
      <c r="C106" s="22"/>
      <c r="D106" s="22" t="s">
        <v>211</v>
      </c>
      <c r="E106" s="22"/>
      <c r="F106" s="5">
        <v>193.041</v>
      </c>
      <c r="G106" s="5">
        <v>193.041</v>
      </c>
      <c r="H106" s="9">
        <v>0.71</v>
      </c>
      <c r="I106" s="5">
        <v>0.71</v>
      </c>
      <c r="J106">
        <f>IFERROR(VLOOKUP(A106,[1]TDSheet!$A:$AV,6,0),0)</f>
        <v>32.813000000000002</v>
      </c>
      <c r="K106">
        <f>IFERROR(VLOOKUP(A106,[1]TDSheet!$A:$AV,7,0),0)</f>
        <v>32.813000000000002</v>
      </c>
      <c r="L106" s="26">
        <f t="shared" si="3"/>
        <v>1.4915</v>
      </c>
      <c r="M106" s="26">
        <f t="shared" si="4"/>
        <v>1.4915</v>
      </c>
      <c r="N106" s="37">
        <f t="shared" si="5"/>
        <v>0.16997943442066712</v>
      </c>
    </row>
    <row r="107" spans="1:14" ht="21.95" customHeight="1" x14ac:dyDescent="0.2">
      <c r="A107" s="22" t="s">
        <v>212</v>
      </c>
      <c r="B107" s="22"/>
      <c r="C107" s="22"/>
      <c r="D107" s="22" t="s">
        <v>213</v>
      </c>
      <c r="E107" s="22"/>
      <c r="F107" s="5">
        <v>257.30700000000002</v>
      </c>
      <c r="G107" s="5">
        <v>257.30700000000002</v>
      </c>
      <c r="H107" s="10"/>
      <c r="I107" s="10"/>
      <c r="J107">
        <f>IFERROR(VLOOKUP(A107,[1]TDSheet!$A:$AV,6,0),0)</f>
        <v>27.266999999999999</v>
      </c>
      <c r="K107">
        <f>IFERROR(VLOOKUP(A107,[1]TDSheet!$A:$AV,7,0),0)</f>
        <v>27.266999999999999</v>
      </c>
      <c r="L107" s="26">
        <f t="shared" si="3"/>
        <v>1.2394090909090909</v>
      </c>
      <c r="M107" s="26">
        <f t="shared" si="4"/>
        <v>1.2394090909090909</v>
      </c>
      <c r="N107" s="37">
        <f t="shared" si="5"/>
        <v>0.1059706887103732</v>
      </c>
    </row>
    <row r="108" spans="1:14" ht="11.1" customHeight="1" x14ac:dyDescent="0.2">
      <c r="A108" s="22" t="s">
        <v>214</v>
      </c>
      <c r="B108" s="22"/>
      <c r="C108" s="22"/>
      <c r="D108" s="22" t="s">
        <v>215</v>
      </c>
      <c r="E108" s="22"/>
      <c r="F108" s="9">
        <v>16.920000000000002</v>
      </c>
      <c r="G108" s="5">
        <v>188</v>
      </c>
      <c r="H108" s="9">
        <v>0.09</v>
      </c>
      <c r="I108" s="5">
        <v>1</v>
      </c>
      <c r="J108">
        <f>IFERROR(VLOOKUP(A108,[1]TDSheet!$A:$AV,6,0),0)</f>
        <v>1.35</v>
      </c>
      <c r="K108">
        <f>IFERROR(VLOOKUP(A108,[1]TDSheet!$A:$AV,7,0),0)</f>
        <v>15</v>
      </c>
      <c r="L108" s="26">
        <f t="shared" si="3"/>
        <v>6.136363636363637E-2</v>
      </c>
      <c r="M108" s="26">
        <f t="shared" si="4"/>
        <v>0.68181818181818177</v>
      </c>
      <c r="N108" s="37">
        <f t="shared" si="5"/>
        <v>7.9787234042553196E-2</v>
      </c>
    </row>
    <row r="109" spans="1:14" ht="21.95" customHeight="1" x14ac:dyDescent="0.2">
      <c r="A109" s="22" t="s">
        <v>216</v>
      </c>
      <c r="B109" s="22"/>
      <c r="C109" s="22"/>
      <c r="D109" s="22" t="s">
        <v>217</v>
      </c>
      <c r="E109" s="22"/>
      <c r="F109" s="9">
        <v>18.45</v>
      </c>
      <c r="G109" s="5">
        <v>205</v>
      </c>
      <c r="H109" s="10"/>
      <c r="I109" s="10"/>
      <c r="J109">
        <f>IFERROR(VLOOKUP(A109,[1]TDSheet!$A:$AV,6,0),0)</f>
        <v>1.62</v>
      </c>
      <c r="K109">
        <f>IFERROR(VLOOKUP(A109,[1]TDSheet!$A:$AV,7,0),0)</f>
        <v>18</v>
      </c>
      <c r="L109" s="26">
        <f t="shared" si="3"/>
        <v>7.3636363636363639E-2</v>
      </c>
      <c r="M109" s="26">
        <f t="shared" si="4"/>
        <v>0.81818181818181823</v>
      </c>
      <c r="N109" s="37">
        <f t="shared" si="5"/>
        <v>8.7804878048780496E-2</v>
      </c>
    </row>
    <row r="110" spans="1:14" ht="11.1" customHeight="1" x14ac:dyDescent="0.2">
      <c r="A110" s="22" t="s">
        <v>218</v>
      </c>
      <c r="B110" s="22"/>
      <c r="C110" s="22"/>
      <c r="D110" s="22" t="s">
        <v>219</v>
      </c>
      <c r="E110" s="22"/>
      <c r="F110" s="5">
        <v>343.57799999999997</v>
      </c>
      <c r="G110" s="5">
        <v>343.57799999999997</v>
      </c>
      <c r="H110" s="9">
        <v>7.56</v>
      </c>
      <c r="I110" s="5">
        <v>7.56</v>
      </c>
      <c r="J110">
        <f>IFERROR(VLOOKUP(A110,[1]TDSheet!$A:$AV,6,0),0)</f>
        <v>95.251999999999995</v>
      </c>
      <c r="K110">
        <f>IFERROR(VLOOKUP(A110,[1]TDSheet!$A:$AV,7,0),0)</f>
        <v>95.251999999999995</v>
      </c>
      <c r="L110" s="26">
        <f t="shared" si="3"/>
        <v>4.3296363636363635</v>
      </c>
      <c r="M110" s="26">
        <f t="shared" si="4"/>
        <v>4.3296363636363635</v>
      </c>
      <c r="N110" s="37">
        <f t="shared" si="5"/>
        <v>0.27723544580852094</v>
      </c>
    </row>
    <row r="111" spans="1:14" ht="11.1" customHeight="1" x14ac:dyDescent="0.2">
      <c r="A111" s="22" t="s">
        <v>220</v>
      </c>
      <c r="B111" s="22"/>
      <c r="C111" s="22"/>
      <c r="D111" s="22" t="s">
        <v>221</v>
      </c>
      <c r="E111" s="22"/>
      <c r="F111" s="5">
        <v>636.96799999999996</v>
      </c>
      <c r="G111" s="5">
        <v>636.96799999999996</v>
      </c>
      <c r="H111" s="5">
        <v>7.5289999999999999</v>
      </c>
      <c r="I111" s="5">
        <v>7.5289999999999999</v>
      </c>
      <c r="J111">
        <f>IFERROR(VLOOKUP(A111,[1]TDSheet!$A:$AV,6,0),0)</f>
        <v>274.97899999999998</v>
      </c>
      <c r="K111">
        <f>IFERROR(VLOOKUP(A111,[1]TDSheet!$A:$AV,7,0),0)</f>
        <v>274.97899999999998</v>
      </c>
      <c r="L111" s="26">
        <f t="shared" si="3"/>
        <v>12.499045454545454</v>
      </c>
      <c r="M111" s="26">
        <f t="shared" si="4"/>
        <v>12.499045454545454</v>
      </c>
      <c r="N111" s="37">
        <f t="shared" si="5"/>
        <v>0.43169986561334323</v>
      </c>
    </row>
    <row r="112" spans="1:14" ht="11.1" customHeight="1" x14ac:dyDescent="0.2">
      <c r="A112" s="22" t="s">
        <v>222</v>
      </c>
      <c r="B112" s="22"/>
      <c r="C112" s="22"/>
      <c r="D112" s="22" t="s">
        <v>223</v>
      </c>
      <c r="E112" s="22"/>
      <c r="F112" s="5">
        <v>161.792</v>
      </c>
      <c r="G112" s="5">
        <v>161.792</v>
      </c>
      <c r="H112" s="5">
        <v>3.7240000000000002</v>
      </c>
      <c r="I112" s="5">
        <v>3.7240000000000002</v>
      </c>
      <c r="J112">
        <f>IFERROR(VLOOKUP(A112,[1]TDSheet!$A:$AV,6,0),0)</f>
        <v>46.457999999999998</v>
      </c>
      <c r="K112">
        <f>IFERROR(VLOOKUP(A112,[1]TDSheet!$A:$AV,7,0),0)</f>
        <v>46.457999999999998</v>
      </c>
      <c r="L112" s="26">
        <f t="shared" si="3"/>
        <v>2.1117272727272725</v>
      </c>
      <c r="M112" s="26">
        <f t="shared" si="4"/>
        <v>2.1117272727272725</v>
      </c>
      <c r="N112" s="37">
        <f t="shared" si="5"/>
        <v>0.28714645965189872</v>
      </c>
    </row>
    <row r="113" spans="1:14" ht="11.1" customHeight="1" x14ac:dyDescent="0.2">
      <c r="A113" s="22" t="s">
        <v>224</v>
      </c>
      <c r="B113" s="22"/>
      <c r="C113" s="22"/>
      <c r="D113" s="22" t="s">
        <v>225</v>
      </c>
      <c r="E113" s="22"/>
      <c r="F113" s="4">
        <v>2542.9949999999999</v>
      </c>
      <c r="G113" s="4">
        <v>2542.9949999999999</v>
      </c>
      <c r="H113" s="5">
        <v>14.917999999999999</v>
      </c>
      <c r="I113" s="5">
        <v>14.917999999999999</v>
      </c>
      <c r="J113">
        <f>IFERROR(VLOOKUP(A113,[1]TDSheet!$A:$AV,6,0),0)</f>
        <v>805.23900000000003</v>
      </c>
      <c r="K113">
        <f>IFERROR(VLOOKUP(A113,[1]TDSheet!$A:$AV,7,0),0)</f>
        <v>805.23900000000003</v>
      </c>
      <c r="L113" s="26">
        <f t="shared" si="3"/>
        <v>36.601772727272731</v>
      </c>
      <c r="M113" s="26">
        <f t="shared" si="4"/>
        <v>36.601772727272731</v>
      </c>
      <c r="N113" s="37">
        <f t="shared" si="5"/>
        <v>0.31664985578029059</v>
      </c>
    </row>
    <row r="114" spans="1:14" ht="21.95" customHeight="1" x14ac:dyDescent="0.2">
      <c r="A114" s="22" t="s">
        <v>226</v>
      </c>
      <c r="B114" s="22"/>
      <c r="C114" s="22"/>
      <c r="D114" s="22" t="s">
        <v>227</v>
      </c>
      <c r="E114" s="22"/>
      <c r="F114" s="7">
        <v>124.5</v>
      </c>
      <c r="G114" s="5">
        <v>498</v>
      </c>
      <c r="H114" s="10"/>
      <c r="I114" s="10"/>
      <c r="J114">
        <f>IFERROR(VLOOKUP(A114,[1]TDSheet!$A:$AV,6,0),0)</f>
        <v>4</v>
      </c>
      <c r="K114">
        <f>IFERROR(VLOOKUP(A114,[1]TDSheet!$A:$AV,7,0),0)</f>
        <v>16</v>
      </c>
      <c r="L114" s="26">
        <f t="shared" si="3"/>
        <v>0.18181818181818182</v>
      </c>
      <c r="M114" s="26">
        <f t="shared" si="4"/>
        <v>0.72727272727272729</v>
      </c>
      <c r="N114" s="37">
        <f t="shared" si="5"/>
        <v>3.2128514056224897E-2</v>
      </c>
    </row>
    <row r="115" spans="1:14" ht="11.1" customHeight="1" x14ac:dyDescent="0.2">
      <c r="A115" s="22" t="s">
        <v>228</v>
      </c>
      <c r="B115" s="22"/>
      <c r="C115" s="22"/>
      <c r="D115" s="22" t="s">
        <v>229</v>
      </c>
      <c r="E115" s="22"/>
      <c r="F115" s="5">
        <v>100.425</v>
      </c>
      <c r="G115" s="5">
        <v>309</v>
      </c>
      <c r="H115" s="10"/>
      <c r="I115" s="10"/>
      <c r="J115">
        <f>IFERROR(VLOOKUP(A115,[1]TDSheet!$A:$AV,6,0),0)</f>
        <v>9.1</v>
      </c>
      <c r="K115">
        <f>IFERROR(VLOOKUP(A115,[1]TDSheet!$A:$AV,7,0),0)</f>
        <v>28</v>
      </c>
      <c r="L115" s="26">
        <f t="shared" si="3"/>
        <v>0.41363636363636364</v>
      </c>
      <c r="M115" s="26">
        <f t="shared" si="4"/>
        <v>1.2727272727272727</v>
      </c>
      <c r="N115" s="37">
        <f t="shared" si="5"/>
        <v>9.0614886731391578E-2</v>
      </c>
    </row>
    <row r="116" spans="1:14" ht="21.95" customHeight="1" x14ac:dyDescent="0.2">
      <c r="A116" s="22" t="s">
        <v>230</v>
      </c>
      <c r="B116" s="22"/>
      <c r="C116" s="22"/>
      <c r="D116" s="22" t="s">
        <v>231</v>
      </c>
      <c r="E116" s="22"/>
      <c r="F116" s="13">
        <v>273</v>
      </c>
      <c r="G116" s="4">
        <v>1092</v>
      </c>
      <c r="H116" s="10"/>
      <c r="I116" s="10"/>
      <c r="J116">
        <f>IFERROR(VLOOKUP(A116,[1]TDSheet!$A:$AV,6,0),0)</f>
        <v>7.75</v>
      </c>
      <c r="K116">
        <f>IFERROR(VLOOKUP(A116,[1]TDSheet!$A:$AV,7,0),0)</f>
        <v>31</v>
      </c>
      <c r="L116" s="26">
        <f t="shared" si="3"/>
        <v>0.35227272727272729</v>
      </c>
      <c r="M116" s="26">
        <f t="shared" si="4"/>
        <v>1.4090909090909092</v>
      </c>
      <c r="N116" s="37">
        <f t="shared" si="5"/>
        <v>2.8388278388278388E-2</v>
      </c>
    </row>
    <row r="117" spans="1:14" ht="11.1" customHeight="1" x14ac:dyDescent="0.2">
      <c r="A117" s="22" t="s">
        <v>232</v>
      </c>
      <c r="B117" s="22"/>
      <c r="C117" s="22"/>
      <c r="D117" s="22" t="s">
        <v>233</v>
      </c>
      <c r="E117" s="22"/>
      <c r="F117" s="5">
        <v>40.609000000000002</v>
      </c>
      <c r="G117" s="5">
        <v>40.609000000000002</v>
      </c>
      <c r="H117" s="10"/>
      <c r="I117" s="10"/>
      <c r="J117">
        <f>IFERROR(VLOOKUP(A117,[1]TDSheet!$A:$AV,6,0),0)</f>
        <v>20.190000000000001</v>
      </c>
      <c r="K117">
        <f>IFERROR(VLOOKUP(A117,[1]TDSheet!$A:$AV,7,0),0)</f>
        <v>20.190000000000001</v>
      </c>
      <c r="L117" s="26">
        <f t="shared" si="3"/>
        <v>0.91772727272727284</v>
      </c>
      <c r="M117" s="26">
        <f t="shared" si="4"/>
        <v>0.91772727272727284</v>
      </c>
      <c r="N117" s="37">
        <f t="shared" si="5"/>
        <v>0.49718042798394446</v>
      </c>
    </row>
    <row r="118" spans="1:14" ht="11.1" customHeight="1" x14ac:dyDescent="0.2">
      <c r="A118" s="38" t="s">
        <v>234</v>
      </c>
      <c r="B118" s="38"/>
      <c r="C118" s="38"/>
      <c r="D118" s="38" t="s">
        <v>235</v>
      </c>
      <c r="E118" s="38"/>
      <c r="F118" s="39">
        <v>0.27500000000000002</v>
      </c>
      <c r="G118" s="39">
        <v>5</v>
      </c>
      <c r="H118" s="39">
        <v>5.5E-2</v>
      </c>
      <c r="I118" s="39">
        <v>1</v>
      </c>
      <c r="J118" s="40">
        <f>IFERROR(VLOOKUP(A118,[1]TDSheet!$A:$AV,6,0),0)</f>
        <v>0</v>
      </c>
      <c r="K118" s="40">
        <f>IFERROR(VLOOKUP(A118,[1]TDSheet!$A:$AV,7,0),0)</f>
        <v>0</v>
      </c>
      <c r="L118" s="41">
        <f t="shared" si="3"/>
        <v>0</v>
      </c>
      <c r="M118" s="41">
        <f t="shared" si="4"/>
        <v>0</v>
      </c>
      <c r="N118" s="42">
        <f t="shared" si="5"/>
        <v>0</v>
      </c>
    </row>
    <row r="119" spans="1:14" ht="21.95" customHeight="1" x14ac:dyDescent="0.2">
      <c r="A119" s="38" t="s">
        <v>236</v>
      </c>
      <c r="B119" s="38"/>
      <c r="C119" s="38"/>
      <c r="D119" s="38" t="s">
        <v>237</v>
      </c>
      <c r="E119" s="38"/>
      <c r="F119" s="46">
        <v>1</v>
      </c>
      <c r="G119" s="39">
        <v>10</v>
      </c>
      <c r="H119" s="45"/>
      <c r="I119" s="45"/>
      <c r="J119" s="40">
        <f>IFERROR(VLOOKUP(A119,[1]TDSheet!$A:$AV,6,0),0)</f>
        <v>0</v>
      </c>
      <c r="K119" s="40">
        <f>IFERROR(VLOOKUP(A119,[1]TDSheet!$A:$AV,7,0),0)</f>
        <v>0</v>
      </c>
      <c r="L119" s="41">
        <f t="shared" si="3"/>
        <v>0</v>
      </c>
      <c r="M119" s="41">
        <f t="shared" si="4"/>
        <v>0</v>
      </c>
      <c r="N119" s="42">
        <f t="shared" si="5"/>
        <v>0</v>
      </c>
    </row>
    <row r="120" spans="1:14" ht="21.95" customHeight="1" x14ac:dyDescent="0.2">
      <c r="A120" s="38" t="s">
        <v>238</v>
      </c>
      <c r="B120" s="38"/>
      <c r="C120" s="38"/>
      <c r="D120" s="38" t="s">
        <v>239</v>
      </c>
      <c r="E120" s="38"/>
      <c r="F120" s="44">
        <v>0.4</v>
      </c>
      <c r="G120" s="39">
        <v>4</v>
      </c>
      <c r="H120" s="45"/>
      <c r="I120" s="45"/>
      <c r="J120" s="40">
        <f>IFERROR(VLOOKUP(A120,[1]TDSheet!$A:$AV,6,0),0)</f>
        <v>0</v>
      </c>
      <c r="K120" s="40">
        <f>IFERROR(VLOOKUP(A120,[1]TDSheet!$A:$AV,7,0),0)</f>
        <v>0</v>
      </c>
      <c r="L120" s="41">
        <f t="shared" si="3"/>
        <v>0</v>
      </c>
      <c r="M120" s="41">
        <f t="shared" si="4"/>
        <v>0</v>
      </c>
      <c r="N120" s="42">
        <f t="shared" si="5"/>
        <v>0</v>
      </c>
    </row>
    <row r="121" spans="1:14" ht="11.1" customHeight="1" x14ac:dyDescent="0.2">
      <c r="A121" s="22" t="s">
        <v>240</v>
      </c>
      <c r="B121" s="22"/>
      <c r="C121" s="22"/>
      <c r="D121" s="22" t="s">
        <v>241</v>
      </c>
      <c r="E121" s="22"/>
      <c r="F121" s="13">
        <v>484</v>
      </c>
      <c r="G121" s="4">
        <v>1210</v>
      </c>
      <c r="H121" s="7">
        <v>3.2</v>
      </c>
      <c r="I121" s="5">
        <v>8</v>
      </c>
      <c r="J121">
        <f>IFERROR(VLOOKUP(A121,[1]TDSheet!$A:$AV,6,0),0)</f>
        <v>283.60000000000002</v>
      </c>
      <c r="K121">
        <f>IFERROR(VLOOKUP(A121,[1]TDSheet!$A:$AV,7,0),0)</f>
        <v>709</v>
      </c>
      <c r="L121" s="26">
        <f t="shared" si="3"/>
        <v>12.890909090909092</v>
      </c>
      <c r="M121" s="26">
        <f t="shared" si="4"/>
        <v>32.227272727272727</v>
      </c>
      <c r="N121" s="37">
        <f t="shared" si="5"/>
        <v>0.58595041322314056</v>
      </c>
    </row>
    <row r="122" spans="1:14" ht="11.1" customHeight="1" x14ac:dyDescent="0.2">
      <c r="A122" s="22" t="s">
        <v>242</v>
      </c>
      <c r="B122" s="22"/>
      <c r="C122" s="22"/>
      <c r="D122" s="22" t="s">
        <v>243</v>
      </c>
      <c r="E122" s="22"/>
      <c r="F122" s="5">
        <v>96.855999999999995</v>
      </c>
      <c r="G122" s="5">
        <v>96.855999999999995</v>
      </c>
      <c r="H122" s="5">
        <v>8.7859999999999996</v>
      </c>
      <c r="I122" s="5">
        <v>8.7859999999999996</v>
      </c>
      <c r="J122">
        <f>IFERROR(VLOOKUP(A122,[1]TDSheet!$A:$AV,6,0),0)</f>
        <v>50.018999999999998</v>
      </c>
      <c r="K122">
        <f>IFERROR(VLOOKUP(A122,[1]TDSheet!$A:$AV,7,0),0)</f>
        <v>50.018999999999998</v>
      </c>
      <c r="L122" s="26">
        <f t="shared" si="3"/>
        <v>2.2735909090909092</v>
      </c>
      <c r="M122" s="26">
        <f t="shared" si="4"/>
        <v>2.2735909090909092</v>
      </c>
      <c r="N122" s="37">
        <f t="shared" si="5"/>
        <v>0.51642644750970512</v>
      </c>
    </row>
    <row r="123" spans="1:14" ht="11.1" customHeight="1" x14ac:dyDescent="0.2">
      <c r="A123" s="22" t="s">
        <v>244</v>
      </c>
      <c r="B123" s="22"/>
      <c r="C123" s="22"/>
      <c r="D123" s="22" t="s">
        <v>245</v>
      </c>
      <c r="E123" s="22"/>
      <c r="F123" s="5">
        <v>248.19900000000001</v>
      </c>
      <c r="G123" s="5">
        <v>248.19900000000001</v>
      </c>
      <c r="H123" s="9">
        <v>4.63</v>
      </c>
      <c r="I123" s="5">
        <v>4.63</v>
      </c>
      <c r="J123">
        <f>IFERROR(VLOOKUP(A123,[1]TDSheet!$A:$AV,6,0),0)</f>
        <v>17.54</v>
      </c>
      <c r="K123">
        <f>IFERROR(VLOOKUP(A123,[1]TDSheet!$A:$AV,7,0),0)</f>
        <v>17.54</v>
      </c>
      <c r="L123" s="26">
        <f t="shared" si="3"/>
        <v>0.79727272727272724</v>
      </c>
      <c r="M123" s="26">
        <f t="shared" si="4"/>
        <v>0.79727272727272724</v>
      </c>
      <c r="N123" s="37">
        <f t="shared" si="5"/>
        <v>7.066910019782513E-2</v>
      </c>
    </row>
    <row r="124" spans="1:14" ht="11.1" customHeight="1" x14ac:dyDescent="0.2">
      <c r="A124" s="22" t="s">
        <v>246</v>
      </c>
      <c r="B124" s="22"/>
      <c r="C124" s="22"/>
      <c r="D124" s="22" t="s">
        <v>247</v>
      </c>
      <c r="E124" s="22"/>
      <c r="F124" s="7">
        <v>359.5</v>
      </c>
      <c r="G124" s="4">
        <v>1438</v>
      </c>
      <c r="H124" s="9">
        <v>6.75</v>
      </c>
      <c r="I124" s="5">
        <v>27</v>
      </c>
      <c r="J124">
        <f>IFERROR(VLOOKUP(A124,[1]TDSheet!$A:$AV,6,0),0)</f>
        <v>161</v>
      </c>
      <c r="K124">
        <f>IFERROR(VLOOKUP(A124,[1]TDSheet!$A:$AV,7,0),0)</f>
        <v>644</v>
      </c>
      <c r="L124" s="26">
        <f t="shared" si="3"/>
        <v>7.3181818181818183</v>
      </c>
      <c r="M124" s="26">
        <f t="shared" si="4"/>
        <v>29.272727272727273</v>
      </c>
      <c r="N124" s="37">
        <f t="shared" si="5"/>
        <v>0.4478442280945758</v>
      </c>
    </row>
    <row r="125" spans="1:14" ht="11.1" customHeight="1" x14ac:dyDescent="0.2">
      <c r="A125" s="22" t="s">
        <v>248</v>
      </c>
      <c r="B125" s="22"/>
      <c r="C125" s="22"/>
      <c r="D125" s="22" t="s">
        <v>249</v>
      </c>
      <c r="E125" s="22"/>
      <c r="F125" s="4">
        <v>1131.3119999999999</v>
      </c>
      <c r="G125" s="4">
        <v>1131.3119999999999</v>
      </c>
      <c r="H125" s="5">
        <v>15.082000000000001</v>
      </c>
      <c r="I125" s="5">
        <v>15.082000000000001</v>
      </c>
      <c r="J125">
        <f>IFERROR(VLOOKUP(A125,[1]TDSheet!$A:$AV,6,0),0)</f>
        <v>720.81799999999998</v>
      </c>
      <c r="K125">
        <f>IFERROR(VLOOKUP(A125,[1]TDSheet!$A:$AV,7,0),0)</f>
        <v>720.81799999999998</v>
      </c>
      <c r="L125" s="26">
        <f t="shared" si="3"/>
        <v>32.764454545454548</v>
      </c>
      <c r="M125" s="26">
        <f t="shared" si="4"/>
        <v>32.764454545454548</v>
      </c>
      <c r="N125" s="37">
        <f t="shared" si="5"/>
        <v>0.63715226215226217</v>
      </c>
    </row>
    <row r="126" spans="1:14" ht="11.1" customHeight="1" x14ac:dyDescent="0.2">
      <c r="A126" s="22" t="s">
        <v>250</v>
      </c>
      <c r="B126" s="22"/>
      <c r="C126" s="22"/>
      <c r="D126" s="22" t="s">
        <v>251</v>
      </c>
      <c r="E126" s="22"/>
      <c r="F126" s="5">
        <v>139.67599999999999</v>
      </c>
      <c r="G126" s="5">
        <v>139.67599999999999</v>
      </c>
      <c r="H126" s="5">
        <v>2.4820000000000002</v>
      </c>
      <c r="I126" s="5">
        <v>2.4820000000000002</v>
      </c>
      <c r="J126">
        <f>IFERROR(VLOOKUP(A126,[1]TDSheet!$A:$AV,6,0),0)</f>
        <v>94.504000000000005</v>
      </c>
      <c r="K126">
        <f>IFERROR(VLOOKUP(A126,[1]TDSheet!$A:$AV,7,0),0)</f>
        <v>94.504000000000005</v>
      </c>
      <c r="L126" s="26">
        <f t="shared" si="3"/>
        <v>4.2956363636363637</v>
      </c>
      <c r="M126" s="26">
        <f t="shared" si="4"/>
        <v>4.2956363636363637</v>
      </c>
      <c r="N126" s="37">
        <f t="shared" si="5"/>
        <v>0.67659440419256001</v>
      </c>
    </row>
    <row r="127" spans="1:14" ht="11.1" customHeight="1" x14ac:dyDescent="0.2">
      <c r="A127" s="22" t="s">
        <v>252</v>
      </c>
      <c r="B127" s="22"/>
      <c r="C127" s="22"/>
      <c r="D127" s="22" t="s">
        <v>253</v>
      </c>
      <c r="E127" s="22"/>
      <c r="F127" s="9">
        <v>86.94</v>
      </c>
      <c r="G127" s="5">
        <v>483</v>
      </c>
      <c r="H127" s="9">
        <v>20.88</v>
      </c>
      <c r="I127" s="5">
        <v>116</v>
      </c>
      <c r="J127">
        <f>IFERROR(VLOOKUP(A127,[1]TDSheet!$A:$AV,6,0),0)</f>
        <v>44.46</v>
      </c>
      <c r="K127">
        <f>IFERROR(VLOOKUP(A127,[1]TDSheet!$A:$AV,7,0),0)</f>
        <v>247</v>
      </c>
      <c r="L127" s="26">
        <f t="shared" si="3"/>
        <v>2.020909090909091</v>
      </c>
      <c r="M127" s="26">
        <f t="shared" si="4"/>
        <v>11.227272727272727</v>
      </c>
      <c r="N127" s="37">
        <f t="shared" si="5"/>
        <v>0.51138716356107661</v>
      </c>
    </row>
    <row r="128" spans="1:14" ht="11.1" customHeight="1" x14ac:dyDescent="0.2">
      <c r="A128" s="22" t="s">
        <v>254</v>
      </c>
      <c r="B128" s="22"/>
      <c r="C128" s="22"/>
      <c r="D128" s="22" t="s">
        <v>255</v>
      </c>
      <c r="E128" s="22"/>
      <c r="F128" s="9">
        <v>3.42</v>
      </c>
      <c r="G128" s="5">
        <v>19</v>
      </c>
      <c r="H128" s="9">
        <v>0.36</v>
      </c>
      <c r="I128" s="5">
        <v>2</v>
      </c>
      <c r="J128">
        <f>IFERROR(VLOOKUP(A128,[1]TDSheet!$A:$AV,6,0),0)</f>
        <v>0.36</v>
      </c>
      <c r="K128">
        <f>IFERROR(VLOOKUP(A128,[1]TDSheet!$A:$AV,7,0),0)</f>
        <v>2</v>
      </c>
      <c r="L128" s="26">
        <f t="shared" si="3"/>
        <v>1.6363636363636361E-2</v>
      </c>
      <c r="M128" s="26">
        <f t="shared" si="4"/>
        <v>9.0909090909090912E-2</v>
      </c>
      <c r="N128" s="37">
        <f t="shared" si="5"/>
        <v>0.10526315789473684</v>
      </c>
    </row>
    <row r="129" spans="1:14" ht="11.1" customHeight="1" x14ac:dyDescent="0.2">
      <c r="A129" s="22" t="s">
        <v>256</v>
      </c>
      <c r="B129" s="22"/>
      <c r="C129" s="22"/>
      <c r="D129" s="22" t="s">
        <v>257</v>
      </c>
      <c r="E129" s="22"/>
      <c r="F129" s="5">
        <v>127.583</v>
      </c>
      <c r="G129" s="5">
        <v>127.583</v>
      </c>
      <c r="H129" s="5">
        <v>3.2530000000000001</v>
      </c>
      <c r="I129" s="5">
        <v>3.2530000000000001</v>
      </c>
      <c r="J129">
        <f>IFERROR(VLOOKUP(A129,[1]TDSheet!$A:$AV,6,0),0)</f>
        <v>81.715000000000003</v>
      </c>
      <c r="K129">
        <f>IFERROR(VLOOKUP(A129,[1]TDSheet!$A:$AV,7,0),0)</f>
        <v>81.715000000000003</v>
      </c>
      <c r="L129" s="26">
        <f t="shared" si="3"/>
        <v>3.7143181818181819</v>
      </c>
      <c r="M129" s="26">
        <f t="shared" si="4"/>
        <v>3.7143181818181819</v>
      </c>
      <c r="N129" s="37">
        <f t="shared" si="5"/>
        <v>0.64048501759638832</v>
      </c>
    </row>
    <row r="130" spans="1:14" ht="11.1" customHeight="1" x14ac:dyDescent="0.2">
      <c r="A130" s="22" t="s">
        <v>258</v>
      </c>
      <c r="B130" s="22"/>
      <c r="C130" s="22"/>
      <c r="D130" s="22" t="s">
        <v>259</v>
      </c>
      <c r="E130" s="22"/>
      <c r="F130" s="4">
        <v>1184.422</v>
      </c>
      <c r="G130" s="4">
        <v>1184.422</v>
      </c>
      <c r="H130" s="9">
        <v>10.72</v>
      </c>
      <c r="I130" s="5">
        <v>10.72</v>
      </c>
      <c r="J130">
        <f>IFERROR(VLOOKUP(A130,[1]TDSheet!$A:$AV,6,0),0)</f>
        <v>856.529</v>
      </c>
      <c r="K130">
        <f>IFERROR(VLOOKUP(A130,[1]TDSheet!$A:$AV,7,0),0)</f>
        <v>856.529</v>
      </c>
      <c r="L130" s="26">
        <f t="shared" si="3"/>
        <v>38.933136363636365</v>
      </c>
      <c r="M130" s="26">
        <f t="shared" si="4"/>
        <v>38.933136363636365</v>
      </c>
      <c r="N130" s="37">
        <f t="shared" si="5"/>
        <v>0.72316201488996323</v>
      </c>
    </row>
    <row r="131" spans="1:14" ht="21.95" customHeight="1" x14ac:dyDescent="0.2">
      <c r="A131" s="22" t="s">
        <v>260</v>
      </c>
      <c r="B131" s="22"/>
      <c r="C131" s="22"/>
      <c r="D131" s="22" t="s">
        <v>261</v>
      </c>
      <c r="E131" s="22"/>
      <c r="F131" s="5">
        <v>34.823999999999998</v>
      </c>
      <c r="G131" s="5">
        <v>34.823999999999998</v>
      </c>
      <c r="H131" s="10"/>
      <c r="I131" s="10"/>
      <c r="J131">
        <f>IFERROR(VLOOKUP(A131,[1]TDSheet!$A:$AV,6,0),0)</f>
        <v>3.2559999999999998</v>
      </c>
      <c r="K131">
        <f>IFERROR(VLOOKUP(A131,[1]TDSheet!$A:$AV,7,0),0)</f>
        <v>3.2559999999999998</v>
      </c>
      <c r="L131" s="26">
        <f t="shared" si="3"/>
        <v>0.14799999999999999</v>
      </c>
      <c r="M131" s="26">
        <f t="shared" si="4"/>
        <v>0.14799999999999999</v>
      </c>
      <c r="N131" s="37">
        <f t="shared" si="5"/>
        <v>9.3498736503560761E-2</v>
      </c>
    </row>
    <row r="132" spans="1:14" ht="21.95" customHeight="1" x14ac:dyDescent="0.2">
      <c r="A132" s="22" t="s">
        <v>262</v>
      </c>
      <c r="B132" s="22"/>
      <c r="C132" s="22"/>
      <c r="D132" s="22" t="s">
        <v>263</v>
      </c>
      <c r="E132" s="22"/>
      <c r="F132" s="7">
        <v>90.3</v>
      </c>
      <c r="G132" s="5">
        <v>301</v>
      </c>
      <c r="H132" s="7">
        <v>8.6999999999999993</v>
      </c>
      <c r="I132" s="5">
        <v>29</v>
      </c>
      <c r="J132">
        <f>IFERROR(VLOOKUP(A132,[1]TDSheet!$A:$AV,6,0),0)</f>
        <v>18</v>
      </c>
      <c r="K132">
        <f>IFERROR(VLOOKUP(A132,[1]TDSheet!$A:$AV,7,0),0)</f>
        <v>60</v>
      </c>
      <c r="L132" s="26">
        <f t="shared" si="3"/>
        <v>0.81818181818181823</v>
      </c>
      <c r="M132" s="26">
        <f t="shared" si="4"/>
        <v>2.7272727272727271</v>
      </c>
      <c r="N132" s="37">
        <f t="shared" si="5"/>
        <v>0.19933554817275748</v>
      </c>
    </row>
    <row r="133" spans="1:14" ht="11.1" customHeight="1" x14ac:dyDescent="0.2">
      <c r="A133" s="22" t="s">
        <v>264</v>
      </c>
      <c r="B133" s="22"/>
      <c r="C133" s="22"/>
      <c r="D133" s="22" t="s">
        <v>265</v>
      </c>
      <c r="E133" s="22"/>
      <c r="F133" s="7">
        <v>-8.6999999999999993</v>
      </c>
      <c r="G133" s="5">
        <v>-29</v>
      </c>
      <c r="H133" s="7">
        <v>13.8</v>
      </c>
      <c r="I133" s="5">
        <v>46</v>
      </c>
      <c r="J133">
        <f>IFERROR(VLOOKUP(A133,[1]TDSheet!$A:$AV,6,0),0)</f>
        <v>-3</v>
      </c>
      <c r="K133">
        <f>IFERROR(VLOOKUP(A133,[1]TDSheet!$A:$AV,7,0),0)</f>
        <v>-10</v>
      </c>
      <c r="L133" s="26">
        <f t="shared" si="3"/>
        <v>-0.13636363636363635</v>
      </c>
      <c r="M133" s="26">
        <f t="shared" si="4"/>
        <v>-0.45454545454545453</v>
      </c>
      <c r="N133" s="37">
        <f t="shared" si="5"/>
        <v>0.34482758620689657</v>
      </c>
    </row>
    <row r="134" spans="1:14" ht="11.1" customHeight="1" x14ac:dyDescent="0.2">
      <c r="A134" s="22" t="s">
        <v>266</v>
      </c>
      <c r="B134" s="22"/>
      <c r="C134" s="22"/>
      <c r="D134" s="22" t="s">
        <v>267</v>
      </c>
      <c r="E134" s="22"/>
      <c r="F134" s="13">
        <v>246</v>
      </c>
      <c r="G134" s="5">
        <v>984</v>
      </c>
      <c r="H134" s="9">
        <v>1.25</v>
      </c>
      <c r="I134" s="5">
        <v>5</v>
      </c>
      <c r="J134">
        <f>IFERROR(VLOOKUP(A134,[1]TDSheet!$A:$AV,6,0),0)</f>
        <v>167</v>
      </c>
      <c r="K134">
        <f>IFERROR(VLOOKUP(A134,[1]TDSheet!$A:$AV,7,0),0)</f>
        <v>668</v>
      </c>
      <c r="L134" s="26">
        <f t="shared" si="3"/>
        <v>7.5909090909090908</v>
      </c>
      <c r="M134" s="26">
        <f t="shared" si="4"/>
        <v>30.363636363636363</v>
      </c>
      <c r="N134" s="37">
        <f t="shared" si="5"/>
        <v>0.67886178861788615</v>
      </c>
    </row>
    <row r="135" spans="1:14" ht="11.1" customHeight="1" x14ac:dyDescent="0.2">
      <c r="A135" s="22" t="s">
        <v>268</v>
      </c>
      <c r="B135" s="22"/>
      <c r="C135" s="22"/>
      <c r="D135" s="22" t="s">
        <v>269</v>
      </c>
      <c r="E135" s="22"/>
      <c r="F135" s="5">
        <v>65.835999999999999</v>
      </c>
      <c r="G135" s="5">
        <v>65.835999999999999</v>
      </c>
      <c r="H135" s="10"/>
      <c r="I135" s="10"/>
      <c r="J135">
        <f>IFERROR(VLOOKUP(A135,[1]TDSheet!$A:$AV,6,0),0)</f>
        <v>29.334</v>
      </c>
      <c r="K135">
        <f>IFERROR(VLOOKUP(A135,[1]TDSheet!$A:$AV,7,0),0)</f>
        <v>29.334</v>
      </c>
      <c r="L135" s="26">
        <f t="shared" si="3"/>
        <v>1.3333636363636363</v>
      </c>
      <c r="M135" s="26">
        <f t="shared" si="4"/>
        <v>1.3333636363636363</v>
      </c>
      <c r="N135" s="37">
        <f t="shared" si="5"/>
        <v>0.44556169876663226</v>
      </c>
    </row>
    <row r="136" spans="1:14" ht="11.1" customHeight="1" x14ac:dyDescent="0.2">
      <c r="A136" s="22" t="s">
        <v>270</v>
      </c>
      <c r="B136" s="22"/>
      <c r="C136" s="22"/>
      <c r="D136" s="22" t="s">
        <v>271</v>
      </c>
      <c r="E136" s="22"/>
      <c r="F136" s="7">
        <v>47.7</v>
      </c>
      <c r="G136" s="5">
        <v>159</v>
      </c>
      <c r="H136" s="7">
        <v>3.9</v>
      </c>
      <c r="I136" s="5">
        <v>13</v>
      </c>
      <c r="J136">
        <f>IFERROR(VLOOKUP(A136,[1]TDSheet!$A:$AV,6,0),0)</f>
        <v>10.5</v>
      </c>
      <c r="K136">
        <f>IFERROR(VLOOKUP(A136,[1]TDSheet!$A:$AV,7,0),0)</f>
        <v>35</v>
      </c>
      <c r="L136" s="26">
        <f t="shared" ref="L136:L199" si="6">J136/$L$2</f>
        <v>0.47727272727272729</v>
      </c>
      <c r="M136" s="26">
        <f t="shared" ref="M136:M199" si="7">K136/$L$2</f>
        <v>1.5909090909090908</v>
      </c>
      <c r="N136" s="37">
        <f t="shared" ref="N136:N199" si="8">IF(J136/F136&lt;0,0,J136/F136)</f>
        <v>0.22012578616352199</v>
      </c>
    </row>
    <row r="137" spans="1:14" ht="11.1" customHeight="1" x14ac:dyDescent="0.2">
      <c r="A137" s="22" t="s">
        <v>272</v>
      </c>
      <c r="B137" s="22"/>
      <c r="C137" s="22"/>
      <c r="D137" s="22" t="s">
        <v>273</v>
      </c>
      <c r="E137" s="22"/>
      <c r="F137" s="9">
        <v>18.36</v>
      </c>
      <c r="G137" s="5">
        <v>153</v>
      </c>
      <c r="H137" s="9">
        <v>0.96</v>
      </c>
      <c r="I137" s="5">
        <v>8</v>
      </c>
      <c r="J137">
        <f>IFERROR(VLOOKUP(A137,[1]TDSheet!$A:$AV,6,0),0)</f>
        <v>4.5599999999999996</v>
      </c>
      <c r="K137">
        <f>IFERROR(VLOOKUP(A137,[1]TDSheet!$A:$AV,7,0),0)</f>
        <v>38</v>
      </c>
      <c r="L137" s="26">
        <f t="shared" si="6"/>
        <v>0.20727272727272725</v>
      </c>
      <c r="M137" s="26">
        <f t="shared" si="7"/>
        <v>1.7272727272727273</v>
      </c>
      <c r="N137" s="37">
        <f t="shared" si="8"/>
        <v>0.2483660130718954</v>
      </c>
    </row>
    <row r="138" spans="1:14" ht="11.1" customHeight="1" x14ac:dyDescent="0.2">
      <c r="A138" s="22" t="s">
        <v>274</v>
      </c>
      <c r="B138" s="22"/>
      <c r="C138" s="22"/>
      <c r="D138" s="22" t="s">
        <v>275</v>
      </c>
      <c r="E138" s="22"/>
      <c r="F138" s="5">
        <v>369.55200000000002</v>
      </c>
      <c r="G138" s="5">
        <v>369.55200000000002</v>
      </c>
      <c r="H138" s="5">
        <v>8.0960000000000001</v>
      </c>
      <c r="I138" s="5">
        <v>8.0960000000000001</v>
      </c>
      <c r="J138">
        <f>IFERROR(VLOOKUP(A138,[1]TDSheet!$A:$AV,6,0),0)</f>
        <v>277.32900000000001</v>
      </c>
      <c r="K138">
        <f>IFERROR(VLOOKUP(A138,[1]TDSheet!$A:$AV,7,0),0)</f>
        <v>277.32900000000001</v>
      </c>
      <c r="L138" s="26">
        <f t="shared" si="6"/>
        <v>12.605863636363637</v>
      </c>
      <c r="M138" s="26">
        <f t="shared" si="7"/>
        <v>12.605863636363637</v>
      </c>
      <c r="N138" s="37">
        <f t="shared" si="8"/>
        <v>0.75044648655669566</v>
      </c>
    </row>
    <row r="139" spans="1:14" ht="11.1" customHeight="1" x14ac:dyDescent="0.2">
      <c r="A139" s="22" t="s">
        <v>276</v>
      </c>
      <c r="B139" s="22"/>
      <c r="C139" s="22"/>
      <c r="D139" s="22" t="s">
        <v>277</v>
      </c>
      <c r="E139" s="22"/>
      <c r="F139" s="13">
        <v>391</v>
      </c>
      <c r="G139" s="4">
        <v>1564</v>
      </c>
      <c r="H139" s="9">
        <v>1.75</v>
      </c>
      <c r="I139" s="5">
        <v>7</v>
      </c>
      <c r="J139">
        <f>IFERROR(VLOOKUP(A139,[1]TDSheet!$A:$AV,6,0),0)</f>
        <v>193.25</v>
      </c>
      <c r="K139">
        <f>IFERROR(VLOOKUP(A139,[1]TDSheet!$A:$AV,7,0),0)</f>
        <v>773</v>
      </c>
      <c r="L139" s="26">
        <f t="shared" si="6"/>
        <v>8.7840909090909083</v>
      </c>
      <c r="M139" s="26">
        <f t="shared" si="7"/>
        <v>35.136363636363633</v>
      </c>
      <c r="N139" s="37">
        <f t="shared" si="8"/>
        <v>0.49424552429667518</v>
      </c>
    </row>
    <row r="140" spans="1:14" ht="11.1" customHeight="1" x14ac:dyDescent="0.2">
      <c r="A140" s="22" t="s">
        <v>278</v>
      </c>
      <c r="B140" s="22"/>
      <c r="C140" s="22"/>
      <c r="D140" s="22" t="s">
        <v>279</v>
      </c>
      <c r="E140" s="22"/>
      <c r="F140" s="7">
        <v>275.60000000000002</v>
      </c>
      <c r="G140" s="5">
        <v>689</v>
      </c>
      <c r="H140" s="7">
        <v>2.8</v>
      </c>
      <c r="I140" s="5">
        <v>7</v>
      </c>
      <c r="J140">
        <f>IFERROR(VLOOKUP(A140,[1]TDSheet!$A:$AV,6,0),0)</f>
        <v>130.80000000000001</v>
      </c>
      <c r="K140">
        <f>IFERROR(VLOOKUP(A140,[1]TDSheet!$A:$AV,7,0),0)</f>
        <v>327</v>
      </c>
      <c r="L140" s="26">
        <f t="shared" si="6"/>
        <v>5.9454545454545462</v>
      </c>
      <c r="M140" s="26">
        <f t="shared" si="7"/>
        <v>14.863636363636363</v>
      </c>
      <c r="N140" s="37">
        <f t="shared" si="8"/>
        <v>0.47460087082728591</v>
      </c>
    </row>
    <row r="141" spans="1:14" ht="11.1" customHeight="1" x14ac:dyDescent="0.2">
      <c r="A141" s="22" t="s">
        <v>280</v>
      </c>
      <c r="B141" s="22"/>
      <c r="C141" s="22"/>
      <c r="D141" s="22" t="s">
        <v>281</v>
      </c>
      <c r="E141" s="22"/>
      <c r="F141" s="5">
        <v>833.52200000000005</v>
      </c>
      <c r="G141" s="5">
        <v>833.52200000000005</v>
      </c>
      <c r="H141" s="5">
        <v>17.684999999999999</v>
      </c>
      <c r="I141" s="5">
        <v>17.684999999999999</v>
      </c>
      <c r="J141">
        <f>IFERROR(VLOOKUP(A141,[1]TDSheet!$A:$AV,6,0),0)</f>
        <v>385.97699999999998</v>
      </c>
      <c r="K141">
        <f>IFERROR(VLOOKUP(A141,[1]TDSheet!$A:$AV,7,0),0)</f>
        <v>385.97699999999998</v>
      </c>
      <c r="L141" s="26">
        <f t="shared" si="6"/>
        <v>17.544409090909088</v>
      </c>
      <c r="M141" s="26">
        <f t="shared" si="7"/>
        <v>17.544409090909088</v>
      </c>
      <c r="N141" s="37">
        <f t="shared" si="8"/>
        <v>0.46306756150407541</v>
      </c>
    </row>
    <row r="142" spans="1:14" ht="11.1" customHeight="1" x14ac:dyDescent="0.2">
      <c r="A142" s="22" t="s">
        <v>282</v>
      </c>
      <c r="B142" s="22"/>
      <c r="C142" s="22"/>
      <c r="D142" s="22" t="s">
        <v>283</v>
      </c>
      <c r="E142" s="22"/>
      <c r="F142" s="9">
        <v>-0.84</v>
      </c>
      <c r="G142" s="5">
        <v>-2</v>
      </c>
      <c r="H142" s="9">
        <v>0.84</v>
      </c>
      <c r="I142" s="5">
        <v>2</v>
      </c>
      <c r="J142">
        <f>IFERROR(VLOOKUP(A142,[1]TDSheet!$A:$AV,6,0),0)</f>
        <v>-0.84</v>
      </c>
      <c r="K142">
        <f>IFERROR(VLOOKUP(A142,[1]TDSheet!$A:$AV,7,0),0)</f>
        <v>-2</v>
      </c>
      <c r="L142" s="26">
        <f t="shared" si="6"/>
        <v>-3.8181818181818178E-2</v>
      </c>
      <c r="M142" s="26">
        <f t="shared" si="7"/>
        <v>-9.0909090909090912E-2</v>
      </c>
      <c r="N142" s="37">
        <f t="shared" si="8"/>
        <v>1</v>
      </c>
    </row>
    <row r="143" spans="1:14" ht="11.1" customHeight="1" x14ac:dyDescent="0.2">
      <c r="A143" s="22" t="s">
        <v>284</v>
      </c>
      <c r="B143" s="22"/>
      <c r="C143" s="22"/>
      <c r="D143" s="22" t="s">
        <v>285</v>
      </c>
      <c r="E143" s="22"/>
      <c r="F143" s="5">
        <v>105.831</v>
      </c>
      <c r="G143" s="5">
        <v>105.831</v>
      </c>
      <c r="H143" s="5">
        <v>0.499</v>
      </c>
      <c r="I143" s="5">
        <v>0.499</v>
      </c>
      <c r="J143">
        <f>IFERROR(VLOOKUP(A143,[1]TDSheet!$A:$AV,6,0),0)</f>
        <v>71.116</v>
      </c>
      <c r="K143">
        <f>IFERROR(VLOOKUP(A143,[1]TDSheet!$A:$AV,7,0),0)</f>
        <v>71.116</v>
      </c>
      <c r="L143" s="26">
        <f t="shared" si="6"/>
        <v>3.2325454545454546</v>
      </c>
      <c r="M143" s="26">
        <f t="shared" si="7"/>
        <v>3.2325454545454546</v>
      </c>
      <c r="N143" s="37">
        <f t="shared" si="8"/>
        <v>0.67197701996579451</v>
      </c>
    </row>
    <row r="144" spans="1:14" ht="11.1" customHeight="1" x14ac:dyDescent="0.2">
      <c r="A144" s="22" t="s">
        <v>286</v>
      </c>
      <c r="B144" s="22"/>
      <c r="C144" s="22"/>
      <c r="D144" s="22" t="s">
        <v>287</v>
      </c>
      <c r="E144" s="22"/>
      <c r="F144" s="5">
        <v>22.923999999999999</v>
      </c>
      <c r="G144" s="5">
        <v>22.923999999999999</v>
      </c>
      <c r="H144" s="10"/>
      <c r="I144" s="10"/>
      <c r="J144">
        <f>IFERROR(VLOOKUP(A144,[1]TDSheet!$A:$AV,6,0),0)</f>
        <v>4.5999999999999996</v>
      </c>
      <c r="K144">
        <f>IFERROR(VLOOKUP(A144,[1]TDSheet!$A:$AV,7,0),0)</f>
        <v>4.5999999999999996</v>
      </c>
      <c r="L144" s="26">
        <f t="shared" si="6"/>
        <v>0.20909090909090908</v>
      </c>
      <c r="M144" s="26">
        <f t="shared" si="7"/>
        <v>0.20909090909090908</v>
      </c>
      <c r="N144" s="37">
        <f t="shared" si="8"/>
        <v>0.2006630605478974</v>
      </c>
    </row>
    <row r="145" spans="1:14" ht="11.1" customHeight="1" x14ac:dyDescent="0.2">
      <c r="A145" s="22" t="s">
        <v>288</v>
      </c>
      <c r="B145" s="22"/>
      <c r="C145" s="22"/>
      <c r="D145" s="22" t="s">
        <v>289</v>
      </c>
      <c r="E145" s="22"/>
      <c r="F145" s="9">
        <v>23.91</v>
      </c>
      <c r="G145" s="5">
        <v>23.91</v>
      </c>
      <c r="H145" s="10"/>
      <c r="I145" s="10"/>
      <c r="J145">
        <f>IFERROR(VLOOKUP(A145,[1]TDSheet!$A:$AV,6,0),0)</f>
        <v>4.5519999999999996</v>
      </c>
      <c r="K145">
        <f>IFERROR(VLOOKUP(A145,[1]TDSheet!$A:$AV,7,0),0)</f>
        <v>4.5519999999999996</v>
      </c>
      <c r="L145" s="26">
        <f t="shared" si="6"/>
        <v>0.2069090909090909</v>
      </c>
      <c r="M145" s="26">
        <f t="shared" si="7"/>
        <v>0.2069090909090909</v>
      </c>
      <c r="N145" s="37">
        <f t="shared" si="8"/>
        <v>0.19038059389376827</v>
      </c>
    </row>
    <row r="146" spans="1:14" ht="11.1" customHeight="1" x14ac:dyDescent="0.2">
      <c r="A146" s="22" t="s">
        <v>290</v>
      </c>
      <c r="B146" s="22"/>
      <c r="C146" s="22"/>
      <c r="D146" s="22" t="s">
        <v>291</v>
      </c>
      <c r="E146" s="22"/>
      <c r="F146" s="13">
        <v>12</v>
      </c>
      <c r="G146" s="5">
        <v>30</v>
      </c>
      <c r="H146" s="7">
        <v>2.4</v>
      </c>
      <c r="I146" s="5">
        <v>6</v>
      </c>
      <c r="J146">
        <f>IFERROR(VLOOKUP(A146,[1]TDSheet!$A:$AV,6,0),0)</f>
        <v>12.4</v>
      </c>
      <c r="K146">
        <f>IFERROR(VLOOKUP(A146,[1]TDSheet!$A:$AV,7,0),0)</f>
        <v>31</v>
      </c>
      <c r="L146" s="26">
        <f t="shared" si="6"/>
        <v>0.5636363636363636</v>
      </c>
      <c r="M146" s="26">
        <f t="shared" si="7"/>
        <v>1.4090909090909092</v>
      </c>
      <c r="N146" s="37">
        <f t="shared" si="8"/>
        <v>1.0333333333333334</v>
      </c>
    </row>
    <row r="147" spans="1:14" ht="11.1" customHeight="1" x14ac:dyDescent="0.2">
      <c r="A147" s="22" t="s">
        <v>292</v>
      </c>
      <c r="B147" s="22"/>
      <c r="C147" s="22"/>
      <c r="D147" s="22" t="s">
        <v>293</v>
      </c>
      <c r="E147" s="22"/>
      <c r="F147" s="5">
        <v>630.90099999999995</v>
      </c>
      <c r="G147" s="5">
        <v>630.90099999999995</v>
      </c>
      <c r="H147" s="5">
        <v>9.7439999999999998</v>
      </c>
      <c r="I147" s="5">
        <v>9.7439999999999998</v>
      </c>
      <c r="J147">
        <f>IFERROR(VLOOKUP(A147,[1]TDSheet!$A:$AV,6,0),0)</f>
        <v>348.29399999999998</v>
      </c>
      <c r="K147">
        <f>IFERROR(VLOOKUP(A147,[1]TDSheet!$A:$AV,7,0),0)</f>
        <v>348.29399999999998</v>
      </c>
      <c r="L147" s="26">
        <f t="shared" si="6"/>
        <v>15.831545454545454</v>
      </c>
      <c r="M147" s="26">
        <f t="shared" si="7"/>
        <v>15.831545454545454</v>
      </c>
      <c r="N147" s="37">
        <f t="shared" si="8"/>
        <v>0.55205808835300629</v>
      </c>
    </row>
    <row r="148" spans="1:14" ht="11.1" customHeight="1" x14ac:dyDescent="0.2">
      <c r="A148" s="22" t="s">
        <v>294</v>
      </c>
      <c r="B148" s="22"/>
      <c r="C148" s="22"/>
      <c r="D148" s="22" t="s">
        <v>295</v>
      </c>
      <c r="E148" s="22"/>
      <c r="F148" s="9">
        <v>1.68</v>
      </c>
      <c r="G148" s="5">
        <v>4</v>
      </c>
      <c r="H148" s="9">
        <v>1.26</v>
      </c>
      <c r="I148" s="5">
        <v>3</v>
      </c>
      <c r="J148">
        <f>IFERROR(VLOOKUP(A148,[1]TDSheet!$A:$AV,6,0),0)</f>
        <v>1.26</v>
      </c>
      <c r="K148">
        <f>IFERROR(VLOOKUP(A148,[1]TDSheet!$A:$AV,7,0),0)</f>
        <v>3</v>
      </c>
      <c r="L148" s="26">
        <f t="shared" si="6"/>
        <v>5.7272727272727274E-2</v>
      </c>
      <c r="M148" s="26">
        <f t="shared" si="7"/>
        <v>0.13636363636363635</v>
      </c>
      <c r="N148" s="37">
        <f t="shared" si="8"/>
        <v>0.75</v>
      </c>
    </row>
    <row r="149" spans="1:14" ht="11.1" customHeight="1" x14ac:dyDescent="0.2">
      <c r="A149" s="22" t="s">
        <v>296</v>
      </c>
      <c r="B149" s="22"/>
      <c r="C149" s="22"/>
      <c r="D149" s="22" t="s">
        <v>297</v>
      </c>
      <c r="E149" s="22"/>
      <c r="F149" s="9">
        <v>392.92</v>
      </c>
      <c r="G149" s="4">
        <v>1786</v>
      </c>
      <c r="H149" s="9">
        <v>0.88</v>
      </c>
      <c r="I149" s="5">
        <v>4</v>
      </c>
      <c r="J149">
        <f>IFERROR(VLOOKUP(A149,[1]TDSheet!$A:$AV,6,0),0)</f>
        <v>207.46</v>
      </c>
      <c r="K149">
        <f>IFERROR(VLOOKUP(A149,[1]TDSheet!$A:$AV,7,0),0)</f>
        <v>943</v>
      </c>
      <c r="L149" s="26">
        <f t="shared" si="6"/>
        <v>9.43</v>
      </c>
      <c r="M149" s="26">
        <f t="shared" si="7"/>
        <v>42.863636363636367</v>
      </c>
      <c r="N149" s="37">
        <f t="shared" si="8"/>
        <v>0.52799552071668532</v>
      </c>
    </row>
    <row r="150" spans="1:14" ht="11.1" customHeight="1" x14ac:dyDescent="0.2">
      <c r="A150" s="22" t="s">
        <v>298</v>
      </c>
      <c r="B150" s="22"/>
      <c r="C150" s="22"/>
      <c r="D150" s="22" t="s">
        <v>299</v>
      </c>
      <c r="E150" s="22"/>
      <c r="F150" s="5">
        <v>43.628</v>
      </c>
      <c r="G150" s="5">
        <v>43.628</v>
      </c>
      <c r="H150" s="5">
        <v>2.1520000000000001</v>
      </c>
      <c r="I150" s="5">
        <v>2.1520000000000001</v>
      </c>
      <c r="J150">
        <f>IFERROR(VLOOKUP(A150,[1]TDSheet!$A:$AV,6,0),0)</f>
        <v>3.28</v>
      </c>
      <c r="K150">
        <f>IFERROR(VLOOKUP(A150,[1]TDSheet!$A:$AV,7,0),0)</f>
        <v>3.28</v>
      </c>
      <c r="L150" s="26">
        <f t="shared" si="6"/>
        <v>0.14909090909090908</v>
      </c>
      <c r="M150" s="26">
        <f t="shared" si="7"/>
        <v>0.14909090909090908</v>
      </c>
      <c r="N150" s="37">
        <f t="shared" si="8"/>
        <v>7.5181076372971486E-2</v>
      </c>
    </row>
    <row r="151" spans="1:14" ht="11.1" customHeight="1" x14ac:dyDescent="0.2">
      <c r="A151" s="38" t="s">
        <v>300</v>
      </c>
      <c r="B151" s="38"/>
      <c r="C151" s="38"/>
      <c r="D151" s="38" t="s">
        <v>301</v>
      </c>
      <c r="E151" s="38"/>
      <c r="F151" s="43">
        <v>12.07</v>
      </c>
      <c r="G151" s="39">
        <v>12.07</v>
      </c>
      <c r="H151" s="45"/>
      <c r="I151" s="45"/>
      <c r="J151" s="40">
        <f>IFERROR(VLOOKUP(A151,[1]TDSheet!$A:$AV,6,0),0)</f>
        <v>0</v>
      </c>
      <c r="K151" s="40">
        <f>IFERROR(VLOOKUP(A151,[1]TDSheet!$A:$AV,7,0),0)</f>
        <v>0</v>
      </c>
      <c r="L151" s="41">
        <f t="shared" si="6"/>
        <v>0</v>
      </c>
      <c r="M151" s="41">
        <f t="shared" si="7"/>
        <v>0</v>
      </c>
      <c r="N151" s="42">
        <f t="shared" si="8"/>
        <v>0</v>
      </c>
    </row>
    <row r="152" spans="1:14" ht="11.1" customHeight="1" x14ac:dyDescent="0.2">
      <c r="A152" s="22" t="s">
        <v>302</v>
      </c>
      <c r="B152" s="22"/>
      <c r="C152" s="22"/>
      <c r="D152" s="22" t="s">
        <v>303</v>
      </c>
      <c r="E152" s="22"/>
      <c r="F152" s="7">
        <v>77.7</v>
      </c>
      <c r="G152" s="5">
        <v>259</v>
      </c>
      <c r="H152" s="7">
        <v>1.2</v>
      </c>
      <c r="I152" s="5">
        <v>4</v>
      </c>
      <c r="J152">
        <f>IFERROR(VLOOKUP(A152,[1]TDSheet!$A:$AV,6,0),0)</f>
        <v>12.6</v>
      </c>
      <c r="K152">
        <f>IFERROR(VLOOKUP(A152,[1]TDSheet!$A:$AV,7,0),0)</f>
        <v>42</v>
      </c>
      <c r="L152" s="26">
        <f t="shared" si="6"/>
        <v>0.57272727272727275</v>
      </c>
      <c r="M152" s="26">
        <f t="shared" si="7"/>
        <v>1.9090909090909092</v>
      </c>
      <c r="N152" s="37">
        <f t="shared" si="8"/>
        <v>0.16216216216216214</v>
      </c>
    </row>
    <row r="153" spans="1:14" ht="11.1" customHeight="1" x14ac:dyDescent="0.2">
      <c r="A153" s="22" t="s">
        <v>304</v>
      </c>
      <c r="B153" s="22"/>
      <c r="C153" s="22"/>
      <c r="D153" s="22" t="s">
        <v>305</v>
      </c>
      <c r="E153" s="22"/>
      <c r="F153" s="7">
        <v>62.7</v>
      </c>
      <c r="G153" s="5">
        <v>209</v>
      </c>
      <c r="H153" s="10"/>
      <c r="I153" s="10"/>
      <c r="J153">
        <f>IFERROR(VLOOKUP(A153,[1]TDSheet!$A:$AV,6,0),0)</f>
        <v>18.3</v>
      </c>
      <c r="K153">
        <f>IFERROR(VLOOKUP(A153,[1]TDSheet!$A:$AV,7,0),0)</f>
        <v>61</v>
      </c>
      <c r="L153" s="26">
        <f t="shared" si="6"/>
        <v>0.8318181818181819</v>
      </c>
      <c r="M153" s="26">
        <f t="shared" si="7"/>
        <v>2.7727272727272729</v>
      </c>
      <c r="N153" s="37">
        <f t="shared" si="8"/>
        <v>0.291866028708134</v>
      </c>
    </row>
    <row r="154" spans="1:14" ht="11.1" customHeight="1" x14ac:dyDescent="0.2">
      <c r="A154" s="22" t="s">
        <v>306</v>
      </c>
      <c r="B154" s="22"/>
      <c r="C154" s="22"/>
      <c r="D154" s="22" t="s">
        <v>307</v>
      </c>
      <c r="E154" s="22"/>
      <c r="F154" s="7">
        <v>131.6</v>
      </c>
      <c r="G154" s="5">
        <v>376</v>
      </c>
      <c r="H154" s="7">
        <v>0.7</v>
      </c>
      <c r="I154" s="5">
        <v>2</v>
      </c>
      <c r="J154">
        <f>IFERROR(VLOOKUP(A154,[1]TDSheet!$A:$AV,6,0),0)</f>
        <v>25.55</v>
      </c>
      <c r="K154">
        <f>IFERROR(VLOOKUP(A154,[1]TDSheet!$A:$AV,7,0),0)</f>
        <v>73</v>
      </c>
      <c r="L154" s="26">
        <f t="shared" si="6"/>
        <v>1.1613636363636364</v>
      </c>
      <c r="M154" s="26">
        <f t="shared" si="7"/>
        <v>3.3181818181818183</v>
      </c>
      <c r="N154" s="37">
        <f t="shared" si="8"/>
        <v>0.19414893617021278</v>
      </c>
    </row>
    <row r="155" spans="1:14" ht="11.1" customHeight="1" x14ac:dyDescent="0.2">
      <c r="A155" s="22" t="s">
        <v>308</v>
      </c>
      <c r="B155" s="22"/>
      <c r="C155" s="22"/>
      <c r="D155" s="22" t="s">
        <v>309</v>
      </c>
      <c r="E155" s="22"/>
      <c r="F155" s="7">
        <v>48.3</v>
      </c>
      <c r="G155" s="5">
        <v>161</v>
      </c>
      <c r="H155" s="10"/>
      <c r="I155" s="10"/>
      <c r="J155">
        <f>IFERROR(VLOOKUP(A155,[1]TDSheet!$A:$AV,6,0),0)</f>
        <v>11.4</v>
      </c>
      <c r="K155">
        <f>IFERROR(VLOOKUP(A155,[1]TDSheet!$A:$AV,7,0),0)</f>
        <v>38</v>
      </c>
      <c r="L155" s="26">
        <f t="shared" si="6"/>
        <v>0.51818181818181819</v>
      </c>
      <c r="M155" s="26">
        <f t="shared" si="7"/>
        <v>1.7272727272727273</v>
      </c>
      <c r="N155" s="37">
        <f t="shared" si="8"/>
        <v>0.23602484472049692</v>
      </c>
    </row>
    <row r="156" spans="1:14" ht="11.1" customHeight="1" x14ac:dyDescent="0.2">
      <c r="A156" s="22" t="s">
        <v>310</v>
      </c>
      <c r="B156" s="22"/>
      <c r="C156" s="22"/>
      <c r="D156" s="22" t="s">
        <v>311</v>
      </c>
      <c r="E156" s="22"/>
      <c r="F156" s="7">
        <v>1.5</v>
      </c>
      <c r="G156" s="5">
        <v>10</v>
      </c>
      <c r="H156" s="10"/>
      <c r="I156" s="10"/>
      <c r="J156">
        <f>IFERROR(VLOOKUP(A156,[1]TDSheet!$A:$AV,6,0),0)</f>
        <v>1.5</v>
      </c>
      <c r="K156">
        <f>IFERROR(VLOOKUP(A156,[1]TDSheet!$A:$AV,7,0),0)</f>
        <v>10</v>
      </c>
      <c r="L156" s="26">
        <f t="shared" si="6"/>
        <v>6.8181818181818177E-2</v>
      </c>
      <c r="M156" s="26">
        <f t="shared" si="7"/>
        <v>0.45454545454545453</v>
      </c>
      <c r="N156" s="37">
        <f t="shared" si="8"/>
        <v>1</v>
      </c>
    </row>
    <row r="157" spans="1:14" ht="11.1" customHeight="1" x14ac:dyDescent="0.2">
      <c r="A157" s="22" t="s">
        <v>312</v>
      </c>
      <c r="B157" s="22"/>
      <c r="C157" s="22"/>
      <c r="D157" s="22" t="s">
        <v>313</v>
      </c>
      <c r="E157" s="22"/>
      <c r="F157" s="7">
        <v>136.5</v>
      </c>
      <c r="G157" s="5">
        <v>390</v>
      </c>
      <c r="H157" s="7">
        <v>0.7</v>
      </c>
      <c r="I157" s="5">
        <v>2</v>
      </c>
      <c r="J157">
        <f>IFERROR(VLOOKUP(A157,[1]TDSheet!$A:$AV,6,0),0)</f>
        <v>35</v>
      </c>
      <c r="K157">
        <f>IFERROR(VLOOKUP(A157,[1]TDSheet!$A:$AV,7,0),0)</f>
        <v>100</v>
      </c>
      <c r="L157" s="26">
        <f t="shared" si="6"/>
        <v>1.5909090909090908</v>
      </c>
      <c r="M157" s="26">
        <f t="shared" si="7"/>
        <v>4.5454545454545459</v>
      </c>
      <c r="N157" s="37">
        <f t="shared" si="8"/>
        <v>0.25641025641025639</v>
      </c>
    </row>
    <row r="158" spans="1:14" ht="11.1" customHeight="1" x14ac:dyDescent="0.2">
      <c r="A158" s="22" t="s">
        <v>314</v>
      </c>
      <c r="B158" s="22"/>
      <c r="C158" s="22"/>
      <c r="D158" s="22" t="s">
        <v>315</v>
      </c>
      <c r="E158" s="22"/>
      <c r="F158" s="5">
        <v>206.36500000000001</v>
      </c>
      <c r="G158" s="5">
        <v>206.36500000000001</v>
      </c>
      <c r="H158" s="5">
        <v>6.7949999999999999</v>
      </c>
      <c r="I158" s="5">
        <v>6.7949999999999999</v>
      </c>
      <c r="J158">
        <f>IFERROR(VLOOKUP(A158,[1]TDSheet!$A:$AV,6,0),0)</f>
        <v>126.17700000000001</v>
      </c>
      <c r="K158">
        <f>IFERROR(VLOOKUP(A158,[1]TDSheet!$A:$AV,7,0),0)</f>
        <v>126.17700000000001</v>
      </c>
      <c r="L158" s="26">
        <f t="shared" si="6"/>
        <v>5.7353181818181822</v>
      </c>
      <c r="M158" s="26">
        <f t="shared" si="7"/>
        <v>5.7353181818181822</v>
      </c>
      <c r="N158" s="37">
        <f t="shared" si="8"/>
        <v>0.61142635621350516</v>
      </c>
    </row>
    <row r="159" spans="1:14" ht="11.1" customHeight="1" x14ac:dyDescent="0.2">
      <c r="A159" s="22" t="s">
        <v>316</v>
      </c>
      <c r="B159" s="22"/>
      <c r="C159" s="22"/>
      <c r="D159" s="22" t="s">
        <v>317</v>
      </c>
      <c r="E159" s="22"/>
      <c r="F159" s="9">
        <v>72.81</v>
      </c>
      <c r="G159" s="5">
        <v>809</v>
      </c>
      <c r="H159" s="9">
        <v>0.54</v>
      </c>
      <c r="I159" s="5">
        <v>6</v>
      </c>
      <c r="J159">
        <f>IFERROR(VLOOKUP(A159,[1]TDSheet!$A:$AV,6,0),0)</f>
        <v>31.5</v>
      </c>
      <c r="K159">
        <f>IFERROR(VLOOKUP(A159,[1]TDSheet!$A:$AV,7,0),0)</f>
        <v>350</v>
      </c>
      <c r="L159" s="26">
        <f t="shared" si="6"/>
        <v>1.4318181818181819</v>
      </c>
      <c r="M159" s="26">
        <f t="shared" si="7"/>
        <v>15.909090909090908</v>
      </c>
      <c r="N159" s="37">
        <f t="shared" si="8"/>
        <v>0.43263288009888751</v>
      </c>
    </row>
    <row r="160" spans="1:14" ht="11.1" customHeight="1" x14ac:dyDescent="0.2">
      <c r="A160" s="22" t="s">
        <v>318</v>
      </c>
      <c r="B160" s="22"/>
      <c r="C160" s="22"/>
      <c r="D160" s="22" t="s">
        <v>319</v>
      </c>
      <c r="E160" s="22"/>
      <c r="F160" s="9">
        <v>0.18</v>
      </c>
      <c r="G160" s="5">
        <v>2</v>
      </c>
      <c r="H160" s="10"/>
      <c r="I160" s="10"/>
      <c r="J160">
        <f>IFERROR(VLOOKUP(A160,[1]TDSheet!$A:$AV,6,0),0)</f>
        <v>0.18</v>
      </c>
      <c r="K160">
        <f>IFERROR(VLOOKUP(A160,[1]TDSheet!$A:$AV,7,0),0)</f>
        <v>2</v>
      </c>
      <c r="L160" s="26">
        <f t="shared" si="6"/>
        <v>8.1818181818181807E-3</v>
      </c>
      <c r="M160" s="26">
        <f t="shared" si="7"/>
        <v>9.0909090909090912E-2</v>
      </c>
      <c r="N160" s="37">
        <f t="shared" si="8"/>
        <v>1</v>
      </c>
    </row>
    <row r="161" spans="1:14" ht="11.1" customHeight="1" x14ac:dyDescent="0.2">
      <c r="A161" s="22" t="s">
        <v>320</v>
      </c>
      <c r="B161" s="22"/>
      <c r="C161" s="22"/>
      <c r="D161" s="22" t="s">
        <v>321</v>
      </c>
      <c r="E161" s="22"/>
      <c r="F161" s="9">
        <v>13.05</v>
      </c>
      <c r="G161" s="5">
        <v>145</v>
      </c>
      <c r="H161" s="9">
        <v>1.44</v>
      </c>
      <c r="I161" s="5">
        <v>16</v>
      </c>
      <c r="J161">
        <f>IFERROR(VLOOKUP(A161,[1]TDSheet!$A:$AV,6,0),0)</f>
        <v>7.2</v>
      </c>
      <c r="K161">
        <f>IFERROR(VLOOKUP(A161,[1]TDSheet!$A:$AV,7,0),0)</f>
        <v>80</v>
      </c>
      <c r="L161" s="26">
        <f t="shared" si="6"/>
        <v>0.32727272727272727</v>
      </c>
      <c r="M161" s="26">
        <f t="shared" si="7"/>
        <v>3.6363636363636362</v>
      </c>
      <c r="N161" s="37">
        <f t="shared" si="8"/>
        <v>0.55172413793103448</v>
      </c>
    </row>
    <row r="162" spans="1:14" ht="11.1" customHeight="1" x14ac:dyDescent="0.2">
      <c r="A162" s="22" t="s">
        <v>322</v>
      </c>
      <c r="B162" s="22"/>
      <c r="C162" s="22"/>
      <c r="D162" s="22" t="s">
        <v>323</v>
      </c>
      <c r="E162" s="22"/>
      <c r="F162" s="9">
        <v>4.6500000000000004</v>
      </c>
      <c r="G162" s="5">
        <v>31</v>
      </c>
      <c r="H162" s="10"/>
      <c r="I162" s="10"/>
      <c r="J162">
        <f>IFERROR(VLOOKUP(A162,[1]TDSheet!$A:$AV,6,0),0)</f>
        <v>4.3499999999999996</v>
      </c>
      <c r="K162">
        <f>IFERROR(VLOOKUP(A162,[1]TDSheet!$A:$AV,7,0),0)</f>
        <v>29</v>
      </c>
      <c r="L162" s="26">
        <f t="shared" si="6"/>
        <v>0.19772727272727272</v>
      </c>
      <c r="M162" s="26">
        <f t="shared" si="7"/>
        <v>1.3181818181818181</v>
      </c>
      <c r="N162" s="37">
        <f t="shared" si="8"/>
        <v>0.93548387096774177</v>
      </c>
    </row>
    <row r="163" spans="1:14" ht="11.1" customHeight="1" x14ac:dyDescent="0.2">
      <c r="A163" s="22" t="s">
        <v>324</v>
      </c>
      <c r="B163" s="22"/>
      <c r="C163" s="22"/>
      <c r="D163" s="22" t="s">
        <v>325</v>
      </c>
      <c r="E163" s="22"/>
      <c r="F163" s="4">
        <v>1968.2950000000001</v>
      </c>
      <c r="G163" s="4">
        <v>1968.2950000000001</v>
      </c>
      <c r="H163" s="7">
        <v>2.5</v>
      </c>
      <c r="I163" s="5">
        <v>2.5</v>
      </c>
      <c r="J163">
        <f>IFERROR(VLOOKUP(A163,[1]TDSheet!$A:$AV,6,0),0)</f>
        <v>386.96300000000002</v>
      </c>
      <c r="K163">
        <f>IFERROR(VLOOKUP(A163,[1]TDSheet!$A:$AV,7,0),0)</f>
        <v>386.96300000000002</v>
      </c>
      <c r="L163" s="26">
        <f t="shared" si="6"/>
        <v>17.589227272727275</v>
      </c>
      <c r="M163" s="26">
        <f t="shared" si="7"/>
        <v>17.589227272727275</v>
      </c>
      <c r="N163" s="37">
        <f t="shared" si="8"/>
        <v>0.19659807091924739</v>
      </c>
    </row>
    <row r="164" spans="1:14" ht="11.1" customHeight="1" x14ac:dyDescent="0.2">
      <c r="A164" s="22" t="s">
        <v>326</v>
      </c>
      <c r="B164" s="22"/>
      <c r="C164" s="22"/>
      <c r="D164" s="22" t="s">
        <v>327</v>
      </c>
      <c r="E164" s="22"/>
      <c r="F164" s="7">
        <v>209.6</v>
      </c>
      <c r="G164" s="5">
        <v>524</v>
      </c>
      <c r="H164" s="10"/>
      <c r="I164" s="10"/>
      <c r="J164">
        <f>IFERROR(VLOOKUP(A164,[1]TDSheet!$A:$AV,6,0),0)</f>
        <v>118.4</v>
      </c>
      <c r="K164">
        <f>IFERROR(VLOOKUP(A164,[1]TDSheet!$A:$AV,7,0),0)</f>
        <v>296</v>
      </c>
      <c r="L164" s="26">
        <f t="shared" si="6"/>
        <v>5.3818181818181818</v>
      </c>
      <c r="M164" s="26">
        <f t="shared" si="7"/>
        <v>13.454545454545455</v>
      </c>
      <c r="N164" s="37">
        <f t="shared" si="8"/>
        <v>0.56488549618320616</v>
      </c>
    </row>
    <row r="165" spans="1:14" ht="11.1" customHeight="1" x14ac:dyDescent="0.2">
      <c r="A165" s="22" t="s">
        <v>328</v>
      </c>
      <c r="B165" s="22"/>
      <c r="C165" s="22"/>
      <c r="D165" s="22" t="s">
        <v>329</v>
      </c>
      <c r="E165" s="22"/>
      <c r="F165" s="7">
        <v>953.6</v>
      </c>
      <c r="G165" s="4">
        <v>2384</v>
      </c>
      <c r="H165" s="7">
        <v>9.6</v>
      </c>
      <c r="I165" s="5">
        <v>24</v>
      </c>
      <c r="J165">
        <f>IFERROR(VLOOKUP(A165,[1]TDSheet!$A:$AV,6,0),0)</f>
        <v>540.79999999999995</v>
      </c>
      <c r="K165">
        <f>IFERROR(VLOOKUP(A165,[1]TDSheet!$A:$AV,7,0),0)</f>
        <v>1352</v>
      </c>
      <c r="L165" s="26">
        <f t="shared" si="6"/>
        <v>24.581818181818178</v>
      </c>
      <c r="M165" s="26">
        <f t="shared" si="7"/>
        <v>61.454545454545453</v>
      </c>
      <c r="N165" s="37">
        <f t="shared" si="8"/>
        <v>0.56711409395973145</v>
      </c>
    </row>
    <row r="166" spans="1:14" ht="11.1" customHeight="1" x14ac:dyDescent="0.2">
      <c r="A166" s="22" t="s">
        <v>330</v>
      </c>
      <c r="B166" s="22"/>
      <c r="C166" s="22"/>
      <c r="D166" s="22" t="s">
        <v>331</v>
      </c>
      <c r="E166" s="22"/>
      <c r="F166" s="7">
        <v>-3.6</v>
      </c>
      <c r="G166" s="5">
        <v>-9</v>
      </c>
      <c r="H166" s="7">
        <v>3.6</v>
      </c>
      <c r="I166" s="5">
        <v>9</v>
      </c>
      <c r="J166">
        <f>IFERROR(VLOOKUP(A166,[1]TDSheet!$A:$AV,6,0),0)</f>
        <v>-0.8</v>
      </c>
      <c r="K166">
        <f>IFERROR(VLOOKUP(A166,[1]TDSheet!$A:$AV,7,0),0)</f>
        <v>-2</v>
      </c>
      <c r="L166" s="26">
        <f t="shared" si="6"/>
        <v>-3.6363636363636369E-2</v>
      </c>
      <c r="M166" s="26">
        <f t="shared" si="7"/>
        <v>-9.0909090909090912E-2</v>
      </c>
      <c r="N166" s="37">
        <f t="shared" si="8"/>
        <v>0.22222222222222224</v>
      </c>
    </row>
    <row r="167" spans="1:14" ht="11.1" customHeight="1" x14ac:dyDescent="0.2">
      <c r="A167" s="22" t="s">
        <v>332</v>
      </c>
      <c r="B167" s="22"/>
      <c r="C167" s="22"/>
      <c r="D167" s="22" t="s">
        <v>333</v>
      </c>
      <c r="E167" s="22"/>
      <c r="F167" s="7">
        <v>759.6</v>
      </c>
      <c r="G167" s="4">
        <v>1899</v>
      </c>
      <c r="H167" s="7">
        <v>9.6</v>
      </c>
      <c r="I167" s="5">
        <v>24</v>
      </c>
      <c r="J167">
        <f>IFERROR(VLOOKUP(A167,[1]TDSheet!$A:$AV,6,0),0)</f>
        <v>466</v>
      </c>
      <c r="K167">
        <f>IFERROR(VLOOKUP(A167,[1]TDSheet!$A:$AV,7,0),0)</f>
        <v>1165</v>
      </c>
      <c r="L167" s="26">
        <f t="shared" si="6"/>
        <v>21.181818181818183</v>
      </c>
      <c r="M167" s="26">
        <f t="shared" si="7"/>
        <v>52.954545454545453</v>
      </c>
      <c r="N167" s="37">
        <f t="shared" si="8"/>
        <v>0.61348077935755663</v>
      </c>
    </row>
    <row r="168" spans="1:14" ht="11.1" customHeight="1" x14ac:dyDescent="0.2">
      <c r="A168" s="22" t="s">
        <v>334</v>
      </c>
      <c r="B168" s="22"/>
      <c r="C168" s="22"/>
      <c r="D168" s="22" t="s">
        <v>335</v>
      </c>
      <c r="E168" s="22"/>
      <c r="F168" s="7">
        <v>33.6</v>
      </c>
      <c r="G168" s="5">
        <v>112</v>
      </c>
      <c r="H168" s="7">
        <v>0.6</v>
      </c>
      <c r="I168" s="5">
        <v>2</v>
      </c>
      <c r="J168">
        <f>IFERROR(VLOOKUP(A168,[1]TDSheet!$A:$AV,6,0),0)</f>
        <v>7.8</v>
      </c>
      <c r="K168">
        <f>IFERROR(VLOOKUP(A168,[1]TDSheet!$A:$AV,7,0),0)</f>
        <v>26</v>
      </c>
      <c r="L168" s="26">
        <f t="shared" si="6"/>
        <v>0.35454545454545455</v>
      </c>
      <c r="M168" s="26">
        <f t="shared" si="7"/>
        <v>1.1818181818181819</v>
      </c>
      <c r="N168" s="37">
        <f t="shared" si="8"/>
        <v>0.23214285714285712</v>
      </c>
    </row>
    <row r="169" spans="1:14" ht="11.1" customHeight="1" x14ac:dyDescent="0.2">
      <c r="A169" s="22" t="s">
        <v>336</v>
      </c>
      <c r="B169" s="22"/>
      <c r="C169" s="22"/>
      <c r="D169" s="22" t="s">
        <v>337</v>
      </c>
      <c r="E169" s="22"/>
      <c r="F169" s="7">
        <v>-0.3</v>
      </c>
      <c r="G169" s="5">
        <v>-3</v>
      </c>
      <c r="H169" s="7">
        <v>0.3</v>
      </c>
      <c r="I169" s="5">
        <v>3</v>
      </c>
      <c r="J169">
        <f>IFERROR(VLOOKUP(A169,[1]TDSheet!$A:$AV,6,0),0)</f>
        <v>-0.3</v>
      </c>
      <c r="K169">
        <f>IFERROR(VLOOKUP(A169,[1]TDSheet!$A:$AV,7,0),0)</f>
        <v>-3</v>
      </c>
      <c r="L169" s="26">
        <f t="shared" si="6"/>
        <v>-1.3636363636363636E-2</v>
      </c>
      <c r="M169" s="26">
        <f t="shared" si="7"/>
        <v>-0.13636363636363635</v>
      </c>
      <c r="N169" s="37">
        <f t="shared" si="8"/>
        <v>1</v>
      </c>
    </row>
    <row r="170" spans="1:14" ht="11.1" customHeight="1" x14ac:dyDescent="0.2">
      <c r="A170" s="22" t="s">
        <v>338</v>
      </c>
      <c r="B170" s="22"/>
      <c r="C170" s="22"/>
      <c r="D170" s="22" t="s">
        <v>339</v>
      </c>
      <c r="E170" s="22"/>
      <c r="F170" s="5">
        <v>141.21600000000001</v>
      </c>
      <c r="G170" s="5">
        <v>141.21600000000001</v>
      </c>
      <c r="H170" s="10"/>
      <c r="I170" s="10"/>
      <c r="J170">
        <f>IFERROR(VLOOKUP(A170,[1]TDSheet!$A:$AV,6,0),0)</f>
        <v>141.21600000000001</v>
      </c>
      <c r="K170">
        <f>IFERROR(VLOOKUP(A170,[1]TDSheet!$A:$AV,7,0),0)</f>
        <v>141.21600000000001</v>
      </c>
      <c r="L170" s="26">
        <f t="shared" si="6"/>
        <v>6.4189090909090911</v>
      </c>
      <c r="M170" s="26">
        <f t="shared" si="7"/>
        <v>6.4189090909090911</v>
      </c>
      <c r="N170" s="37">
        <f t="shared" si="8"/>
        <v>1</v>
      </c>
    </row>
    <row r="171" spans="1:14" ht="11.1" customHeight="1" x14ac:dyDescent="0.2">
      <c r="A171" s="22" t="s">
        <v>340</v>
      </c>
      <c r="B171" s="22"/>
      <c r="C171" s="22"/>
      <c r="D171" s="22" t="s">
        <v>341</v>
      </c>
      <c r="E171" s="22"/>
      <c r="F171" s="13">
        <v>42</v>
      </c>
      <c r="G171" s="5">
        <v>105</v>
      </c>
      <c r="H171" s="13">
        <v>6</v>
      </c>
      <c r="I171" s="5">
        <v>15</v>
      </c>
      <c r="J171">
        <f>IFERROR(VLOOKUP(A171,[1]TDSheet!$A:$AV,6,0),0)</f>
        <v>46</v>
      </c>
      <c r="K171">
        <f>IFERROR(VLOOKUP(A171,[1]TDSheet!$A:$AV,7,0),0)</f>
        <v>115</v>
      </c>
      <c r="L171" s="26">
        <f t="shared" si="6"/>
        <v>2.0909090909090908</v>
      </c>
      <c r="M171" s="26">
        <f t="shared" si="7"/>
        <v>5.2272727272727275</v>
      </c>
      <c r="N171" s="37">
        <f t="shared" si="8"/>
        <v>1.0952380952380953</v>
      </c>
    </row>
    <row r="172" spans="1:14" ht="11.1" customHeight="1" x14ac:dyDescent="0.2">
      <c r="A172" s="22" t="s">
        <v>342</v>
      </c>
      <c r="B172" s="22"/>
      <c r="C172" s="22"/>
      <c r="D172" s="22" t="s">
        <v>343</v>
      </c>
      <c r="E172" s="22"/>
      <c r="F172" s="7">
        <v>126.9</v>
      </c>
      <c r="G172" s="5">
        <v>423</v>
      </c>
      <c r="H172" s="13">
        <v>18</v>
      </c>
      <c r="I172" s="5">
        <v>60</v>
      </c>
      <c r="J172">
        <f>IFERROR(VLOOKUP(A172,[1]TDSheet!$A:$AV,6,0),0)</f>
        <v>63.3</v>
      </c>
      <c r="K172">
        <f>IFERROR(VLOOKUP(A172,[1]TDSheet!$A:$AV,7,0),0)</f>
        <v>211</v>
      </c>
      <c r="L172" s="26">
        <f t="shared" si="6"/>
        <v>2.877272727272727</v>
      </c>
      <c r="M172" s="26">
        <f t="shared" si="7"/>
        <v>9.5909090909090917</v>
      </c>
      <c r="N172" s="37">
        <f t="shared" si="8"/>
        <v>0.49881796690307323</v>
      </c>
    </row>
    <row r="173" spans="1:14" ht="11.1" customHeight="1" x14ac:dyDescent="0.2">
      <c r="A173" s="22" t="s">
        <v>344</v>
      </c>
      <c r="B173" s="22"/>
      <c r="C173" s="22"/>
      <c r="D173" s="22" t="s">
        <v>345</v>
      </c>
      <c r="E173" s="22"/>
      <c r="F173" s="5">
        <v>818.81899999999996</v>
      </c>
      <c r="G173" s="5">
        <v>818.81899999999996</v>
      </c>
      <c r="H173" s="5">
        <v>2.2360000000000002</v>
      </c>
      <c r="I173" s="5">
        <v>2.2360000000000002</v>
      </c>
      <c r="J173">
        <f>IFERROR(VLOOKUP(A173,[1]TDSheet!$A:$AV,6,0),0)</f>
        <v>623.87199999999996</v>
      </c>
      <c r="K173">
        <f>IFERROR(VLOOKUP(A173,[1]TDSheet!$A:$AV,7,0),0)</f>
        <v>623.87199999999996</v>
      </c>
      <c r="L173" s="26">
        <f t="shared" si="6"/>
        <v>28.357818181818178</v>
      </c>
      <c r="M173" s="26">
        <f t="shared" si="7"/>
        <v>28.357818181818178</v>
      </c>
      <c r="N173" s="37">
        <f t="shared" si="8"/>
        <v>0.76191685830446043</v>
      </c>
    </row>
    <row r="174" spans="1:14" ht="11.1" customHeight="1" x14ac:dyDescent="0.2">
      <c r="A174" s="22" t="s">
        <v>346</v>
      </c>
      <c r="B174" s="22"/>
      <c r="C174" s="22"/>
      <c r="D174" s="22" t="s">
        <v>347</v>
      </c>
      <c r="E174" s="22"/>
      <c r="F174" s="5">
        <v>282.22500000000002</v>
      </c>
      <c r="G174" s="5">
        <v>282.22500000000002</v>
      </c>
      <c r="H174" s="5">
        <v>10.129</v>
      </c>
      <c r="I174" s="5">
        <v>10.129</v>
      </c>
      <c r="J174">
        <f>IFERROR(VLOOKUP(A174,[1]TDSheet!$A:$AV,6,0),0)</f>
        <v>32.082999999999998</v>
      </c>
      <c r="K174">
        <f>IFERROR(VLOOKUP(A174,[1]TDSheet!$A:$AV,7,0),0)</f>
        <v>32.082999999999998</v>
      </c>
      <c r="L174" s="26">
        <f t="shared" si="6"/>
        <v>1.4583181818181818</v>
      </c>
      <c r="M174" s="26">
        <f t="shared" si="7"/>
        <v>1.4583181818181818</v>
      </c>
      <c r="N174" s="37">
        <f t="shared" si="8"/>
        <v>0.11367880237399236</v>
      </c>
    </row>
    <row r="175" spans="1:14" ht="11.1" customHeight="1" x14ac:dyDescent="0.2">
      <c r="A175" s="22" t="s">
        <v>348</v>
      </c>
      <c r="B175" s="22"/>
      <c r="C175" s="22"/>
      <c r="D175" s="22" t="s">
        <v>349</v>
      </c>
      <c r="E175" s="22"/>
      <c r="F175" s="5">
        <v>407.47500000000002</v>
      </c>
      <c r="G175" s="5">
        <v>407.47500000000002</v>
      </c>
      <c r="H175" s="5">
        <v>14.218</v>
      </c>
      <c r="I175" s="5">
        <v>14.218</v>
      </c>
      <c r="J175">
        <f>IFERROR(VLOOKUP(A175,[1]TDSheet!$A:$AV,6,0),0)</f>
        <v>162.488</v>
      </c>
      <c r="K175">
        <f>IFERROR(VLOOKUP(A175,[1]TDSheet!$A:$AV,7,0),0)</f>
        <v>162.488</v>
      </c>
      <c r="L175" s="26">
        <f t="shared" si="6"/>
        <v>7.3858181818181814</v>
      </c>
      <c r="M175" s="26">
        <f t="shared" si="7"/>
        <v>7.3858181818181814</v>
      </c>
      <c r="N175" s="37">
        <f t="shared" si="8"/>
        <v>0.39876802257807226</v>
      </c>
    </row>
    <row r="176" spans="1:14" ht="11.1" customHeight="1" x14ac:dyDescent="0.2">
      <c r="A176" s="22" t="s">
        <v>350</v>
      </c>
      <c r="B176" s="22"/>
      <c r="C176" s="22"/>
      <c r="D176" s="22" t="s">
        <v>351</v>
      </c>
      <c r="E176" s="22"/>
      <c r="F176" s="5">
        <v>205.89500000000001</v>
      </c>
      <c r="G176" s="5">
        <v>205.89500000000001</v>
      </c>
      <c r="H176" s="9">
        <v>16.920000000000002</v>
      </c>
      <c r="I176" s="5">
        <v>16.920000000000002</v>
      </c>
      <c r="J176">
        <f>IFERROR(VLOOKUP(A176,[1]TDSheet!$A:$AV,6,0),0)</f>
        <v>30.308</v>
      </c>
      <c r="K176">
        <f>IFERROR(VLOOKUP(A176,[1]TDSheet!$A:$AV,7,0),0)</f>
        <v>30.308</v>
      </c>
      <c r="L176" s="26">
        <f t="shared" si="6"/>
        <v>1.3776363636363635</v>
      </c>
      <c r="M176" s="26">
        <f t="shared" si="7"/>
        <v>1.3776363636363635</v>
      </c>
      <c r="N176" s="37">
        <f t="shared" si="8"/>
        <v>0.14720124335219406</v>
      </c>
    </row>
    <row r="177" spans="1:14" ht="11.1" customHeight="1" x14ac:dyDescent="0.2">
      <c r="A177" s="22" t="s">
        <v>352</v>
      </c>
      <c r="B177" s="22"/>
      <c r="C177" s="22"/>
      <c r="D177" s="22" t="s">
        <v>353</v>
      </c>
      <c r="E177" s="22"/>
      <c r="F177" s="7">
        <v>356.4</v>
      </c>
      <c r="G177" s="4">
        <v>1188</v>
      </c>
      <c r="H177" s="7">
        <v>5.0999999999999996</v>
      </c>
      <c r="I177" s="5">
        <v>17</v>
      </c>
      <c r="J177">
        <f>IFERROR(VLOOKUP(A177,[1]TDSheet!$A:$AV,6,0),0)</f>
        <v>103.5</v>
      </c>
      <c r="K177">
        <f>IFERROR(VLOOKUP(A177,[1]TDSheet!$A:$AV,7,0),0)</f>
        <v>345</v>
      </c>
      <c r="L177" s="26">
        <f t="shared" si="6"/>
        <v>4.7045454545454541</v>
      </c>
      <c r="M177" s="26">
        <f t="shared" si="7"/>
        <v>15.681818181818182</v>
      </c>
      <c r="N177" s="37">
        <f t="shared" si="8"/>
        <v>0.29040404040404044</v>
      </c>
    </row>
    <row r="178" spans="1:14" ht="11.1" customHeight="1" x14ac:dyDescent="0.2">
      <c r="A178" s="38" t="s">
        <v>354</v>
      </c>
      <c r="B178" s="38"/>
      <c r="C178" s="38"/>
      <c r="D178" s="38" t="s">
        <v>355</v>
      </c>
      <c r="E178" s="38"/>
      <c r="F178" s="39">
        <v>103.95399999999999</v>
      </c>
      <c r="G178" s="39">
        <v>103.95399999999999</v>
      </c>
      <c r="H178" s="39">
        <v>1.0860000000000001</v>
      </c>
      <c r="I178" s="39">
        <v>1.0860000000000001</v>
      </c>
      <c r="J178" s="40">
        <f>IFERROR(VLOOKUP(A178,[1]TDSheet!$A:$AV,6,0),0)</f>
        <v>0</v>
      </c>
      <c r="K178" s="40">
        <f>IFERROR(VLOOKUP(A178,[1]TDSheet!$A:$AV,7,0),0)</f>
        <v>0</v>
      </c>
      <c r="L178" s="41">
        <f t="shared" si="6"/>
        <v>0</v>
      </c>
      <c r="M178" s="41">
        <f t="shared" si="7"/>
        <v>0</v>
      </c>
      <c r="N178" s="42">
        <f t="shared" si="8"/>
        <v>0</v>
      </c>
    </row>
    <row r="179" spans="1:14" ht="11.1" customHeight="1" x14ac:dyDescent="0.2">
      <c r="A179" s="22" t="s">
        <v>356</v>
      </c>
      <c r="B179" s="22"/>
      <c r="C179" s="22"/>
      <c r="D179" s="22" t="s">
        <v>357</v>
      </c>
      <c r="E179" s="22"/>
      <c r="F179" s="5">
        <v>354.72800000000001</v>
      </c>
      <c r="G179" s="5">
        <v>354.72800000000001</v>
      </c>
      <c r="H179" s="5">
        <v>2.948</v>
      </c>
      <c r="I179" s="5">
        <v>2.948</v>
      </c>
      <c r="J179">
        <f>IFERROR(VLOOKUP(A179,[1]TDSheet!$A:$AV,6,0),0)</f>
        <v>142.422</v>
      </c>
      <c r="K179">
        <f>IFERROR(VLOOKUP(A179,[1]TDSheet!$A:$AV,7,0),0)</f>
        <v>142.422</v>
      </c>
      <c r="L179" s="26">
        <f t="shared" si="6"/>
        <v>6.473727272727273</v>
      </c>
      <c r="M179" s="26">
        <f t="shared" si="7"/>
        <v>6.473727272727273</v>
      </c>
      <c r="N179" s="37">
        <f t="shared" si="8"/>
        <v>0.40149635777271597</v>
      </c>
    </row>
    <row r="180" spans="1:14" ht="11.1" customHeight="1" x14ac:dyDescent="0.2">
      <c r="A180" s="22" t="s">
        <v>358</v>
      </c>
      <c r="B180" s="22"/>
      <c r="C180" s="22"/>
      <c r="D180" s="22" t="s">
        <v>359</v>
      </c>
      <c r="E180" s="22"/>
      <c r="F180" s="8">
        <v>1049.3</v>
      </c>
      <c r="G180" s="4">
        <v>2998</v>
      </c>
      <c r="H180" s="7">
        <v>16.8</v>
      </c>
      <c r="I180" s="5">
        <v>48</v>
      </c>
      <c r="J180">
        <f>IFERROR(VLOOKUP(A180,[1]TDSheet!$A:$AV,6,0),0)</f>
        <v>625.79999999999995</v>
      </c>
      <c r="K180">
        <f>IFERROR(VLOOKUP(A180,[1]TDSheet!$A:$AV,7,0),0)</f>
        <v>1788</v>
      </c>
      <c r="L180" s="26">
        <f t="shared" si="6"/>
        <v>28.445454545454542</v>
      </c>
      <c r="M180" s="26">
        <f t="shared" si="7"/>
        <v>81.272727272727266</v>
      </c>
      <c r="N180" s="37">
        <f t="shared" si="8"/>
        <v>0.59639759839893258</v>
      </c>
    </row>
    <row r="181" spans="1:14" ht="11.1" customHeight="1" x14ac:dyDescent="0.2">
      <c r="A181" s="22" t="s">
        <v>360</v>
      </c>
      <c r="B181" s="22"/>
      <c r="C181" s="22"/>
      <c r="D181" s="22" t="s">
        <v>361</v>
      </c>
      <c r="E181" s="22"/>
      <c r="F181" s="9">
        <v>185.73</v>
      </c>
      <c r="G181" s="5">
        <v>453</v>
      </c>
      <c r="H181" s="9">
        <v>31.98</v>
      </c>
      <c r="I181" s="5">
        <v>78</v>
      </c>
      <c r="J181">
        <f>IFERROR(VLOOKUP(A181,[1]TDSheet!$A:$AV,6,0),0)</f>
        <v>112.75</v>
      </c>
      <c r="K181">
        <f>IFERROR(VLOOKUP(A181,[1]TDSheet!$A:$AV,7,0),0)</f>
        <v>275</v>
      </c>
      <c r="L181" s="26">
        <f t="shared" si="6"/>
        <v>5.125</v>
      </c>
      <c r="M181" s="26">
        <f t="shared" si="7"/>
        <v>12.5</v>
      </c>
      <c r="N181" s="37">
        <f t="shared" si="8"/>
        <v>0.60706401766004414</v>
      </c>
    </row>
    <row r="182" spans="1:14" ht="11.1" customHeight="1" x14ac:dyDescent="0.2">
      <c r="A182" s="22" t="s">
        <v>362</v>
      </c>
      <c r="B182" s="22"/>
      <c r="C182" s="22"/>
      <c r="D182" s="22" t="s">
        <v>363</v>
      </c>
      <c r="E182" s="22"/>
      <c r="F182" s="9">
        <v>440.34</v>
      </c>
      <c r="G182" s="4">
        <v>1074</v>
      </c>
      <c r="H182" s="9">
        <v>3.69</v>
      </c>
      <c r="I182" s="5">
        <v>9</v>
      </c>
      <c r="J182">
        <f>IFERROR(VLOOKUP(A182,[1]TDSheet!$A:$AV,6,0),0)</f>
        <v>184.91</v>
      </c>
      <c r="K182">
        <f>IFERROR(VLOOKUP(A182,[1]TDSheet!$A:$AV,7,0),0)</f>
        <v>451</v>
      </c>
      <c r="L182" s="26">
        <f t="shared" si="6"/>
        <v>8.4049999999999994</v>
      </c>
      <c r="M182" s="26">
        <f t="shared" si="7"/>
        <v>20.5</v>
      </c>
      <c r="N182" s="37">
        <f t="shared" si="8"/>
        <v>0.41992551210428308</v>
      </c>
    </row>
    <row r="183" spans="1:14" ht="11.1" customHeight="1" x14ac:dyDescent="0.2">
      <c r="A183" s="22" t="s">
        <v>364</v>
      </c>
      <c r="B183" s="22"/>
      <c r="C183" s="22"/>
      <c r="D183" s="22" t="s">
        <v>365</v>
      </c>
      <c r="E183" s="22"/>
      <c r="F183" s="9">
        <v>43.92</v>
      </c>
      <c r="G183" s="5">
        <v>122</v>
      </c>
      <c r="H183" s="10"/>
      <c r="I183" s="10"/>
      <c r="J183">
        <f>IFERROR(VLOOKUP(A183,[1]TDSheet!$A:$AV,6,0),0)</f>
        <v>3.6</v>
      </c>
      <c r="K183">
        <f>IFERROR(VLOOKUP(A183,[1]TDSheet!$A:$AV,7,0),0)</f>
        <v>10</v>
      </c>
      <c r="L183" s="26">
        <f t="shared" si="6"/>
        <v>0.16363636363636364</v>
      </c>
      <c r="M183" s="26">
        <f t="shared" si="7"/>
        <v>0.45454545454545453</v>
      </c>
      <c r="N183" s="37">
        <f t="shared" si="8"/>
        <v>8.1967213114754092E-2</v>
      </c>
    </row>
    <row r="184" spans="1:14" ht="11.1" customHeight="1" x14ac:dyDescent="0.2">
      <c r="A184" s="22" t="s">
        <v>366</v>
      </c>
      <c r="B184" s="22"/>
      <c r="C184" s="22"/>
      <c r="D184" s="22" t="s">
        <v>367</v>
      </c>
      <c r="E184" s="22"/>
      <c r="F184" s="9">
        <v>97.35</v>
      </c>
      <c r="G184" s="5">
        <v>295</v>
      </c>
      <c r="H184" s="9">
        <v>1.98</v>
      </c>
      <c r="I184" s="5">
        <v>6</v>
      </c>
      <c r="J184">
        <f>IFERROR(VLOOKUP(A184,[1]TDSheet!$A:$AV,6,0),0)</f>
        <v>37.619999999999997</v>
      </c>
      <c r="K184">
        <f>IFERROR(VLOOKUP(A184,[1]TDSheet!$A:$AV,7,0),0)</f>
        <v>114</v>
      </c>
      <c r="L184" s="26">
        <f t="shared" si="6"/>
        <v>1.71</v>
      </c>
      <c r="M184" s="26">
        <f t="shared" si="7"/>
        <v>5.1818181818181817</v>
      </c>
      <c r="N184" s="37">
        <f t="shared" si="8"/>
        <v>0.38644067796610171</v>
      </c>
    </row>
    <row r="185" spans="1:14" ht="11.1" customHeight="1" x14ac:dyDescent="0.2">
      <c r="A185" s="38" t="s">
        <v>368</v>
      </c>
      <c r="B185" s="38"/>
      <c r="C185" s="38"/>
      <c r="D185" s="38" t="s">
        <v>369</v>
      </c>
      <c r="E185" s="38"/>
      <c r="F185" s="43">
        <v>-5.61</v>
      </c>
      <c r="G185" s="39">
        <v>-17</v>
      </c>
      <c r="H185" s="43">
        <v>5.61</v>
      </c>
      <c r="I185" s="39">
        <v>17</v>
      </c>
      <c r="J185" s="40">
        <f>IFERROR(VLOOKUP(A185,[1]TDSheet!$A:$AV,6,0),0)</f>
        <v>0</v>
      </c>
      <c r="K185" s="40">
        <f>IFERROR(VLOOKUP(A185,[1]TDSheet!$A:$AV,7,0),0)</f>
        <v>0</v>
      </c>
      <c r="L185" s="41">
        <f t="shared" si="6"/>
        <v>0</v>
      </c>
      <c r="M185" s="41">
        <f t="shared" si="7"/>
        <v>0</v>
      </c>
      <c r="N185" s="42">
        <f t="shared" si="8"/>
        <v>0</v>
      </c>
    </row>
    <row r="186" spans="1:14" ht="11.1" customHeight="1" x14ac:dyDescent="0.2">
      <c r="A186" s="22" t="s">
        <v>370</v>
      </c>
      <c r="B186" s="22"/>
      <c r="C186" s="22"/>
      <c r="D186" s="22" t="s">
        <v>371</v>
      </c>
      <c r="E186" s="22"/>
      <c r="F186" s="7">
        <v>296.8</v>
      </c>
      <c r="G186" s="5">
        <v>742</v>
      </c>
      <c r="H186" s="7">
        <v>2.4</v>
      </c>
      <c r="I186" s="5">
        <v>6</v>
      </c>
      <c r="J186">
        <f>IFERROR(VLOOKUP(A186,[1]TDSheet!$A:$AV,6,0),0)</f>
        <v>149.19999999999999</v>
      </c>
      <c r="K186">
        <f>IFERROR(VLOOKUP(A186,[1]TDSheet!$A:$AV,7,0),0)</f>
        <v>373</v>
      </c>
      <c r="L186" s="26">
        <f t="shared" si="6"/>
        <v>6.7818181818181813</v>
      </c>
      <c r="M186" s="26">
        <f t="shared" si="7"/>
        <v>16.954545454545453</v>
      </c>
      <c r="N186" s="37">
        <f t="shared" si="8"/>
        <v>0.50269541778975735</v>
      </c>
    </row>
    <row r="187" spans="1:14" ht="11.1" customHeight="1" x14ac:dyDescent="0.2">
      <c r="A187" s="22" t="s">
        <v>372</v>
      </c>
      <c r="B187" s="22"/>
      <c r="C187" s="22"/>
      <c r="D187" s="22" t="s">
        <v>373</v>
      </c>
      <c r="E187" s="22"/>
      <c r="F187" s="9">
        <v>8.91</v>
      </c>
      <c r="G187" s="5">
        <v>27</v>
      </c>
      <c r="H187" s="9">
        <v>0.66</v>
      </c>
      <c r="I187" s="5">
        <v>2</v>
      </c>
      <c r="J187">
        <f>IFERROR(VLOOKUP(A187,[1]TDSheet!$A:$AV,6,0),0)</f>
        <v>0.33</v>
      </c>
      <c r="K187">
        <f>IFERROR(VLOOKUP(A187,[1]TDSheet!$A:$AV,7,0),0)</f>
        <v>1</v>
      </c>
      <c r="L187" s="26">
        <f t="shared" si="6"/>
        <v>1.5000000000000001E-2</v>
      </c>
      <c r="M187" s="26">
        <f t="shared" si="7"/>
        <v>4.5454545454545456E-2</v>
      </c>
      <c r="N187" s="37">
        <f t="shared" si="8"/>
        <v>3.7037037037037035E-2</v>
      </c>
    </row>
    <row r="188" spans="1:14" ht="11.1" customHeight="1" x14ac:dyDescent="0.2">
      <c r="A188" s="38" t="s">
        <v>374</v>
      </c>
      <c r="B188" s="38"/>
      <c r="C188" s="38"/>
      <c r="D188" s="38" t="s">
        <v>375</v>
      </c>
      <c r="E188" s="38"/>
      <c r="F188" s="44">
        <v>0.3</v>
      </c>
      <c r="G188" s="39">
        <v>1</v>
      </c>
      <c r="H188" s="45"/>
      <c r="I188" s="45"/>
      <c r="J188" s="40">
        <f>IFERROR(VLOOKUP(A188,[1]TDSheet!$A:$AV,6,0),0)</f>
        <v>0</v>
      </c>
      <c r="K188" s="40">
        <f>IFERROR(VLOOKUP(A188,[1]TDSheet!$A:$AV,7,0),0)</f>
        <v>0</v>
      </c>
      <c r="L188" s="41">
        <f t="shared" si="6"/>
        <v>0</v>
      </c>
      <c r="M188" s="41">
        <f t="shared" si="7"/>
        <v>0</v>
      </c>
      <c r="N188" s="42">
        <f t="shared" si="8"/>
        <v>0</v>
      </c>
    </row>
    <row r="189" spans="1:14" ht="11.1" customHeight="1" x14ac:dyDescent="0.2">
      <c r="A189" s="22" t="s">
        <v>376</v>
      </c>
      <c r="B189" s="22"/>
      <c r="C189" s="22"/>
      <c r="D189" s="22" t="s">
        <v>377</v>
      </c>
      <c r="E189" s="22"/>
      <c r="F189" s="4">
        <v>1228.729</v>
      </c>
      <c r="G189" s="4">
        <v>1228.729</v>
      </c>
      <c r="H189" s="5">
        <v>12.765000000000001</v>
      </c>
      <c r="I189" s="5">
        <v>12.765000000000001</v>
      </c>
      <c r="J189">
        <f>IFERROR(VLOOKUP(A189,[1]TDSheet!$A:$AV,6,0),0)</f>
        <v>155.59700000000001</v>
      </c>
      <c r="K189">
        <f>IFERROR(VLOOKUP(A189,[1]TDSheet!$A:$AV,7,0),0)</f>
        <v>155.59700000000001</v>
      </c>
      <c r="L189" s="26">
        <f t="shared" si="6"/>
        <v>7.0725909090909092</v>
      </c>
      <c r="M189" s="26">
        <f t="shared" si="7"/>
        <v>7.0725909090909092</v>
      </c>
      <c r="N189" s="37">
        <f t="shared" si="8"/>
        <v>0.12663247957849127</v>
      </c>
    </row>
    <row r="190" spans="1:14" ht="11.1" customHeight="1" x14ac:dyDescent="0.2">
      <c r="A190" s="22" t="s">
        <v>378</v>
      </c>
      <c r="B190" s="22"/>
      <c r="C190" s="22"/>
      <c r="D190" s="22" t="s">
        <v>379</v>
      </c>
      <c r="E190" s="22"/>
      <c r="F190" s="7">
        <v>-0.2</v>
      </c>
      <c r="G190" s="5">
        <v>-2</v>
      </c>
      <c r="H190" s="7">
        <v>0.2</v>
      </c>
      <c r="I190" s="5">
        <v>2</v>
      </c>
      <c r="J190">
        <f>IFERROR(VLOOKUP(A190,[1]TDSheet!$A:$AV,6,0),0)</f>
        <v>-0.2</v>
      </c>
      <c r="K190">
        <f>IFERROR(VLOOKUP(A190,[1]TDSheet!$A:$AV,7,0),0)</f>
        <v>-2</v>
      </c>
      <c r="L190" s="26">
        <f t="shared" si="6"/>
        <v>-9.0909090909090922E-3</v>
      </c>
      <c r="M190" s="26">
        <f t="shared" si="7"/>
        <v>-9.0909090909090912E-2</v>
      </c>
      <c r="N190" s="37">
        <f t="shared" si="8"/>
        <v>1</v>
      </c>
    </row>
    <row r="191" spans="1:14" ht="11.1" customHeight="1" x14ac:dyDescent="0.2">
      <c r="A191" s="22" t="s">
        <v>380</v>
      </c>
      <c r="B191" s="22"/>
      <c r="C191" s="22"/>
      <c r="D191" s="22" t="s">
        <v>381</v>
      </c>
      <c r="E191" s="22"/>
      <c r="F191" s="7">
        <v>55.6</v>
      </c>
      <c r="G191" s="5">
        <v>139</v>
      </c>
      <c r="H191" s="7">
        <v>6.8</v>
      </c>
      <c r="I191" s="5">
        <v>17</v>
      </c>
      <c r="J191">
        <f>IFERROR(VLOOKUP(A191,[1]TDSheet!$A:$AV,6,0),0)</f>
        <v>57.2</v>
      </c>
      <c r="K191">
        <f>IFERROR(VLOOKUP(A191,[1]TDSheet!$A:$AV,7,0),0)</f>
        <v>143</v>
      </c>
      <c r="L191" s="26">
        <f t="shared" si="6"/>
        <v>2.6</v>
      </c>
      <c r="M191" s="26">
        <f t="shared" si="7"/>
        <v>6.5</v>
      </c>
      <c r="N191" s="37">
        <f t="shared" si="8"/>
        <v>1.0287769784172662</v>
      </c>
    </row>
    <row r="192" spans="1:14" ht="11.1" customHeight="1" x14ac:dyDescent="0.2">
      <c r="A192" s="22" t="s">
        <v>382</v>
      </c>
      <c r="B192" s="22"/>
      <c r="C192" s="22"/>
      <c r="D192" s="22" t="s">
        <v>383</v>
      </c>
      <c r="E192" s="22"/>
      <c r="F192" s="5">
        <v>225.91399999999999</v>
      </c>
      <c r="G192" s="5">
        <v>225.91399999999999</v>
      </c>
      <c r="H192" s="9">
        <v>0.08</v>
      </c>
      <c r="I192" s="5">
        <v>0.08</v>
      </c>
      <c r="J192">
        <f>IFERROR(VLOOKUP(A192,[1]TDSheet!$A:$AV,6,0),0)</f>
        <v>81.828999999999994</v>
      </c>
      <c r="K192">
        <f>IFERROR(VLOOKUP(A192,[1]TDSheet!$A:$AV,7,0),0)</f>
        <v>81.828999999999994</v>
      </c>
      <c r="L192" s="26">
        <f t="shared" si="6"/>
        <v>3.7194999999999996</v>
      </c>
      <c r="M192" s="26">
        <f t="shared" si="7"/>
        <v>3.7194999999999996</v>
      </c>
      <c r="N192" s="37">
        <f t="shared" si="8"/>
        <v>0.36221305452517327</v>
      </c>
    </row>
    <row r="193" spans="1:14" ht="11.1" customHeight="1" x14ac:dyDescent="0.2">
      <c r="A193" s="22" t="s">
        <v>384</v>
      </c>
      <c r="B193" s="22"/>
      <c r="C193" s="22"/>
      <c r="D193" s="22" t="s">
        <v>385</v>
      </c>
      <c r="E193" s="22"/>
      <c r="F193" s="13">
        <v>102</v>
      </c>
      <c r="G193" s="5">
        <v>170</v>
      </c>
      <c r="H193" s="7">
        <v>8.4</v>
      </c>
      <c r="I193" s="5">
        <v>14</v>
      </c>
      <c r="J193">
        <f>IFERROR(VLOOKUP(A193,[1]TDSheet!$A:$AV,6,0),0)</f>
        <v>40.799999999999997</v>
      </c>
      <c r="K193">
        <f>IFERROR(VLOOKUP(A193,[1]TDSheet!$A:$AV,7,0),0)</f>
        <v>68</v>
      </c>
      <c r="L193" s="26">
        <f t="shared" si="6"/>
        <v>1.8545454545454545</v>
      </c>
      <c r="M193" s="26">
        <f t="shared" si="7"/>
        <v>3.0909090909090908</v>
      </c>
      <c r="N193" s="37">
        <f t="shared" si="8"/>
        <v>0.39999999999999997</v>
      </c>
    </row>
    <row r="194" spans="1:14" ht="11.1" customHeight="1" x14ac:dyDescent="0.2">
      <c r="A194" s="38" t="s">
        <v>386</v>
      </c>
      <c r="B194" s="38"/>
      <c r="C194" s="38"/>
      <c r="D194" s="38" t="s">
        <v>387</v>
      </c>
      <c r="E194" s="38"/>
      <c r="F194" s="39">
        <v>1.716</v>
      </c>
      <c r="G194" s="39">
        <v>1.716</v>
      </c>
      <c r="H194" s="45"/>
      <c r="I194" s="45"/>
      <c r="J194" s="40">
        <f>IFERROR(VLOOKUP(A194,[1]TDSheet!$A:$AV,6,0),0)</f>
        <v>0</v>
      </c>
      <c r="K194" s="40">
        <f>IFERROR(VLOOKUP(A194,[1]TDSheet!$A:$AV,7,0),0)</f>
        <v>0</v>
      </c>
      <c r="L194" s="41">
        <f t="shared" si="6"/>
        <v>0</v>
      </c>
      <c r="M194" s="41">
        <f t="shared" si="7"/>
        <v>0</v>
      </c>
      <c r="N194" s="42">
        <f t="shared" si="8"/>
        <v>0</v>
      </c>
    </row>
    <row r="195" spans="1:14" ht="11.1" customHeight="1" x14ac:dyDescent="0.2">
      <c r="A195" s="22" t="s">
        <v>388</v>
      </c>
      <c r="B195" s="22"/>
      <c r="C195" s="22"/>
      <c r="D195" s="22" t="s">
        <v>389</v>
      </c>
      <c r="E195" s="22"/>
      <c r="F195" s="9">
        <v>4.25</v>
      </c>
      <c r="G195" s="5">
        <v>17</v>
      </c>
      <c r="H195" s="10"/>
      <c r="I195" s="10"/>
      <c r="J195">
        <f>IFERROR(VLOOKUP(A195,[1]TDSheet!$A:$AV,6,0),0)</f>
        <v>4.25</v>
      </c>
      <c r="K195">
        <f>IFERROR(VLOOKUP(A195,[1]TDSheet!$A:$AV,7,0),0)</f>
        <v>17</v>
      </c>
      <c r="L195" s="26">
        <f t="shared" si="6"/>
        <v>0.19318181818181818</v>
      </c>
      <c r="M195" s="26">
        <f t="shared" si="7"/>
        <v>0.77272727272727271</v>
      </c>
      <c r="N195" s="37">
        <f t="shared" si="8"/>
        <v>1</v>
      </c>
    </row>
    <row r="196" spans="1:14" ht="21.95" customHeight="1" x14ac:dyDescent="0.2">
      <c r="A196" s="22" t="s">
        <v>390</v>
      </c>
      <c r="B196" s="22"/>
      <c r="C196" s="22"/>
      <c r="D196" s="22" t="s">
        <v>391</v>
      </c>
      <c r="E196" s="22"/>
      <c r="F196" s="5">
        <v>5.7679999999999998</v>
      </c>
      <c r="G196" s="5">
        <v>7</v>
      </c>
      <c r="H196" s="5">
        <v>0.82399999999999995</v>
      </c>
      <c r="I196" s="5">
        <v>1</v>
      </c>
      <c r="J196">
        <f>IFERROR(VLOOKUP(A196,[1]TDSheet!$A:$AV,6,0),0)</f>
        <v>6.5919999999999996</v>
      </c>
      <c r="K196">
        <f>IFERROR(VLOOKUP(A196,[1]TDSheet!$A:$AV,7,0),0)</f>
        <v>8</v>
      </c>
      <c r="L196" s="26">
        <f t="shared" si="6"/>
        <v>0.29963636363636365</v>
      </c>
      <c r="M196" s="26">
        <f t="shared" si="7"/>
        <v>0.36363636363636365</v>
      </c>
      <c r="N196" s="37">
        <f t="shared" si="8"/>
        <v>1.1428571428571428</v>
      </c>
    </row>
    <row r="197" spans="1:14" ht="21.95" customHeight="1" x14ac:dyDescent="0.2">
      <c r="A197" s="22" t="s">
        <v>392</v>
      </c>
      <c r="B197" s="22"/>
      <c r="C197" s="22"/>
      <c r="D197" s="22" t="s">
        <v>393</v>
      </c>
      <c r="E197" s="22"/>
      <c r="F197" s="5">
        <v>164.42400000000001</v>
      </c>
      <c r="G197" s="5">
        <v>442</v>
      </c>
      <c r="H197" s="5">
        <v>0.74399999999999999</v>
      </c>
      <c r="I197" s="5">
        <v>2</v>
      </c>
      <c r="J197">
        <f>IFERROR(VLOOKUP(A197,[1]TDSheet!$A:$AV,6,0),0)</f>
        <v>68.819999999999993</v>
      </c>
      <c r="K197">
        <f>IFERROR(VLOOKUP(A197,[1]TDSheet!$A:$AV,7,0),0)</f>
        <v>185</v>
      </c>
      <c r="L197" s="26">
        <f t="shared" si="6"/>
        <v>3.128181818181818</v>
      </c>
      <c r="M197" s="26">
        <f t="shared" si="7"/>
        <v>8.4090909090909083</v>
      </c>
      <c r="N197" s="37">
        <f t="shared" si="8"/>
        <v>0.41855203619909498</v>
      </c>
    </row>
    <row r="198" spans="1:14" ht="21.95" customHeight="1" x14ac:dyDescent="0.2">
      <c r="A198" s="22" t="s">
        <v>394</v>
      </c>
      <c r="B198" s="22"/>
      <c r="C198" s="22"/>
      <c r="D198" s="22" t="s">
        <v>395</v>
      </c>
      <c r="E198" s="22"/>
      <c r="F198" s="5">
        <v>211.29599999999999</v>
      </c>
      <c r="G198" s="5">
        <v>284</v>
      </c>
      <c r="H198" s="5">
        <v>8.9280000000000008</v>
      </c>
      <c r="I198" s="5">
        <v>12</v>
      </c>
      <c r="J198">
        <f>IFERROR(VLOOKUP(A198,[1]TDSheet!$A:$AV,6,0),0)</f>
        <v>66.215999999999994</v>
      </c>
      <c r="K198">
        <f>IFERROR(VLOOKUP(A198,[1]TDSheet!$A:$AV,7,0),0)</f>
        <v>89</v>
      </c>
      <c r="L198" s="26">
        <f t="shared" si="6"/>
        <v>3.0098181818181815</v>
      </c>
      <c r="M198" s="26">
        <f t="shared" si="7"/>
        <v>4.0454545454545459</v>
      </c>
      <c r="N198" s="37">
        <f t="shared" si="8"/>
        <v>0.31338028169014082</v>
      </c>
    </row>
    <row r="199" spans="1:14" ht="21.95" customHeight="1" x14ac:dyDescent="0.2">
      <c r="A199" s="22" t="s">
        <v>396</v>
      </c>
      <c r="B199" s="22"/>
      <c r="C199" s="22"/>
      <c r="D199" s="22" t="s">
        <v>397</v>
      </c>
      <c r="E199" s="22"/>
      <c r="F199" s="5">
        <v>203.48400000000001</v>
      </c>
      <c r="G199" s="5">
        <v>547</v>
      </c>
      <c r="H199" s="10"/>
      <c r="I199" s="10"/>
      <c r="J199">
        <f>IFERROR(VLOOKUP(A199,[1]TDSheet!$A:$AV,6,0),0)</f>
        <v>67.703999999999994</v>
      </c>
      <c r="K199">
        <f>IFERROR(VLOOKUP(A199,[1]TDSheet!$A:$AV,7,0),0)</f>
        <v>182</v>
      </c>
      <c r="L199" s="26">
        <f t="shared" si="6"/>
        <v>3.077454545454545</v>
      </c>
      <c r="M199" s="26">
        <f t="shared" si="7"/>
        <v>8.2727272727272734</v>
      </c>
      <c r="N199" s="37">
        <f t="shared" si="8"/>
        <v>0.33272394881170014</v>
      </c>
    </row>
    <row r="200" spans="1:14" ht="21.95" customHeight="1" x14ac:dyDescent="0.2">
      <c r="A200" s="22" t="s">
        <v>398</v>
      </c>
      <c r="B200" s="22"/>
      <c r="C200" s="22"/>
      <c r="D200" s="22" t="s">
        <v>399</v>
      </c>
      <c r="E200" s="22"/>
      <c r="F200" s="5">
        <v>541.63199999999995</v>
      </c>
      <c r="G200" s="5">
        <v>728</v>
      </c>
      <c r="H200" s="5">
        <v>5.2080000000000002</v>
      </c>
      <c r="I200" s="5">
        <v>7</v>
      </c>
      <c r="J200">
        <f>IFERROR(VLOOKUP(A200,[1]TDSheet!$A:$AV,6,0),0)</f>
        <v>118.29600000000001</v>
      </c>
      <c r="K200">
        <f>IFERROR(VLOOKUP(A200,[1]TDSheet!$A:$AV,7,0),0)</f>
        <v>159</v>
      </c>
      <c r="L200" s="26">
        <f t="shared" ref="L200:L263" si="9">J200/$L$2</f>
        <v>5.3770909090909091</v>
      </c>
      <c r="M200" s="26">
        <f t="shared" ref="M200:M263" si="10">K200/$L$2</f>
        <v>7.2272727272727275</v>
      </c>
      <c r="N200" s="37">
        <f t="shared" ref="N200:N263" si="11">IF(J200/F200&lt;0,0,J200/F200)</f>
        <v>0.21840659340659344</v>
      </c>
    </row>
    <row r="201" spans="1:14" ht="11.1" customHeight="1" x14ac:dyDescent="0.2">
      <c r="A201" s="22" t="s">
        <v>400</v>
      </c>
      <c r="B201" s="22"/>
      <c r="C201" s="22"/>
      <c r="D201" s="22" t="s">
        <v>401</v>
      </c>
      <c r="E201" s="22"/>
      <c r="F201" s="13">
        <v>147</v>
      </c>
      <c r="G201" s="5">
        <v>588</v>
      </c>
      <c r="H201" s="13">
        <v>2</v>
      </c>
      <c r="I201" s="5">
        <v>8</v>
      </c>
      <c r="J201">
        <f>IFERROR(VLOOKUP(A201,[1]TDSheet!$A:$AV,6,0),0)</f>
        <v>83.5</v>
      </c>
      <c r="K201">
        <f>IFERROR(VLOOKUP(A201,[1]TDSheet!$A:$AV,7,0),0)</f>
        <v>334</v>
      </c>
      <c r="L201" s="26">
        <f t="shared" si="9"/>
        <v>3.7954545454545454</v>
      </c>
      <c r="M201" s="26">
        <f t="shared" si="10"/>
        <v>15.181818181818182</v>
      </c>
      <c r="N201" s="37">
        <f t="shared" si="11"/>
        <v>0.56802721088435371</v>
      </c>
    </row>
    <row r="202" spans="1:14" ht="11.1" customHeight="1" x14ac:dyDescent="0.2">
      <c r="A202" s="22" t="s">
        <v>402</v>
      </c>
      <c r="B202" s="22"/>
      <c r="C202" s="22"/>
      <c r="D202" s="22" t="s">
        <v>403</v>
      </c>
      <c r="E202" s="22"/>
      <c r="F202" s="5">
        <v>66.478999999999999</v>
      </c>
      <c r="G202" s="5">
        <v>66.478999999999999</v>
      </c>
      <c r="H202" s="5">
        <v>5.2320000000000002</v>
      </c>
      <c r="I202" s="5">
        <v>5.2320000000000002</v>
      </c>
      <c r="J202">
        <f>IFERROR(VLOOKUP(A202,[1]TDSheet!$A:$AV,6,0),0)</f>
        <v>10.608000000000001</v>
      </c>
      <c r="K202">
        <f>IFERROR(VLOOKUP(A202,[1]TDSheet!$A:$AV,7,0),0)</f>
        <v>10.608000000000001</v>
      </c>
      <c r="L202" s="26">
        <f t="shared" si="9"/>
        <v>0.48218181818181821</v>
      </c>
      <c r="M202" s="26">
        <f t="shared" si="10"/>
        <v>0.48218181818181821</v>
      </c>
      <c r="N202" s="37">
        <f t="shared" si="11"/>
        <v>0.15956918726214295</v>
      </c>
    </row>
    <row r="203" spans="1:14" ht="11.1" customHeight="1" x14ac:dyDescent="0.2">
      <c r="A203" s="22" t="s">
        <v>404</v>
      </c>
      <c r="B203" s="22"/>
      <c r="C203" s="22"/>
      <c r="D203" s="22" t="s">
        <v>405</v>
      </c>
      <c r="E203" s="22"/>
      <c r="F203" s="7">
        <v>94.5</v>
      </c>
      <c r="G203" s="5">
        <v>350</v>
      </c>
      <c r="H203" s="9">
        <v>0.81</v>
      </c>
      <c r="I203" s="5">
        <v>3</v>
      </c>
      <c r="J203">
        <f>IFERROR(VLOOKUP(A203,[1]TDSheet!$A:$AV,6,0),0)</f>
        <v>0.54</v>
      </c>
      <c r="K203">
        <f>IFERROR(VLOOKUP(A203,[1]TDSheet!$A:$AV,7,0),0)</f>
        <v>2</v>
      </c>
      <c r="L203" s="26">
        <f t="shared" si="9"/>
        <v>2.4545454545454547E-2</v>
      </c>
      <c r="M203" s="26">
        <f t="shared" si="10"/>
        <v>9.0909090909090912E-2</v>
      </c>
      <c r="N203" s="37">
        <f t="shared" si="11"/>
        <v>5.7142857142857143E-3</v>
      </c>
    </row>
    <row r="204" spans="1:14" ht="11.1" customHeight="1" x14ac:dyDescent="0.2">
      <c r="A204" s="22" t="s">
        <v>406</v>
      </c>
      <c r="B204" s="22"/>
      <c r="C204" s="22"/>
      <c r="D204" s="22" t="s">
        <v>407</v>
      </c>
      <c r="E204" s="22"/>
      <c r="F204" s="7">
        <v>142.80000000000001</v>
      </c>
      <c r="G204" s="5">
        <v>476</v>
      </c>
      <c r="H204" s="7">
        <v>0.3</v>
      </c>
      <c r="I204" s="5">
        <v>1</v>
      </c>
      <c r="J204">
        <f>IFERROR(VLOOKUP(A204,[1]TDSheet!$A:$AV,6,0),0)</f>
        <v>28.2</v>
      </c>
      <c r="K204">
        <f>IFERROR(VLOOKUP(A204,[1]TDSheet!$A:$AV,7,0),0)</f>
        <v>94</v>
      </c>
      <c r="L204" s="26">
        <f t="shared" si="9"/>
        <v>1.2818181818181817</v>
      </c>
      <c r="M204" s="26">
        <f t="shared" si="10"/>
        <v>4.2727272727272725</v>
      </c>
      <c r="N204" s="37">
        <f t="shared" si="11"/>
        <v>0.19747899159663865</v>
      </c>
    </row>
    <row r="205" spans="1:14" ht="11.1" customHeight="1" x14ac:dyDescent="0.2">
      <c r="A205" s="22" t="s">
        <v>408</v>
      </c>
      <c r="B205" s="22"/>
      <c r="C205" s="22"/>
      <c r="D205" s="22" t="s">
        <v>409</v>
      </c>
      <c r="E205" s="22"/>
      <c r="F205" s="11">
        <v>1604.33</v>
      </c>
      <c r="G205" s="4">
        <v>3913</v>
      </c>
      <c r="H205" s="7">
        <v>4.0999999999999996</v>
      </c>
      <c r="I205" s="5">
        <v>10</v>
      </c>
      <c r="J205">
        <f>IFERROR(VLOOKUP(A205,[1]TDSheet!$A:$AV,6,0),0)</f>
        <v>717.91</v>
      </c>
      <c r="K205">
        <f>IFERROR(VLOOKUP(A205,[1]TDSheet!$A:$AV,7,0),0)</f>
        <v>1751</v>
      </c>
      <c r="L205" s="26">
        <f t="shared" si="9"/>
        <v>32.632272727272728</v>
      </c>
      <c r="M205" s="26">
        <f t="shared" si="10"/>
        <v>79.590909090909093</v>
      </c>
      <c r="N205" s="37">
        <f t="shared" si="11"/>
        <v>0.44748274980833119</v>
      </c>
    </row>
    <row r="206" spans="1:14" ht="11.1" customHeight="1" x14ac:dyDescent="0.2">
      <c r="A206" s="22" t="s">
        <v>410</v>
      </c>
      <c r="B206" s="22"/>
      <c r="C206" s="22"/>
      <c r="D206" s="22" t="s">
        <v>411</v>
      </c>
      <c r="E206" s="22"/>
      <c r="F206" s="4">
        <v>1072.1679999999999</v>
      </c>
      <c r="G206" s="4">
        <v>1072.1679999999999</v>
      </c>
      <c r="H206" s="7">
        <v>0.9</v>
      </c>
      <c r="I206" s="5">
        <v>0.9</v>
      </c>
      <c r="J206">
        <f>IFERROR(VLOOKUP(A206,[1]TDSheet!$A:$AV,6,0),0)</f>
        <v>544.98</v>
      </c>
      <c r="K206">
        <f>IFERROR(VLOOKUP(A206,[1]TDSheet!$A:$AV,7,0),0)</f>
        <v>544.98</v>
      </c>
      <c r="L206" s="26">
        <f t="shared" si="9"/>
        <v>24.771818181818183</v>
      </c>
      <c r="M206" s="26">
        <f t="shared" si="10"/>
        <v>24.771818181818183</v>
      </c>
      <c r="N206" s="37">
        <f t="shared" si="11"/>
        <v>0.50829720715410276</v>
      </c>
    </row>
    <row r="207" spans="1:14" ht="11.1" customHeight="1" x14ac:dyDescent="0.2">
      <c r="A207" s="22" t="s">
        <v>412</v>
      </c>
      <c r="B207" s="22"/>
      <c r="C207" s="22"/>
      <c r="D207" s="22" t="s">
        <v>413</v>
      </c>
      <c r="E207" s="22"/>
      <c r="F207" s="9">
        <v>300.64999999999998</v>
      </c>
      <c r="G207" s="5">
        <v>859</v>
      </c>
      <c r="H207" s="9">
        <v>4.55</v>
      </c>
      <c r="I207" s="5">
        <v>13</v>
      </c>
      <c r="J207">
        <f>IFERROR(VLOOKUP(A207,[1]TDSheet!$A:$AV,6,0),0)</f>
        <v>189</v>
      </c>
      <c r="K207">
        <f>IFERROR(VLOOKUP(A207,[1]TDSheet!$A:$AV,7,0),0)</f>
        <v>540</v>
      </c>
      <c r="L207" s="26">
        <f t="shared" si="9"/>
        <v>8.5909090909090917</v>
      </c>
      <c r="M207" s="26">
        <f t="shared" si="10"/>
        <v>24.545454545454547</v>
      </c>
      <c r="N207" s="37">
        <f t="shared" si="11"/>
        <v>0.62863795110593723</v>
      </c>
    </row>
    <row r="208" spans="1:14" ht="11.1" customHeight="1" x14ac:dyDescent="0.2">
      <c r="A208" s="38" t="s">
        <v>414</v>
      </c>
      <c r="B208" s="38"/>
      <c r="C208" s="38"/>
      <c r="D208" s="38" t="s">
        <v>415</v>
      </c>
      <c r="E208" s="38"/>
      <c r="F208" s="39">
        <v>66.784999999999997</v>
      </c>
      <c r="G208" s="39">
        <v>66.784999999999997</v>
      </c>
      <c r="H208" s="39">
        <v>4.6319999999999997</v>
      </c>
      <c r="I208" s="39">
        <v>4.6319999999999997</v>
      </c>
      <c r="J208" s="40">
        <f>IFERROR(VLOOKUP(A208,[1]TDSheet!$A:$AV,6,0),0)</f>
        <v>0</v>
      </c>
      <c r="K208" s="40">
        <f>IFERROR(VLOOKUP(A208,[1]TDSheet!$A:$AV,7,0),0)</f>
        <v>0</v>
      </c>
      <c r="L208" s="41">
        <f t="shared" si="9"/>
        <v>0</v>
      </c>
      <c r="M208" s="41">
        <f t="shared" si="10"/>
        <v>0</v>
      </c>
      <c r="N208" s="42">
        <f t="shared" si="11"/>
        <v>0</v>
      </c>
    </row>
    <row r="209" spans="1:14" ht="11.1" customHeight="1" x14ac:dyDescent="0.2">
      <c r="A209" s="22" t="s">
        <v>416</v>
      </c>
      <c r="B209" s="22"/>
      <c r="C209" s="22"/>
      <c r="D209" s="22" t="s">
        <v>417</v>
      </c>
      <c r="E209" s="22"/>
      <c r="F209" s="11">
        <v>1335.78</v>
      </c>
      <c r="G209" s="4">
        <v>3258</v>
      </c>
      <c r="H209" s="7">
        <v>8.1999999999999993</v>
      </c>
      <c r="I209" s="5">
        <v>20</v>
      </c>
      <c r="J209">
        <f>IFERROR(VLOOKUP(A209,[1]TDSheet!$A:$AV,6,0),0)</f>
        <v>658.46</v>
      </c>
      <c r="K209">
        <f>IFERROR(VLOOKUP(A209,[1]TDSheet!$A:$AV,7,0),0)</f>
        <v>1606</v>
      </c>
      <c r="L209" s="26">
        <f t="shared" si="9"/>
        <v>29.930000000000003</v>
      </c>
      <c r="M209" s="26">
        <f t="shared" si="10"/>
        <v>73</v>
      </c>
      <c r="N209" s="37">
        <f t="shared" si="11"/>
        <v>0.49294045426642114</v>
      </c>
    </row>
    <row r="210" spans="1:14" ht="11.1" customHeight="1" x14ac:dyDescent="0.2">
      <c r="A210" s="22" t="s">
        <v>418</v>
      </c>
      <c r="B210" s="22"/>
      <c r="C210" s="22"/>
      <c r="D210" s="22" t="s">
        <v>419</v>
      </c>
      <c r="E210" s="22"/>
      <c r="F210" s="5">
        <v>363.47500000000002</v>
      </c>
      <c r="G210" s="5">
        <v>363.47500000000002</v>
      </c>
      <c r="H210" s="5">
        <v>4.6509999999999998</v>
      </c>
      <c r="I210" s="5">
        <v>4.6509999999999998</v>
      </c>
      <c r="J210">
        <f>IFERROR(VLOOKUP(A210,[1]TDSheet!$A:$AV,6,0),0)</f>
        <v>18.675999999999998</v>
      </c>
      <c r="K210">
        <f>IFERROR(VLOOKUP(A210,[1]TDSheet!$A:$AV,7,0),0)</f>
        <v>18.675999999999998</v>
      </c>
      <c r="L210" s="26">
        <f t="shared" si="9"/>
        <v>0.84890909090909084</v>
      </c>
      <c r="M210" s="26">
        <f t="shared" si="10"/>
        <v>0.84890909090909084</v>
      </c>
      <c r="N210" s="37">
        <f t="shared" si="11"/>
        <v>5.13818006740491E-2</v>
      </c>
    </row>
    <row r="211" spans="1:14" ht="11.1" customHeight="1" x14ac:dyDescent="0.2">
      <c r="A211" s="22" t="s">
        <v>420</v>
      </c>
      <c r="B211" s="22"/>
      <c r="C211" s="22"/>
      <c r="D211" s="22" t="s">
        <v>421</v>
      </c>
      <c r="E211" s="22"/>
      <c r="F211" s="7">
        <v>255.9</v>
      </c>
      <c r="G211" s="5">
        <v>853</v>
      </c>
      <c r="H211" s="7">
        <v>5.7</v>
      </c>
      <c r="I211" s="5">
        <v>19</v>
      </c>
      <c r="J211">
        <f>IFERROR(VLOOKUP(A211,[1]TDSheet!$A:$AV,6,0),0)</f>
        <v>154.80000000000001</v>
      </c>
      <c r="K211">
        <f>IFERROR(VLOOKUP(A211,[1]TDSheet!$A:$AV,7,0),0)</f>
        <v>516</v>
      </c>
      <c r="L211" s="26">
        <f t="shared" si="9"/>
        <v>7.036363636363637</v>
      </c>
      <c r="M211" s="26">
        <f t="shared" si="10"/>
        <v>23.454545454545453</v>
      </c>
      <c r="N211" s="37">
        <f t="shared" si="11"/>
        <v>0.60492379835873389</v>
      </c>
    </row>
    <row r="212" spans="1:14" ht="11.1" customHeight="1" x14ac:dyDescent="0.2">
      <c r="A212" s="22" t="s">
        <v>422</v>
      </c>
      <c r="B212" s="22"/>
      <c r="C212" s="22"/>
      <c r="D212" s="22" t="s">
        <v>423</v>
      </c>
      <c r="E212" s="22"/>
      <c r="F212" s="7">
        <v>139.5</v>
      </c>
      <c r="G212" s="5">
        <v>775</v>
      </c>
      <c r="H212" s="9">
        <v>3.78</v>
      </c>
      <c r="I212" s="5">
        <v>21</v>
      </c>
      <c r="J212">
        <f>IFERROR(VLOOKUP(A212,[1]TDSheet!$A:$AV,6,0),0)</f>
        <v>96.48</v>
      </c>
      <c r="K212">
        <f>IFERROR(VLOOKUP(A212,[1]TDSheet!$A:$AV,7,0),0)</f>
        <v>536</v>
      </c>
      <c r="L212" s="26">
        <f t="shared" si="9"/>
        <v>4.3854545454545457</v>
      </c>
      <c r="M212" s="26">
        <f t="shared" si="10"/>
        <v>24.363636363636363</v>
      </c>
      <c r="N212" s="37">
        <f t="shared" si="11"/>
        <v>0.69161290322580649</v>
      </c>
    </row>
    <row r="213" spans="1:14" ht="11.1" customHeight="1" x14ac:dyDescent="0.2">
      <c r="A213" s="22" t="s">
        <v>424</v>
      </c>
      <c r="B213" s="22"/>
      <c r="C213" s="22"/>
      <c r="D213" s="22" t="s">
        <v>425</v>
      </c>
      <c r="E213" s="22"/>
      <c r="F213" s="9">
        <v>-0.22</v>
      </c>
      <c r="G213" s="5">
        <v>-1</v>
      </c>
      <c r="H213" s="9">
        <v>0.22</v>
      </c>
      <c r="I213" s="5">
        <v>1</v>
      </c>
      <c r="J213">
        <f>IFERROR(VLOOKUP(A213,[1]TDSheet!$A:$AV,6,0),0)</f>
        <v>-0.22</v>
      </c>
      <c r="K213">
        <f>IFERROR(VLOOKUP(A213,[1]TDSheet!$A:$AV,7,0),0)</f>
        <v>-1</v>
      </c>
      <c r="L213" s="26">
        <f t="shared" si="9"/>
        <v>-0.01</v>
      </c>
      <c r="M213" s="26">
        <f t="shared" si="10"/>
        <v>-4.5454545454545456E-2</v>
      </c>
      <c r="N213" s="37">
        <f t="shared" si="11"/>
        <v>1</v>
      </c>
    </row>
    <row r="214" spans="1:14" ht="11.1" customHeight="1" x14ac:dyDescent="0.2">
      <c r="A214" s="22" t="s">
        <v>426</v>
      </c>
      <c r="B214" s="22"/>
      <c r="C214" s="22"/>
      <c r="D214" s="22" t="s">
        <v>427</v>
      </c>
      <c r="E214" s="22"/>
      <c r="F214" s="13">
        <v>931</v>
      </c>
      <c r="G214" s="4">
        <v>2660</v>
      </c>
      <c r="H214" s="9">
        <v>6.65</v>
      </c>
      <c r="I214" s="5">
        <v>19</v>
      </c>
      <c r="J214">
        <f>IFERROR(VLOOKUP(A214,[1]TDSheet!$A:$AV,6,0),0)</f>
        <v>576.45000000000005</v>
      </c>
      <c r="K214">
        <f>IFERROR(VLOOKUP(A214,[1]TDSheet!$A:$AV,7,0),0)</f>
        <v>1647</v>
      </c>
      <c r="L214" s="26">
        <f t="shared" si="9"/>
        <v>26.202272727272728</v>
      </c>
      <c r="M214" s="26">
        <f t="shared" si="10"/>
        <v>74.86363636363636</v>
      </c>
      <c r="N214" s="37">
        <f t="shared" si="11"/>
        <v>0.61917293233082715</v>
      </c>
    </row>
    <row r="215" spans="1:14" ht="11.1" customHeight="1" x14ac:dyDescent="0.2">
      <c r="A215" s="22" t="s">
        <v>428</v>
      </c>
      <c r="B215" s="22"/>
      <c r="C215" s="22"/>
      <c r="D215" s="22" t="s">
        <v>429</v>
      </c>
      <c r="E215" s="22"/>
      <c r="F215" s="5">
        <v>770.79200000000003</v>
      </c>
      <c r="G215" s="5">
        <v>770.79200000000003</v>
      </c>
      <c r="H215" s="5">
        <v>21.422999999999998</v>
      </c>
      <c r="I215" s="5">
        <v>21.422999999999998</v>
      </c>
      <c r="J215">
        <f>IFERROR(VLOOKUP(A215,[1]TDSheet!$A:$AV,6,0),0)</f>
        <v>384.20600000000002</v>
      </c>
      <c r="K215">
        <f>IFERROR(VLOOKUP(A215,[1]TDSheet!$A:$AV,7,0),0)</f>
        <v>384.20600000000002</v>
      </c>
      <c r="L215" s="26">
        <f t="shared" si="9"/>
        <v>17.463909090909091</v>
      </c>
      <c r="M215" s="26">
        <f t="shared" si="10"/>
        <v>17.463909090909091</v>
      </c>
      <c r="N215" s="37">
        <f t="shared" si="11"/>
        <v>0.49845613343158723</v>
      </c>
    </row>
    <row r="216" spans="1:14" ht="11.1" customHeight="1" x14ac:dyDescent="0.2">
      <c r="A216" s="22" t="s">
        <v>430</v>
      </c>
      <c r="B216" s="22"/>
      <c r="C216" s="22"/>
      <c r="D216" s="22" t="s">
        <v>431</v>
      </c>
      <c r="E216" s="22"/>
      <c r="F216" s="11">
        <v>1284.5899999999999</v>
      </c>
      <c r="G216" s="4">
        <v>1284.5899999999999</v>
      </c>
      <c r="H216" s="5">
        <v>20.274000000000001</v>
      </c>
      <c r="I216" s="5">
        <v>20.274000000000001</v>
      </c>
      <c r="J216">
        <f>IFERROR(VLOOKUP(A216,[1]TDSheet!$A:$AV,6,0),0)</f>
        <v>628.21</v>
      </c>
      <c r="K216">
        <f>IFERROR(VLOOKUP(A216,[1]TDSheet!$A:$AV,7,0),0)</f>
        <v>628.21</v>
      </c>
      <c r="L216" s="26">
        <f t="shared" si="9"/>
        <v>28.555000000000003</v>
      </c>
      <c r="M216" s="26">
        <f t="shared" si="10"/>
        <v>28.555000000000003</v>
      </c>
      <c r="N216" s="37">
        <f t="shared" si="11"/>
        <v>0.48903541207700518</v>
      </c>
    </row>
    <row r="217" spans="1:14" ht="11.1" customHeight="1" x14ac:dyDescent="0.2">
      <c r="A217" s="22" t="s">
        <v>432</v>
      </c>
      <c r="B217" s="22"/>
      <c r="C217" s="22"/>
      <c r="D217" s="22" t="s">
        <v>433</v>
      </c>
      <c r="E217" s="22"/>
      <c r="F217" s="8">
        <v>1142.4000000000001</v>
      </c>
      <c r="G217" s="4">
        <v>3264</v>
      </c>
      <c r="H217" s="7">
        <v>15.4</v>
      </c>
      <c r="I217" s="5">
        <v>44</v>
      </c>
      <c r="J217">
        <f>IFERROR(VLOOKUP(A217,[1]TDSheet!$A:$AV,6,0),0)</f>
        <v>626.15</v>
      </c>
      <c r="K217">
        <f>IFERROR(VLOOKUP(A217,[1]TDSheet!$A:$AV,7,0),0)</f>
        <v>1789</v>
      </c>
      <c r="L217" s="26">
        <f t="shared" si="9"/>
        <v>28.461363636363636</v>
      </c>
      <c r="M217" s="26">
        <f t="shared" si="10"/>
        <v>81.318181818181813</v>
      </c>
      <c r="N217" s="37">
        <f t="shared" si="11"/>
        <v>0.54810049019607832</v>
      </c>
    </row>
    <row r="218" spans="1:14" ht="11.1" customHeight="1" x14ac:dyDescent="0.2">
      <c r="A218" s="22" t="s">
        <v>434</v>
      </c>
      <c r="B218" s="22"/>
      <c r="C218" s="22"/>
      <c r="D218" s="22" t="s">
        <v>435</v>
      </c>
      <c r="E218" s="22"/>
      <c r="F218" s="9">
        <v>52.85</v>
      </c>
      <c r="G218" s="5">
        <v>151</v>
      </c>
      <c r="H218" s="7">
        <v>0.7</v>
      </c>
      <c r="I218" s="5">
        <v>2</v>
      </c>
      <c r="J218">
        <f>IFERROR(VLOOKUP(A218,[1]TDSheet!$A:$AV,6,0),0)</f>
        <v>31.5</v>
      </c>
      <c r="K218">
        <f>IFERROR(VLOOKUP(A218,[1]TDSheet!$A:$AV,7,0),0)</f>
        <v>90</v>
      </c>
      <c r="L218" s="26">
        <f t="shared" si="9"/>
        <v>1.4318181818181819</v>
      </c>
      <c r="M218" s="26">
        <f t="shared" si="10"/>
        <v>4.0909090909090908</v>
      </c>
      <c r="N218" s="37">
        <f t="shared" si="11"/>
        <v>0.5960264900662251</v>
      </c>
    </row>
    <row r="219" spans="1:14" ht="11.1" customHeight="1" x14ac:dyDescent="0.2">
      <c r="A219" s="22" t="s">
        <v>436</v>
      </c>
      <c r="B219" s="22"/>
      <c r="C219" s="22"/>
      <c r="D219" s="22" t="s">
        <v>437</v>
      </c>
      <c r="E219" s="22"/>
      <c r="F219" s="7">
        <v>215.7</v>
      </c>
      <c r="G219" s="5">
        <v>719</v>
      </c>
      <c r="H219" s="7">
        <v>2.7</v>
      </c>
      <c r="I219" s="5">
        <v>9</v>
      </c>
      <c r="J219">
        <f>IFERROR(VLOOKUP(A219,[1]TDSheet!$A:$AV,6,0),0)</f>
        <v>97.8</v>
      </c>
      <c r="K219">
        <f>IFERROR(VLOOKUP(A219,[1]TDSheet!$A:$AV,7,0),0)</f>
        <v>326</v>
      </c>
      <c r="L219" s="26">
        <f t="shared" si="9"/>
        <v>4.4454545454545453</v>
      </c>
      <c r="M219" s="26">
        <f t="shared" si="10"/>
        <v>14.818181818181818</v>
      </c>
      <c r="N219" s="37">
        <f t="shared" si="11"/>
        <v>0.4534075104311544</v>
      </c>
    </row>
    <row r="220" spans="1:14" ht="11.1" customHeight="1" x14ac:dyDescent="0.2">
      <c r="A220" s="22" t="s">
        <v>438</v>
      </c>
      <c r="B220" s="22"/>
      <c r="C220" s="22"/>
      <c r="D220" s="22" t="s">
        <v>439</v>
      </c>
      <c r="E220" s="22"/>
      <c r="F220" s="7">
        <v>152.6</v>
      </c>
      <c r="G220" s="5">
        <v>218</v>
      </c>
      <c r="H220" s="10"/>
      <c r="I220" s="10"/>
      <c r="J220">
        <f>IFERROR(VLOOKUP(A220,[1]TDSheet!$A:$AV,6,0),0)</f>
        <v>23.8</v>
      </c>
      <c r="K220">
        <f>IFERROR(VLOOKUP(A220,[1]TDSheet!$A:$AV,7,0),0)</f>
        <v>34</v>
      </c>
      <c r="L220" s="26">
        <f t="shared" si="9"/>
        <v>1.0818181818181818</v>
      </c>
      <c r="M220" s="26">
        <f t="shared" si="10"/>
        <v>1.5454545454545454</v>
      </c>
      <c r="N220" s="37">
        <f t="shared" si="11"/>
        <v>0.15596330275229359</v>
      </c>
    </row>
    <row r="221" spans="1:14" ht="11.1" customHeight="1" x14ac:dyDescent="0.2">
      <c r="A221" s="22" t="s">
        <v>440</v>
      </c>
      <c r="B221" s="22"/>
      <c r="C221" s="22"/>
      <c r="D221" s="22" t="s">
        <v>441</v>
      </c>
      <c r="E221" s="22"/>
      <c r="F221" s="7">
        <v>49.2</v>
      </c>
      <c r="G221" s="5">
        <v>164</v>
      </c>
      <c r="H221" s="7">
        <v>1.5</v>
      </c>
      <c r="I221" s="5">
        <v>5</v>
      </c>
      <c r="J221">
        <f>IFERROR(VLOOKUP(A221,[1]TDSheet!$A:$AV,6,0),0)</f>
        <v>10.199999999999999</v>
      </c>
      <c r="K221">
        <f>IFERROR(VLOOKUP(A221,[1]TDSheet!$A:$AV,7,0),0)</f>
        <v>34</v>
      </c>
      <c r="L221" s="26">
        <f t="shared" si="9"/>
        <v>0.46363636363636362</v>
      </c>
      <c r="M221" s="26">
        <f t="shared" si="10"/>
        <v>1.5454545454545454</v>
      </c>
      <c r="N221" s="37">
        <f t="shared" si="11"/>
        <v>0.20731707317073167</v>
      </c>
    </row>
    <row r="222" spans="1:14" ht="11.1" customHeight="1" x14ac:dyDescent="0.2">
      <c r="A222" s="22" t="s">
        <v>442</v>
      </c>
      <c r="B222" s="22"/>
      <c r="C222" s="22"/>
      <c r="D222" s="22" t="s">
        <v>443</v>
      </c>
      <c r="E222" s="22"/>
      <c r="F222" s="7">
        <v>428.4</v>
      </c>
      <c r="G222" s="4">
        <v>1530</v>
      </c>
      <c r="H222" s="9">
        <v>8.68</v>
      </c>
      <c r="I222" s="5">
        <v>31</v>
      </c>
      <c r="J222">
        <f>IFERROR(VLOOKUP(A222,[1]TDSheet!$A:$AV,6,0),0)</f>
        <v>237.44</v>
      </c>
      <c r="K222">
        <f>IFERROR(VLOOKUP(A222,[1]TDSheet!$A:$AV,7,0),0)</f>
        <v>848</v>
      </c>
      <c r="L222" s="26">
        <f t="shared" si="9"/>
        <v>10.792727272727273</v>
      </c>
      <c r="M222" s="26">
        <f t="shared" si="10"/>
        <v>38.545454545454547</v>
      </c>
      <c r="N222" s="37">
        <f t="shared" si="11"/>
        <v>0.55424836601307192</v>
      </c>
    </row>
    <row r="223" spans="1:14" ht="11.1" customHeight="1" x14ac:dyDescent="0.2">
      <c r="A223" s="22" t="s">
        <v>444</v>
      </c>
      <c r="B223" s="22"/>
      <c r="C223" s="22"/>
      <c r="D223" s="22" t="s">
        <v>445</v>
      </c>
      <c r="E223" s="22"/>
      <c r="F223" s="9">
        <v>528.64</v>
      </c>
      <c r="G223" s="4">
        <v>1888</v>
      </c>
      <c r="H223" s="7">
        <v>5.6</v>
      </c>
      <c r="I223" s="5">
        <v>20</v>
      </c>
      <c r="J223">
        <f>IFERROR(VLOOKUP(A223,[1]TDSheet!$A:$AV,6,0),0)</f>
        <v>346.08</v>
      </c>
      <c r="K223">
        <f>IFERROR(VLOOKUP(A223,[1]TDSheet!$A:$AV,7,0),0)</f>
        <v>1236</v>
      </c>
      <c r="L223" s="26">
        <f t="shared" si="9"/>
        <v>15.730909090909091</v>
      </c>
      <c r="M223" s="26">
        <f t="shared" si="10"/>
        <v>56.18181818181818</v>
      </c>
      <c r="N223" s="37">
        <f t="shared" si="11"/>
        <v>0.65466101694915257</v>
      </c>
    </row>
    <row r="224" spans="1:14" ht="11.1" customHeight="1" x14ac:dyDescent="0.2">
      <c r="A224" s="22" t="s">
        <v>446</v>
      </c>
      <c r="B224" s="22"/>
      <c r="C224" s="22"/>
      <c r="D224" s="22" t="s">
        <v>447</v>
      </c>
      <c r="E224" s="22"/>
      <c r="F224" s="7">
        <v>-2.8</v>
      </c>
      <c r="G224" s="5">
        <v>-10</v>
      </c>
      <c r="H224" s="7">
        <v>2.8</v>
      </c>
      <c r="I224" s="5">
        <v>10</v>
      </c>
      <c r="J224">
        <f>IFERROR(VLOOKUP(A224,[1]TDSheet!$A:$AV,6,0),0)</f>
        <v>-1.96</v>
      </c>
      <c r="K224">
        <f>IFERROR(VLOOKUP(A224,[1]TDSheet!$A:$AV,7,0),0)</f>
        <v>-7</v>
      </c>
      <c r="L224" s="26">
        <f t="shared" si="9"/>
        <v>-8.9090909090909096E-2</v>
      </c>
      <c r="M224" s="26">
        <f t="shared" si="10"/>
        <v>-0.31818181818181818</v>
      </c>
      <c r="N224" s="37">
        <f t="shared" si="11"/>
        <v>0.70000000000000007</v>
      </c>
    </row>
    <row r="225" spans="1:14" ht="11.1" customHeight="1" x14ac:dyDescent="0.2">
      <c r="A225" s="22" t="s">
        <v>448</v>
      </c>
      <c r="B225" s="22"/>
      <c r="C225" s="22"/>
      <c r="D225" s="22" t="s">
        <v>449</v>
      </c>
      <c r="E225" s="22"/>
      <c r="F225" s="9">
        <v>0.62</v>
      </c>
      <c r="G225" s="5">
        <v>2</v>
      </c>
      <c r="H225" s="10"/>
      <c r="I225" s="10"/>
      <c r="J225">
        <f>IFERROR(VLOOKUP(A225,[1]TDSheet!$A:$AV,6,0),0)</f>
        <v>0.62</v>
      </c>
      <c r="K225">
        <f>IFERROR(VLOOKUP(A225,[1]TDSheet!$A:$AV,7,0),0)</f>
        <v>2</v>
      </c>
      <c r="L225" s="26">
        <f t="shared" si="9"/>
        <v>2.8181818181818183E-2</v>
      </c>
      <c r="M225" s="26">
        <f t="shared" si="10"/>
        <v>9.0909090909090912E-2</v>
      </c>
      <c r="N225" s="37">
        <f t="shared" si="11"/>
        <v>1</v>
      </c>
    </row>
    <row r="226" spans="1:14" ht="11.1" customHeight="1" x14ac:dyDescent="0.2">
      <c r="A226" s="22" t="s">
        <v>450</v>
      </c>
      <c r="B226" s="22"/>
      <c r="C226" s="22"/>
      <c r="D226" s="22" t="s">
        <v>451</v>
      </c>
      <c r="E226" s="22"/>
      <c r="F226" s="7">
        <v>450.8</v>
      </c>
      <c r="G226" s="4">
        <v>1610</v>
      </c>
      <c r="H226" s="9">
        <v>5.32</v>
      </c>
      <c r="I226" s="5">
        <v>19</v>
      </c>
      <c r="J226">
        <f>IFERROR(VLOOKUP(A226,[1]TDSheet!$A:$AV,6,0),0)</f>
        <v>295.68</v>
      </c>
      <c r="K226">
        <f>IFERROR(VLOOKUP(A226,[1]TDSheet!$A:$AV,7,0),0)</f>
        <v>1056</v>
      </c>
      <c r="L226" s="26">
        <f t="shared" si="9"/>
        <v>13.44</v>
      </c>
      <c r="M226" s="26">
        <f t="shared" si="10"/>
        <v>48</v>
      </c>
      <c r="N226" s="37">
        <f t="shared" si="11"/>
        <v>0.65590062111801239</v>
      </c>
    </row>
    <row r="227" spans="1:14" ht="11.1" customHeight="1" x14ac:dyDescent="0.2">
      <c r="A227" s="22" t="s">
        <v>452</v>
      </c>
      <c r="B227" s="22"/>
      <c r="C227" s="22"/>
      <c r="D227" s="22" t="s">
        <v>453</v>
      </c>
      <c r="E227" s="22"/>
      <c r="F227" s="12">
        <v>1274</v>
      </c>
      <c r="G227" s="4">
        <v>3185</v>
      </c>
      <c r="H227" s="7">
        <v>3.6</v>
      </c>
      <c r="I227" s="5">
        <v>9</v>
      </c>
      <c r="J227">
        <f>IFERROR(VLOOKUP(A227,[1]TDSheet!$A:$AV,6,0),0)</f>
        <v>676.8</v>
      </c>
      <c r="K227">
        <f>IFERROR(VLOOKUP(A227,[1]TDSheet!$A:$AV,7,0),0)</f>
        <v>1692</v>
      </c>
      <c r="L227" s="26">
        <f t="shared" si="9"/>
        <v>30.763636363636362</v>
      </c>
      <c r="M227" s="26">
        <f t="shared" si="10"/>
        <v>76.909090909090907</v>
      </c>
      <c r="N227" s="37">
        <f t="shared" si="11"/>
        <v>0.53124018838304554</v>
      </c>
    </row>
    <row r="228" spans="1:14" ht="11.1" customHeight="1" x14ac:dyDescent="0.2">
      <c r="A228" s="38" t="s">
        <v>454</v>
      </c>
      <c r="B228" s="38"/>
      <c r="C228" s="38"/>
      <c r="D228" s="38" t="s">
        <v>455</v>
      </c>
      <c r="E228" s="38"/>
      <c r="F228" s="43">
        <v>1.98</v>
      </c>
      <c r="G228" s="39">
        <v>6</v>
      </c>
      <c r="H228" s="45"/>
      <c r="I228" s="45"/>
      <c r="J228" s="40">
        <f>IFERROR(VLOOKUP(A228,[1]TDSheet!$A:$AV,6,0),0)</f>
        <v>0</v>
      </c>
      <c r="K228" s="40">
        <f>IFERROR(VLOOKUP(A228,[1]TDSheet!$A:$AV,7,0),0)</f>
        <v>0</v>
      </c>
      <c r="L228" s="41">
        <f t="shared" si="9"/>
        <v>0</v>
      </c>
      <c r="M228" s="41">
        <f t="shared" si="10"/>
        <v>0</v>
      </c>
      <c r="N228" s="42">
        <f t="shared" si="11"/>
        <v>0</v>
      </c>
    </row>
    <row r="229" spans="1:14" ht="11.1" customHeight="1" x14ac:dyDescent="0.2">
      <c r="A229" s="22" t="s">
        <v>456</v>
      </c>
      <c r="B229" s="22"/>
      <c r="C229" s="22"/>
      <c r="D229" s="22" t="s">
        <v>457</v>
      </c>
      <c r="E229" s="22"/>
      <c r="F229" s="5">
        <v>94.328000000000003</v>
      </c>
      <c r="G229" s="5">
        <v>94.328000000000003</v>
      </c>
      <c r="H229" s="5">
        <v>6.6589999999999998</v>
      </c>
      <c r="I229" s="5">
        <v>6.6589999999999998</v>
      </c>
      <c r="J229">
        <f>IFERROR(VLOOKUP(A229,[1]TDSheet!$A:$AV,6,0),0)</f>
        <v>38.737000000000002</v>
      </c>
      <c r="K229">
        <f>IFERROR(VLOOKUP(A229,[1]TDSheet!$A:$AV,7,0),0)</f>
        <v>38.737000000000002</v>
      </c>
      <c r="L229" s="26">
        <f t="shared" si="9"/>
        <v>1.7607727272727274</v>
      </c>
      <c r="M229" s="26">
        <f t="shared" si="10"/>
        <v>1.7607727272727274</v>
      </c>
      <c r="N229" s="37">
        <f t="shared" si="11"/>
        <v>0.41066279365617847</v>
      </c>
    </row>
    <row r="230" spans="1:14" ht="11.1" customHeight="1" x14ac:dyDescent="0.2">
      <c r="A230" s="22" t="s">
        <v>458</v>
      </c>
      <c r="B230" s="22"/>
      <c r="C230" s="22"/>
      <c r="D230" s="22" t="s">
        <v>459</v>
      </c>
      <c r="E230" s="22"/>
      <c r="F230" s="9">
        <v>20.72</v>
      </c>
      <c r="G230" s="5">
        <v>74</v>
      </c>
      <c r="H230" s="10"/>
      <c r="I230" s="10"/>
      <c r="J230">
        <f>IFERROR(VLOOKUP(A230,[1]TDSheet!$A:$AV,6,0),0)</f>
        <v>1.96</v>
      </c>
      <c r="K230">
        <f>IFERROR(VLOOKUP(A230,[1]TDSheet!$A:$AV,7,0),0)</f>
        <v>7</v>
      </c>
      <c r="L230" s="26">
        <f t="shared" si="9"/>
        <v>8.9090909090909096E-2</v>
      </c>
      <c r="M230" s="26">
        <f t="shared" si="10"/>
        <v>0.31818181818181818</v>
      </c>
      <c r="N230" s="37">
        <f t="shared" si="11"/>
        <v>9.45945945945946E-2</v>
      </c>
    </row>
    <row r="231" spans="1:14" ht="11.1" customHeight="1" x14ac:dyDescent="0.2">
      <c r="A231" s="38" t="s">
        <v>460</v>
      </c>
      <c r="B231" s="38"/>
      <c r="C231" s="38"/>
      <c r="D231" s="38" t="s">
        <v>461</v>
      </c>
      <c r="E231" s="38"/>
      <c r="F231" s="39">
        <v>7.4359999999999999</v>
      </c>
      <c r="G231" s="39">
        <v>22</v>
      </c>
      <c r="H231" s="45"/>
      <c r="I231" s="45"/>
      <c r="J231" s="40">
        <f>IFERROR(VLOOKUP(A231,[1]TDSheet!$A:$AV,6,0),0)</f>
        <v>0</v>
      </c>
      <c r="K231" s="40">
        <f>IFERROR(VLOOKUP(A231,[1]TDSheet!$A:$AV,7,0),0)</f>
        <v>0</v>
      </c>
      <c r="L231" s="41">
        <f t="shared" si="9"/>
        <v>0</v>
      </c>
      <c r="M231" s="41">
        <f t="shared" si="10"/>
        <v>0</v>
      </c>
      <c r="N231" s="42">
        <f t="shared" si="11"/>
        <v>0</v>
      </c>
    </row>
    <row r="232" spans="1:14" ht="11.1" customHeight="1" x14ac:dyDescent="0.2">
      <c r="A232" s="38" t="s">
        <v>462</v>
      </c>
      <c r="B232" s="38"/>
      <c r="C232" s="38"/>
      <c r="D232" s="38" t="s">
        <v>463</v>
      </c>
      <c r="E232" s="38"/>
      <c r="F232" s="43">
        <v>0.65</v>
      </c>
      <c r="G232" s="39">
        <v>2</v>
      </c>
      <c r="H232" s="45"/>
      <c r="I232" s="45"/>
      <c r="J232" s="40">
        <f>IFERROR(VLOOKUP(A232,[1]TDSheet!$A:$AV,6,0),0)</f>
        <v>0</v>
      </c>
      <c r="K232" s="40">
        <f>IFERROR(VLOOKUP(A232,[1]TDSheet!$A:$AV,7,0),0)</f>
        <v>0</v>
      </c>
      <c r="L232" s="41">
        <f t="shared" si="9"/>
        <v>0</v>
      </c>
      <c r="M232" s="41">
        <f t="shared" si="10"/>
        <v>0</v>
      </c>
      <c r="N232" s="42">
        <f t="shared" si="11"/>
        <v>0</v>
      </c>
    </row>
    <row r="233" spans="1:14" ht="11.1" customHeight="1" x14ac:dyDescent="0.2">
      <c r="A233" s="22" t="s">
        <v>464</v>
      </c>
      <c r="B233" s="22"/>
      <c r="C233" s="22"/>
      <c r="D233" s="22" t="s">
        <v>465</v>
      </c>
      <c r="E233" s="22"/>
      <c r="F233" s="7">
        <v>-0.9</v>
      </c>
      <c r="G233" s="5">
        <v>-3</v>
      </c>
      <c r="H233" s="7">
        <v>0.9</v>
      </c>
      <c r="I233" s="5">
        <v>3</v>
      </c>
      <c r="J233">
        <f>IFERROR(VLOOKUP(A233,[1]TDSheet!$A:$AV,6,0),0)</f>
        <v>-0.9</v>
      </c>
      <c r="K233">
        <f>IFERROR(VLOOKUP(A233,[1]TDSheet!$A:$AV,7,0),0)</f>
        <v>-3</v>
      </c>
      <c r="L233" s="26">
        <f t="shared" si="9"/>
        <v>-4.0909090909090909E-2</v>
      </c>
      <c r="M233" s="26">
        <f t="shared" si="10"/>
        <v>-0.13636363636363635</v>
      </c>
      <c r="N233" s="37">
        <f t="shared" si="11"/>
        <v>1</v>
      </c>
    </row>
    <row r="234" spans="1:14" ht="11.1" customHeight="1" x14ac:dyDescent="0.2">
      <c r="A234" s="22" t="s">
        <v>466</v>
      </c>
      <c r="B234" s="22"/>
      <c r="C234" s="22"/>
      <c r="D234" s="22" t="s">
        <v>467</v>
      </c>
      <c r="E234" s="22"/>
      <c r="F234" s="9">
        <v>173.76</v>
      </c>
      <c r="G234" s="4">
        <v>1448</v>
      </c>
      <c r="H234" s="9">
        <v>0.48</v>
      </c>
      <c r="I234" s="5">
        <v>4</v>
      </c>
      <c r="J234">
        <f>IFERROR(VLOOKUP(A234,[1]TDSheet!$A:$AV,6,0),0)</f>
        <v>95.52</v>
      </c>
      <c r="K234">
        <f>IFERROR(VLOOKUP(A234,[1]TDSheet!$A:$AV,7,0),0)</f>
        <v>796</v>
      </c>
      <c r="L234" s="26">
        <f t="shared" si="9"/>
        <v>4.3418181818181818</v>
      </c>
      <c r="M234" s="26">
        <f t="shared" si="10"/>
        <v>36.18181818181818</v>
      </c>
      <c r="N234" s="37">
        <f t="shared" si="11"/>
        <v>0.54972375690607733</v>
      </c>
    </row>
    <row r="235" spans="1:14" ht="11.1" customHeight="1" x14ac:dyDescent="0.2">
      <c r="A235" s="22" t="s">
        <v>468</v>
      </c>
      <c r="B235" s="22"/>
      <c r="C235" s="22"/>
      <c r="D235" s="22" t="s">
        <v>469</v>
      </c>
      <c r="E235" s="22"/>
      <c r="F235" s="9">
        <v>17.850000000000001</v>
      </c>
      <c r="G235" s="5">
        <v>119</v>
      </c>
      <c r="H235" s="10"/>
      <c r="I235" s="10"/>
      <c r="J235">
        <f>IFERROR(VLOOKUP(A235,[1]TDSheet!$A:$AV,6,0),0)</f>
        <v>11.7</v>
      </c>
      <c r="K235">
        <f>IFERROR(VLOOKUP(A235,[1]TDSheet!$A:$AV,7,0),0)</f>
        <v>78</v>
      </c>
      <c r="L235" s="26">
        <f t="shared" si="9"/>
        <v>0.53181818181818175</v>
      </c>
      <c r="M235" s="26">
        <f t="shared" si="10"/>
        <v>3.5454545454545454</v>
      </c>
      <c r="N235" s="37">
        <f t="shared" si="11"/>
        <v>0.65546218487394947</v>
      </c>
    </row>
    <row r="236" spans="1:14" ht="11.1" customHeight="1" x14ac:dyDescent="0.2">
      <c r="A236" s="22" t="s">
        <v>470</v>
      </c>
      <c r="B236" s="22"/>
      <c r="C236" s="22"/>
      <c r="D236" s="22" t="s">
        <v>471</v>
      </c>
      <c r="E236" s="22"/>
      <c r="F236" s="9">
        <v>5.85</v>
      </c>
      <c r="G236" s="5">
        <v>39</v>
      </c>
      <c r="H236" s="10"/>
      <c r="I236" s="10"/>
      <c r="J236">
        <f>IFERROR(VLOOKUP(A236,[1]TDSheet!$A:$AV,6,0),0)</f>
        <v>0.9</v>
      </c>
      <c r="K236">
        <f>IFERROR(VLOOKUP(A236,[1]TDSheet!$A:$AV,7,0),0)</f>
        <v>6</v>
      </c>
      <c r="L236" s="26">
        <f t="shared" si="9"/>
        <v>4.0909090909090909E-2</v>
      </c>
      <c r="M236" s="26">
        <f t="shared" si="10"/>
        <v>0.27272727272727271</v>
      </c>
      <c r="N236" s="37">
        <f t="shared" si="11"/>
        <v>0.15384615384615385</v>
      </c>
    </row>
    <row r="237" spans="1:14" ht="11.1" customHeight="1" x14ac:dyDescent="0.2">
      <c r="A237" s="22" t="s">
        <v>472</v>
      </c>
      <c r="B237" s="22"/>
      <c r="C237" s="22"/>
      <c r="D237" s="22" t="s">
        <v>473</v>
      </c>
      <c r="E237" s="22"/>
      <c r="F237" s="7">
        <v>217.8</v>
      </c>
      <c r="G237" s="5">
        <v>660</v>
      </c>
      <c r="H237" s="9">
        <v>12.87</v>
      </c>
      <c r="I237" s="5">
        <v>39</v>
      </c>
      <c r="J237">
        <f>IFERROR(VLOOKUP(A237,[1]TDSheet!$A:$AV,6,0),0)</f>
        <v>88.77</v>
      </c>
      <c r="K237">
        <f>IFERROR(VLOOKUP(A237,[1]TDSheet!$A:$AV,7,0),0)</f>
        <v>269</v>
      </c>
      <c r="L237" s="26">
        <f t="shared" si="9"/>
        <v>4.0350000000000001</v>
      </c>
      <c r="M237" s="26">
        <f t="shared" si="10"/>
        <v>12.227272727272727</v>
      </c>
      <c r="N237" s="37">
        <f t="shared" si="11"/>
        <v>0.40757575757575754</v>
      </c>
    </row>
    <row r="238" spans="1:14" ht="11.1" customHeight="1" x14ac:dyDescent="0.2">
      <c r="A238" s="22" t="s">
        <v>474</v>
      </c>
      <c r="B238" s="22"/>
      <c r="C238" s="22"/>
      <c r="D238" s="22" t="s">
        <v>475</v>
      </c>
      <c r="E238" s="22"/>
      <c r="F238" s="7">
        <v>44.4</v>
      </c>
      <c r="G238" s="5">
        <v>296</v>
      </c>
      <c r="H238" s="10"/>
      <c r="I238" s="10"/>
      <c r="J238">
        <f>IFERROR(VLOOKUP(A238,[1]TDSheet!$A:$AV,6,0),0)</f>
        <v>13.95</v>
      </c>
      <c r="K238">
        <f>IFERROR(VLOOKUP(A238,[1]TDSheet!$A:$AV,7,0),0)</f>
        <v>93</v>
      </c>
      <c r="L238" s="26">
        <f t="shared" si="9"/>
        <v>0.63409090909090904</v>
      </c>
      <c r="M238" s="26">
        <f t="shared" si="10"/>
        <v>4.2272727272727275</v>
      </c>
      <c r="N238" s="37">
        <f t="shared" si="11"/>
        <v>0.3141891891891892</v>
      </c>
    </row>
    <row r="239" spans="1:14" ht="11.1" customHeight="1" x14ac:dyDescent="0.2">
      <c r="A239" s="38" t="s">
        <v>476</v>
      </c>
      <c r="B239" s="38"/>
      <c r="C239" s="38"/>
      <c r="D239" s="38" t="s">
        <v>477</v>
      </c>
      <c r="E239" s="38"/>
      <c r="F239" s="44">
        <v>-1.4</v>
      </c>
      <c r="G239" s="39">
        <v>-5</v>
      </c>
      <c r="H239" s="44">
        <v>1.4</v>
      </c>
      <c r="I239" s="39">
        <v>5</v>
      </c>
      <c r="J239" s="40">
        <f>IFERROR(VLOOKUP(A239,[1]TDSheet!$A:$AV,6,0),0)</f>
        <v>0</v>
      </c>
      <c r="K239" s="40">
        <f>IFERROR(VLOOKUP(A239,[1]TDSheet!$A:$AV,7,0),0)</f>
        <v>0</v>
      </c>
      <c r="L239" s="41">
        <f t="shared" si="9"/>
        <v>0</v>
      </c>
      <c r="M239" s="41">
        <f t="shared" si="10"/>
        <v>0</v>
      </c>
      <c r="N239" s="42">
        <f t="shared" si="11"/>
        <v>0</v>
      </c>
    </row>
    <row r="240" spans="1:14" ht="11.1" customHeight="1" x14ac:dyDescent="0.2">
      <c r="A240" s="22" t="s">
        <v>478</v>
      </c>
      <c r="B240" s="22"/>
      <c r="C240" s="22"/>
      <c r="D240" s="22" t="s">
        <v>479</v>
      </c>
      <c r="E240" s="22"/>
      <c r="F240" s="9">
        <v>46.02</v>
      </c>
      <c r="G240" s="5">
        <v>177</v>
      </c>
      <c r="H240" s="10"/>
      <c r="I240" s="10"/>
      <c r="J240">
        <f>IFERROR(VLOOKUP(A240,[1]TDSheet!$A:$AV,6,0),0)</f>
        <v>23.66</v>
      </c>
      <c r="K240">
        <f>IFERROR(VLOOKUP(A240,[1]TDSheet!$A:$AV,7,0),0)</f>
        <v>91</v>
      </c>
      <c r="L240" s="26">
        <f t="shared" si="9"/>
        <v>1.0754545454545454</v>
      </c>
      <c r="M240" s="26">
        <f t="shared" si="10"/>
        <v>4.1363636363636367</v>
      </c>
      <c r="N240" s="37">
        <f t="shared" si="11"/>
        <v>0.51412429378531066</v>
      </c>
    </row>
    <row r="241" spans="1:14" ht="11.1" customHeight="1" x14ac:dyDescent="0.2">
      <c r="A241" s="22" t="s">
        <v>480</v>
      </c>
      <c r="B241" s="22"/>
      <c r="C241" s="22"/>
      <c r="D241" s="22" t="s">
        <v>481</v>
      </c>
      <c r="E241" s="22"/>
      <c r="F241" s="9">
        <v>57.97</v>
      </c>
      <c r="G241" s="5">
        <v>187</v>
      </c>
      <c r="H241" s="10"/>
      <c r="I241" s="10"/>
      <c r="J241">
        <f>IFERROR(VLOOKUP(A241,[1]TDSheet!$A:$AV,6,0),0)</f>
        <v>27.28</v>
      </c>
      <c r="K241">
        <f>IFERROR(VLOOKUP(A241,[1]TDSheet!$A:$AV,7,0),0)</f>
        <v>88</v>
      </c>
      <c r="L241" s="26">
        <f t="shared" si="9"/>
        <v>1.24</v>
      </c>
      <c r="M241" s="26">
        <f t="shared" si="10"/>
        <v>4</v>
      </c>
      <c r="N241" s="37">
        <f t="shared" si="11"/>
        <v>0.4705882352941177</v>
      </c>
    </row>
    <row r="242" spans="1:14" ht="11.1" customHeight="1" x14ac:dyDescent="0.2">
      <c r="A242" s="22" t="s">
        <v>482</v>
      </c>
      <c r="B242" s="22"/>
      <c r="C242" s="22"/>
      <c r="D242" s="22" t="s">
        <v>483</v>
      </c>
      <c r="E242" s="22"/>
      <c r="F242" s="13">
        <v>412</v>
      </c>
      <c r="G242" s="4">
        <v>1030</v>
      </c>
      <c r="H242" s="10"/>
      <c r="I242" s="10"/>
      <c r="J242">
        <f>IFERROR(VLOOKUP(A242,[1]TDSheet!$A:$AV,6,0),0)</f>
        <v>281.60000000000002</v>
      </c>
      <c r="K242">
        <f>IFERROR(VLOOKUP(A242,[1]TDSheet!$A:$AV,7,0),0)</f>
        <v>704</v>
      </c>
      <c r="L242" s="26">
        <f t="shared" si="9"/>
        <v>12.8</v>
      </c>
      <c r="M242" s="26">
        <f t="shared" si="10"/>
        <v>32</v>
      </c>
      <c r="N242" s="37">
        <f t="shared" si="11"/>
        <v>0.68349514563106806</v>
      </c>
    </row>
    <row r="243" spans="1:14" ht="11.1" customHeight="1" x14ac:dyDescent="0.2">
      <c r="A243" s="22" t="s">
        <v>484</v>
      </c>
      <c r="B243" s="22"/>
      <c r="C243" s="22"/>
      <c r="D243" s="22" t="s">
        <v>485</v>
      </c>
      <c r="E243" s="22"/>
      <c r="F243" s="13">
        <v>28</v>
      </c>
      <c r="G243" s="5">
        <v>80</v>
      </c>
      <c r="H243" s="10"/>
      <c r="I243" s="10"/>
      <c r="J243">
        <f>IFERROR(VLOOKUP(A243,[1]TDSheet!$A:$AV,6,0),0)</f>
        <v>14</v>
      </c>
      <c r="K243">
        <f>IFERROR(VLOOKUP(A243,[1]TDSheet!$A:$AV,7,0),0)</f>
        <v>40</v>
      </c>
      <c r="L243" s="26">
        <f t="shared" si="9"/>
        <v>0.63636363636363635</v>
      </c>
      <c r="M243" s="26">
        <f t="shared" si="10"/>
        <v>1.8181818181818181</v>
      </c>
      <c r="N243" s="37">
        <f t="shared" si="11"/>
        <v>0.5</v>
      </c>
    </row>
    <row r="244" spans="1:14" ht="11.1" customHeight="1" x14ac:dyDescent="0.2">
      <c r="A244" s="22" t="s">
        <v>486</v>
      </c>
      <c r="B244" s="22"/>
      <c r="C244" s="22"/>
      <c r="D244" s="22" t="s">
        <v>487</v>
      </c>
      <c r="E244" s="22"/>
      <c r="F244" s="5">
        <v>109.10899999999999</v>
      </c>
      <c r="G244" s="5">
        <v>109.10899999999999</v>
      </c>
      <c r="H244" s="5">
        <v>1.0760000000000001</v>
      </c>
      <c r="I244" s="5">
        <v>1.0760000000000001</v>
      </c>
      <c r="J244">
        <f>IFERROR(VLOOKUP(A244,[1]TDSheet!$A:$AV,6,0),0)</f>
        <v>48.720999999999997</v>
      </c>
      <c r="K244">
        <f>IFERROR(VLOOKUP(A244,[1]TDSheet!$A:$AV,7,0),0)</f>
        <v>48.720999999999997</v>
      </c>
      <c r="L244" s="26">
        <f t="shared" si="9"/>
        <v>2.2145909090909091</v>
      </c>
      <c r="M244" s="26">
        <f t="shared" si="10"/>
        <v>2.2145909090909091</v>
      </c>
      <c r="N244" s="37">
        <f t="shared" si="11"/>
        <v>0.4465351162598869</v>
      </c>
    </row>
    <row r="245" spans="1:14" ht="11.1" customHeight="1" x14ac:dyDescent="0.2">
      <c r="A245" s="22" t="s">
        <v>488</v>
      </c>
      <c r="B245" s="22"/>
      <c r="C245" s="22"/>
      <c r="D245" s="22" t="s">
        <v>489</v>
      </c>
      <c r="E245" s="22"/>
      <c r="F245" s="5">
        <v>200.40299999999999</v>
      </c>
      <c r="G245" s="5">
        <v>200.40299999999999</v>
      </c>
      <c r="H245" s="10"/>
      <c r="I245" s="10"/>
      <c r="J245">
        <f>IFERROR(VLOOKUP(A245,[1]TDSheet!$A:$AV,6,0),0)</f>
        <v>81.525999999999996</v>
      </c>
      <c r="K245">
        <f>IFERROR(VLOOKUP(A245,[1]TDSheet!$A:$AV,7,0),0)</f>
        <v>81.525999999999996</v>
      </c>
      <c r="L245" s="26">
        <f t="shared" si="9"/>
        <v>3.7057272727272728</v>
      </c>
      <c r="M245" s="26">
        <f t="shared" si="10"/>
        <v>3.7057272727272728</v>
      </c>
      <c r="N245" s="37">
        <f t="shared" si="11"/>
        <v>0.40681027729125813</v>
      </c>
    </row>
    <row r="246" spans="1:14" ht="11.1" customHeight="1" x14ac:dyDescent="0.2">
      <c r="A246" s="22" t="s">
        <v>490</v>
      </c>
      <c r="B246" s="22"/>
      <c r="C246" s="22"/>
      <c r="D246" s="22" t="s">
        <v>491</v>
      </c>
      <c r="E246" s="22"/>
      <c r="F246" s="5">
        <v>6.8639999999999999</v>
      </c>
      <c r="G246" s="5">
        <v>26</v>
      </c>
      <c r="H246" s="10"/>
      <c r="I246" s="10"/>
      <c r="J246">
        <f>IFERROR(VLOOKUP(A246,[1]TDSheet!$A:$AV,6,0),0)</f>
        <v>2.9039999999999999</v>
      </c>
      <c r="K246">
        <f>IFERROR(VLOOKUP(A246,[1]TDSheet!$A:$AV,7,0),0)</f>
        <v>11</v>
      </c>
      <c r="L246" s="26">
        <f t="shared" si="9"/>
        <v>0.13200000000000001</v>
      </c>
      <c r="M246" s="26">
        <f t="shared" si="10"/>
        <v>0.5</v>
      </c>
      <c r="N246" s="37">
        <f t="shared" si="11"/>
        <v>0.42307692307692307</v>
      </c>
    </row>
    <row r="247" spans="1:14" ht="11.1" customHeight="1" x14ac:dyDescent="0.2">
      <c r="A247" s="22" t="s">
        <v>492</v>
      </c>
      <c r="B247" s="22"/>
      <c r="C247" s="22"/>
      <c r="D247" s="22" t="s">
        <v>493</v>
      </c>
      <c r="E247" s="22"/>
      <c r="F247" s="9">
        <v>31.02</v>
      </c>
      <c r="G247" s="5">
        <v>94</v>
      </c>
      <c r="H247" s="9">
        <v>5.61</v>
      </c>
      <c r="I247" s="5">
        <v>17</v>
      </c>
      <c r="J247">
        <f>IFERROR(VLOOKUP(A247,[1]TDSheet!$A:$AV,6,0),0)</f>
        <v>21.78</v>
      </c>
      <c r="K247">
        <f>IFERROR(VLOOKUP(A247,[1]TDSheet!$A:$AV,7,0),0)</f>
        <v>66</v>
      </c>
      <c r="L247" s="26">
        <f t="shared" si="9"/>
        <v>0.9900000000000001</v>
      </c>
      <c r="M247" s="26">
        <f t="shared" si="10"/>
        <v>3</v>
      </c>
      <c r="N247" s="37">
        <f t="shared" si="11"/>
        <v>0.7021276595744681</v>
      </c>
    </row>
    <row r="248" spans="1:14" ht="11.1" customHeight="1" x14ac:dyDescent="0.2">
      <c r="A248" s="22" t="s">
        <v>494</v>
      </c>
      <c r="B248" s="22"/>
      <c r="C248" s="22"/>
      <c r="D248" s="22" t="s">
        <v>495</v>
      </c>
      <c r="E248" s="22"/>
      <c r="F248" s="7">
        <v>1.1000000000000001</v>
      </c>
      <c r="G248" s="5">
        <v>11</v>
      </c>
      <c r="H248" s="7">
        <v>0.1</v>
      </c>
      <c r="I248" s="5">
        <v>1</v>
      </c>
      <c r="J248">
        <f>IFERROR(VLOOKUP(A248,[1]TDSheet!$A:$AV,6,0),0)</f>
        <v>1</v>
      </c>
      <c r="K248">
        <f>IFERROR(VLOOKUP(A248,[1]TDSheet!$A:$AV,7,0),0)</f>
        <v>10</v>
      </c>
      <c r="L248" s="26">
        <f t="shared" si="9"/>
        <v>4.5454545454545456E-2</v>
      </c>
      <c r="M248" s="26">
        <f t="shared" si="10"/>
        <v>0.45454545454545453</v>
      </c>
      <c r="N248" s="37">
        <f t="shared" si="11"/>
        <v>0.90909090909090906</v>
      </c>
    </row>
    <row r="249" spans="1:14" ht="11.1" customHeight="1" x14ac:dyDescent="0.2">
      <c r="A249" s="22" t="s">
        <v>496</v>
      </c>
      <c r="B249" s="22"/>
      <c r="C249" s="22"/>
      <c r="D249" s="22" t="s">
        <v>497</v>
      </c>
      <c r="E249" s="22"/>
      <c r="F249" s="7">
        <v>11.8</v>
      </c>
      <c r="G249" s="5">
        <v>118</v>
      </c>
      <c r="H249" s="10"/>
      <c r="I249" s="10"/>
      <c r="J249">
        <f>IFERROR(VLOOKUP(A249,[1]TDSheet!$A:$AV,6,0),0)</f>
        <v>6.1</v>
      </c>
      <c r="K249">
        <f>IFERROR(VLOOKUP(A249,[1]TDSheet!$A:$AV,7,0),0)</f>
        <v>61</v>
      </c>
      <c r="L249" s="26">
        <f t="shared" si="9"/>
        <v>0.27727272727272728</v>
      </c>
      <c r="M249" s="26">
        <f t="shared" si="10"/>
        <v>2.7727272727272729</v>
      </c>
      <c r="N249" s="37">
        <f t="shared" si="11"/>
        <v>0.51694915254237284</v>
      </c>
    </row>
    <row r="250" spans="1:14" ht="11.1" customHeight="1" x14ac:dyDescent="0.2">
      <c r="A250" s="22" t="s">
        <v>498</v>
      </c>
      <c r="B250" s="22"/>
      <c r="C250" s="22"/>
      <c r="D250" s="22" t="s">
        <v>499</v>
      </c>
      <c r="E250" s="22"/>
      <c r="F250" s="7">
        <v>65.400000000000006</v>
      </c>
      <c r="G250" s="5">
        <v>654</v>
      </c>
      <c r="H250" s="13">
        <v>1</v>
      </c>
      <c r="I250" s="5">
        <v>10</v>
      </c>
      <c r="J250">
        <f>IFERROR(VLOOKUP(A250,[1]TDSheet!$A:$AV,6,0),0)</f>
        <v>16.100000000000001</v>
      </c>
      <c r="K250">
        <f>IFERROR(VLOOKUP(A250,[1]TDSheet!$A:$AV,7,0),0)</f>
        <v>161</v>
      </c>
      <c r="L250" s="26">
        <f t="shared" si="9"/>
        <v>0.73181818181818192</v>
      </c>
      <c r="M250" s="26">
        <f t="shared" si="10"/>
        <v>7.3181818181818183</v>
      </c>
      <c r="N250" s="37">
        <f t="shared" si="11"/>
        <v>0.24617737003058104</v>
      </c>
    </row>
    <row r="251" spans="1:14" ht="11.1" customHeight="1" x14ac:dyDescent="0.2">
      <c r="A251" s="22" t="s">
        <v>500</v>
      </c>
      <c r="B251" s="22"/>
      <c r="C251" s="22"/>
      <c r="D251" s="22" t="s">
        <v>501</v>
      </c>
      <c r="E251" s="22"/>
      <c r="F251" s="13">
        <v>76</v>
      </c>
      <c r="G251" s="5">
        <v>760</v>
      </c>
      <c r="H251" s="7">
        <v>1.1000000000000001</v>
      </c>
      <c r="I251" s="5">
        <v>11</v>
      </c>
      <c r="J251">
        <f>IFERROR(VLOOKUP(A251,[1]TDSheet!$A:$AV,6,0),0)</f>
        <v>38.4</v>
      </c>
      <c r="K251">
        <f>IFERROR(VLOOKUP(A251,[1]TDSheet!$A:$AV,7,0),0)</f>
        <v>384</v>
      </c>
      <c r="L251" s="26">
        <f t="shared" si="9"/>
        <v>1.7454545454545454</v>
      </c>
      <c r="M251" s="26">
        <f t="shared" si="10"/>
        <v>17.454545454545453</v>
      </c>
      <c r="N251" s="37">
        <f t="shared" si="11"/>
        <v>0.50526315789473686</v>
      </c>
    </row>
    <row r="252" spans="1:14" ht="11.1" customHeight="1" x14ac:dyDescent="0.2">
      <c r="A252" s="38" t="s">
        <v>502</v>
      </c>
      <c r="B252" s="38"/>
      <c r="C252" s="38"/>
      <c r="D252" s="38" t="s">
        <v>503</v>
      </c>
      <c r="E252" s="38"/>
      <c r="F252" s="44">
        <v>0.3</v>
      </c>
      <c r="G252" s="39">
        <v>3</v>
      </c>
      <c r="H252" s="45"/>
      <c r="I252" s="45"/>
      <c r="J252" s="40">
        <f>IFERROR(VLOOKUP(A252,[1]TDSheet!$A:$AV,6,0),0)</f>
        <v>0</v>
      </c>
      <c r="K252" s="40">
        <f>IFERROR(VLOOKUP(A252,[1]TDSheet!$A:$AV,7,0),0)</f>
        <v>0</v>
      </c>
      <c r="L252" s="41">
        <f t="shared" si="9"/>
        <v>0</v>
      </c>
      <c r="M252" s="41">
        <f t="shared" si="10"/>
        <v>0</v>
      </c>
      <c r="N252" s="42">
        <f t="shared" si="11"/>
        <v>0</v>
      </c>
    </row>
    <row r="253" spans="1:14" ht="11.1" customHeight="1" x14ac:dyDescent="0.2">
      <c r="A253" s="22" t="s">
        <v>504</v>
      </c>
      <c r="B253" s="22"/>
      <c r="C253" s="22"/>
      <c r="D253" s="22" t="s">
        <v>505</v>
      </c>
      <c r="E253" s="22"/>
      <c r="F253" s="7">
        <v>563.20000000000005</v>
      </c>
      <c r="G253" s="4">
        <v>1408</v>
      </c>
      <c r="H253" s="13">
        <v>2</v>
      </c>
      <c r="I253" s="5">
        <v>5</v>
      </c>
      <c r="J253">
        <f>IFERROR(VLOOKUP(A253,[1]TDSheet!$A:$AV,6,0),0)</f>
        <v>193.2</v>
      </c>
      <c r="K253">
        <f>IFERROR(VLOOKUP(A253,[1]TDSheet!$A:$AV,7,0),0)</f>
        <v>483</v>
      </c>
      <c r="L253" s="26">
        <f t="shared" si="9"/>
        <v>8.7818181818181813</v>
      </c>
      <c r="M253" s="26">
        <f t="shared" si="10"/>
        <v>21.954545454545453</v>
      </c>
      <c r="N253" s="37">
        <f t="shared" si="11"/>
        <v>0.34303977272727271</v>
      </c>
    </row>
    <row r="254" spans="1:14" ht="11.1" customHeight="1" x14ac:dyDescent="0.2">
      <c r="A254" s="22" t="s">
        <v>506</v>
      </c>
      <c r="B254" s="22"/>
      <c r="C254" s="22"/>
      <c r="D254" s="22" t="s">
        <v>507</v>
      </c>
      <c r="E254" s="22"/>
      <c r="F254" s="7">
        <v>15.1</v>
      </c>
      <c r="G254" s="5">
        <v>151</v>
      </c>
      <c r="H254" s="7">
        <v>2.2000000000000002</v>
      </c>
      <c r="I254" s="5">
        <v>22</v>
      </c>
      <c r="J254">
        <f>IFERROR(VLOOKUP(A254,[1]TDSheet!$A:$AV,6,0),0)</f>
        <v>4.5999999999999996</v>
      </c>
      <c r="K254">
        <f>IFERROR(VLOOKUP(A254,[1]TDSheet!$A:$AV,7,0),0)</f>
        <v>46</v>
      </c>
      <c r="L254" s="26">
        <f t="shared" si="9"/>
        <v>0.20909090909090908</v>
      </c>
      <c r="M254" s="26">
        <f t="shared" si="10"/>
        <v>2.0909090909090908</v>
      </c>
      <c r="N254" s="37">
        <f t="shared" si="11"/>
        <v>0.30463576158940397</v>
      </c>
    </row>
    <row r="255" spans="1:14" ht="11.1" customHeight="1" x14ac:dyDescent="0.2">
      <c r="A255" s="22" t="s">
        <v>508</v>
      </c>
      <c r="B255" s="22"/>
      <c r="C255" s="22"/>
      <c r="D255" s="22" t="s">
        <v>509</v>
      </c>
      <c r="E255" s="22"/>
      <c r="F255" s="7">
        <v>16.600000000000001</v>
      </c>
      <c r="G255" s="5">
        <v>166</v>
      </c>
      <c r="H255" s="7">
        <v>0.9</v>
      </c>
      <c r="I255" s="5">
        <v>9</v>
      </c>
      <c r="J255">
        <f>IFERROR(VLOOKUP(A255,[1]TDSheet!$A:$AV,6,0),0)</f>
        <v>5.0999999999999996</v>
      </c>
      <c r="K255">
        <f>IFERROR(VLOOKUP(A255,[1]TDSheet!$A:$AV,7,0),0)</f>
        <v>51</v>
      </c>
      <c r="L255" s="26">
        <f t="shared" si="9"/>
        <v>0.23181818181818181</v>
      </c>
      <c r="M255" s="26">
        <f t="shared" si="10"/>
        <v>2.3181818181818183</v>
      </c>
      <c r="N255" s="37">
        <f t="shared" si="11"/>
        <v>0.30722891566265054</v>
      </c>
    </row>
    <row r="256" spans="1:14" ht="11.1" customHeight="1" x14ac:dyDescent="0.2">
      <c r="A256" s="22" t="s">
        <v>510</v>
      </c>
      <c r="B256" s="22"/>
      <c r="C256" s="22"/>
      <c r="D256" s="22" t="s">
        <v>511</v>
      </c>
      <c r="E256" s="22"/>
      <c r="F256" s="7">
        <v>0.9</v>
      </c>
      <c r="G256" s="5">
        <v>3</v>
      </c>
      <c r="H256" s="10"/>
      <c r="I256" s="10"/>
      <c r="J256">
        <f>IFERROR(VLOOKUP(A256,[1]TDSheet!$A:$AV,6,0),0)</f>
        <v>0.9</v>
      </c>
      <c r="K256">
        <f>IFERROR(VLOOKUP(A256,[1]TDSheet!$A:$AV,7,0),0)</f>
        <v>3</v>
      </c>
      <c r="L256" s="26">
        <f t="shared" si="9"/>
        <v>4.0909090909090909E-2</v>
      </c>
      <c r="M256" s="26">
        <f t="shared" si="10"/>
        <v>0.13636363636363635</v>
      </c>
      <c r="N256" s="37">
        <f t="shared" si="11"/>
        <v>1</v>
      </c>
    </row>
    <row r="257" spans="1:14" ht="11.1" customHeight="1" x14ac:dyDescent="0.2">
      <c r="A257" s="22" t="s">
        <v>512</v>
      </c>
      <c r="B257" s="22"/>
      <c r="C257" s="22"/>
      <c r="D257" s="22" t="s">
        <v>513</v>
      </c>
      <c r="E257" s="22"/>
      <c r="F257" s="9">
        <v>8.1199999999999992</v>
      </c>
      <c r="G257" s="5">
        <v>58</v>
      </c>
      <c r="H257" s="9">
        <v>1.68</v>
      </c>
      <c r="I257" s="5">
        <v>12</v>
      </c>
      <c r="J257">
        <f>IFERROR(VLOOKUP(A257,[1]TDSheet!$A:$AV,6,0),0)</f>
        <v>0.42</v>
      </c>
      <c r="K257">
        <f>IFERROR(VLOOKUP(A257,[1]TDSheet!$A:$AV,7,0),0)</f>
        <v>3</v>
      </c>
      <c r="L257" s="26">
        <f t="shared" si="9"/>
        <v>1.9090909090909089E-2</v>
      </c>
      <c r="M257" s="26">
        <f t="shared" si="10"/>
        <v>0.13636363636363635</v>
      </c>
      <c r="N257" s="37">
        <f t="shared" si="11"/>
        <v>5.1724137931034489E-2</v>
      </c>
    </row>
    <row r="258" spans="1:14" ht="11.1" customHeight="1" x14ac:dyDescent="0.2">
      <c r="A258" s="22" t="s">
        <v>514</v>
      </c>
      <c r="B258" s="22"/>
      <c r="C258" s="22"/>
      <c r="D258" s="22" t="s">
        <v>515</v>
      </c>
      <c r="E258" s="22"/>
      <c r="F258" s="9">
        <v>14.22</v>
      </c>
      <c r="G258" s="5">
        <v>79</v>
      </c>
      <c r="H258" s="10"/>
      <c r="I258" s="10"/>
      <c r="J258">
        <f>IFERROR(VLOOKUP(A258,[1]TDSheet!$A:$AV,6,0),0)</f>
        <v>2.16</v>
      </c>
      <c r="K258">
        <f>IFERROR(VLOOKUP(A258,[1]TDSheet!$A:$AV,7,0),0)</f>
        <v>12</v>
      </c>
      <c r="L258" s="26">
        <f t="shared" si="9"/>
        <v>9.818181818181819E-2</v>
      </c>
      <c r="M258" s="26">
        <f t="shared" si="10"/>
        <v>0.54545454545454541</v>
      </c>
      <c r="N258" s="37">
        <f t="shared" si="11"/>
        <v>0.15189873417721519</v>
      </c>
    </row>
    <row r="259" spans="1:14" ht="11.1" customHeight="1" x14ac:dyDescent="0.2">
      <c r="A259" s="22" t="s">
        <v>516</v>
      </c>
      <c r="B259" s="22"/>
      <c r="C259" s="22"/>
      <c r="D259" s="22" t="s">
        <v>517</v>
      </c>
      <c r="E259" s="22"/>
      <c r="F259" s="9">
        <v>38.159999999999997</v>
      </c>
      <c r="G259" s="5">
        <v>212</v>
      </c>
      <c r="H259" s="7">
        <v>0.9</v>
      </c>
      <c r="I259" s="5">
        <v>5</v>
      </c>
      <c r="J259">
        <f>IFERROR(VLOOKUP(A259,[1]TDSheet!$A:$AV,6,0),0)</f>
        <v>5.4</v>
      </c>
      <c r="K259">
        <f>IFERROR(VLOOKUP(A259,[1]TDSheet!$A:$AV,7,0),0)</f>
        <v>30</v>
      </c>
      <c r="L259" s="26">
        <f t="shared" si="9"/>
        <v>0.24545454545454548</v>
      </c>
      <c r="M259" s="26">
        <f t="shared" si="10"/>
        <v>1.3636363636363635</v>
      </c>
      <c r="N259" s="37">
        <f t="shared" si="11"/>
        <v>0.14150943396226418</v>
      </c>
    </row>
    <row r="260" spans="1:14" ht="11.1" customHeight="1" x14ac:dyDescent="0.2">
      <c r="A260" s="38" t="s">
        <v>518</v>
      </c>
      <c r="B260" s="38"/>
      <c r="C260" s="38"/>
      <c r="D260" s="38" t="s">
        <v>519</v>
      </c>
      <c r="E260" s="38"/>
      <c r="F260" s="44">
        <v>-0.1</v>
      </c>
      <c r="G260" s="39">
        <v>-1</v>
      </c>
      <c r="H260" s="44">
        <v>0.1</v>
      </c>
      <c r="I260" s="39">
        <v>1</v>
      </c>
      <c r="J260" s="40">
        <f>IFERROR(VLOOKUP(A260,[1]TDSheet!$A:$AV,6,0),0)</f>
        <v>0</v>
      </c>
      <c r="K260" s="40">
        <f>IFERROR(VLOOKUP(A260,[1]TDSheet!$A:$AV,7,0),0)</f>
        <v>0</v>
      </c>
      <c r="L260" s="41">
        <f t="shared" si="9"/>
        <v>0</v>
      </c>
      <c r="M260" s="41">
        <f t="shared" si="10"/>
        <v>0</v>
      </c>
      <c r="N260" s="42">
        <f t="shared" si="11"/>
        <v>0</v>
      </c>
    </row>
    <row r="261" spans="1:14" ht="11.1" customHeight="1" x14ac:dyDescent="0.2">
      <c r="A261" s="38" t="s">
        <v>520</v>
      </c>
      <c r="B261" s="38"/>
      <c r="C261" s="38"/>
      <c r="D261" s="38" t="s">
        <v>521</v>
      </c>
      <c r="E261" s="38"/>
      <c r="F261" s="44">
        <v>3.2</v>
      </c>
      <c r="G261" s="39">
        <v>32</v>
      </c>
      <c r="H261" s="44">
        <v>1.9</v>
      </c>
      <c r="I261" s="39">
        <v>19</v>
      </c>
      <c r="J261" s="40">
        <f>IFERROR(VLOOKUP(A261,[1]TDSheet!$A:$AV,6,0),0)</f>
        <v>-0.4</v>
      </c>
      <c r="K261" s="40">
        <f>IFERROR(VLOOKUP(A261,[1]TDSheet!$A:$AV,7,0),0)</f>
        <v>-4</v>
      </c>
      <c r="L261" s="41">
        <f t="shared" si="9"/>
        <v>-1.8181818181818184E-2</v>
      </c>
      <c r="M261" s="41">
        <f t="shared" si="10"/>
        <v>-0.18181818181818182</v>
      </c>
      <c r="N261" s="42">
        <f t="shared" si="11"/>
        <v>0</v>
      </c>
    </row>
    <row r="262" spans="1:14" ht="11.1" customHeight="1" x14ac:dyDescent="0.2">
      <c r="A262" s="22" t="s">
        <v>522</v>
      </c>
      <c r="B262" s="22"/>
      <c r="C262" s="22"/>
      <c r="D262" s="22" t="s">
        <v>523</v>
      </c>
      <c r="E262" s="22"/>
      <c r="F262" s="7">
        <v>14.9</v>
      </c>
      <c r="G262" s="5">
        <v>149</v>
      </c>
      <c r="H262" s="10"/>
      <c r="I262" s="10"/>
      <c r="J262">
        <f>IFERROR(VLOOKUP(A262,[1]TDSheet!$A:$AV,6,0),0)</f>
        <v>3</v>
      </c>
      <c r="K262">
        <f>IFERROR(VLOOKUP(A262,[1]TDSheet!$A:$AV,7,0),0)</f>
        <v>30</v>
      </c>
      <c r="L262" s="26">
        <f t="shared" si="9"/>
        <v>0.13636363636363635</v>
      </c>
      <c r="M262" s="26">
        <f t="shared" si="10"/>
        <v>1.3636363636363635</v>
      </c>
      <c r="N262" s="37">
        <f t="shared" si="11"/>
        <v>0.20134228187919462</v>
      </c>
    </row>
    <row r="263" spans="1:14" ht="21.95" customHeight="1" x14ac:dyDescent="0.2">
      <c r="A263" s="38" t="s">
        <v>524</v>
      </c>
      <c r="B263" s="38"/>
      <c r="C263" s="38"/>
      <c r="D263" s="38" t="s">
        <v>525</v>
      </c>
      <c r="E263" s="38"/>
      <c r="F263" s="43">
        <v>25.35</v>
      </c>
      <c r="G263" s="39">
        <v>78</v>
      </c>
      <c r="H263" s="45"/>
      <c r="I263" s="45"/>
      <c r="J263" s="40">
        <f>IFERROR(VLOOKUP(A263,[1]TDSheet!$A:$AV,6,0),0)</f>
        <v>0</v>
      </c>
      <c r="K263" s="40">
        <f>IFERROR(VLOOKUP(A263,[1]TDSheet!$A:$AV,7,0),0)</f>
        <v>0</v>
      </c>
      <c r="L263" s="41">
        <f t="shared" si="9"/>
        <v>0</v>
      </c>
      <c r="M263" s="41">
        <f t="shared" si="10"/>
        <v>0</v>
      </c>
      <c r="N263" s="42">
        <f t="shared" si="11"/>
        <v>0</v>
      </c>
    </row>
    <row r="264" spans="1:14" ht="21.95" customHeight="1" x14ac:dyDescent="0.2">
      <c r="A264" s="22" t="s">
        <v>526</v>
      </c>
      <c r="B264" s="22"/>
      <c r="C264" s="22"/>
      <c r="D264" s="22" t="s">
        <v>527</v>
      </c>
      <c r="E264" s="22"/>
      <c r="F264" s="13">
        <v>60</v>
      </c>
      <c r="G264" s="5">
        <v>250</v>
      </c>
      <c r="H264" s="10"/>
      <c r="I264" s="10"/>
      <c r="J264">
        <f>IFERROR(VLOOKUP(A264,[1]TDSheet!$A:$AV,6,0),0)</f>
        <v>28.56</v>
      </c>
      <c r="K264">
        <f>IFERROR(VLOOKUP(A264,[1]TDSheet!$A:$AV,7,0),0)</f>
        <v>119</v>
      </c>
      <c r="L264" s="26">
        <f t="shared" ref="L264:L327" si="12">J264/$L$2</f>
        <v>1.2981818181818181</v>
      </c>
      <c r="M264" s="26">
        <f t="shared" ref="M264:M327" si="13">K264/$L$2</f>
        <v>5.4090909090909092</v>
      </c>
      <c r="N264" s="37">
        <f t="shared" ref="N264:N327" si="14">IF(J264/F264&lt;0,0,J264/F264)</f>
        <v>0.47599999999999998</v>
      </c>
    </row>
    <row r="265" spans="1:14" ht="11.1" customHeight="1" x14ac:dyDescent="0.2">
      <c r="A265" s="22" t="s">
        <v>528</v>
      </c>
      <c r="B265" s="22"/>
      <c r="C265" s="22"/>
      <c r="D265" s="22" t="s">
        <v>529</v>
      </c>
      <c r="E265" s="22"/>
      <c r="F265" s="7">
        <v>29.5</v>
      </c>
      <c r="G265" s="5">
        <v>118</v>
      </c>
      <c r="H265" s="10"/>
      <c r="I265" s="10"/>
      <c r="J265">
        <f>IFERROR(VLOOKUP(A265,[1]TDSheet!$A:$AV,6,0),0)</f>
        <v>15.5</v>
      </c>
      <c r="K265">
        <f>IFERROR(VLOOKUP(A265,[1]TDSheet!$A:$AV,7,0),0)</f>
        <v>62</v>
      </c>
      <c r="L265" s="26">
        <f t="shared" si="12"/>
        <v>0.70454545454545459</v>
      </c>
      <c r="M265" s="26">
        <f t="shared" si="13"/>
        <v>2.8181818181818183</v>
      </c>
      <c r="N265" s="37">
        <f t="shared" si="14"/>
        <v>0.52542372881355937</v>
      </c>
    </row>
    <row r="266" spans="1:14" ht="11.1" customHeight="1" x14ac:dyDescent="0.2">
      <c r="A266" s="38" t="s">
        <v>530</v>
      </c>
      <c r="B266" s="38"/>
      <c r="C266" s="38"/>
      <c r="D266" s="38" t="s">
        <v>531</v>
      </c>
      <c r="E266" s="38"/>
      <c r="F266" s="44">
        <v>3.7</v>
      </c>
      <c r="G266" s="39">
        <v>3.7</v>
      </c>
      <c r="H266" s="45"/>
      <c r="I266" s="45"/>
      <c r="J266" s="40">
        <f>IFERROR(VLOOKUP(A266,[1]TDSheet!$A:$AV,6,0),0)</f>
        <v>0</v>
      </c>
      <c r="K266" s="40">
        <f>IFERROR(VLOOKUP(A266,[1]TDSheet!$A:$AV,7,0),0)</f>
        <v>0</v>
      </c>
      <c r="L266" s="41">
        <f t="shared" si="12"/>
        <v>0</v>
      </c>
      <c r="M266" s="41">
        <f t="shared" si="13"/>
        <v>0</v>
      </c>
      <c r="N266" s="42">
        <f t="shared" si="14"/>
        <v>0</v>
      </c>
    </row>
    <row r="267" spans="1:14" ht="21.95" customHeight="1" x14ac:dyDescent="0.2">
      <c r="A267" s="22" t="s">
        <v>532</v>
      </c>
      <c r="B267" s="22"/>
      <c r="C267" s="22"/>
      <c r="D267" s="22" t="s">
        <v>533</v>
      </c>
      <c r="E267" s="22"/>
      <c r="F267" s="7">
        <v>24.2</v>
      </c>
      <c r="G267" s="5">
        <v>110</v>
      </c>
      <c r="H267" s="10"/>
      <c r="I267" s="10"/>
      <c r="J267">
        <f>IFERROR(VLOOKUP(A267,[1]TDSheet!$A:$AV,6,0),0)</f>
        <v>4.84</v>
      </c>
      <c r="K267">
        <f>IFERROR(VLOOKUP(A267,[1]TDSheet!$A:$AV,7,0),0)</f>
        <v>22</v>
      </c>
      <c r="L267" s="26">
        <f t="shared" si="12"/>
        <v>0.22</v>
      </c>
      <c r="M267" s="26">
        <f t="shared" si="13"/>
        <v>1</v>
      </c>
      <c r="N267" s="37">
        <f t="shared" si="14"/>
        <v>0.2</v>
      </c>
    </row>
    <row r="268" spans="1:14" ht="11.1" customHeight="1" x14ac:dyDescent="0.2">
      <c r="A268" s="22" t="s">
        <v>534</v>
      </c>
      <c r="B268" s="22"/>
      <c r="C268" s="22"/>
      <c r="D268" s="22" t="s">
        <v>535</v>
      </c>
      <c r="E268" s="22"/>
      <c r="F268" s="7">
        <v>132.6</v>
      </c>
      <c r="G268" s="5">
        <v>442</v>
      </c>
      <c r="H268" s="10"/>
      <c r="I268" s="10"/>
      <c r="J268">
        <f>IFERROR(VLOOKUP(A268,[1]TDSheet!$A:$AV,6,0),0)</f>
        <v>44.1</v>
      </c>
      <c r="K268">
        <f>IFERROR(VLOOKUP(A268,[1]TDSheet!$A:$AV,7,0),0)</f>
        <v>147</v>
      </c>
      <c r="L268" s="26">
        <f t="shared" si="12"/>
        <v>2.0045454545454544</v>
      </c>
      <c r="M268" s="26">
        <f t="shared" si="13"/>
        <v>6.6818181818181817</v>
      </c>
      <c r="N268" s="37">
        <f t="shared" si="14"/>
        <v>0.33257918552036203</v>
      </c>
    </row>
    <row r="269" spans="1:14" ht="11.1" customHeight="1" x14ac:dyDescent="0.2">
      <c r="A269" s="22" t="s">
        <v>536</v>
      </c>
      <c r="B269" s="22"/>
      <c r="C269" s="22"/>
      <c r="D269" s="22" t="s">
        <v>537</v>
      </c>
      <c r="E269" s="22"/>
      <c r="F269" s="9">
        <v>8.75</v>
      </c>
      <c r="G269" s="5">
        <v>35</v>
      </c>
      <c r="H269" s="10"/>
      <c r="I269" s="10"/>
      <c r="J269">
        <f>IFERROR(VLOOKUP(A269,[1]TDSheet!$A:$AV,6,0),0)</f>
        <v>0.75</v>
      </c>
      <c r="K269">
        <f>IFERROR(VLOOKUP(A269,[1]TDSheet!$A:$AV,7,0),0)</f>
        <v>3</v>
      </c>
      <c r="L269" s="26">
        <f t="shared" si="12"/>
        <v>3.4090909090909088E-2</v>
      </c>
      <c r="M269" s="26">
        <f t="shared" si="13"/>
        <v>0.13636363636363635</v>
      </c>
      <c r="N269" s="37">
        <f t="shared" si="14"/>
        <v>8.5714285714285715E-2</v>
      </c>
    </row>
    <row r="270" spans="1:14" ht="11.1" customHeight="1" x14ac:dyDescent="0.2">
      <c r="A270" s="22" t="s">
        <v>538</v>
      </c>
      <c r="B270" s="22"/>
      <c r="C270" s="22"/>
      <c r="D270" s="22" t="s">
        <v>539</v>
      </c>
      <c r="E270" s="22"/>
      <c r="F270" s="9">
        <v>348.04</v>
      </c>
      <c r="G270" s="4">
        <v>1243</v>
      </c>
      <c r="H270" s="10"/>
      <c r="I270" s="10"/>
      <c r="J270">
        <f>IFERROR(VLOOKUP(A270,[1]TDSheet!$A:$AV,6,0),0)</f>
        <v>84.84</v>
      </c>
      <c r="K270">
        <f>IFERROR(VLOOKUP(A270,[1]TDSheet!$A:$AV,7,0),0)</f>
        <v>303</v>
      </c>
      <c r="L270" s="26">
        <f t="shared" si="12"/>
        <v>3.8563636363636364</v>
      </c>
      <c r="M270" s="26">
        <f t="shared" si="13"/>
        <v>13.772727272727273</v>
      </c>
      <c r="N270" s="37">
        <f t="shared" si="14"/>
        <v>0.24376508447304907</v>
      </c>
    </row>
    <row r="271" spans="1:14" ht="11.1" customHeight="1" x14ac:dyDescent="0.2">
      <c r="A271" s="22" t="s">
        <v>540</v>
      </c>
      <c r="B271" s="22"/>
      <c r="C271" s="22"/>
      <c r="D271" s="22" t="s">
        <v>541</v>
      </c>
      <c r="E271" s="22"/>
      <c r="F271" s="9">
        <v>378.24</v>
      </c>
      <c r="G271" s="4">
        <v>1576</v>
      </c>
      <c r="H271" s="10"/>
      <c r="I271" s="10"/>
      <c r="J271">
        <f>IFERROR(VLOOKUP(A271,[1]TDSheet!$A:$AV,6,0),0)</f>
        <v>160.08000000000001</v>
      </c>
      <c r="K271">
        <f>IFERROR(VLOOKUP(A271,[1]TDSheet!$A:$AV,7,0),0)</f>
        <v>667</v>
      </c>
      <c r="L271" s="26">
        <f t="shared" si="12"/>
        <v>7.2763636363636373</v>
      </c>
      <c r="M271" s="26">
        <f t="shared" si="13"/>
        <v>30.318181818181817</v>
      </c>
      <c r="N271" s="37">
        <f t="shared" si="14"/>
        <v>0.42322335025380714</v>
      </c>
    </row>
    <row r="272" spans="1:14" ht="11.1" customHeight="1" x14ac:dyDescent="0.2">
      <c r="A272" s="22" t="s">
        <v>542</v>
      </c>
      <c r="B272" s="22"/>
      <c r="C272" s="22"/>
      <c r="D272" s="22" t="s">
        <v>543</v>
      </c>
      <c r="E272" s="22"/>
      <c r="F272" s="9">
        <v>9.84</v>
      </c>
      <c r="G272" s="5">
        <v>41</v>
      </c>
      <c r="H272" s="10"/>
      <c r="I272" s="10"/>
      <c r="J272">
        <f>IFERROR(VLOOKUP(A272,[1]TDSheet!$A:$AV,6,0),0)</f>
        <v>3.36</v>
      </c>
      <c r="K272">
        <f>IFERROR(VLOOKUP(A272,[1]TDSheet!$A:$AV,7,0),0)</f>
        <v>14</v>
      </c>
      <c r="L272" s="26">
        <f t="shared" si="12"/>
        <v>0.15272727272727271</v>
      </c>
      <c r="M272" s="26">
        <f t="shared" si="13"/>
        <v>0.63636363636363635</v>
      </c>
      <c r="N272" s="37">
        <f t="shared" si="14"/>
        <v>0.34146341463414631</v>
      </c>
    </row>
    <row r="273" spans="1:14" ht="11.1" customHeight="1" x14ac:dyDescent="0.2">
      <c r="A273" s="22" t="s">
        <v>544</v>
      </c>
      <c r="B273" s="22"/>
      <c r="C273" s="22"/>
      <c r="D273" s="22" t="s">
        <v>545</v>
      </c>
      <c r="E273" s="22"/>
      <c r="F273" s="9">
        <v>436.56</v>
      </c>
      <c r="G273" s="4">
        <v>1819</v>
      </c>
      <c r="H273" s="10"/>
      <c r="I273" s="10"/>
      <c r="J273">
        <f>IFERROR(VLOOKUP(A273,[1]TDSheet!$A:$AV,6,0),0)</f>
        <v>251.76</v>
      </c>
      <c r="K273">
        <f>IFERROR(VLOOKUP(A273,[1]TDSheet!$A:$AV,7,0),0)</f>
        <v>1049</v>
      </c>
      <c r="L273" s="26">
        <f t="shared" si="12"/>
        <v>11.443636363636363</v>
      </c>
      <c r="M273" s="26">
        <f t="shared" si="13"/>
        <v>47.68181818181818</v>
      </c>
      <c r="N273" s="37">
        <f t="shared" si="14"/>
        <v>0.57669048927982403</v>
      </c>
    </row>
    <row r="274" spans="1:14" ht="11.1" customHeight="1" x14ac:dyDescent="0.2">
      <c r="A274" s="22" t="s">
        <v>546</v>
      </c>
      <c r="B274" s="22"/>
      <c r="C274" s="22"/>
      <c r="D274" s="22" t="s">
        <v>547</v>
      </c>
      <c r="E274" s="22"/>
      <c r="F274" s="7">
        <v>187.2</v>
      </c>
      <c r="G274" s="5">
        <v>780</v>
      </c>
      <c r="H274" s="9">
        <v>1.68</v>
      </c>
      <c r="I274" s="5">
        <v>7</v>
      </c>
      <c r="J274">
        <f>IFERROR(VLOOKUP(A274,[1]TDSheet!$A:$AV,6,0),0)</f>
        <v>103.68</v>
      </c>
      <c r="K274">
        <f>IFERROR(VLOOKUP(A274,[1]TDSheet!$A:$AV,7,0),0)</f>
        <v>432</v>
      </c>
      <c r="L274" s="26">
        <f t="shared" si="12"/>
        <v>4.7127272727272729</v>
      </c>
      <c r="M274" s="26">
        <f t="shared" si="13"/>
        <v>19.636363636363637</v>
      </c>
      <c r="N274" s="37">
        <f t="shared" si="14"/>
        <v>0.55384615384615388</v>
      </c>
    </row>
    <row r="275" spans="1:14" ht="21.95" customHeight="1" x14ac:dyDescent="0.2">
      <c r="A275" s="22" t="s">
        <v>548</v>
      </c>
      <c r="B275" s="22"/>
      <c r="C275" s="22"/>
      <c r="D275" s="22" t="s">
        <v>549</v>
      </c>
      <c r="E275" s="22"/>
      <c r="F275" s="9">
        <v>9.1199999999999992</v>
      </c>
      <c r="G275" s="5">
        <v>19</v>
      </c>
      <c r="H275" s="9">
        <v>1.44</v>
      </c>
      <c r="I275" s="5">
        <v>3</v>
      </c>
      <c r="J275">
        <f>IFERROR(VLOOKUP(A275,[1]TDSheet!$A:$AV,6,0),0)</f>
        <v>1.92</v>
      </c>
      <c r="K275">
        <f>IFERROR(VLOOKUP(A275,[1]TDSheet!$A:$AV,7,0),0)</f>
        <v>4</v>
      </c>
      <c r="L275" s="26">
        <f t="shared" si="12"/>
        <v>8.7272727272727266E-2</v>
      </c>
      <c r="M275" s="26">
        <f t="shared" si="13"/>
        <v>0.18181818181818182</v>
      </c>
      <c r="N275" s="37">
        <f t="shared" si="14"/>
        <v>0.2105263157894737</v>
      </c>
    </row>
    <row r="276" spans="1:14" ht="11.1" customHeight="1" x14ac:dyDescent="0.2">
      <c r="A276" s="22" t="s">
        <v>550</v>
      </c>
      <c r="B276" s="22"/>
      <c r="C276" s="22"/>
      <c r="D276" s="22" t="s">
        <v>551</v>
      </c>
      <c r="E276" s="22"/>
      <c r="F276" s="9">
        <v>389.76</v>
      </c>
      <c r="G276" s="4">
        <v>1624</v>
      </c>
      <c r="H276" s="9">
        <v>3.84</v>
      </c>
      <c r="I276" s="5">
        <v>16</v>
      </c>
      <c r="J276">
        <f>IFERROR(VLOOKUP(A276,[1]TDSheet!$A:$AV,6,0),0)</f>
        <v>203.04</v>
      </c>
      <c r="K276">
        <f>IFERROR(VLOOKUP(A276,[1]TDSheet!$A:$AV,7,0),0)</f>
        <v>846</v>
      </c>
      <c r="L276" s="26">
        <f t="shared" si="12"/>
        <v>9.2290909090909086</v>
      </c>
      <c r="M276" s="26">
        <f t="shared" si="13"/>
        <v>38.454545454545453</v>
      </c>
      <c r="N276" s="37">
        <f t="shared" si="14"/>
        <v>0.52093596059113301</v>
      </c>
    </row>
    <row r="277" spans="1:14" ht="11.1" customHeight="1" x14ac:dyDescent="0.2">
      <c r="A277" s="22" t="s">
        <v>552</v>
      </c>
      <c r="B277" s="22"/>
      <c r="C277" s="22"/>
      <c r="D277" s="22" t="s">
        <v>553</v>
      </c>
      <c r="E277" s="22"/>
      <c r="F277" s="9">
        <v>167.04</v>
      </c>
      <c r="G277" s="5">
        <v>348</v>
      </c>
      <c r="H277" s="10"/>
      <c r="I277" s="10"/>
      <c r="J277">
        <f>IFERROR(VLOOKUP(A277,[1]TDSheet!$A:$AV,6,0),0)</f>
        <v>103.68</v>
      </c>
      <c r="K277">
        <f>IFERROR(VLOOKUP(A277,[1]TDSheet!$A:$AV,7,0),0)</f>
        <v>216</v>
      </c>
      <c r="L277" s="26">
        <f t="shared" si="12"/>
        <v>4.7127272727272729</v>
      </c>
      <c r="M277" s="26">
        <f t="shared" si="13"/>
        <v>9.8181818181818183</v>
      </c>
      <c r="N277" s="37">
        <f t="shared" si="14"/>
        <v>0.62068965517241381</v>
      </c>
    </row>
    <row r="278" spans="1:14" ht="11.1" customHeight="1" x14ac:dyDescent="0.2">
      <c r="A278" s="22" t="s">
        <v>554</v>
      </c>
      <c r="B278" s="22"/>
      <c r="C278" s="22"/>
      <c r="D278" s="22" t="s">
        <v>555</v>
      </c>
      <c r="E278" s="22"/>
      <c r="F278" s="9">
        <v>60.12</v>
      </c>
      <c r="G278" s="5">
        <v>668</v>
      </c>
      <c r="H278" s="10"/>
      <c r="I278" s="10"/>
      <c r="J278">
        <f>IFERROR(VLOOKUP(A278,[1]TDSheet!$A:$AV,6,0),0)</f>
        <v>47.79</v>
      </c>
      <c r="K278">
        <f>IFERROR(VLOOKUP(A278,[1]TDSheet!$A:$AV,7,0),0)</f>
        <v>531</v>
      </c>
      <c r="L278" s="26">
        <f t="shared" si="12"/>
        <v>2.1722727272727274</v>
      </c>
      <c r="M278" s="26">
        <f t="shared" si="13"/>
        <v>24.136363636363637</v>
      </c>
      <c r="N278" s="37">
        <f t="shared" si="14"/>
        <v>0.79491017964071853</v>
      </c>
    </row>
    <row r="279" spans="1:14" ht="21.95" customHeight="1" x14ac:dyDescent="0.2">
      <c r="A279" s="22" t="s">
        <v>556</v>
      </c>
      <c r="B279" s="22"/>
      <c r="C279" s="22"/>
      <c r="D279" s="22" t="s">
        <v>557</v>
      </c>
      <c r="E279" s="22"/>
      <c r="F279" s="9">
        <v>116.64</v>
      </c>
      <c r="G279" s="5">
        <v>324</v>
      </c>
      <c r="H279" s="10"/>
      <c r="I279" s="10"/>
      <c r="J279">
        <f>IFERROR(VLOOKUP(A279,[1]TDSheet!$A:$AV,6,0),0)</f>
        <v>57.96</v>
      </c>
      <c r="K279">
        <f>IFERROR(VLOOKUP(A279,[1]TDSheet!$A:$AV,7,0),0)</f>
        <v>161</v>
      </c>
      <c r="L279" s="26">
        <f t="shared" si="12"/>
        <v>2.6345454545454547</v>
      </c>
      <c r="M279" s="26">
        <f t="shared" si="13"/>
        <v>7.3181818181818183</v>
      </c>
      <c r="N279" s="37">
        <f t="shared" si="14"/>
        <v>0.49691358024691357</v>
      </c>
    </row>
    <row r="280" spans="1:14" ht="11.1" customHeight="1" x14ac:dyDescent="0.2">
      <c r="A280" s="22" t="s">
        <v>558</v>
      </c>
      <c r="B280" s="22"/>
      <c r="C280" s="22"/>
      <c r="D280" s="22" t="s">
        <v>559</v>
      </c>
      <c r="E280" s="22"/>
      <c r="F280" s="7">
        <v>35.6</v>
      </c>
      <c r="G280" s="5">
        <v>178</v>
      </c>
      <c r="H280" s="10"/>
      <c r="I280" s="10"/>
      <c r="J280">
        <f>IFERROR(VLOOKUP(A280,[1]TDSheet!$A:$AV,6,0),0)</f>
        <v>14</v>
      </c>
      <c r="K280">
        <f>IFERROR(VLOOKUP(A280,[1]TDSheet!$A:$AV,7,0),0)</f>
        <v>70</v>
      </c>
      <c r="L280" s="26">
        <f t="shared" si="12"/>
        <v>0.63636363636363635</v>
      </c>
      <c r="M280" s="26">
        <f t="shared" si="13"/>
        <v>3.1818181818181817</v>
      </c>
      <c r="N280" s="37">
        <f t="shared" si="14"/>
        <v>0.3932584269662921</v>
      </c>
    </row>
    <row r="281" spans="1:14" ht="21.95" customHeight="1" x14ac:dyDescent="0.2">
      <c r="A281" s="22" t="s">
        <v>560</v>
      </c>
      <c r="B281" s="22"/>
      <c r="C281" s="22"/>
      <c r="D281" s="22" t="s">
        <v>561</v>
      </c>
      <c r="E281" s="22"/>
      <c r="F281" s="7">
        <v>225.4</v>
      </c>
      <c r="G281" s="4">
        <v>1127</v>
      </c>
      <c r="H281" s="10"/>
      <c r="I281" s="10"/>
      <c r="J281">
        <f>IFERROR(VLOOKUP(A281,[1]TDSheet!$A:$AV,6,0),0)</f>
        <v>159.19999999999999</v>
      </c>
      <c r="K281">
        <f>IFERROR(VLOOKUP(A281,[1]TDSheet!$A:$AV,7,0),0)</f>
        <v>796</v>
      </c>
      <c r="L281" s="26">
        <f t="shared" si="12"/>
        <v>7.2363636363636354</v>
      </c>
      <c r="M281" s="26">
        <f t="shared" si="13"/>
        <v>36.18181818181818</v>
      </c>
      <c r="N281" s="37">
        <f t="shared" si="14"/>
        <v>0.70629991126885527</v>
      </c>
    </row>
    <row r="282" spans="1:14" ht="11.1" customHeight="1" x14ac:dyDescent="0.2">
      <c r="A282" s="22" t="s">
        <v>562</v>
      </c>
      <c r="B282" s="22"/>
      <c r="C282" s="22"/>
      <c r="D282" s="22" t="s">
        <v>563</v>
      </c>
      <c r="E282" s="22"/>
      <c r="F282" s="7">
        <v>160.19999999999999</v>
      </c>
      <c r="G282" s="5">
        <v>801</v>
      </c>
      <c r="H282" s="10"/>
      <c r="I282" s="10"/>
      <c r="J282">
        <f>IFERROR(VLOOKUP(A282,[1]TDSheet!$A:$AV,6,0),0)</f>
        <v>118.8</v>
      </c>
      <c r="K282">
        <f>IFERROR(VLOOKUP(A282,[1]TDSheet!$A:$AV,7,0),0)</f>
        <v>594</v>
      </c>
      <c r="L282" s="26">
        <f t="shared" si="12"/>
        <v>5.3999999999999995</v>
      </c>
      <c r="M282" s="26">
        <f t="shared" si="13"/>
        <v>27</v>
      </c>
      <c r="N282" s="37">
        <f t="shared" si="14"/>
        <v>0.7415730337078652</v>
      </c>
    </row>
    <row r="283" spans="1:14" ht="11.1" customHeight="1" x14ac:dyDescent="0.2">
      <c r="A283" s="22" t="s">
        <v>564</v>
      </c>
      <c r="B283" s="22"/>
      <c r="C283" s="22"/>
      <c r="D283" s="22" t="s">
        <v>565</v>
      </c>
      <c r="E283" s="22"/>
      <c r="F283" s="9">
        <v>254.34</v>
      </c>
      <c r="G283" s="4">
        <v>1413</v>
      </c>
      <c r="H283" s="9">
        <v>3.06</v>
      </c>
      <c r="I283" s="5">
        <v>17</v>
      </c>
      <c r="J283">
        <f>IFERROR(VLOOKUP(A283,[1]TDSheet!$A:$AV,6,0),0)</f>
        <v>37.08</v>
      </c>
      <c r="K283">
        <f>IFERROR(VLOOKUP(A283,[1]TDSheet!$A:$AV,7,0),0)</f>
        <v>206</v>
      </c>
      <c r="L283" s="26">
        <f t="shared" si="12"/>
        <v>1.6854545454545453</v>
      </c>
      <c r="M283" s="26">
        <f t="shared" si="13"/>
        <v>9.3636363636363633</v>
      </c>
      <c r="N283" s="37">
        <f t="shared" si="14"/>
        <v>0.14578910120311395</v>
      </c>
    </row>
    <row r="284" spans="1:14" ht="11.1" customHeight="1" x14ac:dyDescent="0.2">
      <c r="A284" s="22" t="s">
        <v>566</v>
      </c>
      <c r="B284" s="22"/>
      <c r="C284" s="22"/>
      <c r="D284" s="22" t="s">
        <v>567</v>
      </c>
      <c r="E284" s="22"/>
      <c r="F284" s="9">
        <v>137.88</v>
      </c>
      <c r="G284" s="5">
        <v>766</v>
      </c>
      <c r="H284" s="9">
        <v>8.82</v>
      </c>
      <c r="I284" s="5">
        <v>49</v>
      </c>
      <c r="J284">
        <f>IFERROR(VLOOKUP(A284,[1]TDSheet!$A:$AV,6,0),0)</f>
        <v>15.66</v>
      </c>
      <c r="K284">
        <f>IFERROR(VLOOKUP(A284,[1]TDSheet!$A:$AV,7,0),0)</f>
        <v>87</v>
      </c>
      <c r="L284" s="26">
        <f t="shared" si="12"/>
        <v>0.71181818181818179</v>
      </c>
      <c r="M284" s="26">
        <f t="shared" si="13"/>
        <v>3.9545454545454546</v>
      </c>
      <c r="N284" s="37">
        <f t="shared" si="14"/>
        <v>0.11357702349869452</v>
      </c>
    </row>
    <row r="285" spans="1:14" ht="11.1" customHeight="1" x14ac:dyDescent="0.2">
      <c r="A285" s="22" t="s">
        <v>568</v>
      </c>
      <c r="B285" s="22"/>
      <c r="C285" s="22"/>
      <c r="D285" s="22" t="s">
        <v>569</v>
      </c>
      <c r="E285" s="22"/>
      <c r="F285" s="7">
        <v>22.8</v>
      </c>
      <c r="G285" s="5">
        <v>22.8</v>
      </c>
      <c r="H285" s="10"/>
      <c r="I285" s="10"/>
      <c r="J285">
        <f>IFERROR(VLOOKUP(A285,[1]TDSheet!$A:$AV,6,0),0)</f>
        <v>19.8</v>
      </c>
      <c r="K285">
        <f>IFERROR(VLOOKUP(A285,[1]TDSheet!$A:$AV,7,0),0)</f>
        <v>19.8</v>
      </c>
      <c r="L285" s="26">
        <f t="shared" si="12"/>
        <v>0.9</v>
      </c>
      <c r="M285" s="26">
        <f t="shared" si="13"/>
        <v>0.9</v>
      </c>
      <c r="N285" s="37">
        <f t="shared" si="14"/>
        <v>0.86842105263157898</v>
      </c>
    </row>
    <row r="286" spans="1:14" ht="11.1" customHeight="1" x14ac:dyDescent="0.2">
      <c r="A286" s="22" t="s">
        <v>570</v>
      </c>
      <c r="B286" s="22"/>
      <c r="C286" s="22"/>
      <c r="D286" s="22" t="s">
        <v>571</v>
      </c>
      <c r="E286" s="22"/>
      <c r="F286" s="13">
        <v>200</v>
      </c>
      <c r="G286" s="5">
        <v>200</v>
      </c>
      <c r="H286" s="10"/>
      <c r="I286" s="10"/>
      <c r="J286">
        <f>IFERROR(VLOOKUP(A286,[1]TDSheet!$A:$AV,6,0),0)</f>
        <v>110</v>
      </c>
      <c r="K286">
        <f>IFERROR(VLOOKUP(A286,[1]TDSheet!$A:$AV,7,0),0)</f>
        <v>110</v>
      </c>
      <c r="L286" s="26">
        <f t="shared" si="12"/>
        <v>5</v>
      </c>
      <c r="M286" s="26">
        <f t="shared" si="13"/>
        <v>5</v>
      </c>
      <c r="N286" s="37">
        <f t="shared" si="14"/>
        <v>0.55000000000000004</v>
      </c>
    </row>
    <row r="287" spans="1:14" ht="11.1" customHeight="1" x14ac:dyDescent="0.2">
      <c r="A287" s="22" t="s">
        <v>572</v>
      </c>
      <c r="B287" s="22"/>
      <c r="C287" s="22"/>
      <c r="D287" s="22" t="s">
        <v>573</v>
      </c>
      <c r="E287" s="22"/>
      <c r="F287" s="13">
        <v>162</v>
      </c>
      <c r="G287" s="5">
        <v>162</v>
      </c>
      <c r="H287" s="10"/>
      <c r="I287" s="10"/>
      <c r="J287">
        <f>IFERROR(VLOOKUP(A287,[1]TDSheet!$A:$AV,6,0),0)</f>
        <v>69</v>
      </c>
      <c r="K287">
        <f>IFERROR(VLOOKUP(A287,[1]TDSheet!$A:$AV,7,0),0)</f>
        <v>69</v>
      </c>
      <c r="L287" s="26">
        <f t="shared" si="12"/>
        <v>3.1363636363636362</v>
      </c>
      <c r="M287" s="26">
        <f t="shared" si="13"/>
        <v>3.1363636363636362</v>
      </c>
      <c r="N287" s="37">
        <f t="shared" si="14"/>
        <v>0.42592592592592593</v>
      </c>
    </row>
    <row r="288" spans="1:14" ht="11.1" customHeight="1" x14ac:dyDescent="0.2">
      <c r="A288" s="22" t="s">
        <v>574</v>
      </c>
      <c r="B288" s="22"/>
      <c r="C288" s="22"/>
      <c r="D288" s="22" t="s">
        <v>575</v>
      </c>
      <c r="E288" s="22"/>
      <c r="F288" s="13">
        <v>389</v>
      </c>
      <c r="G288" s="4">
        <v>1556</v>
      </c>
      <c r="H288" s="10"/>
      <c r="I288" s="10"/>
      <c r="J288">
        <f>IFERROR(VLOOKUP(A288,[1]TDSheet!$A:$AV,6,0),0)</f>
        <v>141.75</v>
      </c>
      <c r="K288">
        <f>IFERROR(VLOOKUP(A288,[1]TDSheet!$A:$AV,7,0),0)</f>
        <v>567</v>
      </c>
      <c r="L288" s="26">
        <f t="shared" si="12"/>
        <v>6.4431818181818183</v>
      </c>
      <c r="M288" s="26">
        <f t="shared" si="13"/>
        <v>25.772727272727273</v>
      </c>
      <c r="N288" s="37">
        <f t="shared" si="14"/>
        <v>0.36439588688946017</v>
      </c>
    </row>
    <row r="289" spans="1:14" ht="21.95" customHeight="1" x14ac:dyDescent="0.2">
      <c r="A289" s="22" t="s">
        <v>576</v>
      </c>
      <c r="B289" s="22"/>
      <c r="C289" s="22"/>
      <c r="D289" s="22" t="s">
        <v>577</v>
      </c>
      <c r="E289" s="22"/>
      <c r="F289" s="13">
        <v>165</v>
      </c>
      <c r="G289" s="5">
        <v>660</v>
      </c>
      <c r="H289" s="10"/>
      <c r="I289" s="10"/>
      <c r="J289">
        <f>IFERROR(VLOOKUP(A289,[1]TDSheet!$A:$AV,6,0),0)</f>
        <v>95.75</v>
      </c>
      <c r="K289">
        <f>IFERROR(VLOOKUP(A289,[1]TDSheet!$A:$AV,7,0),0)</f>
        <v>383</v>
      </c>
      <c r="L289" s="26">
        <f t="shared" si="12"/>
        <v>4.3522727272727275</v>
      </c>
      <c r="M289" s="26">
        <f t="shared" si="13"/>
        <v>17.40909090909091</v>
      </c>
      <c r="N289" s="37">
        <f t="shared" si="14"/>
        <v>0.58030303030303032</v>
      </c>
    </row>
    <row r="290" spans="1:14" ht="11.1" customHeight="1" x14ac:dyDescent="0.2">
      <c r="A290" s="22" t="s">
        <v>578</v>
      </c>
      <c r="B290" s="22"/>
      <c r="C290" s="22"/>
      <c r="D290" s="22" t="s">
        <v>579</v>
      </c>
      <c r="E290" s="22"/>
      <c r="F290" s="9">
        <v>504.25</v>
      </c>
      <c r="G290" s="4">
        <v>2017</v>
      </c>
      <c r="H290" s="7">
        <v>1.5</v>
      </c>
      <c r="I290" s="5">
        <v>6</v>
      </c>
      <c r="J290">
        <f>IFERROR(VLOOKUP(A290,[1]TDSheet!$A:$AV,6,0),0)</f>
        <v>288</v>
      </c>
      <c r="K290">
        <f>IFERROR(VLOOKUP(A290,[1]TDSheet!$A:$AV,7,0),0)</f>
        <v>1152</v>
      </c>
      <c r="L290" s="26">
        <f t="shared" si="12"/>
        <v>13.090909090909092</v>
      </c>
      <c r="M290" s="26">
        <f t="shared" si="13"/>
        <v>52.363636363636367</v>
      </c>
      <c r="N290" s="37">
        <f t="shared" si="14"/>
        <v>0.57114526524541398</v>
      </c>
    </row>
    <row r="291" spans="1:14" ht="11.1" customHeight="1" x14ac:dyDescent="0.2">
      <c r="A291" s="22" t="s">
        <v>580</v>
      </c>
      <c r="B291" s="22"/>
      <c r="C291" s="22"/>
      <c r="D291" s="22" t="s">
        <v>581</v>
      </c>
      <c r="E291" s="22"/>
      <c r="F291" s="7">
        <v>329.5</v>
      </c>
      <c r="G291" s="4">
        <v>1318</v>
      </c>
      <c r="H291" s="10"/>
      <c r="I291" s="10"/>
      <c r="J291">
        <f>IFERROR(VLOOKUP(A291,[1]TDSheet!$A:$AV,6,0),0)</f>
        <v>169</v>
      </c>
      <c r="K291">
        <f>IFERROR(VLOOKUP(A291,[1]TDSheet!$A:$AV,7,0),0)</f>
        <v>676</v>
      </c>
      <c r="L291" s="26">
        <f t="shared" si="12"/>
        <v>7.6818181818181817</v>
      </c>
      <c r="M291" s="26">
        <f t="shared" si="13"/>
        <v>30.727272727272727</v>
      </c>
      <c r="N291" s="37">
        <f t="shared" si="14"/>
        <v>0.51289833080424885</v>
      </c>
    </row>
    <row r="292" spans="1:14" ht="11.1" customHeight="1" x14ac:dyDescent="0.2">
      <c r="A292" s="22" t="s">
        <v>582</v>
      </c>
      <c r="B292" s="22"/>
      <c r="C292" s="22"/>
      <c r="D292" s="22" t="s">
        <v>583</v>
      </c>
      <c r="E292" s="22"/>
      <c r="F292" s="9">
        <v>230.25</v>
      </c>
      <c r="G292" s="5">
        <v>921</v>
      </c>
      <c r="H292" s="10"/>
      <c r="I292" s="10"/>
      <c r="J292">
        <f>IFERROR(VLOOKUP(A292,[1]TDSheet!$A:$AV,6,0),0)</f>
        <v>131.75</v>
      </c>
      <c r="K292">
        <f>IFERROR(VLOOKUP(A292,[1]TDSheet!$A:$AV,7,0),0)</f>
        <v>527</v>
      </c>
      <c r="L292" s="26">
        <f t="shared" si="12"/>
        <v>5.9886363636363633</v>
      </c>
      <c r="M292" s="26">
        <f t="shared" si="13"/>
        <v>23.954545454545453</v>
      </c>
      <c r="N292" s="37">
        <f t="shared" si="14"/>
        <v>0.57220412595005432</v>
      </c>
    </row>
    <row r="293" spans="1:14" ht="11.1" customHeight="1" x14ac:dyDescent="0.2">
      <c r="A293" s="22" t="s">
        <v>584</v>
      </c>
      <c r="B293" s="22"/>
      <c r="C293" s="22"/>
      <c r="D293" s="22" t="s">
        <v>585</v>
      </c>
      <c r="E293" s="22"/>
      <c r="F293" s="13">
        <v>396</v>
      </c>
      <c r="G293" s="5">
        <v>396</v>
      </c>
      <c r="H293" s="10"/>
      <c r="I293" s="10"/>
      <c r="J293">
        <f>IFERROR(VLOOKUP(A293,[1]TDSheet!$A:$AV,6,0),0)</f>
        <v>114</v>
      </c>
      <c r="K293">
        <f>IFERROR(VLOOKUP(A293,[1]TDSheet!$A:$AV,7,0),0)</f>
        <v>114</v>
      </c>
      <c r="L293" s="26">
        <f t="shared" si="12"/>
        <v>5.1818181818181817</v>
      </c>
      <c r="M293" s="26">
        <f t="shared" si="13"/>
        <v>5.1818181818181817</v>
      </c>
      <c r="N293" s="37">
        <f t="shared" si="14"/>
        <v>0.2878787878787879</v>
      </c>
    </row>
    <row r="294" spans="1:14" ht="11.1" customHeight="1" x14ac:dyDescent="0.2">
      <c r="A294" s="22" t="s">
        <v>586</v>
      </c>
      <c r="B294" s="22"/>
      <c r="C294" s="22"/>
      <c r="D294" s="22" t="s">
        <v>587</v>
      </c>
      <c r="E294" s="22"/>
      <c r="F294" s="9">
        <v>75.44</v>
      </c>
      <c r="G294" s="5">
        <v>328</v>
      </c>
      <c r="H294" s="10"/>
      <c r="I294" s="10"/>
      <c r="J294">
        <f>IFERROR(VLOOKUP(A294,[1]TDSheet!$A:$AV,6,0),0)</f>
        <v>37.26</v>
      </c>
      <c r="K294">
        <f>IFERROR(VLOOKUP(A294,[1]TDSheet!$A:$AV,7,0),0)</f>
        <v>162</v>
      </c>
      <c r="L294" s="26">
        <f t="shared" si="12"/>
        <v>1.6936363636363636</v>
      </c>
      <c r="M294" s="26">
        <f t="shared" si="13"/>
        <v>7.3636363636363633</v>
      </c>
      <c r="N294" s="37">
        <f t="shared" si="14"/>
        <v>0.49390243902439024</v>
      </c>
    </row>
    <row r="295" spans="1:14" ht="11.1" customHeight="1" x14ac:dyDescent="0.2">
      <c r="A295" s="22" t="s">
        <v>588</v>
      </c>
      <c r="B295" s="22"/>
      <c r="C295" s="22"/>
      <c r="D295" s="22" t="s">
        <v>589</v>
      </c>
      <c r="E295" s="22"/>
      <c r="F295" s="13">
        <v>145</v>
      </c>
      <c r="G295" s="5">
        <v>580</v>
      </c>
      <c r="H295" s="10"/>
      <c r="I295" s="10"/>
      <c r="J295">
        <f>IFERROR(VLOOKUP(A295,[1]TDSheet!$A:$AV,6,0),0)</f>
        <v>96.75</v>
      </c>
      <c r="K295">
        <f>IFERROR(VLOOKUP(A295,[1]TDSheet!$A:$AV,7,0),0)</f>
        <v>387</v>
      </c>
      <c r="L295" s="26">
        <f t="shared" si="12"/>
        <v>4.3977272727272725</v>
      </c>
      <c r="M295" s="26">
        <f t="shared" si="13"/>
        <v>17.59090909090909</v>
      </c>
      <c r="N295" s="37">
        <f t="shared" si="14"/>
        <v>0.66724137931034477</v>
      </c>
    </row>
    <row r="296" spans="1:14" ht="21.95" customHeight="1" x14ac:dyDescent="0.2">
      <c r="A296" s="22" t="s">
        <v>590</v>
      </c>
      <c r="B296" s="22"/>
      <c r="C296" s="22"/>
      <c r="D296" s="22" t="s">
        <v>591</v>
      </c>
      <c r="E296" s="22"/>
      <c r="F296" s="7">
        <v>212.8</v>
      </c>
      <c r="G296" s="5">
        <v>304</v>
      </c>
      <c r="H296" s="10"/>
      <c r="I296" s="10"/>
      <c r="J296">
        <f>IFERROR(VLOOKUP(A296,[1]TDSheet!$A:$AV,6,0),0)</f>
        <v>113.4</v>
      </c>
      <c r="K296">
        <f>IFERROR(VLOOKUP(A296,[1]TDSheet!$A:$AV,7,0),0)</f>
        <v>162</v>
      </c>
      <c r="L296" s="26">
        <f t="shared" si="12"/>
        <v>5.1545454545454552</v>
      </c>
      <c r="M296" s="26">
        <f t="shared" si="13"/>
        <v>7.3636363636363633</v>
      </c>
      <c r="N296" s="37">
        <f t="shared" si="14"/>
        <v>0.53289473684210531</v>
      </c>
    </row>
    <row r="297" spans="1:14" ht="11.1" customHeight="1" x14ac:dyDescent="0.2">
      <c r="A297" s="22" t="s">
        <v>592</v>
      </c>
      <c r="B297" s="22"/>
      <c r="C297" s="22"/>
      <c r="D297" s="22" t="s">
        <v>593</v>
      </c>
      <c r="E297" s="22"/>
      <c r="F297" s="7">
        <v>345.8</v>
      </c>
      <c r="G297" s="5">
        <v>494</v>
      </c>
      <c r="H297" s="10"/>
      <c r="I297" s="10"/>
      <c r="J297">
        <f>IFERROR(VLOOKUP(A297,[1]TDSheet!$A:$AV,6,0),0)</f>
        <v>179.9</v>
      </c>
      <c r="K297">
        <f>IFERROR(VLOOKUP(A297,[1]TDSheet!$A:$AV,7,0),0)</f>
        <v>257</v>
      </c>
      <c r="L297" s="26">
        <f t="shared" si="12"/>
        <v>8.1772727272727277</v>
      </c>
      <c r="M297" s="26">
        <f t="shared" si="13"/>
        <v>11.681818181818182</v>
      </c>
      <c r="N297" s="37">
        <f t="shared" si="14"/>
        <v>0.52024291497975705</v>
      </c>
    </row>
    <row r="298" spans="1:14" ht="21.95" customHeight="1" x14ac:dyDescent="0.2">
      <c r="A298" s="22" t="s">
        <v>594</v>
      </c>
      <c r="B298" s="22"/>
      <c r="C298" s="22"/>
      <c r="D298" s="22" t="s">
        <v>595</v>
      </c>
      <c r="E298" s="22"/>
      <c r="F298" s="7">
        <v>36.4</v>
      </c>
      <c r="G298" s="5">
        <v>52</v>
      </c>
      <c r="H298" s="7">
        <v>3.5</v>
      </c>
      <c r="I298" s="5">
        <v>5</v>
      </c>
      <c r="J298">
        <f>IFERROR(VLOOKUP(A298,[1]TDSheet!$A:$AV,6,0),0)</f>
        <v>19.600000000000001</v>
      </c>
      <c r="K298">
        <f>IFERROR(VLOOKUP(A298,[1]TDSheet!$A:$AV,7,0),0)</f>
        <v>28</v>
      </c>
      <c r="L298" s="26">
        <f t="shared" si="12"/>
        <v>0.89090909090909098</v>
      </c>
      <c r="M298" s="26">
        <f t="shared" si="13"/>
        <v>1.2727272727272727</v>
      </c>
      <c r="N298" s="37">
        <f t="shared" si="14"/>
        <v>0.53846153846153855</v>
      </c>
    </row>
    <row r="299" spans="1:14" ht="21.95" customHeight="1" x14ac:dyDescent="0.2">
      <c r="A299" s="22" t="s">
        <v>596</v>
      </c>
      <c r="B299" s="22"/>
      <c r="C299" s="22"/>
      <c r="D299" s="22" t="s">
        <v>597</v>
      </c>
      <c r="E299" s="22"/>
      <c r="F299" s="7">
        <v>881.3</v>
      </c>
      <c r="G299" s="4">
        <v>1259</v>
      </c>
      <c r="H299" s="7">
        <v>2.8</v>
      </c>
      <c r="I299" s="5">
        <v>4</v>
      </c>
      <c r="J299">
        <f>IFERROR(VLOOKUP(A299,[1]TDSheet!$A:$AV,6,0),0)</f>
        <v>462.7</v>
      </c>
      <c r="K299">
        <f>IFERROR(VLOOKUP(A299,[1]TDSheet!$A:$AV,7,0),0)</f>
        <v>661</v>
      </c>
      <c r="L299" s="26">
        <f t="shared" si="12"/>
        <v>21.031818181818181</v>
      </c>
      <c r="M299" s="26">
        <f t="shared" si="13"/>
        <v>30.045454545454547</v>
      </c>
      <c r="N299" s="37">
        <f t="shared" si="14"/>
        <v>0.52501985702938847</v>
      </c>
    </row>
    <row r="300" spans="1:14" ht="21.95" customHeight="1" x14ac:dyDescent="0.2">
      <c r="A300" s="22" t="s">
        <v>598</v>
      </c>
      <c r="B300" s="22"/>
      <c r="C300" s="22"/>
      <c r="D300" s="22" t="s">
        <v>599</v>
      </c>
      <c r="E300" s="22"/>
      <c r="F300" s="7">
        <v>585.9</v>
      </c>
      <c r="G300" s="5">
        <v>837</v>
      </c>
      <c r="H300" s="10"/>
      <c r="I300" s="10"/>
      <c r="J300">
        <f>IFERROR(VLOOKUP(A300,[1]TDSheet!$A:$AV,6,0),0)</f>
        <v>385.7</v>
      </c>
      <c r="K300">
        <f>IFERROR(VLOOKUP(A300,[1]TDSheet!$A:$AV,7,0),0)</f>
        <v>551</v>
      </c>
      <c r="L300" s="26">
        <f t="shared" si="12"/>
        <v>17.531818181818181</v>
      </c>
      <c r="M300" s="26">
        <f t="shared" si="13"/>
        <v>25.045454545454547</v>
      </c>
      <c r="N300" s="37">
        <f t="shared" si="14"/>
        <v>0.65830346475507762</v>
      </c>
    </row>
    <row r="301" spans="1:14" ht="21.95" customHeight="1" x14ac:dyDescent="0.2">
      <c r="A301" s="22" t="s">
        <v>600</v>
      </c>
      <c r="B301" s="22"/>
      <c r="C301" s="22"/>
      <c r="D301" s="22" t="s">
        <v>601</v>
      </c>
      <c r="E301" s="22"/>
      <c r="F301" s="7">
        <v>931.7</v>
      </c>
      <c r="G301" s="4">
        <v>1331</v>
      </c>
      <c r="H301" s="7">
        <v>23.1</v>
      </c>
      <c r="I301" s="5">
        <v>33</v>
      </c>
      <c r="J301">
        <f>IFERROR(VLOOKUP(A301,[1]TDSheet!$A:$AV,6,0),0)</f>
        <v>501.2</v>
      </c>
      <c r="K301">
        <f>IFERROR(VLOOKUP(A301,[1]TDSheet!$A:$AV,7,0),0)</f>
        <v>716</v>
      </c>
      <c r="L301" s="26">
        <f t="shared" si="12"/>
        <v>22.781818181818181</v>
      </c>
      <c r="M301" s="26">
        <f t="shared" si="13"/>
        <v>32.545454545454547</v>
      </c>
      <c r="N301" s="37">
        <f t="shared" si="14"/>
        <v>0.5379413974455296</v>
      </c>
    </row>
    <row r="302" spans="1:14" ht="21.95" customHeight="1" x14ac:dyDescent="0.2">
      <c r="A302" s="22" t="s">
        <v>602</v>
      </c>
      <c r="B302" s="22"/>
      <c r="C302" s="22"/>
      <c r="D302" s="22" t="s">
        <v>603</v>
      </c>
      <c r="E302" s="22"/>
      <c r="F302" s="7">
        <v>366.8</v>
      </c>
      <c r="G302" s="5">
        <v>524</v>
      </c>
      <c r="H302" s="7">
        <v>3.5</v>
      </c>
      <c r="I302" s="5">
        <v>5</v>
      </c>
      <c r="J302">
        <f>IFERROR(VLOOKUP(A302,[1]TDSheet!$A:$AV,6,0),0)</f>
        <v>144.19999999999999</v>
      </c>
      <c r="K302">
        <f>IFERROR(VLOOKUP(A302,[1]TDSheet!$A:$AV,7,0),0)</f>
        <v>206</v>
      </c>
      <c r="L302" s="26">
        <f t="shared" si="12"/>
        <v>6.5545454545454538</v>
      </c>
      <c r="M302" s="26">
        <f t="shared" si="13"/>
        <v>9.3636363636363633</v>
      </c>
      <c r="N302" s="37">
        <f t="shared" si="14"/>
        <v>0.39312977099236635</v>
      </c>
    </row>
    <row r="303" spans="1:14" ht="21.95" customHeight="1" x14ac:dyDescent="0.2">
      <c r="A303" s="22" t="s">
        <v>604</v>
      </c>
      <c r="B303" s="22"/>
      <c r="C303" s="22"/>
      <c r="D303" s="22" t="s">
        <v>605</v>
      </c>
      <c r="E303" s="22"/>
      <c r="F303" s="12">
        <v>2425</v>
      </c>
      <c r="G303" s="4">
        <v>2425</v>
      </c>
      <c r="H303" s="10"/>
      <c r="I303" s="10"/>
      <c r="J303">
        <f>IFERROR(VLOOKUP(A303,[1]TDSheet!$A:$AV,6,0),0)</f>
        <v>1890</v>
      </c>
      <c r="K303">
        <f>IFERROR(VLOOKUP(A303,[1]TDSheet!$A:$AV,7,0),0)</f>
        <v>1890</v>
      </c>
      <c r="L303" s="26">
        <f t="shared" si="12"/>
        <v>85.909090909090907</v>
      </c>
      <c r="M303" s="26">
        <f t="shared" si="13"/>
        <v>85.909090909090907</v>
      </c>
      <c r="N303" s="37">
        <f t="shared" si="14"/>
        <v>0.77938144329896908</v>
      </c>
    </row>
    <row r="304" spans="1:14" ht="21.95" customHeight="1" x14ac:dyDescent="0.2">
      <c r="A304" s="22" t="s">
        <v>606</v>
      </c>
      <c r="B304" s="22"/>
      <c r="C304" s="22"/>
      <c r="D304" s="22" t="s">
        <v>607</v>
      </c>
      <c r="E304" s="22"/>
      <c r="F304" s="7">
        <v>182.8</v>
      </c>
      <c r="G304" s="5">
        <v>457</v>
      </c>
      <c r="H304" s="7">
        <v>3.2</v>
      </c>
      <c r="I304" s="5">
        <v>8</v>
      </c>
      <c r="J304">
        <f>IFERROR(VLOOKUP(A304,[1]TDSheet!$A:$AV,6,0),0)</f>
        <v>89.2</v>
      </c>
      <c r="K304">
        <f>IFERROR(VLOOKUP(A304,[1]TDSheet!$A:$AV,7,0),0)</f>
        <v>223</v>
      </c>
      <c r="L304" s="26">
        <f t="shared" si="12"/>
        <v>4.0545454545454547</v>
      </c>
      <c r="M304" s="26">
        <f t="shared" si="13"/>
        <v>10.136363636363637</v>
      </c>
      <c r="N304" s="37">
        <f t="shared" si="14"/>
        <v>0.48796498905908092</v>
      </c>
    </row>
    <row r="305" spans="1:14" ht="21.95" customHeight="1" x14ac:dyDescent="0.2">
      <c r="A305" s="22" t="s">
        <v>608</v>
      </c>
      <c r="B305" s="22"/>
      <c r="C305" s="22"/>
      <c r="D305" s="22" t="s">
        <v>609</v>
      </c>
      <c r="E305" s="22"/>
      <c r="F305" s="8">
        <v>1971.9</v>
      </c>
      <c r="G305" s="4">
        <v>2817</v>
      </c>
      <c r="H305" s="7">
        <v>3.5</v>
      </c>
      <c r="I305" s="5">
        <v>5</v>
      </c>
      <c r="J305">
        <f>IFERROR(VLOOKUP(A305,[1]TDSheet!$A:$AV,6,0),0)</f>
        <v>1202.5999999999999</v>
      </c>
      <c r="K305">
        <f>IFERROR(VLOOKUP(A305,[1]TDSheet!$A:$AV,7,0),0)</f>
        <v>1718</v>
      </c>
      <c r="L305" s="26">
        <f t="shared" si="12"/>
        <v>54.663636363636357</v>
      </c>
      <c r="M305" s="26">
        <f t="shared" si="13"/>
        <v>78.090909090909093</v>
      </c>
      <c r="N305" s="37">
        <f t="shared" si="14"/>
        <v>0.60986865459708905</v>
      </c>
    </row>
    <row r="306" spans="1:14" ht="21.95" customHeight="1" x14ac:dyDescent="0.2">
      <c r="A306" s="22" t="s">
        <v>610</v>
      </c>
      <c r="B306" s="22"/>
      <c r="C306" s="22"/>
      <c r="D306" s="22" t="s">
        <v>611</v>
      </c>
      <c r="E306" s="22"/>
      <c r="F306" s="7">
        <v>784.4</v>
      </c>
      <c r="G306" s="4">
        <v>1961</v>
      </c>
      <c r="H306" s="7">
        <v>2.8</v>
      </c>
      <c r="I306" s="5">
        <v>7</v>
      </c>
      <c r="J306">
        <f>IFERROR(VLOOKUP(A306,[1]TDSheet!$A:$AV,6,0),0)</f>
        <v>349.2</v>
      </c>
      <c r="K306">
        <f>IFERROR(VLOOKUP(A306,[1]TDSheet!$A:$AV,7,0),0)</f>
        <v>873</v>
      </c>
      <c r="L306" s="26">
        <f t="shared" si="12"/>
        <v>15.872727272727273</v>
      </c>
      <c r="M306" s="26">
        <f t="shared" si="13"/>
        <v>39.68181818181818</v>
      </c>
      <c r="N306" s="37">
        <f t="shared" si="14"/>
        <v>0.44518103008669047</v>
      </c>
    </row>
    <row r="307" spans="1:14" ht="21.95" customHeight="1" x14ac:dyDescent="0.2">
      <c r="A307" s="22" t="s">
        <v>612</v>
      </c>
      <c r="B307" s="22"/>
      <c r="C307" s="22"/>
      <c r="D307" s="22" t="s">
        <v>613</v>
      </c>
      <c r="E307" s="22"/>
      <c r="F307" s="8">
        <v>2564.8000000000002</v>
      </c>
      <c r="G307" s="4">
        <v>3664</v>
      </c>
      <c r="H307" s="10"/>
      <c r="I307" s="10"/>
      <c r="J307">
        <f>IFERROR(VLOOKUP(A307,[1]TDSheet!$A:$AV,6,0),0)</f>
        <v>1205.4000000000001</v>
      </c>
      <c r="K307">
        <f>IFERROR(VLOOKUP(A307,[1]TDSheet!$A:$AV,7,0),0)</f>
        <v>1722</v>
      </c>
      <c r="L307" s="26">
        <f t="shared" si="12"/>
        <v>54.790909090909096</v>
      </c>
      <c r="M307" s="26">
        <f t="shared" si="13"/>
        <v>78.272727272727266</v>
      </c>
      <c r="N307" s="37">
        <f t="shared" si="14"/>
        <v>0.46997816593886466</v>
      </c>
    </row>
    <row r="308" spans="1:14" ht="21.95" customHeight="1" x14ac:dyDescent="0.2">
      <c r="A308" s="22" t="s">
        <v>614</v>
      </c>
      <c r="B308" s="22"/>
      <c r="C308" s="22"/>
      <c r="D308" s="22" t="s">
        <v>615</v>
      </c>
      <c r="E308" s="22"/>
      <c r="F308" s="7">
        <v>431.2</v>
      </c>
      <c r="G308" s="5">
        <v>616</v>
      </c>
      <c r="H308" s="10"/>
      <c r="I308" s="10"/>
      <c r="J308">
        <f>IFERROR(VLOOKUP(A308,[1]TDSheet!$A:$AV,6,0),0)</f>
        <v>14</v>
      </c>
      <c r="K308">
        <f>IFERROR(VLOOKUP(A308,[1]TDSheet!$A:$AV,7,0),0)</f>
        <v>20</v>
      </c>
      <c r="L308" s="26">
        <f t="shared" si="12"/>
        <v>0.63636363636363635</v>
      </c>
      <c r="M308" s="26">
        <f t="shared" si="13"/>
        <v>0.90909090909090906</v>
      </c>
      <c r="N308" s="37">
        <f t="shared" si="14"/>
        <v>3.2467532467532471E-2</v>
      </c>
    </row>
    <row r="309" spans="1:14" ht="21.95" customHeight="1" x14ac:dyDescent="0.2">
      <c r="A309" s="22" t="s">
        <v>616</v>
      </c>
      <c r="B309" s="22"/>
      <c r="C309" s="22"/>
      <c r="D309" s="22" t="s">
        <v>617</v>
      </c>
      <c r="E309" s="22"/>
      <c r="F309" s="7">
        <v>191.2</v>
      </c>
      <c r="G309" s="5">
        <v>239</v>
      </c>
      <c r="H309" s="10"/>
      <c r="I309" s="10"/>
      <c r="J309">
        <f>IFERROR(VLOOKUP(A309,[1]TDSheet!$A:$AV,6,0),0)</f>
        <v>48</v>
      </c>
      <c r="K309">
        <f>IFERROR(VLOOKUP(A309,[1]TDSheet!$A:$AV,7,0),0)</f>
        <v>60</v>
      </c>
      <c r="L309" s="26">
        <f t="shared" si="12"/>
        <v>2.1818181818181817</v>
      </c>
      <c r="M309" s="26">
        <f t="shared" si="13"/>
        <v>2.7272727272727271</v>
      </c>
      <c r="N309" s="37">
        <f t="shared" si="14"/>
        <v>0.2510460251046025</v>
      </c>
    </row>
    <row r="310" spans="1:14" ht="11.1" customHeight="1" x14ac:dyDescent="0.2">
      <c r="A310" s="22" t="s">
        <v>618</v>
      </c>
      <c r="B310" s="22"/>
      <c r="C310" s="22"/>
      <c r="D310" s="22" t="s">
        <v>619</v>
      </c>
      <c r="E310" s="22"/>
      <c r="F310" s="13">
        <v>713</v>
      </c>
      <c r="G310" s="5">
        <v>713</v>
      </c>
      <c r="H310" s="13">
        <v>6</v>
      </c>
      <c r="I310" s="5">
        <v>6</v>
      </c>
      <c r="J310">
        <f>IFERROR(VLOOKUP(A310,[1]TDSheet!$A:$AV,6,0),0)</f>
        <v>331</v>
      </c>
      <c r="K310">
        <f>IFERROR(VLOOKUP(A310,[1]TDSheet!$A:$AV,7,0),0)</f>
        <v>331</v>
      </c>
      <c r="L310" s="26">
        <f t="shared" si="12"/>
        <v>15.045454545454545</v>
      </c>
      <c r="M310" s="26">
        <f t="shared" si="13"/>
        <v>15.045454545454545</v>
      </c>
      <c r="N310" s="37">
        <f t="shared" si="14"/>
        <v>0.46423562412342217</v>
      </c>
    </row>
    <row r="311" spans="1:14" ht="21.95" customHeight="1" x14ac:dyDescent="0.2">
      <c r="A311" s="22" t="s">
        <v>620</v>
      </c>
      <c r="B311" s="22"/>
      <c r="C311" s="22"/>
      <c r="D311" s="22" t="s">
        <v>621</v>
      </c>
      <c r="E311" s="22"/>
      <c r="F311" s="7">
        <v>259.2</v>
      </c>
      <c r="G311" s="5">
        <v>288</v>
      </c>
      <c r="H311" s="10"/>
      <c r="I311" s="10"/>
      <c r="J311">
        <f>IFERROR(VLOOKUP(A311,[1]TDSheet!$A:$AV,6,0),0)</f>
        <v>81.900000000000006</v>
      </c>
      <c r="K311">
        <f>IFERROR(VLOOKUP(A311,[1]TDSheet!$A:$AV,7,0),0)</f>
        <v>91</v>
      </c>
      <c r="L311" s="26">
        <f t="shared" si="12"/>
        <v>3.7227272727272731</v>
      </c>
      <c r="M311" s="26">
        <f t="shared" si="13"/>
        <v>4.1363636363636367</v>
      </c>
      <c r="N311" s="37">
        <f t="shared" si="14"/>
        <v>0.31597222222222227</v>
      </c>
    </row>
    <row r="312" spans="1:14" ht="21.95" customHeight="1" x14ac:dyDescent="0.2">
      <c r="A312" s="22" t="s">
        <v>622</v>
      </c>
      <c r="B312" s="22"/>
      <c r="C312" s="22"/>
      <c r="D312" s="22" t="s">
        <v>623</v>
      </c>
      <c r="E312" s="22"/>
      <c r="F312" s="7">
        <v>157.5</v>
      </c>
      <c r="G312" s="5">
        <v>175</v>
      </c>
      <c r="H312" s="7">
        <v>1.8</v>
      </c>
      <c r="I312" s="5">
        <v>2</v>
      </c>
      <c r="J312">
        <f>IFERROR(VLOOKUP(A312,[1]TDSheet!$A:$AV,6,0),0)</f>
        <v>40.5</v>
      </c>
      <c r="K312">
        <f>IFERROR(VLOOKUP(A312,[1]TDSheet!$A:$AV,7,0),0)</f>
        <v>45</v>
      </c>
      <c r="L312" s="26">
        <f t="shared" si="12"/>
        <v>1.8409090909090908</v>
      </c>
      <c r="M312" s="26">
        <f t="shared" si="13"/>
        <v>2.0454545454545454</v>
      </c>
      <c r="N312" s="37">
        <f t="shared" si="14"/>
        <v>0.25714285714285712</v>
      </c>
    </row>
    <row r="313" spans="1:14" ht="11.1" customHeight="1" x14ac:dyDescent="0.2">
      <c r="A313" s="22" t="s">
        <v>624</v>
      </c>
      <c r="B313" s="22"/>
      <c r="C313" s="22"/>
      <c r="D313" s="22" t="s">
        <v>625</v>
      </c>
      <c r="E313" s="22"/>
      <c r="F313" s="13">
        <v>825</v>
      </c>
      <c r="G313" s="5">
        <v>825</v>
      </c>
      <c r="H313" s="10"/>
      <c r="I313" s="10"/>
      <c r="J313">
        <f>IFERROR(VLOOKUP(A313,[1]TDSheet!$A:$AV,6,0),0)</f>
        <v>195</v>
      </c>
      <c r="K313">
        <f>IFERROR(VLOOKUP(A313,[1]TDSheet!$A:$AV,7,0),0)</f>
        <v>195</v>
      </c>
      <c r="L313" s="26">
        <f t="shared" si="12"/>
        <v>8.8636363636363633</v>
      </c>
      <c r="M313" s="26">
        <f t="shared" si="13"/>
        <v>8.8636363636363633</v>
      </c>
      <c r="N313" s="37">
        <f t="shared" si="14"/>
        <v>0.23636363636363636</v>
      </c>
    </row>
    <row r="314" spans="1:14" ht="11.1" customHeight="1" x14ac:dyDescent="0.2">
      <c r="A314" s="22" t="s">
        <v>626</v>
      </c>
      <c r="B314" s="22"/>
      <c r="C314" s="22"/>
      <c r="D314" s="22" t="s">
        <v>627</v>
      </c>
      <c r="E314" s="22"/>
      <c r="F314" s="13">
        <v>223</v>
      </c>
      <c r="G314" s="5">
        <v>223</v>
      </c>
      <c r="H314" s="10"/>
      <c r="I314" s="10"/>
      <c r="J314">
        <f>IFERROR(VLOOKUP(A314,[1]TDSheet!$A:$AV,6,0),0)</f>
        <v>38</v>
      </c>
      <c r="K314">
        <f>IFERROR(VLOOKUP(A314,[1]TDSheet!$A:$AV,7,0),0)</f>
        <v>38</v>
      </c>
      <c r="L314" s="26">
        <f t="shared" si="12"/>
        <v>1.7272727272727273</v>
      </c>
      <c r="M314" s="26">
        <f t="shared" si="13"/>
        <v>1.7272727272727273</v>
      </c>
      <c r="N314" s="37">
        <f t="shared" si="14"/>
        <v>0.17040358744394618</v>
      </c>
    </row>
    <row r="315" spans="1:14" ht="11.1" customHeight="1" x14ac:dyDescent="0.2">
      <c r="A315" s="22" t="s">
        <v>628</v>
      </c>
      <c r="B315" s="22"/>
      <c r="C315" s="22"/>
      <c r="D315" s="22" t="s">
        <v>629</v>
      </c>
      <c r="E315" s="22"/>
      <c r="F315" s="7">
        <v>14.8</v>
      </c>
      <c r="G315" s="5">
        <v>14.8</v>
      </c>
      <c r="H315" s="10"/>
      <c r="I315" s="10"/>
      <c r="J315">
        <f>IFERROR(VLOOKUP(A315,[1]TDSheet!$A:$AV,6,0),0)</f>
        <v>7.4</v>
      </c>
      <c r="K315">
        <f>IFERROR(VLOOKUP(A315,[1]TDSheet!$A:$AV,7,0),0)</f>
        <v>7.4</v>
      </c>
      <c r="L315" s="26">
        <f t="shared" si="12"/>
        <v>0.33636363636363636</v>
      </c>
      <c r="M315" s="26">
        <f t="shared" si="13"/>
        <v>0.33636363636363636</v>
      </c>
      <c r="N315" s="37">
        <f t="shared" si="14"/>
        <v>0.5</v>
      </c>
    </row>
    <row r="316" spans="1:14" ht="21.95" customHeight="1" x14ac:dyDescent="0.2">
      <c r="A316" s="22" t="s">
        <v>630</v>
      </c>
      <c r="B316" s="22"/>
      <c r="C316" s="22"/>
      <c r="D316" s="22" t="s">
        <v>631</v>
      </c>
      <c r="E316" s="22"/>
      <c r="F316" s="10"/>
      <c r="G316" s="10"/>
      <c r="H316" s="7">
        <v>0.4</v>
      </c>
      <c r="I316" s="5">
        <v>1</v>
      </c>
      <c r="J316">
        <f>IFERROR(VLOOKUP(A316,[1]TDSheet!$A:$AV,6,0),0)</f>
        <v>-0.4</v>
      </c>
      <c r="K316">
        <f>IFERROR(VLOOKUP(A316,[1]TDSheet!$A:$AV,7,0),0)</f>
        <v>-1</v>
      </c>
      <c r="L316" s="26">
        <f t="shared" si="12"/>
        <v>-1.8181818181818184E-2</v>
      </c>
      <c r="M316" s="26">
        <f t="shared" si="13"/>
        <v>-4.5454545454545456E-2</v>
      </c>
      <c r="N316" s="37" t="e">
        <f t="shared" si="14"/>
        <v>#DIV/0!</v>
      </c>
    </row>
    <row r="317" spans="1:14" ht="11.1" customHeight="1" x14ac:dyDescent="0.2">
      <c r="A317" s="22" t="s">
        <v>632</v>
      </c>
      <c r="B317" s="22"/>
      <c r="C317" s="22"/>
      <c r="D317" s="22" t="s">
        <v>633</v>
      </c>
      <c r="E317" s="22"/>
      <c r="F317" s="9">
        <v>7.38</v>
      </c>
      <c r="G317" s="5">
        <v>41</v>
      </c>
      <c r="H317" s="10"/>
      <c r="I317" s="10"/>
      <c r="J317">
        <f>IFERROR(VLOOKUP(A317,[1]TDSheet!$A:$AV,6,0),0)</f>
        <v>0.9</v>
      </c>
      <c r="K317">
        <f>IFERROR(VLOOKUP(A317,[1]TDSheet!$A:$AV,7,0),0)</f>
        <v>5</v>
      </c>
      <c r="L317" s="26">
        <f t="shared" si="12"/>
        <v>4.0909090909090909E-2</v>
      </c>
      <c r="M317" s="26">
        <f t="shared" si="13"/>
        <v>0.22727272727272727</v>
      </c>
      <c r="N317" s="37">
        <f t="shared" si="14"/>
        <v>0.12195121951219513</v>
      </c>
    </row>
    <row r="318" spans="1:14" ht="11.1" customHeight="1" x14ac:dyDescent="0.2">
      <c r="A318" s="22" t="s">
        <v>634</v>
      </c>
      <c r="B318" s="22"/>
      <c r="C318" s="22"/>
      <c r="D318" s="22" t="s">
        <v>635</v>
      </c>
      <c r="E318" s="22"/>
      <c r="F318" s="7">
        <v>7.2</v>
      </c>
      <c r="G318" s="5">
        <v>18</v>
      </c>
      <c r="H318" s="10"/>
      <c r="I318" s="10"/>
      <c r="J318">
        <f>IFERROR(VLOOKUP(A318,[1]TDSheet!$A:$AV,6,0),0)</f>
        <v>1.6</v>
      </c>
      <c r="K318">
        <f>IFERROR(VLOOKUP(A318,[1]TDSheet!$A:$AV,7,0),0)</f>
        <v>4</v>
      </c>
      <c r="L318" s="26">
        <f t="shared" si="12"/>
        <v>7.2727272727272738E-2</v>
      </c>
      <c r="M318" s="26">
        <f t="shared" si="13"/>
        <v>0.18181818181818182</v>
      </c>
      <c r="N318" s="37">
        <f t="shared" si="14"/>
        <v>0.22222222222222224</v>
      </c>
    </row>
    <row r="319" spans="1:14" ht="11.1" customHeight="1" x14ac:dyDescent="0.2">
      <c r="A319" s="38" t="s">
        <v>636</v>
      </c>
      <c r="B319" s="38"/>
      <c r="C319" s="38"/>
      <c r="D319" s="38" t="s">
        <v>637</v>
      </c>
      <c r="E319" s="38"/>
      <c r="F319" s="39">
        <v>-1.8080000000000001</v>
      </c>
      <c r="G319" s="39">
        <v>-1.8080000000000001</v>
      </c>
      <c r="H319" s="39">
        <v>1.8080000000000001</v>
      </c>
      <c r="I319" s="39">
        <v>1.8080000000000001</v>
      </c>
      <c r="J319" s="40">
        <f>IFERROR(VLOOKUP(A319,[1]TDSheet!$A:$AV,6,0),0)</f>
        <v>0</v>
      </c>
      <c r="K319" s="40">
        <f>IFERROR(VLOOKUP(A319,[1]TDSheet!$A:$AV,7,0),0)</f>
        <v>0</v>
      </c>
      <c r="L319" s="41">
        <f t="shared" si="12"/>
        <v>0</v>
      </c>
      <c r="M319" s="41">
        <f t="shared" si="13"/>
        <v>0</v>
      </c>
      <c r="N319" s="42">
        <f t="shared" si="14"/>
        <v>0</v>
      </c>
    </row>
    <row r="320" spans="1:14" ht="11.1" customHeight="1" x14ac:dyDescent="0.2">
      <c r="A320" s="22" t="s">
        <v>638</v>
      </c>
      <c r="B320" s="22"/>
      <c r="C320" s="22"/>
      <c r="D320" s="22" t="s">
        <v>639</v>
      </c>
      <c r="E320" s="22"/>
      <c r="F320" s="9">
        <v>1.08</v>
      </c>
      <c r="G320" s="5">
        <v>6</v>
      </c>
      <c r="H320" s="9">
        <v>1.26</v>
      </c>
      <c r="I320" s="5">
        <v>7</v>
      </c>
      <c r="J320">
        <f>IFERROR(VLOOKUP(A320,[1]TDSheet!$A:$AV,6,0),0)</f>
        <v>1.26</v>
      </c>
      <c r="K320">
        <f>IFERROR(VLOOKUP(A320,[1]TDSheet!$A:$AV,7,0),0)</f>
        <v>7</v>
      </c>
      <c r="L320" s="26">
        <f t="shared" si="12"/>
        <v>5.7272727272727274E-2</v>
      </c>
      <c r="M320" s="26">
        <f t="shared" si="13"/>
        <v>0.31818181818181818</v>
      </c>
      <c r="N320" s="37">
        <f t="shared" si="14"/>
        <v>1.1666666666666665</v>
      </c>
    </row>
    <row r="321" spans="1:14" ht="11.1" customHeight="1" x14ac:dyDescent="0.2">
      <c r="A321" s="22" t="s">
        <v>640</v>
      </c>
      <c r="B321" s="22"/>
      <c r="C321" s="22"/>
      <c r="D321" s="22" t="s">
        <v>641</v>
      </c>
      <c r="E321" s="22"/>
      <c r="F321" s="7">
        <v>25.4</v>
      </c>
      <c r="G321" s="5">
        <v>254</v>
      </c>
      <c r="H321" s="7">
        <v>0.4</v>
      </c>
      <c r="I321" s="5">
        <v>4</v>
      </c>
      <c r="J321">
        <f>IFERROR(VLOOKUP(A321,[1]TDSheet!$A:$AV,6,0),0)</f>
        <v>12.1</v>
      </c>
      <c r="K321">
        <f>IFERROR(VLOOKUP(A321,[1]TDSheet!$A:$AV,7,0),0)</f>
        <v>121</v>
      </c>
      <c r="L321" s="26">
        <f t="shared" si="12"/>
        <v>0.54999999999999993</v>
      </c>
      <c r="M321" s="26">
        <f t="shared" si="13"/>
        <v>5.5</v>
      </c>
      <c r="N321" s="37">
        <f t="shared" si="14"/>
        <v>0.4763779527559055</v>
      </c>
    </row>
    <row r="322" spans="1:14" ht="11.1" customHeight="1" x14ac:dyDescent="0.2">
      <c r="A322" s="22" t="s">
        <v>642</v>
      </c>
      <c r="B322" s="22"/>
      <c r="C322" s="22"/>
      <c r="D322" s="22" t="s">
        <v>643</v>
      </c>
      <c r="E322" s="22"/>
      <c r="F322" s="7">
        <v>59.3</v>
      </c>
      <c r="G322" s="5">
        <v>593</v>
      </c>
      <c r="H322" s="7">
        <v>2.6</v>
      </c>
      <c r="I322" s="5">
        <v>26</v>
      </c>
      <c r="J322">
        <f>IFERROR(VLOOKUP(A322,[1]TDSheet!$A:$AV,6,0),0)</f>
        <v>21.9</v>
      </c>
      <c r="K322">
        <f>IFERROR(VLOOKUP(A322,[1]TDSheet!$A:$AV,7,0),0)</f>
        <v>219</v>
      </c>
      <c r="L322" s="26">
        <f t="shared" si="12"/>
        <v>0.99545454545454537</v>
      </c>
      <c r="M322" s="26">
        <f t="shared" si="13"/>
        <v>9.954545454545455</v>
      </c>
      <c r="N322" s="37">
        <f t="shared" si="14"/>
        <v>0.36930860033726814</v>
      </c>
    </row>
    <row r="323" spans="1:14" ht="11.1" customHeight="1" x14ac:dyDescent="0.2">
      <c r="A323" s="22" t="s">
        <v>644</v>
      </c>
      <c r="B323" s="22"/>
      <c r="C323" s="22"/>
      <c r="D323" s="22" t="s">
        <v>645</v>
      </c>
      <c r="E323" s="22"/>
      <c r="F323" s="7">
        <v>42.9</v>
      </c>
      <c r="G323" s="5">
        <v>429</v>
      </c>
      <c r="H323" s="7">
        <v>1.2</v>
      </c>
      <c r="I323" s="5">
        <v>12</v>
      </c>
      <c r="J323">
        <f>IFERROR(VLOOKUP(A323,[1]TDSheet!$A:$AV,6,0),0)</f>
        <v>16.399999999999999</v>
      </c>
      <c r="K323">
        <f>IFERROR(VLOOKUP(A323,[1]TDSheet!$A:$AV,7,0),0)</f>
        <v>164</v>
      </c>
      <c r="L323" s="26">
        <f t="shared" si="12"/>
        <v>0.74545454545454537</v>
      </c>
      <c r="M323" s="26">
        <f t="shared" si="13"/>
        <v>7.4545454545454541</v>
      </c>
      <c r="N323" s="37">
        <f t="shared" si="14"/>
        <v>0.38228438228438227</v>
      </c>
    </row>
    <row r="324" spans="1:14" ht="11.1" customHeight="1" x14ac:dyDescent="0.2">
      <c r="A324" s="22" t="s">
        <v>646</v>
      </c>
      <c r="B324" s="22"/>
      <c r="C324" s="22"/>
      <c r="D324" s="22" t="s">
        <v>647</v>
      </c>
      <c r="E324" s="22"/>
      <c r="F324" s="9">
        <v>-1.98</v>
      </c>
      <c r="G324" s="5">
        <v>-11</v>
      </c>
      <c r="H324" s="9">
        <v>2.52</v>
      </c>
      <c r="I324" s="5">
        <v>14</v>
      </c>
      <c r="J324">
        <f>IFERROR(VLOOKUP(A324,[1]TDSheet!$A:$AV,6,0),0)</f>
        <v>-0.18</v>
      </c>
      <c r="K324">
        <f>IFERROR(VLOOKUP(A324,[1]TDSheet!$A:$AV,7,0),0)</f>
        <v>-1</v>
      </c>
      <c r="L324" s="26">
        <f t="shared" si="12"/>
        <v>-8.1818181818181807E-3</v>
      </c>
      <c r="M324" s="26">
        <f t="shared" si="13"/>
        <v>-4.5454545454545456E-2</v>
      </c>
      <c r="N324" s="37">
        <f t="shared" si="14"/>
        <v>9.0909090909090912E-2</v>
      </c>
    </row>
    <row r="325" spans="1:14" ht="11.1" customHeight="1" x14ac:dyDescent="0.2">
      <c r="A325" s="22" t="s">
        <v>648</v>
      </c>
      <c r="B325" s="22"/>
      <c r="C325" s="22"/>
      <c r="D325" s="22" t="s">
        <v>649</v>
      </c>
      <c r="E325" s="22"/>
      <c r="F325" s="9">
        <v>131.04</v>
      </c>
      <c r="G325" s="5">
        <v>728</v>
      </c>
      <c r="H325" s="7">
        <v>3.6</v>
      </c>
      <c r="I325" s="5">
        <v>20</v>
      </c>
      <c r="J325">
        <f>IFERROR(VLOOKUP(A325,[1]TDSheet!$A:$AV,6,0),0)</f>
        <v>28.98</v>
      </c>
      <c r="K325">
        <f>IFERROR(VLOOKUP(A325,[1]TDSheet!$A:$AV,7,0),0)</f>
        <v>161</v>
      </c>
      <c r="L325" s="26">
        <f t="shared" si="12"/>
        <v>1.3172727272727274</v>
      </c>
      <c r="M325" s="26">
        <f t="shared" si="13"/>
        <v>7.3181818181818183</v>
      </c>
      <c r="N325" s="37">
        <f t="shared" si="14"/>
        <v>0.22115384615384617</v>
      </c>
    </row>
    <row r="326" spans="1:14" ht="11.1" customHeight="1" x14ac:dyDescent="0.2">
      <c r="A326" s="22" t="s">
        <v>650</v>
      </c>
      <c r="B326" s="22"/>
      <c r="C326" s="22"/>
      <c r="D326" s="22" t="s">
        <v>651</v>
      </c>
      <c r="E326" s="22"/>
      <c r="F326" s="9">
        <v>23.04</v>
      </c>
      <c r="G326" s="5">
        <v>128</v>
      </c>
      <c r="H326" s="9">
        <v>3.78</v>
      </c>
      <c r="I326" s="5">
        <v>21</v>
      </c>
      <c r="J326">
        <f>IFERROR(VLOOKUP(A326,[1]TDSheet!$A:$AV,6,0),0)</f>
        <v>2.16</v>
      </c>
      <c r="K326">
        <f>IFERROR(VLOOKUP(A326,[1]TDSheet!$A:$AV,7,0),0)</f>
        <v>12</v>
      </c>
      <c r="L326" s="26">
        <f t="shared" si="12"/>
        <v>9.818181818181819E-2</v>
      </c>
      <c r="M326" s="26">
        <f t="shared" si="13"/>
        <v>0.54545454545454541</v>
      </c>
      <c r="N326" s="37">
        <f t="shared" si="14"/>
        <v>9.3750000000000014E-2</v>
      </c>
    </row>
    <row r="327" spans="1:14" ht="11.1" customHeight="1" x14ac:dyDescent="0.2">
      <c r="A327" s="22" t="s">
        <v>652</v>
      </c>
      <c r="B327" s="22"/>
      <c r="C327" s="22"/>
      <c r="D327" s="22" t="s">
        <v>653</v>
      </c>
      <c r="E327" s="22"/>
      <c r="F327" s="9">
        <v>203.22</v>
      </c>
      <c r="G327" s="4">
        <v>1129</v>
      </c>
      <c r="H327" s="9">
        <v>5.76</v>
      </c>
      <c r="I327" s="5">
        <v>32</v>
      </c>
      <c r="J327">
        <f>IFERROR(VLOOKUP(A327,[1]TDSheet!$A:$AV,6,0),0)</f>
        <v>25.38</v>
      </c>
      <c r="K327">
        <f>IFERROR(VLOOKUP(A327,[1]TDSheet!$A:$AV,7,0),0)</f>
        <v>141</v>
      </c>
      <c r="L327" s="26">
        <f t="shared" si="12"/>
        <v>1.1536363636363636</v>
      </c>
      <c r="M327" s="26">
        <f t="shared" si="13"/>
        <v>6.4090909090909092</v>
      </c>
      <c r="N327" s="37">
        <f t="shared" si="14"/>
        <v>0.12488928255093003</v>
      </c>
    </row>
    <row r="328" spans="1:14" ht="21.95" customHeight="1" x14ac:dyDescent="0.2">
      <c r="A328" s="22" t="s">
        <v>654</v>
      </c>
      <c r="B328" s="22"/>
      <c r="C328" s="22"/>
      <c r="D328" s="22" t="s">
        <v>655</v>
      </c>
      <c r="E328" s="22"/>
      <c r="F328" s="9">
        <v>73.08</v>
      </c>
      <c r="G328" s="5">
        <v>406</v>
      </c>
      <c r="H328" s="9">
        <v>3.24</v>
      </c>
      <c r="I328" s="5">
        <v>18</v>
      </c>
      <c r="J328">
        <f>IFERROR(VLOOKUP(A328,[1]TDSheet!$A:$AV,6,0),0)</f>
        <v>13.86</v>
      </c>
      <c r="K328">
        <f>IFERROR(VLOOKUP(A328,[1]TDSheet!$A:$AV,7,0),0)</f>
        <v>77</v>
      </c>
      <c r="L328" s="26">
        <f t="shared" ref="L328:L363" si="15">J328/$L$2</f>
        <v>0.63</v>
      </c>
      <c r="M328" s="26">
        <f t="shared" ref="M328:M363" si="16">K328/$L$2</f>
        <v>3.5</v>
      </c>
      <c r="N328" s="37">
        <f t="shared" ref="N328:N363" si="17">IF(J328/F328&lt;0,0,J328/F328)</f>
        <v>0.18965517241379309</v>
      </c>
    </row>
    <row r="329" spans="1:14" ht="11.1" customHeight="1" x14ac:dyDescent="0.2">
      <c r="A329" s="22" t="s">
        <v>656</v>
      </c>
      <c r="B329" s="22"/>
      <c r="C329" s="22"/>
      <c r="D329" s="22" t="s">
        <v>657</v>
      </c>
      <c r="E329" s="22"/>
      <c r="F329" s="9">
        <v>66.06</v>
      </c>
      <c r="G329" s="5">
        <v>367</v>
      </c>
      <c r="H329" s="7">
        <v>0.9</v>
      </c>
      <c r="I329" s="5">
        <v>5</v>
      </c>
      <c r="J329">
        <f>IFERROR(VLOOKUP(A329,[1]TDSheet!$A:$AV,6,0),0)</f>
        <v>7.92</v>
      </c>
      <c r="K329">
        <f>IFERROR(VLOOKUP(A329,[1]TDSheet!$A:$AV,7,0),0)</f>
        <v>44</v>
      </c>
      <c r="L329" s="26">
        <f t="shared" si="15"/>
        <v>0.36</v>
      </c>
      <c r="M329" s="26">
        <f t="shared" si="16"/>
        <v>2</v>
      </c>
      <c r="N329" s="37">
        <f t="shared" si="17"/>
        <v>0.11989100817438691</v>
      </c>
    </row>
    <row r="330" spans="1:14" ht="21.95" customHeight="1" x14ac:dyDescent="0.2">
      <c r="A330" s="22" t="s">
        <v>658</v>
      </c>
      <c r="B330" s="22"/>
      <c r="C330" s="22"/>
      <c r="D330" s="22" t="s">
        <v>659</v>
      </c>
      <c r="E330" s="22"/>
      <c r="F330" s="9">
        <v>25.74</v>
      </c>
      <c r="G330" s="5">
        <v>25.74</v>
      </c>
      <c r="H330" s="5">
        <v>3.2160000000000002</v>
      </c>
      <c r="I330" s="5">
        <v>3.2160000000000002</v>
      </c>
      <c r="J330">
        <f>IFERROR(VLOOKUP(A330,[1]TDSheet!$A:$AV,6,0),0)</f>
        <v>10.11</v>
      </c>
      <c r="K330">
        <f>IFERROR(VLOOKUP(A330,[1]TDSheet!$A:$AV,7,0),0)</f>
        <v>10.11</v>
      </c>
      <c r="L330" s="26">
        <f t="shared" si="15"/>
        <v>0.45954545454545453</v>
      </c>
      <c r="M330" s="26">
        <f t="shared" si="16"/>
        <v>0.45954545454545453</v>
      </c>
      <c r="N330" s="37">
        <f t="shared" si="17"/>
        <v>0.3927738927738928</v>
      </c>
    </row>
    <row r="331" spans="1:14" ht="21.95" customHeight="1" x14ac:dyDescent="0.2">
      <c r="A331" s="22" t="s">
        <v>660</v>
      </c>
      <c r="B331" s="22"/>
      <c r="C331" s="22"/>
      <c r="D331" s="22" t="s">
        <v>661</v>
      </c>
      <c r="E331" s="22"/>
      <c r="F331" s="9">
        <v>97.31</v>
      </c>
      <c r="G331" s="5">
        <v>97.31</v>
      </c>
      <c r="H331" s="10"/>
      <c r="I331" s="10"/>
      <c r="J331">
        <f>IFERROR(VLOOKUP(A331,[1]TDSheet!$A:$AV,6,0),0)</f>
        <v>46.445999999999998</v>
      </c>
      <c r="K331">
        <f>IFERROR(VLOOKUP(A331,[1]TDSheet!$A:$AV,7,0),0)</f>
        <v>46.445999999999998</v>
      </c>
      <c r="L331" s="26">
        <f t="shared" si="15"/>
        <v>2.111181818181818</v>
      </c>
      <c r="M331" s="26">
        <f t="shared" si="16"/>
        <v>2.111181818181818</v>
      </c>
      <c r="N331" s="37">
        <f t="shared" si="17"/>
        <v>0.47729935258452366</v>
      </c>
    </row>
    <row r="332" spans="1:14" ht="11.1" customHeight="1" x14ac:dyDescent="0.2">
      <c r="A332" s="22" t="s">
        <v>662</v>
      </c>
      <c r="B332" s="22"/>
      <c r="C332" s="22"/>
      <c r="D332" s="22" t="s">
        <v>663</v>
      </c>
      <c r="E332" s="22"/>
      <c r="F332" s="5">
        <v>11.044</v>
      </c>
      <c r="G332" s="5">
        <v>11.044</v>
      </c>
      <c r="H332" s="10"/>
      <c r="I332" s="10"/>
      <c r="J332">
        <f>IFERROR(VLOOKUP(A332,[1]TDSheet!$A:$AV,6,0),0)</f>
        <v>11.044</v>
      </c>
      <c r="K332">
        <f>IFERROR(VLOOKUP(A332,[1]TDSheet!$A:$AV,7,0),0)</f>
        <v>11.044</v>
      </c>
      <c r="L332" s="26">
        <f t="shared" si="15"/>
        <v>0.502</v>
      </c>
      <c r="M332" s="26">
        <f t="shared" si="16"/>
        <v>0.502</v>
      </c>
      <c r="N332" s="37">
        <f t="shared" si="17"/>
        <v>1</v>
      </c>
    </row>
    <row r="333" spans="1:14" ht="21.95" customHeight="1" x14ac:dyDescent="0.2">
      <c r="A333" s="22" t="s">
        <v>664</v>
      </c>
      <c r="B333" s="22"/>
      <c r="C333" s="22"/>
      <c r="D333" s="22" t="s">
        <v>665</v>
      </c>
      <c r="E333" s="22"/>
      <c r="F333" s="5">
        <v>237.47200000000001</v>
      </c>
      <c r="G333" s="5">
        <v>237.47200000000001</v>
      </c>
      <c r="H333" s="9">
        <v>1.62</v>
      </c>
      <c r="I333" s="5">
        <v>1.62</v>
      </c>
      <c r="J333">
        <f>IFERROR(VLOOKUP(A333,[1]TDSheet!$A:$AV,6,0),0)</f>
        <v>87.372</v>
      </c>
      <c r="K333">
        <f>IFERROR(VLOOKUP(A333,[1]TDSheet!$A:$AV,7,0),0)</f>
        <v>87.372</v>
      </c>
      <c r="L333" s="26">
        <f t="shared" si="15"/>
        <v>3.9714545454545456</v>
      </c>
      <c r="M333" s="26">
        <f t="shared" si="16"/>
        <v>3.9714545454545456</v>
      </c>
      <c r="N333" s="37">
        <f t="shared" si="17"/>
        <v>0.36792548174100526</v>
      </c>
    </row>
    <row r="334" spans="1:14" ht="21.95" customHeight="1" x14ac:dyDescent="0.2">
      <c r="A334" s="22" t="s">
        <v>666</v>
      </c>
      <c r="B334" s="22"/>
      <c r="C334" s="22"/>
      <c r="D334" s="22" t="s">
        <v>667</v>
      </c>
      <c r="E334" s="22"/>
      <c r="F334" s="5">
        <v>22.216000000000001</v>
      </c>
      <c r="G334" s="5">
        <v>22.216000000000001</v>
      </c>
      <c r="H334" s="10"/>
      <c r="I334" s="10"/>
      <c r="J334">
        <f>IFERROR(VLOOKUP(A334,[1]TDSheet!$A:$AV,6,0),0)</f>
        <v>6.04</v>
      </c>
      <c r="K334">
        <f>IFERROR(VLOOKUP(A334,[1]TDSheet!$A:$AV,7,0),0)</f>
        <v>6.04</v>
      </c>
      <c r="L334" s="26">
        <f t="shared" si="15"/>
        <v>0.27454545454545454</v>
      </c>
      <c r="M334" s="26">
        <f t="shared" si="16"/>
        <v>0.27454545454545454</v>
      </c>
      <c r="N334" s="37">
        <f t="shared" si="17"/>
        <v>0.2718761253150882</v>
      </c>
    </row>
    <row r="335" spans="1:14" ht="11.1" customHeight="1" x14ac:dyDescent="0.2">
      <c r="A335" s="22" t="s">
        <v>668</v>
      </c>
      <c r="B335" s="22"/>
      <c r="C335" s="22"/>
      <c r="D335" s="22" t="s">
        <v>669</v>
      </c>
      <c r="E335" s="22"/>
      <c r="F335" s="7">
        <v>67.099999999999994</v>
      </c>
      <c r="G335" s="5">
        <v>671</v>
      </c>
      <c r="H335" s="7">
        <v>2.7</v>
      </c>
      <c r="I335" s="5">
        <v>27</v>
      </c>
      <c r="J335">
        <f>IFERROR(VLOOKUP(A335,[1]TDSheet!$A:$AV,6,0),0)</f>
        <v>23.9</v>
      </c>
      <c r="K335">
        <f>IFERROR(VLOOKUP(A335,[1]TDSheet!$A:$AV,7,0),0)</f>
        <v>239</v>
      </c>
      <c r="L335" s="26">
        <f t="shared" si="15"/>
        <v>1.0863636363636362</v>
      </c>
      <c r="M335" s="26">
        <f t="shared" si="16"/>
        <v>10.863636363636363</v>
      </c>
      <c r="N335" s="37">
        <f t="shared" si="17"/>
        <v>0.35618479880774961</v>
      </c>
    </row>
    <row r="336" spans="1:14" ht="11.1" customHeight="1" x14ac:dyDescent="0.2">
      <c r="A336" s="22" t="s">
        <v>670</v>
      </c>
      <c r="B336" s="22"/>
      <c r="C336" s="22"/>
      <c r="D336" s="22" t="s">
        <v>671</v>
      </c>
      <c r="E336" s="22"/>
      <c r="F336" s="13">
        <v>74</v>
      </c>
      <c r="G336" s="5">
        <v>740</v>
      </c>
      <c r="H336" s="7">
        <v>1.6</v>
      </c>
      <c r="I336" s="5">
        <v>16</v>
      </c>
      <c r="J336">
        <f>IFERROR(VLOOKUP(A336,[1]TDSheet!$A:$AV,6,0),0)</f>
        <v>28.8</v>
      </c>
      <c r="K336">
        <f>IFERROR(VLOOKUP(A336,[1]TDSheet!$A:$AV,7,0),0)</f>
        <v>288</v>
      </c>
      <c r="L336" s="26">
        <f t="shared" si="15"/>
        <v>1.3090909090909091</v>
      </c>
      <c r="M336" s="26">
        <f t="shared" si="16"/>
        <v>13.090909090909092</v>
      </c>
      <c r="N336" s="37">
        <f t="shared" si="17"/>
        <v>0.38918918918918921</v>
      </c>
    </row>
    <row r="337" spans="1:14" ht="11.1" customHeight="1" x14ac:dyDescent="0.2">
      <c r="A337" s="22" t="s">
        <v>672</v>
      </c>
      <c r="B337" s="22"/>
      <c r="C337" s="22"/>
      <c r="D337" s="22" t="s">
        <v>673</v>
      </c>
      <c r="E337" s="22"/>
      <c r="F337" s="7">
        <v>1.8</v>
      </c>
      <c r="G337" s="5">
        <v>18</v>
      </c>
      <c r="H337" s="7">
        <v>0.7</v>
      </c>
      <c r="I337" s="5">
        <v>7</v>
      </c>
      <c r="J337">
        <f>IFERROR(VLOOKUP(A337,[1]TDSheet!$A:$AV,6,0),0)</f>
        <v>0.5</v>
      </c>
      <c r="K337">
        <f>IFERROR(VLOOKUP(A337,[1]TDSheet!$A:$AV,7,0),0)</f>
        <v>5</v>
      </c>
      <c r="L337" s="26">
        <f t="shared" si="15"/>
        <v>2.2727272727272728E-2</v>
      </c>
      <c r="M337" s="26">
        <f t="shared" si="16"/>
        <v>0.22727272727272727</v>
      </c>
      <c r="N337" s="37">
        <f t="shared" si="17"/>
        <v>0.27777777777777779</v>
      </c>
    </row>
    <row r="338" spans="1:14" ht="11.1" customHeight="1" x14ac:dyDescent="0.2">
      <c r="A338" s="22" t="s">
        <v>674</v>
      </c>
      <c r="B338" s="22"/>
      <c r="C338" s="22"/>
      <c r="D338" s="22" t="s">
        <v>675</v>
      </c>
      <c r="E338" s="22"/>
      <c r="F338" s="9">
        <v>12.04</v>
      </c>
      <c r="G338" s="5">
        <v>86</v>
      </c>
      <c r="H338" s="9">
        <v>0.14000000000000001</v>
      </c>
      <c r="I338" s="5">
        <v>1</v>
      </c>
      <c r="J338">
        <f>IFERROR(VLOOKUP(A338,[1]TDSheet!$A:$AV,6,0),0)</f>
        <v>1.82</v>
      </c>
      <c r="K338">
        <f>IFERROR(VLOOKUP(A338,[1]TDSheet!$A:$AV,7,0),0)</f>
        <v>13</v>
      </c>
      <c r="L338" s="26">
        <f t="shared" si="15"/>
        <v>8.2727272727272733E-2</v>
      </c>
      <c r="M338" s="26">
        <f t="shared" si="16"/>
        <v>0.59090909090909094</v>
      </c>
      <c r="N338" s="37">
        <f t="shared" si="17"/>
        <v>0.15116279069767444</v>
      </c>
    </row>
    <row r="339" spans="1:14" ht="11.1" customHeight="1" x14ac:dyDescent="0.2">
      <c r="A339" s="22" t="s">
        <v>676</v>
      </c>
      <c r="B339" s="22"/>
      <c r="C339" s="22"/>
      <c r="D339" s="22" t="s">
        <v>677</v>
      </c>
      <c r="E339" s="22"/>
      <c r="F339" s="9">
        <v>20.72</v>
      </c>
      <c r="G339" s="5">
        <v>148</v>
      </c>
      <c r="H339" s="9">
        <v>1.1200000000000001</v>
      </c>
      <c r="I339" s="5">
        <v>8</v>
      </c>
      <c r="J339">
        <f>IFERROR(VLOOKUP(A339,[1]TDSheet!$A:$AV,6,0),0)</f>
        <v>2.38</v>
      </c>
      <c r="K339">
        <f>IFERROR(VLOOKUP(A339,[1]TDSheet!$A:$AV,7,0),0)</f>
        <v>17</v>
      </c>
      <c r="L339" s="26">
        <f t="shared" si="15"/>
        <v>0.10818181818181817</v>
      </c>
      <c r="M339" s="26">
        <f t="shared" si="16"/>
        <v>0.77272727272727271</v>
      </c>
      <c r="N339" s="37">
        <f t="shared" si="17"/>
        <v>0.11486486486486487</v>
      </c>
    </row>
    <row r="340" spans="1:14" ht="11.1" customHeight="1" x14ac:dyDescent="0.2">
      <c r="A340" s="22" t="s">
        <v>678</v>
      </c>
      <c r="B340" s="22"/>
      <c r="C340" s="22"/>
      <c r="D340" s="22" t="s">
        <v>679</v>
      </c>
      <c r="E340" s="22"/>
      <c r="F340" s="7">
        <v>19.600000000000001</v>
      </c>
      <c r="G340" s="5">
        <v>98</v>
      </c>
      <c r="H340" s="7">
        <v>0.2</v>
      </c>
      <c r="I340" s="5">
        <v>1</v>
      </c>
      <c r="J340">
        <f>IFERROR(VLOOKUP(A340,[1]TDSheet!$A:$AV,6,0),0)</f>
        <v>0.8</v>
      </c>
      <c r="K340">
        <f>IFERROR(VLOOKUP(A340,[1]TDSheet!$A:$AV,7,0),0)</f>
        <v>4</v>
      </c>
      <c r="L340" s="26">
        <f t="shared" si="15"/>
        <v>3.6363636363636369E-2</v>
      </c>
      <c r="M340" s="26">
        <f t="shared" si="16"/>
        <v>0.18181818181818182</v>
      </c>
      <c r="N340" s="37">
        <f t="shared" si="17"/>
        <v>4.0816326530612242E-2</v>
      </c>
    </row>
    <row r="341" spans="1:14" ht="11.1" customHeight="1" x14ac:dyDescent="0.2">
      <c r="A341" s="22" t="s">
        <v>680</v>
      </c>
      <c r="B341" s="22"/>
      <c r="C341" s="22"/>
      <c r="D341" s="22" t="s">
        <v>681</v>
      </c>
      <c r="E341" s="22"/>
      <c r="F341" s="9">
        <v>39.72</v>
      </c>
      <c r="G341" s="5">
        <v>39.72</v>
      </c>
      <c r="H341" s="10"/>
      <c r="I341" s="10"/>
      <c r="J341">
        <f>IFERROR(VLOOKUP(A341,[1]TDSheet!$A:$AV,6,0),0)</f>
        <v>17.059999999999999</v>
      </c>
      <c r="K341">
        <f>IFERROR(VLOOKUP(A341,[1]TDSheet!$A:$AV,7,0),0)</f>
        <v>17.059999999999999</v>
      </c>
      <c r="L341" s="26">
        <f t="shared" si="15"/>
        <v>0.7754545454545454</v>
      </c>
      <c r="M341" s="26">
        <f t="shared" si="16"/>
        <v>0.7754545454545454</v>
      </c>
      <c r="N341" s="37">
        <f t="shared" si="17"/>
        <v>0.42950654582074521</v>
      </c>
    </row>
    <row r="342" spans="1:14" ht="11.1" customHeight="1" x14ac:dyDescent="0.2">
      <c r="A342" s="22" t="s">
        <v>682</v>
      </c>
      <c r="B342" s="22"/>
      <c r="C342" s="22"/>
      <c r="D342" s="22" t="s">
        <v>683</v>
      </c>
      <c r="E342" s="22"/>
      <c r="F342" s="7">
        <v>18.2</v>
      </c>
      <c r="G342" s="5">
        <v>91</v>
      </c>
      <c r="H342" s="7">
        <v>0.2</v>
      </c>
      <c r="I342" s="5">
        <v>1</v>
      </c>
      <c r="J342">
        <f>IFERROR(VLOOKUP(A342,[1]TDSheet!$A:$AV,6,0),0)</f>
        <v>1.4</v>
      </c>
      <c r="K342">
        <f>IFERROR(VLOOKUP(A342,[1]TDSheet!$A:$AV,7,0),0)</f>
        <v>7</v>
      </c>
      <c r="L342" s="26">
        <f t="shared" si="15"/>
        <v>6.363636363636363E-2</v>
      </c>
      <c r="M342" s="26">
        <f t="shared" si="16"/>
        <v>0.31818181818181818</v>
      </c>
      <c r="N342" s="37">
        <f t="shared" si="17"/>
        <v>7.6923076923076927E-2</v>
      </c>
    </row>
    <row r="343" spans="1:14" ht="11.1" customHeight="1" x14ac:dyDescent="0.2">
      <c r="A343" s="38" t="s">
        <v>684</v>
      </c>
      <c r="B343" s="38"/>
      <c r="C343" s="38"/>
      <c r="D343" s="38" t="s">
        <v>685</v>
      </c>
      <c r="E343" s="38"/>
      <c r="F343" s="44">
        <v>3.8</v>
      </c>
      <c r="G343" s="39">
        <v>19</v>
      </c>
      <c r="H343" s="45"/>
      <c r="I343" s="45"/>
      <c r="J343" s="40">
        <f>IFERROR(VLOOKUP(A343,[1]TDSheet!$A:$AV,6,0),0)</f>
        <v>0</v>
      </c>
      <c r="K343" s="40">
        <f>IFERROR(VLOOKUP(A343,[1]TDSheet!$A:$AV,7,0),0)</f>
        <v>0</v>
      </c>
      <c r="L343" s="41">
        <f t="shared" si="15"/>
        <v>0</v>
      </c>
      <c r="M343" s="41">
        <f t="shared" si="16"/>
        <v>0</v>
      </c>
      <c r="N343" s="42">
        <f t="shared" si="17"/>
        <v>0</v>
      </c>
    </row>
    <row r="344" spans="1:14" ht="11.1" customHeight="1" x14ac:dyDescent="0.2">
      <c r="A344" s="38" t="s">
        <v>686</v>
      </c>
      <c r="B344" s="38"/>
      <c r="C344" s="38"/>
      <c r="D344" s="38" t="s">
        <v>687</v>
      </c>
      <c r="E344" s="38"/>
      <c r="F344" s="39">
        <v>3.6240000000000001</v>
      </c>
      <c r="G344" s="39">
        <v>3.6240000000000001</v>
      </c>
      <c r="H344" s="45"/>
      <c r="I344" s="45"/>
      <c r="J344" s="40">
        <f>IFERROR(VLOOKUP(A344,[1]TDSheet!$A:$AV,6,0),0)</f>
        <v>0</v>
      </c>
      <c r="K344" s="40">
        <f>IFERROR(VLOOKUP(A344,[1]TDSheet!$A:$AV,7,0),0)</f>
        <v>0</v>
      </c>
      <c r="L344" s="41">
        <f t="shared" si="15"/>
        <v>0</v>
      </c>
      <c r="M344" s="41">
        <f t="shared" si="16"/>
        <v>0</v>
      </c>
      <c r="N344" s="42">
        <f t="shared" si="17"/>
        <v>0</v>
      </c>
    </row>
    <row r="345" spans="1:14" ht="21.95" customHeight="1" x14ac:dyDescent="0.2">
      <c r="A345" s="22" t="s">
        <v>688</v>
      </c>
      <c r="B345" s="22"/>
      <c r="C345" s="22"/>
      <c r="D345" s="22" t="s">
        <v>689</v>
      </c>
      <c r="E345" s="22"/>
      <c r="F345" s="5">
        <v>159.73400000000001</v>
      </c>
      <c r="G345" s="5">
        <v>159.73400000000001</v>
      </c>
      <c r="H345" s="9">
        <v>4.26</v>
      </c>
      <c r="I345" s="5">
        <v>4.26</v>
      </c>
      <c r="J345">
        <f>IFERROR(VLOOKUP(A345,[1]TDSheet!$A:$AV,6,0),0)</f>
        <v>21.097999999999999</v>
      </c>
      <c r="K345">
        <f>IFERROR(VLOOKUP(A345,[1]TDSheet!$A:$AV,7,0),0)</f>
        <v>21.097999999999999</v>
      </c>
      <c r="L345" s="26">
        <f t="shared" si="15"/>
        <v>0.95899999999999996</v>
      </c>
      <c r="M345" s="26">
        <f t="shared" si="16"/>
        <v>0.95899999999999996</v>
      </c>
      <c r="N345" s="37">
        <f t="shared" si="17"/>
        <v>0.1320820864687543</v>
      </c>
    </row>
    <row r="346" spans="1:14" ht="11.1" customHeight="1" x14ac:dyDescent="0.2">
      <c r="A346" s="22" t="s">
        <v>690</v>
      </c>
      <c r="B346" s="22"/>
      <c r="C346" s="22"/>
      <c r="D346" s="22" t="s">
        <v>691</v>
      </c>
      <c r="E346" s="22"/>
      <c r="F346" s="9">
        <v>35.19</v>
      </c>
      <c r="G346" s="5">
        <v>153</v>
      </c>
      <c r="H346" s="10"/>
      <c r="I346" s="10"/>
      <c r="J346">
        <f>IFERROR(VLOOKUP(A346,[1]TDSheet!$A:$AV,6,0),0)</f>
        <v>30.59</v>
      </c>
      <c r="K346">
        <f>IFERROR(VLOOKUP(A346,[1]TDSheet!$A:$AV,7,0),0)</f>
        <v>133</v>
      </c>
      <c r="L346" s="26">
        <f t="shared" si="15"/>
        <v>1.3904545454545454</v>
      </c>
      <c r="M346" s="26">
        <f t="shared" si="16"/>
        <v>6.0454545454545459</v>
      </c>
      <c r="N346" s="37">
        <f t="shared" si="17"/>
        <v>0.86928104575163401</v>
      </c>
    </row>
    <row r="347" spans="1:14" ht="11.1" customHeight="1" x14ac:dyDescent="0.2">
      <c r="A347" s="22" t="s">
        <v>692</v>
      </c>
      <c r="B347" s="22"/>
      <c r="C347" s="22"/>
      <c r="D347" s="22" t="s">
        <v>693</v>
      </c>
      <c r="E347" s="22"/>
      <c r="F347" s="7">
        <v>273.5</v>
      </c>
      <c r="G347" s="4">
        <v>1094</v>
      </c>
      <c r="H347" s="10"/>
      <c r="I347" s="10"/>
      <c r="J347">
        <f>IFERROR(VLOOKUP(A347,[1]TDSheet!$A:$AV,6,0),0)</f>
        <v>181.25</v>
      </c>
      <c r="K347">
        <f>IFERROR(VLOOKUP(A347,[1]TDSheet!$A:$AV,7,0),0)</f>
        <v>725</v>
      </c>
      <c r="L347" s="26">
        <f t="shared" si="15"/>
        <v>8.2386363636363633</v>
      </c>
      <c r="M347" s="26">
        <f t="shared" si="16"/>
        <v>32.954545454545453</v>
      </c>
      <c r="N347" s="37">
        <f t="shared" si="17"/>
        <v>0.66270566727605118</v>
      </c>
    </row>
    <row r="348" spans="1:14" ht="11.1" customHeight="1" x14ac:dyDescent="0.2">
      <c r="A348" s="22" t="s">
        <v>694</v>
      </c>
      <c r="B348" s="22"/>
      <c r="C348" s="22"/>
      <c r="D348" s="22" t="s">
        <v>695</v>
      </c>
      <c r="E348" s="22"/>
      <c r="F348" s="9">
        <v>494.25</v>
      </c>
      <c r="G348" s="4">
        <v>1977</v>
      </c>
      <c r="H348" s="13">
        <v>15</v>
      </c>
      <c r="I348" s="5">
        <v>60</v>
      </c>
      <c r="J348">
        <f>IFERROR(VLOOKUP(A348,[1]TDSheet!$A:$AV,6,0),0)</f>
        <v>288</v>
      </c>
      <c r="K348">
        <f>IFERROR(VLOOKUP(A348,[1]TDSheet!$A:$AV,7,0),0)</f>
        <v>1152</v>
      </c>
      <c r="L348" s="26">
        <f t="shared" si="15"/>
        <v>13.090909090909092</v>
      </c>
      <c r="M348" s="26">
        <f t="shared" si="16"/>
        <v>52.363636363636367</v>
      </c>
      <c r="N348" s="37">
        <f t="shared" si="17"/>
        <v>0.58270106221547802</v>
      </c>
    </row>
    <row r="349" spans="1:14" ht="11.1" customHeight="1" x14ac:dyDescent="0.2">
      <c r="A349" s="22" t="s">
        <v>696</v>
      </c>
      <c r="B349" s="22"/>
      <c r="C349" s="22"/>
      <c r="D349" s="22" t="s">
        <v>697</v>
      </c>
      <c r="E349" s="22"/>
      <c r="F349" s="7">
        <v>5.4</v>
      </c>
      <c r="G349" s="5">
        <v>30</v>
      </c>
      <c r="H349" s="10"/>
      <c r="I349" s="10"/>
      <c r="J349">
        <f>IFERROR(VLOOKUP(A349,[1]TDSheet!$A:$AV,6,0),0)</f>
        <v>4.1399999999999997</v>
      </c>
      <c r="K349">
        <f>IFERROR(VLOOKUP(A349,[1]TDSheet!$A:$AV,7,0),0)</f>
        <v>23</v>
      </c>
      <c r="L349" s="26">
        <f t="shared" si="15"/>
        <v>0.18818181818181817</v>
      </c>
      <c r="M349" s="26">
        <f t="shared" si="16"/>
        <v>1.0454545454545454</v>
      </c>
      <c r="N349" s="37">
        <f t="shared" si="17"/>
        <v>0.76666666666666661</v>
      </c>
    </row>
    <row r="350" spans="1:14" ht="11.1" customHeight="1" x14ac:dyDescent="0.2">
      <c r="A350" s="22" t="s">
        <v>698</v>
      </c>
      <c r="B350" s="22"/>
      <c r="C350" s="22"/>
      <c r="D350" s="22" t="s">
        <v>699</v>
      </c>
      <c r="E350" s="22"/>
      <c r="F350" s="9">
        <v>3.42</v>
      </c>
      <c r="G350" s="5">
        <v>19</v>
      </c>
      <c r="H350" s="10"/>
      <c r="I350" s="10"/>
      <c r="J350">
        <f>IFERROR(VLOOKUP(A350,[1]TDSheet!$A:$AV,6,0),0)</f>
        <v>1.98</v>
      </c>
      <c r="K350">
        <f>IFERROR(VLOOKUP(A350,[1]TDSheet!$A:$AV,7,0),0)</f>
        <v>11</v>
      </c>
      <c r="L350" s="26">
        <f t="shared" si="15"/>
        <v>0.09</v>
      </c>
      <c r="M350" s="26">
        <f t="shared" si="16"/>
        <v>0.5</v>
      </c>
      <c r="N350" s="37">
        <f t="shared" si="17"/>
        <v>0.57894736842105265</v>
      </c>
    </row>
    <row r="351" spans="1:14" ht="11.1" customHeight="1" x14ac:dyDescent="0.2">
      <c r="A351" s="22" t="s">
        <v>700</v>
      </c>
      <c r="B351" s="22"/>
      <c r="C351" s="22"/>
      <c r="D351" s="22" t="s">
        <v>701</v>
      </c>
      <c r="E351" s="22"/>
      <c r="F351" s="9">
        <v>3.42</v>
      </c>
      <c r="G351" s="5">
        <v>19</v>
      </c>
      <c r="H351" s="10"/>
      <c r="I351" s="10"/>
      <c r="J351">
        <f>IFERROR(VLOOKUP(A351,[1]TDSheet!$A:$AV,6,0),0)</f>
        <v>2.16</v>
      </c>
      <c r="K351">
        <f>IFERROR(VLOOKUP(A351,[1]TDSheet!$A:$AV,7,0),0)</f>
        <v>12</v>
      </c>
      <c r="L351" s="26">
        <f t="shared" si="15"/>
        <v>9.818181818181819E-2</v>
      </c>
      <c r="M351" s="26">
        <f t="shared" si="16"/>
        <v>0.54545454545454541</v>
      </c>
      <c r="N351" s="37">
        <f t="shared" si="17"/>
        <v>0.63157894736842113</v>
      </c>
    </row>
    <row r="352" spans="1:14" ht="11.1" customHeight="1" x14ac:dyDescent="0.2">
      <c r="A352" s="22" t="s">
        <v>702</v>
      </c>
      <c r="B352" s="22"/>
      <c r="C352" s="22"/>
      <c r="D352" s="22" t="s">
        <v>703</v>
      </c>
      <c r="E352" s="22"/>
      <c r="F352" s="7">
        <v>454.5</v>
      </c>
      <c r="G352" s="4">
        <v>1515</v>
      </c>
      <c r="H352" s="10"/>
      <c r="I352" s="10"/>
      <c r="J352">
        <f>IFERROR(VLOOKUP(A352,[1]TDSheet!$A:$AV,6,0),0)</f>
        <v>135</v>
      </c>
      <c r="K352">
        <f>IFERROR(VLOOKUP(A352,[1]TDSheet!$A:$AV,7,0),0)</f>
        <v>450</v>
      </c>
      <c r="L352" s="26">
        <f t="shared" si="15"/>
        <v>6.1363636363636367</v>
      </c>
      <c r="M352" s="26">
        <f t="shared" si="16"/>
        <v>20.454545454545453</v>
      </c>
      <c r="N352" s="37">
        <f t="shared" si="17"/>
        <v>0.29702970297029702</v>
      </c>
    </row>
    <row r="353" spans="1:14" ht="11.1" customHeight="1" x14ac:dyDescent="0.2">
      <c r="A353" s="22" t="s">
        <v>704</v>
      </c>
      <c r="B353" s="22"/>
      <c r="C353" s="22"/>
      <c r="D353" s="22" t="s">
        <v>705</v>
      </c>
      <c r="E353" s="22"/>
      <c r="F353" s="7">
        <v>515.70000000000005</v>
      </c>
      <c r="G353" s="4">
        <v>1719</v>
      </c>
      <c r="H353" s="10"/>
      <c r="I353" s="10"/>
      <c r="J353">
        <f>IFERROR(VLOOKUP(A353,[1]TDSheet!$A:$AV,6,0),0)</f>
        <v>180.9</v>
      </c>
      <c r="K353">
        <f>IFERROR(VLOOKUP(A353,[1]TDSheet!$A:$AV,7,0),0)</f>
        <v>603</v>
      </c>
      <c r="L353" s="26">
        <f t="shared" si="15"/>
        <v>8.2227272727272727</v>
      </c>
      <c r="M353" s="26">
        <f t="shared" si="16"/>
        <v>27.40909090909091</v>
      </c>
      <c r="N353" s="37">
        <f t="shared" si="17"/>
        <v>0.35078534031413611</v>
      </c>
    </row>
    <row r="354" spans="1:14" ht="21.95" customHeight="1" x14ac:dyDescent="0.2">
      <c r="A354" s="22" t="s">
        <v>706</v>
      </c>
      <c r="B354" s="22"/>
      <c r="C354" s="22"/>
      <c r="D354" s="22" t="s">
        <v>707</v>
      </c>
      <c r="E354" s="22"/>
      <c r="F354" s="7">
        <v>214.5</v>
      </c>
      <c r="G354" s="5">
        <v>715</v>
      </c>
      <c r="H354" s="7">
        <v>0.3</v>
      </c>
      <c r="I354" s="5">
        <v>1</v>
      </c>
      <c r="J354">
        <f>IFERROR(VLOOKUP(A354,[1]TDSheet!$A:$AV,6,0),0)</f>
        <v>162</v>
      </c>
      <c r="K354">
        <f>IFERROR(VLOOKUP(A354,[1]TDSheet!$A:$AV,7,0),0)</f>
        <v>540</v>
      </c>
      <c r="L354" s="26">
        <f t="shared" si="15"/>
        <v>7.3636363636363633</v>
      </c>
      <c r="M354" s="26">
        <f t="shared" si="16"/>
        <v>24.545454545454547</v>
      </c>
      <c r="N354" s="37">
        <f t="shared" si="17"/>
        <v>0.75524475524475521</v>
      </c>
    </row>
    <row r="355" spans="1:14" ht="11.1" customHeight="1" x14ac:dyDescent="0.2">
      <c r="A355" s="22" t="s">
        <v>708</v>
      </c>
      <c r="B355" s="22"/>
      <c r="C355" s="22"/>
      <c r="D355" s="22" t="s">
        <v>709</v>
      </c>
      <c r="E355" s="22"/>
      <c r="F355" s="9">
        <v>58.08</v>
      </c>
      <c r="G355" s="5">
        <v>264</v>
      </c>
      <c r="H355" s="10"/>
      <c r="I355" s="10"/>
      <c r="J355">
        <f>IFERROR(VLOOKUP(A355,[1]TDSheet!$A:$AV,6,0),0)</f>
        <v>15.18</v>
      </c>
      <c r="K355">
        <f>IFERROR(VLOOKUP(A355,[1]TDSheet!$A:$AV,7,0),0)</f>
        <v>69</v>
      </c>
      <c r="L355" s="26">
        <f t="shared" si="15"/>
        <v>0.69</v>
      </c>
      <c r="M355" s="26">
        <f t="shared" si="16"/>
        <v>3.1363636363636362</v>
      </c>
      <c r="N355" s="37">
        <f t="shared" si="17"/>
        <v>0.26136363636363635</v>
      </c>
    </row>
    <row r="356" spans="1:14" ht="11.1" customHeight="1" x14ac:dyDescent="0.2">
      <c r="A356" s="22" t="s">
        <v>710</v>
      </c>
      <c r="B356" s="22"/>
      <c r="C356" s="22"/>
      <c r="D356" s="22" t="s">
        <v>711</v>
      </c>
      <c r="E356" s="22"/>
      <c r="F356" s="9">
        <v>715.25</v>
      </c>
      <c r="G356" s="4">
        <v>2861</v>
      </c>
      <c r="H356" s="10"/>
      <c r="I356" s="10"/>
      <c r="J356">
        <f>IFERROR(VLOOKUP(A356,[1]TDSheet!$A:$AV,6,0),0)</f>
        <v>357.75</v>
      </c>
      <c r="K356">
        <f>IFERROR(VLOOKUP(A356,[1]TDSheet!$A:$AV,7,0),0)</f>
        <v>1431</v>
      </c>
      <c r="L356" s="26">
        <f t="shared" si="15"/>
        <v>16.261363636363637</v>
      </c>
      <c r="M356" s="26">
        <f t="shared" si="16"/>
        <v>65.045454545454547</v>
      </c>
      <c r="N356" s="37">
        <f t="shared" si="17"/>
        <v>0.50017476406850747</v>
      </c>
    </row>
    <row r="357" spans="1:14" ht="11.1" customHeight="1" x14ac:dyDescent="0.2">
      <c r="A357" s="22" t="s">
        <v>712</v>
      </c>
      <c r="B357" s="22"/>
      <c r="C357" s="22"/>
      <c r="D357" s="22" t="s">
        <v>713</v>
      </c>
      <c r="E357" s="22"/>
      <c r="F357" s="7">
        <v>868.5</v>
      </c>
      <c r="G357" s="4">
        <v>3474</v>
      </c>
      <c r="H357" s="10"/>
      <c r="I357" s="10"/>
      <c r="J357">
        <f>IFERROR(VLOOKUP(A357,[1]TDSheet!$A:$AV,6,0),0)</f>
        <v>508.25</v>
      </c>
      <c r="K357">
        <f>IFERROR(VLOOKUP(A357,[1]TDSheet!$A:$AV,7,0),0)</f>
        <v>2033</v>
      </c>
      <c r="L357" s="26">
        <f t="shared" si="15"/>
        <v>23.102272727272727</v>
      </c>
      <c r="M357" s="26">
        <f t="shared" si="16"/>
        <v>92.409090909090907</v>
      </c>
      <c r="N357" s="37">
        <f t="shared" si="17"/>
        <v>0.58520437535981573</v>
      </c>
    </row>
    <row r="358" spans="1:14" ht="11.1" customHeight="1" x14ac:dyDescent="0.2">
      <c r="A358" s="22" t="s">
        <v>714</v>
      </c>
      <c r="B358" s="22"/>
      <c r="C358" s="22"/>
      <c r="D358" s="22" t="s">
        <v>715</v>
      </c>
      <c r="E358" s="22"/>
      <c r="F358" s="13">
        <v>72</v>
      </c>
      <c r="G358" s="5">
        <v>360</v>
      </c>
      <c r="H358" s="10"/>
      <c r="I358" s="10"/>
      <c r="J358">
        <f>IFERROR(VLOOKUP(A358,[1]TDSheet!$A:$AV,6,0),0)</f>
        <v>32</v>
      </c>
      <c r="K358">
        <f>IFERROR(VLOOKUP(A358,[1]TDSheet!$A:$AV,7,0),0)</f>
        <v>160</v>
      </c>
      <c r="L358" s="26">
        <f t="shared" si="15"/>
        <v>1.4545454545454546</v>
      </c>
      <c r="M358" s="26">
        <f t="shared" si="16"/>
        <v>7.2727272727272725</v>
      </c>
      <c r="N358" s="37">
        <f t="shared" si="17"/>
        <v>0.44444444444444442</v>
      </c>
    </row>
    <row r="359" spans="1:14" ht="21.95" customHeight="1" x14ac:dyDescent="0.2">
      <c r="A359" s="22" t="s">
        <v>716</v>
      </c>
      <c r="B359" s="22"/>
      <c r="C359" s="22"/>
      <c r="D359" s="22" t="s">
        <v>717</v>
      </c>
      <c r="E359" s="22"/>
      <c r="F359" s="9">
        <v>107.64</v>
      </c>
      <c r="G359" s="5">
        <v>468</v>
      </c>
      <c r="H359" s="10"/>
      <c r="I359" s="10"/>
      <c r="J359">
        <f>IFERROR(VLOOKUP(A359,[1]TDSheet!$A:$AV,6,0),0)</f>
        <v>69.459999999999994</v>
      </c>
      <c r="K359">
        <f>IFERROR(VLOOKUP(A359,[1]TDSheet!$A:$AV,7,0),0)</f>
        <v>302</v>
      </c>
      <c r="L359" s="26">
        <f t="shared" si="15"/>
        <v>3.1572727272727268</v>
      </c>
      <c r="M359" s="26">
        <f t="shared" si="16"/>
        <v>13.727272727272727</v>
      </c>
      <c r="N359" s="37">
        <f t="shared" si="17"/>
        <v>0.64529914529914523</v>
      </c>
    </row>
    <row r="360" spans="1:14" ht="21.95" customHeight="1" x14ac:dyDescent="0.2">
      <c r="A360" s="22" t="s">
        <v>718</v>
      </c>
      <c r="B360" s="22"/>
      <c r="C360" s="22"/>
      <c r="D360" s="22" t="s">
        <v>719</v>
      </c>
      <c r="E360" s="22"/>
      <c r="F360" s="9">
        <v>109.94</v>
      </c>
      <c r="G360" s="5">
        <v>478</v>
      </c>
      <c r="H360" s="10"/>
      <c r="I360" s="10"/>
      <c r="J360">
        <f>IFERROR(VLOOKUP(A360,[1]TDSheet!$A:$AV,6,0),0)</f>
        <v>32.659999999999997</v>
      </c>
      <c r="K360">
        <f>IFERROR(VLOOKUP(A360,[1]TDSheet!$A:$AV,7,0),0)</f>
        <v>142</v>
      </c>
      <c r="L360" s="26">
        <f t="shared" si="15"/>
        <v>1.4845454545454544</v>
      </c>
      <c r="M360" s="26">
        <f t="shared" si="16"/>
        <v>6.4545454545454541</v>
      </c>
      <c r="N360" s="37">
        <f t="shared" si="17"/>
        <v>0.29707112970711297</v>
      </c>
    </row>
    <row r="361" spans="1:14" ht="11.1" customHeight="1" x14ac:dyDescent="0.2">
      <c r="A361" s="22" t="s">
        <v>720</v>
      </c>
      <c r="B361" s="22"/>
      <c r="C361" s="22"/>
      <c r="D361" s="22" t="s">
        <v>721</v>
      </c>
      <c r="E361" s="22"/>
      <c r="F361" s="13">
        <v>135</v>
      </c>
      <c r="G361" s="5">
        <v>135</v>
      </c>
      <c r="H361" s="10"/>
      <c r="I361" s="10"/>
      <c r="J361">
        <f>IFERROR(VLOOKUP(A361,[1]TDSheet!$A:$AV,6,0),0)</f>
        <v>16.2</v>
      </c>
      <c r="K361">
        <f>IFERROR(VLOOKUP(A361,[1]TDSheet!$A:$AV,7,0),0)</f>
        <v>16.2</v>
      </c>
      <c r="L361" s="26">
        <f t="shared" si="15"/>
        <v>0.73636363636363633</v>
      </c>
      <c r="M361" s="26">
        <f t="shared" si="16"/>
        <v>0.73636363636363633</v>
      </c>
      <c r="N361" s="37">
        <f t="shared" si="17"/>
        <v>0.12</v>
      </c>
    </row>
    <row r="362" spans="1:14" ht="11.1" customHeight="1" x14ac:dyDescent="0.2">
      <c r="A362" s="22" t="s">
        <v>722</v>
      </c>
      <c r="B362" s="22"/>
      <c r="C362" s="22"/>
      <c r="D362" s="22" t="s">
        <v>723</v>
      </c>
      <c r="E362" s="22"/>
      <c r="F362" s="12">
        <v>1170</v>
      </c>
      <c r="G362" s="4">
        <v>1170</v>
      </c>
      <c r="H362" s="10"/>
      <c r="I362" s="10"/>
      <c r="J362">
        <f>IFERROR(VLOOKUP(A362,[1]TDSheet!$A:$AV,6,0),0)</f>
        <v>150</v>
      </c>
      <c r="K362">
        <f>IFERROR(VLOOKUP(A362,[1]TDSheet!$A:$AV,7,0),0)</f>
        <v>150</v>
      </c>
      <c r="L362" s="26">
        <f t="shared" si="15"/>
        <v>6.8181818181818183</v>
      </c>
      <c r="M362" s="26">
        <f t="shared" si="16"/>
        <v>6.8181818181818183</v>
      </c>
      <c r="N362" s="37">
        <f t="shared" si="17"/>
        <v>0.12820512820512819</v>
      </c>
    </row>
    <row r="363" spans="1:14" ht="12.95" customHeight="1" x14ac:dyDescent="0.2">
      <c r="A363" s="23" t="s">
        <v>724</v>
      </c>
      <c r="B363" s="23"/>
      <c r="C363" s="23"/>
      <c r="D363" s="23"/>
      <c r="E363" s="23"/>
      <c r="F363" s="14">
        <v>123290.1501</v>
      </c>
      <c r="G363" s="15">
        <v>218821.122</v>
      </c>
      <c r="H363" s="15">
        <v>1934.8620000000001</v>
      </c>
      <c r="I363" s="15">
        <v>3783.9279999999999</v>
      </c>
      <c r="J363">
        <f>IFERROR(VLOOKUP(A363,[1]TDSheet!$A:$AV,6,0),0)</f>
        <v>50464.2071</v>
      </c>
      <c r="K363">
        <f>IFERROR(VLOOKUP(A363,[1]TDSheet!$A:$AV,7,0),0)</f>
        <v>94524.365999999995</v>
      </c>
      <c r="L363" s="26">
        <f t="shared" si="15"/>
        <v>2293.8275954545456</v>
      </c>
      <c r="M363" s="26">
        <f t="shared" si="16"/>
        <v>4296.5620909090903</v>
      </c>
      <c r="N363" s="37">
        <f t="shared" si="17"/>
        <v>0.40931256113378678</v>
      </c>
    </row>
  </sheetData>
  <autoFilter ref="A5:N363" xr:uid="{00000000-0001-0000-0000-000000000000}">
    <filterColumn colId="0" showButton="0"/>
    <filterColumn colId="1" showButton="0"/>
    <filterColumn colId="3" showButton="0"/>
    <filterColumn colId="5" showButton="0"/>
    <filterColumn colId="7" showButton="0"/>
    <filterColumn colId="9" showButton="0"/>
    <filterColumn colId="11" showButton="0"/>
  </autoFilter>
  <mergeCells count="723">
    <mergeCell ref="J5:K5"/>
    <mergeCell ref="J3:K4"/>
    <mergeCell ref="L3:M4"/>
    <mergeCell ref="L5:M5"/>
    <mergeCell ref="N3:N4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E36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H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2026-09-15T16:55:16Z</dcterms:modified>
</cp:coreProperties>
</file>