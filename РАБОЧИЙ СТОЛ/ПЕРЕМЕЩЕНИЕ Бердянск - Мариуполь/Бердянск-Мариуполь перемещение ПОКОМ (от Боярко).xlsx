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s\Desktop\Заказы\"/>
    </mc:Choice>
  </mc:AlternateContent>
  <bookViews>
    <workbookView xWindow="0" yWindow="0" windowWidth="19200" windowHeight="6760" activeTab="1"/>
  </bookViews>
  <sheets>
    <sheet name="TDSheet" sheetId="1" r:id="rId1"/>
    <sheet name="Лист1" sheetId="2" r:id="rId2"/>
  </sheets>
  <externalReferences>
    <externalReference r:id="rId3"/>
  </externalReferences>
  <definedNames>
    <definedName name="_xlnm._FilterDatabase" localSheetId="0" hidden="1">TDSheet!$A$9:$P$198</definedName>
  </definedNames>
  <calcPr calcId="162913" refMode="R1C1"/>
</workbook>
</file>

<file path=xl/calcChain.xml><?xml version="1.0" encoding="utf-8"?>
<calcChain xmlns="http://schemas.openxmlformats.org/spreadsheetml/2006/main">
  <c r="J198" i="1" l="1"/>
  <c r="J197" i="1"/>
  <c r="J196" i="1"/>
  <c r="J195" i="1"/>
  <c r="J194" i="1"/>
  <c r="J193" i="1"/>
  <c r="J192" i="1"/>
  <c r="J191" i="1"/>
  <c r="J190" i="1"/>
  <c r="J189" i="1"/>
  <c r="J188" i="1"/>
  <c r="J187" i="1"/>
  <c r="J186" i="1"/>
  <c r="J185" i="1"/>
  <c r="J184" i="1"/>
  <c r="J183" i="1"/>
  <c r="J182" i="1"/>
  <c r="J181" i="1"/>
  <c r="J180" i="1"/>
  <c r="J179" i="1"/>
  <c r="J178" i="1"/>
  <c r="J177" i="1"/>
  <c r="J176" i="1"/>
  <c r="J175" i="1"/>
  <c r="J174" i="1"/>
  <c r="J173" i="1"/>
  <c r="J172" i="1"/>
  <c r="J171" i="1"/>
  <c r="J170" i="1"/>
  <c r="J169" i="1"/>
  <c r="J168" i="1"/>
  <c r="J167" i="1"/>
  <c r="J166" i="1"/>
  <c r="J165" i="1"/>
  <c r="J164" i="1"/>
  <c r="J163" i="1"/>
  <c r="J162" i="1"/>
  <c r="J161" i="1"/>
  <c r="J160" i="1"/>
  <c r="J159" i="1"/>
  <c r="J158" i="1"/>
  <c r="J157" i="1"/>
  <c r="J156" i="1"/>
  <c r="J155" i="1"/>
  <c r="J154" i="1"/>
  <c r="J153" i="1"/>
  <c r="J152" i="1"/>
  <c r="J151" i="1"/>
  <c r="J150" i="1"/>
  <c r="J149" i="1"/>
  <c r="J148" i="1"/>
  <c r="J147" i="1"/>
  <c r="J146" i="1"/>
  <c r="J145" i="1"/>
  <c r="J144" i="1"/>
  <c r="J143" i="1"/>
  <c r="J142" i="1"/>
  <c r="J141" i="1"/>
  <c r="J139" i="1"/>
  <c r="J138" i="1"/>
  <c r="J137" i="1"/>
  <c r="J136" i="1"/>
  <c r="J135" i="1"/>
  <c r="J134" i="1"/>
  <c r="J133" i="1"/>
  <c r="J132" i="1"/>
  <c r="J131" i="1"/>
  <c r="J130" i="1"/>
  <c r="J129" i="1"/>
  <c r="J128" i="1"/>
  <c r="J127" i="1"/>
  <c r="J126" i="1"/>
  <c r="J125" i="1"/>
  <c r="J124" i="1"/>
  <c r="J123" i="1"/>
  <c r="J122" i="1"/>
  <c r="J121" i="1"/>
  <c r="J120" i="1"/>
  <c r="J119" i="1"/>
  <c r="J118" i="1"/>
  <c r="J117" i="1"/>
  <c r="J116" i="1"/>
  <c r="J115" i="1"/>
  <c r="J114" i="1"/>
  <c r="J113" i="1"/>
  <c r="J112" i="1"/>
  <c r="J111" i="1"/>
  <c r="J110" i="1"/>
  <c r="J109" i="1"/>
  <c r="J108" i="1"/>
  <c r="J107" i="1"/>
  <c r="J106" i="1"/>
  <c r="J105" i="1"/>
  <c r="J104" i="1"/>
  <c r="J103" i="1"/>
  <c r="J102" i="1"/>
  <c r="J101" i="1"/>
  <c r="J100" i="1"/>
  <c r="J98" i="1"/>
  <c r="J97" i="1"/>
  <c r="J96" i="1"/>
  <c r="J95" i="1"/>
  <c r="J94" i="1"/>
  <c r="J93" i="1"/>
  <c r="J92" i="1"/>
  <c r="J91" i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7" i="1"/>
  <c r="J55" i="1"/>
  <c r="J53" i="1"/>
  <c r="J52" i="1"/>
  <c r="J51" i="1"/>
  <c r="J50" i="1"/>
  <c r="J49" i="1"/>
  <c r="J48" i="1"/>
  <c r="J47" i="1"/>
  <c r="J46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K12" i="1" l="1"/>
  <c r="M12" i="1" s="1"/>
  <c r="O12" i="1" s="1"/>
  <c r="L12" i="1"/>
  <c r="K13" i="1"/>
  <c r="M13" i="1" s="1"/>
  <c r="O13" i="1" s="1"/>
  <c r="L13" i="1"/>
  <c r="K14" i="1"/>
  <c r="M14" i="1" s="1"/>
  <c r="O14" i="1" s="1"/>
  <c r="L14" i="1"/>
  <c r="K15" i="1"/>
  <c r="M15" i="1" s="1"/>
  <c r="O15" i="1" s="1"/>
  <c r="L15" i="1"/>
  <c r="K16" i="1"/>
  <c r="M16" i="1" s="1"/>
  <c r="O16" i="1" s="1"/>
  <c r="L16" i="1"/>
  <c r="K17" i="1"/>
  <c r="M17" i="1" s="1"/>
  <c r="O17" i="1" s="1"/>
  <c r="L17" i="1"/>
  <c r="K18" i="1"/>
  <c r="M18" i="1" s="1"/>
  <c r="O18" i="1" s="1"/>
  <c r="L18" i="1"/>
  <c r="K19" i="1"/>
  <c r="M19" i="1" s="1"/>
  <c r="O19" i="1" s="1"/>
  <c r="L19" i="1"/>
  <c r="K20" i="1"/>
  <c r="M20" i="1" s="1"/>
  <c r="L20" i="1"/>
  <c r="K21" i="1"/>
  <c r="M21" i="1" s="1"/>
  <c r="O21" i="1" s="1"/>
  <c r="L21" i="1"/>
  <c r="K22" i="1"/>
  <c r="M22" i="1" s="1"/>
  <c r="L22" i="1"/>
  <c r="K23" i="1"/>
  <c r="M23" i="1" s="1"/>
  <c r="O23" i="1" s="1"/>
  <c r="L23" i="1"/>
  <c r="K24" i="1"/>
  <c r="M24" i="1" s="1"/>
  <c r="O24" i="1" s="1"/>
  <c r="L24" i="1"/>
  <c r="K26" i="1"/>
  <c r="M26" i="1" s="1"/>
  <c r="O26" i="1" s="1"/>
  <c r="L26" i="1"/>
  <c r="K27" i="1"/>
  <c r="M27" i="1" s="1"/>
  <c r="O27" i="1" s="1"/>
  <c r="L27" i="1"/>
  <c r="K28" i="1"/>
  <c r="M28" i="1" s="1"/>
  <c r="O28" i="1" s="1"/>
  <c r="L28" i="1"/>
  <c r="K29" i="1"/>
  <c r="M29" i="1" s="1"/>
  <c r="O29" i="1" s="1"/>
  <c r="L29" i="1"/>
  <c r="K30" i="1"/>
  <c r="M30" i="1" s="1"/>
  <c r="O30" i="1" s="1"/>
  <c r="L30" i="1"/>
  <c r="K31" i="1"/>
  <c r="M31" i="1" s="1"/>
  <c r="O31" i="1" s="1"/>
  <c r="L31" i="1"/>
  <c r="K32" i="1"/>
  <c r="M32" i="1" s="1"/>
  <c r="L32" i="1"/>
  <c r="K33" i="1"/>
  <c r="M33" i="1" s="1"/>
  <c r="O33" i="1" s="1"/>
  <c r="L33" i="1"/>
  <c r="K34" i="1"/>
  <c r="M34" i="1" s="1"/>
  <c r="L34" i="1"/>
  <c r="K35" i="1"/>
  <c r="M35" i="1" s="1"/>
  <c r="O35" i="1" s="1"/>
  <c r="L35" i="1"/>
  <c r="K36" i="1"/>
  <c r="M36" i="1" s="1"/>
  <c r="L36" i="1"/>
  <c r="K37" i="1"/>
  <c r="M37" i="1" s="1"/>
  <c r="L37" i="1"/>
  <c r="K38" i="1"/>
  <c r="M38" i="1" s="1"/>
  <c r="O38" i="1" s="1"/>
  <c r="L38" i="1"/>
  <c r="K39" i="1"/>
  <c r="M39" i="1" s="1"/>
  <c r="O39" i="1" s="1"/>
  <c r="L39" i="1"/>
  <c r="K40" i="1"/>
  <c r="M40" i="1" s="1"/>
  <c r="O40" i="1" s="1"/>
  <c r="L40" i="1"/>
  <c r="K41" i="1"/>
  <c r="M41" i="1" s="1"/>
  <c r="L41" i="1"/>
  <c r="K42" i="1"/>
  <c r="M42" i="1" s="1"/>
  <c r="L42" i="1"/>
  <c r="K43" i="1"/>
  <c r="M43" i="1" s="1"/>
  <c r="L43" i="1"/>
  <c r="K44" i="1"/>
  <c r="M44" i="1" s="1"/>
  <c r="L44" i="1"/>
  <c r="K46" i="1"/>
  <c r="M46" i="1" s="1"/>
  <c r="L46" i="1"/>
  <c r="K47" i="1"/>
  <c r="M47" i="1" s="1"/>
  <c r="O47" i="1" s="1"/>
  <c r="L47" i="1"/>
  <c r="K48" i="1"/>
  <c r="M48" i="1" s="1"/>
  <c r="O48" i="1" s="1"/>
  <c r="L48" i="1"/>
  <c r="K49" i="1"/>
  <c r="M49" i="1" s="1"/>
  <c r="O49" i="1" s="1"/>
  <c r="L49" i="1"/>
  <c r="K50" i="1"/>
  <c r="M50" i="1" s="1"/>
  <c r="O50" i="1" s="1"/>
  <c r="L50" i="1"/>
  <c r="K51" i="1"/>
  <c r="M51" i="1" s="1"/>
  <c r="O51" i="1" s="1"/>
  <c r="L51" i="1"/>
  <c r="K52" i="1"/>
  <c r="M52" i="1" s="1"/>
  <c r="L52" i="1"/>
  <c r="K53" i="1"/>
  <c r="M53" i="1" s="1"/>
  <c r="L53" i="1"/>
  <c r="K55" i="1"/>
  <c r="M55" i="1" s="1"/>
  <c r="L55" i="1"/>
  <c r="K57" i="1"/>
  <c r="M57" i="1" s="1"/>
  <c r="L57" i="1"/>
  <c r="K59" i="1"/>
  <c r="M59" i="1" s="1"/>
  <c r="O59" i="1" s="1"/>
  <c r="L59" i="1"/>
  <c r="K60" i="1"/>
  <c r="M60" i="1" s="1"/>
  <c r="O60" i="1" s="1"/>
  <c r="L60" i="1"/>
  <c r="K61" i="1"/>
  <c r="M61" i="1" s="1"/>
  <c r="O61" i="1" s="1"/>
  <c r="L61" i="1"/>
  <c r="K62" i="1"/>
  <c r="M62" i="1" s="1"/>
  <c r="L62" i="1"/>
  <c r="K63" i="1"/>
  <c r="M63" i="1" s="1"/>
  <c r="O63" i="1" s="1"/>
  <c r="L63" i="1"/>
  <c r="K64" i="1"/>
  <c r="M64" i="1" s="1"/>
  <c r="L64" i="1"/>
  <c r="K65" i="1"/>
  <c r="M65" i="1" s="1"/>
  <c r="O65" i="1" s="1"/>
  <c r="L65" i="1"/>
  <c r="K66" i="1"/>
  <c r="M66" i="1" s="1"/>
  <c r="O66" i="1" s="1"/>
  <c r="L66" i="1"/>
  <c r="K67" i="1"/>
  <c r="M67" i="1" s="1"/>
  <c r="O67" i="1" s="1"/>
  <c r="L67" i="1"/>
  <c r="K68" i="1"/>
  <c r="M68" i="1" s="1"/>
  <c r="L68" i="1"/>
  <c r="K69" i="1"/>
  <c r="M69" i="1" s="1"/>
  <c r="O69" i="1" s="1"/>
  <c r="L69" i="1"/>
  <c r="K70" i="1"/>
  <c r="M70" i="1" s="1"/>
  <c r="O70" i="1" s="1"/>
  <c r="L70" i="1"/>
  <c r="K71" i="1"/>
  <c r="M71" i="1" s="1"/>
  <c r="L71" i="1"/>
  <c r="K72" i="1"/>
  <c r="M72" i="1" s="1"/>
  <c r="L72" i="1"/>
  <c r="K73" i="1"/>
  <c r="M73" i="1" s="1"/>
  <c r="L73" i="1"/>
  <c r="K74" i="1"/>
  <c r="M74" i="1" s="1"/>
  <c r="O74" i="1" s="1"/>
  <c r="L74" i="1"/>
  <c r="K75" i="1"/>
  <c r="M75" i="1" s="1"/>
  <c r="L75" i="1"/>
  <c r="K76" i="1"/>
  <c r="M76" i="1" s="1"/>
  <c r="O76" i="1" s="1"/>
  <c r="L76" i="1"/>
  <c r="K77" i="1"/>
  <c r="M77" i="1" s="1"/>
  <c r="L77" i="1"/>
  <c r="K78" i="1"/>
  <c r="M78" i="1" s="1"/>
  <c r="L78" i="1"/>
  <c r="K79" i="1"/>
  <c r="M79" i="1" s="1"/>
  <c r="L79" i="1"/>
  <c r="K80" i="1"/>
  <c r="M80" i="1" s="1"/>
  <c r="O80" i="1" s="1"/>
  <c r="L80" i="1"/>
  <c r="K81" i="1"/>
  <c r="M81" i="1" s="1"/>
  <c r="L81" i="1"/>
  <c r="K82" i="1"/>
  <c r="M82" i="1" s="1"/>
  <c r="L82" i="1"/>
  <c r="K83" i="1"/>
  <c r="M83" i="1" s="1"/>
  <c r="L83" i="1"/>
  <c r="K84" i="1"/>
  <c r="M84" i="1" s="1"/>
  <c r="L84" i="1"/>
  <c r="K85" i="1"/>
  <c r="M85" i="1" s="1"/>
  <c r="O85" i="1" s="1"/>
  <c r="L85" i="1"/>
  <c r="K86" i="1"/>
  <c r="M86" i="1" s="1"/>
  <c r="O86" i="1" s="1"/>
  <c r="L86" i="1"/>
  <c r="K87" i="1"/>
  <c r="M87" i="1" s="1"/>
  <c r="O87" i="1" s="1"/>
  <c r="L87" i="1"/>
  <c r="K88" i="1"/>
  <c r="M88" i="1" s="1"/>
  <c r="O88" i="1" s="1"/>
  <c r="L88" i="1"/>
  <c r="K89" i="1"/>
  <c r="M89" i="1" s="1"/>
  <c r="O89" i="1" s="1"/>
  <c r="L89" i="1"/>
  <c r="K90" i="1"/>
  <c r="M90" i="1" s="1"/>
  <c r="O90" i="1" s="1"/>
  <c r="L90" i="1"/>
  <c r="K91" i="1"/>
  <c r="M91" i="1" s="1"/>
  <c r="L91" i="1"/>
  <c r="K92" i="1"/>
  <c r="M92" i="1" s="1"/>
  <c r="O92" i="1" s="1"/>
  <c r="L92" i="1"/>
  <c r="K93" i="1"/>
  <c r="M93" i="1" s="1"/>
  <c r="L93" i="1"/>
  <c r="K94" i="1"/>
  <c r="M94" i="1" s="1"/>
  <c r="L94" i="1"/>
  <c r="K95" i="1"/>
  <c r="M95" i="1" s="1"/>
  <c r="O95" i="1" s="1"/>
  <c r="L95" i="1"/>
  <c r="K96" i="1"/>
  <c r="M96" i="1" s="1"/>
  <c r="O96" i="1" s="1"/>
  <c r="L96" i="1"/>
  <c r="K97" i="1"/>
  <c r="M97" i="1" s="1"/>
  <c r="O97" i="1" s="1"/>
  <c r="L97" i="1"/>
  <c r="K98" i="1"/>
  <c r="M98" i="1" s="1"/>
  <c r="L98" i="1"/>
  <c r="K100" i="1"/>
  <c r="M100" i="1" s="1"/>
  <c r="O100" i="1" s="1"/>
  <c r="L100" i="1"/>
  <c r="K101" i="1"/>
  <c r="M101" i="1" s="1"/>
  <c r="O101" i="1" s="1"/>
  <c r="L101" i="1"/>
  <c r="K102" i="1"/>
  <c r="M102" i="1" s="1"/>
  <c r="O102" i="1" s="1"/>
  <c r="L102" i="1"/>
  <c r="K103" i="1"/>
  <c r="M103" i="1" s="1"/>
  <c r="O103" i="1" s="1"/>
  <c r="L103" i="1"/>
  <c r="K104" i="1"/>
  <c r="M104" i="1" s="1"/>
  <c r="L104" i="1"/>
  <c r="K105" i="1"/>
  <c r="M105" i="1" s="1"/>
  <c r="O105" i="1" s="1"/>
  <c r="L105" i="1"/>
  <c r="K106" i="1"/>
  <c r="M106" i="1" s="1"/>
  <c r="O106" i="1" s="1"/>
  <c r="L106" i="1"/>
  <c r="K107" i="1"/>
  <c r="M107" i="1" s="1"/>
  <c r="L107" i="1"/>
  <c r="K108" i="1"/>
  <c r="M108" i="1" s="1"/>
  <c r="O108" i="1" s="1"/>
  <c r="L108" i="1"/>
  <c r="K109" i="1"/>
  <c r="M109" i="1" s="1"/>
  <c r="O109" i="1" s="1"/>
  <c r="L109" i="1"/>
  <c r="K110" i="1"/>
  <c r="M110" i="1" s="1"/>
  <c r="L110" i="1"/>
  <c r="K111" i="1"/>
  <c r="M111" i="1" s="1"/>
  <c r="O111" i="1" s="1"/>
  <c r="L111" i="1"/>
  <c r="K112" i="1"/>
  <c r="M112" i="1" s="1"/>
  <c r="L112" i="1"/>
  <c r="K113" i="1"/>
  <c r="M113" i="1" s="1"/>
  <c r="L113" i="1"/>
  <c r="K114" i="1"/>
  <c r="M114" i="1" s="1"/>
  <c r="O114" i="1" s="1"/>
  <c r="L114" i="1"/>
  <c r="K115" i="1"/>
  <c r="M115" i="1" s="1"/>
  <c r="L115" i="1"/>
  <c r="K116" i="1"/>
  <c r="M116" i="1" s="1"/>
  <c r="O116" i="1" s="1"/>
  <c r="L116" i="1"/>
  <c r="K117" i="1"/>
  <c r="M117" i="1" s="1"/>
  <c r="O117" i="1" s="1"/>
  <c r="L117" i="1"/>
  <c r="K118" i="1"/>
  <c r="M118" i="1" s="1"/>
  <c r="O118" i="1" s="1"/>
  <c r="L118" i="1"/>
  <c r="K119" i="1"/>
  <c r="M119" i="1" s="1"/>
  <c r="O119" i="1" s="1"/>
  <c r="L119" i="1"/>
  <c r="K120" i="1"/>
  <c r="M120" i="1" s="1"/>
  <c r="L120" i="1"/>
  <c r="K121" i="1"/>
  <c r="M121" i="1" s="1"/>
  <c r="O121" i="1" s="1"/>
  <c r="L121" i="1"/>
  <c r="K122" i="1"/>
  <c r="M122" i="1" s="1"/>
  <c r="O122" i="1" s="1"/>
  <c r="L122" i="1"/>
  <c r="K123" i="1"/>
  <c r="M123" i="1" s="1"/>
  <c r="L123" i="1"/>
  <c r="K124" i="1"/>
  <c r="M124" i="1" s="1"/>
  <c r="O124" i="1" s="1"/>
  <c r="L124" i="1"/>
  <c r="K125" i="1"/>
  <c r="M125" i="1" s="1"/>
  <c r="L125" i="1"/>
  <c r="K126" i="1"/>
  <c r="M126" i="1" s="1"/>
  <c r="O126" i="1" s="1"/>
  <c r="L126" i="1"/>
  <c r="K127" i="1"/>
  <c r="M127" i="1" s="1"/>
  <c r="O127" i="1" s="1"/>
  <c r="L127" i="1"/>
  <c r="K128" i="1"/>
  <c r="M128" i="1" s="1"/>
  <c r="O128" i="1" s="1"/>
  <c r="L128" i="1"/>
  <c r="K129" i="1"/>
  <c r="M129" i="1" s="1"/>
  <c r="O129" i="1" s="1"/>
  <c r="L129" i="1"/>
  <c r="K130" i="1"/>
  <c r="M130" i="1" s="1"/>
  <c r="L130" i="1"/>
  <c r="K131" i="1"/>
  <c r="M131" i="1" s="1"/>
  <c r="O131" i="1" s="1"/>
  <c r="L131" i="1"/>
  <c r="K132" i="1"/>
  <c r="M132" i="1" s="1"/>
  <c r="O132" i="1" s="1"/>
  <c r="L132" i="1"/>
  <c r="K133" i="1"/>
  <c r="M133" i="1" s="1"/>
  <c r="L133" i="1"/>
  <c r="K134" i="1"/>
  <c r="M134" i="1" s="1"/>
  <c r="L134" i="1"/>
  <c r="K135" i="1"/>
  <c r="M135" i="1" s="1"/>
  <c r="L135" i="1"/>
  <c r="K136" i="1"/>
  <c r="M136" i="1" s="1"/>
  <c r="L136" i="1"/>
  <c r="K137" i="1"/>
  <c r="M137" i="1" s="1"/>
  <c r="O137" i="1" s="1"/>
  <c r="L137" i="1"/>
  <c r="K138" i="1"/>
  <c r="M138" i="1" s="1"/>
  <c r="L138" i="1"/>
  <c r="K139" i="1"/>
  <c r="M139" i="1" s="1"/>
  <c r="O139" i="1" s="1"/>
  <c r="L139" i="1"/>
  <c r="K141" i="1"/>
  <c r="M141" i="1" s="1"/>
  <c r="O141" i="1" s="1"/>
  <c r="L141" i="1"/>
  <c r="K142" i="1"/>
  <c r="M142" i="1" s="1"/>
  <c r="O142" i="1" s="1"/>
  <c r="L142" i="1"/>
  <c r="K143" i="1"/>
  <c r="M143" i="1" s="1"/>
  <c r="O143" i="1" s="1"/>
  <c r="L143" i="1"/>
  <c r="K144" i="1"/>
  <c r="M144" i="1" s="1"/>
  <c r="O144" i="1" s="1"/>
  <c r="L144" i="1"/>
  <c r="K145" i="1"/>
  <c r="M145" i="1" s="1"/>
  <c r="L145" i="1"/>
  <c r="K146" i="1"/>
  <c r="M146" i="1" s="1"/>
  <c r="L146" i="1"/>
  <c r="K147" i="1"/>
  <c r="M147" i="1" s="1"/>
  <c r="O147" i="1" s="1"/>
  <c r="L147" i="1"/>
  <c r="K148" i="1"/>
  <c r="M148" i="1" s="1"/>
  <c r="O148" i="1" s="1"/>
  <c r="L148" i="1"/>
  <c r="K149" i="1"/>
  <c r="M149" i="1" s="1"/>
  <c r="L149" i="1"/>
  <c r="K150" i="1"/>
  <c r="M150" i="1" s="1"/>
  <c r="O150" i="1" s="1"/>
  <c r="L150" i="1"/>
  <c r="K151" i="1"/>
  <c r="M151" i="1" s="1"/>
  <c r="O151" i="1" s="1"/>
  <c r="L151" i="1"/>
  <c r="K152" i="1"/>
  <c r="M152" i="1" s="1"/>
  <c r="O152" i="1" s="1"/>
  <c r="L152" i="1"/>
  <c r="K153" i="1"/>
  <c r="M153" i="1" s="1"/>
  <c r="O153" i="1" s="1"/>
  <c r="L153" i="1"/>
  <c r="K154" i="1"/>
  <c r="M154" i="1" s="1"/>
  <c r="O154" i="1" s="1"/>
  <c r="L154" i="1"/>
  <c r="K155" i="1"/>
  <c r="M155" i="1" s="1"/>
  <c r="O155" i="1" s="1"/>
  <c r="L155" i="1"/>
  <c r="K156" i="1"/>
  <c r="M156" i="1" s="1"/>
  <c r="L156" i="1"/>
  <c r="K157" i="1"/>
  <c r="M157" i="1" s="1"/>
  <c r="O157" i="1" s="1"/>
  <c r="L157" i="1"/>
  <c r="K158" i="1"/>
  <c r="M158" i="1" s="1"/>
  <c r="O158" i="1" s="1"/>
  <c r="L158" i="1"/>
  <c r="K159" i="1"/>
  <c r="M159" i="1" s="1"/>
  <c r="O159" i="1" s="1"/>
  <c r="L159" i="1"/>
  <c r="K160" i="1"/>
  <c r="M160" i="1" s="1"/>
  <c r="O160" i="1" s="1"/>
  <c r="L160" i="1"/>
  <c r="K161" i="1"/>
  <c r="M161" i="1" s="1"/>
  <c r="O161" i="1" s="1"/>
  <c r="L161" i="1"/>
  <c r="K162" i="1"/>
  <c r="M162" i="1" s="1"/>
  <c r="O162" i="1" s="1"/>
  <c r="L162" i="1"/>
  <c r="K163" i="1"/>
  <c r="M163" i="1" s="1"/>
  <c r="O163" i="1" s="1"/>
  <c r="L163" i="1"/>
  <c r="K164" i="1"/>
  <c r="M164" i="1" s="1"/>
  <c r="O164" i="1" s="1"/>
  <c r="L164" i="1"/>
  <c r="K165" i="1"/>
  <c r="M165" i="1" s="1"/>
  <c r="O165" i="1" s="1"/>
  <c r="L165" i="1"/>
  <c r="K166" i="1"/>
  <c r="M166" i="1" s="1"/>
  <c r="L166" i="1"/>
  <c r="K167" i="1"/>
  <c r="M167" i="1" s="1"/>
  <c r="O167" i="1" s="1"/>
  <c r="L167" i="1"/>
  <c r="K168" i="1"/>
  <c r="M168" i="1" s="1"/>
  <c r="L168" i="1"/>
  <c r="K169" i="1"/>
  <c r="M169" i="1" s="1"/>
  <c r="O169" i="1" s="1"/>
  <c r="L169" i="1"/>
  <c r="K170" i="1"/>
  <c r="M170" i="1" s="1"/>
  <c r="O170" i="1" s="1"/>
  <c r="L170" i="1"/>
  <c r="K171" i="1"/>
  <c r="M171" i="1" s="1"/>
  <c r="L171" i="1"/>
  <c r="K172" i="1"/>
  <c r="M172" i="1" s="1"/>
  <c r="O172" i="1" s="1"/>
  <c r="L172" i="1"/>
  <c r="K173" i="1"/>
  <c r="M173" i="1" s="1"/>
  <c r="O173" i="1" s="1"/>
  <c r="L173" i="1"/>
  <c r="K174" i="1"/>
  <c r="M174" i="1" s="1"/>
  <c r="O174" i="1" s="1"/>
  <c r="L174" i="1"/>
  <c r="K175" i="1"/>
  <c r="M175" i="1" s="1"/>
  <c r="O175" i="1" s="1"/>
  <c r="L175" i="1"/>
  <c r="K176" i="1"/>
  <c r="M176" i="1" s="1"/>
  <c r="O176" i="1" s="1"/>
  <c r="L176" i="1"/>
  <c r="K177" i="1"/>
  <c r="M177" i="1" s="1"/>
  <c r="O177" i="1" s="1"/>
  <c r="L177" i="1"/>
  <c r="K178" i="1"/>
  <c r="M178" i="1" s="1"/>
  <c r="O178" i="1" s="1"/>
  <c r="L178" i="1"/>
  <c r="K179" i="1"/>
  <c r="M179" i="1" s="1"/>
  <c r="O179" i="1" s="1"/>
  <c r="L179" i="1"/>
  <c r="K180" i="1"/>
  <c r="M180" i="1" s="1"/>
  <c r="O180" i="1" s="1"/>
  <c r="L180" i="1"/>
  <c r="K181" i="1"/>
  <c r="M181" i="1" s="1"/>
  <c r="O181" i="1" s="1"/>
  <c r="L181" i="1"/>
  <c r="K182" i="1"/>
  <c r="M182" i="1" s="1"/>
  <c r="O182" i="1" s="1"/>
  <c r="L182" i="1"/>
  <c r="K183" i="1"/>
  <c r="M183" i="1" s="1"/>
  <c r="O183" i="1" s="1"/>
  <c r="L183" i="1"/>
  <c r="K184" i="1"/>
  <c r="M184" i="1" s="1"/>
  <c r="O184" i="1" s="1"/>
  <c r="L184" i="1"/>
  <c r="K185" i="1"/>
  <c r="M185" i="1" s="1"/>
  <c r="L185" i="1"/>
  <c r="K186" i="1"/>
  <c r="M186" i="1" s="1"/>
  <c r="O186" i="1" s="1"/>
  <c r="L186" i="1"/>
  <c r="K187" i="1"/>
  <c r="M187" i="1" s="1"/>
  <c r="O187" i="1" s="1"/>
  <c r="L187" i="1"/>
  <c r="K188" i="1"/>
  <c r="M188" i="1" s="1"/>
  <c r="O188" i="1" s="1"/>
  <c r="L188" i="1"/>
  <c r="K189" i="1"/>
  <c r="M189" i="1" s="1"/>
  <c r="O189" i="1" s="1"/>
  <c r="L189" i="1"/>
  <c r="K190" i="1"/>
  <c r="M190" i="1" s="1"/>
  <c r="O190" i="1" s="1"/>
  <c r="L190" i="1"/>
  <c r="K191" i="1"/>
  <c r="M191" i="1" s="1"/>
  <c r="O191" i="1" s="1"/>
  <c r="L191" i="1"/>
  <c r="K192" i="1"/>
  <c r="M192" i="1" s="1"/>
  <c r="O192" i="1" s="1"/>
  <c r="L192" i="1"/>
  <c r="K193" i="1"/>
  <c r="M193" i="1" s="1"/>
  <c r="L193" i="1"/>
  <c r="K194" i="1"/>
  <c r="M194" i="1" s="1"/>
  <c r="O194" i="1" s="1"/>
  <c r="L194" i="1"/>
  <c r="K195" i="1"/>
  <c r="M195" i="1" s="1"/>
  <c r="O195" i="1" s="1"/>
  <c r="L195" i="1"/>
  <c r="K196" i="1"/>
  <c r="M196" i="1" s="1"/>
  <c r="O196" i="1" s="1"/>
  <c r="L196" i="1"/>
  <c r="K197" i="1"/>
  <c r="M197" i="1" s="1"/>
  <c r="L197" i="1"/>
  <c r="K198" i="1"/>
  <c r="M198" i="1" s="1"/>
  <c r="L198" i="1"/>
  <c r="N7" i="1"/>
  <c r="N8" i="1"/>
  <c r="N6" i="1"/>
  <c r="N192" i="1" l="1"/>
  <c r="P192" i="1" s="1"/>
  <c r="N182" i="1"/>
  <c r="P182" i="1" s="1"/>
  <c r="N172" i="1"/>
  <c r="P172" i="1" s="1"/>
  <c r="N162" i="1"/>
  <c r="P162" i="1" s="1"/>
  <c r="N152" i="1"/>
  <c r="P152" i="1" s="1"/>
  <c r="N142" i="1"/>
  <c r="P142" i="1" s="1"/>
  <c r="N131" i="1"/>
  <c r="P131" i="1" s="1"/>
  <c r="N121" i="1"/>
  <c r="P121" i="1" s="1"/>
  <c r="N111" i="1"/>
  <c r="P111" i="1" s="1"/>
  <c r="N101" i="1"/>
  <c r="P101" i="1" s="1"/>
  <c r="N90" i="1"/>
  <c r="P90" i="1" s="1"/>
  <c r="N80" i="1"/>
  <c r="P80" i="1" s="1"/>
  <c r="N70" i="1"/>
  <c r="P70" i="1" s="1"/>
  <c r="N60" i="1"/>
  <c r="P60" i="1" s="1"/>
  <c r="N47" i="1"/>
  <c r="P47" i="1" s="1"/>
  <c r="N36" i="1"/>
  <c r="N26" i="1"/>
  <c r="P26" i="1" s="1"/>
  <c r="N15" i="1"/>
  <c r="P15" i="1" s="1"/>
  <c r="N191" i="1"/>
  <c r="P191" i="1" s="1"/>
  <c r="N181" i="1"/>
  <c r="P181" i="1" s="1"/>
  <c r="N171" i="1"/>
  <c r="N161" i="1"/>
  <c r="P161" i="1" s="1"/>
  <c r="N151" i="1"/>
  <c r="P151" i="1" s="1"/>
  <c r="N141" i="1"/>
  <c r="P141" i="1" s="1"/>
  <c r="N130" i="1"/>
  <c r="N120" i="1"/>
  <c r="N110" i="1"/>
  <c r="N100" i="1"/>
  <c r="P100" i="1" s="1"/>
  <c r="N89" i="1"/>
  <c r="P89" i="1" s="1"/>
  <c r="N79" i="1"/>
  <c r="N69" i="1"/>
  <c r="P69" i="1" s="1"/>
  <c r="N59" i="1"/>
  <c r="P59" i="1" s="1"/>
  <c r="N46" i="1"/>
  <c r="N35" i="1"/>
  <c r="P35" i="1" s="1"/>
  <c r="N24" i="1"/>
  <c r="P24" i="1" s="1"/>
  <c r="N14" i="1"/>
  <c r="P14" i="1" s="1"/>
  <c r="N190" i="1"/>
  <c r="P190" i="1" s="1"/>
  <c r="N180" i="1"/>
  <c r="P180" i="1" s="1"/>
  <c r="N170" i="1"/>
  <c r="P170" i="1" s="1"/>
  <c r="N160" i="1"/>
  <c r="P160" i="1" s="1"/>
  <c r="N150" i="1"/>
  <c r="P150" i="1" s="1"/>
  <c r="N139" i="1"/>
  <c r="P139" i="1" s="1"/>
  <c r="N129" i="1"/>
  <c r="P129" i="1" s="1"/>
  <c r="N119" i="1"/>
  <c r="P119" i="1" s="1"/>
  <c r="N109" i="1"/>
  <c r="P109" i="1" s="1"/>
  <c r="N98" i="1"/>
  <c r="N88" i="1"/>
  <c r="P88" i="1" s="1"/>
  <c r="N78" i="1"/>
  <c r="N68" i="1"/>
  <c r="N57" i="1"/>
  <c r="N44" i="1"/>
  <c r="N34" i="1"/>
  <c r="N23" i="1"/>
  <c r="P23" i="1" s="1"/>
  <c r="N13" i="1"/>
  <c r="P13" i="1" s="1"/>
  <c r="N189" i="1"/>
  <c r="P189" i="1" s="1"/>
  <c r="N179" i="1"/>
  <c r="P179" i="1" s="1"/>
  <c r="N169" i="1"/>
  <c r="P169" i="1" s="1"/>
  <c r="N159" i="1"/>
  <c r="P159" i="1" s="1"/>
  <c r="N149" i="1"/>
  <c r="N138" i="1"/>
  <c r="N128" i="1"/>
  <c r="P128" i="1" s="1"/>
  <c r="N118" i="1"/>
  <c r="P118" i="1" s="1"/>
  <c r="N108" i="1"/>
  <c r="P108" i="1" s="1"/>
  <c r="N97" i="1"/>
  <c r="P97" i="1" s="1"/>
  <c r="N87" i="1"/>
  <c r="P87" i="1" s="1"/>
  <c r="N77" i="1"/>
  <c r="N67" i="1"/>
  <c r="P67" i="1" s="1"/>
  <c r="N55" i="1"/>
  <c r="N43" i="1"/>
  <c r="N33" i="1"/>
  <c r="P33" i="1" s="1"/>
  <c r="N22" i="1"/>
  <c r="N12" i="1"/>
  <c r="P12" i="1" s="1"/>
  <c r="N198" i="1"/>
  <c r="N188" i="1"/>
  <c r="P188" i="1" s="1"/>
  <c r="N178" i="1"/>
  <c r="P178" i="1" s="1"/>
  <c r="N168" i="1"/>
  <c r="N158" i="1"/>
  <c r="P158" i="1" s="1"/>
  <c r="N148" i="1"/>
  <c r="P148" i="1" s="1"/>
  <c r="N137" i="1"/>
  <c r="P137" i="1" s="1"/>
  <c r="N127" i="1"/>
  <c r="P127" i="1" s="1"/>
  <c r="N117" i="1"/>
  <c r="P117" i="1" s="1"/>
  <c r="N107" i="1"/>
  <c r="N96" i="1"/>
  <c r="P96" i="1" s="1"/>
  <c r="N86" i="1"/>
  <c r="P86" i="1" s="1"/>
  <c r="N76" i="1"/>
  <c r="P76" i="1" s="1"/>
  <c r="N66" i="1"/>
  <c r="P66" i="1" s="1"/>
  <c r="N53" i="1"/>
  <c r="N42" i="1"/>
  <c r="N32" i="1"/>
  <c r="N21" i="1"/>
  <c r="P21" i="1" s="1"/>
  <c r="N197" i="1"/>
  <c r="N187" i="1"/>
  <c r="P187" i="1" s="1"/>
  <c r="N177" i="1"/>
  <c r="P177" i="1" s="1"/>
  <c r="N167" i="1"/>
  <c r="P167" i="1" s="1"/>
  <c r="N157" i="1"/>
  <c r="P157" i="1" s="1"/>
  <c r="N147" i="1"/>
  <c r="P147" i="1" s="1"/>
  <c r="N136" i="1"/>
  <c r="N126" i="1"/>
  <c r="P126" i="1" s="1"/>
  <c r="N116" i="1"/>
  <c r="P116" i="1" s="1"/>
  <c r="N106" i="1"/>
  <c r="P106" i="1" s="1"/>
  <c r="N95" i="1"/>
  <c r="P95" i="1" s="1"/>
  <c r="N85" i="1"/>
  <c r="P85" i="1" s="1"/>
  <c r="N75" i="1"/>
  <c r="N65" i="1"/>
  <c r="P65" i="1" s="1"/>
  <c r="N52" i="1"/>
  <c r="N41" i="1"/>
  <c r="N31" i="1"/>
  <c r="P31" i="1" s="1"/>
  <c r="N20" i="1"/>
  <c r="N196" i="1"/>
  <c r="P196" i="1" s="1"/>
  <c r="N186" i="1"/>
  <c r="P186" i="1" s="1"/>
  <c r="N176" i="1"/>
  <c r="P176" i="1" s="1"/>
  <c r="N166" i="1"/>
  <c r="N156" i="1"/>
  <c r="N146" i="1"/>
  <c r="N135" i="1"/>
  <c r="N125" i="1"/>
  <c r="N115" i="1"/>
  <c r="N105" i="1"/>
  <c r="P105" i="1" s="1"/>
  <c r="N94" i="1"/>
  <c r="N84" i="1"/>
  <c r="N74" i="1"/>
  <c r="P74" i="1" s="1"/>
  <c r="N64" i="1"/>
  <c r="N51" i="1"/>
  <c r="P51" i="1" s="1"/>
  <c r="N40" i="1"/>
  <c r="P40" i="1" s="1"/>
  <c r="N30" i="1"/>
  <c r="P30" i="1" s="1"/>
  <c r="N19" i="1"/>
  <c r="P19" i="1" s="1"/>
  <c r="N195" i="1"/>
  <c r="P195" i="1" s="1"/>
  <c r="N185" i="1"/>
  <c r="N175" i="1"/>
  <c r="P175" i="1" s="1"/>
  <c r="N165" i="1"/>
  <c r="P165" i="1" s="1"/>
  <c r="N155" i="1"/>
  <c r="P155" i="1" s="1"/>
  <c r="N145" i="1"/>
  <c r="N134" i="1"/>
  <c r="N124" i="1"/>
  <c r="P124" i="1" s="1"/>
  <c r="N114" i="1"/>
  <c r="P114" i="1" s="1"/>
  <c r="N104" i="1"/>
  <c r="N93" i="1"/>
  <c r="N83" i="1"/>
  <c r="N73" i="1"/>
  <c r="N63" i="1"/>
  <c r="P63" i="1" s="1"/>
  <c r="N50" i="1"/>
  <c r="P50" i="1" s="1"/>
  <c r="N39" i="1"/>
  <c r="P39" i="1" s="1"/>
  <c r="N29" i="1"/>
  <c r="P29" i="1" s="1"/>
  <c r="N18" i="1"/>
  <c r="P18" i="1" s="1"/>
  <c r="N194" i="1"/>
  <c r="P194" i="1" s="1"/>
  <c r="N184" i="1"/>
  <c r="P184" i="1" s="1"/>
  <c r="N174" i="1"/>
  <c r="P174" i="1" s="1"/>
  <c r="N164" i="1"/>
  <c r="P164" i="1" s="1"/>
  <c r="N154" i="1"/>
  <c r="P154" i="1" s="1"/>
  <c r="N144" i="1"/>
  <c r="P144" i="1" s="1"/>
  <c r="N133" i="1"/>
  <c r="N123" i="1"/>
  <c r="N113" i="1"/>
  <c r="N103" i="1"/>
  <c r="P103" i="1" s="1"/>
  <c r="N92" i="1"/>
  <c r="P92" i="1" s="1"/>
  <c r="N82" i="1"/>
  <c r="N72" i="1"/>
  <c r="N62" i="1"/>
  <c r="N49" i="1"/>
  <c r="P49" i="1" s="1"/>
  <c r="N38" i="1"/>
  <c r="P38" i="1" s="1"/>
  <c r="N28" i="1"/>
  <c r="P28" i="1" s="1"/>
  <c r="N17" i="1"/>
  <c r="P17" i="1" s="1"/>
  <c r="N193" i="1"/>
  <c r="N183" i="1"/>
  <c r="P183" i="1" s="1"/>
  <c r="N173" i="1"/>
  <c r="P173" i="1" s="1"/>
  <c r="N163" i="1"/>
  <c r="P163" i="1" s="1"/>
  <c r="N153" i="1"/>
  <c r="P153" i="1" s="1"/>
  <c r="N143" i="1"/>
  <c r="P143" i="1" s="1"/>
  <c r="N132" i="1"/>
  <c r="P132" i="1" s="1"/>
  <c r="N122" i="1"/>
  <c r="P122" i="1" s="1"/>
  <c r="N112" i="1"/>
  <c r="N102" i="1"/>
  <c r="P102" i="1" s="1"/>
  <c r="N91" i="1"/>
  <c r="N81" i="1"/>
  <c r="N71" i="1"/>
  <c r="N61" i="1"/>
  <c r="P61" i="1" s="1"/>
  <c r="N48" i="1"/>
  <c r="P48" i="1" s="1"/>
  <c r="N37" i="1"/>
  <c r="N27" i="1"/>
  <c r="P27" i="1" s="1"/>
  <c r="N16" i="1"/>
  <c r="P16" i="1" s="1"/>
  <c r="O9" i="1"/>
</calcChain>
</file>

<file path=xl/sharedStrings.xml><?xml version="1.0" encoding="utf-8"?>
<sst xmlns="http://schemas.openxmlformats.org/spreadsheetml/2006/main" count="931" uniqueCount="730">
  <si>
    <t>Ведомость по товарам на складах</t>
  </si>
  <si>
    <t>Параметры:</t>
  </si>
  <si>
    <t>Период: 15.09.2026 - 15.09.2026</t>
  </si>
  <si>
    <t>Количество товаров: В единицах хранения</t>
  </si>
  <si>
    <t>Отбор:</t>
  </si>
  <si>
    <t>Склад В списке "АСП Бердянск ПОКОМ; АСП Бердянск Заморозка; АСП Бердянск Молоко Остан...; АСП Бердянск Останкино" И
Номенклатура В группе из списка "ПОКОМ Логистический Партн...; Останкино ООО"</t>
  </si>
  <si>
    <t>Номенклатура.Код</t>
  </si>
  <si>
    <t>Номенклатура</t>
  </si>
  <si>
    <t>Ед. изм.</t>
  </si>
  <si>
    <t>Количество</t>
  </si>
  <si>
    <t>Вес (нетто), кг</t>
  </si>
  <si>
    <t>Конечный остаток</t>
  </si>
  <si>
    <t>кг</t>
  </si>
  <si>
    <t>шт</t>
  </si>
  <si>
    <t>00-ko000869</t>
  </si>
  <si>
    <t>ПОКОМ Логистический Партнер</t>
  </si>
  <si>
    <t>00-00003640</t>
  </si>
  <si>
    <t>Вязанка Логистический Партнер(Кг)</t>
  </si>
  <si>
    <t>00-00000923</t>
  </si>
  <si>
    <t xml:space="preserve"> 005  Колбаса Докторская ГОСТ, Вязанка вектор,ВЕС. ПОКОМ</t>
  </si>
  <si>
    <t>00-00000894</t>
  </si>
  <si>
    <t xml:space="preserve"> 016  Сосиски Вязанка Молочные, Вязанка вискофан  ВЕС.ПОКОМ</t>
  </si>
  <si>
    <t>00-00000895</t>
  </si>
  <si>
    <t xml:space="preserve"> 017  Сосиски Вязанка Сливочные, Вязанка амицел ВЕС.ПОКОМ</t>
  </si>
  <si>
    <t>00-00007957</t>
  </si>
  <si>
    <t xml:space="preserve"> 312  Ветчина Филейская ВЕС ТМ  Вязанка ТС Столичная  ПОКОМ</t>
  </si>
  <si>
    <t>00-00008011</t>
  </si>
  <si>
    <t xml:space="preserve"> 315  Колбаса вареная Молокуша ТМ Вязанка ВЕС, ПОКОМ</t>
  </si>
  <si>
    <t>00-00008056</t>
  </si>
  <si>
    <t xml:space="preserve"> 330  Колбаса вареная Филейская ТМ Вязанка ТС Классическая ВЕС  ПОКОМ</t>
  </si>
  <si>
    <t>00-00008855</t>
  </si>
  <si>
    <t xml:space="preserve"> 335  Колбаса Сливушка ТМ Вязанка. ВЕС.  ПОКОМ </t>
  </si>
  <si>
    <t>00-00008856</t>
  </si>
  <si>
    <t xml:space="preserve"> 336  Ветчина Сливушка с индейкой ТМ Вязанка. ВЕС  ПОКОМ</t>
  </si>
  <si>
    <t>00-00008656</t>
  </si>
  <si>
    <t xml:space="preserve"> 364  Сардельки Филейские Вязанка ВЕС NDX ТМ Вязанка  ПОКОМ</t>
  </si>
  <si>
    <t>00-ko011537</t>
  </si>
  <si>
    <t xml:space="preserve"> 547  Колбаса Мясная Классическая ТМ Вязанка в оболочке полиамид. ВЕС  ПОКОМ</t>
  </si>
  <si>
    <t>00-ko011536</t>
  </si>
  <si>
    <t xml:space="preserve"> 556  Колбаса Сервелат Ореховый ТМ Вязанка в оболочке фиброуз в вакуумной упаковке, ВЕС  ПОКОМ</t>
  </si>
  <si>
    <t>00-ko011531</t>
  </si>
  <si>
    <t xml:space="preserve"> 558  Колбаса Балыковая НОВАЯ ВЕС Вязанка фиброуз в/у ПОКОМ</t>
  </si>
  <si>
    <t>00-ko010042</t>
  </si>
  <si>
    <t>503 Колбаса Филейская со шпиком ТМ Вязанка в оболочке полиамид.ПОКОМ</t>
  </si>
  <si>
    <t>00-00003652</t>
  </si>
  <si>
    <t>Вязанка Логистический Партнер(Шт)</t>
  </si>
  <si>
    <t>00-00000967</t>
  </si>
  <si>
    <t xml:space="preserve"> 030  Сосиски Вязанка Молочные, Вязанка вискофан МГС, 0.45кг, ПОКОМ</t>
  </si>
  <si>
    <t>00-00000968</t>
  </si>
  <si>
    <t xml:space="preserve"> 032  Сосиски Вязанка Сливочные, Вязанка амицел МГС, 0.45кг, ПОКОМ</t>
  </si>
  <si>
    <t>00-00007904</t>
  </si>
  <si>
    <t xml:space="preserve"> 276  Колбаса Сливушка ТМ Вязанка в оболочке полиамид 0,45 кг  ПОКОМ</t>
  </si>
  <si>
    <t>00-00009312</t>
  </si>
  <si>
    <t xml:space="preserve"> 298  Колбаса Сливушка ТМ Вязанка, 0,375кг,  ПОКОМ</t>
  </si>
  <si>
    <t>00-00008110</t>
  </si>
  <si>
    <t xml:space="preserve"> 319  Колбаса вареная Филейская ТМ Вязанка ТС Классическая, 0,45 кг. ПОКОМ</t>
  </si>
  <si>
    <t>00-00008752</t>
  </si>
  <si>
    <t xml:space="preserve"> 322  Колбаса вареная Молокуша 0,45кг ТМ Вязанка  ПОКОМ</t>
  </si>
  <si>
    <t>00-00008397</t>
  </si>
  <si>
    <t xml:space="preserve"> 339  Колбаса вареная Филейская ТМ Вязанка ТС Классическая, 0,40 кг.  ПОКОМ</t>
  </si>
  <si>
    <t>00-00009009</t>
  </si>
  <si>
    <t xml:space="preserve"> 387  Колбаса вареная Мусульманская Халяль ТМ Вязанка, 0,4 кг ПОКОМ</t>
  </si>
  <si>
    <t>00-00009010</t>
  </si>
  <si>
    <t xml:space="preserve"> 388  Сосиски Восточные Халяль ТМ Вязанка 0,33 кг АК. ПОКОМ</t>
  </si>
  <si>
    <t>00-00009080</t>
  </si>
  <si>
    <t xml:space="preserve"> 395  Колбаса Докторская ГОСТ ТМ Вязанка в оболочке полиамид 0,37 кг. ПОКОМ</t>
  </si>
  <si>
    <t>00-00009325</t>
  </si>
  <si>
    <t xml:space="preserve"> 405  Сардельки Сливушки ТМ Вязанка в оболочке айпил 0,33 кг. ПОКОМ</t>
  </si>
  <si>
    <t>00-00009082</t>
  </si>
  <si>
    <t xml:space="preserve"> 408  Ветчина Сливушка с индейкой ТМ Вязанка, 0,4кг  ПОКОМ</t>
  </si>
  <si>
    <t>00-ko011465</t>
  </si>
  <si>
    <t xml:space="preserve"> 551  Колбаса Сливушка ТМ Вязанка в модифицированной газовой среде 0,11 кг нарезка  ПОКОМ</t>
  </si>
  <si>
    <t>00-ko011464</t>
  </si>
  <si>
    <t xml:space="preserve"> 555  Колбаса Молокуша ТМ Вязанка в модифицированной газовой среде 0,17 кг нарезка  ПОКОМ</t>
  </si>
  <si>
    <t>00-ko011578</t>
  </si>
  <si>
    <t xml:space="preserve"> 569  Колбаса Балыковая ТМ Вязанка в оболочке фиброуз в вакуумной упаковке 0,28 кг срез.  ПОКОМ</t>
  </si>
  <si>
    <t>00-ko011580</t>
  </si>
  <si>
    <t xml:space="preserve"> 571  Колбаса Сервелат Ореховый ТМ Вязанка в оболочке фиброуз в вак. упаковке 0,28 кг срез  ПОКОМ</t>
  </si>
  <si>
    <t>00-ko011712</t>
  </si>
  <si>
    <t xml:space="preserve"> 574  Колбаса Сервелат Финский ТМ Вязанка в упаковке скин 0,09 кг нарезка  ПОКОМ</t>
  </si>
  <si>
    <t>00-ko011711</t>
  </si>
  <si>
    <t xml:space="preserve"> 583  Колбаса Балыковая ТМ Вязанка в упаковке скин 0,09 кг нарезка  ПОКОМ</t>
  </si>
  <si>
    <t>00-ko011713</t>
  </si>
  <si>
    <t xml:space="preserve"> 584  Колбаса Сервелат Ореховый ТМ Вязанка в упаковке скин 0,09 кг нарезка  ПОКОМ</t>
  </si>
  <si>
    <t>00-ko009783</t>
  </si>
  <si>
    <t>Заморозка Зареченские Логистический партнер (кг)</t>
  </si>
  <si>
    <t>00-ko011385</t>
  </si>
  <si>
    <t>БОНУС_Пирожки с мясом 3,7кг ВЕС ТМ Зареченские  ПОКОМ</t>
  </si>
  <si>
    <t>00-ko011774</t>
  </si>
  <si>
    <t>Мини-сосиски в ароматном тесте ВЕС ТМ Зареченские продукты  ПОКОМ</t>
  </si>
  <si>
    <t>00-ko011470</t>
  </si>
  <si>
    <t>Мини-сосиски в тесте 5кг ВЕС ТМ Зареченские  ПОКОМ</t>
  </si>
  <si>
    <t>00-ko009757</t>
  </si>
  <si>
    <t>Мини-шарики с курочкой и сыром ТМ Зареченские ВЕС ПОКОМ</t>
  </si>
  <si>
    <t>00-00009290</t>
  </si>
  <si>
    <t>Наггетсы Хрустящие ТМ Зареченские ТС Зареченские продукты. Поком</t>
  </si>
  <si>
    <t>00-ko009753</t>
  </si>
  <si>
    <t>Пирожки с мясом 3,7кг ВЕС ТМ Зареченские  ПОКОМ</t>
  </si>
  <si>
    <t>00-ko009121</t>
  </si>
  <si>
    <t>Чебуреки Мясные вес 2,7 кг ТМ Зареченские ТС Зареченские продукты   Поком</t>
  </si>
  <si>
    <t>00-00009291</t>
  </si>
  <si>
    <t>Чебуреки сочные ТМ Зареченские ТС Зареченские продукты.  Поком</t>
  </si>
  <si>
    <t>00-ko009782</t>
  </si>
  <si>
    <t>Заморозка Зареченские Логистический партнер (шт)</t>
  </si>
  <si>
    <t>00-ko009737</t>
  </si>
  <si>
    <t>Пельмени Домашние со сливочным маслом ТМ Зареченские  продукты флоу-пак сфера 0,7 кг.  Поком</t>
  </si>
  <si>
    <t>00-ko009784</t>
  </si>
  <si>
    <t>Зареченские Логистический Партнер (кг)</t>
  </si>
  <si>
    <t>00-00008108</t>
  </si>
  <si>
    <t xml:space="preserve"> 318  Сосиски Датские ТМ Зареченские, ВЕС  ПОКОМ</t>
  </si>
  <si>
    <t>00-00000870</t>
  </si>
  <si>
    <t>Логистический Партнер Кг</t>
  </si>
  <si>
    <t>00-00006605</t>
  </si>
  <si>
    <t xml:space="preserve"> 200  Ветчина Дугушка ТМ Стародворье, вектор в/у    ПОКОМ</t>
  </si>
  <si>
    <t>00-00005832</t>
  </si>
  <si>
    <t xml:space="preserve"> 201  Ветчина Нежная ТМ Особый рецепт, (2,5кг), ПОКОМ</t>
  </si>
  <si>
    <t>00-00005273</t>
  </si>
  <si>
    <t xml:space="preserve"> 215  Колбаса Докторская ГОСТ Дугушка, ВЕС, ТМ Стародворье ПОКОМ</t>
  </si>
  <si>
    <t>00-00005821</t>
  </si>
  <si>
    <t xml:space="preserve"> 219  Колбаса Докторская Особая ТМ Особый рецепт, ВЕС  ПОКОМ</t>
  </si>
  <si>
    <t>00-00005969</t>
  </si>
  <si>
    <t xml:space="preserve"> 225  Колбаса Дугушка со шпиком, ВЕС, ТМ Стародворье   ПОКОМ</t>
  </si>
  <si>
    <t>00-00005539</t>
  </si>
  <si>
    <t xml:space="preserve"> 226  Колбаса Княжеская, с/к белков.обол в термоусад. пакете, ВЕС, ТМ Стародворье ПОКОМ</t>
  </si>
  <si>
    <t>00-00005274</t>
  </si>
  <si>
    <t xml:space="preserve"> 229  Колбаса Молочная Дугушка, в/у, ВЕС, ТМ Стародворье   ПОКОМ</t>
  </si>
  <si>
    <t>00-00005635</t>
  </si>
  <si>
    <t xml:space="preserve"> 236  Колбаса Рубленая ЗАПЕЧ. Дугушка ТМ Стародворье, вектор, в/к    ПОКОМ</t>
  </si>
  <si>
    <t>00-00005603</t>
  </si>
  <si>
    <t xml:space="preserve"> 239  Колбаса Салями запеч Дугушка, оболочка вектор, ВЕС, ТМ Стародворье  ПОКОМ</t>
  </si>
  <si>
    <t>00-00000910</t>
  </si>
  <si>
    <t xml:space="preserve"> 240  Колбаса Салями охотничья, ВЕС. ПОКОМ</t>
  </si>
  <si>
    <t>00-00005636</t>
  </si>
  <si>
    <t xml:space="preserve"> 242  Колбаса Сервелат ЗАПЕЧ.Дугушка ТМ Стародворье, вектор, в/к     ПОКОМ</t>
  </si>
  <si>
    <t>00-00000890</t>
  </si>
  <si>
    <t xml:space="preserve"> 247  Сардельки Нежные, ВЕС.  ПОКОМ</t>
  </si>
  <si>
    <t>00-00006239</t>
  </si>
  <si>
    <t xml:space="preserve"> 248  Сардельки Сочные ТМ Особый рецепт,   ПОКОМ</t>
  </si>
  <si>
    <t>00-00006052</t>
  </si>
  <si>
    <t xml:space="preserve"> 250  Сардельки стародворские с говядиной в обол. NDX, ВЕС. ПОКОМ</t>
  </si>
  <si>
    <t>00-00006302</t>
  </si>
  <si>
    <t xml:space="preserve"> 255  Сосиски Молочные для завтрака ТМ Особый рецепт, п/а МГС, ВЕС, ТМ Стародворье  ПОКОМ</t>
  </si>
  <si>
    <t>00-00005822</t>
  </si>
  <si>
    <t xml:space="preserve"> 257  Сосиски Молочные оригинальные ТМ Особый рецепт, ВЕС.   ПОКОМ</t>
  </si>
  <si>
    <t>00-00000899</t>
  </si>
  <si>
    <t xml:space="preserve"> 263  Шпикачки Стародворские, ВЕС.  ПОКОМ</t>
  </si>
  <si>
    <t>00-00006426</t>
  </si>
  <si>
    <t xml:space="preserve"> 265  Колбаса Балыкбургская, ВЕС, ТМ Баварушка  ПОКОМ</t>
  </si>
  <si>
    <t>00-00006428</t>
  </si>
  <si>
    <t xml:space="preserve"> 266  Колбаса Филейбургская с сочным окороком, ВЕС, ТМ Баварушка  ПОКОМ</t>
  </si>
  <si>
    <t>00-00006480</t>
  </si>
  <si>
    <t xml:space="preserve"> 267  Колбаса Салями Филейбургская зернистая, оболочка фиброуз, ВЕС, ТМ Баварушка  ПОКОМ</t>
  </si>
  <si>
    <t>00-00007182</t>
  </si>
  <si>
    <t xml:space="preserve"> 283  Сосиски Сочинки, ВЕС, ТМ Стародворье ПОКОМ</t>
  </si>
  <si>
    <t>00-00007882</t>
  </si>
  <si>
    <t xml:space="preserve"> 297  Колбаса Мясорубская с рубленой грудинкой ВЕС ТМ Стародворье  ПОКОМ</t>
  </si>
  <si>
    <t>00-00008651</t>
  </si>
  <si>
    <t xml:space="preserve"> 305  Колбаса Сервелат Мясорубский с мелкорубленным окороком в/у  ТМ Стародворье ВЕС   ПОКОМ</t>
  </si>
  <si>
    <t>00-ko009080</t>
  </si>
  <si>
    <t xml:space="preserve"> 340  Сосиски Сочинки Молочные ТМ Стародворье, ВЕС ПОКОМ</t>
  </si>
  <si>
    <t>00-00000799</t>
  </si>
  <si>
    <t xml:space="preserve"> 341 Сосиски Сочинки Сливочные ТМ Стародворье ВЕС ПОКОМ</t>
  </si>
  <si>
    <t>00-00008906</t>
  </si>
  <si>
    <t xml:space="preserve"> 344  Колбаса Сочинка по-европейски с сочной грудинкой ТМ Стародворье, ВЕС ПОКОМ</t>
  </si>
  <si>
    <t>00-00008907</t>
  </si>
  <si>
    <t xml:space="preserve"> 345  Колбаса Сочинка по-фински с сочным окроком ТМ Стародворье ВЕС ПОКОМ</t>
  </si>
  <si>
    <t>00-ko009147</t>
  </si>
  <si>
    <t xml:space="preserve"> 346  Колбаса Сочинка зернистая с сочной грудинкой ТМ Стародворье.ВЕС ПОКОМ</t>
  </si>
  <si>
    <t>00-00009321</t>
  </si>
  <si>
    <t xml:space="preserve"> 347  Колбаса Сочинка рубленая с сочным окороком ТМ Стародворье ВЕС ПОКОМ</t>
  </si>
  <si>
    <t>00-ko009715</t>
  </si>
  <si>
    <t xml:space="preserve"> 449  Колбаса Дугушка Стародворская ВЕС ТС Дугушка ПОКОМ</t>
  </si>
  <si>
    <t>00-ko009574</t>
  </si>
  <si>
    <t xml:space="preserve"> 452  Колбаса Со шпиком ВЕС большой батон ТМ Особый рецепт  ПОКОМ</t>
  </si>
  <si>
    <t>00-ko009644</t>
  </si>
  <si>
    <t xml:space="preserve"> 456  Колбаса Филейная ТМ Особый рецепт ВЕС большой батон  ПОКОМ</t>
  </si>
  <si>
    <t>00-ko009646</t>
  </si>
  <si>
    <t xml:space="preserve"> 457  Колбаса Молочная ТМ Особый рецепт ВЕС большой батон  ПОКОМ</t>
  </si>
  <si>
    <t>00-ko011534</t>
  </si>
  <si>
    <t xml:space="preserve"> 557  Колбаса Сервелат Финский ТМ Вязанка в оболочке фиброуз в вакуумной упаковке, ВЕС  ПОКОМ</t>
  </si>
  <si>
    <t>00-ko011582</t>
  </si>
  <si>
    <t xml:space="preserve"> 579  Колбаса Ветчинно-рубленая ТМ Особый рецепт в оболочке полиамид.ВЕС  ПОКОМ</t>
  </si>
  <si>
    <t>00-ko011583</t>
  </si>
  <si>
    <t xml:space="preserve"> 580  Ветчина Нежная с индейкой ТМ Особый рецепт в оболочке полиамид.ВЕС  ПОКОМ</t>
  </si>
  <si>
    <t>00-ko011661</t>
  </si>
  <si>
    <t xml:space="preserve"> 585  Колбаса Молочная ТМ Стародворье в оболочке вектор НД ВЕС.  ПОКОМ</t>
  </si>
  <si>
    <t>00-ko011581</t>
  </si>
  <si>
    <t xml:space="preserve"> 586  Колбаса Мясная ТМ Стародворье в оболочке вектор НД ВЕС.  ПОКОМ</t>
  </si>
  <si>
    <t>00-ko011611</t>
  </si>
  <si>
    <t xml:space="preserve"> 588 Колбаса Со шпиком ТМ Стародворье в оболочке вектор ВЕС  ПОКОМ</t>
  </si>
  <si>
    <t>00-ko011707</t>
  </si>
  <si>
    <t xml:space="preserve"> 597  Колбаса Классическая ТМ Особый рецепт в оболочке полиамид ВЕС. ПОКОМ</t>
  </si>
  <si>
    <t>00-00000935</t>
  </si>
  <si>
    <t>Логистический Партнер Шт</t>
  </si>
  <si>
    <t>00-00005538</t>
  </si>
  <si>
    <t xml:space="preserve"> 047  Кол Баварская, белков.обол. в термоусад. пакете 0.17 кг, ТМ Стародворье  ПОКОМ</t>
  </si>
  <si>
    <t>00-00005820</t>
  </si>
  <si>
    <t xml:space="preserve"> 062  Колбаса Кракушка пряная с сальцем, 0.3кг в/у п/к, БАВАРУШКА ПОКОМ</t>
  </si>
  <si>
    <t>00-00000953</t>
  </si>
  <si>
    <t xml:space="preserve"> 083  Колбаса Швейцарская 0,17 кг., ШТ., сырокопченая   ПОКОМ</t>
  </si>
  <si>
    <t>00-00007884</t>
  </si>
  <si>
    <t xml:space="preserve"> 273  Сосиски Сочинки с сочной грудинкой, МГС 0.4кг,   ПОКОМ</t>
  </si>
  <si>
    <t>00-00008111</t>
  </si>
  <si>
    <t xml:space="preserve"> 278  Сосиски Сочинки с сочным окороком, МГС 0.4кг,   ПОКОМ</t>
  </si>
  <si>
    <t>00-00008552</t>
  </si>
  <si>
    <t xml:space="preserve"> 281  Сосиски Молочные для завтрака ТМ Особый рецепт, 0,4кг  ПОКОМ</t>
  </si>
  <si>
    <t>00-00008448</t>
  </si>
  <si>
    <t xml:space="preserve"> 285  Паштет печеночный со слив.маслом ТМ Стародворье ламистер 0,1 кг  ПОКОМ</t>
  </si>
  <si>
    <t>00-00007883</t>
  </si>
  <si>
    <t xml:space="preserve"> 296  Колбаса Мясорубская с рубленой грудинкой 0,35кг срез ТМ Стародворье  ПОКОМ</t>
  </si>
  <si>
    <t>00-00007885</t>
  </si>
  <si>
    <t xml:space="preserve"> 301  Сосиски Сочинки по-баварски с сыром,  0.4кг, ТМ Стародворье  ПОКОМ</t>
  </si>
  <si>
    <t>00-00007886</t>
  </si>
  <si>
    <t xml:space="preserve"> 302  Сосиски Сочинки по-баварски,  0.4кг, ТМ Стародворье  ПОКОМ</t>
  </si>
  <si>
    <t>00-00008268</t>
  </si>
  <si>
    <t xml:space="preserve"> 307  Колбаса Сервелат Мясорубский с мелкорубленным окороком 0,35 кг срез ТМ Стародворье   Поком</t>
  </si>
  <si>
    <t>00-00008169</t>
  </si>
  <si>
    <t xml:space="preserve"> 309  Сосиски Сочинки с сыром 0,4 кг ТМ Стародворье  ПОКОМ</t>
  </si>
  <si>
    <t>00-00008901</t>
  </si>
  <si>
    <t xml:space="preserve"> 328  Сардельки Сочинки Стародворье ТМ  0,4 кг ПОКОМ</t>
  </si>
  <si>
    <t>00-00008517</t>
  </si>
  <si>
    <t xml:space="preserve"> 329  Сардельки Сочинки с сыром Стародворье ТМ, 0,4 кг. ПОКОМ</t>
  </si>
  <si>
    <t>00-00009323</t>
  </si>
  <si>
    <t xml:space="preserve"> 334  Паштет Любительский ТМ Стародворье ламистер 0,1 кг  ПОКОМ</t>
  </si>
  <si>
    <t>00-00009324</t>
  </si>
  <si>
    <t xml:space="preserve"> 338  Паштет печеночный с морковью ТМ Стародворье ламистер 0,1 кг.  ПОКОМ</t>
  </si>
  <si>
    <t>00-00008857</t>
  </si>
  <si>
    <t xml:space="preserve"> 342 Сосиски Сочинки Молочные ТМ Стародворье 0,4 кг ПОКОМ</t>
  </si>
  <si>
    <t>00-00008858</t>
  </si>
  <si>
    <t xml:space="preserve"> 343 Сосиски Сочинки Сливочные ТМ Стародворье  0,4 кг ПОКОМ</t>
  </si>
  <si>
    <t>00-00009081</t>
  </si>
  <si>
    <t xml:space="preserve"> 376  Колбаса Докторская Дугушка 0,6кг ГОСТ ТМ Стародворье  ПОКОМ </t>
  </si>
  <si>
    <t>00-ko009847</t>
  </si>
  <si>
    <t xml:space="preserve"> 377  Колбаса Молочная Дугушка 0,6кг ТМ Стародворье  ПОКОМ</t>
  </si>
  <si>
    <t>00-ko009070</t>
  </si>
  <si>
    <t xml:space="preserve"> 378  Колбаса Докторская Дугушка 0,6кг НЕГОСТ ТМ Стародворье  ПОКОМ </t>
  </si>
  <si>
    <t>00-ko011455</t>
  </si>
  <si>
    <t xml:space="preserve"> 394 Колбаса полукопченая Аль-Ислами халяль ТМ Вязанка оболочка фиброуз в в/у 0,35 кг  ПОКОМ</t>
  </si>
  <si>
    <t>00-00009084</t>
  </si>
  <si>
    <t xml:space="preserve"> 397  Ветчина Дугушка ТМ Стародворье ТС Дугушка в полиамидной оболочке 0,6 кг. ПОКОМ</t>
  </si>
  <si>
    <t>00-ko009100</t>
  </si>
  <si>
    <t xml:space="preserve"> 410  Сосиски Баварские с сыром ТМ Стародворье 0,35 кг. ПОКОМ</t>
  </si>
  <si>
    <t>00-ko009128</t>
  </si>
  <si>
    <t xml:space="preserve"> 412  Сосиски Баварские ТМ Стародворье 0,35 кг ПОКОМ</t>
  </si>
  <si>
    <t>00-ko010045</t>
  </si>
  <si>
    <t xml:space="preserve"> 498  Колбаса Сочинка рубленая с сочным окороком 0,3кг ТМ Стародворье  ПОКОМ</t>
  </si>
  <si>
    <t>00-ko011123</t>
  </si>
  <si>
    <t xml:space="preserve"> 523  Колбаса Сальчичон нарезка 0,07кг ТМ Стародворье  ПОКОМ </t>
  </si>
  <si>
    <t>00-ko011142</t>
  </si>
  <si>
    <t xml:space="preserve"> 524  Колбаса Сервелат Ореховый нарезка 0,07кг ТМ Стародворье  ПОКОМ</t>
  </si>
  <si>
    <t>00-ko011128</t>
  </si>
  <si>
    <t xml:space="preserve"> 525  Колбаса Фуэт нарезка 0,07кг ТМ Стародворье  ПОКОМ</t>
  </si>
  <si>
    <t>00-ko011127</t>
  </si>
  <si>
    <t xml:space="preserve"> 526  Корейка вяленая выдержанная нарезка 0,05кг ТМ Стародворье  ПОКОМ</t>
  </si>
  <si>
    <t>00-ko011597</t>
  </si>
  <si>
    <t xml:space="preserve"> 544  Сосиски Мясные для гриля ТС Ядрена копоть 0,3 кг  ПОКОМ</t>
  </si>
  <si>
    <t>00-ko011467</t>
  </si>
  <si>
    <t xml:space="preserve"> 553  Ассорти колбас Мясорубская коллекция: Сервелат Делюкс, С балыком 0,08 кг нарезка  ПОКОМ</t>
  </si>
  <si>
    <t>00-ko011468</t>
  </si>
  <si>
    <t xml:space="preserve"> 554  Колбаса Сервелат Мясорубский ТМ Стародворье в упаковке скин 0,08 кг нарезка  ПОКОМ</t>
  </si>
  <si>
    <t>00-ko011745</t>
  </si>
  <si>
    <t xml:space="preserve"> 614  Буженина в пряном маринаде 0,25 кг консервы из мяса индейки ТМ Стародворье  ПОКОМ</t>
  </si>
  <si>
    <t>00-ko011746</t>
  </si>
  <si>
    <t xml:space="preserve"> 615  Гречка по-купечески с говядиной и овощами 0,325кг ТМ Стародворье  ПОКОМ</t>
  </si>
  <si>
    <t>00-ko011747</t>
  </si>
  <si>
    <t xml:space="preserve"> 616  Индейка томлёная в собственном соку 0,25кг ТМ Стародлворье Консервый из мяс.птицы  ПОКОМ</t>
  </si>
  <si>
    <t>00-ko010043</t>
  </si>
  <si>
    <t>495  Колбаса Сочинка по-европейски с сочной грудинкой 0,3кг ТМ Стародворье  ПОКОМ</t>
  </si>
  <si>
    <t>00-ko010044</t>
  </si>
  <si>
    <t>496  Колбаса Сочинка по-фински с сочным окроком 0,3кг ТМ Стародворье  ПОКОМ</t>
  </si>
  <si>
    <t>00-ko010568</t>
  </si>
  <si>
    <t>519  Грудинка 0,12 кг нарезка ТМ Стародворье  ПОКОМ</t>
  </si>
  <si>
    <t>00-ko011784</t>
  </si>
  <si>
    <t>БОНУС_ 334  Паштет Любительский ТМ Стародворье ламистер 0,1 кг  ПОКОМ</t>
  </si>
  <si>
    <t>00-00000988</t>
  </si>
  <si>
    <t>ПОКОМ Логистический Партнер Заморозка</t>
  </si>
  <si>
    <t>00-ko011279</t>
  </si>
  <si>
    <t>БОНУС_Готовые чебупели сочные с мясом ТМ Горячая штучка флоу-пак 0,24 кг  ПОКОМ</t>
  </si>
  <si>
    <t>00-ko011760</t>
  </si>
  <si>
    <t>БОНУС_Наггетсы Нагетосы Сочная курочка ТМ Горячая штучка 0,25 кг зам  ПОКОМ</t>
  </si>
  <si>
    <t>00-ko010601</t>
  </si>
  <si>
    <t>Бульмени хрустящие с мясом ТМ Горячая штучка ТС Бульмени ГШ сфера 0,22 кг  Поком</t>
  </si>
  <si>
    <t>00-00000996</t>
  </si>
  <si>
    <t>Готовые бельмеши сочные с мясом ТМ Горячая штучка 0,3кг зам  ПОКОМ</t>
  </si>
  <si>
    <t>00-ko011786</t>
  </si>
  <si>
    <t>Готовые хотстеры ТМ Горячая штучка ТС Хотстеры флоу-пак 0,25 кг.  ПОКОМ</t>
  </si>
  <si>
    <t>00-ko010311</t>
  </si>
  <si>
    <t>Готовые чебуманы с говядиной ТМ горячая штучка 0,28 кг.  Поком</t>
  </si>
  <si>
    <t>00-ko010683</t>
  </si>
  <si>
    <t>Готовые чебупели острые с мясом ТМ Горячая штучка флоу-пак 0,24 кг  Поком</t>
  </si>
  <si>
    <t>00-ko011788</t>
  </si>
  <si>
    <t>Готовые чебупели с ветчиной и сыром 0,24 кг НОВАЯ ТМ Горячая штучка  ПОКОМ</t>
  </si>
  <si>
    <t>00-ko010823</t>
  </si>
  <si>
    <t>Готовые чебупели с ветчиной и сыром ТМ Горячая штучка флоу-пак 0,24 кг.  ПОКОМ</t>
  </si>
  <si>
    <t>00-ko010809</t>
  </si>
  <si>
    <t>Готовые чебупели с мясом ТМ Горячая штучка 0,24 кг  ПОКОМ</t>
  </si>
  <si>
    <t>00-ko011790</t>
  </si>
  <si>
    <t>Готовые чебупели сочные с мясом 0,48 кг НОВАЯ ТМ Горячая штучка флоу-пак МЕГАпачка  ПОКОМ</t>
  </si>
  <si>
    <t>00-ko010785</t>
  </si>
  <si>
    <t>Готовые чебупели сочные с мясом ТМ Горячая штучка флоу-пак 0,24 кг  ПОКОМ</t>
  </si>
  <si>
    <t>00-ko010599</t>
  </si>
  <si>
    <t>Готовые чебупели сочные с мясом ТМ Горячая штучка флоу-пак 0,48 кг XXL  Поком</t>
  </si>
  <si>
    <t>00-00005599</t>
  </si>
  <si>
    <t>Готовые чебуреки с мясом ТМ Горячая штучка 0,09 кг флоу-пак ПОКОМ</t>
  </si>
  <si>
    <t>00-00008520</t>
  </si>
  <si>
    <t>Готовые чебуреки со свининой и говядиной ТМ Горячая штучка ТС Базовый ассортимент 0,36 кг  ПОКОМ</t>
  </si>
  <si>
    <t>00-ko010034</t>
  </si>
  <si>
    <t>ЖАР-ладушки с клубникой и вишней ТМ Стародворье 0,2 кг.  Поком</t>
  </si>
  <si>
    <t>00-ko011549</t>
  </si>
  <si>
    <t>Жареные вареники с картофелем и беконом ТМ Стародворье 0,2 кг  ПОКОМ</t>
  </si>
  <si>
    <t>00-ko010824</t>
  </si>
  <si>
    <t>Круггетсы с сырным соусом ТМ Горячая штучка ТС Круггетсы флоу-пак 0,2 кг  ПОКОМ</t>
  </si>
  <si>
    <t>00-ko010825</t>
  </si>
  <si>
    <t>Круггетсы сочные ТМ Горячая штучка ТС Круггетсы флоу-пак  0,2 кг.  ПОКОМ</t>
  </si>
  <si>
    <t>00-00006147</t>
  </si>
  <si>
    <t>Наггетсы из печи 0,25кг ТМ Вязанка замор.  ПОКОМ</t>
  </si>
  <si>
    <t>00-00006204</t>
  </si>
  <si>
    <t>Наггетсы Нагетосы Сочная курочка ТМ Горячая штучка 0,25 кг зам  ПОКОМ</t>
  </si>
  <si>
    <t>00-ko009536</t>
  </si>
  <si>
    <t>Наггетсы с индейкой 0,25кг ТМ Вязанка ТС Из печи Сливушки ПОКОМ</t>
  </si>
  <si>
    <t>00-ko009301</t>
  </si>
  <si>
    <t>Наггетсы с куриным филе и сыром ТМ Вязанка ТС Из печи Сливушки 0,25 кг.  Поком</t>
  </si>
  <si>
    <t>00-ko010776</t>
  </si>
  <si>
    <t>Наггетсы Хрустящие ТМ Стародворье с сочной курочкой 0,23 кг  ПОКОМ</t>
  </si>
  <si>
    <t>00-00005722</t>
  </si>
  <si>
    <t>Пекерсы с индейкой в сливочном соусе ТМ Горячая штучка 0,25 кг зам  ПОКОМ</t>
  </si>
  <si>
    <t>00-ko010309</t>
  </si>
  <si>
    <t>Пельмени Grandmeni с говядиной и свининой ТМ Горячаяштучка флоу-па классическая форма 0,7 кг.  Поком</t>
  </si>
  <si>
    <t>00-ko010308</t>
  </si>
  <si>
    <t>Пельмени Grandmeni с говядиной ТМ Горячаяштучка флоу-пак сфера 0,7 кг.  Поком</t>
  </si>
  <si>
    <t>00-ko010310</t>
  </si>
  <si>
    <t>Пельмени Grandmeni со сливочным маслом  ТМ Горячая штучка флоу-пак сфера 0,7 кг.  Поком</t>
  </si>
  <si>
    <t>00-ko009913</t>
  </si>
  <si>
    <t>Пельмени Бигбули #МЕГАВКУСИЩЕ с сочной грудинкой  ТМ Горячая штучка  флоу-пак сфера 0,7 кг.  Поком</t>
  </si>
  <si>
    <t>00-ko010165</t>
  </si>
  <si>
    <t>Пельмени Бигбули с мясом ТМ Горячая штучка БУЛЬМЕНИ ТС Бигбули ГШ  флоу-пак сфера 0,7.   Поком</t>
  </si>
  <si>
    <t>00-ko010164</t>
  </si>
  <si>
    <t>Пельмени Бигбули со сливочным маслом  ТС Бигбули ГШ#МЕГАМАСЛИЩЕ флоу-пак сфера 0,7.  Поком</t>
  </si>
  <si>
    <t>00-ko010600</t>
  </si>
  <si>
    <t>Пельмени Бульмени мини с мясом и оливковым маслом  ТС Бульмени ГШ флоу-пак сфера 0,7кг  Поком</t>
  </si>
  <si>
    <t>00-00006393</t>
  </si>
  <si>
    <t>Пельмени Бульмени с говядиной и свининой Наваристые Горячая штучка ВЕС  ПОКОМ</t>
  </si>
  <si>
    <t>00-ko009907</t>
  </si>
  <si>
    <t>Пельмени Бульмени с говядиной и свининой ТМ Горячая штучка  флоу-пак сфера 0,4 кг  Поком</t>
  </si>
  <si>
    <t>00-ko009908</t>
  </si>
  <si>
    <t>Пельмени Бульмени с говядиной и свининой ТМ Горячая штучка БУЛЬМЕНИ  флоу-пак сфера 0,7 кг.  Поком</t>
  </si>
  <si>
    <t>00-ko009909</t>
  </si>
  <si>
    <t>Пельмени Бульмени со сливочным маслом ТМ Горячая штучка  флоу-пак сфера 0,4 кг .  Поком</t>
  </si>
  <si>
    <t>00-ko009910</t>
  </si>
  <si>
    <t>Пельмени Бульмени со сливочным маслом ТМ Горячая штучка флоу-пак сфера 0,7 кг .  Поком</t>
  </si>
  <si>
    <t>00-ko011722</t>
  </si>
  <si>
    <t>Пельмени Медвежье ушко Премиум Мясные ТМ Медвежье ушко классическая форма флоу-пак 0,8 кг. ПОКОМ</t>
  </si>
  <si>
    <t>00-ko010777</t>
  </si>
  <si>
    <t>Пельмени Мясные с говядиной ТМ Стародворье сфера флоу-пак 1 кг  ПОКОМ</t>
  </si>
  <si>
    <t>00-00005724</t>
  </si>
  <si>
    <t>Пельмени Отборные из свинины и говядины 0,9 кг ТМ Стародворье ТС Медвежье ушко  ПОКОМ</t>
  </si>
  <si>
    <t>00-00006296</t>
  </si>
  <si>
    <t>Пельмени Отборные с говядиной 0,9 кг НОВА ТМ Стародворье ТС Медвежье ушко  ПОКОМ</t>
  </si>
  <si>
    <t>00-00005600</t>
  </si>
  <si>
    <t>Пельмени С говядиной и свининой, ВЕС, ТМ Славница сфера пуговки  ПОКОМ</t>
  </si>
  <si>
    <t>00-00006247</t>
  </si>
  <si>
    <t>Пельмени Со свининой и говядиной ТМ Особый рецепт Любимая ложка 1,0 кг  ПОКОМ</t>
  </si>
  <si>
    <t>00-ko011462</t>
  </si>
  <si>
    <t>Хотстеры Васаби-чили ТМ Горячая штучка ТС Хотстеры 0,23кг жареные ПОКОМ</t>
  </si>
  <si>
    <t>00-ko009756</t>
  </si>
  <si>
    <t>Хотстеры с сыром ТМ Горячая штучка ТС Хотстеры 0,25кг.  Поком</t>
  </si>
  <si>
    <t>00-00001002</t>
  </si>
  <si>
    <t>Хотстеры ТМ Горячая штучка ТС Хотстеры 0,25 кг зам  ПОКОМ</t>
  </si>
  <si>
    <t>00-ko011543</t>
  </si>
  <si>
    <t>Хрустипай апельсин имбирь ТМ Горячая штучка 0,18 кг  ПОКОМ</t>
  </si>
  <si>
    <t>00-ko011544</t>
  </si>
  <si>
    <t>Хрустипай манго маракуйя ТМ Горячая штучка 0,18 кг  ПОКОМ</t>
  </si>
  <si>
    <t>00-ko011567</t>
  </si>
  <si>
    <t>Хрустипай манго чили ТМ Горячая штучка 0,18кг с начинкой ПОКОМ</t>
  </si>
  <si>
    <t>00-00000998</t>
  </si>
  <si>
    <t>Хрустящие крылышки острые к пиву ТМ Горячая штучка 0,3кг зам  ПОКОМ</t>
  </si>
  <si>
    <t>00-00000997</t>
  </si>
  <si>
    <t>Хрустящие крылышки ТМ Горячая штучка 0,3 кг зам  ПОКОМ</t>
  </si>
  <si>
    <t>00-ko009099</t>
  </si>
  <si>
    <t>Чебупели Курочка гриль Базовый ассортимент Фикс.вес 0,3 Пакет Горячая штучка  Поком</t>
  </si>
  <si>
    <t>00-ko011552</t>
  </si>
  <si>
    <t>Чебупели со вкусом Фо бо ТМ Горячая штучка 0,22 кг  ПОКОМ</t>
  </si>
  <si>
    <t>00-00001000</t>
  </si>
  <si>
    <t>Чебупицца курочка по-итальянски Горячая штучка 0,25 кг зам  ПОКОМ</t>
  </si>
  <si>
    <t>00-00000999</t>
  </si>
  <si>
    <t>Чебупицца Пепперони ТМ Горячая штучка ТС Чебупицца 0.25кг зам  ПОКОМ</t>
  </si>
  <si>
    <t>00-ko010879</t>
  </si>
  <si>
    <t>Чебупицца со вкусом 4 сыра 0,2кг ТМ Горячая штучка ТС Foodgital  ПОКОМ</t>
  </si>
  <si>
    <t>00-ko011461</t>
  </si>
  <si>
    <t>Чебупицца со вкусом Том ям ТМ Горячая штучка ТС Чебупицца 0,23кг жареные ПОКОМ</t>
  </si>
  <si>
    <t>00-ko011772</t>
  </si>
  <si>
    <t>Чебупицца со вкусом Утка по-пекински ТМ Горячая штучка ТС Чебупицца 0,23 кг.  ПОКОМ</t>
  </si>
  <si>
    <t>дня</t>
  </si>
  <si>
    <t>1 день, шт</t>
  </si>
  <si>
    <t>1 день, кг</t>
  </si>
  <si>
    <t>продаж</t>
  </si>
  <si>
    <t>потребность</t>
  </si>
  <si>
    <t>ПЕРЕМЕЩЕНИЕ</t>
  </si>
  <si>
    <t>КГ</t>
  </si>
  <si>
    <t>ШТ</t>
  </si>
  <si>
    <t>нет на остатках (остатки не корректны)</t>
  </si>
  <si>
    <t>Заказы в дату, шт (ВП)</t>
  </si>
  <si>
    <t>Год</t>
  </si>
  <si>
    <t>Месяц</t>
  </si>
  <si>
    <t>2026</t>
  </si>
  <si>
    <t>2026 Итог</t>
  </si>
  <si>
    <t>ДД - Ответственный</t>
  </si>
  <si>
    <t>ТМ - Ответственный</t>
  </si>
  <si>
    <t>СВ - Ответственный</t>
  </si>
  <si>
    <t>Категория продукции</t>
  </si>
  <si>
    <t>Единица продаж</t>
  </si>
  <si>
    <t>Код единицы продаж</t>
  </si>
  <si>
    <t>Август</t>
  </si>
  <si>
    <t>Зайцев Максим Юрьевич</t>
  </si>
  <si>
    <t>Боярко Даниил Эдуардович</t>
  </si>
  <si>
    <t>Смирный Артем Игоревич</t>
  </si>
  <si>
    <t>ЗПФ</t>
  </si>
  <si>
    <t>Пельмени Grandmeni с говядиной и свининой большие ТМ Горячая штучка ф/п классическая форма ф/в 0,7 кг МГ</t>
  </si>
  <si>
    <t>SU003828</t>
  </si>
  <si>
    <t>Пельмени Grandmeni с говядиной ТМ Горячая штучка ф/п сфера ф/в 0,7 кг МГ</t>
  </si>
  <si>
    <t>SU003826</t>
  </si>
  <si>
    <t>Пельмени Grandmeni со сливочным маслом ТМ Горячая штучка ф/п сфера ф/в 0,7 кг МГ</t>
  </si>
  <si>
    <t>SU003827</t>
  </si>
  <si>
    <t>Пельмени Бигбули #МЕГАВКУСИЩЕ с сочной грудинкой ТМ Горячая штучка ТС Бигбули ГШ ф/п сфера ф/в 0,7 МГ</t>
  </si>
  <si>
    <t>SU003532</t>
  </si>
  <si>
    <t>Пельмени Бигбули #МЕГАМАСЛИЩЕ со сливочным маслом ТМ Горячая штучка ТС Бигбули ГШ ф/п сфера ф/в 0,7 МГ</t>
  </si>
  <si>
    <t>SU003385</t>
  </si>
  <si>
    <t>Пельмени Бигбули #МЕГАМЯСИЩЕ с мясом ТМ Горячая штучка ТС Бигбули ГШ сфера ф/п ф/в 0,7 кг МГ</t>
  </si>
  <si>
    <t>SU003529</t>
  </si>
  <si>
    <t>Пельмени Бульмени мини с мясом и оливковым маслом ТМ Горячая штучка ТС Бульмени ГШ ф/п сфера ф/в 0,7 кг МГ</t>
  </si>
  <si>
    <t>SU003717</t>
  </si>
  <si>
    <t>Пельмени Бульмени с говядиной и свининой Наваристые ТМ Горячая штучка БУЛЬМЕНИ ТС Бульмени ГШ сфера ф/п Весовые УВС МГ</t>
  </si>
  <si>
    <t>SU002595</t>
  </si>
  <si>
    <t>Пельмени Бульмени с говядиной и свининой ТМ Горячая штучка БУЛЬМЕНИ ТС Бульмени ГШ сфера ф/п ф/в 0,4 кг МГ</t>
  </si>
  <si>
    <t>SU003527</t>
  </si>
  <si>
    <t>Пельмени Бульмени с говядиной и свининой ТМ Горячая штучка БУЛЬМЕНИ ТС Бульмени ГШ сфера ф/п ф/в 0,7 кг МГ</t>
  </si>
  <si>
    <t>SU003460</t>
  </si>
  <si>
    <t>Пельмени Бульмени со сливочным маслом ТМ Горячая штучка БУЛЬМЕНИ ТС Бульмени ГШ сфера ф/п ф/в 0,4 кг МГ</t>
  </si>
  <si>
    <t>SU003528</t>
  </si>
  <si>
    <t>Пельмени Бульмени со сливочным маслом ТМ Горячая штучка БУЛЬМЕНИ ТС Бульмени ГШ сфера ф/п ф/в 0,7 кг МГ</t>
  </si>
  <si>
    <t>SU003459</t>
  </si>
  <si>
    <t>Пельмени Медвежье ушко Премиум Мясные ТМ Медвежье ушко ТС Медвежье ушко классическая форма ф/п ф/в 0,8 кг МГ</t>
  </si>
  <si>
    <t>SU004022</t>
  </si>
  <si>
    <t>Пельмени Мясные с говядиной ТМ Стародворье сфера ф/п ф/в 1 кг МГ</t>
  </si>
  <si>
    <t>SU003935</t>
  </si>
  <si>
    <t>Пельмени Отборные с говядиной и свининой ТМ Медвежье ушко ТС Медвежье ушко псевдозащип ф/п ф/в 0,9 кг Дистр МГ</t>
  </si>
  <si>
    <t>SU003975</t>
  </si>
  <si>
    <t>Пельмени С говядиной и свининой ТМ Славница ТС Славница сфера пуговки вес МГ</t>
  </si>
  <si>
    <t>SU000197</t>
  </si>
  <si>
    <t>Пельмени Со свининой и говядиной ТС Любимая ложка ф/п равиоли ф/в 1,0 кг МГ</t>
  </si>
  <si>
    <t>SU002268</t>
  </si>
  <si>
    <t>ЗПФ Итог</t>
  </si>
  <si>
    <t>КИ</t>
  </si>
  <si>
    <t>Ветчина Дугушка ТМ Стародворье ТС Дугушка диплекс вес СК</t>
  </si>
  <si>
    <t>SU002035</t>
  </si>
  <si>
    <t>Ветчина Дугушка ТМ Стародворье ТС Дугушка полиамид ф/в 0,6 кг СК</t>
  </si>
  <si>
    <t>SU002643</t>
  </si>
  <si>
    <t>Ветчина Нежная с индейкой ТМ Особый рецепт полиамид вес СК</t>
  </si>
  <si>
    <t>SU003686</t>
  </si>
  <si>
    <t>Ветчина Нежная ТМ Особый рецепт полиамид вес большой батон СК</t>
  </si>
  <si>
    <t>SU000126</t>
  </si>
  <si>
    <t>Ветчина Сливушка с индейкой ТМ Вязанка полиамид 0,4 кг СК</t>
  </si>
  <si>
    <t>SU002735</t>
  </si>
  <si>
    <t>Ветчина Сливушка с индейкой ТМ Вязанка полиамид вес СК</t>
  </si>
  <si>
    <t>SU002833</t>
  </si>
  <si>
    <t>Ветчина Филейская ТМ Вязанка ТС Столичная полиамид вес СК</t>
  </si>
  <si>
    <t>SU002828</t>
  </si>
  <si>
    <t>Грудинка варено-копченая ТМ Стародворье в/у ф/в 0,12 кг нарезка МЗР</t>
  </si>
  <si>
    <t>SU003921</t>
  </si>
  <si>
    <t>Колбаса вареная Ветчинно-рубленая ТМ Особый рецепт полиамид вес СК</t>
  </si>
  <si>
    <t>SU004131</t>
  </si>
  <si>
    <t>Колбаса вареная Докторская ГОСТ ТМ Вязанка вектор вес СК</t>
  </si>
  <si>
    <t>SU000722</t>
  </si>
  <si>
    <t>Колбаса вареная Докторская ГОСТ ТМ Стародворье ТС Дугушка полиамид вес СК</t>
  </si>
  <si>
    <t>SU002011</t>
  </si>
  <si>
    <t>Колбаса вареная Докторская ГОСТ ТМ Стародворье ТС Дугушка полиамид ф/в 0,6 кг СК</t>
  </si>
  <si>
    <t>SU002632</t>
  </si>
  <si>
    <t>Колбаса вареная Дугушка со шпиком Дугушка ТМ Стародворье ТС Дугушка полиамид вес СК</t>
  </si>
  <si>
    <t>SU002182</t>
  </si>
  <si>
    <t>Колбаса вареная Дугушка Стародворская ТМ Стародворье ТС Дугушка полиамид вес СК</t>
  </si>
  <si>
    <t>SU002634</t>
  </si>
  <si>
    <t>Колбаса вареная Классическая ТМ Особый рецепт полиамид вес СК</t>
  </si>
  <si>
    <t>SU004238</t>
  </si>
  <si>
    <t>Колбаса вареная Молокуша ТМ Вязанка мгс ф/в 0,17 кг нарезка СК</t>
  </si>
  <si>
    <t>SU002354</t>
  </si>
  <si>
    <t>Колбаса вареная Молокуша ТМ Вязанка полиамид вес СК</t>
  </si>
  <si>
    <t>SU002830</t>
  </si>
  <si>
    <t>Колбаса вареная Молокуша ТМ Вязанка полиамид ф/в 0,45 кг СК</t>
  </si>
  <si>
    <t>SU002816</t>
  </si>
  <si>
    <t>Колбаса вареная Молочная Дугушка ТМ Стародворье ТС Дугушка полиамид вес СК</t>
  </si>
  <si>
    <t>SU002010</t>
  </si>
  <si>
    <t>Колбаса вареная Молочная Дугушка ТМ Стародворье ТС Дугушка полиамид ф/в 0,6 кг СК</t>
  </si>
  <si>
    <t>SU002631</t>
  </si>
  <si>
    <t>Колбаса вареная Молочная ТМ Особый рецепт полиамид вес большой батон СК/ВЗ</t>
  </si>
  <si>
    <t>SU003422</t>
  </si>
  <si>
    <t>Колбаса вареная Молочная ТМ Стародворье вектор вес НД СК</t>
  </si>
  <si>
    <t>SU004103</t>
  </si>
  <si>
    <t>Колбаса вареная Мусульманская халяль ТМ Вязанка вектор ф/в 0,4 кг АК</t>
  </si>
  <si>
    <t>SU002983</t>
  </si>
  <si>
    <t>Колбаса вареная Мясная Классическая ТМ Вязанка полиамид вес СК</t>
  </si>
  <si>
    <t>SU004028</t>
  </si>
  <si>
    <t>Колбаса вареная Мясная ТМ Стародворье вектор вес НД СК</t>
  </si>
  <si>
    <t>SU004104</t>
  </si>
  <si>
    <t>Колбаса вареная Сливушка ТМ Вязанка полиамид 0,375 кг СК</t>
  </si>
  <si>
    <t>SU002733</t>
  </si>
  <si>
    <t>Колбаса вареная Сливушка ТМ Вязанка полиамид 0,45 кг СК</t>
  </si>
  <si>
    <t>SU002734</t>
  </si>
  <si>
    <t>Колбаса вареная Сливушка ТМ Вязанка полиамид вес СК</t>
  </si>
  <si>
    <t>SU002928</t>
  </si>
  <si>
    <t>Колбаса вареная Со шпиком ТМ Особый рецепт полиамид вес большой батон СК/ВЗ</t>
  </si>
  <si>
    <t>SU003423</t>
  </si>
  <si>
    <t>Колбаса вареная Со шпиком ТМ Стародворье вектор вес СК</t>
  </si>
  <si>
    <t>SU004106</t>
  </si>
  <si>
    <t>Колбаса вареная Филейная ТМ Особый рецепт полиамид вес большой батон СК/ВЗ</t>
  </si>
  <si>
    <t>SU003420</t>
  </si>
  <si>
    <t>Колбаса вареная Филейская со шпиком ТМ Вязанка ТС Вязанка полиамид вес СК</t>
  </si>
  <si>
    <t>SU003642</t>
  </si>
  <si>
    <t>Колбаса вареная Филейская ТМ Вязанка ТС Классическая полиамид вес СК</t>
  </si>
  <si>
    <t>SU002829</t>
  </si>
  <si>
    <t>Колбаса вареная Филейская ТМ Вязанка ТС Классическая полиамид ф/в 0,45 кг СК</t>
  </si>
  <si>
    <t>SU002815</t>
  </si>
  <si>
    <t>Колбаса варено-копченая Ассорти Мясорубская коллекция: Сервелат Делюкс, С балыком ТМ Стародворье мгс ф/в 0,08 кг нарезка СК</t>
  </si>
  <si>
    <t>SU004026</t>
  </si>
  <si>
    <t>Колбаса варено-копченая Балыкбургская ТМ Баварушка фиброуз в/у вес СК</t>
  </si>
  <si>
    <t>SU002612</t>
  </si>
  <si>
    <t>Колбаса варено-копченая Балыковая ТМ Вязанка скин ф/в 0,09 кг нарезка СК</t>
  </si>
  <si>
    <t>SU003753</t>
  </si>
  <si>
    <t>Колбаса варено-копченая Балыковая ТМ Вязанка фиброуз в/у вес СК</t>
  </si>
  <si>
    <t>SU004041</t>
  </si>
  <si>
    <t>Колбаса варено-копченая Балыковая ТМ Вязанка фиброуз в/у ф/в 0,28 кг срез СК</t>
  </si>
  <si>
    <t>SU004039</t>
  </si>
  <si>
    <t>Колбаса варено-копченая Мясорубская ТМ Стародворье с рубленой грудинкой  фиброуз в/у ф/в 0,35 кг срез СК</t>
  </si>
  <si>
    <t>SU002660</t>
  </si>
  <si>
    <t>Колбаса варено-копченая Мясорубская ТМ Стародворье с рубленой грудинкой фиброуз в/у вес СК</t>
  </si>
  <si>
    <t>SU002756</t>
  </si>
  <si>
    <t>Колбаса варено-копченая Рубленая Запеченная ТМ Стародворье ТС Дугушка вектор вес СК</t>
  </si>
  <si>
    <t>SU002150</t>
  </si>
  <si>
    <t>Колбаса варено-копченая Салями Запеченная Дугушка ТМ Стародворье ТС Дугушка вектор вес СК</t>
  </si>
  <si>
    <t>SU002158</t>
  </si>
  <si>
    <t>Колбаса варено-копченая Салями Филейбургская зернистая ТМ Баварушка фиброуз в/у вес СК</t>
  </si>
  <si>
    <t>SU002614</t>
  </si>
  <si>
    <t>Колбаса варено-копченая Сервелат Запеченный ТМ Стародворье ТС Дугушка вектор вес СК</t>
  </si>
  <si>
    <t>SU002151</t>
  </si>
  <si>
    <t>Колбаса варено-копченая Сервелат Мясорубский Делюкс ТМ Стародворье фиброуз в/у ф/в 0,3 кг срез СК</t>
  </si>
  <si>
    <t>SU003829</t>
  </si>
  <si>
    <t>Колбаса варено-копченая Сервелат Мясорубский ТМ Стародворье с мелкорубленным окороком фиброуз в/у вес СК</t>
  </si>
  <si>
    <t>SU002847</t>
  </si>
  <si>
    <t>Колбаса варено-копченая Сервелат Мясорубский ТМ Стародворье с мелкорубленным окороком фиброуз в/у ф/в 0,35 кг срез СК</t>
  </si>
  <si>
    <t>SU002848</t>
  </si>
  <si>
    <t>Колбаса варено-копченая Сервелат Мясорубский ТМ Стародворье скин ф/в 0,08 кг нарезка СК</t>
  </si>
  <si>
    <t>SU003178</t>
  </si>
  <si>
    <t>Колбаса варено-копченая Сервелат Финский ТМ Вязанка скин ф/в 0,09 кг нарезка СК</t>
  </si>
  <si>
    <t>SU003751</t>
  </si>
  <si>
    <t>Колбаса варено-копченая Сервелат Финский ТМ Вязанка фиброуз в/у вес СК</t>
  </si>
  <si>
    <t>SU004047</t>
  </si>
  <si>
    <t>Колбаса варено-копченая Сервелат Финский ТМ Вязанка фиброуз в/у ф/в 0,28 кг срез СК</t>
  </si>
  <si>
    <t>SU004045</t>
  </si>
  <si>
    <t>Колбаса варено-копченая Сочинка по-европейски с сочной грудинкой ТМ Стародворье фиброуз в/у вес СК</t>
  </si>
  <si>
    <t>SU002941</t>
  </si>
  <si>
    <t>Колбаса варено-копченая Сочинка по-европейски с сочной грудинкой ТМ Стародворье фиброуз в/у ф/в 0,3 кг срез СК</t>
  </si>
  <si>
    <t>SU002944</t>
  </si>
  <si>
    <t>Колбаса варено-копченая Сочинка по-фински с сочным окороком ТМ Стародворье фиброуз в/у вес СК</t>
  </si>
  <si>
    <t>SU002943</t>
  </si>
  <si>
    <t>Колбаса варено-копченая Сочинка по-фински с сочным окороком ТМ Стародворье фиброуз в/у ф/в 0,3 кг срез СК</t>
  </si>
  <si>
    <t>SU002942</t>
  </si>
  <si>
    <t>Колбаса полукопченая Аль-Ислами халяль ТМ Вязанка фиброуз в/у ф/в 0,35 кг АК</t>
  </si>
  <si>
    <t>SU002985</t>
  </si>
  <si>
    <t>Колбаса полукопченая Кракушка пряная с сальцем ТМ Стародворье ТС Баварушка черева в/у ф/в 0,3 кг СК</t>
  </si>
  <si>
    <t>SU002252</t>
  </si>
  <si>
    <t>Колбаса полукопченая Сервелат Ореховый ТМ Вязанка скин ф/в 0,09 кг нарезка СК</t>
  </si>
  <si>
    <t>SU003988</t>
  </si>
  <si>
    <t>Колбаса полукопченая Сервелат Ореховый ТМ Вязанка фиброуз в/у ф/в 0,28 кг срез СК</t>
  </si>
  <si>
    <t>SU004042</t>
  </si>
  <si>
    <t>Колбаса полукопченая Сервелат Ореховый ТМ Вязанка фиброуз мгс вес СК</t>
  </si>
  <si>
    <t>SU004044</t>
  </si>
  <si>
    <t>Колбаса полукопченая Сочинка зернистая с сочной грудинкой ТМ Стародворье фиброуз в/у вес СК</t>
  </si>
  <si>
    <t>SU002945</t>
  </si>
  <si>
    <t>Колбаса полукопченая Сочинка рубленая с сочным окороком ТМ Стародворье фиброуз в/у ф/в 0,3 кг срез СК</t>
  </si>
  <si>
    <t>SU002948</t>
  </si>
  <si>
    <t>Колбаса полукопченая Сочинка рубленная с сочным окороком ТМ Стародворье фиброуз в/у вес СК</t>
  </si>
  <si>
    <t>SU002947</t>
  </si>
  <si>
    <t>Колбаса сыровяленая Фуэт ТМ Стародворье в/у ф/в 0,07 кг нарезка МЗР</t>
  </si>
  <si>
    <t>SU003896</t>
  </si>
  <si>
    <t>Колбаса сырокопченая Баварская ТМ Стародворье бел/о терм/п ф/в 0,17 кг АК</t>
  </si>
  <si>
    <t>SU002092</t>
  </si>
  <si>
    <t>Колбаса сырокопченая Княжеская ТМ Стародворье бел/о т/п вес АК</t>
  </si>
  <si>
    <t>SU001920</t>
  </si>
  <si>
    <t>Колбаса сырокопченая Сальчичон ТМ Стародворье в/у ф/в 0,07 кг нарезка МЗР</t>
  </si>
  <si>
    <t>SU003893</t>
  </si>
  <si>
    <t>Колбаса сырокопченая Салями Охотничья ТМ Стародворье бел/о т/п вес АК</t>
  </si>
  <si>
    <t>SU001921</t>
  </si>
  <si>
    <t>Колбаса сырокопченая Сервелат Ореховый ТМ Стародворье в/у ф/в 0,07 кг нарезка МЗР</t>
  </si>
  <si>
    <t>SU003894</t>
  </si>
  <si>
    <t>Колбаса сырокопченая Швейцарская ТМ Стародворье фиброуз ф/в 0,17 кг АК</t>
  </si>
  <si>
    <t>SU001869</t>
  </si>
  <si>
    <t>Корейка Вяленая выдержанная ТМ Стародворье в/у ф/в 0,05 кг нарезка МЗР</t>
  </si>
  <si>
    <t>SU003925</t>
  </si>
  <si>
    <t>Паштет Со сливочным маслом ТМ Стародворье ф/в 0,1 кг РК</t>
  </si>
  <si>
    <t>SU002368</t>
  </si>
  <si>
    <t>Паштеты Печеночный с морковью ГОСТ ТМ Стародворье Фикс.вес 0,1 кг РК</t>
  </si>
  <si>
    <t>SU002840</t>
  </si>
  <si>
    <t>Сардельки Нежные ТМ Стародворье черева мгс вес СК</t>
  </si>
  <si>
    <t>SU001051</t>
  </si>
  <si>
    <t>Сардельки Сливушки ТМ Вязанка айпил мгс ф/в 0,33 кг СК</t>
  </si>
  <si>
    <t>SU002367</t>
  </si>
  <si>
    <t>Сардельки Сочинки с сыром ТМ Стародворье полиамид мгс ф/в 0,4 кг СК</t>
  </si>
  <si>
    <t>SU002759</t>
  </si>
  <si>
    <t>Сардельки Сочинки ТМ Стародворье полиамид мгс ф/в 0,4 кг СК</t>
  </si>
  <si>
    <t>SU002758</t>
  </si>
  <si>
    <t>Сардельки Стародворские с говядиной ТМ Стародворье NDX мгс вес СК</t>
  </si>
  <si>
    <t>SU000227</t>
  </si>
  <si>
    <t>Сардельки Филейские ТМ Вязанка NDX мгс вес СК</t>
  </si>
  <si>
    <t>SU002835</t>
  </si>
  <si>
    <t>Сосиски Баварские с сыром ТМ Стародворье айпил мгс ф/в 0,35 кг СК</t>
  </si>
  <si>
    <t>SU003168</t>
  </si>
  <si>
    <t>Сосиски Баварские ТМ Стародворье айпил мгс ф/в 0,35 кг СК</t>
  </si>
  <si>
    <t>SU003167</t>
  </si>
  <si>
    <t>Сосиски Восточные халяль ТМ Вязанка полиамид в/у ф/в 0,33 кг АК</t>
  </si>
  <si>
    <t>SU002984</t>
  </si>
  <si>
    <t>Сосиски Вязанка Молочные ТМ Вязанка амицел мгс вес СК</t>
  </si>
  <si>
    <t>SU001523</t>
  </si>
  <si>
    <t>Сосиски Вязанка Молочные ТМ Вязанка амицел мгс ф/в 0,45 кг УВС СК</t>
  </si>
  <si>
    <t>SU001718</t>
  </si>
  <si>
    <t>Сосиски Вязанка Сливочные ТМ Вязанка амицел мгс вес СК</t>
  </si>
  <si>
    <t>SU001721</t>
  </si>
  <si>
    <t>Сосиски Вязанка Сливочные ТМ Вязанка амицел мгс ф/в 0,45 кг СК</t>
  </si>
  <si>
    <t>SU001720</t>
  </si>
  <si>
    <t>Сосиски Датские ТМ Зареченские ТС Зареченские продукты полиамид мгс вес СК</t>
  </si>
  <si>
    <t>SU002655</t>
  </si>
  <si>
    <t>Сосиски Молочные для завтрака ТМ Особый рецепт полиамид мгс Фикс.вес 0,4 кг СК</t>
  </si>
  <si>
    <t>SU002205</t>
  </si>
  <si>
    <t>Сосиски Молочные для завтрака ТМ Стародворье полиамид мгс СК</t>
  </si>
  <si>
    <t>SU002074</t>
  </si>
  <si>
    <t>Сосиски Сочинки Молочные ТМ Стародворье амицел мгс вес СК</t>
  </si>
  <si>
    <t>SU002843</t>
  </si>
  <si>
    <t>Сосиски Сочинки Молочные ТМ Стародворье амицел мгс ф/в 0,4 кг СК</t>
  </si>
  <si>
    <t>SU002842</t>
  </si>
  <si>
    <t>Сосиски Сочинки по-баварски с сыром ТМ Стародворье полиамид мгс ф/в 0,4 кг СК</t>
  </si>
  <si>
    <t>SU002801</t>
  </si>
  <si>
    <t>Сосиски Сочинки по-баварски ТМ Стародворье полиамид мгс ф/в 0,4 кг СК</t>
  </si>
  <si>
    <t>SU002799</t>
  </si>
  <si>
    <t>Сосиски Сочинки с сочной грудинкой ТМ Стародворье полиамид мгс ф/в 0,4 кг СК</t>
  </si>
  <si>
    <t>SU002618</t>
  </si>
  <si>
    <t>Сосиски Сочинки с сочным окороком ТМ Стародворье полиамид мгс ф/в 0,4 кг СК</t>
  </si>
  <si>
    <t>SU002621</t>
  </si>
  <si>
    <t>Сосиски Сочинки с сыром Стародворье полиамид мгс ф/в 0,4 кг СК</t>
  </si>
  <si>
    <t>SU002686</t>
  </si>
  <si>
    <t>Сосиски Сочинки Сливочные ТМ Стародворье амицел мгс вес СК</t>
  </si>
  <si>
    <t>SU002845</t>
  </si>
  <si>
    <t>Сосиски Сочинки Сливочные ТМ Стародворье амицел мгс ф/в 0,4 кг СК</t>
  </si>
  <si>
    <t>SU002844</t>
  </si>
  <si>
    <t>Сосиски Сочинки Стародворье полиамид мгс вес СК</t>
  </si>
  <si>
    <t>SU002725</t>
  </si>
  <si>
    <t>КИ Итог</t>
  </si>
  <si>
    <t>ПГП</t>
  </si>
  <si>
    <t>Бульмени хрустящие с мясом ТМ Горячая штучка ТС Бульмени ГШ ф/п ф/в 0,22 кг МГ</t>
  </si>
  <si>
    <t>SU003945</t>
  </si>
  <si>
    <t>Готовые бельмеши сочные с мясом ТМ Горячая штучка ф/п ф/в 0,3 кг НД1 МГ</t>
  </si>
  <si>
    <t>SU003593</t>
  </si>
  <si>
    <t>Готовые чебуманы с говядиной ТМ Горячая штучка ф/п ф/в 0,28 кг НД1 МГ</t>
  </si>
  <si>
    <t>SU003601</t>
  </si>
  <si>
    <t>Готовые чебупели острые с мясом ТМ Горячая штучка ф/п ф/в 0,24 кг МГ</t>
  </si>
  <si>
    <t>SU003887</t>
  </si>
  <si>
    <t>Готовые чебупели с ветчиной и сыром ТМ Горячая штучка ф/п ф/в 0,24 кг МГ</t>
  </si>
  <si>
    <t>SU003889</t>
  </si>
  <si>
    <t>Готовые чебупели с мясом ТМ Горячая штучка ф/п ф/в 0,24 кг МГ</t>
  </si>
  <si>
    <t>SU003892</t>
  </si>
  <si>
    <t>Готовые чебупели сочные с мясом ТМ Горячая штучка ф/п ф/в 0,24 кг МГ</t>
  </si>
  <si>
    <t>SU003884</t>
  </si>
  <si>
    <t>Готовые чебупели сочные с мясом ТМ Горячая штучка ф/п ф/в 0,48 кг XXL НД МГ</t>
  </si>
  <si>
    <t>SU003605</t>
  </si>
  <si>
    <t>Готовые чебуреки с мясом ТМ Горячая штучка шт 0,09 кг НД МГ</t>
  </si>
  <si>
    <t>SU002573</t>
  </si>
  <si>
    <t>Готовые чебуреки со свининой и говядиной ТМ Горячая штучка ф/п ф/в 0,36 кг НД1 МГ</t>
  </si>
  <si>
    <t>SU003613</t>
  </si>
  <si>
    <t>Круггетсы с сырным соусом ТМ Горячая штучка ТС Круггетсы ф/в 0,2 кг МГ</t>
  </si>
  <si>
    <t>SU003872</t>
  </si>
  <si>
    <t>Круггетсы сочные ТМ Горячая штучка ТС Круггетсы ф/в 0,2 кг МГ</t>
  </si>
  <si>
    <t>SU003870</t>
  </si>
  <si>
    <t>Мини-сосиски в тесте ТМ Зареченские продукты ТС Зареченские продукты ПГП вес 5 кг ЗП</t>
  </si>
  <si>
    <t>SU004087</t>
  </si>
  <si>
    <t>Мини-шарики с курочкой и сыром ТМ Зареченские ТС Зареченские продукты ПГП вес 3 кг ЗП</t>
  </si>
  <si>
    <t>SU003448</t>
  </si>
  <si>
    <t>Наггетсы из печи ТМ Вязанка ф/п ф/в 0,25 кг МГ</t>
  </si>
  <si>
    <t>SU003797</t>
  </si>
  <si>
    <t>Наггетсы Нагетосы Сочная курочка со сметаной и зеленью ТМ Горячая штучка ф/п ф/в 0,25 кг НД1 МГ</t>
  </si>
  <si>
    <t>SU003600</t>
  </si>
  <si>
    <t>Наггетсы Нагетосы Сочная курочка ТМ Горячая штучка ф/п ф/в 0,25 кг тара НД1 МГ</t>
  </si>
  <si>
    <t>SU003598</t>
  </si>
  <si>
    <t>Наггетсы с индейкой ТМ Вязанка ТС Из печи Сливушки ф/п ф/в 0,25 кг МГ</t>
  </si>
  <si>
    <t>SU003800</t>
  </si>
  <si>
    <t>Наггетсы с куриным филе и сыром ТМ Вязанка ТС Из печи Сливушки ф/п ф/в 0,25 кг МГ</t>
  </si>
  <si>
    <t>SU003795</t>
  </si>
  <si>
    <t>Наггетсы Хрустящие ТМ Зареченские ТС Зареченские продукты вес 6 кг НД МГ</t>
  </si>
  <si>
    <t>SU003020</t>
  </si>
  <si>
    <t>Наггетсы Хрустящие ТМ Стародворье ф/в 0,23 кг МГ</t>
  </si>
  <si>
    <t>SU003930</t>
  </si>
  <si>
    <t>Пекерсы с индейкой в сливочном соусе ТМ Горячая штучка ТС Пекерсы ф/п ф/в 0,25 кг НД3 МГ</t>
  </si>
  <si>
    <t>SU003596</t>
  </si>
  <si>
    <t>Хотстеры Васаби-чили ТМ Горячая штучка ТС Хотстеры ф/в 0,23 кг МГ</t>
  </si>
  <si>
    <t>SU004034</t>
  </si>
  <si>
    <t>Хотстеры с сыром ТМ Горячая штучка ТС Хотстеры ф/п ф/в 0,25 кг МГ</t>
  </si>
  <si>
    <t>SU003944</t>
  </si>
  <si>
    <t>Хотстеры ТМ Горячая штучка ТС Хотстеры ф/п ф/в 0,25 кг НД МГ</t>
  </si>
  <si>
    <t>SU003576</t>
  </si>
  <si>
    <t>Хрустипай манго маракуйя ТМ Горячая штучка ф/п ф/в 0,18 кг МГ</t>
  </si>
  <si>
    <t>SU004069</t>
  </si>
  <si>
    <t>Хрустящие крылышки острые к пиву ТМ Горячая штучка ф/п ф/в 0,3 кг НД2 МГ</t>
  </si>
  <si>
    <t>SU003607</t>
  </si>
  <si>
    <t>Хрустящие крылышки ТМ Горячая штучка ф/п ф/в 0,3 кг НД1 МГ</t>
  </si>
  <si>
    <t>SU003591</t>
  </si>
  <si>
    <t>Чебупели курочка гриль ТМ Горячая штучка ф/п ф/в 0,3 кг МГ</t>
  </si>
  <si>
    <t>SU002293</t>
  </si>
  <si>
    <t>Чебупицца курочка по-итальянски ТМ Горячая штучка ТС Чебупицца ф/п ф/в 0,25 кг НД МГ</t>
  </si>
  <si>
    <t>SU003578</t>
  </si>
  <si>
    <t>Чебупицца Пепперони ТМ Горячая штучка ТС Чебупицца ф/п ф/в 0,25 кг НД МГ</t>
  </si>
  <si>
    <t>SU003580</t>
  </si>
  <si>
    <t>Чебупицца со вкусом 4 сыра ТМ Горячая штучка ТС Foodgital ф/в 0,2 кг МГ</t>
  </si>
  <si>
    <t>SU003676</t>
  </si>
  <si>
    <t>Чебупицца со вкусом Том ям ТМ Горячая штучка ТС Чебупицца ф/в 0,23 кг МГ</t>
  </si>
  <si>
    <t>SU004032</t>
  </si>
  <si>
    <t>Чебуреки Мясные ТМ Зареченские ТС Зареченские продукты Вес МГ</t>
  </si>
  <si>
    <t>SU003012</t>
  </si>
  <si>
    <t>Чебуреки Сочные ТМ Зареченские ТС Зареченские продукты вес МГ</t>
  </si>
  <si>
    <t>SU003010</t>
  </si>
  <si>
    <t>ПГП Итог</t>
  </si>
  <si>
    <t>Смирный Артем Игоревич Итог</t>
  </si>
  <si>
    <t>Боярко Даниил Эдуардович Итог</t>
  </si>
  <si>
    <t>Зайцев Максим Юрьевич Итог</t>
  </si>
  <si>
    <t>Продажи за 5 дней август с 04.08 по 08.08.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</si>
</sst>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8">
    <numFmt numFmtId="164" formatCode="#,##0.000;[Red]\-#,##0.000"/>
    <numFmt numFmtId="165" formatCode="0.000;[Red]\-0.000"/>
    <numFmt numFmtId="166" formatCode="0.0"/>
    <numFmt numFmtId="170" formatCode="_-* #,##0.00_-;\-* #,##0.00_-;_-* &quot;-&quot;??_-;_-@_-"/>
    <numFmt numFmtId="171" formatCode="_-* #,##0.00_р_._-;\-* #,##0.00_р_._-;_-* &quot;-&quot;??_р_._-;_-@_-"/>
    <numFmt numFmtId="172" formatCode="_-* #,##0.00&quot;р.&quot;_-;\-* #,##0.00&quot;р.&quot;_-;_-* &quot;-&quot;??&quot;р.&quot;_-;_-@_-"/>
    <numFmt numFmtId="173" formatCode="[$-419]mmmm;@"/>
    <numFmt numFmtId="175" formatCode="0.0%"/>
    <numFmt numFmtId="176" formatCode="_-* #,##0.00\ _₽_-;\-* #,##0.00\ _₽_-;_-* &quot;-&quot;??\ _₽_-;_-@_-"/>
    <numFmt numFmtId="177" formatCode="#,##0.00&quot;р.&quot;;\-#,##0.00&quot;р.&quot;"/>
    <numFmt numFmtId="178" formatCode="_(\$* #,##0_);_(\$* \(#,##0\);_(\$* \-_);_(@_)"/>
    <numFmt numFmtId="179" formatCode="_(\$* #,##0.00_);_(\$* \(#,##0.00\);_(\$* \-??_);_(@_)"/>
    <numFmt numFmtId="180" formatCode="_(* #,##0_);_(* \(#,##0\);_(* \-??_);_(@_)"/>
    <numFmt numFmtId="181" formatCode="#,##0;[Red]#,##0"/>
    <numFmt numFmtId="182" formatCode="\\#,##0;[Red]&quot;-\&quot;#,##0"/>
    <numFmt numFmtId="183" formatCode="\?#,##0_);&quot;(?&quot;#,##0\)"/>
    <numFmt numFmtId="184" formatCode="_-* #,##0\ _F_B_-;\-* #,##0\ _F_B_-;_-* &quot;- &quot;_F_B_-;_-@_-"/>
    <numFmt numFmtId="185" formatCode="_-* #,##0&quot; FB&quot;_-;\-* #,##0&quot; FB&quot;_-;_-* &quot;- FB&quot;_-;_-@_-"/>
    <numFmt numFmtId="186" formatCode="_(* #,##0.00_);[Red]_(* \(#,##0.00\);_(* \-??_);_(@_)"/>
    <numFmt numFmtId="187" formatCode="\$#,##0\ ;&quot;($&quot;#,##0\)"/>
    <numFmt numFmtId="188" formatCode="_-* #,##0.00&quot; FB&quot;_-;\-* #,##0.00&quot; FB&quot;_-;_-* \-??&quot; FB&quot;_-;_-@_-"/>
    <numFmt numFmtId="189" formatCode="0.0\x"/>
    <numFmt numFmtId="190" formatCode="_-* #,##0.00\ _F_B_-;\-* #,##0.00\ _F_B_-;_-* \-??\ _F_B_-;_-@_-"/>
    <numFmt numFmtId="191" formatCode="d\ mmm&quot;, &quot;yy"/>
    <numFmt numFmtId="192" formatCode="_-* #,##0_-;_-* #,##0\-;_-* \-_-;_-@_-"/>
    <numFmt numFmtId="193" formatCode="_-* #,##0.00_-;_-* #,##0.00\-;_-* \-??_-;_-@_-"/>
    <numFmt numFmtId="194" formatCode="_-* #,##0\ _$_-;\-* #,##0\ _$_-;_-* &quot;- &quot;_$_-;_-@_-"/>
    <numFmt numFmtId="195" formatCode="_-* #,##0.00\ _$_-;\-* #,##0.00\ _$_-;_-* \-??\ _$_-;_-@_-"/>
    <numFmt numFmtId="196" formatCode="_-* #,##0&quot; $&quot;_-;\-* #,##0&quot; $&quot;_-;_-* &quot;- $&quot;_-;_-@_-"/>
    <numFmt numFmtId="197" formatCode="_-* #,##0.00&quot; $&quot;_-;\-* #,##0.00&quot; $&quot;_-;_-* \-??&quot; $&quot;_-;_-@_-"/>
    <numFmt numFmtId="198" formatCode="_(* #,##0.000_);[Red]_(* \(#,##0.000\);_(* \-??_);_(@_)"/>
    <numFmt numFmtId="199" formatCode="\$#,##0.0_);&quot;($&quot;#,##0.0\)"/>
    <numFmt numFmtId="200" formatCode="0.00\x"/>
    <numFmt numFmtId="201" formatCode="0.0000"/>
    <numFmt numFmtId="202" formatCode="_-&quot;F &quot;* #,##0_-;_-&quot;F &quot;* #,##0\-;_-&quot;F &quot;* \-_-;_-@_-"/>
    <numFmt numFmtId="203" formatCode="_-&quot;F &quot;* #,##0.00_-;_-&quot;F &quot;* #,##0.00\-;_-&quot;F &quot;* \-??_-;_-@_-"/>
    <numFmt numFmtId="204" formatCode="_-* #,##0\ _F_-;\-* #,##0\ _F_-;_-* &quot;- &quot;_F_-;_-@_-"/>
    <numFmt numFmtId="205" formatCode="_-* #,##0.00\ _F_-;\-* #,##0.00\ _F_-;_-* \-??\ _F_-;_-@_-"/>
  </numFmts>
  <fonts count="95">
    <font>
      <sz val="8"/>
      <name val="Arial"/>
    </font>
    <font>
      <sz val="11"/>
      <color theme="1"/>
      <name val="Calibri"/>
      <family val="2"/>
      <charset val="204"/>
      <scheme val="minor"/>
    </font>
    <font>
      <b/>
      <sz val="18"/>
      <name val="Arial"/>
    </font>
    <font>
      <sz val="10"/>
      <name val="Arial"/>
    </font>
    <font>
      <sz val="8"/>
      <name val="Arial"/>
    </font>
    <font>
      <sz val="8"/>
      <name val="Arial"/>
      <family val="2"/>
      <charset val="204"/>
    </font>
    <font>
      <b/>
      <sz val="10"/>
      <name val="Arial"/>
      <family val="2"/>
      <charset val="204"/>
    </font>
    <font>
      <sz val="11"/>
      <color theme="1"/>
      <name val="Calibri"/>
      <family val="2"/>
      <scheme val="minor"/>
    </font>
    <font>
      <sz val="10"/>
      <name val="Times New Roman Cyr"/>
      <family val="1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8"/>
      <name val="Calibri"/>
      <family val="2"/>
    </font>
    <font>
      <sz val="8"/>
      <name val="Arial"/>
      <family val="2"/>
    </font>
    <font>
      <sz val="10"/>
      <name val="MS Sans Serif"/>
      <family val="2"/>
      <charset val="204"/>
    </font>
    <font>
      <sz val="8.25"/>
      <color indexed="8"/>
      <name val="Microsoft Sans Serif"/>
      <family val="2"/>
      <charset val="204"/>
    </font>
    <font>
      <sz val="10"/>
      <name val="Arial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sz val="10"/>
      <name val="Arial Cyr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2"/>
      <color theme="1"/>
      <name val="Calibri"/>
      <family val="2"/>
      <charset val="204"/>
    </font>
    <font>
      <sz val="10"/>
      <name val="Arial Cyr"/>
      <family val="2"/>
      <charset val="204"/>
    </font>
    <font>
      <sz val="10"/>
      <color theme="1"/>
      <name val="Arial Cyr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0"/>
      <color theme="1"/>
      <name val="Arial"/>
      <family val="2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i/>
      <sz val="12"/>
      <name val="Arial"/>
      <family val="2"/>
      <charset val="204"/>
    </font>
    <font>
      <b/>
      <sz val="12"/>
      <name val="Arial"/>
      <family val="2"/>
      <charset val="204"/>
    </font>
    <font>
      <b/>
      <sz val="12"/>
      <color indexed="9"/>
      <name val="Arial"/>
      <family val="2"/>
      <charset val="204"/>
    </font>
    <font>
      <b/>
      <sz val="14"/>
      <color indexed="9"/>
      <name val="Arial"/>
      <family val="2"/>
      <charset val="204"/>
    </font>
    <font>
      <b/>
      <i/>
      <sz val="14"/>
      <name val="Arial"/>
      <family val="2"/>
      <charset val="204"/>
    </font>
    <font>
      <b/>
      <i/>
      <sz val="20"/>
      <name val="Arial"/>
      <family val="2"/>
      <charset val="204"/>
    </font>
    <font>
      <b/>
      <sz val="16"/>
      <color indexed="9"/>
      <name val="Arial"/>
      <family val="2"/>
      <charset val="204"/>
    </font>
    <font>
      <b/>
      <sz val="14"/>
      <name val="Arial"/>
      <family val="2"/>
      <charset val="204"/>
    </font>
    <font>
      <b/>
      <i/>
      <sz val="22"/>
      <name val="Arial"/>
      <family val="2"/>
      <charset val="204"/>
    </font>
    <font>
      <sz val="10"/>
      <name val="Arial"/>
      <family val="2"/>
      <charset val="177"/>
    </font>
    <font>
      <sz val="12"/>
      <name val="Arial"/>
      <family val="2"/>
      <charset val="204"/>
    </font>
    <font>
      <sz val="10"/>
      <name val="Courier New"/>
      <family val="3"/>
      <charset val="204"/>
    </font>
    <font>
      <b/>
      <sz val="10"/>
      <color indexed="8"/>
      <name val="Arial"/>
      <family val="2"/>
      <charset val="204"/>
    </font>
    <font>
      <sz val="10"/>
      <color indexed="8"/>
      <name val="Times New Roman"/>
      <family val="1"/>
      <charset val="204"/>
    </font>
    <font>
      <sz val="10"/>
      <color indexed="12"/>
      <name val="times new roman"/>
      <family val="1"/>
      <charset val="204"/>
    </font>
    <font>
      <sz val="12"/>
      <name val="Times New Roman"/>
      <family val="1"/>
      <charset val="204"/>
    </font>
    <font>
      <sz val="12"/>
      <name val="±???A?"/>
      <charset val="129"/>
    </font>
    <font>
      <b/>
      <sz val="12"/>
      <name val="Times New Roman"/>
      <family val="1"/>
      <charset val="204"/>
    </font>
    <font>
      <sz val="10"/>
      <name val="Times New Roman"/>
      <family val="1"/>
      <charset val="204"/>
    </font>
    <font>
      <u val="double"/>
      <sz val="10"/>
      <name val="Arial"/>
      <family val="2"/>
      <charset val="204"/>
    </font>
    <font>
      <sz val="7"/>
      <name val="Palatino"/>
      <family val="1"/>
      <charset val="204"/>
    </font>
    <font>
      <sz val="10"/>
      <color indexed="17"/>
      <name val="Times New Roman"/>
      <family val="1"/>
      <charset val="204"/>
    </font>
    <font>
      <sz val="6"/>
      <color indexed="16"/>
      <name val="Palatino"/>
      <family val="1"/>
      <charset val="204"/>
    </font>
    <font>
      <b/>
      <sz val="8"/>
      <name val="Palatino"/>
      <family val="1"/>
      <charset val="204"/>
    </font>
    <font>
      <sz val="12"/>
      <name val="Arial Black"/>
      <family val="2"/>
      <charset val="204"/>
    </font>
    <font>
      <sz val="11"/>
      <name val="Arial Black"/>
      <family val="2"/>
      <charset val="204"/>
    </font>
    <font>
      <i/>
      <sz val="14"/>
      <name val="Palatino"/>
      <family val="1"/>
      <charset val="204"/>
    </font>
    <font>
      <b/>
      <i/>
      <sz val="22"/>
      <name val="Times New Roman"/>
      <family val="1"/>
      <charset val="204"/>
    </font>
    <font>
      <sz val="10"/>
      <color indexed="9"/>
      <name val="Times New Roman"/>
      <family val="1"/>
      <charset val="204"/>
    </font>
    <font>
      <sz val="7"/>
      <name val="Small Fonts"/>
      <family val="2"/>
      <charset val="204"/>
    </font>
    <font>
      <sz val="10"/>
      <name val="Book Antiqua"/>
      <family val="1"/>
      <charset val="204"/>
    </font>
    <font>
      <sz val="8"/>
      <name val="Tahoma"/>
      <family val="2"/>
      <charset val="204"/>
    </font>
    <font>
      <sz val="10"/>
      <name val="Palatino"/>
      <family val="1"/>
      <charset val="204"/>
    </font>
    <font>
      <sz val="10"/>
      <name val="Times New Roman CE"/>
      <family val="1"/>
      <charset val="238"/>
    </font>
    <font>
      <sz val="10"/>
      <color indexed="8"/>
      <name val="Arial"/>
      <family val="2"/>
      <charset val="204"/>
    </font>
    <font>
      <b/>
      <i/>
      <sz val="10"/>
      <color indexed="8"/>
      <name val="Arial"/>
      <family val="2"/>
      <charset val="204"/>
    </font>
    <font>
      <b/>
      <sz val="10"/>
      <color indexed="9"/>
      <name val="Arial"/>
      <family val="2"/>
      <charset val="204"/>
    </font>
    <font>
      <b/>
      <sz val="10"/>
      <color indexed="17"/>
      <name val="Arial"/>
      <family val="2"/>
      <charset val="204"/>
    </font>
    <font>
      <b/>
      <sz val="10"/>
      <color indexed="13"/>
      <name val="Arial"/>
      <family val="2"/>
      <charset val="204"/>
    </font>
    <font>
      <sz val="10"/>
      <color indexed="16"/>
      <name val="Helvetica-Black"/>
      <charset val="204"/>
    </font>
    <font>
      <sz val="10"/>
      <color indexed="10"/>
      <name val="Times New Roman"/>
      <family val="1"/>
      <charset val="204"/>
    </font>
    <font>
      <sz val="9.5"/>
      <color indexed="23"/>
      <name val="Helvetica-Black"/>
      <charset val="204"/>
    </font>
    <font>
      <u/>
      <sz val="10"/>
      <name val="Arial"/>
      <family val="2"/>
      <charset val="204"/>
    </font>
    <font>
      <sz val="10"/>
      <name val="ZapfCalligr BT"/>
      <charset val="204"/>
    </font>
    <font>
      <b/>
      <sz val="18"/>
      <name val="Times New Roman"/>
      <family val="1"/>
      <charset val="204"/>
    </font>
    <font>
      <b/>
      <sz val="9"/>
      <name val="Palatino"/>
      <family val="1"/>
      <charset val="204"/>
    </font>
    <font>
      <sz val="9"/>
      <color indexed="21"/>
      <name val="Helvetica-Black"/>
      <charset val="204"/>
    </font>
    <font>
      <b/>
      <sz val="10"/>
      <name val="Palatino"/>
      <family val="1"/>
      <charset val="204"/>
    </font>
    <font>
      <sz val="9"/>
      <name val="Helvetica-Black"/>
      <charset val="204"/>
    </font>
    <font>
      <b/>
      <sz val="10"/>
      <name val="Times New Roman"/>
      <family val="1"/>
      <charset val="204"/>
    </font>
    <font>
      <sz val="12"/>
      <color indexed="8"/>
      <name val="Palatino"/>
      <family val="1"/>
      <charset val="204"/>
    </font>
    <font>
      <sz val="11"/>
      <color indexed="8"/>
      <name val="Helvetica-Black"/>
      <charset val="204"/>
    </font>
    <font>
      <u/>
      <sz val="8"/>
      <color indexed="8"/>
      <name val="Arial"/>
      <family val="2"/>
      <charset val="204"/>
    </font>
    <font>
      <b/>
      <i/>
      <sz val="8"/>
      <name val="Arial"/>
      <family val="2"/>
      <charset val="204"/>
    </font>
    <font>
      <b/>
      <sz val="8"/>
      <name val="Arial Cyr"/>
      <family val="2"/>
      <charset val="204"/>
    </font>
    <font>
      <sz val="8"/>
      <name val="Arial Cyr"/>
      <family val="2"/>
      <charset val="204"/>
    </font>
    <font>
      <sz val="10"/>
      <color indexed="9"/>
      <name val="Arial Cyr"/>
      <family val="2"/>
      <charset val="204"/>
    </font>
    <font>
      <sz val="12"/>
      <name val="Arial CYR"/>
      <family val="2"/>
      <charset val="204"/>
    </font>
    <font>
      <sz val="14"/>
      <name val="Arial Cyr"/>
      <family val="2"/>
      <charset val="204"/>
    </font>
  </fonts>
  <fills count="38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theme="5" tint="0.39997558519241921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11"/>
        <bgColor indexed="49"/>
      </patternFill>
    </fill>
    <fill>
      <patternFill patternType="solid">
        <fgColor indexed="27"/>
        <bgColor indexed="41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indexed="14"/>
        <bgColor indexed="33"/>
      </patternFill>
    </fill>
    <fill>
      <patternFill patternType="solid">
        <fgColor indexed="9"/>
        <bgColor indexed="26"/>
      </patternFill>
    </fill>
    <fill>
      <patternFill patternType="solid">
        <fgColor indexed="13"/>
        <bgColor indexed="34"/>
      </patternFill>
    </fill>
    <fill>
      <patternFill patternType="solid">
        <fgColor indexed="17"/>
        <bgColor indexed="21"/>
      </patternFill>
    </fill>
    <fill>
      <patternFill patternType="solid">
        <fgColor indexed="16"/>
        <bgColor indexed="37"/>
      </patternFill>
    </fill>
    <fill>
      <patternFill patternType="solid">
        <fgColor indexed="8"/>
        <bgColor indexed="58"/>
      </patternFill>
    </fill>
    <fill>
      <patternFill patternType="solid">
        <fgColor indexed="22"/>
        <bgColor indexed="22"/>
      </patternFill>
    </fill>
  </fills>
  <borders count="21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8"/>
      </bottom>
      <diagonal/>
    </border>
    <border>
      <left/>
      <right/>
      <top/>
      <bottom style="hair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/>
      <right/>
      <top style="medium">
        <color indexed="8"/>
      </top>
      <bottom style="thin">
        <color indexed="8"/>
      </bottom>
      <diagonal/>
    </border>
    <border>
      <left/>
      <right/>
      <top style="double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0249">
    <xf numFmtId="0" fontId="0" fillId="0" borderId="0"/>
    <xf numFmtId="0" fontId="1" fillId="0" borderId="0"/>
    <xf numFmtId="0" fontId="7" fillId="0" borderId="0"/>
    <xf numFmtId="0" fontId="8" fillId="0" borderId="0"/>
    <xf numFmtId="0" fontId="9" fillId="5" borderId="0" applyNumberFormat="0" applyBorder="0" applyAlignment="0" applyProtection="0"/>
    <xf numFmtId="0" fontId="9" fillId="6" borderId="0" applyNumberFormat="0" applyBorder="0" applyAlignment="0" applyProtection="0"/>
    <xf numFmtId="0" fontId="9" fillId="7" borderId="0" applyNumberFormat="0" applyBorder="0" applyAlignment="0" applyProtection="0"/>
    <xf numFmtId="0" fontId="9" fillId="8" borderId="0" applyNumberFormat="0" applyBorder="0" applyAlignment="0" applyProtection="0"/>
    <xf numFmtId="0" fontId="9" fillId="9" borderId="0" applyNumberFormat="0" applyBorder="0" applyAlignment="0" applyProtection="0"/>
    <xf numFmtId="0" fontId="9" fillId="10" borderId="0" applyNumberFormat="0" applyBorder="0" applyAlignment="0" applyProtection="0"/>
    <xf numFmtId="0" fontId="9" fillId="11" borderId="0" applyNumberFormat="0" applyBorder="0" applyAlignment="0" applyProtection="0"/>
    <xf numFmtId="0" fontId="9" fillId="12" borderId="0" applyNumberFormat="0" applyBorder="0" applyAlignment="0" applyProtection="0"/>
    <xf numFmtId="0" fontId="9" fillId="13" borderId="0" applyNumberFormat="0" applyBorder="0" applyAlignment="0" applyProtection="0"/>
    <xf numFmtId="0" fontId="9" fillId="8" borderId="0" applyNumberFormat="0" applyBorder="0" applyAlignment="0" applyProtection="0"/>
    <xf numFmtId="0" fontId="9" fillId="11" borderId="0" applyNumberFormat="0" applyBorder="0" applyAlignment="0" applyProtection="0"/>
    <xf numFmtId="0" fontId="9" fillId="14" borderId="0" applyNumberFormat="0" applyBorder="0" applyAlignment="0" applyProtection="0"/>
    <xf numFmtId="0" fontId="10" fillId="15" borderId="0" applyNumberFormat="0" applyBorder="0" applyAlignment="0" applyProtection="0"/>
    <xf numFmtId="0" fontId="10" fillId="12" borderId="0" applyNumberFormat="0" applyBorder="0" applyAlignment="0" applyProtection="0"/>
    <xf numFmtId="0" fontId="10" fillId="13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171" fontId="7" fillId="0" borderId="0" applyFont="0" applyFill="0" applyBorder="0" applyAlignment="0" applyProtection="0"/>
    <xf numFmtId="171" fontId="11" fillId="0" borderId="0" applyFont="0" applyFill="0" applyBorder="0" applyAlignment="0" applyProtection="0"/>
    <xf numFmtId="171" fontId="11" fillId="0" borderId="0" applyFont="0" applyFill="0" applyBorder="0" applyAlignment="0" applyProtection="0"/>
    <xf numFmtId="171" fontId="7" fillId="0" borderId="0" applyFont="0" applyFill="0" applyBorder="0" applyAlignment="0" applyProtection="0"/>
    <xf numFmtId="0" fontId="12" fillId="0" borderId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0" fontId="13" fillId="0" borderId="0"/>
    <xf numFmtId="0" fontId="13" fillId="0" borderId="0"/>
    <xf numFmtId="0" fontId="14" fillId="0" borderId="0"/>
    <xf numFmtId="0" fontId="7" fillId="0" borderId="0"/>
    <xf numFmtId="0" fontId="7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5" fillId="0" borderId="0"/>
    <xf numFmtId="9" fontId="1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5" fillId="0" borderId="0" applyFont="0" applyFill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22" borderId="0" applyNumberFormat="0" applyBorder="0" applyAlignment="0" applyProtection="0"/>
    <xf numFmtId="0" fontId="16" fillId="10" borderId="2" applyNumberFormat="0" applyAlignment="0" applyProtection="0"/>
    <xf numFmtId="0" fontId="17" fillId="23" borderId="3" applyNumberFormat="0" applyAlignment="0" applyProtection="0"/>
    <xf numFmtId="0" fontId="18" fillId="23" borderId="2" applyNumberFormat="0" applyAlignment="0" applyProtection="0"/>
    <xf numFmtId="172" fontId="19" fillId="0" borderId="0" applyFont="0" applyFill="0" applyBorder="0" applyAlignment="0" applyProtection="0"/>
    <xf numFmtId="172" fontId="19" fillId="0" borderId="0" applyFont="0" applyFill="0" applyBorder="0" applyAlignment="0" applyProtection="0"/>
    <xf numFmtId="172" fontId="19" fillId="0" borderId="0" applyFont="0" applyFill="0" applyBorder="0" applyAlignment="0" applyProtection="0"/>
    <xf numFmtId="172" fontId="19" fillId="0" borderId="0" applyFont="0" applyFill="0" applyBorder="0" applyAlignment="0" applyProtection="0"/>
    <xf numFmtId="0" fontId="20" fillId="0" borderId="4" applyNumberFormat="0" applyFill="0" applyAlignment="0" applyProtection="0"/>
    <xf numFmtId="0" fontId="21" fillId="0" borderId="5" applyNumberFormat="0" applyFill="0" applyAlignment="0" applyProtection="0"/>
    <xf numFmtId="0" fontId="22" fillId="0" borderId="6" applyNumberFormat="0" applyFill="0" applyAlignment="0" applyProtection="0"/>
    <xf numFmtId="0" fontId="22" fillId="0" borderId="0" applyNumberFormat="0" applyFill="0" applyBorder="0" applyAlignment="0" applyProtection="0"/>
    <xf numFmtId="0" fontId="23" fillId="0" borderId="7" applyNumberFormat="0" applyFill="0" applyAlignment="0" applyProtection="0"/>
    <xf numFmtId="0" fontId="24" fillId="24" borderId="8" applyNumberFormat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25" borderId="0" applyNumberFormat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1" fillId="0" borderId="0"/>
    <xf numFmtId="0" fontId="19" fillId="0" borderId="0"/>
    <xf numFmtId="0" fontId="5" fillId="0" borderId="0">
      <alignment horizontal="left"/>
    </xf>
    <xf numFmtId="0" fontId="19" fillId="0" borderId="0"/>
    <xf numFmtId="0" fontId="19" fillId="0" borderId="0"/>
    <xf numFmtId="0" fontId="27" fillId="0" borderId="0"/>
    <xf numFmtId="0" fontId="19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1" fillId="0" borderId="0"/>
    <xf numFmtId="0" fontId="5" fillId="0" borderId="0">
      <alignment horizontal="left"/>
    </xf>
    <xf numFmtId="0" fontId="2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7" fillId="0" borderId="0"/>
    <xf numFmtId="173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7" fillId="0" borderId="0"/>
    <xf numFmtId="0" fontId="27" fillId="0" borderId="0"/>
    <xf numFmtId="0" fontId="19" fillId="0" borderId="0"/>
    <xf numFmtId="0" fontId="1" fillId="0" borderId="0"/>
    <xf numFmtId="0" fontId="1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7" fillId="0" borderId="0"/>
    <xf numFmtId="0" fontId="1" fillId="0" borderId="0"/>
    <xf numFmtId="0" fontId="7" fillId="0" borderId="0"/>
    <xf numFmtId="0" fontId="19" fillId="0" borderId="0"/>
    <xf numFmtId="0" fontId="1" fillId="0" borderId="0"/>
    <xf numFmtId="0" fontId="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7" fillId="0" borderId="0"/>
    <xf numFmtId="0" fontId="1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30" fillId="6" borderId="0" applyNumberFormat="0" applyBorder="0" applyAlignment="0" applyProtection="0"/>
    <xf numFmtId="0" fontId="31" fillId="0" borderId="0" applyNumberFormat="0" applyFill="0" applyBorder="0" applyAlignment="0" applyProtection="0"/>
    <xf numFmtId="0" fontId="19" fillId="26" borderId="9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5" fillId="0" borderId="0" applyFont="0" applyFill="0" applyBorder="0" applyAlignment="0" applyProtection="0"/>
    <xf numFmtId="0" fontId="33" fillId="0" borderId="10" applyNumberFormat="0" applyFill="0" applyAlignment="0" applyProtection="0"/>
    <xf numFmtId="0" fontId="34" fillId="0" borderId="0" applyNumberFormat="0" applyFill="0" applyBorder="0" applyAlignment="0" applyProtection="0"/>
    <xf numFmtId="171" fontId="9" fillId="0" borderId="0" applyFont="0" applyFill="0" applyBorder="0" applyAlignment="0" applyProtection="0"/>
    <xf numFmtId="171" fontId="9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9" fillId="0" borderId="0" applyFont="0" applyFill="0" applyBorder="0" applyAlignment="0" applyProtection="0"/>
    <xf numFmtId="171" fontId="9" fillId="0" borderId="0" applyFont="0" applyFill="0" applyBorder="0" applyAlignment="0" applyProtection="0"/>
    <xf numFmtId="171" fontId="9" fillId="0" borderId="0" applyFont="0" applyFill="0" applyBorder="0" applyAlignment="0" applyProtection="0"/>
    <xf numFmtId="171" fontId="9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5" fillId="0" borderId="0" applyFont="0" applyFill="0" applyBorder="0" applyAlignment="0" applyProtection="0"/>
    <xf numFmtId="171" fontId="15" fillId="0" borderId="0" applyFont="0" applyFill="0" applyBorder="0" applyAlignment="0" applyProtection="0"/>
    <xf numFmtId="0" fontId="35" fillId="7" borderId="0" applyNumberFormat="0" applyBorder="0" applyAlignment="0" applyProtection="0"/>
    <xf numFmtId="0" fontId="45" fillId="0" borderId="0" applyFill="0" applyBorder="0" applyAlignment="0"/>
    <xf numFmtId="178" fontId="45" fillId="0" borderId="0" applyFill="0" applyBorder="0" applyAlignment="0" applyProtection="0"/>
    <xf numFmtId="179" fontId="45" fillId="0" borderId="0" applyFill="0" applyBorder="0" applyAlignment="0" applyProtection="0"/>
    <xf numFmtId="0" fontId="15" fillId="0" borderId="0"/>
    <xf numFmtId="0" fontId="36" fillId="0" borderId="0" applyNumberFormat="0" applyFill="0" applyBorder="0" applyAlignment="0"/>
    <xf numFmtId="0" fontId="37" fillId="0" borderId="0" applyNumberFormat="0" applyFill="0" applyBorder="0" applyAlignment="0"/>
    <xf numFmtId="0" fontId="38" fillId="0" borderId="0" applyNumberFormat="0" applyFill="0" applyBorder="0" applyAlignment="0"/>
    <xf numFmtId="0" fontId="39" fillId="0" borderId="0" applyNumberFormat="0" applyFill="0" applyBorder="0" applyAlignment="0"/>
    <xf numFmtId="0" fontId="40" fillId="0" borderId="0" applyNumberFormat="0" applyFill="0" applyBorder="0" applyAlignment="0"/>
    <xf numFmtId="0" fontId="41" fillId="0" borderId="0" applyNumberFormat="0" applyFill="0" applyBorder="0" applyAlignment="0"/>
    <xf numFmtId="0" fontId="42" fillId="0" borderId="0" applyNumberFormat="0" applyFill="0" applyBorder="0" applyAlignment="0"/>
    <xf numFmtId="0" fontId="43" fillId="0" borderId="0" applyNumberFormat="0" applyFill="0" applyBorder="0" applyAlignment="0"/>
    <xf numFmtId="0" fontId="43" fillId="0" borderId="0" applyNumberFormat="0" applyFill="0" applyBorder="0" applyAlignment="0"/>
    <xf numFmtId="0" fontId="44" fillId="0" borderId="0" applyNumberFormat="0" applyFill="0" applyBorder="0" applyAlignment="0"/>
    <xf numFmtId="0" fontId="43" fillId="0" borderId="0" applyNumberFormat="0" applyFill="0" applyBorder="0" applyAlignment="0"/>
    <xf numFmtId="0" fontId="5" fillId="0" borderId="0">
      <alignment horizontal="right"/>
    </xf>
    <xf numFmtId="178" fontId="45" fillId="0" borderId="0" applyFill="0" applyBorder="0" applyAlignment="0" applyProtection="0"/>
    <xf numFmtId="179" fontId="45" fillId="0" borderId="0" applyFill="0" applyBorder="0" applyAlignment="0" applyProtection="0"/>
    <xf numFmtId="180" fontId="45" fillId="0" borderId="0" applyFill="0" applyBorder="0" applyProtection="0"/>
    <xf numFmtId="181" fontId="45" fillId="0" borderId="0" applyFill="0" applyBorder="0" applyAlignment="0" applyProtection="0"/>
    <xf numFmtId="182" fontId="45" fillId="0" borderId="0" applyFill="0" applyBorder="0" applyAlignment="0" applyProtection="0"/>
    <xf numFmtId="0" fontId="15" fillId="0" borderId="0"/>
    <xf numFmtId="0" fontId="15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27" borderId="0"/>
    <xf numFmtId="0" fontId="48" fillId="27" borderId="0"/>
    <xf numFmtId="0" fontId="49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183" fontId="45" fillId="0" borderId="0" applyFill="0" applyBorder="0" applyAlignment="0" applyProtection="0"/>
    <xf numFmtId="0" fontId="52" fillId="0" borderId="0"/>
    <xf numFmtId="0" fontId="45" fillId="28" borderId="0" applyNumberFormat="0" applyBorder="0" applyAlignment="0"/>
    <xf numFmtId="0" fontId="45" fillId="0" borderId="12" applyNumberFormat="0" applyFill="0" applyProtection="0">
      <alignment horizontal="center" vertical="center"/>
    </xf>
    <xf numFmtId="0" fontId="45" fillId="29" borderId="0" applyNumberFormat="0" applyBorder="0" applyAlignment="0" applyProtection="0"/>
    <xf numFmtId="0" fontId="53" fillId="0" borderId="0" applyNumberFormat="0" applyFill="0" applyBorder="0" applyProtection="0">
      <alignment horizontal="center" vertical="center"/>
    </xf>
    <xf numFmtId="0" fontId="45" fillId="0" borderId="0" applyFill="0" applyBorder="0" applyAlignment="0" applyProtection="0"/>
    <xf numFmtId="0" fontId="45" fillId="0" borderId="0" applyFill="0" applyBorder="0" applyAlignment="0" applyProtection="0"/>
    <xf numFmtId="0" fontId="45" fillId="0" borderId="0" applyFill="0" applyBorder="0" applyAlignment="0" applyProtection="0"/>
    <xf numFmtId="0" fontId="45" fillId="0" borderId="0" applyFill="0" applyBorder="0" applyAlignment="0" applyProtection="0"/>
    <xf numFmtId="3" fontId="45" fillId="0" borderId="0" applyFill="0" applyBorder="0" applyAlignment="0" applyProtection="0"/>
    <xf numFmtId="186" fontId="45" fillId="0" borderId="0" applyFill="0" applyBorder="0" applyAlignment="0" applyProtection="0"/>
    <xf numFmtId="0" fontId="45" fillId="0" borderId="0" applyFill="0" applyBorder="0" applyAlignment="0" applyProtection="0"/>
    <xf numFmtId="0" fontId="45" fillId="0" borderId="0" applyFill="0" applyBorder="0" applyAlignment="0" applyProtection="0"/>
    <xf numFmtId="187" fontId="45" fillId="0" borderId="0" applyFill="0" applyBorder="0" applyAlignment="0" applyProtection="0"/>
    <xf numFmtId="0" fontId="47" fillId="30" borderId="0"/>
    <xf numFmtId="0" fontId="48" fillId="31" borderId="0"/>
    <xf numFmtId="14" fontId="54" fillId="0" borderId="0"/>
    <xf numFmtId="0" fontId="45" fillId="0" borderId="0" applyFill="0" applyBorder="0" applyAlignment="0" applyProtection="0"/>
    <xf numFmtId="0" fontId="45" fillId="0" borderId="0" applyFill="0" applyBorder="0" applyAlignment="0" applyProtection="0"/>
    <xf numFmtId="38" fontId="45" fillId="0" borderId="0" applyFill="0" applyBorder="0" applyAlignment="0" applyProtection="0"/>
    <xf numFmtId="189" fontId="45" fillId="0" borderId="0" applyFill="0" applyBorder="0" applyAlignment="0" applyProtection="0"/>
    <xf numFmtId="0" fontId="45" fillId="0" borderId="13" applyNumberFormat="0" applyFill="0" applyAlignment="0" applyProtection="0"/>
    <xf numFmtId="0" fontId="55" fillId="0" borderId="0" applyFill="0" applyBorder="0" applyAlignment="0" applyProtection="0"/>
    <xf numFmtId="0" fontId="45" fillId="0" borderId="0" applyFill="0" applyBorder="0" applyAlignment="0" applyProtection="0"/>
    <xf numFmtId="184" fontId="45" fillId="0" borderId="0" applyFill="0" applyBorder="0" applyAlignment="0" applyProtection="0"/>
    <xf numFmtId="190" fontId="45" fillId="0" borderId="0" applyFill="0" applyBorder="0" applyAlignment="0" applyProtection="0"/>
    <xf numFmtId="2" fontId="45" fillId="0" borderId="0" applyFill="0" applyBorder="0" applyAlignment="0" applyProtection="0"/>
    <xf numFmtId="191" fontId="15" fillId="0" borderId="0">
      <alignment vertical="center"/>
    </xf>
    <xf numFmtId="0" fontId="56" fillId="0" borderId="0" applyFill="0" applyBorder="0" applyProtection="0">
      <alignment horizontal="left"/>
    </xf>
    <xf numFmtId="0" fontId="57" fillId="0" borderId="0" applyNumberFormat="0" applyFill="0" applyBorder="0" applyAlignment="0" applyProtection="0"/>
    <xf numFmtId="0" fontId="45" fillId="0" borderId="0" applyFill="0" applyBorder="0" applyAlignment="0" applyProtection="0"/>
    <xf numFmtId="0" fontId="58" fillId="0" borderId="0" applyProtection="0">
      <alignment horizontal="right"/>
    </xf>
    <xf numFmtId="0" fontId="37" fillId="0" borderId="14" applyNumberFormat="0" applyAlignment="0" applyProtection="0"/>
    <xf numFmtId="0" fontId="37" fillId="0" borderId="15">
      <alignment horizontal="left" vertical="center"/>
    </xf>
    <xf numFmtId="0" fontId="59" fillId="0" borderId="0">
      <alignment horizontal="center"/>
    </xf>
    <xf numFmtId="38" fontId="60" fillId="0" borderId="0"/>
    <xf numFmtId="38" fontId="61" fillId="0" borderId="0">
      <alignment horizontal="left"/>
    </xf>
    <xf numFmtId="0" fontId="62" fillId="0" borderId="0" applyProtection="0">
      <alignment horizontal="left"/>
    </xf>
    <xf numFmtId="0" fontId="63" fillId="0" borderId="0" applyNumberFormat="0" applyFill="0" applyBorder="0" applyAlignment="0" applyProtection="0"/>
    <xf numFmtId="0" fontId="64" fillId="32" borderId="0" applyNumberFormat="0" applyBorder="0" applyAlignment="0" applyProtection="0"/>
    <xf numFmtId="0" fontId="15" fillId="0" borderId="0"/>
    <xf numFmtId="0" fontId="45" fillId="33" borderId="0" applyNumberFormat="0" applyBorder="0" applyAlignment="0"/>
    <xf numFmtId="192" fontId="45" fillId="0" borderId="0" applyFill="0" applyBorder="0" applyAlignment="0" applyProtection="0"/>
    <xf numFmtId="193" fontId="45" fillId="0" borderId="0" applyFill="0" applyBorder="0" applyAlignment="0" applyProtection="0"/>
    <xf numFmtId="194" fontId="45" fillId="0" borderId="0" applyFill="0" applyBorder="0" applyAlignment="0" applyProtection="0"/>
    <xf numFmtId="195" fontId="45" fillId="0" borderId="0" applyFill="0" applyBorder="0" applyAlignment="0" applyProtection="0"/>
    <xf numFmtId="196" fontId="45" fillId="0" borderId="0" applyFill="0" applyBorder="0" applyAlignment="0" applyProtection="0"/>
    <xf numFmtId="197" fontId="45" fillId="0" borderId="0" applyFill="0" applyBorder="0" applyAlignment="0" applyProtection="0"/>
    <xf numFmtId="198" fontId="45" fillId="0" borderId="0" applyFill="0" applyBorder="0" applyAlignment="0" applyProtection="0"/>
    <xf numFmtId="199" fontId="45" fillId="0" borderId="0" applyFill="0" applyBorder="0" applyAlignment="0" applyProtection="0"/>
    <xf numFmtId="200" fontId="45" fillId="0" borderId="0" applyFill="0" applyBorder="0" applyAlignment="0" applyProtection="0"/>
    <xf numFmtId="189" fontId="45" fillId="0" borderId="0" applyFill="0" applyBorder="0" applyAlignment="0" applyProtection="0"/>
    <xf numFmtId="37" fontId="65" fillId="0" borderId="0"/>
    <xf numFmtId="0" fontId="69" fillId="0" borderId="0"/>
    <xf numFmtId="201" fontId="66" fillId="0" borderId="0"/>
    <xf numFmtId="37" fontId="67" fillId="32" borderId="0" applyBorder="0">
      <alignment horizontal="left" vertical="center"/>
    </xf>
    <xf numFmtId="0" fontId="15" fillId="0" borderId="0"/>
    <xf numFmtId="0" fontId="68" fillId="0" borderId="0"/>
    <xf numFmtId="40" fontId="70" fillId="32" borderId="0">
      <alignment horizontal="right"/>
    </xf>
    <xf numFmtId="0" fontId="71" fillId="33" borderId="0">
      <alignment horizontal="center"/>
    </xf>
    <xf numFmtId="0" fontId="72" fillId="34" borderId="0"/>
    <xf numFmtId="0" fontId="73" fillId="32" borderId="0" applyBorder="0">
      <alignment horizontal="center"/>
    </xf>
    <xf numFmtId="0" fontId="74" fillId="34" borderId="0" applyBorder="0">
      <alignment horizontal="center"/>
    </xf>
    <xf numFmtId="0" fontId="37" fillId="0" borderId="0" applyNumberFormat="0" applyFill="0" applyBorder="0" applyAlignment="0" applyProtection="0"/>
    <xf numFmtId="185" fontId="45" fillId="0" borderId="0" applyFill="0" applyBorder="0" applyAlignment="0" applyProtection="0"/>
    <xf numFmtId="188" fontId="45" fillId="0" borderId="0" applyFill="0" applyBorder="0" applyAlignment="0" applyProtection="0"/>
    <xf numFmtId="1" fontId="75" fillId="0" borderId="0" applyProtection="0">
      <alignment horizontal="right" vertical="center"/>
    </xf>
    <xf numFmtId="9" fontId="45" fillId="0" borderId="0" applyFill="0" applyBorder="0" applyAlignment="0" applyProtection="0"/>
    <xf numFmtId="175" fontId="45" fillId="0" borderId="0" applyFill="0" applyBorder="0" applyAlignment="0" applyProtection="0"/>
    <xf numFmtId="0" fontId="76" fillId="0" borderId="0" applyNumberFormat="0" applyFill="0" applyBorder="0" applyAlignment="0" applyProtection="0"/>
    <xf numFmtId="0" fontId="77" fillId="0" borderId="16">
      <alignment vertical="center"/>
    </xf>
    <xf numFmtId="4" fontId="5" fillId="17" borderId="17" applyNumberFormat="0" applyProtection="0">
      <alignment horizontal="left" vertical="center"/>
    </xf>
    <xf numFmtId="0" fontId="54" fillId="0" borderId="18"/>
    <xf numFmtId="0" fontId="78" fillId="0" borderId="0" applyFill="0" applyBorder="0" applyAlignment="0" applyProtection="0"/>
    <xf numFmtId="0" fontId="5" fillId="0" borderId="0" applyNumberFormat="0" applyFill="0" applyBorder="0" applyAlignment="0" applyProtection="0"/>
    <xf numFmtId="0" fontId="79" fillId="0" borderId="0"/>
    <xf numFmtId="0" fontId="80" fillId="0" borderId="0"/>
    <xf numFmtId="0" fontId="81" fillId="0" borderId="0" applyBorder="0" applyProtection="0">
      <alignment vertical="center"/>
    </xf>
    <xf numFmtId="0" fontId="81" fillId="0" borderId="0" applyBorder="0" applyProtection="0">
      <alignment horizontal="right" vertical="center"/>
    </xf>
    <xf numFmtId="0" fontId="82" fillId="35" borderId="0" applyBorder="0" applyProtection="0">
      <alignment horizontal="center" vertical="center"/>
    </xf>
    <xf numFmtId="0" fontId="82" fillId="36" borderId="0" applyBorder="0" applyProtection="0">
      <alignment horizontal="center" vertical="center"/>
    </xf>
    <xf numFmtId="0" fontId="83" fillId="0" borderId="0"/>
    <xf numFmtId="0" fontId="68" fillId="0" borderId="0"/>
    <xf numFmtId="0" fontId="84" fillId="0" borderId="0" applyFill="0" applyBorder="0" applyProtection="0">
      <alignment horizontal="left"/>
    </xf>
    <xf numFmtId="0" fontId="56" fillId="0" borderId="0" applyFill="0" applyBorder="0" applyProtection="0">
      <alignment horizontal="left" vertical="top"/>
    </xf>
    <xf numFmtId="0" fontId="85" fillId="0" borderId="0">
      <alignment horizontal="center"/>
    </xf>
    <xf numFmtId="0" fontId="86" fillId="0" borderId="0"/>
    <xf numFmtId="0" fontId="87" fillId="0" borderId="0"/>
    <xf numFmtId="0" fontId="54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41" fillId="0" borderId="0"/>
    <xf numFmtId="0" fontId="45" fillId="0" borderId="19" applyNumberFormat="0" applyFill="0" applyAlignment="0" applyProtection="0"/>
    <xf numFmtId="0" fontId="88" fillId="0" borderId="0">
      <alignment horizontal="fill"/>
    </xf>
    <xf numFmtId="202" fontId="45" fillId="0" borderId="0" applyFill="0" applyBorder="0" applyAlignment="0" applyProtection="0"/>
    <xf numFmtId="203" fontId="45" fillId="0" borderId="0" applyFill="0" applyBorder="0" applyAlignment="0" applyProtection="0"/>
    <xf numFmtId="0" fontId="89" fillId="0" borderId="0" applyBorder="0" applyProtection="0">
      <alignment horizontal="right"/>
    </xf>
    <xf numFmtId="183" fontId="45" fillId="0" borderId="0" applyFill="0" applyBorder="0" applyAlignment="0" applyProtection="0"/>
    <xf numFmtId="0" fontId="16" fillId="37" borderId="2" applyNumberFormat="0" applyAlignment="0" applyProtection="0"/>
    <xf numFmtId="3" fontId="90" fillId="0" borderId="0">
      <alignment horizontal="center" vertical="center" textRotation="90" wrapText="1"/>
    </xf>
    <xf numFmtId="14" fontId="91" fillId="0" borderId="0"/>
    <xf numFmtId="177" fontId="9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ill="0" applyBorder="0" applyAlignment="0" applyProtection="0"/>
    <xf numFmtId="9" fontId="28" fillId="0" borderId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28" fillId="0" borderId="0" applyFill="0" applyBorder="0" applyAlignment="0" applyProtection="0"/>
    <xf numFmtId="9" fontId="15" fillId="0" borderId="0" applyFill="0" applyBorder="0" applyAlignment="0" applyProtection="0"/>
    <xf numFmtId="9" fontId="15" fillId="0" borderId="0" applyFill="0" applyBorder="0" applyAlignment="0" applyProtection="0"/>
    <xf numFmtId="9" fontId="15" fillId="0" borderId="0" applyFill="0" applyBorder="0" applyAlignment="0" applyProtection="0"/>
    <xf numFmtId="49" fontId="93" fillId="0" borderId="0"/>
    <xf numFmtId="49" fontId="94" fillId="0" borderId="0">
      <alignment vertical="top"/>
    </xf>
    <xf numFmtId="204" fontId="45" fillId="0" borderId="0" applyFill="0" applyBorder="0" applyAlignment="0" applyProtection="0"/>
    <xf numFmtId="205" fontId="45" fillId="0" borderId="0" applyFill="0" applyBorder="0" applyAlignment="0" applyProtection="0"/>
    <xf numFmtId="170" fontId="28" fillId="0" borderId="0" applyFont="0" applyFill="0" applyBorder="0" applyAlignment="0" applyProtection="0"/>
    <xf numFmtId="171" fontId="19" fillId="0" borderId="0" applyFont="0" applyFill="0" applyBorder="0" applyAlignment="0" applyProtection="0"/>
    <xf numFmtId="171" fontId="9" fillId="0" borderId="0" applyFont="0" applyFill="0" applyBorder="0" applyAlignment="0" applyProtection="0"/>
    <xf numFmtId="0" fontId="91" fillId="0" borderId="20" applyNumberFormat="0" applyFill="0" applyAlignment="0" applyProtection="0"/>
    <xf numFmtId="0" fontId="1" fillId="0" borderId="0"/>
    <xf numFmtId="0" fontId="7" fillId="0" borderId="0"/>
    <xf numFmtId="9" fontId="7" fillId="0" borderId="0" applyFont="0" applyFill="0" applyBorder="0" applyAlignment="0" applyProtection="0"/>
    <xf numFmtId="0" fontId="12" fillId="0" borderId="0"/>
    <xf numFmtId="0" fontId="1" fillId="0" borderId="0"/>
    <xf numFmtId="0" fontId="1" fillId="0" borderId="0"/>
    <xf numFmtId="0" fontId="1" fillId="0" borderId="0"/>
    <xf numFmtId="171" fontId="1" fillId="0" borderId="0" applyFont="0" applyFill="0" applyBorder="0" applyAlignment="0" applyProtection="0"/>
    <xf numFmtId="0" fontId="7" fillId="0" borderId="0"/>
    <xf numFmtId="0" fontId="12" fillId="0" borderId="0"/>
    <xf numFmtId="0" fontId="1" fillId="0" borderId="0"/>
    <xf numFmtId="0" fontId="7" fillId="0" borderId="0"/>
    <xf numFmtId="171" fontId="7" fillId="0" borderId="0" applyFont="0" applyFill="0" applyBorder="0" applyAlignment="0" applyProtection="0"/>
    <xf numFmtId="0" fontId="14" fillId="0" borderId="0"/>
    <xf numFmtId="0" fontId="1" fillId="0" borderId="0"/>
    <xf numFmtId="0" fontId="19" fillId="0" borderId="0"/>
    <xf numFmtId="0" fontId="18" fillId="23" borderId="2" applyNumberFormat="0" applyAlignment="0" applyProtection="0"/>
    <xf numFmtId="0" fontId="18" fillId="23" borderId="2" applyNumberFormat="0" applyAlignment="0" applyProtection="0"/>
    <xf numFmtId="0" fontId="19" fillId="0" borderId="0"/>
    <xf numFmtId="0" fontId="28" fillId="0" borderId="0"/>
    <xf numFmtId="0" fontId="1" fillId="0" borderId="0"/>
    <xf numFmtId="0" fontId="23" fillId="0" borderId="7" applyNumberFormat="0" applyFill="0" applyAlignment="0" applyProtection="0"/>
    <xf numFmtId="0" fontId="18" fillId="23" borderId="2" applyNumberFormat="0" applyAlignment="0" applyProtection="0"/>
    <xf numFmtId="0" fontId="17" fillId="23" borderId="3" applyNumberFormat="0" applyAlignment="0" applyProtection="0"/>
    <xf numFmtId="0" fontId="16" fillId="10" borderId="2" applyNumberFormat="0" applyAlignment="0" applyProtection="0"/>
    <xf numFmtId="0" fontId="19" fillId="0" borderId="0"/>
    <xf numFmtId="0" fontId="1" fillId="0" borderId="0"/>
    <xf numFmtId="0" fontId="91" fillId="0" borderId="20" applyNumberFormat="0" applyFill="0" applyAlignment="0" applyProtection="0"/>
    <xf numFmtId="0" fontId="27" fillId="0" borderId="0"/>
    <xf numFmtId="0" fontId="1" fillId="0" borderId="0"/>
    <xf numFmtId="0" fontId="23" fillId="0" borderId="7" applyNumberFormat="0" applyFill="0" applyAlignment="0" applyProtection="0"/>
    <xf numFmtId="0" fontId="16" fillId="37" borderId="2" applyNumberFormat="0" applyAlignment="0" applyProtection="0"/>
    <xf numFmtId="4" fontId="5" fillId="17" borderId="17" applyNumberFormat="0" applyProtection="0">
      <alignment horizontal="left" vertical="center"/>
    </xf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171" fontId="9" fillId="0" borderId="0" applyFont="0" applyFill="0" applyBorder="0" applyAlignment="0" applyProtection="0"/>
    <xf numFmtId="0" fontId="37" fillId="0" borderId="15">
      <alignment horizontal="left" vertical="center"/>
    </xf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7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0" fontId="7" fillId="0" borderId="0" applyFont="0" applyFill="0" applyBorder="0" applyAlignment="0" applyProtection="0"/>
    <xf numFmtId="0" fontId="1" fillId="0" borderId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0" fontId="1" fillId="0" borderId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0" fontId="1" fillId="0" borderId="0"/>
    <xf numFmtId="0" fontId="1" fillId="0" borderId="0"/>
    <xf numFmtId="0" fontId="7" fillId="0" borderId="0"/>
    <xf numFmtId="0" fontId="1" fillId="0" borderId="0"/>
    <xf numFmtId="9" fontId="7" fillId="0" borderId="0" applyFont="0" applyFill="0" applyBorder="0" applyAlignment="0" applyProtection="0"/>
    <xf numFmtId="0" fontId="1" fillId="0" borderId="0"/>
    <xf numFmtId="0" fontId="7" fillId="0" borderId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7" applyNumberFormat="0" applyFill="0" applyAlignment="0" applyProtection="0"/>
    <xf numFmtId="0" fontId="18" fillId="23" borderId="2" applyNumberFormat="0" applyAlignment="0" applyProtection="0"/>
    <xf numFmtId="0" fontId="17" fillId="23" borderId="3" applyNumberFormat="0" applyAlignment="0" applyProtection="0"/>
    <xf numFmtId="0" fontId="16" fillId="10" borderId="2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0" fontId="7" fillId="0" borderId="0" applyFont="0" applyFill="0" applyBorder="0" applyAlignment="0" applyProtection="0"/>
    <xf numFmtId="170" fontId="7" fillId="0" borderId="0" applyFont="0" applyFill="0" applyBorder="0" applyAlignment="0" applyProtection="0"/>
    <xf numFmtId="170" fontId="7" fillId="0" borderId="0" applyFont="0" applyFill="0" applyBorder="0" applyAlignment="0" applyProtection="0"/>
    <xf numFmtId="170" fontId="7" fillId="0" borderId="0" applyFont="0" applyFill="0" applyBorder="0" applyAlignment="0" applyProtection="0"/>
    <xf numFmtId="170" fontId="7" fillId="0" borderId="0" applyFont="0" applyFill="0" applyBorder="0" applyAlignment="0" applyProtection="0"/>
    <xf numFmtId="170" fontId="7" fillId="0" borderId="0" applyFont="0" applyFill="0" applyBorder="0" applyAlignment="0" applyProtection="0"/>
    <xf numFmtId="170" fontId="7" fillId="0" borderId="0" applyFont="0" applyFill="0" applyBorder="0" applyAlignment="0" applyProtection="0"/>
    <xf numFmtId="170" fontId="7" fillId="0" borderId="0" applyFont="0" applyFill="0" applyBorder="0" applyAlignment="0" applyProtection="0"/>
    <xf numFmtId="0" fontId="1" fillId="0" borderId="0"/>
    <xf numFmtId="170" fontId="7" fillId="0" borderId="0" applyFont="0" applyFill="0" applyBorder="0" applyAlignment="0" applyProtection="0"/>
    <xf numFmtId="170" fontId="7" fillId="0" borderId="0" applyFont="0" applyFill="0" applyBorder="0" applyAlignment="0" applyProtection="0"/>
    <xf numFmtId="170" fontId="7" fillId="0" borderId="0" applyFont="0" applyFill="0" applyBorder="0" applyAlignment="0" applyProtection="0"/>
    <xf numFmtId="170" fontId="7" fillId="0" borderId="0" applyFont="0" applyFill="0" applyBorder="0" applyAlignment="0" applyProtection="0"/>
    <xf numFmtId="170" fontId="7" fillId="0" borderId="0" applyFont="0" applyFill="0" applyBorder="0" applyAlignment="0" applyProtection="0"/>
    <xf numFmtId="170" fontId="7" fillId="0" borderId="0" applyFont="0" applyFill="0" applyBorder="0" applyAlignment="0" applyProtection="0"/>
    <xf numFmtId="170" fontId="7" fillId="0" borderId="0" applyFont="0" applyFill="0" applyBorder="0" applyAlignment="0" applyProtection="0"/>
    <xf numFmtId="170" fontId="7" fillId="0" borderId="0" applyFont="0" applyFill="0" applyBorder="0" applyAlignment="0" applyProtection="0"/>
    <xf numFmtId="0" fontId="19" fillId="26" borderId="9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1" fontId="1" fillId="0" borderId="0" applyFont="0" applyFill="0" applyBorder="0" applyAlignment="0" applyProtection="0"/>
    <xf numFmtId="0" fontId="1" fillId="0" borderId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" fillId="0" borderId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0" fontId="1" fillId="0" borderId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1" fontId="1" fillId="0" borderId="0" applyFont="0" applyFill="0" applyBorder="0" applyAlignment="0" applyProtection="0"/>
    <xf numFmtId="0" fontId="1" fillId="0" borderId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" fillId="0" borderId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0" fontId="1" fillId="0" borderId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1" fontId="1" fillId="0" borderId="0" applyFont="0" applyFill="0" applyBorder="0" applyAlignment="0" applyProtection="0"/>
    <xf numFmtId="0" fontId="1" fillId="0" borderId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" fillId="0" borderId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0" fontId="1" fillId="0" borderId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71" fontId="1" fillId="0" borderId="0" applyFont="0" applyFill="0" applyBorder="0" applyAlignment="0" applyProtection="0"/>
    <xf numFmtId="0" fontId="1" fillId="0" borderId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" fillId="0" borderId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0" fontId="1" fillId="0" borderId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1" fontId="1" fillId="0" borderId="0" applyFont="0" applyFill="0" applyBorder="0" applyAlignment="0" applyProtection="0"/>
    <xf numFmtId="0" fontId="1" fillId="0" borderId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" fillId="0" borderId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0" fontId="1" fillId="0" borderId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1" fontId="1" fillId="0" borderId="0" applyFont="0" applyFill="0" applyBorder="0" applyAlignment="0" applyProtection="0"/>
    <xf numFmtId="0" fontId="1" fillId="0" borderId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" fillId="0" borderId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0" fontId="1" fillId="0" borderId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0" fontId="7" fillId="0" borderId="0" applyFont="0" applyFill="0" applyBorder="0" applyAlignment="0" applyProtection="0"/>
    <xf numFmtId="170" fontId="7" fillId="0" borderId="0" applyFont="0" applyFill="0" applyBorder="0" applyAlignment="0" applyProtection="0"/>
    <xf numFmtId="170" fontId="7" fillId="0" borderId="0" applyFont="0" applyFill="0" applyBorder="0" applyAlignment="0" applyProtection="0"/>
    <xf numFmtId="170" fontId="7" fillId="0" borderId="0" applyFont="0" applyFill="0" applyBorder="0" applyAlignment="0" applyProtection="0"/>
    <xf numFmtId="170" fontId="7" fillId="0" borderId="0" applyFont="0" applyFill="0" applyBorder="0" applyAlignment="0" applyProtection="0"/>
    <xf numFmtId="170" fontId="7" fillId="0" borderId="0" applyFont="0" applyFill="0" applyBorder="0" applyAlignment="0" applyProtection="0"/>
    <xf numFmtId="170" fontId="7" fillId="0" borderId="0" applyFont="0" applyFill="0" applyBorder="0" applyAlignment="0" applyProtection="0"/>
    <xf numFmtId="170" fontId="7" fillId="0" borderId="0" applyFont="0" applyFill="0" applyBorder="0" applyAlignment="0" applyProtection="0"/>
    <xf numFmtId="0" fontId="1" fillId="0" borderId="0"/>
    <xf numFmtId="170" fontId="7" fillId="0" borderId="0" applyFont="0" applyFill="0" applyBorder="0" applyAlignment="0" applyProtection="0"/>
    <xf numFmtId="170" fontId="7" fillId="0" borderId="0" applyFont="0" applyFill="0" applyBorder="0" applyAlignment="0" applyProtection="0"/>
    <xf numFmtId="170" fontId="7" fillId="0" borderId="0" applyFont="0" applyFill="0" applyBorder="0" applyAlignment="0" applyProtection="0"/>
    <xf numFmtId="170" fontId="7" fillId="0" borderId="0" applyFont="0" applyFill="0" applyBorder="0" applyAlignment="0" applyProtection="0"/>
    <xf numFmtId="170" fontId="7" fillId="0" borderId="0" applyFont="0" applyFill="0" applyBorder="0" applyAlignment="0" applyProtection="0"/>
    <xf numFmtId="170" fontId="7" fillId="0" borderId="0" applyFont="0" applyFill="0" applyBorder="0" applyAlignment="0" applyProtection="0"/>
    <xf numFmtId="170" fontId="7" fillId="0" borderId="0" applyFont="0" applyFill="0" applyBorder="0" applyAlignment="0" applyProtection="0"/>
    <xf numFmtId="170" fontId="7" fillId="0" borderId="0" applyFont="0" applyFill="0" applyBorder="0" applyAlignment="0" applyProtection="0"/>
    <xf numFmtId="0" fontId="1" fillId="0" borderId="0"/>
    <xf numFmtId="0" fontId="1" fillId="0" borderId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6" fontId="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0" fontId="7" fillId="0" borderId="0" applyFont="0" applyFill="0" applyBorder="0" applyAlignment="0" applyProtection="0"/>
    <xf numFmtId="170" fontId="7" fillId="0" borderId="0" applyFont="0" applyFill="0" applyBorder="0" applyAlignment="0" applyProtection="0"/>
    <xf numFmtId="170" fontId="7" fillId="0" borderId="0" applyFont="0" applyFill="0" applyBorder="0" applyAlignment="0" applyProtection="0"/>
    <xf numFmtId="170" fontId="7" fillId="0" borderId="0" applyFont="0" applyFill="0" applyBorder="0" applyAlignment="0" applyProtection="0"/>
    <xf numFmtId="170" fontId="7" fillId="0" borderId="0" applyFont="0" applyFill="0" applyBorder="0" applyAlignment="0" applyProtection="0"/>
    <xf numFmtId="170" fontId="7" fillId="0" borderId="0" applyFont="0" applyFill="0" applyBorder="0" applyAlignment="0" applyProtection="0"/>
    <xf numFmtId="170" fontId="7" fillId="0" borderId="0" applyFont="0" applyFill="0" applyBorder="0" applyAlignment="0" applyProtection="0"/>
    <xf numFmtId="170" fontId="7" fillId="0" borderId="0" applyFont="0" applyFill="0" applyBorder="0" applyAlignment="0" applyProtection="0"/>
    <xf numFmtId="0" fontId="1" fillId="0" borderId="0"/>
    <xf numFmtId="170" fontId="7" fillId="0" borderId="0" applyFont="0" applyFill="0" applyBorder="0" applyAlignment="0" applyProtection="0"/>
    <xf numFmtId="170" fontId="7" fillId="0" borderId="0" applyFont="0" applyFill="0" applyBorder="0" applyAlignment="0" applyProtection="0"/>
    <xf numFmtId="170" fontId="7" fillId="0" borderId="0" applyFont="0" applyFill="0" applyBorder="0" applyAlignment="0" applyProtection="0"/>
    <xf numFmtId="170" fontId="7" fillId="0" borderId="0" applyFont="0" applyFill="0" applyBorder="0" applyAlignment="0" applyProtection="0"/>
    <xf numFmtId="170" fontId="7" fillId="0" borderId="0" applyFont="0" applyFill="0" applyBorder="0" applyAlignment="0" applyProtection="0"/>
    <xf numFmtId="170" fontId="7" fillId="0" borderId="0" applyFont="0" applyFill="0" applyBorder="0" applyAlignment="0" applyProtection="0"/>
    <xf numFmtId="170" fontId="7" fillId="0" borderId="0" applyFont="0" applyFill="0" applyBorder="0" applyAlignment="0" applyProtection="0"/>
    <xf numFmtId="170" fontId="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0" fontId="7" fillId="0" borderId="0" applyFont="0" applyFill="0" applyBorder="0" applyAlignment="0" applyProtection="0"/>
    <xf numFmtId="170" fontId="7" fillId="0" borderId="0" applyFont="0" applyFill="0" applyBorder="0" applyAlignment="0" applyProtection="0"/>
    <xf numFmtId="170" fontId="7" fillId="0" borderId="0" applyFont="0" applyFill="0" applyBorder="0" applyAlignment="0" applyProtection="0"/>
    <xf numFmtId="170" fontId="7" fillId="0" borderId="0" applyFont="0" applyFill="0" applyBorder="0" applyAlignment="0" applyProtection="0"/>
    <xf numFmtId="170" fontId="7" fillId="0" borderId="0" applyFont="0" applyFill="0" applyBorder="0" applyAlignment="0" applyProtection="0"/>
    <xf numFmtId="170" fontId="7" fillId="0" borderId="0" applyFont="0" applyFill="0" applyBorder="0" applyAlignment="0" applyProtection="0"/>
    <xf numFmtId="170" fontId="7" fillId="0" borderId="0" applyFont="0" applyFill="0" applyBorder="0" applyAlignment="0" applyProtection="0"/>
    <xf numFmtId="170" fontId="7" fillId="0" borderId="0" applyFont="0" applyFill="0" applyBorder="0" applyAlignment="0" applyProtection="0"/>
    <xf numFmtId="0" fontId="1" fillId="0" borderId="0"/>
    <xf numFmtId="170" fontId="7" fillId="0" borderId="0" applyFont="0" applyFill="0" applyBorder="0" applyAlignment="0" applyProtection="0"/>
    <xf numFmtId="170" fontId="7" fillId="0" borderId="0" applyFont="0" applyFill="0" applyBorder="0" applyAlignment="0" applyProtection="0"/>
    <xf numFmtId="170" fontId="7" fillId="0" borderId="0" applyFont="0" applyFill="0" applyBorder="0" applyAlignment="0" applyProtection="0"/>
    <xf numFmtId="170" fontId="7" fillId="0" borderId="0" applyFont="0" applyFill="0" applyBorder="0" applyAlignment="0" applyProtection="0"/>
    <xf numFmtId="170" fontId="7" fillId="0" borderId="0" applyFont="0" applyFill="0" applyBorder="0" applyAlignment="0" applyProtection="0"/>
    <xf numFmtId="170" fontId="7" fillId="0" borderId="0" applyFont="0" applyFill="0" applyBorder="0" applyAlignment="0" applyProtection="0"/>
    <xf numFmtId="170" fontId="7" fillId="0" borderId="0" applyFont="0" applyFill="0" applyBorder="0" applyAlignment="0" applyProtection="0"/>
    <xf numFmtId="170" fontId="7" fillId="0" borderId="0" applyFont="0" applyFill="0" applyBorder="0" applyAlignment="0" applyProtection="0"/>
    <xf numFmtId="0" fontId="1" fillId="0" borderId="0"/>
    <xf numFmtId="170" fontId="7" fillId="0" borderId="0" applyFont="0" applyFill="0" applyBorder="0" applyAlignment="0" applyProtection="0"/>
    <xf numFmtId="170" fontId="7" fillId="0" borderId="0" applyFont="0" applyFill="0" applyBorder="0" applyAlignment="0" applyProtection="0"/>
    <xf numFmtId="170" fontId="7" fillId="0" borderId="0" applyFont="0" applyFill="0" applyBorder="0" applyAlignment="0" applyProtection="0"/>
    <xf numFmtId="170" fontId="7" fillId="0" borderId="0" applyFont="0" applyFill="0" applyBorder="0" applyAlignment="0" applyProtection="0"/>
    <xf numFmtId="170" fontId="7" fillId="0" borderId="0" applyFont="0" applyFill="0" applyBorder="0" applyAlignment="0" applyProtection="0"/>
    <xf numFmtId="170" fontId="7" fillId="0" borderId="0" applyFont="0" applyFill="0" applyBorder="0" applyAlignment="0" applyProtection="0"/>
    <xf numFmtId="170" fontId="7" fillId="0" borderId="0" applyFont="0" applyFill="0" applyBorder="0" applyAlignment="0" applyProtection="0"/>
    <xf numFmtId="170" fontId="7" fillId="0" borderId="0" applyFont="0" applyFill="0" applyBorder="0" applyAlignment="0" applyProtection="0"/>
    <xf numFmtId="170" fontId="7" fillId="0" borderId="0" applyFont="0" applyFill="0" applyBorder="0" applyAlignment="0" applyProtection="0"/>
    <xf numFmtId="170" fontId="7" fillId="0" borderId="0" applyFont="0" applyFill="0" applyBorder="0" applyAlignment="0" applyProtection="0"/>
    <xf numFmtId="170" fontId="7" fillId="0" borderId="0" applyFont="0" applyFill="0" applyBorder="0" applyAlignment="0" applyProtection="0"/>
    <xf numFmtId="170" fontId="7" fillId="0" borderId="0" applyFont="0" applyFill="0" applyBorder="0" applyAlignment="0" applyProtection="0"/>
    <xf numFmtId="170" fontId="7" fillId="0" borderId="0" applyFont="0" applyFill="0" applyBorder="0" applyAlignment="0" applyProtection="0"/>
    <xf numFmtId="170" fontId="7" fillId="0" borderId="0" applyFont="0" applyFill="0" applyBorder="0" applyAlignment="0" applyProtection="0"/>
    <xf numFmtId="170" fontId="7" fillId="0" borderId="0" applyFont="0" applyFill="0" applyBorder="0" applyAlignment="0" applyProtection="0"/>
    <xf numFmtId="170" fontId="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0" fontId="7" fillId="0" borderId="0" applyFont="0" applyFill="0" applyBorder="0" applyAlignment="0" applyProtection="0"/>
    <xf numFmtId="170" fontId="7" fillId="0" borderId="0" applyFont="0" applyFill="0" applyBorder="0" applyAlignment="0" applyProtection="0"/>
    <xf numFmtId="170" fontId="7" fillId="0" borderId="0" applyFont="0" applyFill="0" applyBorder="0" applyAlignment="0" applyProtection="0"/>
    <xf numFmtId="170" fontId="7" fillId="0" borderId="0" applyFont="0" applyFill="0" applyBorder="0" applyAlignment="0" applyProtection="0"/>
    <xf numFmtId="170" fontId="7" fillId="0" borderId="0" applyFont="0" applyFill="0" applyBorder="0" applyAlignment="0" applyProtection="0"/>
    <xf numFmtId="170" fontId="7" fillId="0" borderId="0" applyFont="0" applyFill="0" applyBorder="0" applyAlignment="0" applyProtection="0"/>
    <xf numFmtId="170" fontId="7" fillId="0" borderId="0" applyFont="0" applyFill="0" applyBorder="0" applyAlignment="0" applyProtection="0"/>
    <xf numFmtId="170" fontId="7" fillId="0" borderId="0" applyFont="0" applyFill="0" applyBorder="0" applyAlignment="0" applyProtection="0"/>
    <xf numFmtId="0" fontId="1" fillId="0" borderId="0"/>
    <xf numFmtId="170" fontId="7" fillId="0" borderId="0" applyFont="0" applyFill="0" applyBorder="0" applyAlignment="0" applyProtection="0"/>
    <xf numFmtId="170" fontId="7" fillId="0" borderId="0" applyFont="0" applyFill="0" applyBorder="0" applyAlignment="0" applyProtection="0"/>
    <xf numFmtId="170" fontId="7" fillId="0" borderId="0" applyFont="0" applyFill="0" applyBorder="0" applyAlignment="0" applyProtection="0"/>
    <xf numFmtId="170" fontId="7" fillId="0" borderId="0" applyFont="0" applyFill="0" applyBorder="0" applyAlignment="0" applyProtection="0"/>
    <xf numFmtId="170" fontId="7" fillId="0" borderId="0" applyFont="0" applyFill="0" applyBorder="0" applyAlignment="0" applyProtection="0"/>
    <xf numFmtId="170" fontId="7" fillId="0" borderId="0" applyFont="0" applyFill="0" applyBorder="0" applyAlignment="0" applyProtection="0"/>
    <xf numFmtId="170" fontId="7" fillId="0" borderId="0" applyFont="0" applyFill="0" applyBorder="0" applyAlignment="0" applyProtection="0"/>
    <xf numFmtId="170" fontId="7" fillId="0" borderId="0" applyFont="0" applyFill="0" applyBorder="0" applyAlignment="0" applyProtection="0"/>
    <xf numFmtId="0" fontId="1" fillId="0" borderId="0"/>
    <xf numFmtId="170" fontId="7" fillId="0" borderId="0" applyFont="0" applyFill="0" applyBorder="0" applyAlignment="0" applyProtection="0"/>
    <xf numFmtId="170" fontId="7" fillId="0" borderId="0" applyFont="0" applyFill="0" applyBorder="0" applyAlignment="0" applyProtection="0"/>
    <xf numFmtId="170" fontId="7" fillId="0" borderId="0" applyFont="0" applyFill="0" applyBorder="0" applyAlignment="0" applyProtection="0"/>
    <xf numFmtId="170" fontId="7" fillId="0" borderId="0" applyFont="0" applyFill="0" applyBorder="0" applyAlignment="0" applyProtection="0"/>
    <xf numFmtId="170" fontId="7" fillId="0" borderId="0" applyFont="0" applyFill="0" applyBorder="0" applyAlignment="0" applyProtection="0"/>
    <xf numFmtId="170" fontId="7" fillId="0" borderId="0" applyFont="0" applyFill="0" applyBorder="0" applyAlignment="0" applyProtection="0"/>
    <xf numFmtId="170" fontId="7" fillId="0" borderId="0" applyFont="0" applyFill="0" applyBorder="0" applyAlignment="0" applyProtection="0"/>
    <xf numFmtId="170" fontId="7" fillId="0" borderId="0" applyFont="0" applyFill="0" applyBorder="0" applyAlignment="0" applyProtection="0"/>
    <xf numFmtId="170" fontId="7" fillId="0" borderId="0" applyFont="0" applyFill="0" applyBorder="0" applyAlignment="0" applyProtection="0"/>
    <xf numFmtId="170" fontId="7" fillId="0" borderId="0" applyFont="0" applyFill="0" applyBorder="0" applyAlignment="0" applyProtection="0"/>
    <xf numFmtId="170" fontId="7" fillId="0" borderId="0" applyFont="0" applyFill="0" applyBorder="0" applyAlignment="0" applyProtection="0"/>
    <xf numFmtId="170" fontId="7" fillId="0" borderId="0" applyFont="0" applyFill="0" applyBorder="0" applyAlignment="0" applyProtection="0"/>
    <xf numFmtId="170" fontId="7" fillId="0" borderId="0" applyFont="0" applyFill="0" applyBorder="0" applyAlignment="0" applyProtection="0"/>
    <xf numFmtId="170" fontId="7" fillId="0" borderId="0" applyFont="0" applyFill="0" applyBorder="0" applyAlignment="0" applyProtection="0"/>
    <xf numFmtId="170" fontId="7" fillId="0" borderId="0" applyFont="0" applyFill="0" applyBorder="0" applyAlignment="0" applyProtection="0"/>
    <xf numFmtId="170" fontId="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1" fontId="1" fillId="0" borderId="0" applyFont="0" applyFill="0" applyBorder="0" applyAlignment="0" applyProtection="0"/>
    <xf numFmtId="0" fontId="1" fillId="0" borderId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" fillId="0" borderId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0" fontId="1" fillId="0" borderId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1" fontId="1" fillId="0" borderId="0" applyFont="0" applyFill="0" applyBorder="0" applyAlignment="0" applyProtection="0"/>
    <xf numFmtId="0" fontId="1" fillId="0" borderId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" fillId="0" borderId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0" fontId="1" fillId="0" borderId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1" fontId="1" fillId="0" borderId="0" applyFont="0" applyFill="0" applyBorder="0" applyAlignment="0" applyProtection="0"/>
    <xf numFmtId="0" fontId="1" fillId="0" borderId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" fillId="0" borderId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0" fontId="1" fillId="0" borderId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1" fontId="1" fillId="0" borderId="0" applyFont="0" applyFill="0" applyBorder="0" applyAlignment="0" applyProtection="0"/>
    <xf numFmtId="0" fontId="1" fillId="0" borderId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" fillId="0" borderId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0" fontId="1" fillId="0" borderId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0" fontId="5" fillId="0" borderId="0"/>
    <xf numFmtId="170" fontId="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26" borderId="9" applyNumberFormat="0" applyFont="0" applyAlignment="0" applyProtection="0"/>
    <xf numFmtId="0" fontId="23" fillId="0" borderId="7" applyNumberFormat="0" applyFill="0" applyAlignment="0" applyProtection="0"/>
    <xf numFmtId="0" fontId="16" fillId="37" borderId="2" applyNumberFormat="0" applyAlignment="0" applyProtection="0"/>
    <xf numFmtId="0" fontId="23" fillId="0" borderId="7" applyNumberFormat="0" applyFill="0" applyAlignment="0" applyProtection="0"/>
    <xf numFmtId="0" fontId="18" fillId="23" borderId="2" applyNumberFormat="0" applyAlignment="0" applyProtection="0"/>
    <xf numFmtId="0" fontId="17" fillId="23" borderId="3" applyNumberFormat="0" applyAlignment="0" applyProtection="0"/>
    <xf numFmtId="0" fontId="16" fillId="10" borderId="2" applyNumberFormat="0" applyAlignment="0" applyProtection="0"/>
    <xf numFmtId="0" fontId="19" fillId="26" borderId="9" applyNumberFormat="0" applyFont="0" applyAlignment="0" applyProtection="0"/>
    <xf numFmtId="0" fontId="91" fillId="0" borderId="20" applyNumberFormat="0" applyFill="0" applyAlignment="0" applyProtection="0"/>
    <xf numFmtId="0" fontId="23" fillId="0" borderId="7" applyNumberFormat="0" applyFill="0" applyAlignment="0" applyProtection="0"/>
    <xf numFmtId="0" fontId="23" fillId="0" borderId="7" applyNumberFormat="0" applyFill="0" applyAlignment="0" applyProtection="0"/>
    <xf numFmtId="0" fontId="16" fillId="10" borderId="2" applyNumberFormat="0" applyAlignment="0" applyProtection="0"/>
    <xf numFmtId="0" fontId="19" fillId="26" borderId="9" applyNumberFormat="0" applyFont="0" applyAlignment="0" applyProtection="0"/>
    <xf numFmtId="0" fontId="19" fillId="26" borderId="9" applyNumberFormat="0" applyFont="0" applyAlignment="0" applyProtection="0"/>
    <xf numFmtId="4" fontId="5" fillId="17" borderId="17" applyNumberFormat="0" applyProtection="0">
      <alignment horizontal="left" vertical="center"/>
    </xf>
    <xf numFmtId="0" fontId="37" fillId="0" borderId="15">
      <alignment horizontal="left" vertical="center"/>
    </xf>
    <xf numFmtId="0" fontId="16" fillId="10" borderId="2" applyNumberFormat="0" applyAlignment="0" applyProtection="0"/>
    <xf numFmtId="0" fontId="23" fillId="0" borderId="7" applyNumberFormat="0" applyFill="0" applyAlignment="0" applyProtection="0"/>
    <xf numFmtId="0" fontId="17" fillId="23" borderId="3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7" fillId="23" borderId="3" applyNumberFormat="0" applyAlignment="0" applyProtection="0"/>
    <xf numFmtId="0" fontId="16" fillId="37" borderId="2" applyNumberFormat="0" applyAlignment="0" applyProtection="0"/>
    <xf numFmtId="0" fontId="19" fillId="26" borderId="9" applyNumberFormat="0" applyFont="0" applyAlignment="0" applyProtection="0"/>
    <xf numFmtId="4" fontId="5" fillId="17" borderId="17" applyNumberFormat="0" applyProtection="0">
      <alignment horizontal="left" vertical="center"/>
    </xf>
    <xf numFmtId="0" fontId="23" fillId="0" borderId="7" applyNumberFormat="0" applyFill="0" applyAlignment="0" applyProtection="0"/>
    <xf numFmtId="0" fontId="16" fillId="10" borderId="2" applyNumberFormat="0" applyAlignment="0" applyProtection="0"/>
    <xf numFmtId="0" fontId="19" fillId="26" borderId="9" applyNumberFormat="0" applyFont="0" applyAlignment="0" applyProtection="0"/>
    <xf numFmtId="0" fontId="17" fillId="23" borderId="3" applyNumberFormat="0" applyAlignment="0" applyProtection="0"/>
    <xf numFmtId="0" fontId="16" fillId="10" borderId="2" applyNumberFormat="0" applyAlignment="0" applyProtection="0"/>
    <xf numFmtId="0" fontId="23" fillId="0" borderId="7" applyNumberFormat="0" applyFill="0" applyAlignment="0" applyProtection="0"/>
    <xf numFmtId="0" fontId="17" fillId="23" borderId="3" applyNumberFormat="0" applyAlignment="0" applyProtection="0"/>
    <xf numFmtId="0" fontId="91" fillId="0" borderId="20" applyNumberFormat="0" applyFill="0" applyAlignment="0" applyProtection="0"/>
    <xf numFmtId="0" fontId="37" fillId="0" borderId="15">
      <alignment horizontal="left" vertical="center"/>
    </xf>
  </cellStyleXfs>
  <cellXfs count="39">
    <xf numFmtId="0" fontId="0" fillId="0" borderId="0" xfId="0"/>
    <xf numFmtId="0" fontId="0" fillId="0" borderId="0" xfId="0" applyAlignment="1">
      <alignment horizontal="left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3" fillId="2" borderId="1" xfId="0" applyFont="1" applyFill="1" applyBorder="1" applyAlignment="1">
      <alignment horizontal="left" vertical="top" wrapText="1"/>
    </xf>
    <xf numFmtId="0" fontId="4" fillId="3" borderId="1" xfId="0" applyFont="1" applyFill="1" applyBorder="1" applyAlignment="1">
      <alignment horizontal="left" vertical="top" wrapText="1"/>
    </xf>
    <xf numFmtId="0" fontId="4" fillId="3" borderId="1" xfId="0" applyFont="1" applyFill="1" applyBorder="1" applyAlignment="1">
      <alignment horizontal="right" vertical="top"/>
    </xf>
    <xf numFmtId="164" fontId="4" fillId="3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left" vertical="top" wrapText="1"/>
    </xf>
    <xf numFmtId="165" fontId="0" fillId="0" borderId="1" xfId="0" applyNumberFormat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165" fontId="4" fillId="3" borderId="1" xfId="0" applyNumberFormat="1" applyFont="1" applyFill="1" applyBorder="1" applyAlignment="1">
      <alignment horizontal="right" vertical="top"/>
    </xf>
    <xf numFmtId="10" fontId="0" fillId="0" borderId="0" xfId="0" applyNumberFormat="1"/>
    <xf numFmtId="166" fontId="0" fillId="0" borderId="0" xfId="0" applyNumberFormat="1" applyAlignment="1">
      <alignment horizontal="left"/>
    </xf>
    <xf numFmtId="166" fontId="0" fillId="0" borderId="0" xfId="0" applyNumberFormat="1"/>
    <xf numFmtId="166" fontId="5" fillId="0" borderId="0" xfId="0" applyNumberFormat="1" applyFont="1"/>
    <xf numFmtId="166" fontId="5" fillId="0" borderId="0" xfId="0" applyNumberFormat="1" applyFont="1" applyAlignment="1">
      <alignment horizontal="left"/>
    </xf>
    <xf numFmtId="166" fontId="6" fillId="0" borderId="0" xfId="0" applyNumberFormat="1" applyFont="1" applyAlignment="1">
      <alignment horizontal="center"/>
    </xf>
    <xf numFmtId="0" fontId="0" fillId="4" borderId="1" xfId="0" applyFill="1" applyBorder="1" applyAlignment="1">
      <alignment horizontal="left" vertical="top" wrapText="1"/>
    </xf>
    <xf numFmtId="164" fontId="0" fillId="4" borderId="1" xfId="0" applyNumberFormat="1" applyFill="1" applyBorder="1" applyAlignment="1">
      <alignment horizontal="right" vertical="top"/>
    </xf>
    <xf numFmtId="10" fontId="0" fillId="4" borderId="0" xfId="0" applyNumberFormat="1" applyFill="1"/>
    <xf numFmtId="166" fontId="0" fillId="4" borderId="0" xfId="0" applyNumberFormat="1" applyFill="1"/>
    <xf numFmtId="166" fontId="6" fillId="4" borderId="0" xfId="0" applyNumberFormat="1" applyFont="1" applyFill="1" applyAlignment="1">
      <alignment horizontal="center"/>
    </xf>
    <xf numFmtId="165" fontId="0" fillId="4" borderId="1" xfId="0" applyNumberFormat="1" applyFill="1" applyBorder="1" applyAlignment="1">
      <alignment horizontal="right" vertical="top"/>
    </xf>
    <xf numFmtId="0" fontId="4" fillId="3" borderId="1" xfId="0" applyFont="1" applyFill="1" applyBorder="1" applyAlignment="1">
      <alignment horizontal="left" vertical="top" wrapText="1"/>
    </xf>
    <xf numFmtId="0" fontId="4" fillId="3" borderId="1" xfId="0" applyFont="1" applyFill="1" applyBorder="1" applyAlignment="1">
      <alignment horizontal="left" vertical="top" wrapText="1" indent="2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vertical="top" wrapText="1" indent="4"/>
    </xf>
    <xf numFmtId="0" fontId="3" fillId="0" borderId="0" xfId="0" applyFont="1" applyAlignment="1">
      <alignment horizontal="left" vertical="top" wrapText="1"/>
    </xf>
    <xf numFmtId="0" fontId="3" fillId="2" borderId="1" xfId="0" applyFont="1" applyFill="1" applyBorder="1" applyAlignment="1">
      <alignment horizontal="left" vertical="top" wrapText="1"/>
    </xf>
    <xf numFmtId="0" fontId="0" fillId="4" borderId="1" xfId="0" applyFill="1" applyBorder="1" applyAlignment="1">
      <alignment horizontal="left" vertical="top" wrapText="1" indent="4"/>
    </xf>
    <xf numFmtId="166" fontId="5" fillId="0" borderId="0" xfId="0" applyNumberFormat="1" applyFont="1" applyAlignment="1">
      <alignment horizontal="center"/>
    </xf>
    <xf numFmtId="166" fontId="0" fillId="0" borderId="0" xfId="0" applyNumberFormat="1" applyAlignment="1">
      <alignment horizontal="center"/>
    </xf>
    <xf numFmtId="166" fontId="6" fillId="0" borderId="0" xfId="0" applyNumberFormat="1" applyFont="1" applyAlignment="1">
      <alignment horizontal="center"/>
    </xf>
    <xf numFmtId="0" fontId="1" fillId="0" borderId="11" xfId="1" applyBorder="1"/>
    <xf numFmtId="0" fontId="1" fillId="0" borderId="11" xfId="1" pivotButton="1" applyBorder="1"/>
    <xf numFmtId="0" fontId="1" fillId="0" borderId="11" xfId="1" applyBorder="1" applyAlignment="1">
      <alignment horizontal="center"/>
    </xf>
    <xf numFmtId="0" fontId="1" fillId="0" borderId="11" xfId="1" applyNumberFormat="1" applyBorder="1"/>
    <xf numFmtId="0" fontId="0" fillId="0" borderId="11" xfId="0" applyBorder="1"/>
  </cellXfs>
  <cellStyles count="10249">
    <cellStyle name=";;;" xfId="530"/>
    <cellStyle name="???????? [0]_vaqduGfTSN7qyUJNWHRlcWo3H" xfId="531"/>
    <cellStyle name="????????_vaqduGfTSN7qyUJNWHRlcWo3H" xfId="532"/>
    <cellStyle name="???????_vaqduGfTSN7qyUJNWHRlcWo3H" xfId="533"/>
    <cellStyle name="0,0_x000d__x000a_NA_x000d__x000a_" xfId="3"/>
    <cellStyle name="1Outputbox1" xfId="534"/>
    <cellStyle name="1Outputbox2" xfId="535"/>
    <cellStyle name="1Outputheader" xfId="536"/>
    <cellStyle name="1Outputheader2" xfId="537"/>
    <cellStyle name="1Outputsubtitle" xfId="538"/>
    <cellStyle name="1Outputtitle" xfId="539"/>
    <cellStyle name="1Profileheader" xfId="540"/>
    <cellStyle name="1Profilelowerbox" xfId="541"/>
    <cellStyle name="1Profilesubheader" xfId="542"/>
    <cellStyle name="1Profiletitle" xfId="543"/>
    <cellStyle name="1Profiletopbox" xfId="544"/>
    <cellStyle name="20% - Акцент1 2" xfId="4"/>
    <cellStyle name="20% - Акцент2 2" xfId="5"/>
    <cellStyle name="20% - Акцент3 2" xfId="6"/>
    <cellStyle name="20% - Акцент4 2" xfId="7"/>
    <cellStyle name="20% - Акцент5 2" xfId="8"/>
    <cellStyle name="20% - Акцент6 2" xfId="9"/>
    <cellStyle name="40% - Акцент1 2" xfId="10"/>
    <cellStyle name="40% - Акцент2 2" xfId="11"/>
    <cellStyle name="40% - Акцент3 2" xfId="12"/>
    <cellStyle name="40% - Акцент4 2" xfId="13"/>
    <cellStyle name="40% - Акцент5 2" xfId="14"/>
    <cellStyle name="40% - Акцент6 2" xfId="15"/>
    <cellStyle name="60% - Акцент1 2" xfId="16"/>
    <cellStyle name="60% - Акцент2 2" xfId="17"/>
    <cellStyle name="60% - Акцент3 2" xfId="18"/>
    <cellStyle name="60% - Акцент4 2" xfId="19"/>
    <cellStyle name="60% - Акцент5 2" xfId="20"/>
    <cellStyle name="60% - Акцент6 2" xfId="21"/>
    <cellStyle name="8pt" xfId="545"/>
    <cellStyle name="Aaia?iue [0]_vaqduGfTSN7qyUJNWHRlcWo3H" xfId="546"/>
    <cellStyle name="Aaia?iue_vaqduGfTSN7qyUJNWHRlcWo3H" xfId="547"/>
    <cellStyle name="acct" xfId="548"/>
    <cellStyle name="AeE­ [0]_?A°??µAoC?" xfId="549"/>
    <cellStyle name="AeE­_?A°??µAoC?" xfId="550"/>
    <cellStyle name="AFE" xfId="551"/>
    <cellStyle name="Arial 10" xfId="552"/>
    <cellStyle name="Arial 12" xfId="553"/>
    <cellStyle name="Balance" xfId="554"/>
    <cellStyle name="BalanceBold" xfId="555"/>
    <cellStyle name="BLACK" xfId="556"/>
    <cellStyle name="Blue" xfId="557"/>
    <cellStyle name="Body" xfId="558"/>
    <cellStyle name="British Pound" xfId="559"/>
    <cellStyle name="C?AO_?A°??µAoC?" xfId="560"/>
    <cellStyle name="Case" xfId="561"/>
    <cellStyle name="Center Across" xfId="562"/>
    <cellStyle name="Check" xfId="563"/>
    <cellStyle name="Column Heading" xfId="564"/>
    <cellStyle name="Comma [1]" xfId="565"/>
    <cellStyle name="Comma 0" xfId="566"/>
    <cellStyle name="Comma 0*" xfId="567"/>
    <cellStyle name="Comma 2" xfId="22"/>
    <cellStyle name="Comma 2 2" xfId="23"/>
    <cellStyle name="Comma 2 2 2" xfId="24"/>
    <cellStyle name="Comma 2 3" xfId="25"/>
    <cellStyle name="Comma 2 4" xfId="702"/>
    <cellStyle name="Comma 2 5" xfId="568"/>
    <cellStyle name="Comma 3" xfId="26"/>
    <cellStyle name="Comma 4" xfId="27"/>
    <cellStyle name="Comma 4 2" xfId="28"/>
    <cellStyle name="Comma 5" xfId="29"/>
    <cellStyle name="Comma 5 10" xfId="2058"/>
    <cellStyle name="Comma 5 10 2" xfId="6090"/>
    <cellStyle name="Comma 5 10 3" xfId="8566"/>
    <cellStyle name="Comma 5 11" xfId="3525"/>
    <cellStyle name="Comma 5 11 2" xfId="6285"/>
    <cellStyle name="Comma 5 11 3" xfId="10033"/>
    <cellStyle name="Comma 5 12" xfId="6466"/>
    <cellStyle name="Comma 5 13" xfId="6663"/>
    <cellStyle name="Comma 5 14" xfId="6877"/>
    <cellStyle name="Comma 5 15" xfId="5177"/>
    <cellStyle name="Comma 5 16" xfId="3706"/>
    <cellStyle name="Comma 5 17" xfId="7095"/>
    <cellStyle name="Comma 5 2" xfId="30"/>
    <cellStyle name="Comma 5 2 10" xfId="6664"/>
    <cellStyle name="Comma 5 2 11" xfId="6878"/>
    <cellStyle name="Comma 5 2 12" xfId="5178"/>
    <cellStyle name="Comma 5 2 13" xfId="3707"/>
    <cellStyle name="Comma 5 2 14" xfId="7096"/>
    <cellStyle name="Comma 5 2 2" xfId="31"/>
    <cellStyle name="Comma 5 2 2 10" xfId="6879"/>
    <cellStyle name="Comma 5 2 2 11" xfId="5179"/>
    <cellStyle name="Comma 5 2 2 12" xfId="3708"/>
    <cellStyle name="Comma 5 2 2 13" xfId="7097"/>
    <cellStyle name="Comma 5 2 2 2" xfId="758"/>
    <cellStyle name="Comma 5 2 2 2 2" xfId="1519"/>
    <cellStyle name="Comma 5 2 2 2 2 2" xfId="2990"/>
    <cellStyle name="Comma 5 2 2 2 2 2 2" xfId="9498"/>
    <cellStyle name="Comma 5 2 2 2 2 3" xfId="4638"/>
    <cellStyle name="Comma 5 2 2 2 2 4" xfId="8027"/>
    <cellStyle name="Comma 5 2 2 2 3" xfId="2254"/>
    <cellStyle name="Comma 5 2 2 2 3 2" xfId="5373"/>
    <cellStyle name="Comma 5 2 2 2 3 3" xfId="8762"/>
    <cellStyle name="Comma 5 2 2 2 4" xfId="3902"/>
    <cellStyle name="Comma 5 2 2 2 5" xfId="7291"/>
    <cellStyle name="Comma 5 2 2 3" xfId="935"/>
    <cellStyle name="Comma 5 2 2 3 2" xfId="1696"/>
    <cellStyle name="Comma 5 2 2 3 2 2" xfId="3167"/>
    <cellStyle name="Comma 5 2 2 3 2 2 2" xfId="9675"/>
    <cellStyle name="Comma 5 2 2 3 2 3" xfId="4815"/>
    <cellStyle name="Comma 5 2 2 3 2 4" xfId="8204"/>
    <cellStyle name="Comma 5 2 2 3 3" xfId="2431"/>
    <cellStyle name="Comma 5 2 2 3 3 2" xfId="5554"/>
    <cellStyle name="Comma 5 2 2 3 3 3" xfId="8939"/>
    <cellStyle name="Comma 5 2 2 3 4" xfId="4079"/>
    <cellStyle name="Comma 5 2 2 3 5" xfId="7468"/>
    <cellStyle name="Comma 5 2 2 4" xfId="1118"/>
    <cellStyle name="Comma 5 2 2 4 2" xfId="1876"/>
    <cellStyle name="Comma 5 2 2 4 2 2" xfId="3347"/>
    <cellStyle name="Comma 5 2 2 4 2 2 2" xfId="9855"/>
    <cellStyle name="Comma 5 2 2 4 2 3" xfId="4995"/>
    <cellStyle name="Comma 5 2 2 4 2 4" xfId="8384"/>
    <cellStyle name="Comma 5 2 2 4 3" xfId="2611"/>
    <cellStyle name="Comma 5 2 2 4 3 2" xfId="5731"/>
    <cellStyle name="Comma 5 2 2 4 3 3" xfId="9119"/>
    <cellStyle name="Comma 5 2 2 4 4" xfId="4259"/>
    <cellStyle name="Comma 5 2 2 4 5" xfId="7648"/>
    <cellStyle name="Comma 5 2 2 5" xfId="1325"/>
    <cellStyle name="Comma 5 2 2 5 2" xfId="2796"/>
    <cellStyle name="Comma 5 2 2 5 2 2" xfId="5911"/>
    <cellStyle name="Comma 5 2 2 5 2 3" xfId="9304"/>
    <cellStyle name="Comma 5 2 2 5 3" xfId="4444"/>
    <cellStyle name="Comma 5 2 2 5 4" xfId="7833"/>
    <cellStyle name="Comma 5 2 2 6" xfId="2060"/>
    <cellStyle name="Comma 5 2 2 6 2" xfId="6092"/>
    <cellStyle name="Comma 5 2 2 6 3" xfId="8568"/>
    <cellStyle name="Comma 5 2 2 7" xfId="3527"/>
    <cellStyle name="Comma 5 2 2 7 2" xfId="6287"/>
    <cellStyle name="Comma 5 2 2 7 3" xfId="10035"/>
    <cellStyle name="Comma 5 2 2 8" xfId="6468"/>
    <cellStyle name="Comma 5 2 2 9" xfId="6665"/>
    <cellStyle name="Comma 5 2 3" xfId="757"/>
    <cellStyle name="Comma 5 2 3 2" xfId="1518"/>
    <cellStyle name="Comma 5 2 3 2 2" xfId="2989"/>
    <cellStyle name="Comma 5 2 3 2 2 2" xfId="9497"/>
    <cellStyle name="Comma 5 2 3 2 3" xfId="4637"/>
    <cellStyle name="Comma 5 2 3 2 4" xfId="8026"/>
    <cellStyle name="Comma 5 2 3 3" xfId="2253"/>
    <cellStyle name="Comma 5 2 3 3 2" xfId="5372"/>
    <cellStyle name="Comma 5 2 3 3 3" xfId="8761"/>
    <cellStyle name="Comma 5 2 3 4" xfId="3901"/>
    <cellStyle name="Comma 5 2 3 5" xfId="7290"/>
    <cellStyle name="Comma 5 2 4" xfId="934"/>
    <cellStyle name="Comma 5 2 4 2" xfId="1695"/>
    <cellStyle name="Comma 5 2 4 2 2" xfId="3166"/>
    <cellStyle name="Comma 5 2 4 2 2 2" xfId="9674"/>
    <cellStyle name="Comma 5 2 4 2 3" xfId="4814"/>
    <cellStyle name="Comma 5 2 4 2 4" xfId="8203"/>
    <cellStyle name="Comma 5 2 4 3" xfId="2430"/>
    <cellStyle name="Comma 5 2 4 3 2" xfId="5553"/>
    <cellStyle name="Comma 5 2 4 3 3" xfId="8938"/>
    <cellStyle name="Comma 5 2 4 4" xfId="4078"/>
    <cellStyle name="Comma 5 2 4 5" xfId="7467"/>
    <cellStyle name="Comma 5 2 5" xfId="1117"/>
    <cellStyle name="Comma 5 2 5 2" xfId="1875"/>
    <cellStyle name="Comma 5 2 5 2 2" xfId="3346"/>
    <cellStyle name="Comma 5 2 5 2 2 2" xfId="9854"/>
    <cellStyle name="Comma 5 2 5 2 3" xfId="4994"/>
    <cellStyle name="Comma 5 2 5 2 4" xfId="8383"/>
    <cellStyle name="Comma 5 2 5 3" xfId="2610"/>
    <cellStyle name="Comma 5 2 5 3 2" xfId="5730"/>
    <cellStyle name="Comma 5 2 5 3 3" xfId="9118"/>
    <cellStyle name="Comma 5 2 5 4" xfId="4258"/>
    <cellStyle name="Comma 5 2 5 5" xfId="7647"/>
    <cellStyle name="Comma 5 2 6" xfId="1324"/>
    <cellStyle name="Comma 5 2 6 2" xfId="2795"/>
    <cellStyle name="Comma 5 2 6 2 2" xfId="5910"/>
    <cellStyle name="Comma 5 2 6 2 3" xfId="9303"/>
    <cellStyle name="Comma 5 2 6 3" xfId="4443"/>
    <cellStyle name="Comma 5 2 6 4" xfId="7832"/>
    <cellStyle name="Comma 5 2 7" xfId="2059"/>
    <cellStyle name="Comma 5 2 7 2" xfId="6091"/>
    <cellStyle name="Comma 5 2 7 3" xfId="8567"/>
    <cellStyle name="Comma 5 2 8" xfId="3526"/>
    <cellStyle name="Comma 5 2 8 2" xfId="6286"/>
    <cellStyle name="Comma 5 2 8 3" xfId="10034"/>
    <cellStyle name="Comma 5 2 9" xfId="6467"/>
    <cellStyle name="Comma 5 3" xfId="32"/>
    <cellStyle name="Comma 5 3 10" xfId="6666"/>
    <cellStyle name="Comma 5 3 11" xfId="6880"/>
    <cellStyle name="Comma 5 3 12" xfId="5180"/>
    <cellStyle name="Comma 5 3 13" xfId="3709"/>
    <cellStyle name="Comma 5 3 14" xfId="7098"/>
    <cellStyle name="Comma 5 3 2" xfId="33"/>
    <cellStyle name="Comma 5 3 2 10" xfId="6881"/>
    <cellStyle name="Comma 5 3 2 11" xfId="5181"/>
    <cellStyle name="Comma 5 3 2 12" xfId="3710"/>
    <cellStyle name="Comma 5 3 2 13" xfId="7099"/>
    <cellStyle name="Comma 5 3 2 2" xfId="760"/>
    <cellStyle name="Comma 5 3 2 2 2" xfId="1521"/>
    <cellStyle name="Comma 5 3 2 2 2 2" xfId="2992"/>
    <cellStyle name="Comma 5 3 2 2 2 2 2" xfId="9500"/>
    <cellStyle name="Comma 5 3 2 2 2 3" xfId="4640"/>
    <cellStyle name="Comma 5 3 2 2 2 4" xfId="8029"/>
    <cellStyle name="Comma 5 3 2 2 3" xfId="2256"/>
    <cellStyle name="Comma 5 3 2 2 3 2" xfId="5375"/>
    <cellStyle name="Comma 5 3 2 2 3 3" xfId="8764"/>
    <cellStyle name="Comma 5 3 2 2 4" xfId="3904"/>
    <cellStyle name="Comma 5 3 2 2 5" xfId="7293"/>
    <cellStyle name="Comma 5 3 2 3" xfId="937"/>
    <cellStyle name="Comma 5 3 2 3 2" xfId="1698"/>
    <cellStyle name="Comma 5 3 2 3 2 2" xfId="3169"/>
    <cellStyle name="Comma 5 3 2 3 2 2 2" xfId="9677"/>
    <cellStyle name="Comma 5 3 2 3 2 3" xfId="4817"/>
    <cellStyle name="Comma 5 3 2 3 2 4" xfId="8206"/>
    <cellStyle name="Comma 5 3 2 3 3" xfId="2433"/>
    <cellStyle name="Comma 5 3 2 3 3 2" xfId="5556"/>
    <cellStyle name="Comma 5 3 2 3 3 3" xfId="8941"/>
    <cellStyle name="Comma 5 3 2 3 4" xfId="4081"/>
    <cellStyle name="Comma 5 3 2 3 5" xfId="7470"/>
    <cellStyle name="Comma 5 3 2 4" xfId="1120"/>
    <cellStyle name="Comma 5 3 2 4 2" xfId="1878"/>
    <cellStyle name="Comma 5 3 2 4 2 2" xfId="3349"/>
    <cellStyle name="Comma 5 3 2 4 2 2 2" xfId="9857"/>
    <cellStyle name="Comma 5 3 2 4 2 3" xfId="4997"/>
    <cellStyle name="Comma 5 3 2 4 2 4" xfId="8386"/>
    <cellStyle name="Comma 5 3 2 4 3" xfId="2613"/>
    <cellStyle name="Comma 5 3 2 4 3 2" xfId="5733"/>
    <cellStyle name="Comma 5 3 2 4 3 3" xfId="9121"/>
    <cellStyle name="Comma 5 3 2 4 4" xfId="4261"/>
    <cellStyle name="Comma 5 3 2 4 5" xfId="7650"/>
    <cellStyle name="Comma 5 3 2 5" xfId="1327"/>
    <cellStyle name="Comma 5 3 2 5 2" xfId="2798"/>
    <cellStyle name="Comma 5 3 2 5 2 2" xfId="5913"/>
    <cellStyle name="Comma 5 3 2 5 2 3" xfId="9306"/>
    <cellStyle name="Comma 5 3 2 5 3" xfId="4446"/>
    <cellStyle name="Comma 5 3 2 5 4" xfId="7835"/>
    <cellStyle name="Comma 5 3 2 6" xfId="2062"/>
    <cellStyle name="Comma 5 3 2 6 2" xfId="6094"/>
    <cellStyle name="Comma 5 3 2 6 3" xfId="8570"/>
    <cellStyle name="Comma 5 3 2 7" xfId="3529"/>
    <cellStyle name="Comma 5 3 2 7 2" xfId="6289"/>
    <cellStyle name="Comma 5 3 2 7 3" xfId="10037"/>
    <cellStyle name="Comma 5 3 2 8" xfId="6470"/>
    <cellStyle name="Comma 5 3 2 9" xfId="6667"/>
    <cellStyle name="Comma 5 3 3" xfId="759"/>
    <cellStyle name="Comma 5 3 3 2" xfId="1520"/>
    <cellStyle name="Comma 5 3 3 2 2" xfId="2991"/>
    <cellStyle name="Comma 5 3 3 2 2 2" xfId="9499"/>
    <cellStyle name="Comma 5 3 3 2 3" xfId="4639"/>
    <cellStyle name="Comma 5 3 3 2 4" xfId="8028"/>
    <cellStyle name="Comma 5 3 3 3" xfId="2255"/>
    <cellStyle name="Comma 5 3 3 3 2" xfId="5374"/>
    <cellStyle name="Comma 5 3 3 3 3" xfId="8763"/>
    <cellStyle name="Comma 5 3 3 4" xfId="3903"/>
    <cellStyle name="Comma 5 3 3 5" xfId="7292"/>
    <cellStyle name="Comma 5 3 4" xfId="936"/>
    <cellStyle name="Comma 5 3 4 2" xfId="1697"/>
    <cellStyle name="Comma 5 3 4 2 2" xfId="3168"/>
    <cellStyle name="Comma 5 3 4 2 2 2" xfId="9676"/>
    <cellStyle name="Comma 5 3 4 2 3" xfId="4816"/>
    <cellStyle name="Comma 5 3 4 2 4" xfId="8205"/>
    <cellStyle name="Comma 5 3 4 3" xfId="2432"/>
    <cellStyle name="Comma 5 3 4 3 2" xfId="5555"/>
    <cellStyle name="Comma 5 3 4 3 3" xfId="8940"/>
    <cellStyle name="Comma 5 3 4 4" xfId="4080"/>
    <cellStyle name="Comma 5 3 4 5" xfId="7469"/>
    <cellStyle name="Comma 5 3 5" xfId="1119"/>
    <cellStyle name="Comma 5 3 5 2" xfId="1877"/>
    <cellStyle name="Comma 5 3 5 2 2" xfId="3348"/>
    <cellStyle name="Comma 5 3 5 2 2 2" xfId="9856"/>
    <cellStyle name="Comma 5 3 5 2 3" xfId="4996"/>
    <cellStyle name="Comma 5 3 5 2 4" xfId="8385"/>
    <cellStyle name="Comma 5 3 5 3" xfId="2612"/>
    <cellStyle name="Comma 5 3 5 3 2" xfId="5732"/>
    <cellStyle name="Comma 5 3 5 3 3" xfId="9120"/>
    <cellStyle name="Comma 5 3 5 4" xfId="4260"/>
    <cellStyle name="Comma 5 3 5 5" xfId="7649"/>
    <cellStyle name="Comma 5 3 6" xfId="1326"/>
    <cellStyle name="Comma 5 3 6 2" xfId="2797"/>
    <cellStyle name="Comma 5 3 6 2 2" xfId="5912"/>
    <cellStyle name="Comma 5 3 6 2 3" xfId="9305"/>
    <cellStyle name="Comma 5 3 6 3" xfId="4445"/>
    <cellStyle name="Comma 5 3 6 4" xfId="7834"/>
    <cellStyle name="Comma 5 3 7" xfId="2061"/>
    <cellStyle name="Comma 5 3 7 2" xfId="6093"/>
    <cellStyle name="Comma 5 3 7 3" xfId="8569"/>
    <cellStyle name="Comma 5 3 8" xfId="3528"/>
    <cellStyle name="Comma 5 3 8 2" xfId="6288"/>
    <cellStyle name="Comma 5 3 8 3" xfId="10036"/>
    <cellStyle name="Comma 5 3 9" xfId="6469"/>
    <cellStyle name="Comma 5 4" xfId="34"/>
    <cellStyle name="Comma 5 4 10" xfId="6668"/>
    <cellStyle name="Comma 5 4 11" xfId="6882"/>
    <cellStyle name="Comma 5 4 12" xfId="5182"/>
    <cellStyle name="Comma 5 4 13" xfId="3711"/>
    <cellStyle name="Comma 5 4 14" xfId="7100"/>
    <cellStyle name="Comma 5 4 2" xfId="35"/>
    <cellStyle name="Comma 5 4 2 10" xfId="6883"/>
    <cellStyle name="Comma 5 4 2 11" xfId="5183"/>
    <cellStyle name="Comma 5 4 2 12" xfId="3712"/>
    <cellStyle name="Comma 5 4 2 13" xfId="7101"/>
    <cellStyle name="Comma 5 4 2 2" xfId="762"/>
    <cellStyle name="Comma 5 4 2 2 2" xfId="1523"/>
    <cellStyle name="Comma 5 4 2 2 2 2" xfId="2994"/>
    <cellStyle name="Comma 5 4 2 2 2 2 2" xfId="9502"/>
    <cellStyle name="Comma 5 4 2 2 2 3" xfId="4642"/>
    <cellStyle name="Comma 5 4 2 2 2 4" xfId="8031"/>
    <cellStyle name="Comma 5 4 2 2 3" xfId="2258"/>
    <cellStyle name="Comma 5 4 2 2 3 2" xfId="5377"/>
    <cellStyle name="Comma 5 4 2 2 3 3" xfId="8766"/>
    <cellStyle name="Comma 5 4 2 2 4" xfId="3906"/>
    <cellStyle name="Comma 5 4 2 2 5" xfId="7295"/>
    <cellStyle name="Comma 5 4 2 3" xfId="939"/>
    <cellStyle name="Comma 5 4 2 3 2" xfId="1700"/>
    <cellStyle name="Comma 5 4 2 3 2 2" xfId="3171"/>
    <cellStyle name="Comma 5 4 2 3 2 2 2" xfId="9679"/>
    <cellStyle name="Comma 5 4 2 3 2 3" xfId="4819"/>
    <cellStyle name="Comma 5 4 2 3 2 4" xfId="8208"/>
    <cellStyle name="Comma 5 4 2 3 3" xfId="2435"/>
    <cellStyle name="Comma 5 4 2 3 3 2" xfId="5558"/>
    <cellStyle name="Comma 5 4 2 3 3 3" xfId="8943"/>
    <cellStyle name="Comma 5 4 2 3 4" xfId="4083"/>
    <cellStyle name="Comma 5 4 2 3 5" xfId="7472"/>
    <cellStyle name="Comma 5 4 2 4" xfId="1122"/>
    <cellStyle name="Comma 5 4 2 4 2" xfId="1880"/>
    <cellStyle name="Comma 5 4 2 4 2 2" xfId="3351"/>
    <cellStyle name="Comma 5 4 2 4 2 2 2" xfId="9859"/>
    <cellStyle name="Comma 5 4 2 4 2 3" xfId="4999"/>
    <cellStyle name="Comma 5 4 2 4 2 4" xfId="8388"/>
    <cellStyle name="Comma 5 4 2 4 3" xfId="2615"/>
    <cellStyle name="Comma 5 4 2 4 3 2" xfId="5735"/>
    <cellStyle name="Comma 5 4 2 4 3 3" xfId="9123"/>
    <cellStyle name="Comma 5 4 2 4 4" xfId="4263"/>
    <cellStyle name="Comma 5 4 2 4 5" xfId="7652"/>
    <cellStyle name="Comma 5 4 2 5" xfId="1329"/>
    <cellStyle name="Comma 5 4 2 5 2" xfId="2800"/>
    <cellStyle name="Comma 5 4 2 5 2 2" xfId="5915"/>
    <cellStyle name="Comma 5 4 2 5 2 3" xfId="9308"/>
    <cellStyle name="Comma 5 4 2 5 3" xfId="4448"/>
    <cellStyle name="Comma 5 4 2 5 4" xfId="7837"/>
    <cellStyle name="Comma 5 4 2 6" xfId="2064"/>
    <cellStyle name="Comma 5 4 2 6 2" xfId="6096"/>
    <cellStyle name="Comma 5 4 2 6 3" xfId="8572"/>
    <cellStyle name="Comma 5 4 2 7" xfId="3531"/>
    <cellStyle name="Comma 5 4 2 7 2" xfId="6291"/>
    <cellStyle name="Comma 5 4 2 7 3" xfId="10039"/>
    <cellStyle name="Comma 5 4 2 8" xfId="6472"/>
    <cellStyle name="Comma 5 4 2 9" xfId="6669"/>
    <cellStyle name="Comma 5 4 3" xfId="761"/>
    <cellStyle name="Comma 5 4 3 2" xfId="1522"/>
    <cellStyle name="Comma 5 4 3 2 2" xfId="2993"/>
    <cellStyle name="Comma 5 4 3 2 2 2" xfId="9501"/>
    <cellStyle name="Comma 5 4 3 2 3" xfId="4641"/>
    <cellStyle name="Comma 5 4 3 2 4" xfId="8030"/>
    <cellStyle name="Comma 5 4 3 3" xfId="2257"/>
    <cellStyle name="Comma 5 4 3 3 2" xfId="5376"/>
    <cellStyle name="Comma 5 4 3 3 3" xfId="8765"/>
    <cellStyle name="Comma 5 4 3 4" xfId="3905"/>
    <cellStyle name="Comma 5 4 3 5" xfId="7294"/>
    <cellStyle name="Comma 5 4 4" xfId="938"/>
    <cellStyle name="Comma 5 4 4 2" xfId="1699"/>
    <cellStyle name="Comma 5 4 4 2 2" xfId="3170"/>
    <cellStyle name="Comma 5 4 4 2 2 2" xfId="9678"/>
    <cellStyle name="Comma 5 4 4 2 3" xfId="4818"/>
    <cellStyle name="Comma 5 4 4 2 4" xfId="8207"/>
    <cellStyle name="Comma 5 4 4 3" xfId="2434"/>
    <cellStyle name="Comma 5 4 4 3 2" xfId="5557"/>
    <cellStyle name="Comma 5 4 4 3 3" xfId="8942"/>
    <cellStyle name="Comma 5 4 4 4" xfId="4082"/>
    <cellStyle name="Comma 5 4 4 5" xfId="7471"/>
    <cellStyle name="Comma 5 4 5" xfId="1121"/>
    <cellStyle name="Comma 5 4 5 2" xfId="1879"/>
    <cellStyle name="Comma 5 4 5 2 2" xfId="3350"/>
    <cellStyle name="Comma 5 4 5 2 2 2" xfId="9858"/>
    <cellStyle name="Comma 5 4 5 2 3" xfId="4998"/>
    <cellStyle name="Comma 5 4 5 2 4" xfId="8387"/>
    <cellStyle name="Comma 5 4 5 3" xfId="2614"/>
    <cellStyle name="Comma 5 4 5 3 2" xfId="5734"/>
    <cellStyle name="Comma 5 4 5 3 3" xfId="9122"/>
    <cellStyle name="Comma 5 4 5 4" xfId="4262"/>
    <cellStyle name="Comma 5 4 5 5" xfId="7651"/>
    <cellStyle name="Comma 5 4 6" xfId="1328"/>
    <cellStyle name="Comma 5 4 6 2" xfId="2799"/>
    <cellStyle name="Comma 5 4 6 2 2" xfId="5914"/>
    <cellStyle name="Comma 5 4 6 2 3" xfId="9307"/>
    <cellStyle name="Comma 5 4 6 3" xfId="4447"/>
    <cellStyle name="Comma 5 4 6 4" xfId="7836"/>
    <cellStyle name="Comma 5 4 7" xfId="2063"/>
    <cellStyle name="Comma 5 4 7 2" xfId="6095"/>
    <cellStyle name="Comma 5 4 7 3" xfId="8571"/>
    <cellStyle name="Comma 5 4 8" xfId="3530"/>
    <cellStyle name="Comma 5 4 8 2" xfId="6290"/>
    <cellStyle name="Comma 5 4 8 3" xfId="10038"/>
    <cellStyle name="Comma 5 4 9" xfId="6471"/>
    <cellStyle name="Comma 5 5" xfId="36"/>
    <cellStyle name="Comma 5 5 10" xfId="6884"/>
    <cellStyle name="Comma 5 5 11" xfId="5184"/>
    <cellStyle name="Comma 5 5 12" xfId="3713"/>
    <cellStyle name="Comma 5 5 13" xfId="7102"/>
    <cellStyle name="Comma 5 5 2" xfId="763"/>
    <cellStyle name="Comma 5 5 2 2" xfId="1524"/>
    <cellStyle name="Comma 5 5 2 2 2" xfId="2995"/>
    <cellStyle name="Comma 5 5 2 2 2 2" xfId="9503"/>
    <cellStyle name="Comma 5 5 2 2 3" xfId="4643"/>
    <cellStyle name="Comma 5 5 2 2 4" xfId="8032"/>
    <cellStyle name="Comma 5 5 2 3" xfId="2259"/>
    <cellStyle name="Comma 5 5 2 3 2" xfId="5378"/>
    <cellStyle name="Comma 5 5 2 3 3" xfId="8767"/>
    <cellStyle name="Comma 5 5 2 4" xfId="3907"/>
    <cellStyle name="Comma 5 5 2 5" xfId="7296"/>
    <cellStyle name="Comma 5 5 3" xfId="940"/>
    <cellStyle name="Comma 5 5 3 2" xfId="1701"/>
    <cellStyle name="Comma 5 5 3 2 2" xfId="3172"/>
    <cellStyle name="Comma 5 5 3 2 2 2" xfId="9680"/>
    <cellStyle name="Comma 5 5 3 2 3" xfId="4820"/>
    <cellStyle name="Comma 5 5 3 2 4" xfId="8209"/>
    <cellStyle name="Comma 5 5 3 3" xfId="2436"/>
    <cellStyle name="Comma 5 5 3 3 2" xfId="5559"/>
    <cellStyle name="Comma 5 5 3 3 3" xfId="8944"/>
    <cellStyle name="Comma 5 5 3 4" xfId="4084"/>
    <cellStyle name="Comma 5 5 3 5" xfId="7473"/>
    <cellStyle name="Comma 5 5 4" xfId="1123"/>
    <cellStyle name="Comma 5 5 4 2" xfId="1881"/>
    <cellStyle name="Comma 5 5 4 2 2" xfId="3352"/>
    <cellStyle name="Comma 5 5 4 2 2 2" xfId="9860"/>
    <cellStyle name="Comma 5 5 4 2 3" xfId="5000"/>
    <cellStyle name="Comma 5 5 4 2 4" xfId="8389"/>
    <cellStyle name="Comma 5 5 4 3" xfId="2616"/>
    <cellStyle name="Comma 5 5 4 3 2" xfId="5736"/>
    <cellStyle name="Comma 5 5 4 3 3" xfId="9124"/>
    <cellStyle name="Comma 5 5 4 4" xfId="4264"/>
    <cellStyle name="Comma 5 5 4 5" xfId="7653"/>
    <cellStyle name="Comma 5 5 5" xfId="1330"/>
    <cellStyle name="Comma 5 5 5 2" xfId="2801"/>
    <cellStyle name="Comma 5 5 5 2 2" xfId="5916"/>
    <cellStyle name="Comma 5 5 5 2 3" xfId="9309"/>
    <cellStyle name="Comma 5 5 5 3" xfId="4449"/>
    <cellStyle name="Comma 5 5 5 4" xfId="7838"/>
    <cellStyle name="Comma 5 5 6" xfId="2065"/>
    <cellStyle name="Comma 5 5 6 2" xfId="6097"/>
    <cellStyle name="Comma 5 5 6 3" xfId="8573"/>
    <cellStyle name="Comma 5 5 7" xfId="3532"/>
    <cellStyle name="Comma 5 5 7 2" xfId="6292"/>
    <cellStyle name="Comma 5 5 7 3" xfId="10040"/>
    <cellStyle name="Comma 5 5 8" xfId="6473"/>
    <cellStyle name="Comma 5 5 9" xfId="6670"/>
    <cellStyle name="Comma 5 6" xfId="756"/>
    <cellStyle name="Comma 5 6 2" xfId="1517"/>
    <cellStyle name="Comma 5 6 2 2" xfId="2988"/>
    <cellStyle name="Comma 5 6 2 2 2" xfId="9496"/>
    <cellStyle name="Comma 5 6 2 3" xfId="4636"/>
    <cellStyle name="Comma 5 6 2 4" xfId="8025"/>
    <cellStyle name="Comma 5 6 3" xfId="2252"/>
    <cellStyle name="Comma 5 6 3 2" xfId="5371"/>
    <cellStyle name="Comma 5 6 3 3" xfId="8760"/>
    <cellStyle name="Comma 5 6 4" xfId="3900"/>
    <cellStyle name="Comma 5 6 5" xfId="7289"/>
    <cellStyle name="Comma 5 7" xfId="933"/>
    <cellStyle name="Comma 5 7 2" xfId="1694"/>
    <cellStyle name="Comma 5 7 2 2" xfId="3165"/>
    <cellStyle name="Comma 5 7 2 2 2" xfId="9673"/>
    <cellStyle name="Comma 5 7 2 3" xfId="4813"/>
    <cellStyle name="Comma 5 7 2 4" xfId="8202"/>
    <cellStyle name="Comma 5 7 3" xfId="2429"/>
    <cellStyle name="Comma 5 7 3 2" xfId="5552"/>
    <cellStyle name="Comma 5 7 3 3" xfId="8937"/>
    <cellStyle name="Comma 5 7 4" xfId="4077"/>
    <cellStyle name="Comma 5 7 5" xfId="7466"/>
    <cellStyle name="Comma 5 8" xfId="1116"/>
    <cellStyle name="Comma 5 8 2" xfId="1874"/>
    <cellStyle name="Comma 5 8 2 2" xfId="3345"/>
    <cellStyle name="Comma 5 8 2 2 2" xfId="9853"/>
    <cellStyle name="Comma 5 8 2 3" xfId="4993"/>
    <cellStyle name="Comma 5 8 2 4" xfId="8382"/>
    <cellStyle name="Comma 5 8 3" xfId="2609"/>
    <cellStyle name="Comma 5 8 3 2" xfId="5729"/>
    <cellStyle name="Comma 5 8 3 3" xfId="9117"/>
    <cellStyle name="Comma 5 8 4" xfId="4257"/>
    <cellStyle name="Comma 5 8 5" xfId="7646"/>
    <cellStyle name="Comma 5 9" xfId="1323"/>
    <cellStyle name="Comma 5 9 2" xfId="2794"/>
    <cellStyle name="Comma 5 9 2 2" xfId="5909"/>
    <cellStyle name="Comma 5 9 2 3" xfId="9302"/>
    <cellStyle name="Comma 5 9 3" xfId="4442"/>
    <cellStyle name="Comma 5 9 4" xfId="7831"/>
    <cellStyle name="Comma 6" xfId="37"/>
    <cellStyle name="Comma 6 10" xfId="6671"/>
    <cellStyle name="Comma 6 11" xfId="6885"/>
    <cellStyle name="Comma 6 12" xfId="5185"/>
    <cellStyle name="Comma 6 13" xfId="3714"/>
    <cellStyle name="Comma 6 14" xfId="7103"/>
    <cellStyle name="Comma 6 2" xfId="38"/>
    <cellStyle name="Comma 6 2 10" xfId="6886"/>
    <cellStyle name="Comma 6 2 11" xfId="5186"/>
    <cellStyle name="Comma 6 2 12" xfId="3715"/>
    <cellStyle name="Comma 6 2 13" xfId="7104"/>
    <cellStyle name="Comma 6 2 2" xfId="765"/>
    <cellStyle name="Comma 6 2 2 2" xfId="1526"/>
    <cellStyle name="Comma 6 2 2 2 2" xfId="2997"/>
    <cellStyle name="Comma 6 2 2 2 2 2" xfId="9505"/>
    <cellStyle name="Comma 6 2 2 2 3" xfId="4645"/>
    <cellStyle name="Comma 6 2 2 2 4" xfId="8034"/>
    <cellStyle name="Comma 6 2 2 3" xfId="2261"/>
    <cellStyle name="Comma 6 2 2 3 2" xfId="5380"/>
    <cellStyle name="Comma 6 2 2 3 3" xfId="8769"/>
    <cellStyle name="Comma 6 2 2 4" xfId="3909"/>
    <cellStyle name="Comma 6 2 2 5" xfId="7298"/>
    <cellStyle name="Comma 6 2 3" xfId="942"/>
    <cellStyle name="Comma 6 2 3 2" xfId="1703"/>
    <cellStyle name="Comma 6 2 3 2 2" xfId="3174"/>
    <cellStyle name="Comma 6 2 3 2 2 2" xfId="9682"/>
    <cellStyle name="Comma 6 2 3 2 3" xfId="4822"/>
    <cellStyle name="Comma 6 2 3 2 4" xfId="8211"/>
    <cellStyle name="Comma 6 2 3 3" xfId="2438"/>
    <cellStyle name="Comma 6 2 3 3 2" xfId="5561"/>
    <cellStyle name="Comma 6 2 3 3 3" xfId="8946"/>
    <cellStyle name="Comma 6 2 3 4" xfId="4086"/>
    <cellStyle name="Comma 6 2 3 5" xfId="7475"/>
    <cellStyle name="Comma 6 2 4" xfId="1125"/>
    <cellStyle name="Comma 6 2 4 2" xfId="1883"/>
    <cellStyle name="Comma 6 2 4 2 2" xfId="3354"/>
    <cellStyle name="Comma 6 2 4 2 2 2" xfId="9862"/>
    <cellStyle name="Comma 6 2 4 2 3" xfId="5002"/>
    <cellStyle name="Comma 6 2 4 2 4" xfId="8391"/>
    <cellStyle name="Comma 6 2 4 3" xfId="2618"/>
    <cellStyle name="Comma 6 2 4 3 2" xfId="5738"/>
    <cellStyle name="Comma 6 2 4 3 3" xfId="9126"/>
    <cellStyle name="Comma 6 2 4 4" xfId="4266"/>
    <cellStyle name="Comma 6 2 4 5" xfId="7655"/>
    <cellStyle name="Comma 6 2 5" xfId="1332"/>
    <cellStyle name="Comma 6 2 5 2" xfId="2803"/>
    <cellStyle name="Comma 6 2 5 2 2" xfId="5918"/>
    <cellStyle name="Comma 6 2 5 2 3" xfId="9311"/>
    <cellStyle name="Comma 6 2 5 3" xfId="4451"/>
    <cellStyle name="Comma 6 2 5 4" xfId="7840"/>
    <cellStyle name="Comma 6 2 6" xfId="2067"/>
    <cellStyle name="Comma 6 2 6 2" xfId="6099"/>
    <cellStyle name="Comma 6 2 6 3" xfId="8575"/>
    <cellStyle name="Comma 6 2 7" xfId="3534"/>
    <cellStyle name="Comma 6 2 7 2" xfId="6294"/>
    <cellStyle name="Comma 6 2 7 3" xfId="10042"/>
    <cellStyle name="Comma 6 2 8" xfId="6475"/>
    <cellStyle name="Comma 6 2 9" xfId="6672"/>
    <cellStyle name="Comma 6 3" xfId="764"/>
    <cellStyle name="Comma 6 3 2" xfId="1525"/>
    <cellStyle name="Comma 6 3 2 2" xfId="2996"/>
    <cellStyle name="Comma 6 3 2 2 2" xfId="9504"/>
    <cellStyle name="Comma 6 3 2 3" xfId="4644"/>
    <cellStyle name="Comma 6 3 2 4" xfId="8033"/>
    <cellStyle name="Comma 6 3 3" xfId="2260"/>
    <cellStyle name="Comma 6 3 3 2" xfId="5379"/>
    <cellStyle name="Comma 6 3 3 3" xfId="8768"/>
    <cellStyle name="Comma 6 3 4" xfId="3908"/>
    <cellStyle name="Comma 6 3 5" xfId="7297"/>
    <cellStyle name="Comma 6 4" xfId="941"/>
    <cellStyle name="Comma 6 4 2" xfId="1702"/>
    <cellStyle name="Comma 6 4 2 2" xfId="3173"/>
    <cellStyle name="Comma 6 4 2 2 2" xfId="9681"/>
    <cellStyle name="Comma 6 4 2 3" xfId="4821"/>
    <cellStyle name="Comma 6 4 2 4" xfId="8210"/>
    <cellStyle name="Comma 6 4 3" xfId="2437"/>
    <cellStyle name="Comma 6 4 3 2" xfId="5560"/>
    <cellStyle name="Comma 6 4 3 3" xfId="8945"/>
    <cellStyle name="Comma 6 4 4" xfId="4085"/>
    <cellStyle name="Comma 6 4 5" xfId="7474"/>
    <cellStyle name="Comma 6 5" xfId="1124"/>
    <cellStyle name="Comma 6 5 2" xfId="1882"/>
    <cellStyle name="Comma 6 5 2 2" xfId="3353"/>
    <cellStyle name="Comma 6 5 2 2 2" xfId="9861"/>
    <cellStyle name="Comma 6 5 2 3" xfId="5001"/>
    <cellStyle name="Comma 6 5 2 4" xfId="8390"/>
    <cellStyle name="Comma 6 5 3" xfId="2617"/>
    <cellStyle name="Comma 6 5 3 2" xfId="5737"/>
    <cellStyle name="Comma 6 5 3 3" xfId="9125"/>
    <cellStyle name="Comma 6 5 4" xfId="4265"/>
    <cellStyle name="Comma 6 5 5" xfId="7654"/>
    <cellStyle name="Comma 6 6" xfId="1331"/>
    <cellStyle name="Comma 6 6 2" xfId="2802"/>
    <cellStyle name="Comma 6 6 2 2" xfId="5917"/>
    <cellStyle name="Comma 6 6 2 3" xfId="9310"/>
    <cellStyle name="Comma 6 6 3" xfId="4450"/>
    <cellStyle name="Comma 6 6 4" xfId="7839"/>
    <cellStyle name="Comma 6 7" xfId="2066"/>
    <cellStyle name="Comma 6 7 2" xfId="6098"/>
    <cellStyle name="Comma 6 7 3" xfId="8574"/>
    <cellStyle name="Comma 6 8" xfId="3533"/>
    <cellStyle name="Comma 6 8 2" xfId="6293"/>
    <cellStyle name="Comma 6 8 3" xfId="10041"/>
    <cellStyle name="Comma 6 9" xfId="6474"/>
    <cellStyle name="Comma0" xfId="569"/>
    <cellStyle name="Currency [1]" xfId="570"/>
    <cellStyle name="Currency 0" xfId="571"/>
    <cellStyle name="Currency 2" xfId="572"/>
    <cellStyle name="Currency0" xfId="573"/>
    <cellStyle name="Data" xfId="574"/>
    <cellStyle name="DataBold" xfId="575"/>
    <cellStyle name="Date" xfId="576"/>
    <cellStyle name="Date Aligned" xfId="577"/>
    <cellStyle name="Date_LRP Model (13.05.02)" xfId="578"/>
    <cellStyle name="Dec_0" xfId="579"/>
    <cellStyle name="Dollars" xfId="580"/>
    <cellStyle name="Dotted Line" xfId="581"/>
    <cellStyle name="Double Accounting" xfId="582"/>
    <cellStyle name="Euro" xfId="583"/>
    <cellStyle name="Ezres [0]_Document" xfId="584"/>
    <cellStyle name="Ezres_Document" xfId="585"/>
    <cellStyle name="Fixed" xfId="586"/>
    <cellStyle name="footer" xfId="587"/>
    <cellStyle name="Footnote" xfId="588"/>
    <cellStyle name="Green" xfId="589"/>
    <cellStyle name="Hard Percent" xfId="590"/>
    <cellStyle name="Header" xfId="591"/>
    <cellStyle name="Header1" xfId="592"/>
    <cellStyle name="Header2" xfId="593"/>
    <cellStyle name="Header2 2" xfId="733"/>
    <cellStyle name="Header2 3" xfId="10230"/>
    <cellStyle name="Header2 4" xfId="10248"/>
    <cellStyle name="heading" xfId="594"/>
    <cellStyle name="Heading 1" xfId="595"/>
    <cellStyle name="Heading 2" xfId="596"/>
    <cellStyle name="Heading 3" xfId="597"/>
    <cellStyle name="HeadingS" xfId="598"/>
    <cellStyle name="Hide" xfId="599"/>
    <cellStyle name="Iau?iue_vaqduGfTSN7qyUJNWHRlcWo3H" xfId="600"/>
    <cellStyle name="Input" xfId="601"/>
    <cellStyle name="Komma [0]_Arcen" xfId="602"/>
    <cellStyle name="Komma_Arcen" xfId="603"/>
    <cellStyle name="Legal 8? x 14 in" xfId="39"/>
    <cellStyle name="Legal 8½ x 14 in" xfId="40"/>
    <cellStyle name="Milliers [0]_BUDGET" xfId="604"/>
    <cellStyle name="Milliers_BUDGET" xfId="605"/>
    <cellStyle name="Mon?taire [0]_BUDGET" xfId="606"/>
    <cellStyle name="Mon?taire_BUDGET" xfId="607"/>
    <cellStyle name="Multiple" xfId="608"/>
    <cellStyle name="Multiple [0]" xfId="609"/>
    <cellStyle name="Multiple [1]" xfId="610"/>
    <cellStyle name="Multiple_1 Dec" xfId="611"/>
    <cellStyle name="no dec" xfId="612"/>
    <cellStyle name="Norm?l_1." xfId="613"/>
    <cellStyle name="Normal - Style1" xfId="614"/>
    <cellStyle name="Normal 2" xfId="41"/>
    <cellStyle name="Normal 2 2" xfId="42"/>
    <cellStyle name="Normal 2 3" xfId="43"/>
    <cellStyle name="Normal 2 4" xfId="44"/>
    <cellStyle name="Normal 2 5" xfId="703"/>
    <cellStyle name="Normal 2 6" xfId="615"/>
    <cellStyle name="Normal 3" xfId="45"/>
    <cellStyle name="Normal 4" xfId="46"/>
    <cellStyle name="Normal 4 10" xfId="3535"/>
    <cellStyle name="Normal 4 10 2" xfId="6295"/>
    <cellStyle name="Normal 4 10 3" xfId="10043"/>
    <cellStyle name="Normal 4 11" xfId="6476"/>
    <cellStyle name="Normal 4 12" xfId="6673"/>
    <cellStyle name="Normal 4 13" xfId="6887"/>
    <cellStyle name="Normal 4 14" xfId="5187"/>
    <cellStyle name="Normal 4 15" xfId="3716"/>
    <cellStyle name="Normal 4 16" xfId="7105"/>
    <cellStyle name="Normal 4 2" xfId="47"/>
    <cellStyle name="Normal 4 2 10" xfId="6888"/>
    <cellStyle name="Normal 4 2 11" xfId="5188"/>
    <cellStyle name="Normal 4 2 12" xfId="3717"/>
    <cellStyle name="Normal 4 2 13" xfId="7106"/>
    <cellStyle name="Normal 4 2 2" xfId="767"/>
    <cellStyle name="Normal 4 2 2 2" xfId="1528"/>
    <cellStyle name="Normal 4 2 2 2 2" xfId="2999"/>
    <cellStyle name="Normal 4 2 2 2 2 2" xfId="9507"/>
    <cellStyle name="Normal 4 2 2 2 3" xfId="4647"/>
    <cellStyle name="Normal 4 2 2 2 4" xfId="8036"/>
    <cellStyle name="Normal 4 2 2 3" xfId="2263"/>
    <cellStyle name="Normal 4 2 2 3 2" xfId="5382"/>
    <cellStyle name="Normal 4 2 2 3 3" xfId="8771"/>
    <cellStyle name="Normal 4 2 2 4" xfId="3911"/>
    <cellStyle name="Normal 4 2 2 5" xfId="7300"/>
    <cellStyle name="Normal 4 2 3" xfId="944"/>
    <cellStyle name="Normal 4 2 3 2" xfId="1705"/>
    <cellStyle name="Normal 4 2 3 2 2" xfId="3176"/>
    <cellStyle name="Normal 4 2 3 2 2 2" xfId="9684"/>
    <cellStyle name="Normal 4 2 3 2 3" xfId="4824"/>
    <cellStyle name="Normal 4 2 3 2 4" xfId="8213"/>
    <cellStyle name="Normal 4 2 3 3" xfId="2440"/>
    <cellStyle name="Normal 4 2 3 3 2" xfId="5563"/>
    <cellStyle name="Normal 4 2 3 3 3" xfId="8948"/>
    <cellStyle name="Normal 4 2 3 4" xfId="4088"/>
    <cellStyle name="Normal 4 2 3 5" xfId="7477"/>
    <cellStyle name="Normal 4 2 4" xfId="1127"/>
    <cellStyle name="Normal 4 2 4 2" xfId="1885"/>
    <cellStyle name="Normal 4 2 4 2 2" xfId="3356"/>
    <cellStyle name="Normal 4 2 4 2 2 2" xfId="9864"/>
    <cellStyle name="Normal 4 2 4 2 3" xfId="5004"/>
    <cellStyle name="Normal 4 2 4 2 4" xfId="8393"/>
    <cellStyle name="Normal 4 2 4 3" xfId="2620"/>
    <cellStyle name="Normal 4 2 4 3 2" xfId="5740"/>
    <cellStyle name="Normal 4 2 4 3 3" xfId="9128"/>
    <cellStyle name="Normal 4 2 4 4" xfId="4268"/>
    <cellStyle name="Normal 4 2 4 5" xfId="7657"/>
    <cellStyle name="Normal 4 2 5" xfId="1334"/>
    <cellStyle name="Normal 4 2 5 2" xfId="2805"/>
    <cellStyle name="Normal 4 2 5 2 2" xfId="5920"/>
    <cellStyle name="Normal 4 2 5 2 3" xfId="9313"/>
    <cellStyle name="Normal 4 2 5 3" xfId="4453"/>
    <cellStyle name="Normal 4 2 5 4" xfId="7842"/>
    <cellStyle name="Normal 4 2 6" xfId="2069"/>
    <cellStyle name="Normal 4 2 6 2" xfId="6101"/>
    <cellStyle name="Normal 4 2 6 3" xfId="8577"/>
    <cellStyle name="Normal 4 2 7" xfId="3536"/>
    <cellStyle name="Normal 4 2 7 2" xfId="6296"/>
    <cellStyle name="Normal 4 2 7 3" xfId="10044"/>
    <cellStyle name="Normal 4 2 8" xfId="6477"/>
    <cellStyle name="Normal 4 2 9" xfId="6674"/>
    <cellStyle name="Normal 4 3" xfId="48"/>
    <cellStyle name="Normal 4 3 10" xfId="6889"/>
    <cellStyle name="Normal 4 3 11" xfId="5189"/>
    <cellStyle name="Normal 4 3 12" xfId="3718"/>
    <cellStyle name="Normal 4 3 13" xfId="7107"/>
    <cellStyle name="Normal 4 3 2" xfId="768"/>
    <cellStyle name="Normal 4 3 2 2" xfId="1529"/>
    <cellStyle name="Normal 4 3 2 2 2" xfId="3000"/>
    <cellStyle name="Normal 4 3 2 2 2 2" xfId="9508"/>
    <cellStyle name="Normal 4 3 2 2 3" xfId="4648"/>
    <cellStyle name="Normal 4 3 2 2 4" xfId="8037"/>
    <cellStyle name="Normal 4 3 2 3" xfId="2264"/>
    <cellStyle name="Normal 4 3 2 3 2" xfId="5383"/>
    <cellStyle name="Normal 4 3 2 3 3" xfId="8772"/>
    <cellStyle name="Normal 4 3 2 4" xfId="3912"/>
    <cellStyle name="Normal 4 3 2 5" xfId="7301"/>
    <cellStyle name="Normal 4 3 3" xfId="945"/>
    <cellStyle name="Normal 4 3 3 2" xfId="1706"/>
    <cellStyle name="Normal 4 3 3 2 2" xfId="3177"/>
    <cellStyle name="Normal 4 3 3 2 2 2" xfId="9685"/>
    <cellStyle name="Normal 4 3 3 2 3" xfId="4825"/>
    <cellStyle name="Normal 4 3 3 2 4" xfId="8214"/>
    <cellStyle name="Normal 4 3 3 3" xfId="2441"/>
    <cellStyle name="Normal 4 3 3 3 2" xfId="5564"/>
    <cellStyle name="Normal 4 3 3 3 3" xfId="8949"/>
    <cellStyle name="Normal 4 3 3 4" xfId="4089"/>
    <cellStyle name="Normal 4 3 3 5" xfId="7478"/>
    <cellStyle name="Normal 4 3 4" xfId="1128"/>
    <cellStyle name="Normal 4 3 4 2" xfId="1886"/>
    <cellStyle name="Normal 4 3 4 2 2" xfId="3357"/>
    <cellStyle name="Normal 4 3 4 2 2 2" xfId="9865"/>
    <cellStyle name="Normal 4 3 4 2 3" xfId="5005"/>
    <cellStyle name="Normal 4 3 4 2 4" xfId="8394"/>
    <cellStyle name="Normal 4 3 4 3" xfId="2621"/>
    <cellStyle name="Normal 4 3 4 3 2" xfId="5741"/>
    <cellStyle name="Normal 4 3 4 3 3" xfId="9129"/>
    <cellStyle name="Normal 4 3 4 4" xfId="4269"/>
    <cellStyle name="Normal 4 3 4 5" xfId="7658"/>
    <cellStyle name="Normal 4 3 5" xfId="1335"/>
    <cellStyle name="Normal 4 3 5 2" xfId="2806"/>
    <cellStyle name="Normal 4 3 5 2 2" xfId="5921"/>
    <cellStyle name="Normal 4 3 5 2 3" xfId="9314"/>
    <cellStyle name="Normal 4 3 5 3" xfId="4454"/>
    <cellStyle name="Normal 4 3 5 4" xfId="7843"/>
    <cellStyle name="Normal 4 3 6" xfId="2070"/>
    <cellStyle name="Normal 4 3 6 2" xfId="6102"/>
    <cellStyle name="Normal 4 3 6 3" xfId="8578"/>
    <cellStyle name="Normal 4 3 7" xfId="3537"/>
    <cellStyle name="Normal 4 3 7 2" xfId="6297"/>
    <cellStyle name="Normal 4 3 7 3" xfId="10045"/>
    <cellStyle name="Normal 4 3 8" xfId="6478"/>
    <cellStyle name="Normal 4 3 9" xfId="6675"/>
    <cellStyle name="Normal 4 4" xfId="49"/>
    <cellStyle name="Normal 4 4 10" xfId="6890"/>
    <cellStyle name="Normal 4 4 11" xfId="5190"/>
    <cellStyle name="Normal 4 4 12" xfId="3719"/>
    <cellStyle name="Normal 4 4 13" xfId="7108"/>
    <cellStyle name="Normal 4 4 2" xfId="769"/>
    <cellStyle name="Normal 4 4 2 2" xfId="1530"/>
    <cellStyle name="Normal 4 4 2 2 2" xfId="3001"/>
    <cellStyle name="Normal 4 4 2 2 2 2" xfId="9509"/>
    <cellStyle name="Normal 4 4 2 2 3" xfId="4649"/>
    <cellStyle name="Normal 4 4 2 2 4" xfId="8038"/>
    <cellStyle name="Normal 4 4 2 3" xfId="2265"/>
    <cellStyle name="Normal 4 4 2 3 2" xfId="5384"/>
    <cellStyle name="Normal 4 4 2 3 3" xfId="8773"/>
    <cellStyle name="Normal 4 4 2 4" xfId="3913"/>
    <cellStyle name="Normal 4 4 2 5" xfId="7302"/>
    <cellStyle name="Normal 4 4 3" xfId="946"/>
    <cellStyle name="Normal 4 4 3 2" xfId="1707"/>
    <cellStyle name="Normal 4 4 3 2 2" xfId="3178"/>
    <cellStyle name="Normal 4 4 3 2 2 2" xfId="9686"/>
    <cellStyle name="Normal 4 4 3 2 3" xfId="4826"/>
    <cellStyle name="Normal 4 4 3 2 4" xfId="8215"/>
    <cellStyle name="Normal 4 4 3 3" xfId="2442"/>
    <cellStyle name="Normal 4 4 3 3 2" xfId="5565"/>
    <cellStyle name="Normal 4 4 3 3 3" xfId="8950"/>
    <cellStyle name="Normal 4 4 3 4" xfId="4090"/>
    <cellStyle name="Normal 4 4 3 5" xfId="7479"/>
    <cellStyle name="Normal 4 4 4" xfId="1129"/>
    <cellStyle name="Normal 4 4 4 2" xfId="1887"/>
    <cellStyle name="Normal 4 4 4 2 2" xfId="3358"/>
    <cellStyle name="Normal 4 4 4 2 2 2" xfId="9866"/>
    <cellStyle name="Normal 4 4 4 2 3" xfId="5006"/>
    <cellStyle name="Normal 4 4 4 2 4" xfId="8395"/>
    <cellStyle name="Normal 4 4 4 3" xfId="2622"/>
    <cellStyle name="Normal 4 4 4 3 2" xfId="5742"/>
    <cellStyle name="Normal 4 4 4 3 3" xfId="9130"/>
    <cellStyle name="Normal 4 4 4 4" xfId="4270"/>
    <cellStyle name="Normal 4 4 4 5" xfId="7659"/>
    <cellStyle name="Normal 4 4 5" xfId="1336"/>
    <cellStyle name="Normal 4 4 5 2" xfId="2807"/>
    <cellStyle name="Normal 4 4 5 2 2" xfId="5922"/>
    <cellStyle name="Normal 4 4 5 2 3" xfId="9315"/>
    <cellStyle name="Normal 4 4 5 3" xfId="4455"/>
    <cellStyle name="Normal 4 4 5 4" xfId="7844"/>
    <cellStyle name="Normal 4 4 6" xfId="2071"/>
    <cellStyle name="Normal 4 4 6 2" xfId="6103"/>
    <cellStyle name="Normal 4 4 6 3" xfId="8579"/>
    <cellStyle name="Normal 4 4 7" xfId="3538"/>
    <cellStyle name="Normal 4 4 7 2" xfId="6298"/>
    <cellStyle name="Normal 4 4 7 3" xfId="10046"/>
    <cellStyle name="Normal 4 4 8" xfId="6479"/>
    <cellStyle name="Normal 4 4 9" xfId="6676"/>
    <cellStyle name="Normal 4 5" xfId="766"/>
    <cellStyle name="Normal 4 5 2" xfId="1527"/>
    <cellStyle name="Normal 4 5 2 2" xfId="2998"/>
    <cellStyle name="Normal 4 5 2 2 2" xfId="9506"/>
    <cellStyle name="Normal 4 5 2 3" xfId="4646"/>
    <cellStyle name="Normal 4 5 2 4" xfId="8035"/>
    <cellStyle name="Normal 4 5 3" xfId="2262"/>
    <cellStyle name="Normal 4 5 3 2" xfId="5381"/>
    <cellStyle name="Normal 4 5 3 3" xfId="8770"/>
    <cellStyle name="Normal 4 5 4" xfId="3910"/>
    <cellStyle name="Normal 4 5 5" xfId="7299"/>
    <cellStyle name="Normal 4 6" xfId="943"/>
    <cellStyle name="Normal 4 6 2" xfId="1704"/>
    <cellStyle name="Normal 4 6 2 2" xfId="3175"/>
    <cellStyle name="Normal 4 6 2 2 2" xfId="9683"/>
    <cellStyle name="Normal 4 6 2 3" xfId="4823"/>
    <cellStyle name="Normal 4 6 2 4" xfId="8212"/>
    <cellStyle name="Normal 4 6 3" xfId="2439"/>
    <cellStyle name="Normal 4 6 3 2" xfId="5562"/>
    <cellStyle name="Normal 4 6 3 3" xfId="8947"/>
    <cellStyle name="Normal 4 6 4" xfId="4087"/>
    <cellStyle name="Normal 4 6 5" xfId="7476"/>
    <cellStyle name="Normal 4 7" xfId="1126"/>
    <cellStyle name="Normal 4 7 2" xfId="1884"/>
    <cellStyle name="Normal 4 7 2 2" xfId="3355"/>
    <cellStyle name="Normal 4 7 2 2 2" xfId="9863"/>
    <cellStyle name="Normal 4 7 2 3" xfId="5003"/>
    <cellStyle name="Normal 4 7 2 4" xfId="8392"/>
    <cellStyle name="Normal 4 7 3" xfId="2619"/>
    <cellStyle name="Normal 4 7 3 2" xfId="5739"/>
    <cellStyle name="Normal 4 7 3 3" xfId="9127"/>
    <cellStyle name="Normal 4 7 4" xfId="4267"/>
    <cellStyle name="Normal 4 7 5" xfId="7656"/>
    <cellStyle name="Normal 4 8" xfId="1333"/>
    <cellStyle name="Normal 4 8 2" xfId="2804"/>
    <cellStyle name="Normal 4 8 2 2" xfId="5919"/>
    <cellStyle name="Normal 4 8 2 3" xfId="9312"/>
    <cellStyle name="Normal 4 8 3" xfId="4452"/>
    <cellStyle name="Normal 4 8 4" xfId="7841"/>
    <cellStyle name="Normal 4 9" xfId="2068"/>
    <cellStyle name="Normal 4 9 2" xfId="6100"/>
    <cellStyle name="Normal 4 9 3" xfId="8576"/>
    <cellStyle name="Normal 5" xfId="50"/>
    <cellStyle name="Normal 6" xfId="51"/>
    <cellStyle name="Normal 6 2" xfId="52"/>
    <cellStyle name="Normal 6 3" xfId="53"/>
    <cellStyle name="Normal 7" xfId="54"/>
    <cellStyle name="Normal 8" xfId="55"/>
    <cellStyle name="Normal 8 2" xfId="56"/>
    <cellStyle name="Normal 8 3" xfId="57"/>
    <cellStyle name="Normal 9" xfId="58"/>
    <cellStyle name="Normal_Book1" xfId="616"/>
    <cellStyle name="NormalGB" xfId="617"/>
    <cellStyle name="Output Amounts" xfId="618"/>
    <cellStyle name="Output Column Headings" xfId="619"/>
    <cellStyle name="Output Line Items" xfId="620"/>
    <cellStyle name="Output Report Heading" xfId="621"/>
    <cellStyle name="Output Report Title" xfId="622"/>
    <cellStyle name="Outputtitle" xfId="623"/>
    <cellStyle name="P?nznem [0]_Document" xfId="624"/>
    <cellStyle name="P?nznem_Document" xfId="625"/>
    <cellStyle name="Page Number" xfId="626"/>
    <cellStyle name="Percent [0]" xfId="627"/>
    <cellStyle name="Percent [1]" xfId="628"/>
    <cellStyle name="Percent 2" xfId="59"/>
    <cellStyle name="Percent 3" xfId="60"/>
    <cellStyle name="Percent 4" xfId="61"/>
    <cellStyle name="Red" xfId="629"/>
    <cellStyle name="Salomon Logo" xfId="630"/>
    <cellStyle name="SAPBEXstdItem" xfId="631"/>
    <cellStyle name="SAPBEXstdItem 2" xfId="722"/>
    <cellStyle name="SAPBEXstdItem 3" xfId="10229"/>
    <cellStyle name="SAPBEXstdItem 4" xfId="10239"/>
    <cellStyle name="ScotchRule" xfId="632"/>
    <cellStyle name="Single Accounting" xfId="633"/>
    <cellStyle name="small" xfId="634"/>
    <cellStyle name="Standard_tabelle" xfId="635"/>
    <cellStyle name="Subtitle" xfId="636"/>
    <cellStyle name="Table Head" xfId="637"/>
    <cellStyle name="Table Head Aligned" xfId="638"/>
    <cellStyle name="Table Head Blue" xfId="639"/>
    <cellStyle name="Table Head Green" xfId="640"/>
    <cellStyle name="Table Head_Val_Sum_Graph" xfId="641"/>
    <cellStyle name="Table Text" xfId="642"/>
    <cellStyle name="Table Title" xfId="643"/>
    <cellStyle name="Table Units" xfId="644"/>
    <cellStyle name="Table_Header" xfId="645"/>
    <cellStyle name="Text 1" xfId="646"/>
    <cellStyle name="Text Head 1" xfId="647"/>
    <cellStyle name="Times 10" xfId="648"/>
    <cellStyle name="Times 12" xfId="649"/>
    <cellStyle name="Title" xfId="650"/>
    <cellStyle name="Total" xfId="651"/>
    <cellStyle name="Underline_Single" xfId="652"/>
    <cellStyle name="Valuta [0]_Arcen" xfId="653"/>
    <cellStyle name="Valuta_Arcen" xfId="654"/>
    <cellStyle name="year" xfId="655"/>
    <cellStyle name="Yen" xfId="656"/>
    <cellStyle name="Акцент1 2" xfId="62"/>
    <cellStyle name="Акцент2 2" xfId="63"/>
    <cellStyle name="Акцент3 2" xfId="64"/>
    <cellStyle name="Акцент4 2" xfId="65"/>
    <cellStyle name="Акцент5 2" xfId="66"/>
    <cellStyle name="Акцент6 2" xfId="67"/>
    <cellStyle name="Ввод  2" xfId="68"/>
    <cellStyle name="Ввод  2 2" xfId="1136"/>
    <cellStyle name="Ввод  2 2 2" xfId="10221"/>
    <cellStyle name="Ввод  2 2 3" xfId="10241"/>
    <cellStyle name="Ввод  2 2 4" xfId="10226"/>
    <cellStyle name="Ввод  2 3" xfId="714"/>
    <cellStyle name="Ввод  2 4" xfId="10244"/>
    <cellStyle name="Ввод  2 5" xfId="10231"/>
    <cellStyle name="Ввод  3" xfId="657"/>
    <cellStyle name="Ввод  4" xfId="721"/>
    <cellStyle name="Ввод  5" xfId="10217"/>
    <cellStyle name="Ввод  6" xfId="10237"/>
    <cellStyle name="Верт. заголовок" xfId="658"/>
    <cellStyle name="Вывод 2" xfId="69"/>
    <cellStyle name="Вывод 2 2" xfId="1135"/>
    <cellStyle name="Вывод 2 2 2" xfId="10220"/>
    <cellStyle name="Вывод 2 2 3" xfId="10246"/>
    <cellStyle name="Вывод 2 2 4" xfId="10243"/>
    <cellStyle name="Вывод 2 3" xfId="713"/>
    <cellStyle name="Вывод 2 4" xfId="10236"/>
    <cellStyle name="Вывод 2 5" xfId="10233"/>
    <cellStyle name="Вычисление 2" xfId="70"/>
    <cellStyle name="Вычисление 2 2" xfId="1134"/>
    <cellStyle name="Вычисление 2 2 2" xfId="10219"/>
    <cellStyle name="Вычисление 2 2 3" xfId="707"/>
    <cellStyle name="Вычисление 2 2 4" xfId="706"/>
    <cellStyle name="Вычисление 2 3" xfId="712"/>
    <cellStyle name="Вычисление 2 4" xfId="10235"/>
    <cellStyle name="Вычисление 2 5" xfId="10234"/>
    <cellStyle name="Дата" xfId="659"/>
    <cellStyle name="Денежный 2" xfId="71"/>
    <cellStyle name="Денежный 2 2" xfId="72"/>
    <cellStyle name="Денежный 2 3" xfId="73"/>
    <cellStyle name="Денежный 2 4" xfId="74"/>
    <cellStyle name="Заголовок 1 2" xfId="75"/>
    <cellStyle name="Заголовок 2 2" xfId="76"/>
    <cellStyle name="Заголовок 3 2" xfId="77"/>
    <cellStyle name="Заголовок 4 2" xfId="78"/>
    <cellStyle name="Итог 2" xfId="79"/>
    <cellStyle name="Итог 2 2" xfId="1133"/>
    <cellStyle name="Итог 2 2 2" xfId="10218"/>
    <cellStyle name="Итог 2 2 3" xfId="10225"/>
    <cellStyle name="Итог 2 2 4" xfId="10240"/>
    <cellStyle name="Итог 2 3" xfId="711"/>
    <cellStyle name="Итог 2 4" xfId="10232"/>
    <cellStyle name="Итог 2 5" xfId="10216"/>
    <cellStyle name="Итог 3" xfId="720"/>
    <cellStyle name="Итог 4" xfId="10245"/>
    <cellStyle name="Итог 5" xfId="10224"/>
    <cellStyle name="Контрольная ячейка 2" xfId="80"/>
    <cellStyle name="Название 2" xfId="81"/>
    <cellStyle name="Название 2 2" xfId="82"/>
    <cellStyle name="Название 2_Лист1" xfId="83"/>
    <cellStyle name="Невидимый" xfId="660"/>
    <cellStyle name="Нейтральный 2" xfId="84"/>
    <cellStyle name="Обычный" xfId="0" builtinId="0"/>
    <cellStyle name="Обычный 10" xfId="85"/>
    <cellStyle name="Обычный 10 6 2 2 5" xfId="695"/>
    <cellStyle name="Обычный 10 6 2 2 5 2" xfId="1319"/>
    <cellStyle name="Обычный 10 6 2 2 5 2 2" xfId="2790"/>
    <cellStyle name="Обычный 10 6 2 2 5 2 2 2" xfId="9298"/>
    <cellStyle name="Обычный 10 6 2 2 5 2 3" xfId="4438"/>
    <cellStyle name="Обычный 10 6 2 2 5 2 4" xfId="7827"/>
    <cellStyle name="Обычный 10 6 2 2 5 3" xfId="2054"/>
    <cellStyle name="Обычный 10 6 2 2 5 3 2" xfId="5173"/>
    <cellStyle name="Обычный 10 6 2 2 5 3 3" xfId="8562"/>
    <cellStyle name="Обычный 10 6 2 2 5 4" xfId="3702"/>
    <cellStyle name="Обычный 10 6 2 2 5 5" xfId="7091"/>
    <cellStyle name="Обычный 100" xfId="86"/>
    <cellStyle name="Обычный 101" xfId="87"/>
    <cellStyle name="Обычный 102" xfId="88"/>
    <cellStyle name="Обычный 103" xfId="89"/>
    <cellStyle name="Обычный 104" xfId="90"/>
    <cellStyle name="Обычный 105" xfId="91"/>
    <cellStyle name="Обычный 106" xfId="92"/>
    <cellStyle name="Обычный 107" xfId="93"/>
    <cellStyle name="Обычный 108" xfId="94"/>
    <cellStyle name="Обычный 109" xfId="95"/>
    <cellStyle name="Обычный 11" xfId="96"/>
    <cellStyle name="Обычный 11 10" xfId="6480"/>
    <cellStyle name="Обычный 11 10 2" xfId="5549"/>
    <cellStyle name="Обычный 11 11" xfId="6677"/>
    <cellStyle name="Обычный 11 12" xfId="6891"/>
    <cellStyle name="Обычный 11 13" xfId="7089"/>
    <cellStyle name="Обычный 11 14" xfId="698"/>
    <cellStyle name="Обычный 11 17" xfId="10212"/>
    <cellStyle name="Обычный 11 2" xfId="704"/>
    <cellStyle name="Обычный 11 2 2" xfId="1337"/>
    <cellStyle name="Обычный 11 2 2 2" xfId="2808"/>
    <cellStyle name="Обычный 11 2 2 2 2" xfId="9316"/>
    <cellStyle name="Обычный 11 2 2 3" xfId="4456"/>
    <cellStyle name="Обычный 11 2 2 4" xfId="7845"/>
    <cellStyle name="Обычный 11 2 3" xfId="2072"/>
    <cellStyle name="Обычный 11 2 3 2" xfId="5191"/>
    <cellStyle name="Обычный 11 2 3 3" xfId="8580"/>
    <cellStyle name="Обычный 11 2 4" xfId="3720"/>
    <cellStyle name="Обычный 11 2 5" xfId="7109"/>
    <cellStyle name="Обычный 11 3" xfId="770"/>
    <cellStyle name="Обычный 11 3 2" xfId="1531"/>
    <cellStyle name="Обычный 11 3 2 2" xfId="3002"/>
    <cellStyle name="Обычный 11 3 2 2 2" xfId="9510"/>
    <cellStyle name="Обычный 11 3 2 3" xfId="4650"/>
    <cellStyle name="Обычный 11 3 2 4" xfId="8039"/>
    <cellStyle name="Обычный 11 3 3" xfId="2266"/>
    <cellStyle name="Обычный 11 3 3 2" xfId="5385"/>
    <cellStyle name="Обычный 11 3 3 3" xfId="8774"/>
    <cellStyle name="Обычный 11 3 4" xfId="3914"/>
    <cellStyle name="Обычный 11 3 5" xfId="7303"/>
    <cellStyle name="Обычный 11 4" xfId="947"/>
    <cellStyle name="Обычный 11 4 2" xfId="1708"/>
    <cellStyle name="Обычный 11 4 2 2" xfId="3179"/>
    <cellStyle name="Обычный 11 4 2 2 2" xfId="9687"/>
    <cellStyle name="Обычный 11 4 2 3" xfId="4827"/>
    <cellStyle name="Обычный 11 4 2 4" xfId="8216"/>
    <cellStyle name="Обычный 11 4 3" xfId="2443"/>
    <cellStyle name="Обычный 11 4 3 2" xfId="5566"/>
    <cellStyle name="Обычный 11 4 3 3" xfId="8951"/>
    <cellStyle name="Обычный 11 4 4" xfId="4091"/>
    <cellStyle name="Обычный 11 4 5" xfId="7480"/>
    <cellStyle name="Обычный 11 5" xfId="1130"/>
    <cellStyle name="Обычный 11 5 2" xfId="1888"/>
    <cellStyle name="Обычный 11 5 2 2" xfId="3359"/>
    <cellStyle name="Обычный 11 5 2 2 2" xfId="9867"/>
    <cellStyle name="Обычный 11 5 2 3" xfId="5007"/>
    <cellStyle name="Обычный 11 5 2 4" xfId="8396"/>
    <cellStyle name="Обычный 11 5 3" xfId="2623"/>
    <cellStyle name="Обычный 11 5 3 2" xfId="5743"/>
    <cellStyle name="Обычный 11 5 3 3" xfId="9131"/>
    <cellStyle name="Обычный 11 5 4" xfId="4271"/>
    <cellStyle name="Обычный 11 5 5" xfId="7660"/>
    <cellStyle name="Обычный 11 6" xfId="3539"/>
    <cellStyle name="Обычный 11 6 2" xfId="5923"/>
    <cellStyle name="Обычный 11 6 3" xfId="10047"/>
    <cellStyle name="Обычный 11 7" xfId="5551"/>
    <cellStyle name="Обычный 11 8" xfId="6104"/>
    <cellStyle name="Обычный 11 9" xfId="6299"/>
    <cellStyle name="Обычный 110" xfId="97"/>
    <cellStyle name="Обычный 111" xfId="98"/>
    <cellStyle name="Обычный 112" xfId="99"/>
    <cellStyle name="Обычный 113" xfId="100"/>
    <cellStyle name="Обычный 114" xfId="101"/>
    <cellStyle name="Обычный 115" xfId="102"/>
    <cellStyle name="Обычный 116" xfId="103"/>
    <cellStyle name="Обычный 117" xfId="104"/>
    <cellStyle name="Обычный 118" xfId="105"/>
    <cellStyle name="Обычный 119" xfId="106"/>
    <cellStyle name="Обычный 12" xfId="107"/>
    <cellStyle name="Обычный 12 10" xfId="6892"/>
    <cellStyle name="Обычный 12 11" xfId="5192"/>
    <cellStyle name="Обычный 12 12" xfId="3721"/>
    <cellStyle name="Обычный 12 13" xfId="7110"/>
    <cellStyle name="Обычный 12 2" xfId="771"/>
    <cellStyle name="Обычный 12 2 2" xfId="1532"/>
    <cellStyle name="Обычный 12 2 2 2" xfId="3003"/>
    <cellStyle name="Обычный 12 2 2 2 2" xfId="9511"/>
    <cellStyle name="Обычный 12 2 2 3" xfId="4651"/>
    <cellStyle name="Обычный 12 2 2 4" xfId="8040"/>
    <cellStyle name="Обычный 12 2 3" xfId="2267"/>
    <cellStyle name="Обычный 12 2 3 2" xfId="5386"/>
    <cellStyle name="Обычный 12 2 3 3" xfId="8775"/>
    <cellStyle name="Обычный 12 2 4" xfId="3915"/>
    <cellStyle name="Обычный 12 2 5" xfId="7304"/>
    <cellStyle name="Обычный 12 3" xfId="948"/>
    <cellStyle name="Обычный 12 3 2" xfId="1709"/>
    <cellStyle name="Обычный 12 3 2 2" xfId="3180"/>
    <cellStyle name="Обычный 12 3 2 2 2" xfId="9688"/>
    <cellStyle name="Обычный 12 3 2 3" xfId="4828"/>
    <cellStyle name="Обычный 12 3 2 4" xfId="8217"/>
    <cellStyle name="Обычный 12 3 3" xfId="2444"/>
    <cellStyle name="Обычный 12 3 3 2" xfId="5567"/>
    <cellStyle name="Обычный 12 3 3 3" xfId="8952"/>
    <cellStyle name="Обычный 12 3 4" xfId="4092"/>
    <cellStyle name="Обычный 12 3 5" xfId="7481"/>
    <cellStyle name="Обычный 12 4" xfId="1131"/>
    <cellStyle name="Обычный 12 4 2" xfId="1889"/>
    <cellStyle name="Обычный 12 4 2 2" xfId="3360"/>
    <cellStyle name="Обычный 12 4 2 2 2" xfId="9868"/>
    <cellStyle name="Обычный 12 4 2 3" xfId="5008"/>
    <cellStyle name="Обычный 12 4 2 4" xfId="8397"/>
    <cellStyle name="Обычный 12 4 3" xfId="2624"/>
    <cellStyle name="Обычный 12 4 3 2" xfId="5744"/>
    <cellStyle name="Обычный 12 4 3 3" xfId="9132"/>
    <cellStyle name="Обычный 12 4 4" xfId="4272"/>
    <cellStyle name="Обычный 12 4 5" xfId="7661"/>
    <cellStyle name="Обычный 12 5" xfId="1338"/>
    <cellStyle name="Обычный 12 5 2" xfId="2809"/>
    <cellStyle name="Обычный 12 5 2 2" xfId="5924"/>
    <cellStyle name="Обычный 12 5 2 3" xfId="9317"/>
    <cellStyle name="Обычный 12 5 3" xfId="4457"/>
    <cellStyle name="Обычный 12 5 4" xfId="7846"/>
    <cellStyle name="Обычный 12 6" xfId="2073"/>
    <cellStyle name="Обычный 12 6 2" xfId="6105"/>
    <cellStyle name="Обычный 12 6 3" xfId="8581"/>
    <cellStyle name="Обычный 12 7" xfId="3540"/>
    <cellStyle name="Обычный 12 7 2" xfId="6300"/>
    <cellStyle name="Обычный 12 7 3" xfId="10048"/>
    <cellStyle name="Обычный 12 8" xfId="6481"/>
    <cellStyle name="Обычный 12 9" xfId="6678"/>
    <cellStyle name="Обычный 120" xfId="108"/>
    <cellStyle name="Обычный 121" xfId="109"/>
    <cellStyle name="Обычный 122" xfId="110"/>
    <cellStyle name="Обычный 123" xfId="111"/>
    <cellStyle name="Обычный 124" xfId="112"/>
    <cellStyle name="Обычный 125" xfId="113"/>
    <cellStyle name="Обычный 126" xfId="114"/>
    <cellStyle name="Обычный 127" xfId="115"/>
    <cellStyle name="Обычный 128" xfId="116"/>
    <cellStyle name="Обычный 129" xfId="117"/>
    <cellStyle name="Обычный 13" xfId="118"/>
    <cellStyle name="Обычный 13 10" xfId="6679"/>
    <cellStyle name="Обычный 13 11" xfId="6893"/>
    <cellStyle name="Обычный 13 12" xfId="5193"/>
    <cellStyle name="Обычный 13 13" xfId="3722"/>
    <cellStyle name="Обычный 13 14" xfId="7111"/>
    <cellStyle name="Обычный 13 2" xfId="772"/>
    <cellStyle name="Обычный 13 2 2" xfId="1533"/>
    <cellStyle name="Обычный 13 2 2 2" xfId="3004"/>
    <cellStyle name="Обычный 13 2 2 2 2" xfId="9512"/>
    <cellStyle name="Обычный 13 2 2 3" xfId="4652"/>
    <cellStyle name="Обычный 13 2 2 4" xfId="8041"/>
    <cellStyle name="Обычный 13 2 3" xfId="2268"/>
    <cellStyle name="Обычный 13 2 3 2" xfId="5387"/>
    <cellStyle name="Обычный 13 2 3 3" xfId="8776"/>
    <cellStyle name="Обычный 13 2 4" xfId="3916"/>
    <cellStyle name="Обычный 13 2 5" xfId="7305"/>
    <cellStyle name="Обычный 13 3" xfId="694"/>
    <cellStyle name="Обычный 13 3 2" xfId="1318"/>
    <cellStyle name="Обычный 13 3 2 2" xfId="2789"/>
    <cellStyle name="Обычный 13 3 2 2 2" xfId="9297"/>
    <cellStyle name="Обычный 13 3 2 3" xfId="4437"/>
    <cellStyle name="Обычный 13 3 2 4" xfId="7826"/>
    <cellStyle name="Обычный 13 3 3" xfId="2053"/>
    <cellStyle name="Обычный 13 3 3 2" xfId="5172"/>
    <cellStyle name="Обычный 13 3 3 3" xfId="8561"/>
    <cellStyle name="Обычный 13 3 4" xfId="3701"/>
    <cellStyle name="Обычный 13 3 5" xfId="7090"/>
    <cellStyle name="Обычный 13 4" xfId="949"/>
    <cellStyle name="Обычный 13 4 2" xfId="1710"/>
    <cellStyle name="Обычный 13 4 2 2" xfId="3181"/>
    <cellStyle name="Обычный 13 4 2 2 2" xfId="9689"/>
    <cellStyle name="Обычный 13 4 2 3" xfId="4829"/>
    <cellStyle name="Обычный 13 4 2 4" xfId="8218"/>
    <cellStyle name="Обычный 13 4 3" xfId="2445"/>
    <cellStyle name="Обычный 13 4 3 2" xfId="5568"/>
    <cellStyle name="Обычный 13 4 3 3" xfId="8953"/>
    <cellStyle name="Обычный 13 4 4" xfId="4093"/>
    <cellStyle name="Обычный 13 4 5" xfId="7482"/>
    <cellStyle name="Обычный 13 5" xfId="1132"/>
    <cellStyle name="Обычный 13 5 2" xfId="1890"/>
    <cellStyle name="Обычный 13 5 2 2" xfId="3361"/>
    <cellStyle name="Обычный 13 5 2 2 2" xfId="9869"/>
    <cellStyle name="Обычный 13 5 2 3" xfId="5009"/>
    <cellStyle name="Обычный 13 5 2 4" xfId="8398"/>
    <cellStyle name="Обычный 13 5 3" xfId="2625"/>
    <cellStyle name="Обычный 13 5 3 2" xfId="5745"/>
    <cellStyle name="Обычный 13 5 3 3" xfId="9133"/>
    <cellStyle name="Обычный 13 5 4" xfId="4273"/>
    <cellStyle name="Обычный 13 5 5" xfId="7662"/>
    <cellStyle name="Обычный 13 6" xfId="1339"/>
    <cellStyle name="Обычный 13 6 2" xfId="2810"/>
    <cellStyle name="Обычный 13 6 2 2" xfId="5925"/>
    <cellStyle name="Обычный 13 6 2 3" xfId="9318"/>
    <cellStyle name="Обычный 13 6 3" xfId="4458"/>
    <cellStyle name="Обычный 13 6 4" xfId="7847"/>
    <cellStyle name="Обычный 13 7" xfId="2074"/>
    <cellStyle name="Обычный 13 7 2" xfId="6106"/>
    <cellStyle name="Обычный 13 7 3" xfId="8582"/>
    <cellStyle name="Обычный 13 8" xfId="3541"/>
    <cellStyle name="Обычный 13 8 2" xfId="6301"/>
    <cellStyle name="Обычный 13 8 3" xfId="10049"/>
    <cellStyle name="Обычный 13 9" xfId="6482"/>
    <cellStyle name="Обычный 130" xfId="119"/>
    <cellStyle name="Обычный 131" xfId="120"/>
    <cellStyle name="Обычный 132" xfId="121"/>
    <cellStyle name="Обычный 133" xfId="122"/>
    <cellStyle name="Обычный 134" xfId="123"/>
    <cellStyle name="Обычный 135" xfId="124"/>
    <cellStyle name="Обычный 136" xfId="125"/>
    <cellStyle name="Обычный 137" xfId="126"/>
    <cellStyle name="Обычный 138" xfId="127"/>
    <cellStyle name="Обычный 139" xfId="128"/>
    <cellStyle name="Обычный 14" xfId="129"/>
    <cellStyle name="Обычный 140" xfId="130"/>
    <cellStyle name="Обычный 141" xfId="131"/>
    <cellStyle name="Обычный 142" xfId="132"/>
    <cellStyle name="Обычный 143" xfId="133"/>
    <cellStyle name="Обычный 144" xfId="134"/>
    <cellStyle name="Обычный 145" xfId="135"/>
    <cellStyle name="Обычный 146" xfId="136"/>
    <cellStyle name="Обычный 147" xfId="137"/>
    <cellStyle name="Обычный 148" xfId="138"/>
    <cellStyle name="Обычный 149" xfId="139"/>
    <cellStyle name="Обычный 15" xfId="140"/>
    <cellStyle name="Обычный 15 2" xfId="705"/>
    <cellStyle name="Обычный 15 3" xfId="1320"/>
    <cellStyle name="Обычный 15 3 2" xfId="2791"/>
    <cellStyle name="Обычный 15 3 2 2" xfId="9299"/>
    <cellStyle name="Обычный 15 3 3" xfId="4439"/>
    <cellStyle name="Обычный 15 3 4" xfId="7828"/>
    <cellStyle name="Обычный 15 4" xfId="2055"/>
    <cellStyle name="Обычный 15 4 2" xfId="5174"/>
    <cellStyle name="Обычный 15 4 3" xfId="8563"/>
    <cellStyle name="Обычный 15 5" xfId="3703"/>
    <cellStyle name="Обычный 15 6" xfId="7092"/>
    <cellStyle name="Обычный 15 7" xfId="696"/>
    <cellStyle name="Обычный 150" xfId="141"/>
    <cellStyle name="Обычный 151" xfId="142"/>
    <cellStyle name="Обычный 152" xfId="143"/>
    <cellStyle name="Обычный 153" xfId="144"/>
    <cellStyle name="Обычный 154" xfId="145"/>
    <cellStyle name="Обычный 155" xfId="146"/>
    <cellStyle name="Обычный 156" xfId="147"/>
    <cellStyle name="Обычный 157" xfId="148"/>
    <cellStyle name="Обычный 158" xfId="149"/>
    <cellStyle name="Обычный 159" xfId="150"/>
    <cellStyle name="Обычный 16" xfId="151"/>
    <cellStyle name="Обычный 160" xfId="152"/>
    <cellStyle name="Обычный 161" xfId="153"/>
    <cellStyle name="Обычный 162" xfId="154"/>
    <cellStyle name="Обычный 163" xfId="155"/>
    <cellStyle name="Обычный 164" xfId="156"/>
    <cellStyle name="Обычный 165" xfId="157"/>
    <cellStyle name="Обычный 166" xfId="158"/>
    <cellStyle name="Обычный 167" xfId="159"/>
    <cellStyle name="Обычный 168" xfId="160"/>
    <cellStyle name="Обычный 169" xfId="161"/>
    <cellStyle name="Обычный 17" xfId="162"/>
    <cellStyle name="Обычный 170" xfId="163"/>
    <cellStyle name="Обычный 171" xfId="164"/>
    <cellStyle name="Обычный 172" xfId="165"/>
    <cellStyle name="Обычный 173" xfId="166"/>
    <cellStyle name="Обычный 174" xfId="167"/>
    <cellStyle name="Обычный 175" xfId="168"/>
    <cellStyle name="Обычный 176" xfId="169"/>
    <cellStyle name="Обычный 177" xfId="170"/>
    <cellStyle name="Обычный 178" xfId="171"/>
    <cellStyle name="Обычный 179" xfId="172"/>
    <cellStyle name="Обычный 18" xfId="173"/>
    <cellStyle name="Обычный 180" xfId="174"/>
    <cellStyle name="Обычный 181" xfId="175"/>
    <cellStyle name="Обычный 182" xfId="176"/>
    <cellStyle name="Обычный 183" xfId="177"/>
    <cellStyle name="Обычный 184" xfId="178"/>
    <cellStyle name="Обычный 185" xfId="179"/>
    <cellStyle name="Обычный 186" xfId="180"/>
    <cellStyle name="Обычный 187" xfId="181"/>
    <cellStyle name="Обычный 188" xfId="182"/>
    <cellStyle name="Обычный 189" xfId="183"/>
    <cellStyle name="Обычный 19" xfId="184"/>
    <cellStyle name="Обычный 190" xfId="185"/>
    <cellStyle name="Обычный 191" xfId="186"/>
    <cellStyle name="Обычный 192" xfId="187"/>
    <cellStyle name="Обычный 193" xfId="188"/>
    <cellStyle name="Обычный 194" xfId="189"/>
    <cellStyle name="Обычный 195" xfId="190"/>
    <cellStyle name="Обычный 196" xfId="191"/>
    <cellStyle name="Обычный 197" xfId="192"/>
    <cellStyle name="Обычный 198" xfId="193"/>
    <cellStyle name="Обычный 199" xfId="194"/>
    <cellStyle name="Обычный 2" xfId="2"/>
    <cellStyle name="Обычный 2 10" xfId="195"/>
    <cellStyle name="Обычный 2 10 10" xfId="6680"/>
    <cellStyle name="Обычный 2 10 11" xfId="6894"/>
    <cellStyle name="Обычный 2 10 12" xfId="5194"/>
    <cellStyle name="Обычный 2 10 13" xfId="3723"/>
    <cellStyle name="Обычный 2 10 14" xfId="7112"/>
    <cellStyle name="Обычный 2 10 2" xfId="196"/>
    <cellStyle name="Обычный 2 10 2 10" xfId="3543"/>
    <cellStyle name="Обычный 2 10 2 10 2" xfId="6303"/>
    <cellStyle name="Обычный 2 10 2 10 3" xfId="10051"/>
    <cellStyle name="Обычный 2 10 2 11" xfId="6484"/>
    <cellStyle name="Обычный 2 10 2 12" xfId="6681"/>
    <cellStyle name="Обычный 2 10 2 13" xfId="6895"/>
    <cellStyle name="Обычный 2 10 2 14" xfId="5195"/>
    <cellStyle name="Обычный 2 10 2 15" xfId="3724"/>
    <cellStyle name="Обычный 2 10 2 16" xfId="7113"/>
    <cellStyle name="Обычный 2 10 2 2" xfId="197"/>
    <cellStyle name="Обычный 2 10 2 2 10" xfId="6896"/>
    <cellStyle name="Обычный 2 10 2 2 11" xfId="5196"/>
    <cellStyle name="Обычный 2 10 2 2 12" xfId="3725"/>
    <cellStyle name="Обычный 2 10 2 2 13" xfId="7114"/>
    <cellStyle name="Обычный 2 10 2 2 2" xfId="775"/>
    <cellStyle name="Обычный 2 10 2 2 2 2" xfId="1536"/>
    <cellStyle name="Обычный 2 10 2 2 2 2 2" xfId="3007"/>
    <cellStyle name="Обычный 2 10 2 2 2 2 2 2" xfId="9515"/>
    <cellStyle name="Обычный 2 10 2 2 2 2 3" xfId="4655"/>
    <cellStyle name="Обычный 2 10 2 2 2 2 4" xfId="8044"/>
    <cellStyle name="Обычный 2 10 2 2 2 3" xfId="2271"/>
    <cellStyle name="Обычный 2 10 2 2 2 3 2" xfId="5390"/>
    <cellStyle name="Обычный 2 10 2 2 2 3 3" xfId="8779"/>
    <cellStyle name="Обычный 2 10 2 2 2 4" xfId="3919"/>
    <cellStyle name="Обычный 2 10 2 2 2 5" xfId="7308"/>
    <cellStyle name="Обычный 2 10 2 2 3" xfId="952"/>
    <cellStyle name="Обычный 2 10 2 2 3 2" xfId="1713"/>
    <cellStyle name="Обычный 2 10 2 2 3 2 2" xfId="3184"/>
    <cellStyle name="Обычный 2 10 2 2 3 2 2 2" xfId="9692"/>
    <cellStyle name="Обычный 2 10 2 2 3 2 3" xfId="4832"/>
    <cellStyle name="Обычный 2 10 2 2 3 2 4" xfId="8221"/>
    <cellStyle name="Обычный 2 10 2 2 3 3" xfId="2448"/>
    <cellStyle name="Обычный 2 10 2 2 3 3 2" xfId="5571"/>
    <cellStyle name="Обычный 2 10 2 2 3 3 3" xfId="8956"/>
    <cellStyle name="Обычный 2 10 2 2 3 4" xfId="4096"/>
    <cellStyle name="Обычный 2 10 2 2 3 5" xfId="7485"/>
    <cellStyle name="Обычный 2 10 2 2 4" xfId="1139"/>
    <cellStyle name="Обычный 2 10 2 2 4 2" xfId="1893"/>
    <cellStyle name="Обычный 2 10 2 2 4 2 2" xfId="3364"/>
    <cellStyle name="Обычный 2 10 2 2 4 2 2 2" xfId="9872"/>
    <cellStyle name="Обычный 2 10 2 2 4 2 3" xfId="5012"/>
    <cellStyle name="Обычный 2 10 2 2 4 2 4" xfId="8401"/>
    <cellStyle name="Обычный 2 10 2 2 4 3" xfId="2628"/>
    <cellStyle name="Обычный 2 10 2 2 4 3 2" xfId="5748"/>
    <cellStyle name="Обычный 2 10 2 2 4 3 3" xfId="9136"/>
    <cellStyle name="Обычный 2 10 2 2 4 4" xfId="4276"/>
    <cellStyle name="Обычный 2 10 2 2 4 5" xfId="7665"/>
    <cellStyle name="Обычный 2 10 2 2 5" xfId="1342"/>
    <cellStyle name="Обычный 2 10 2 2 5 2" xfId="2813"/>
    <cellStyle name="Обычный 2 10 2 2 5 2 2" xfId="5928"/>
    <cellStyle name="Обычный 2 10 2 2 5 2 3" xfId="9321"/>
    <cellStyle name="Обычный 2 10 2 2 5 3" xfId="4461"/>
    <cellStyle name="Обычный 2 10 2 2 5 4" xfId="7850"/>
    <cellStyle name="Обычный 2 10 2 2 6" xfId="2077"/>
    <cellStyle name="Обычный 2 10 2 2 6 2" xfId="6109"/>
    <cellStyle name="Обычный 2 10 2 2 6 3" xfId="8585"/>
    <cellStyle name="Обычный 2 10 2 2 7" xfId="3544"/>
    <cellStyle name="Обычный 2 10 2 2 7 2" xfId="6304"/>
    <cellStyle name="Обычный 2 10 2 2 7 3" xfId="10052"/>
    <cellStyle name="Обычный 2 10 2 2 8" xfId="6485"/>
    <cellStyle name="Обычный 2 10 2 2 9" xfId="6682"/>
    <cellStyle name="Обычный 2 10 2 3" xfId="198"/>
    <cellStyle name="Обычный 2 10 2 3 10" xfId="6683"/>
    <cellStyle name="Обычный 2 10 2 3 11" xfId="6897"/>
    <cellStyle name="Обычный 2 10 2 3 12" xfId="5197"/>
    <cellStyle name="Обычный 2 10 2 3 13" xfId="3726"/>
    <cellStyle name="Обычный 2 10 2 3 14" xfId="7115"/>
    <cellStyle name="Обычный 2 10 2 3 2" xfId="199"/>
    <cellStyle name="Обычный 2 10 2 3 2 10" xfId="6898"/>
    <cellStyle name="Обычный 2 10 2 3 2 11" xfId="5198"/>
    <cellStyle name="Обычный 2 10 2 3 2 12" xfId="3727"/>
    <cellStyle name="Обычный 2 10 2 3 2 13" xfId="7116"/>
    <cellStyle name="Обычный 2 10 2 3 2 2" xfId="777"/>
    <cellStyle name="Обычный 2 10 2 3 2 2 2" xfId="1538"/>
    <cellStyle name="Обычный 2 10 2 3 2 2 2 2" xfId="3009"/>
    <cellStyle name="Обычный 2 10 2 3 2 2 2 2 2" xfId="9517"/>
    <cellStyle name="Обычный 2 10 2 3 2 2 2 3" xfId="4657"/>
    <cellStyle name="Обычный 2 10 2 3 2 2 2 4" xfId="8046"/>
    <cellStyle name="Обычный 2 10 2 3 2 2 3" xfId="2273"/>
    <cellStyle name="Обычный 2 10 2 3 2 2 3 2" xfId="5392"/>
    <cellStyle name="Обычный 2 10 2 3 2 2 3 3" xfId="8781"/>
    <cellStyle name="Обычный 2 10 2 3 2 2 4" xfId="3921"/>
    <cellStyle name="Обычный 2 10 2 3 2 2 5" xfId="7310"/>
    <cellStyle name="Обычный 2 10 2 3 2 3" xfId="954"/>
    <cellStyle name="Обычный 2 10 2 3 2 3 2" xfId="1715"/>
    <cellStyle name="Обычный 2 10 2 3 2 3 2 2" xfId="3186"/>
    <cellStyle name="Обычный 2 10 2 3 2 3 2 2 2" xfId="9694"/>
    <cellStyle name="Обычный 2 10 2 3 2 3 2 3" xfId="4834"/>
    <cellStyle name="Обычный 2 10 2 3 2 3 2 4" xfId="8223"/>
    <cellStyle name="Обычный 2 10 2 3 2 3 3" xfId="2450"/>
    <cellStyle name="Обычный 2 10 2 3 2 3 3 2" xfId="5573"/>
    <cellStyle name="Обычный 2 10 2 3 2 3 3 3" xfId="8958"/>
    <cellStyle name="Обычный 2 10 2 3 2 3 4" xfId="4098"/>
    <cellStyle name="Обычный 2 10 2 3 2 3 5" xfId="7487"/>
    <cellStyle name="Обычный 2 10 2 3 2 4" xfId="1141"/>
    <cellStyle name="Обычный 2 10 2 3 2 4 2" xfId="1895"/>
    <cellStyle name="Обычный 2 10 2 3 2 4 2 2" xfId="3366"/>
    <cellStyle name="Обычный 2 10 2 3 2 4 2 2 2" xfId="9874"/>
    <cellStyle name="Обычный 2 10 2 3 2 4 2 3" xfId="5014"/>
    <cellStyle name="Обычный 2 10 2 3 2 4 2 4" xfId="8403"/>
    <cellStyle name="Обычный 2 10 2 3 2 4 3" xfId="2630"/>
    <cellStyle name="Обычный 2 10 2 3 2 4 3 2" xfId="5750"/>
    <cellStyle name="Обычный 2 10 2 3 2 4 3 3" xfId="9138"/>
    <cellStyle name="Обычный 2 10 2 3 2 4 4" xfId="4278"/>
    <cellStyle name="Обычный 2 10 2 3 2 4 5" xfId="7667"/>
    <cellStyle name="Обычный 2 10 2 3 2 5" xfId="1344"/>
    <cellStyle name="Обычный 2 10 2 3 2 5 2" xfId="2815"/>
    <cellStyle name="Обычный 2 10 2 3 2 5 2 2" xfId="5930"/>
    <cellStyle name="Обычный 2 10 2 3 2 5 2 3" xfId="9323"/>
    <cellStyle name="Обычный 2 10 2 3 2 5 3" xfId="4463"/>
    <cellStyle name="Обычный 2 10 2 3 2 5 4" xfId="7852"/>
    <cellStyle name="Обычный 2 10 2 3 2 6" xfId="2079"/>
    <cellStyle name="Обычный 2 10 2 3 2 6 2" xfId="6111"/>
    <cellStyle name="Обычный 2 10 2 3 2 6 3" xfId="8587"/>
    <cellStyle name="Обычный 2 10 2 3 2 7" xfId="3546"/>
    <cellStyle name="Обычный 2 10 2 3 2 7 2" xfId="6306"/>
    <cellStyle name="Обычный 2 10 2 3 2 7 3" xfId="10054"/>
    <cellStyle name="Обычный 2 10 2 3 2 8" xfId="6487"/>
    <cellStyle name="Обычный 2 10 2 3 2 9" xfId="6684"/>
    <cellStyle name="Обычный 2 10 2 3 3" xfId="776"/>
    <cellStyle name="Обычный 2 10 2 3 3 2" xfId="1537"/>
    <cellStyle name="Обычный 2 10 2 3 3 2 2" xfId="3008"/>
    <cellStyle name="Обычный 2 10 2 3 3 2 2 2" xfId="9516"/>
    <cellStyle name="Обычный 2 10 2 3 3 2 3" xfId="4656"/>
    <cellStyle name="Обычный 2 10 2 3 3 2 4" xfId="8045"/>
    <cellStyle name="Обычный 2 10 2 3 3 3" xfId="2272"/>
    <cellStyle name="Обычный 2 10 2 3 3 3 2" xfId="5391"/>
    <cellStyle name="Обычный 2 10 2 3 3 3 3" xfId="8780"/>
    <cellStyle name="Обычный 2 10 2 3 3 4" xfId="3920"/>
    <cellStyle name="Обычный 2 10 2 3 3 5" xfId="7309"/>
    <cellStyle name="Обычный 2 10 2 3 4" xfId="953"/>
    <cellStyle name="Обычный 2 10 2 3 4 2" xfId="1714"/>
    <cellStyle name="Обычный 2 10 2 3 4 2 2" xfId="3185"/>
    <cellStyle name="Обычный 2 10 2 3 4 2 2 2" xfId="9693"/>
    <cellStyle name="Обычный 2 10 2 3 4 2 3" xfId="4833"/>
    <cellStyle name="Обычный 2 10 2 3 4 2 4" xfId="8222"/>
    <cellStyle name="Обычный 2 10 2 3 4 3" xfId="2449"/>
    <cellStyle name="Обычный 2 10 2 3 4 3 2" xfId="5572"/>
    <cellStyle name="Обычный 2 10 2 3 4 3 3" xfId="8957"/>
    <cellStyle name="Обычный 2 10 2 3 4 4" xfId="4097"/>
    <cellStyle name="Обычный 2 10 2 3 4 5" xfId="7486"/>
    <cellStyle name="Обычный 2 10 2 3 5" xfId="1140"/>
    <cellStyle name="Обычный 2 10 2 3 5 2" xfId="1894"/>
    <cellStyle name="Обычный 2 10 2 3 5 2 2" xfId="3365"/>
    <cellStyle name="Обычный 2 10 2 3 5 2 2 2" xfId="9873"/>
    <cellStyle name="Обычный 2 10 2 3 5 2 3" xfId="5013"/>
    <cellStyle name="Обычный 2 10 2 3 5 2 4" xfId="8402"/>
    <cellStyle name="Обычный 2 10 2 3 5 3" xfId="2629"/>
    <cellStyle name="Обычный 2 10 2 3 5 3 2" xfId="5749"/>
    <cellStyle name="Обычный 2 10 2 3 5 3 3" xfId="9137"/>
    <cellStyle name="Обычный 2 10 2 3 5 4" xfId="4277"/>
    <cellStyle name="Обычный 2 10 2 3 5 5" xfId="7666"/>
    <cellStyle name="Обычный 2 10 2 3 6" xfId="1343"/>
    <cellStyle name="Обычный 2 10 2 3 6 2" xfId="2814"/>
    <cellStyle name="Обычный 2 10 2 3 6 2 2" xfId="5929"/>
    <cellStyle name="Обычный 2 10 2 3 6 2 3" xfId="9322"/>
    <cellStyle name="Обычный 2 10 2 3 6 3" xfId="4462"/>
    <cellStyle name="Обычный 2 10 2 3 6 4" xfId="7851"/>
    <cellStyle name="Обычный 2 10 2 3 7" xfId="2078"/>
    <cellStyle name="Обычный 2 10 2 3 7 2" xfId="6110"/>
    <cellStyle name="Обычный 2 10 2 3 7 3" xfId="8586"/>
    <cellStyle name="Обычный 2 10 2 3 8" xfId="3545"/>
    <cellStyle name="Обычный 2 10 2 3 8 2" xfId="6305"/>
    <cellStyle name="Обычный 2 10 2 3 8 3" xfId="10053"/>
    <cellStyle name="Обычный 2 10 2 3 9" xfId="6486"/>
    <cellStyle name="Обычный 2 10 2 4" xfId="200"/>
    <cellStyle name="Обычный 2 10 2 4 10" xfId="6899"/>
    <cellStyle name="Обычный 2 10 2 4 11" xfId="5199"/>
    <cellStyle name="Обычный 2 10 2 4 12" xfId="3728"/>
    <cellStyle name="Обычный 2 10 2 4 13" xfId="7117"/>
    <cellStyle name="Обычный 2 10 2 4 2" xfId="778"/>
    <cellStyle name="Обычный 2 10 2 4 2 2" xfId="1539"/>
    <cellStyle name="Обычный 2 10 2 4 2 2 2" xfId="3010"/>
    <cellStyle name="Обычный 2 10 2 4 2 2 2 2" xfId="9518"/>
    <cellStyle name="Обычный 2 10 2 4 2 2 3" xfId="4658"/>
    <cellStyle name="Обычный 2 10 2 4 2 2 4" xfId="8047"/>
    <cellStyle name="Обычный 2 10 2 4 2 3" xfId="2274"/>
    <cellStyle name="Обычный 2 10 2 4 2 3 2" xfId="5393"/>
    <cellStyle name="Обычный 2 10 2 4 2 3 3" xfId="8782"/>
    <cellStyle name="Обычный 2 10 2 4 2 4" xfId="3922"/>
    <cellStyle name="Обычный 2 10 2 4 2 5" xfId="7311"/>
    <cellStyle name="Обычный 2 10 2 4 3" xfId="955"/>
    <cellStyle name="Обычный 2 10 2 4 3 2" xfId="1716"/>
    <cellStyle name="Обычный 2 10 2 4 3 2 2" xfId="3187"/>
    <cellStyle name="Обычный 2 10 2 4 3 2 2 2" xfId="9695"/>
    <cellStyle name="Обычный 2 10 2 4 3 2 3" xfId="4835"/>
    <cellStyle name="Обычный 2 10 2 4 3 2 4" xfId="8224"/>
    <cellStyle name="Обычный 2 10 2 4 3 3" xfId="2451"/>
    <cellStyle name="Обычный 2 10 2 4 3 3 2" xfId="5574"/>
    <cellStyle name="Обычный 2 10 2 4 3 3 3" xfId="8959"/>
    <cellStyle name="Обычный 2 10 2 4 3 4" xfId="4099"/>
    <cellStyle name="Обычный 2 10 2 4 3 5" xfId="7488"/>
    <cellStyle name="Обычный 2 10 2 4 4" xfId="1142"/>
    <cellStyle name="Обычный 2 10 2 4 4 2" xfId="1896"/>
    <cellStyle name="Обычный 2 10 2 4 4 2 2" xfId="3367"/>
    <cellStyle name="Обычный 2 10 2 4 4 2 2 2" xfId="9875"/>
    <cellStyle name="Обычный 2 10 2 4 4 2 3" xfId="5015"/>
    <cellStyle name="Обычный 2 10 2 4 4 2 4" xfId="8404"/>
    <cellStyle name="Обычный 2 10 2 4 4 3" xfId="2631"/>
    <cellStyle name="Обычный 2 10 2 4 4 3 2" xfId="5751"/>
    <cellStyle name="Обычный 2 10 2 4 4 3 3" xfId="9139"/>
    <cellStyle name="Обычный 2 10 2 4 4 4" xfId="4279"/>
    <cellStyle name="Обычный 2 10 2 4 4 5" xfId="7668"/>
    <cellStyle name="Обычный 2 10 2 4 5" xfId="1345"/>
    <cellStyle name="Обычный 2 10 2 4 5 2" xfId="2816"/>
    <cellStyle name="Обычный 2 10 2 4 5 2 2" xfId="5931"/>
    <cellStyle name="Обычный 2 10 2 4 5 2 3" xfId="9324"/>
    <cellStyle name="Обычный 2 10 2 4 5 3" xfId="4464"/>
    <cellStyle name="Обычный 2 10 2 4 5 4" xfId="7853"/>
    <cellStyle name="Обычный 2 10 2 4 6" xfId="2080"/>
    <cellStyle name="Обычный 2 10 2 4 6 2" xfId="6112"/>
    <cellStyle name="Обычный 2 10 2 4 6 3" xfId="8588"/>
    <cellStyle name="Обычный 2 10 2 4 7" xfId="3547"/>
    <cellStyle name="Обычный 2 10 2 4 7 2" xfId="6307"/>
    <cellStyle name="Обычный 2 10 2 4 7 3" xfId="10055"/>
    <cellStyle name="Обычный 2 10 2 4 8" xfId="6488"/>
    <cellStyle name="Обычный 2 10 2 4 9" xfId="6685"/>
    <cellStyle name="Обычный 2 10 2 5" xfId="774"/>
    <cellStyle name="Обычный 2 10 2 5 2" xfId="1535"/>
    <cellStyle name="Обычный 2 10 2 5 2 2" xfId="3006"/>
    <cellStyle name="Обычный 2 10 2 5 2 2 2" xfId="9514"/>
    <cellStyle name="Обычный 2 10 2 5 2 3" xfId="4654"/>
    <cellStyle name="Обычный 2 10 2 5 2 4" xfId="8043"/>
    <cellStyle name="Обычный 2 10 2 5 3" xfId="2270"/>
    <cellStyle name="Обычный 2 10 2 5 3 2" xfId="5389"/>
    <cellStyle name="Обычный 2 10 2 5 3 3" xfId="8778"/>
    <cellStyle name="Обычный 2 10 2 5 4" xfId="3918"/>
    <cellStyle name="Обычный 2 10 2 5 5" xfId="7307"/>
    <cellStyle name="Обычный 2 10 2 6" xfId="951"/>
    <cellStyle name="Обычный 2 10 2 6 2" xfId="1712"/>
    <cellStyle name="Обычный 2 10 2 6 2 2" xfId="3183"/>
    <cellStyle name="Обычный 2 10 2 6 2 2 2" xfId="9691"/>
    <cellStyle name="Обычный 2 10 2 6 2 3" xfId="4831"/>
    <cellStyle name="Обычный 2 10 2 6 2 4" xfId="8220"/>
    <cellStyle name="Обычный 2 10 2 6 3" xfId="2447"/>
    <cellStyle name="Обычный 2 10 2 6 3 2" xfId="5570"/>
    <cellStyle name="Обычный 2 10 2 6 3 3" xfId="8955"/>
    <cellStyle name="Обычный 2 10 2 6 4" xfId="4095"/>
    <cellStyle name="Обычный 2 10 2 6 5" xfId="7484"/>
    <cellStyle name="Обычный 2 10 2 7" xfId="1138"/>
    <cellStyle name="Обычный 2 10 2 7 2" xfId="1892"/>
    <cellStyle name="Обычный 2 10 2 7 2 2" xfId="3363"/>
    <cellStyle name="Обычный 2 10 2 7 2 2 2" xfId="9871"/>
    <cellStyle name="Обычный 2 10 2 7 2 3" xfId="5011"/>
    <cellStyle name="Обычный 2 10 2 7 2 4" xfId="8400"/>
    <cellStyle name="Обычный 2 10 2 7 3" xfId="2627"/>
    <cellStyle name="Обычный 2 10 2 7 3 2" xfId="5747"/>
    <cellStyle name="Обычный 2 10 2 7 3 3" xfId="9135"/>
    <cellStyle name="Обычный 2 10 2 7 4" xfId="4275"/>
    <cellStyle name="Обычный 2 10 2 7 5" xfId="7664"/>
    <cellStyle name="Обычный 2 10 2 8" xfId="1341"/>
    <cellStyle name="Обычный 2 10 2 8 2" xfId="2812"/>
    <cellStyle name="Обычный 2 10 2 8 2 2" xfId="5927"/>
    <cellStyle name="Обычный 2 10 2 8 2 3" xfId="9320"/>
    <cellStyle name="Обычный 2 10 2 8 3" xfId="4460"/>
    <cellStyle name="Обычный 2 10 2 8 4" xfId="7849"/>
    <cellStyle name="Обычный 2 10 2 9" xfId="2076"/>
    <cellStyle name="Обычный 2 10 2 9 2" xfId="6108"/>
    <cellStyle name="Обычный 2 10 2 9 3" xfId="8584"/>
    <cellStyle name="Обычный 2 10 3" xfId="773"/>
    <cellStyle name="Обычный 2 10 3 2" xfId="1534"/>
    <cellStyle name="Обычный 2 10 3 2 2" xfId="3005"/>
    <cellStyle name="Обычный 2 10 3 2 2 2" xfId="9513"/>
    <cellStyle name="Обычный 2 10 3 2 3" xfId="4653"/>
    <cellStyle name="Обычный 2 10 3 2 4" xfId="8042"/>
    <cellStyle name="Обычный 2 10 3 3" xfId="2269"/>
    <cellStyle name="Обычный 2 10 3 3 2" xfId="5388"/>
    <cellStyle name="Обычный 2 10 3 3 3" xfId="8777"/>
    <cellStyle name="Обычный 2 10 3 4" xfId="3917"/>
    <cellStyle name="Обычный 2 10 3 5" xfId="7306"/>
    <cellStyle name="Обычный 2 10 4" xfId="950"/>
    <cellStyle name="Обычный 2 10 4 2" xfId="1711"/>
    <cellStyle name="Обычный 2 10 4 2 2" xfId="3182"/>
    <cellStyle name="Обычный 2 10 4 2 2 2" xfId="9690"/>
    <cellStyle name="Обычный 2 10 4 2 3" xfId="4830"/>
    <cellStyle name="Обычный 2 10 4 2 4" xfId="8219"/>
    <cellStyle name="Обычный 2 10 4 3" xfId="2446"/>
    <cellStyle name="Обычный 2 10 4 3 2" xfId="5569"/>
    <cellStyle name="Обычный 2 10 4 3 3" xfId="8954"/>
    <cellStyle name="Обычный 2 10 4 4" xfId="4094"/>
    <cellStyle name="Обычный 2 10 4 5" xfId="7483"/>
    <cellStyle name="Обычный 2 10 5" xfId="1137"/>
    <cellStyle name="Обычный 2 10 5 2" xfId="1891"/>
    <cellStyle name="Обычный 2 10 5 2 2" xfId="3362"/>
    <cellStyle name="Обычный 2 10 5 2 2 2" xfId="9870"/>
    <cellStyle name="Обычный 2 10 5 2 3" xfId="5010"/>
    <cellStyle name="Обычный 2 10 5 2 4" xfId="8399"/>
    <cellStyle name="Обычный 2 10 5 3" xfId="2626"/>
    <cellStyle name="Обычный 2 10 5 3 2" xfId="5746"/>
    <cellStyle name="Обычный 2 10 5 3 3" xfId="9134"/>
    <cellStyle name="Обычный 2 10 5 4" xfId="4274"/>
    <cellStyle name="Обычный 2 10 5 5" xfId="7663"/>
    <cellStyle name="Обычный 2 10 6" xfId="1340"/>
    <cellStyle name="Обычный 2 10 6 2" xfId="2811"/>
    <cellStyle name="Обычный 2 10 6 2 2" xfId="5926"/>
    <cellStyle name="Обычный 2 10 6 2 3" xfId="9319"/>
    <cellStyle name="Обычный 2 10 6 3" xfId="4459"/>
    <cellStyle name="Обычный 2 10 6 4" xfId="7848"/>
    <cellStyle name="Обычный 2 10 7" xfId="2075"/>
    <cellStyle name="Обычный 2 10 7 2" xfId="6107"/>
    <cellStyle name="Обычный 2 10 7 3" xfId="8583"/>
    <cellStyle name="Обычный 2 10 8" xfId="3542"/>
    <cellStyle name="Обычный 2 10 8 2" xfId="6302"/>
    <cellStyle name="Обычный 2 10 8 3" xfId="10050"/>
    <cellStyle name="Обычный 2 10 9" xfId="6483"/>
    <cellStyle name="Обычный 2 11" xfId="201"/>
    <cellStyle name="Обычный 2 11 10" xfId="6686"/>
    <cellStyle name="Обычный 2 11 11" xfId="6900"/>
    <cellStyle name="Обычный 2 11 12" xfId="5200"/>
    <cellStyle name="Обычный 2 11 13" xfId="3729"/>
    <cellStyle name="Обычный 2 11 14" xfId="7118"/>
    <cellStyle name="Обычный 2 11 2" xfId="202"/>
    <cellStyle name="Обычный 2 11 2 10" xfId="6901"/>
    <cellStyle name="Обычный 2 11 2 11" xfId="5201"/>
    <cellStyle name="Обычный 2 11 2 12" xfId="3730"/>
    <cellStyle name="Обычный 2 11 2 13" xfId="7119"/>
    <cellStyle name="Обычный 2 11 2 2" xfId="780"/>
    <cellStyle name="Обычный 2 11 2 2 2" xfId="1541"/>
    <cellStyle name="Обычный 2 11 2 2 2 2" xfId="3012"/>
    <cellStyle name="Обычный 2 11 2 2 2 2 2" xfId="9520"/>
    <cellStyle name="Обычный 2 11 2 2 2 3" xfId="4660"/>
    <cellStyle name="Обычный 2 11 2 2 2 4" xfId="8049"/>
    <cellStyle name="Обычный 2 11 2 2 3" xfId="2276"/>
    <cellStyle name="Обычный 2 11 2 2 3 2" xfId="5395"/>
    <cellStyle name="Обычный 2 11 2 2 3 3" xfId="8784"/>
    <cellStyle name="Обычный 2 11 2 2 4" xfId="3924"/>
    <cellStyle name="Обычный 2 11 2 2 5" xfId="7313"/>
    <cellStyle name="Обычный 2 11 2 3" xfId="957"/>
    <cellStyle name="Обычный 2 11 2 3 2" xfId="1718"/>
    <cellStyle name="Обычный 2 11 2 3 2 2" xfId="3189"/>
    <cellStyle name="Обычный 2 11 2 3 2 2 2" xfId="9697"/>
    <cellStyle name="Обычный 2 11 2 3 2 3" xfId="4837"/>
    <cellStyle name="Обычный 2 11 2 3 2 4" xfId="8226"/>
    <cellStyle name="Обычный 2 11 2 3 3" xfId="2453"/>
    <cellStyle name="Обычный 2 11 2 3 3 2" xfId="5576"/>
    <cellStyle name="Обычный 2 11 2 3 3 3" xfId="8961"/>
    <cellStyle name="Обычный 2 11 2 3 4" xfId="4101"/>
    <cellStyle name="Обычный 2 11 2 3 5" xfId="7490"/>
    <cellStyle name="Обычный 2 11 2 4" xfId="1144"/>
    <cellStyle name="Обычный 2 11 2 4 2" xfId="1898"/>
    <cellStyle name="Обычный 2 11 2 4 2 2" xfId="3369"/>
    <cellStyle name="Обычный 2 11 2 4 2 2 2" xfId="9877"/>
    <cellStyle name="Обычный 2 11 2 4 2 3" xfId="5017"/>
    <cellStyle name="Обычный 2 11 2 4 2 4" xfId="8406"/>
    <cellStyle name="Обычный 2 11 2 4 3" xfId="2633"/>
    <cellStyle name="Обычный 2 11 2 4 3 2" xfId="5753"/>
    <cellStyle name="Обычный 2 11 2 4 3 3" xfId="9141"/>
    <cellStyle name="Обычный 2 11 2 4 4" xfId="4281"/>
    <cellStyle name="Обычный 2 11 2 4 5" xfId="7670"/>
    <cellStyle name="Обычный 2 11 2 5" xfId="1347"/>
    <cellStyle name="Обычный 2 11 2 5 2" xfId="2818"/>
    <cellStyle name="Обычный 2 11 2 5 2 2" xfId="5933"/>
    <cellStyle name="Обычный 2 11 2 5 2 3" xfId="9326"/>
    <cellStyle name="Обычный 2 11 2 5 3" xfId="4466"/>
    <cellStyle name="Обычный 2 11 2 5 4" xfId="7855"/>
    <cellStyle name="Обычный 2 11 2 6" xfId="2082"/>
    <cellStyle name="Обычный 2 11 2 6 2" xfId="6114"/>
    <cellStyle name="Обычный 2 11 2 6 3" xfId="8590"/>
    <cellStyle name="Обычный 2 11 2 7" xfId="3549"/>
    <cellStyle name="Обычный 2 11 2 7 2" xfId="6309"/>
    <cellStyle name="Обычный 2 11 2 7 3" xfId="10057"/>
    <cellStyle name="Обычный 2 11 2 8" xfId="6490"/>
    <cellStyle name="Обычный 2 11 2 9" xfId="6687"/>
    <cellStyle name="Обычный 2 11 3" xfId="779"/>
    <cellStyle name="Обычный 2 11 3 2" xfId="1540"/>
    <cellStyle name="Обычный 2 11 3 2 2" xfId="3011"/>
    <cellStyle name="Обычный 2 11 3 2 2 2" xfId="9519"/>
    <cellStyle name="Обычный 2 11 3 2 3" xfId="4659"/>
    <cellStyle name="Обычный 2 11 3 2 4" xfId="8048"/>
    <cellStyle name="Обычный 2 11 3 3" xfId="2275"/>
    <cellStyle name="Обычный 2 11 3 3 2" xfId="5394"/>
    <cellStyle name="Обычный 2 11 3 3 3" xfId="8783"/>
    <cellStyle name="Обычный 2 11 3 4" xfId="3923"/>
    <cellStyle name="Обычный 2 11 3 5" xfId="7312"/>
    <cellStyle name="Обычный 2 11 4" xfId="956"/>
    <cellStyle name="Обычный 2 11 4 2" xfId="1717"/>
    <cellStyle name="Обычный 2 11 4 2 2" xfId="3188"/>
    <cellStyle name="Обычный 2 11 4 2 2 2" xfId="9696"/>
    <cellStyle name="Обычный 2 11 4 2 3" xfId="4836"/>
    <cellStyle name="Обычный 2 11 4 2 4" xfId="8225"/>
    <cellStyle name="Обычный 2 11 4 3" xfId="2452"/>
    <cellStyle name="Обычный 2 11 4 3 2" xfId="5575"/>
    <cellStyle name="Обычный 2 11 4 3 3" xfId="8960"/>
    <cellStyle name="Обычный 2 11 4 4" xfId="4100"/>
    <cellStyle name="Обычный 2 11 4 5" xfId="7489"/>
    <cellStyle name="Обычный 2 11 5" xfId="1143"/>
    <cellStyle name="Обычный 2 11 5 2" xfId="1897"/>
    <cellStyle name="Обычный 2 11 5 2 2" xfId="3368"/>
    <cellStyle name="Обычный 2 11 5 2 2 2" xfId="9876"/>
    <cellStyle name="Обычный 2 11 5 2 3" xfId="5016"/>
    <cellStyle name="Обычный 2 11 5 2 4" xfId="8405"/>
    <cellStyle name="Обычный 2 11 5 3" xfId="2632"/>
    <cellStyle name="Обычный 2 11 5 3 2" xfId="5752"/>
    <cellStyle name="Обычный 2 11 5 3 3" xfId="9140"/>
    <cellStyle name="Обычный 2 11 5 4" xfId="4280"/>
    <cellStyle name="Обычный 2 11 5 5" xfId="7669"/>
    <cellStyle name="Обычный 2 11 6" xfId="1346"/>
    <cellStyle name="Обычный 2 11 6 2" xfId="2817"/>
    <cellStyle name="Обычный 2 11 6 2 2" xfId="5932"/>
    <cellStyle name="Обычный 2 11 6 2 3" xfId="9325"/>
    <cellStyle name="Обычный 2 11 6 3" xfId="4465"/>
    <cellStyle name="Обычный 2 11 6 4" xfId="7854"/>
    <cellStyle name="Обычный 2 11 7" xfId="2081"/>
    <cellStyle name="Обычный 2 11 7 2" xfId="6113"/>
    <cellStyle name="Обычный 2 11 7 3" xfId="8589"/>
    <cellStyle name="Обычный 2 11 8" xfId="3548"/>
    <cellStyle name="Обычный 2 11 8 2" xfId="6308"/>
    <cellStyle name="Обычный 2 11 8 3" xfId="10056"/>
    <cellStyle name="Обычный 2 11 9" xfId="6489"/>
    <cellStyle name="Обычный 2 12" xfId="203"/>
    <cellStyle name="Обычный 2 13" xfId="204"/>
    <cellStyle name="Обычный 2 13 10" xfId="6902"/>
    <cellStyle name="Обычный 2 13 11" xfId="5202"/>
    <cellStyle name="Обычный 2 13 12" xfId="3731"/>
    <cellStyle name="Обычный 2 13 13" xfId="7120"/>
    <cellStyle name="Обычный 2 13 2" xfId="781"/>
    <cellStyle name="Обычный 2 13 2 2" xfId="1542"/>
    <cellStyle name="Обычный 2 13 2 2 2" xfId="3013"/>
    <cellStyle name="Обычный 2 13 2 2 2 2" xfId="9521"/>
    <cellStyle name="Обычный 2 13 2 2 3" xfId="4661"/>
    <cellStyle name="Обычный 2 13 2 2 4" xfId="8050"/>
    <cellStyle name="Обычный 2 13 2 3" xfId="2277"/>
    <cellStyle name="Обычный 2 13 2 3 2" xfId="5396"/>
    <cellStyle name="Обычный 2 13 2 3 3" xfId="8785"/>
    <cellStyle name="Обычный 2 13 2 4" xfId="3925"/>
    <cellStyle name="Обычный 2 13 2 5" xfId="7314"/>
    <cellStyle name="Обычный 2 13 3" xfId="958"/>
    <cellStyle name="Обычный 2 13 3 2" xfId="1719"/>
    <cellStyle name="Обычный 2 13 3 2 2" xfId="3190"/>
    <cellStyle name="Обычный 2 13 3 2 2 2" xfId="9698"/>
    <cellStyle name="Обычный 2 13 3 2 3" xfId="4838"/>
    <cellStyle name="Обычный 2 13 3 2 4" xfId="8227"/>
    <cellStyle name="Обычный 2 13 3 3" xfId="2454"/>
    <cellStyle name="Обычный 2 13 3 3 2" xfId="5577"/>
    <cellStyle name="Обычный 2 13 3 3 3" xfId="8962"/>
    <cellStyle name="Обычный 2 13 3 4" xfId="4102"/>
    <cellStyle name="Обычный 2 13 3 5" xfId="7491"/>
    <cellStyle name="Обычный 2 13 4" xfId="1145"/>
    <cellStyle name="Обычный 2 13 4 2" xfId="1899"/>
    <cellStyle name="Обычный 2 13 4 2 2" xfId="3370"/>
    <cellStyle name="Обычный 2 13 4 2 2 2" xfId="9878"/>
    <cellStyle name="Обычный 2 13 4 2 3" xfId="5018"/>
    <cellStyle name="Обычный 2 13 4 2 4" xfId="8407"/>
    <cellStyle name="Обычный 2 13 4 3" xfId="2634"/>
    <cellStyle name="Обычный 2 13 4 3 2" xfId="5754"/>
    <cellStyle name="Обычный 2 13 4 3 3" xfId="9142"/>
    <cellStyle name="Обычный 2 13 4 4" xfId="4282"/>
    <cellStyle name="Обычный 2 13 4 5" xfId="7671"/>
    <cellStyle name="Обычный 2 13 5" xfId="1348"/>
    <cellStyle name="Обычный 2 13 5 2" xfId="2819"/>
    <cellStyle name="Обычный 2 13 5 2 2" xfId="5934"/>
    <cellStyle name="Обычный 2 13 5 2 3" xfId="9327"/>
    <cellStyle name="Обычный 2 13 5 3" xfId="4467"/>
    <cellStyle name="Обычный 2 13 5 4" xfId="7856"/>
    <cellStyle name="Обычный 2 13 6" xfId="2083"/>
    <cellStyle name="Обычный 2 13 6 2" xfId="6115"/>
    <cellStyle name="Обычный 2 13 6 3" xfId="8591"/>
    <cellStyle name="Обычный 2 13 7" xfId="3550"/>
    <cellStyle name="Обычный 2 13 7 2" xfId="6310"/>
    <cellStyle name="Обычный 2 13 7 3" xfId="10058"/>
    <cellStyle name="Обычный 2 13 8" xfId="6491"/>
    <cellStyle name="Обычный 2 13 9" xfId="6688"/>
    <cellStyle name="Обычный 2 14" xfId="1115"/>
    <cellStyle name="Обычный 2 15" xfId="1112"/>
    <cellStyle name="Обычный 2 15 2" xfId="1872"/>
    <cellStyle name="Обычный 2 15 2 2" xfId="3343"/>
    <cellStyle name="Обычный 2 15 2 2 2" xfId="6088"/>
    <cellStyle name="Обычный 2 15 2 2 3" xfId="9851"/>
    <cellStyle name="Обычный 2 15 2 3" xfId="4991"/>
    <cellStyle name="Обычный 2 15 2 4" xfId="8380"/>
    <cellStyle name="Обычный 2 15 3" xfId="2607"/>
    <cellStyle name="Обычный 2 15 3 2" xfId="6464"/>
    <cellStyle name="Обычный 2 15 3 3" xfId="9115"/>
    <cellStyle name="Обычный 2 15 4" xfId="6661"/>
    <cellStyle name="Обычный 2 15 5" xfId="6875"/>
    <cellStyle name="Обычный 2 15 6" xfId="5907"/>
    <cellStyle name="Обычный 2 15 7" xfId="4255"/>
    <cellStyle name="Обычный 2 15 8" xfId="7644"/>
    <cellStyle name="Обычный 2 16" xfId="701"/>
    <cellStyle name="Обычный 2 17" xfId="661"/>
    <cellStyle name="Обычный 2 2" xfId="205"/>
    <cellStyle name="Обычный 2 2 2" xfId="206"/>
    <cellStyle name="Обычный 2 2 3" xfId="207"/>
    <cellStyle name="Обычный 2 2 3 2" xfId="208"/>
    <cellStyle name="Обычный 2 2 3 3" xfId="209"/>
    <cellStyle name="Обычный 2 2 4" xfId="210"/>
    <cellStyle name="Обычный 2 2 5" xfId="211"/>
    <cellStyle name="Обычный 2 2 5 10" xfId="6903"/>
    <cellStyle name="Обычный 2 2 5 11" xfId="5203"/>
    <cellStyle name="Обычный 2 2 5 12" xfId="3732"/>
    <cellStyle name="Обычный 2 2 5 13" xfId="7121"/>
    <cellStyle name="Обычный 2 2 5 2" xfId="782"/>
    <cellStyle name="Обычный 2 2 5 2 2" xfId="1543"/>
    <cellStyle name="Обычный 2 2 5 2 2 2" xfId="3014"/>
    <cellStyle name="Обычный 2 2 5 2 2 2 2" xfId="9522"/>
    <cellStyle name="Обычный 2 2 5 2 2 3" xfId="4662"/>
    <cellStyle name="Обычный 2 2 5 2 2 4" xfId="8051"/>
    <cellStyle name="Обычный 2 2 5 2 3" xfId="2278"/>
    <cellStyle name="Обычный 2 2 5 2 3 2" xfId="5397"/>
    <cellStyle name="Обычный 2 2 5 2 3 3" xfId="8786"/>
    <cellStyle name="Обычный 2 2 5 2 4" xfId="3926"/>
    <cellStyle name="Обычный 2 2 5 2 5" xfId="7315"/>
    <cellStyle name="Обычный 2 2 5 3" xfId="959"/>
    <cellStyle name="Обычный 2 2 5 3 2" xfId="1720"/>
    <cellStyle name="Обычный 2 2 5 3 2 2" xfId="3191"/>
    <cellStyle name="Обычный 2 2 5 3 2 2 2" xfId="9699"/>
    <cellStyle name="Обычный 2 2 5 3 2 3" xfId="4839"/>
    <cellStyle name="Обычный 2 2 5 3 2 4" xfId="8228"/>
    <cellStyle name="Обычный 2 2 5 3 3" xfId="2455"/>
    <cellStyle name="Обычный 2 2 5 3 3 2" xfId="5578"/>
    <cellStyle name="Обычный 2 2 5 3 3 3" xfId="8963"/>
    <cellStyle name="Обычный 2 2 5 3 4" xfId="4103"/>
    <cellStyle name="Обычный 2 2 5 3 5" xfId="7492"/>
    <cellStyle name="Обычный 2 2 5 4" xfId="1146"/>
    <cellStyle name="Обычный 2 2 5 4 2" xfId="1900"/>
    <cellStyle name="Обычный 2 2 5 4 2 2" xfId="3371"/>
    <cellStyle name="Обычный 2 2 5 4 2 2 2" xfId="9879"/>
    <cellStyle name="Обычный 2 2 5 4 2 3" xfId="5019"/>
    <cellStyle name="Обычный 2 2 5 4 2 4" xfId="8408"/>
    <cellStyle name="Обычный 2 2 5 4 3" xfId="2635"/>
    <cellStyle name="Обычный 2 2 5 4 3 2" xfId="5755"/>
    <cellStyle name="Обычный 2 2 5 4 3 3" xfId="9143"/>
    <cellStyle name="Обычный 2 2 5 4 4" xfId="4283"/>
    <cellStyle name="Обычный 2 2 5 4 5" xfId="7672"/>
    <cellStyle name="Обычный 2 2 5 5" xfId="1349"/>
    <cellStyle name="Обычный 2 2 5 5 2" xfId="2820"/>
    <cellStyle name="Обычный 2 2 5 5 2 2" xfId="5935"/>
    <cellStyle name="Обычный 2 2 5 5 2 3" xfId="9328"/>
    <cellStyle name="Обычный 2 2 5 5 3" xfId="4468"/>
    <cellStyle name="Обычный 2 2 5 5 4" xfId="7857"/>
    <cellStyle name="Обычный 2 2 5 6" xfId="2084"/>
    <cellStyle name="Обычный 2 2 5 6 2" xfId="6116"/>
    <cellStyle name="Обычный 2 2 5 6 3" xfId="8592"/>
    <cellStyle name="Обычный 2 2 5 7" xfId="3551"/>
    <cellStyle name="Обычный 2 2 5 7 2" xfId="6311"/>
    <cellStyle name="Обычный 2 2 5 7 3" xfId="10059"/>
    <cellStyle name="Обычный 2 2 5 8" xfId="6492"/>
    <cellStyle name="Обычный 2 2 5 9" xfId="6689"/>
    <cellStyle name="Обычный 2 2 6" xfId="708"/>
    <cellStyle name="Обычный 2 2 7" xfId="662"/>
    <cellStyle name="Обычный 2 3" xfId="212"/>
    <cellStyle name="Обычный 2 3 2" xfId="213"/>
    <cellStyle name="Обычный 2 3 2 10" xfId="6690"/>
    <cellStyle name="Обычный 2 3 2 11" xfId="6904"/>
    <cellStyle name="Обычный 2 3 2 12" xfId="5204"/>
    <cellStyle name="Обычный 2 3 2 13" xfId="3733"/>
    <cellStyle name="Обычный 2 3 2 14" xfId="7122"/>
    <cellStyle name="Обычный 2 3 2 2" xfId="214"/>
    <cellStyle name="Обычный 2 3 2 2 10" xfId="6905"/>
    <cellStyle name="Обычный 2 3 2 2 11" xfId="5205"/>
    <cellStyle name="Обычный 2 3 2 2 12" xfId="3734"/>
    <cellStyle name="Обычный 2 3 2 2 13" xfId="7123"/>
    <cellStyle name="Обычный 2 3 2 2 2" xfId="784"/>
    <cellStyle name="Обычный 2 3 2 2 2 2" xfId="1545"/>
    <cellStyle name="Обычный 2 3 2 2 2 2 2" xfId="3016"/>
    <cellStyle name="Обычный 2 3 2 2 2 2 2 2" xfId="9524"/>
    <cellStyle name="Обычный 2 3 2 2 2 2 3" xfId="4664"/>
    <cellStyle name="Обычный 2 3 2 2 2 2 4" xfId="8053"/>
    <cellStyle name="Обычный 2 3 2 2 2 3" xfId="2280"/>
    <cellStyle name="Обычный 2 3 2 2 2 3 2" xfId="5399"/>
    <cellStyle name="Обычный 2 3 2 2 2 3 3" xfId="8788"/>
    <cellStyle name="Обычный 2 3 2 2 2 4" xfId="3928"/>
    <cellStyle name="Обычный 2 3 2 2 2 5" xfId="7317"/>
    <cellStyle name="Обычный 2 3 2 2 3" xfId="961"/>
    <cellStyle name="Обычный 2 3 2 2 3 2" xfId="1722"/>
    <cellStyle name="Обычный 2 3 2 2 3 2 2" xfId="3193"/>
    <cellStyle name="Обычный 2 3 2 2 3 2 2 2" xfId="9701"/>
    <cellStyle name="Обычный 2 3 2 2 3 2 3" xfId="4841"/>
    <cellStyle name="Обычный 2 3 2 2 3 2 4" xfId="8230"/>
    <cellStyle name="Обычный 2 3 2 2 3 3" xfId="2457"/>
    <cellStyle name="Обычный 2 3 2 2 3 3 2" xfId="5580"/>
    <cellStyle name="Обычный 2 3 2 2 3 3 3" xfId="8965"/>
    <cellStyle name="Обычный 2 3 2 2 3 4" xfId="4105"/>
    <cellStyle name="Обычный 2 3 2 2 3 5" xfId="7494"/>
    <cellStyle name="Обычный 2 3 2 2 4" xfId="1148"/>
    <cellStyle name="Обычный 2 3 2 2 4 2" xfId="1902"/>
    <cellStyle name="Обычный 2 3 2 2 4 2 2" xfId="3373"/>
    <cellStyle name="Обычный 2 3 2 2 4 2 2 2" xfId="9881"/>
    <cellStyle name="Обычный 2 3 2 2 4 2 3" xfId="5021"/>
    <cellStyle name="Обычный 2 3 2 2 4 2 4" xfId="8410"/>
    <cellStyle name="Обычный 2 3 2 2 4 3" xfId="2637"/>
    <cellStyle name="Обычный 2 3 2 2 4 3 2" xfId="5757"/>
    <cellStyle name="Обычный 2 3 2 2 4 3 3" xfId="9145"/>
    <cellStyle name="Обычный 2 3 2 2 4 4" xfId="4285"/>
    <cellStyle name="Обычный 2 3 2 2 4 5" xfId="7674"/>
    <cellStyle name="Обычный 2 3 2 2 5" xfId="1351"/>
    <cellStyle name="Обычный 2 3 2 2 5 2" xfId="2822"/>
    <cellStyle name="Обычный 2 3 2 2 5 2 2" xfId="5937"/>
    <cellStyle name="Обычный 2 3 2 2 5 2 3" xfId="9330"/>
    <cellStyle name="Обычный 2 3 2 2 5 3" xfId="4470"/>
    <cellStyle name="Обычный 2 3 2 2 5 4" xfId="7859"/>
    <cellStyle name="Обычный 2 3 2 2 6" xfId="2086"/>
    <cellStyle name="Обычный 2 3 2 2 6 2" xfId="6118"/>
    <cellStyle name="Обычный 2 3 2 2 6 3" xfId="8594"/>
    <cellStyle name="Обычный 2 3 2 2 7" xfId="3553"/>
    <cellStyle name="Обычный 2 3 2 2 7 2" xfId="6313"/>
    <cellStyle name="Обычный 2 3 2 2 7 3" xfId="10061"/>
    <cellStyle name="Обычный 2 3 2 2 8" xfId="6494"/>
    <cellStyle name="Обычный 2 3 2 2 9" xfId="6691"/>
    <cellStyle name="Обычный 2 3 2 3" xfId="783"/>
    <cellStyle name="Обычный 2 3 2 3 2" xfId="1544"/>
    <cellStyle name="Обычный 2 3 2 3 2 2" xfId="3015"/>
    <cellStyle name="Обычный 2 3 2 3 2 2 2" xfId="9523"/>
    <cellStyle name="Обычный 2 3 2 3 2 3" xfId="4663"/>
    <cellStyle name="Обычный 2 3 2 3 2 4" xfId="8052"/>
    <cellStyle name="Обычный 2 3 2 3 3" xfId="2279"/>
    <cellStyle name="Обычный 2 3 2 3 3 2" xfId="5398"/>
    <cellStyle name="Обычный 2 3 2 3 3 3" xfId="8787"/>
    <cellStyle name="Обычный 2 3 2 3 4" xfId="3927"/>
    <cellStyle name="Обычный 2 3 2 3 5" xfId="7316"/>
    <cellStyle name="Обычный 2 3 2 4" xfId="960"/>
    <cellStyle name="Обычный 2 3 2 4 2" xfId="1721"/>
    <cellStyle name="Обычный 2 3 2 4 2 2" xfId="3192"/>
    <cellStyle name="Обычный 2 3 2 4 2 2 2" xfId="9700"/>
    <cellStyle name="Обычный 2 3 2 4 2 3" xfId="4840"/>
    <cellStyle name="Обычный 2 3 2 4 2 4" xfId="8229"/>
    <cellStyle name="Обычный 2 3 2 4 3" xfId="2456"/>
    <cellStyle name="Обычный 2 3 2 4 3 2" xfId="5579"/>
    <cellStyle name="Обычный 2 3 2 4 3 3" xfId="8964"/>
    <cellStyle name="Обычный 2 3 2 4 4" xfId="4104"/>
    <cellStyle name="Обычный 2 3 2 4 5" xfId="7493"/>
    <cellStyle name="Обычный 2 3 2 5" xfId="1147"/>
    <cellStyle name="Обычный 2 3 2 5 2" xfId="1901"/>
    <cellStyle name="Обычный 2 3 2 5 2 2" xfId="3372"/>
    <cellStyle name="Обычный 2 3 2 5 2 2 2" xfId="9880"/>
    <cellStyle name="Обычный 2 3 2 5 2 3" xfId="5020"/>
    <cellStyle name="Обычный 2 3 2 5 2 4" xfId="8409"/>
    <cellStyle name="Обычный 2 3 2 5 3" xfId="2636"/>
    <cellStyle name="Обычный 2 3 2 5 3 2" xfId="5756"/>
    <cellStyle name="Обычный 2 3 2 5 3 3" xfId="9144"/>
    <cellStyle name="Обычный 2 3 2 5 4" xfId="4284"/>
    <cellStyle name="Обычный 2 3 2 5 5" xfId="7673"/>
    <cellStyle name="Обычный 2 3 2 6" xfId="1350"/>
    <cellStyle name="Обычный 2 3 2 6 2" xfId="2821"/>
    <cellStyle name="Обычный 2 3 2 6 2 2" xfId="5936"/>
    <cellStyle name="Обычный 2 3 2 6 2 3" xfId="9329"/>
    <cellStyle name="Обычный 2 3 2 6 3" xfId="4469"/>
    <cellStyle name="Обычный 2 3 2 6 4" xfId="7858"/>
    <cellStyle name="Обычный 2 3 2 7" xfId="2085"/>
    <cellStyle name="Обычный 2 3 2 7 2" xfId="6117"/>
    <cellStyle name="Обычный 2 3 2 7 3" xfId="8593"/>
    <cellStyle name="Обычный 2 3 2 8" xfId="3552"/>
    <cellStyle name="Обычный 2 3 2 8 2" xfId="6312"/>
    <cellStyle name="Обычный 2 3 2 8 3" xfId="10060"/>
    <cellStyle name="Обычный 2 3 2 9" xfId="6493"/>
    <cellStyle name="Обычный 2 3 3" xfId="215"/>
    <cellStyle name="Обычный 2 3 3 10" xfId="6906"/>
    <cellStyle name="Обычный 2 3 3 11" xfId="5206"/>
    <cellStyle name="Обычный 2 3 3 12" xfId="3735"/>
    <cellStyle name="Обычный 2 3 3 13" xfId="7124"/>
    <cellStyle name="Обычный 2 3 3 2" xfId="785"/>
    <cellStyle name="Обычный 2 3 3 2 2" xfId="1546"/>
    <cellStyle name="Обычный 2 3 3 2 2 2" xfId="3017"/>
    <cellStyle name="Обычный 2 3 3 2 2 2 2" xfId="9525"/>
    <cellStyle name="Обычный 2 3 3 2 2 3" xfId="4665"/>
    <cellStyle name="Обычный 2 3 3 2 2 4" xfId="8054"/>
    <cellStyle name="Обычный 2 3 3 2 3" xfId="2281"/>
    <cellStyle name="Обычный 2 3 3 2 3 2" xfId="5400"/>
    <cellStyle name="Обычный 2 3 3 2 3 3" xfId="8789"/>
    <cellStyle name="Обычный 2 3 3 2 4" xfId="3929"/>
    <cellStyle name="Обычный 2 3 3 2 5" xfId="7318"/>
    <cellStyle name="Обычный 2 3 3 3" xfId="962"/>
    <cellStyle name="Обычный 2 3 3 3 2" xfId="1723"/>
    <cellStyle name="Обычный 2 3 3 3 2 2" xfId="3194"/>
    <cellStyle name="Обычный 2 3 3 3 2 2 2" xfId="9702"/>
    <cellStyle name="Обычный 2 3 3 3 2 3" xfId="4842"/>
    <cellStyle name="Обычный 2 3 3 3 2 4" xfId="8231"/>
    <cellStyle name="Обычный 2 3 3 3 3" xfId="2458"/>
    <cellStyle name="Обычный 2 3 3 3 3 2" xfId="5581"/>
    <cellStyle name="Обычный 2 3 3 3 3 3" xfId="8966"/>
    <cellStyle name="Обычный 2 3 3 3 4" xfId="4106"/>
    <cellStyle name="Обычный 2 3 3 3 5" xfId="7495"/>
    <cellStyle name="Обычный 2 3 3 4" xfId="1149"/>
    <cellStyle name="Обычный 2 3 3 4 2" xfId="1903"/>
    <cellStyle name="Обычный 2 3 3 4 2 2" xfId="3374"/>
    <cellStyle name="Обычный 2 3 3 4 2 2 2" xfId="9882"/>
    <cellStyle name="Обычный 2 3 3 4 2 3" xfId="5022"/>
    <cellStyle name="Обычный 2 3 3 4 2 4" xfId="8411"/>
    <cellStyle name="Обычный 2 3 3 4 3" xfId="2638"/>
    <cellStyle name="Обычный 2 3 3 4 3 2" xfId="5758"/>
    <cellStyle name="Обычный 2 3 3 4 3 3" xfId="9146"/>
    <cellStyle name="Обычный 2 3 3 4 4" xfId="4286"/>
    <cellStyle name="Обычный 2 3 3 4 5" xfId="7675"/>
    <cellStyle name="Обычный 2 3 3 5" xfId="1352"/>
    <cellStyle name="Обычный 2 3 3 5 2" xfId="2823"/>
    <cellStyle name="Обычный 2 3 3 5 2 2" xfId="5938"/>
    <cellStyle name="Обычный 2 3 3 5 2 3" xfId="9331"/>
    <cellStyle name="Обычный 2 3 3 5 3" xfId="4471"/>
    <cellStyle name="Обычный 2 3 3 5 4" xfId="7860"/>
    <cellStyle name="Обычный 2 3 3 6" xfId="2087"/>
    <cellStyle name="Обычный 2 3 3 6 2" xfId="6119"/>
    <cellStyle name="Обычный 2 3 3 6 3" xfId="8595"/>
    <cellStyle name="Обычный 2 3 3 7" xfId="3554"/>
    <cellStyle name="Обычный 2 3 3 7 2" xfId="6314"/>
    <cellStyle name="Обычный 2 3 3 7 3" xfId="10062"/>
    <cellStyle name="Обычный 2 3 3 8" xfId="6495"/>
    <cellStyle name="Обычный 2 3 3 9" xfId="6692"/>
    <cellStyle name="Обычный 2 3 4" xfId="216"/>
    <cellStyle name="Обычный 2 3 5" xfId="217"/>
    <cellStyle name="Обычный 2 3 6" xfId="218"/>
    <cellStyle name="Обычный 2 3 6 10" xfId="6907"/>
    <cellStyle name="Обычный 2 3 6 11" xfId="5207"/>
    <cellStyle name="Обычный 2 3 6 12" xfId="3736"/>
    <cellStyle name="Обычный 2 3 6 13" xfId="7125"/>
    <cellStyle name="Обычный 2 3 6 2" xfId="786"/>
    <cellStyle name="Обычный 2 3 6 2 2" xfId="1547"/>
    <cellStyle name="Обычный 2 3 6 2 2 2" xfId="3018"/>
    <cellStyle name="Обычный 2 3 6 2 2 2 2" xfId="9526"/>
    <cellStyle name="Обычный 2 3 6 2 2 3" xfId="4666"/>
    <cellStyle name="Обычный 2 3 6 2 2 4" xfId="8055"/>
    <cellStyle name="Обычный 2 3 6 2 3" xfId="2282"/>
    <cellStyle name="Обычный 2 3 6 2 3 2" xfId="5401"/>
    <cellStyle name="Обычный 2 3 6 2 3 3" xfId="8790"/>
    <cellStyle name="Обычный 2 3 6 2 4" xfId="3930"/>
    <cellStyle name="Обычный 2 3 6 2 5" xfId="7319"/>
    <cellStyle name="Обычный 2 3 6 3" xfId="963"/>
    <cellStyle name="Обычный 2 3 6 3 2" xfId="1724"/>
    <cellStyle name="Обычный 2 3 6 3 2 2" xfId="3195"/>
    <cellStyle name="Обычный 2 3 6 3 2 2 2" xfId="9703"/>
    <cellStyle name="Обычный 2 3 6 3 2 3" xfId="4843"/>
    <cellStyle name="Обычный 2 3 6 3 2 4" xfId="8232"/>
    <cellStyle name="Обычный 2 3 6 3 3" xfId="2459"/>
    <cellStyle name="Обычный 2 3 6 3 3 2" xfId="5582"/>
    <cellStyle name="Обычный 2 3 6 3 3 3" xfId="8967"/>
    <cellStyle name="Обычный 2 3 6 3 4" xfId="4107"/>
    <cellStyle name="Обычный 2 3 6 3 5" xfId="7496"/>
    <cellStyle name="Обычный 2 3 6 4" xfId="1150"/>
    <cellStyle name="Обычный 2 3 6 4 2" xfId="1904"/>
    <cellStyle name="Обычный 2 3 6 4 2 2" xfId="3375"/>
    <cellStyle name="Обычный 2 3 6 4 2 2 2" xfId="9883"/>
    <cellStyle name="Обычный 2 3 6 4 2 3" xfId="5023"/>
    <cellStyle name="Обычный 2 3 6 4 2 4" xfId="8412"/>
    <cellStyle name="Обычный 2 3 6 4 3" xfId="2639"/>
    <cellStyle name="Обычный 2 3 6 4 3 2" xfId="5759"/>
    <cellStyle name="Обычный 2 3 6 4 3 3" xfId="9147"/>
    <cellStyle name="Обычный 2 3 6 4 4" xfId="4287"/>
    <cellStyle name="Обычный 2 3 6 4 5" xfId="7676"/>
    <cellStyle name="Обычный 2 3 6 5" xfId="1353"/>
    <cellStyle name="Обычный 2 3 6 5 2" xfId="2824"/>
    <cellStyle name="Обычный 2 3 6 5 2 2" xfId="5939"/>
    <cellStyle name="Обычный 2 3 6 5 2 3" xfId="9332"/>
    <cellStyle name="Обычный 2 3 6 5 3" xfId="4472"/>
    <cellStyle name="Обычный 2 3 6 5 4" xfId="7861"/>
    <cellStyle name="Обычный 2 3 6 6" xfId="2088"/>
    <cellStyle name="Обычный 2 3 6 6 2" xfId="6120"/>
    <cellStyle name="Обычный 2 3 6 6 3" xfId="8596"/>
    <cellStyle name="Обычный 2 3 6 7" xfId="3555"/>
    <cellStyle name="Обычный 2 3 6 7 2" xfId="6315"/>
    <cellStyle name="Обычный 2 3 6 7 3" xfId="10063"/>
    <cellStyle name="Обычный 2 3 6 8" xfId="6496"/>
    <cellStyle name="Обычный 2 3 6 9" xfId="6693"/>
    <cellStyle name="Обычный 2 3 7" xfId="709"/>
    <cellStyle name="Обычный 2 3 8" xfId="663"/>
    <cellStyle name="Обычный 2 4" xfId="219"/>
    <cellStyle name="Обычный 2 4 10" xfId="3556"/>
    <cellStyle name="Обычный 2 4 10 2" xfId="6316"/>
    <cellStyle name="Обычный 2 4 10 3" xfId="10064"/>
    <cellStyle name="Обычный 2 4 11" xfId="6497"/>
    <cellStyle name="Обычный 2 4 12" xfId="6694"/>
    <cellStyle name="Обычный 2 4 13" xfId="6908"/>
    <cellStyle name="Обычный 2 4 14" xfId="5208"/>
    <cellStyle name="Обычный 2 4 15" xfId="3737"/>
    <cellStyle name="Обычный 2 4 16" xfId="7126"/>
    <cellStyle name="Обычный 2 4 17" xfId="710"/>
    <cellStyle name="Обычный 2 4 18" xfId="664"/>
    <cellStyle name="Обычный 2 4 2" xfId="220"/>
    <cellStyle name="Обычный 2 4 2 10" xfId="6695"/>
    <cellStyle name="Обычный 2 4 2 11" xfId="6909"/>
    <cellStyle name="Обычный 2 4 2 12" xfId="5209"/>
    <cellStyle name="Обычный 2 4 2 13" xfId="3738"/>
    <cellStyle name="Обычный 2 4 2 14" xfId="7127"/>
    <cellStyle name="Обычный 2 4 2 2" xfId="221"/>
    <cellStyle name="Обычный 2 4 2 2 10" xfId="6910"/>
    <cellStyle name="Обычный 2 4 2 2 11" xfId="5210"/>
    <cellStyle name="Обычный 2 4 2 2 12" xfId="3739"/>
    <cellStyle name="Обычный 2 4 2 2 13" xfId="7128"/>
    <cellStyle name="Обычный 2 4 2 2 2" xfId="789"/>
    <cellStyle name="Обычный 2 4 2 2 2 2" xfId="1550"/>
    <cellStyle name="Обычный 2 4 2 2 2 2 2" xfId="3021"/>
    <cellStyle name="Обычный 2 4 2 2 2 2 2 2" xfId="9529"/>
    <cellStyle name="Обычный 2 4 2 2 2 2 3" xfId="4669"/>
    <cellStyle name="Обычный 2 4 2 2 2 2 4" xfId="8058"/>
    <cellStyle name="Обычный 2 4 2 2 2 3" xfId="2285"/>
    <cellStyle name="Обычный 2 4 2 2 2 3 2" xfId="5404"/>
    <cellStyle name="Обычный 2 4 2 2 2 3 3" xfId="8793"/>
    <cellStyle name="Обычный 2 4 2 2 2 4" xfId="3933"/>
    <cellStyle name="Обычный 2 4 2 2 2 5" xfId="7322"/>
    <cellStyle name="Обычный 2 4 2 2 3" xfId="966"/>
    <cellStyle name="Обычный 2 4 2 2 3 2" xfId="1727"/>
    <cellStyle name="Обычный 2 4 2 2 3 2 2" xfId="3198"/>
    <cellStyle name="Обычный 2 4 2 2 3 2 2 2" xfId="9706"/>
    <cellStyle name="Обычный 2 4 2 2 3 2 3" xfId="4846"/>
    <cellStyle name="Обычный 2 4 2 2 3 2 4" xfId="8235"/>
    <cellStyle name="Обычный 2 4 2 2 3 3" xfId="2462"/>
    <cellStyle name="Обычный 2 4 2 2 3 3 2" xfId="5585"/>
    <cellStyle name="Обычный 2 4 2 2 3 3 3" xfId="8970"/>
    <cellStyle name="Обычный 2 4 2 2 3 4" xfId="4110"/>
    <cellStyle name="Обычный 2 4 2 2 3 5" xfId="7499"/>
    <cellStyle name="Обычный 2 4 2 2 4" xfId="1153"/>
    <cellStyle name="Обычный 2 4 2 2 4 2" xfId="1907"/>
    <cellStyle name="Обычный 2 4 2 2 4 2 2" xfId="3378"/>
    <cellStyle name="Обычный 2 4 2 2 4 2 2 2" xfId="9886"/>
    <cellStyle name="Обычный 2 4 2 2 4 2 3" xfId="5026"/>
    <cellStyle name="Обычный 2 4 2 2 4 2 4" xfId="8415"/>
    <cellStyle name="Обычный 2 4 2 2 4 3" xfId="2642"/>
    <cellStyle name="Обычный 2 4 2 2 4 3 2" xfId="5762"/>
    <cellStyle name="Обычный 2 4 2 2 4 3 3" xfId="9150"/>
    <cellStyle name="Обычный 2 4 2 2 4 4" xfId="4290"/>
    <cellStyle name="Обычный 2 4 2 2 4 5" xfId="7679"/>
    <cellStyle name="Обычный 2 4 2 2 5" xfId="1356"/>
    <cellStyle name="Обычный 2 4 2 2 5 2" xfId="2827"/>
    <cellStyle name="Обычный 2 4 2 2 5 2 2" xfId="5942"/>
    <cellStyle name="Обычный 2 4 2 2 5 2 3" xfId="9335"/>
    <cellStyle name="Обычный 2 4 2 2 5 3" xfId="4475"/>
    <cellStyle name="Обычный 2 4 2 2 5 4" xfId="7864"/>
    <cellStyle name="Обычный 2 4 2 2 6" xfId="2091"/>
    <cellStyle name="Обычный 2 4 2 2 6 2" xfId="6123"/>
    <cellStyle name="Обычный 2 4 2 2 6 3" xfId="8599"/>
    <cellStyle name="Обычный 2 4 2 2 7" xfId="3558"/>
    <cellStyle name="Обычный 2 4 2 2 7 2" xfId="6318"/>
    <cellStyle name="Обычный 2 4 2 2 7 3" xfId="10066"/>
    <cellStyle name="Обычный 2 4 2 2 8" xfId="6499"/>
    <cellStyle name="Обычный 2 4 2 2 9" xfId="6696"/>
    <cellStyle name="Обычный 2 4 2 3" xfId="788"/>
    <cellStyle name="Обычный 2 4 2 3 2" xfId="1549"/>
    <cellStyle name="Обычный 2 4 2 3 2 2" xfId="3020"/>
    <cellStyle name="Обычный 2 4 2 3 2 2 2" xfId="9528"/>
    <cellStyle name="Обычный 2 4 2 3 2 3" xfId="4668"/>
    <cellStyle name="Обычный 2 4 2 3 2 4" xfId="8057"/>
    <cellStyle name="Обычный 2 4 2 3 3" xfId="2284"/>
    <cellStyle name="Обычный 2 4 2 3 3 2" xfId="5403"/>
    <cellStyle name="Обычный 2 4 2 3 3 3" xfId="8792"/>
    <cellStyle name="Обычный 2 4 2 3 4" xfId="3932"/>
    <cellStyle name="Обычный 2 4 2 3 5" xfId="7321"/>
    <cellStyle name="Обычный 2 4 2 4" xfId="965"/>
    <cellStyle name="Обычный 2 4 2 4 2" xfId="1726"/>
    <cellStyle name="Обычный 2 4 2 4 2 2" xfId="3197"/>
    <cellStyle name="Обычный 2 4 2 4 2 2 2" xfId="9705"/>
    <cellStyle name="Обычный 2 4 2 4 2 3" xfId="4845"/>
    <cellStyle name="Обычный 2 4 2 4 2 4" xfId="8234"/>
    <cellStyle name="Обычный 2 4 2 4 3" xfId="2461"/>
    <cellStyle name="Обычный 2 4 2 4 3 2" xfId="5584"/>
    <cellStyle name="Обычный 2 4 2 4 3 3" xfId="8969"/>
    <cellStyle name="Обычный 2 4 2 4 4" xfId="4109"/>
    <cellStyle name="Обычный 2 4 2 4 5" xfId="7498"/>
    <cellStyle name="Обычный 2 4 2 5" xfId="1152"/>
    <cellStyle name="Обычный 2 4 2 5 2" xfId="1906"/>
    <cellStyle name="Обычный 2 4 2 5 2 2" xfId="3377"/>
    <cellStyle name="Обычный 2 4 2 5 2 2 2" xfId="9885"/>
    <cellStyle name="Обычный 2 4 2 5 2 3" xfId="5025"/>
    <cellStyle name="Обычный 2 4 2 5 2 4" xfId="8414"/>
    <cellStyle name="Обычный 2 4 2 5 3" xfId="2641"/>
    <cellStyle name="Обычный 2 4 2 5 3 2" xfId="5761"/>
    <cellStyle name="Обычный 2 4 2 5 3 3" xfId="9149"/>
    <cellStyle name="Обычный 2 4 2 5 4" xfId="4289"/>
    <cellStyle name="Обычный 2 4 2 5 5" xfId="7678"/>
    <cellStyle name="Обычный 2 4 2 6" xfId="1355"/>
    <cellStyle name="Обычный 2 4 2 6 2" xfId="2826"/>
    <cellStyle name="Обычный 2 4 2 6 2 2" xfId="5941"/>
    <cellStyle name="Обычный 2 4 2 6 2 3" xfId="9334"/>
    <cellStyle name="Обычный 2 4 2 6 3" xfId="4474"/>
    <cellStyle name="Обычный 2 4 2 6 4" xfId="7863"/>
    <cellStyle name="Обычный 2 4 2 7" xfId="2090"/>
    <cellStyle name="Обычный 2 4 2 7 2" xfId="6122"/>
    <cellStyle name="Обычный 2 4 2 7 3" xfId="8598"/>
    <cellStyle name="Обычный 2 4 2 8" xfId="3557"/>
    <cellStyle name="Обычный 2 4 2 8 2" xfId="6317"/>
    <cellStyle name="Обычный 2 4 2 8 3" xfId="10065"/>
    <cellStyle name="Обычный 2 4 2 9" xfId="6498"/>
    <cellStyle name="Обычный 2 4 3" xfId="222"/>
    <cellStyle name="Обычный 2 4 3 10" xfId="6911"/>
    <cellStyle name="Обычный 2 4 3 11" xfId="5211"/>
    <cellStyle name="Обычный 2 4 3 12" xfId="3740"/>
    <cellStyle name="Обычный 2 4 3 13" xfId="7129"/>
    <cellStyle name="Обычный 2 4 3 2" xfId="790"/>
    <cellStyle name="Обычный 2 4 3 2 2" xfId="1551"/>
    <cellStyle name="Обычный 2 4 3 2 2 2" xfId="3022"/>
    <cellStyle name="Обычный 2 4 3 2 2 2 2" xfId="9530"/>
    <cellStyle name="Обычный 2 4 3 2 2 3" xfId="4670"/>
    <cellStyle name="Обычный 2 4 3 2 2 4" xfId="8059"/>
    <cellStyle name="Обычный 2 4 3 2 3" xfId="2286"/>
    <cellStyle name="Обычный 2 4 3 2 3 2" xfId="5405"/>
    <cellStyle name="Обычный 2 4 3 2 3 3" xfId="8794"/>
    <cellStyle name="Обычный 2 4 3 2 4" xfId="3934"/>
    <cellStyle name="Обычный 2 4 3 2 5" xfId="7323"/>
    <cellStyle name="Обычный 2 4 3 3" xfId="967"/>
    <cellStyle name="Обычный 2 4 3 3 2" xfId="1728"/>
    <cellStyle name="Обычный 2 4 3 3 2 2" xfId="3199"/>
    <cellStyle name="Обычный 2 4 3 3 2 2 2" xfId="9707"/>
    <cellStyle name="Обычный 2 4 3 3 2 3" xfId="4847"/>
    <cellStyle name="Обычный 2 4 3 3 2 4" xfId="8236"/>
    <cellStyle name="Обычный 2 4 3 3 3" xfId="2463"/>
    <cellStyle name="Обычный 2 4 3 3 3 2" xfId="5586"/>
    <cellStyle name="Обычный 2 4 3 3 3 3" xfId="8971"/>
    <cellStyle name="Обычный 2 4 3 3 4" xfId="4111"/>
    <cellStyle name="Обычный 2 4 3 3 5" xfId="7500"/>
    <cellStyle name="Обычный 2 4 3 4" xfId="1154"/>
    <cellStyle name="Обычный 2 4 3 4 2" xfId="1908"/>
    <cellStyle name="Обычный 2 4 3 4 2 2" xfId="3379"/>
    <cellStyle name="Обычный 2 4 3 4 2 2 2" xfId="9887"/>
    <cellStyle name="Обычный 2 4 3 4 2 3" xfId="5027"/>
    <cellStyle name="Обычный 2 4 3 4 2 4" xfId="8416"/>
    <cellStyle name="Обычный 2 4 3 4 3" xfId="2643"/>
    <cellStyle name="Обычный 2 4 3 4 3 2" xfId="5763"/>
    <cellStyle name="Обычный 2 4 3 4 3 3" xfId="9151"/>
    <cellStyle name="Обычный 2 4 3 4 4" xfId="4291"/>
    <cellStyle name="Обычный 2 4 3 4 5" xfId="7680"/>
    <cellStyle name="Обычный 2 4 3 5" xfId="1357"/>
    <cellStyle name="Обычный 2 4 3 5 2" xfId="2828"/>
    <cellStyle name="Обычный 2 4 3 5 2 2" xfId="5943"/>
    <cellStyle name="Обычный 2 4 3 5 2 3" xfId="9336"/>
    <cellStyle name="Обычный 2 4 3 5 3" xfId="4476"/>
    <cellStyle name="Обычный 2 4 3 5 4" xfId="7865"/>
    <cellStyle name="Обычный 2 4 3 6" xfId="2092"/>
    <cellStyle name="Обычный 2 4 3 6 2" xfId="6124"/>
    <cellStyle name="Обычный 2 4 3 6 3" xfId="8600"/>
    <cellStyle name="Обычный 2 4 3 7" xfId="3559"/>
    <cellStyle name="Обычный 2 4 3 7 2" xfId="6319"/>
    <cellStyle name="Обычный 2 4 3 7 3" xfId="10067"/>
    <cellStyle name="Обычный 2 4 3 8" xfId="6500"/>
    <cellStyle name="Обычный 2 4 3 9" xfId="6697"/>
    <cellStyle name="Обычный 2 4 4" xfId="223"/>
    <cellStyle name="Обычный 2 4 5" xfId="787"/>
    <cellStyle name="Обычный 2 4 5 2" xfId="1548"/>
    <cellStyle name="Обычный 2 4 5 2 2" xfId="3019"/>
    <cellStyle name="Обычный 2 4 5 2 2 2" xfId="9527"/>
    <cellStyle name="Обычный 2 4 5 2 3" xfId="4667"/>
    <cellStyle name="Обычный 2 4 5 2 4" xfId="8056"/>
    <cellStyle name="Обычный 2 4 5 3" xfId="2283"/>
    <cellStyle name="Обычный 2 4 5 3 2" xfId="5402"/>
    <cellStyle name="Обычный 2 4 5 3 3" xfId="8791"/>
    <cellStyle name="Обычный 2 4 5 4" xfId="3931"/>
    <cellStyle name="Обычный 2 4 5 5" xfId="7320"/>
    <cellStyle name="Обычный 2 4 6" xfId="964"/>
    <cellStyle name="Обычный 2 4 6 2" xfId="1725"/>
    <cellStyle name="Обычный 2 4 6 2 2" xfId="3196"/>
    <cellStyle name="Обычный 2 4 6 2 2 2" xfId="9704"/>
    <cellStyle name="Обычный 2 4 6 2 3" xfId="4844"/>
    <cellStyle name="Обычный 2 4 6 2 4" xfId="8233"/>
    <cellStyle name="Обычный 2 4 6 3" xfId="2460"/>
    <cellStyle name="Обычный 2 4 6 3 2" xfId="5583"/>
    <cellStyle name="Обычный 2 4 6 3 3" xfId="8968"/>
    <cellStyle name="Обычный 2 4 6 4" xfId="4108"/>
    <cellStyle name="Обычный 2 4 6 5" xfId="7497"/>
    <cellStyle name="Обычный 2 4 7" xfId="1151"/>
    <cellStyle name="Обычный 2 4 7 2" xfId="1905"/>
    <cellStyle name="Обычный 2 4 7 2 2" xfId="3376"/>
    <cellStyle name="Обычный 2 4 7 2 2 2" xfId="9884"/>
    <cellStyle name="Обычный 2 4 7 2 3" xfId="5024"/>
    <cellStyle name="Обычный 2 4 7 2 4" xfId="8413"/>
    <cellStyle name="Обычный 2 4 7 3" xfId="2640"/>
    <cellStyle name="Обычный 2 4 7 3 2" xfId="5760"/>
    <cellStyle name="Обычный 2 4 7 3 3" xfId="9148"/>
    <cellStyle name="Обычный 2 4 7 4" xfId="4288"/>
    <cellStyle name="Обычный 2 4 7 5" xfId="7677"/>
    <cellStyle name="Обычный 2 4 8" xfId="1354"/>
    <cellStyle name="Обычный 2 4 8 2" xfId="2825"/>
    <cellStyle name="Обычный 2 4 8 2 2" xfId="5940"/>
    <cellStyle name="Обычный 2 4 8 2 3" xfId="9333"/>
    <cellStyle name="Обычный 2 4 8 3" xfId="4473"/>
    <cellStyle name="Обычный 2 4 8 4" xfId="7862"/>
    <cellStyle name="Обычный 2 4 9" xfId="2089"/>
    <cellStyle name="Обычный 2 4 9 2" xfId="6121"/>
    <cellStyle name="Обычный 2 4 9 3" xfId="8597"/>
    <cellStyle name="Обычный 2 5" xfId="224"/>
    <cellStyle name="Обычный 2 5 10" xfId="6501"/>
    <cellStyle name="Обычный 2 5 11" xfId="6698"/>
    <cellStyle name="Обычный 2 5 12" xfId="6912"/>
    <cellStyle name="Обычный 2 5 13" xfId="5212"/>
    <cellStyle name="Обычный 2 5 14" xfId="3741"/>
    <cellStyle name="Обычный 2 5 15" xfId="7130"/>
    <cellStyle name="Обычный 2 5 2" xfId="225"/>
    <cellStyle name="Обычный 2 5 2 10" xfId="6699"/>
    <cellStyle name="Обычный 2 5 2 11" xfId="6913"/>
    <cellStyle name="Обычный 2 5 2 12" xfId="5213"/>
    <cellStyle name="Обычный 2 5 2 13" xfId="3742"/>
    <cellStyle name="Обычный 2 5 2 14" xfId="7131"/>
    <cellStyle name="Обычный 2 5 2 2" xfId="226"/>
    <cellStyle name="Обычный 2 5 2 2 10" xfId="6914"/>
    <cellStyle name="Обычный 2 5 2 2 11" xfId="5214"/>
    <cellStyle name="Обычный 2 5 2 2 12" xfId="3743"/>
    <cellStyle name="Обычный 2 5 2 2 13" xfId="7132"/>
    <cellStyle name="Обычный 2 5 2 2 2" xfId="793"/>
    <cellStyle name="Обычный 2 5 2 2 2 2" xfId="1554"/>
    <cellStyle name="Обычный 2 5 2 2 2 2 2" xfId="3025"/>
    <cellStyle name="Обычный 2 5 2 2 2 2 2 2" xfId="9533"/>
    <cellStyle name="Обычный 2 5 2 2 2 2 3" xfId="4673"/>
    <cellStyle name="Обычный 2 5 2 2 2 2 4" xfId="8062"/>
    <cellStyle name="Обычный 2 5 2 2 2 3" xfId="2289"/>
    <cellStyle name="Обычный 2 5 2 2 2 3 2" xfId="5408"/>
    <cellStyle name="Обычный 2 5 2 2 2 3 3" xfId="8797"/>
    <cellStyle name="Обычный 2 5 2 2 2 4" xfId="3937"/>
    <cellStyle name="Обычный 2 5 2 2 2 5" xfId="7326"/>
    <cellStyle name="Обычный 2 5 2 2 3" xfId="970"/>
    <cellStyle name="Обычный 2 5 2 2 3 2" xfId="1731"/>
    <cellStyle name="Обычный 2 5 2 2 3 2 2" xfId="3202"/>
    <cellStyle name="Обычный 2 5 2 2 3 2 2 2" xfId="9710"/>
    <cellStyle name="Обычный 2 5 2 2 3 2 3" xfId="4850"/>
    <cellStyle name="Обычный 2 5 2 2 3 2 4" xfId="8239"/>
    <cellStyle name="Обычный 2 5 2 2 3 3" xfId="2466"/>
    <cellStyle name="Обычный 2 5 2 2 3 3 2" xfId="5589"/>
    <cellStyle name="Обычный 2 5 2 2 3 3 3" xfId="8974"/>
    <cellStyle name="Обычный 2 5 2 2 3 4" xfId="4114"/>
    <cellStyle name="Обычный 2 5 2 2 3 5" xfId="7503"/>
    <cellStyle name="Обычный 2 5 2 2 4" xfId="1157"/>
    <cellStyle name="Обычный 2 5 2 2 4 2" xfId="1911"/>
    <cellStyle name="Обычный 2 5 2 2 4 2 2" xfId="3382"/>
    <cellStyle name="Обычный 2 5 2 2 4 2 2 2" xfId="9890"/>
    <cellStyle name="Обычный 2 5 2 2 4 2 3" xfId="5030"/>
    <cellStyle name="Обычный 2 5 2 2 4 2 4" xfId="8419"/>
    <cellStyle name="Обычный 2 5 2 2 4 3" xfId="2646"/>
    <cellStyle name="Обычный 2 5 2 2 4 3 2" xfId="5766"/>
    <cellStyle name="Обычный 2 5 2 2 4 3 3" xfId="9154"/>
    <cellStyle name="Обычный 2 5 2 2 4 4" xfId="4294"/>
    <cellStyle name="Обычный 2 5 2 2 4 5" xfId="7683"/>
    <cellStyle name="Обычный 2 5 2 2 5" xfId="1360"/>
    <cellStyle name="Обычный 2 5 2 2 5 2" xfId="2831"/>
    <cellStyle name="Обычный 2 5 2 2 5 2 2" xfId="5946"/>
    <cellStyle name="Обычный 2 5 2 2 5 2 3" xfId="9339"/>
    <cellStyle name="Обычный 2 5 2 2 5 3" xfId="4479"/>
    <cellStyle name="Обычный 2 5 2 2 5 4" xfId="7868"/>
    <cellStyle name="Обычный 2 5 2 2 6" xfId="2095"/>
    <cellStyle name="Обычный 2 5 2 2 6 2" xfId="6127"/>
    <cellStyle name="Обычный 2 5 2 2 6 3" xfId="8603"/>
    <cellStyle name="Обычный 2 5 2 2 7" xfId="3562"/>
    <cellStyle name="Обычный 2 5 2 2 7 2" xfId="6322"/>
    <cellStyle name="Обычный 2 5 2 2 7 3" xfId="10070"/>
    <cellStyle name="Обычный 2 5 2 2 8" xfId="6503"/>
    <cellStyle name="Обычный 2 5 2 2 9" xfId="6700"/>
    <cellStyle name="Обычный 2 5 2 3" xfId="792"/>
    <cellStyle name="Обычный 2 5 2 3 2" xfId="1553"/>
    <cellStyle name="Обычный 2 5 2 3 2 2" xfId="3024"/>
    <cellStyle name="Обычный 2 5 2 3 2 2 2" xfId="9532"/>
    <cellStyle name="Обычный 2 5 2 3 2 3" xfId="4672"/>
    <cellStyle name="Обычный 2 5 2 3 2 4" xfId="8061"/>
    <cellStyle name="Обычный 2 5 2 3 3" xfId="2288"/>
    <cellStyle name="Обычный 2 5 2 3 3 2" xfId="5407"/>
    <cellStyle name="Обычный 2 5 2 3 3 3" xfId="8796"/>
    <cellStyle name="Обычный 2 5 2 3 4" xfId="3936"/>
    <cellStyle name="Обычный 2 5 2 3 5" xfId="7325"/>
    <cellStyle name="Обычный 2 5 2 4" xfId="969"/>
    <cellStyle name="Обычный 2 5 2 4 2" xfId="1730"/>
    <cellStyle name="Обычный 2 5 2 4 2 2" xfId="3201"/>
    <cellStyle name="Обычный 2 5 2 4 2 2 2" xfId="9709"/>
    <cellStyle name="Обычный 2 5 2 4 2 3" xfId="4849"/>
    <cellStyle name="Обычный 2 5 2 4 2 4" xfId="8238"/>
    <cellStyle name="Обычный 2 5 2 4 3" xfId="2465"/>
    <cellStyle name="Обычный 2 5 2 4 3 2" xfId="5588"/>
    <cellStyle name="Обычный 2 5 2 4 3 3" xfId="8973"/>
    <cellStyle name="Обычный 2 5 2 4 4" xfId="4113"/>
    <cellStyle name="Обычный 2 5 2 4 5" xfId="7502"/>
    <cellStyle name="Обычный 2 5 2 5" xfId="1156"/>
    <cellStyle name="Обычный 2 5 2 5 2" xfId="1910"/>
    <cellStyle name="Обычный 2 5 2 5 2 2" xfId="3381"/>
    <cellStyle name="Обычный 2 5 2 5 2 2 2" xfId="9889"/>
    <cellStyle name="Обычный 2 5 2 5 2 3" xfId="5029"/>
    <cellStyle name="Обычный 2 5 2 5 2 4" xfId="8418"/>
    <cellStyle name="Обычный 2 5 2 5 3" xfId="2645"/>
    <cellStyle name="Обычный 2 5 2 5 3 2" xfId="5765"/>
    <cellStyle name="Обычный 2 5 2 5 3 3" xfId="9153"/>
    <cellStyle name="Обычный 2 5 2 5 4" xfId="4293"/>
    <cellStyle name="Обычный 2 5 2 5 5" xfId="7682"/>
    <cellStyle name="Обычный 2 5 2 6" xfId="1359"/>
    <cellStyle name="Обычный 2 5 2 6 2" xfId="2830"/>
    <cellStyle name="Обычный 2 5 2 6 2 2" xfId="5945"/>
    <cellStyle name="Обычный 2 5 2 6 2 3" xfId="9338"/>
    <cellStyle name="Обычный 2 5 2 6 3" xfId="4478"/>
    <cellStyle name="Обычный 2 5 2 6 4" xfId="7867"/>
    <cellStyle name="Обычный 2 5 2 7" xfId="2094"/>
    <cellStyle name="Обычный 2 5 2 7 2" xfId="6126"/>
    <cellStyle name="Обычный 2 5 2 7 3" xfId="8602"/>
    <cellStyle name="Обычный 2 5 2 8" xfId="3561"/>
    <cellStyle name="Обычный 2 5 2 8 2" xfId="6321"/>
    <cellStyle name="Обычный 2 5 2 8 3" xfId="10069"/>
    <cellStyle name="Обычный 2 5 2 9" xfId="6502"/>
    <cellStyle name="Обычный 2 5 3" xfId="227"/>
    <cellStyle name="Обычный 2 5 3 10" xfId="6915"/>
    <cellStyle name="Обычный 2 5 3 11" xfId="5215"/>
    <cellStyle name="Обычный 2 5 3 12" xfId="3744"/>
    <cellStyle name="Обычный 2 5 3 13" xfId="7133"/>
    <cellStyle name="Обычный 2 5 3 2" xfId="794"/>
    <cellStyle name="Обычный 2 5 3 2 2" xfId="1555"/>
    <cellStyle name="Обычный 2 5 3 2 2 2" xfId="3026"/>
    <cellStyle name="Обычный 2 5 3 2 2 2 2" xfId="9534"/>
    <cellStyle name="Обычный 2 5 3 2 2 3" xfId="4674"/>
    <cellStyle name="Обычный 2 5 3 2 2 4" xfId="8063"/>
    <cellStyle name="Обычный 2 5 3 2 3" xfId="2290"/>
    <cellStyle name="Обычный 2 5 3 2 3 2" xfId="5409"/>
    <cellStyle name="Обычный 2 5 3 2 3 3" xfId="8798"/>
    <cellStyle name="Обычный 2 5 3 2 4" xfId="3938"/>
    <cellStyle name="Обычный 2 5 3 2 5" xfId="7327"/>
    <cellStyle name="Обычный 2 5 3 3" xfId="971"/>
    <cellStyle name="Обычный 2 5 3 3 2" xfId="1732"/>
    <cellStyle name="Обычный 2 5 3 3 2 2" xfId="3203"/>
    <cellStyle name="Обычный 2 5 3 3 2 2 2" xfId="9711"/>
    <cellStyle name="Обычный 2 5 3 3 2 3" xfId="4851"/>
    <cellStyle name="Обычный 2 5 3 3 2 4" xfId="8240"/>
    <cellStyle name="Обычный 2 5 3 3 3" xfId="2467"/>
    <cellStyle name="Обычный 2 5 3 3 3 2" xfId="5590"/>
    <cellStyle name="Обычный 2 5 3 3 3 3" xfId="8975"/>
    <cellStyle name="Обычный 2 5 3 3 4" xfId="4115"/>
    <cellStyle name="Обычный 2 5 3 3 5" xfId="7504"/>
    <cellStyle name="Обычный 2 5 3 4" xfId="1158"/>
    <cellStyle name="Обычный 2 5 3 4 2" xfId="1912"/>
    <cellStyle name="Обычный 2 5 3 4 2 2" xfId="3383"/>
    <cellStyle name="Обычный 2 5 3 4 2 2 2" xfId="9891"/>
    <cellStyle name="Обычный 2 5 3 4 2 3" xfId="5031"/>
    <cellStyle name="Обычный 2 5 3 4 2 4" xfId="8420"/>
    <cellStyle name="Обычный 2 5 3 4 3" xfId="2647"/>
    <cellStyle name="Обычный 2 5 3 4 3 2" xfId="5767"/>
    <cellStyle name="Обычный 2 5 3 4 3 3" xfId="9155"/>
    <cellStyle name="Обычный 2 5 3 4 4" xfId="4295"/>
    <cellStyle name="Обычный 2 5 3 4 5" xfId="7684"/>
    <cellStyle name="Обычный 2 5 3 5" xfId="1361"/>
    <cellStyle name="Обычный 2 5 3 5 2" xfId="2832"/>
    <cellStyle name="Обычный 2 5 3 5 2 2" xfId="5947"/>
    <cellStyle name="Обычный 2 5 3 5 2 3" xfId="9340"/>
    <cellStyle name="Обычный 2 5 3 5 3" xfId="4480"/>
    <cellStyle name="Обычный 2 5 3 5 4" xfId="7869"/>
    <cellStyle name="Обычный 2 5 3 6" xfId="2096"/>
    <cellStyle name="Обычный 2 5 3 6 2" xfId="6128"/>
    <cellStyle name="Обычный 2 5 3 6 3" xfId="8604"/>
    <cellStyle name="Обычный 2 5 3 7" xfId="3563"/>
    <cellStyle name="Обычный 2 5 3 7 2" xfId="6323"/>
    <cellStyle name="Обычный 2 5 3 7 3" xfId="10071"/>
    <cellStyle name="Обычный 2 5 3 8" xfId="6504"/>
    <cellStyle name="Обычный 2 5 3 9" xfId="6701"/>
    <cellStyle name="Обычный 2 5 4" xfId="791"/>
    <cellStyle name="Обычный 2 5 4 2" xfId="1552"/>
    <cellStyle name="Обычный 2 5 4 2 2" xfId="3023"/>
    <cellStyle name="Обычный 2 5 4 2 2 2" xfId="9531"/>
    <cellStyle name="Обычный 2 5 4 2 3" xfId="4671"/>
    <cellStyle name="Обычный 2 5 4 2 4" xfId="8060"/>
    <cellStyle name="Обычный 2 5 4 3" xfId="2287"/>
    <cellStyle name="Обычный 2 5 4 3 2" xfId="5406"/>
    <cellStyle name="Обычный 2 5 4 3 3" xfId="8795"/>
    <cellStyle name="Обычный 2 5 4 4" xfId="3935"/>
    <cellStyle name="Обычный 2 5 4 5" xfId="7324"/>
    <cellStyle name="Обычный 2 5 5" xfId="968"/>
    <cellStyle name="Обычный 2 5 5 2" xfId="1729"/>
    <cellStyle name="Обычный 2 5 5 2 2" xfId="3200"/>
    <cellStyle name="Обычный 2 5 5 2 2 2" xfId="9708"/>
    <cellStyle name="Обычный 2 5 5 2 3" xfId="4848"/>
    <cellStyle name="Обычный 2 5 5 2 4" xfId="8237"/>
    <cellStyle name="Обычный 2 5 5 3" xfId="2464"/>
    <cellStyle name="Обычный 2 5 5 3 2" xfId="5587"/>
    <cellStyle name="Обычный 2 5 5 3 3" xfId="8972"/>
    <cellStyle name="Обычный 2 5 5 4" xfId="4112"/>
    <cellStyle name="Обычный 2 5 5 5" xfId="7501"/>
    <cellStyle name="Обычный 2 5 6" xfId="1155"/>
    <cellStyle name="Обычный 2 5 6 2" xfId="1909"/>
    <cellStyle name="Обычный 2 5 6 2 2" xfId="3380"/>
    <cellStyle name="Обычный 2 5 6 2 2 2" xfId="9888"/>
    <cellStyle name="Обычный 2 5 6 2 3" xfId="5028"/>
    <cellStyle name="Обычный 2 5 6 2 4" xfId="8417"/>
    <cellStyle name="Обычный 2 5 6 3" xfId="2644"/>
    <cellStyle name="Обычный 2 5 6 3 2" xfId="5764"/>
    <cellStyle name="Обычный 2 5 6 3 3" xfId="9152"/>
    <cellStyle name="Обычный 2 5 6 4" xfId="4292"/>
    <cellStyle name="Обычный 2 5 6 5" xfId="7681"/>
    <cellStyle name="Обычный 2 5 7" xfId="1358"/>
    <cellStyle name="Обычный 2 5 7 2" xfId="2829"/>
    <cellStyle name="Обычный 2 5 7 2 2" xfId="5944"/>
    <cellStyle name="Обычный 2 5 7 2 3" xfId="9337"/>
    <cellStyle name="Обычный 2 5 7 3" xfId="4477"/>
    <cellStyle name="Обычный 2 5 7 4" xfId="7866"/>
    <cellStyle name="Обычный 2 5 8" xfId="2093"/>
    <cellStyle name="Обычный 2 5 8 2" xfId="6125"/>
    <cellStyle name="Обычный 2 5 8 3" xfId="8601"/>
    <cellStyle name="Обычный 2 5 9" xfId="3560"/>
    <cellStyle name="Обычный 2 5 9 2" xfId="6320"/>
    <cellStyle name="Обычный 2 5 9 3" xfId="10068"/>
    <cellStyle name="Обычный 2 6" xfId="228"/>
    <cellStyle name="Обычный 2 6 10" xfId="3564"/>
    <cellStyle name="Обычный 2 6 10 2" xfId="6324"/>
    <cellStyle name="Обычный 2 6 10 3" xfId="10072"/>
    <cellStyle name="Обычный 2 6 11" xfId="6505"/>
    <cellStyle name="Обычный 2 6 12" xfId="6702"/>
    <cellStyle name="Обычный 2 6 13" xfId="6916"/>
    <cellStyle name="Обычный 2 6 14" xfId="5216"/>
    <cellStyle name="Обычный 2 6 15" xfId="3745"/>
    <cellStyle name="Обычный 2 6 16" xfId="7134"/>
    <cellStyle name="Обычный 2 6 2" xfId="229"/>
    <cellStyle name="Обычный 2 6 2 10" xfId="6703"/>
    <cellStyle name="Обычный 2 6 2 11" xfId="6917"/>
    <cellStyle name="Обычный 2 6 2 12" xfId="5217"/>
    <cellStyle name="Обычный 2 6 2 13" xfId="3746"/>
    <cellStyle name="Обычный 2 6 2 14" xfId="7135"/>
    <cellStyle name="Обычный 2 6 2 2" xfId="230"/>
    <cellStyle name="Обычный 2 6 2 2 10" xfId="6918"/>
    <cellStyle name="Обычный 2 6 2 2 11" xfId="5218"/>
    <cellStyle name="Обычный 2 6 2 2 12" xfId="3747"/>
    <cellStyle name="Обычный 2 6 2 2 13" xfId="7136"/>
    <cellStyle name="Обычный 2 6 2 2 2" xfId="797"/>
    <cellStyle name="Обычный 2 6 2 2 2 2" xfId="1558"/>
    <cellStyle name="Обычный 2 6 2 2 2 2 2" xfId="3029"/>
    <cellStyle name="Обычный 2 6 2 2 2 2 2 2" xfId="9537"/>
    <cellStyle name="Обычный 2 6 2 2 2 2 3" xfId="4677"/>
    <cellStyle name="Обычный 2 6 2 2 2 2 4" xfId="8066"/>
    <cellStyle name="Обычный 2 6 2 2 2 3" xfId="2293"/>
    <cellStyle name="Обычный 2 6 2 2 2 3 2" xfId="5412"/>
    <cellStyle name="Обычный 2 6 2 2 2 3 3" xfId="8801"/>
    <cellStyle name="Обычный 2 6 2 2 2 4" xfId="3941"/>
    <cellStyle name="Обычный 2 6 2 2 2 5" xfId="7330"/>
    <cellStyle name="Обычный 2 6 2 2 3" xfId="974"/>
    <cellStyle name="Обычный 2 6 2 2 3 2" xfId="1735"/>
    <cellStyle name="Обычный 2 6 2 2 3 2 2" xfId="3206"/>
    <cellStyle name="Обычный 2 6 2 2 3 2 2 2" xfId="9714"/>
    <cellStyle name="Обычный 2 6 2 2 3 2 3" xfId="4854"/>
    <cellStyle name="Обычный 2 6 2 2 3 2 4" xfId="8243"/>
    <cellStyle name="Обычный 2 6 2 2 3 3" xfId="2470"/>
    <cellStyle name="Обычный 2 6 2 2 3 3 2" xfId="5593"/>
    <cellStyle name="Обычный 2 6 2 2 3 3 3" xfId="8978"/>
    <cellStyle name="Обычный 2 6 2 2 3 4" xfId="4118"/>
    <cellStyle name="Обычный 2 6 2 2 3 5" xfId="7507"/>
    <cellStyle name="Обычный 2 6 2 2 4" xfId="1161"/>
    <cellStyle name="Обычный 2 6 2 2 4 2" xfId="1915"/>
    <cellStyle name="Обычный 2 6 2 2 4 2 2" xfId="3386"/>
    <cellStyle name="Обычный 2 6 2 2 4 2 2 2" xfId="9894"/>
    <cellStyle name="Обычный 2 6 2 2 4 2 3" xfId="5034"/>
    <cellStyle name="Обычный 2 6 2 2 4 2 4" xfId="8423"/>
    <cellStyle name="Обычный 2 6 2 2 4 3" xfId="2650"/>
    <cellStyle name="Обычный 2 6 2 2 4 3 2" xfId="5770"/>
    <cellStyle name="Обычный 2 6 2 2 4 3 3" xfId="9158"/>
    <cellStyle name="Обычный 2 6 2 2 4 4" xfId="4298"/>
    <cellStyle name="Обычный 2 6 2 2 4 5" xfId="7687"/>
    <cellStyle name="Обычный 2 6 2 2 5" xfId="1364"/>
    <cellStyle name="Обычный 2 6 2 2 5 2" xfId="2835"/>
    <cellStyle name="Обычный 2 6 2 2 5 2 2" xfId="5950"/>
    <cellStyle name="Обычный 2 6 2 2 5 2 3" xfId="9343"/>
    <cellStyle name="Обычный 2 6 2 2 5 3" xfId="4483"/>
    <cellStyle name="Обычный 2 6 2 2 5 4" xfId="7872"/>
    <cellStyle name="Обычный 2 6 2 2 6" xfId="2099"/>
    <cellStyle name="Обычный 2 6 2 2 6 2" xfId="6131"/>
    <cellStyle name="Обычный 2 6 2 2 6 3" xfId="8607"/>
    <cellStyle name="Обычный 2 6 2 2 7" xfId="3566"/>
    <cellStyle name="Обычный 2 6 2 2 7 2" xfId="6326"/>
    <cellStyle name="Обычный 2 6 2 2 7 3" xfId="10074"/>
    <cellStyle name="Обычный 2 6 2 2 8" xfId="6507"/>
    <cellStyle name="Обычный 2 6 2 2 9" xfId="6704"/>
    <cellStyle name="Обычный 2 6 2 3" xfId="796"/>
    <cellStyle name="Обычный 2 6 2 3 2" xfId="1557"/>
    <cellStyle name="Обычный 2 6 2 3 2 2" xfId="3028"/>
    <cellStyle name="Обычный 2 6 2 3 2 2 2" xfId="9536"/>
    <cellStyle name="Обычный 2 6 2 3 2 3" xfId="4676"/>
    <cellStyle name="Обычный 2 6 2 3 2 4" xfId="8065"/>
    <cellStyle name="Обычный 2 6 2 3 3" xfId="2292"/>
    <cellStyle name="Обычный 2 6 2 3 3 2" xfId="5411"/>
    <cellStyle name="Обычный 2 6 2 3 3 3" xfId="8800"/>
    <cellStyle name="Обычный 2 6 2 3 4" xfId="3940"/>
    <cellStyle name="Обычный 2 6 2 3 5" xfId="7329"/>
    <cellStyle name="Обычный 2 6 2 4" xfId="973"/>
    <cellStyle name="Обычный 2 6 2 4 2" xfId="1734"/>
    <cellStyle name="Обычный 2 6 2 4 2 2" xfId="3205"/>
    <cellStyle name="Обычный 2 6 2 4 2 2 2" xfId="9713"/>
    <cellStyle name="Обычный 2 6 2 4 2 3" xfId="4853"/>
    <cellStyle name="Обычный 2 6 2 4 2 4" xfId="8242"/>
    <cellStyle name="Обычный 2 6 2 4 3" xfId="2469"/>
    <cellStyle name="Обычный 2 6 2 4 3 2" xfId="5592"/>
    <cellStyle name="Обычный 2 6 2 4 3 3" xfId="8977"/>
    <cellStyle name="Обычный 2 6 2 4 4" xfId="4117"/>
    <cellStyle name="Обычный 2 6 2 4 5" xfId="7506"/>
    <cellStyle name="Обычный 2 6 2 5" xfId="1160"/>
    <cellStyle name="Обычный 2 6 2 5 2" xfId="1914"/>
    <cellStyle name="Обычный 2 6 2 5 2 2" xfId="3385"/>
    <cellStyle name="Обычный 2 6 2 5 2 2 2" xfId="9893"/>
    <cellStyle name="Обычный 2 6 2 5 2 3" xfId="5033"/>
    <cellStyle name="Обычный 2 6 2 5 2 4" xfId="8422"/>
    <cellStyle name="Обычный 2 6 2 5 3" xfId="2649"/>
    <cellStyle name="Обычный 2 6 2 5 3 2" xfId="5769"/>
    <cellStyle name="Обычный 2 6 2 5 3 3" xfId="9157"/>
    <cellStyle name="Обычный 2 6 2 5 4" xfId="4297"/>
    <cellStyle name="Обычный 2 6 2 5 5" xfId="7686"/>
    <cellStyle name="Обычный 2 6 2 6" xfId="1363"/>
    <cellStyle name="Обычный 2 6 2 6 2" xfId="2834"/>
    <cellStyle name="Обычный 2 6 2 6 2 2" xfId="5949"/>
    <cellStyle name="Обычный 2 6 2 6 2 3" xfId="9342"/>
    <cellStyle name="Обычный 2 6 2 6 3" xfId="4482"/>
    <cellStyle name="Обычный 2 6 2 6 4" xfId="7871"/>
    <cellStyle name="Обычный 2 6 2 7" xfId="2098"/>
    <cellStyle name="Обычный 2 6 2 7 2" xfId="6130"/>
    <cellStyle name="Обычный 2 6 2 7 3" xfId="8606"/>
    <cellStyle name="Обычный 2 6 2 8" xfId="3565"/>
    <cellStyle name="Обычный 2 6 2 8 2" xfId="6325"/>
    <cellStyle name="Обычный 2 6 2 8 3" xfId="10073"/>
    <cellStyle name="Обычный 2 6 2 9" xfId="6506"/>
    <cellStyle name="Обычный 2 6 3" xfId="231"/>
    <cellStyle name="Обычный 2 6 3 10" xfId="6919"/>
    <cellStyle name="Обычный 2 6 3 11" xfId="5219"/>
    <cellStyle name="Обычный 2 6 3 12" xfId="3748"/>
    <cellStyle name="Обычный 2 6 3 13" xfId="7137"/>
    <cellStyle name="Обычный 2 6 3 2" xfId="798"/>
    <cellStyle name="Обычный 2 6 3 2 2" xfId="1559"/>
    <cellStyle name="Обычный 2 6 3 2 2 2" xfId="3030"/>
    <cellStyle name="Обычный 2 6 3 2 2 2 2" xfId="9538"/>
    <cellStyle name="Обычный 2 6 3 2 2 3" xfId="4678"/>
    <cellStyle name="Обычный 2 6 3 2 2 4" xfId="8067"/>
    <cellStyle name="Обычный 2 6 3 2 3" xfId="2294"/>
    <cellStyle name="Обычный 2 6 3 2 3 2" xfId="5413"/>
    <cellStyle name="Обычный 2 6 3 2 3 3" xfId="8802"/>
    <cellStyle name="Обычный 2 6 3 2 4" xfId="3942"/>
    <cellStyle name="Обычный 2 6 3 2 5" xfId="7331"/>
    <cellStyle name="Обычный 2 6 3 3" xfId="975"/>
    <cellStyle name="Обычный 2 6 3 3 2" xfId="1736"/>
    <cellStyle name="Обычный 2 6 3 3 2 2" xfId="3207"/>
    <cellStyle name="Обычный 2 6 3 3 2 2 2" xfId="9715"/>
    <cellStyle name="Обычный 2 6 3 3 2 3" xfId="4855"/>
    <cellStyle name="Обычный 2 6 3 3 2 4" xfId="8244"/>
    <cellStyle name="Обычный 2 6 3 3 3" xfId="2471"/>
    <cellStyle name="Обычный 2 6 3 3 3 2" xfId="5594"/>
    <cellStyle name="Обычный 2 6 3 3 3 3" xfId="8979"/>
    <cellStyle name="Обычный 2 6 3 3 4" xfId="4119"/>
    <cellStyle name="Обычный 2 6 3 3 5" xfId="7508"/>
    <cellStyle name="Обычный 2 6 3 4" xfId="1162"/>
    <cellStyle name="Обычный 2 6 3 4 2" xfId="1916"/>
    <cellStyle name="Обычный 2 6 3 4 2 2" xfId="3387"/>
    <cellStyle name="Обычный 2 6 3 4 2 2 2" xfId="9895"/>
    <cellStyle name="Обычный 2 6 3 4 2 3" xfId="5035"/>
    <cellStyle name="Обычный 2 6 3 4 2 4" xfId="8424"/>
    <cellStyle name="Обычный 2 6 3 4 3" xfId="2651"/>
    <cellStyle name="Обычный 2 6 3 4 3 2" xfId="5771"/>
    <cellStyle name="Обычный 2 6 3 4 3 3" xfId="9159"/>
    <cellStyle name="Обычный 2 6 3 4 4" xfId="4299"/>
    <cellStyle name="Обычный 2 6 3 4 5" xfId="7688"/>
    <cellStyle name="Обычный 2 6 3 5" xfId="1365"/>
    <cellStyle name="Обычный 2 6 3 5 2" xfId="2836"/>
    <cellStyle name="Обычный 2 6 3 5 2 2" xfId="5951"/>
    <cellStyle name="Обычный 2 6 3 5 2 3" xfId="9344"/>
    <cellStyle name="Обычный 2 6 3 5 3" xfId="4484"/>
    <cellStyle name="Обычный 2 6 3 5 4" xfId="7873"/>
    <cellStyle name="Обычный 2 6 3 6" xfId="2100"/>
    <cellStyle name="Обычный 2 6 3 6 2" xfId="6132"/>
    <cellStyle name="Обычный 2 6 3 6 3" xfId="8608"/>
    <cellStyle name="Обычный 2 6 3 7" xfId="3567"/>
    <cellStyle name="Обычный 2 6 3 7 2" xfId="6327"/>
    <cellStyle name="Обычный 2 6 3 7 3" xfId="10075"/>
    <cellStyle name="Обычный 2 6 3 8" xfId="6508"/>
    <cellStyle name="Обычный 2 6 3 9" xfId="6705"/>
    <cellStyle name="Обычный 2 6 4" xfId="232"/>
    <cellStyle name="Обычный 2 6 5" xfId="795"/>
    <cellStyle name="Обычный 2 6 5 2" xfId="1556"/>
    <cellStyle name="Обычный 2 6 5 2 2" xfId="3027"/>
    <cellStyle name="Обычный 2 6 5 2 2 2" xfId="9535"/>
    <cellStyle name="Обычный 2 6 5 2 3" xfId="4675"/>
    <cellStyle name="Обычный 2 6 5 2 4" xfId="8064"/>
    <cellStyle name="Обычный 2 6 5 3" xfId="2291"/>
    <cellStyle name="Обычный 2 6 5 3 2" xfId="5410"/>
    <cellStyle name="Обычный 2 6 5 3 3" xfId="8799"/>
    <cellStyle name="Обычный 2 6 5 4" xfId="3939"/>
    <cellStyle name="Обычный 2 6 5 5" xfId="7328"/>
    <cellStyle name="Обычный 2 6 6" xfId="972"/>
    <cellStyle name="Обычный 2 6 6 2" xfId="1733"/>
    <cellStyle name="Обычный 2 6 6 2 2" xfId="3204"/>
    <cellStyle name="Обычный 2 6 6 2 2 2" xfId="9712"/>
    <cellStyle name="Обычный 2 6 6 2 3" xfId="4852"/>
    <cellStyle name="Обычный 2 6 6 2 4" xfId="8241"/>
    <cellStyle name="Обычный 2 6 6 3" xfId="2468"/>
    <cellStyle name="Обычный 2 6 6 3 2" xfId="5591"/>
    <cellStyle name="Обычный 2 6 6 3 3" xfId="8976"/>
    <cellStyle name="Обычный 2 6 6 4" xfId="4116"/>
    <cellStyle name="Обычный 2 6 6 5" xfId="7505"/>
    <cellStyle name="Обычный 2 6 7" xfId="1159"/>
    <cellStyle name="Обычный 2 6 7 2" xfId="1913"/>
    <cellStyle name="Обычный 2 6 7 2 2" xfId="3384"/>
    <cellStyle name="Обычный 2 6 7 2 2 2" xfId="9892"/>
    <cellStyle name="Обычный 2 6 7 2 3" xfId="5032"/>
    <cellStyle name="Обычный 2 6 7 2 4" xfId="8421"/>
    <cellStyle name="Обычный 2 6 7 3" xfId="2648"/>
    <cellStyle name="Обычный 2 6 7 3 2" xfId="5768"/>
    <cellStyle name="Обычный 2 6 7 3 3" xfId="9156"/>
    <cellStyle name="Обычный 2 6 7 4" xfId="4296"/>
    <cellStyle name="Обычный 2 6 7 5" xfId="7685"/>
    <cellStyle name="Обычный 2 6 8" xfId="1362"/>
    <cellStyle name="Обычный 2 6 8 2" xfId="2833"/>
    <cellStyle name="Обычный 2 6 8 2 2" xfId="5948"/>
    <cellStyle name="Обычный 2 6 8 2 3" xfId="9341"/>
    <cellStyle name="Обычный 2 6 8 3" xfId="4481"/>
    <cellStyle name="Обычный 2 6 8 4" xfId="7870"/>
    <cellStyle name="Обычный 2 6 9" xfId="2097"/>
    <cellStyle name="Обычный 2 6 9 2" xfId="6129"/>
    <cellStyle name="Обычный 2 6 9 3" xfId="8605"/>
    <cellStyle name="Обычный 2 7" xfId="233"/>
    <cellStyle name="Обычный 2 7 10" xfId="6509"/>
    <cellStyle name="Обычный 2 7 11" xfId="6706"/>
    <cellStyle name="Обычный 2 7 12" xfId="6920"/>
    <cellStyle name="Обычный 2 7 13" xfId="5220"/>
    <cellStyle name="Обычный 2 7 14" xfId="3749"/>
    <cellStyle name="Обычный 2 7 15" xfId="7138"/>
    <cellStyle name="Обычный 2 7 2" xfId="234"/>
    <cellStyle name="Обычный 2 7 2 10" xfId="6707"/>
    <cellStyle name="Обычный 2 7 2 11" xfId="6921"/>
    <cellStyle name="Обычный 2 7 2 12" xfId="5221"/>
    <cellStyle name="Обычный 2 7 2 13" xfId="3750"/>
    <cellStyle name="Обычный 2 7 2 14" xfId="7139"/>
    <cellStyle name="Обычный 2 7 2 2" xfId="235"/>
    <cellStyle name="Обычный 2 7 2 2 10" xfId="6922"/>
    <cellStyle name="Обычный 2 7 2 2 11" xfId="5222"/>
    <cellStyle name="Обычный 2 7 2 2 12" xfId="3751"/>
    <cellStyle name="Обычный 2 7 2 2 13" xfId="7140"/>
    <cellStyle name="Обычный 2 7 2 2 2" xfId="801"/>
    <cellStyle name="Обычный 2 7 2 2 2 2" xfId="1562"/>
    <cellStyle name="Обычный 2 7 2 2 2 2 2" xfId="3033"/>
    <cellStyle name="Обычный 2 7 2 2 2 2 2 2" xfId="9541"/>
    <cellStyle name="Обычный 2 7 2 2 2 2 3" xfId="4681"/>
    <cellStyle name="Обычный 2 7 2 2 2 2 4" xfId="8070"/>
    <cellStyle name="Обычный 2 7 2 2 2 3" xfId="2297"/>
    <cellStyle name="Обычный 2 7 2 2 2 3 2" xfId="5416"/>
    <cellStyle name="Обычный 2 7 2 2 2 3 3" xfId="8805"/>
    <cellStyle name="Обычный 2 7 2 2 2 4" xfId="3945"/>
    <cellStyle name="Обычный 2 7 2 2 2 5" xfId="7334"/>
    <cellStyle name="Обычный 2 7 2 2 3" xfId="978"/>
    <cellStyle name="Обычный 2 7 2 2 3 2" xfId="1739"/>
    <cellStyle name="Обычный 2 7 2 2 3 2 2" xfId="3210"/>
    <cellStyle name="Обычный 2 7 2 2 3 2 2 2" xfId="9718"/>
    <cellStyle name="Обычный 2 7 2 2 3 2 3" xfId="4858"/>
    <cellStyle name="Обычный 2 7 2 2 3 2 4" xfId="8247"/>
    <cellStyle name="Обычный 2 7 2 2 3 3" xfId="2474"/>
    <cellStyle name="Обычный 2 7 2 2 3 3 2" xfId="5597"/>
    <cellStyle name="Обычный 2 7 2 2 3 3 3" xfId="8982"/>
    <cellStyle name="Обычный 2 7 2 2 3 4" xfId="4122"/>
    <cellStyle name="Обычный 2 7 2 2 3 5" xfId="7511"/>
    <cellStyle name="Обычный 2 7 2 2 4" xfId="1165"/>
    <cellStyle name="Обычный 2 7 2 2 4 2" xfId="1919"/>
    <cellStyle name="Обычный 2 7 2 2 4 2 2" xfId="3390"/>
    <cellStyle name="Обычный 2 7 2 2 4 2 2 2" xfId="9898"/>
    <cellStyle name="Обычный 2 7 2 2 4 2 3" xfId="5038"/>
    <cellStyle name="Обычный 2 7 2 2 4 2 4" xfId="8427"/>
    <cellStyle name="Обычный 2 7 2 2 4 3" xfId="2654"/>
    <cellStyle name="Обычный 2 7 2 2 4 3 2" xfId="5774"/>
    <cellStyle name="Обычный 2 7 2 2 4 3 3" xfId="9162"/>
    <cellStyle name="Обычный 2 7 2 2 4 4" xfId="4302"/>
    <cellStyle name="Обычный 2 7 2 2 4 5" xfId="7691"/>
    <cellStyle name="Обычный 2 7 2 2 5" xfId="1368"/>
    <cellStyle name="Обычный 2 7 2 2 5 2" xfId="2839"/>
    <cellStyle name="Обычный 2 7 2 2 5 2 2" xfId="5954"/>
    <cellStyle name="Обычный 2 7 2 2 5 2 3" xfId="9347"/>
    <cellStyle name="Обычный 2 7 2 2 5 3" xfId="4487"/>
    <cellStyle name="Обычный 2 7 2 2 5 4" xfId="7876"/>
    <cellStyle name="Обычный 2 7 2 2 6" xfId="2103"/>
    <cellStyle name="Обычный 2 7 2 2 6 2" xfId="6135"/>
    <cellStyle name="Обычный 2 7 2 2 6 3" xfId="8611"/>
    <cellStyle name="Обычный 2 7 2 2 7" xfId="3570"/>
    <cellStyle name="Обычный 2 7 2 2 7 2" xfId="6330"/>
    <cellStyle name="Обычный 2 7 2 2 7 3" xfId="10078"/>
    <cellStyle name="Обычный 2 7 2 2 8" xfId="6511"/>
    <cellStyle name="Обычный 2 7 2 2 9" xfId="6708"/>
    <cellStyle name="Обычный 2 7 2 3" xfId="800"/>
    <cellStyle name="Обычный 2 7 2 3 2" xfId="1561"/>
    <cellStyle name="Обычный 2 7 2 3 2 2" xfId="3032"/>
    <cellStyle name="Обычный 2 7 2 3 2 2 2" xfId="9540"/>
    <cellStyle name="Обычный 2 7 2 3 2 3" xfId="4680"/>
    <cellStyle name="Обычный 2 7 2 3 2 4" xfId="8069"/>
    <cellStyle name="Обычный 2 7 2 3 3" xfId="2296"/>
    <cellStyle name="Обычный 2 7 2 3 3 2" xfId="5415"/>
    <cellStyle name="Обычный 2 7 2 3 3 3" xfId="8804"/>
    <cellStyle name="Обычный 2 7 2 3 4" xfId="3944"/>
    <cellStyle name="Обычный 2 7 2 3 5" xfId="7333"/>
    <cellStyle name="Обычный 2 7 2 4" xfId="977"/>
    <cellStyle name="Обычный 2 7 2 4 2" xfId="1738"/>
    <cellStyle name="Обычный 2 7 2 4 2 2" xfId="3209"/>
    <cellStyle name="Обычный 2 7 2 4 2 2 2" xfId="9717"/>
    <cellStyle name="Обычный 2 7 2 4 2 3" xfId="4857"/>
    <cellStyle name="Обычный 2 7 2 4 2 4" xfId="8246"/>
    <cellStyle name="Обычный 2 7 2 4 3" xfId="2473"/>
    <cellStyle name="Обычный 2 7 2 4 3 2" xfId="5596"/>
    <cellStyle name="Обычный 2 7 2 4 3 3" xfId="8981"/>
    <cellStyle name="Обычный 2 7 2 4 4" xfId="4121"/>
    <cellStyle name="Обычный 2 7 2 4 5" xfId="7510"/>
    <cellStyle name="Обычный 2 7 2 5" xfId="1164"/>
    <cellStyle name="Обычный 2 7 2 5 2" xfId="1918"/>
    <cellStyle name="Обычный 2 7 2 5 2 2" xfId="3389"/>
    <cellStyle name="Обычный 2 7 2 5 2 2 2" xfId="9897"/>
    <cellStyle name="Обычный 2 7 2 5 2 3" xfId="5037"/>
    <cellStyle name="Обычный 2 7 2 5 2 4" xfId="8426"/>
    <cellStyle name="Обычный 2 7 2 5 3" xfId="2653"/>
    <cellStyle name="Обычный 2 7 2 5 3 2" xfId="5773"/>
    <cellStyle name="Обычный 2 7 2 5 3 3" xfId="9161"/>
    <cellStyle name="Обычный 2 7 2 5 4" xfId="4301"/>
    <cellStyle name="Обычный 2 7 2 5 5" xfId="7690"/>
    <cellStyle name="Обычный 2 7 2 6" xfId="1367"/>
    <cellStyle name="Обычный 2 7 2 6 2" xfId="2838"/>
    <cellStyle name="Обычный 2 7 2 6 2 2" xfId="5953"/>
    <cellStyle name="Обычный 2 7 2 6 2 3" xfId="9346"/>
    <cellStyle name="Обычный 2 7 2 6 3" xfId="4486"/>
    <cellStyle name="Обычный 2 7 2 6 4" xfId="7875"/>
    <cellStyle name="Обычный 2 7 2 7" xfId="2102"/>
    <cellStyle name="Обычный 2 7 2 7 2" xfId="6134"/>
    <cellStyle name="Обычный 2 7 2 7 3" xfId="8610"/>
    <cellStyle name="Обычный 2 7 2 8" xfId="3569"/>
    <cellStyle name="Обычный 2 7 2 8 2" xfId="6329"/>
    <cellStyle name="Обычный 2 7 2 8 3" xfId="10077"/>
    <cellStyle name="Обычный 2 7 2 9" xfId="6510"/>
    <cellStyle name="Обычный 2 7 3" xfId="236"/>
    <cellStyle name="Обычный 2 7 3 10" xfId="6923"/>
    <cellStyle name="Обычный 2 7 3 11" xfId="5223"/>
    <cellStyle name="Обычный 2 7 3 12" xfId="3752"/>
    <cellStyle name="Обычный 2 7 3 13" xfId="7141"/>
    <cellStyle name="Обычный 2 7 3 2" xfId="802"/>
    <cellStyle name="Обычный 2 7 3 2 2" xfId="1563"/>
    <cellStyle name="Обычный 2 7 3 2 2 2" xfId="3034"/>
    <cellStyle name="Обычный 2 7 3 2 2 2 2" xfId="9542"/>
    <cellStyle name="Обычный 2 7 3 2 2 3" xfId="4682"/>
    <cellStyle name="Обычный 2 7 3 2 2 4" xfId="8071"/>
    <cellStyle name="Обычный 2 7 3 2 3" xfId="2298"/>
    <cellStyle name="Обычный 2 7 3 2 3 2" xfId="5417"/>
    <cellStyle name="Обычный 2 7 3 2 3 3" xfId="8806"/>
    <cellStyle name="Обычный 2 7 3 2 4" xfId="3946"/>
    <cellStyle name="Обычный 2 7 3 2 5" xfId="7335"/>
    <cellStyle name="Обычный 2 7 3 3" xfId="979"/>
    <cellStyle name="Обычный 2 7 3 3 2" xfId="1740"/>
    <cellStyle name="Обычный 2 7 3 3 2 2" xfId="3211"/>
    <cellStyle name="Обычный 2 7 3 3 2 2 2" xfId="9719"/>
    <cellStyle name="Обычный 2 7 3 3 2 3" xfId="4859"/>
    <cellStyle name="Обычный 2 7 3 3 2 4" xfId="8248"/>
    <cellStyle name="Обычный 2 7 3 3 3" xfId="2475"/>
    <cellStyle name="Обычный 2 7 3 3 3 2" xfId="5598"/>
    <cellStyle name="Обычный 2 7 3 3 3 3" xfId="8983"/>
    <cellStyle name="Обычный 2 7 3 3 4" xfId="4123"/>
    <cellStyle name="Обычный 2 7 3 3 5" xfId="7512"/>
    <cellStyle name="Обычный 2 7 3 4" xfId="1166"/>
    <cellStyle name="Обычный 2 7 3 4 2" xfId="1920"/>
    <cellStyle name="Обычный 2 7 3 4 2 2" xfId="3391"/>
    <cellStyle name="Обычный 2 7 3 4 2 2 2" xfId="9899"/>
    <cellStyle name="Обычный 2 7 3 4 2 3" xfId="5039"/>
    <cellStyle name="Обычный 2 7 3 4 2 4" xfId="8428"/>
    <cellStyle name="Обычный 2 7 3 4 3" xfId="2655"/>
    <cellStyle name="Обычный 2 7 3 4 3 2" xfId="5775"/>
    <cellStyle name="Обычный 2 7 3 4 3 3" xfId="9163"/>
    <cellStyle name="Обычный 2 7 3 4 4" xfId="4303"/>
    <cellStyle name="Обычный 2 7 3 4 5" xfId="7692"/>
    <cellStyle name="Обычный 2 7 3 5" xfId="1369"/>
    <cellStyle name="Обычный 2 7 3 5 2" xfId="2840"/>
    <cellStyle name="Обычный 2 7 3 5 2 2" xfId="5955"/>
    <cellStyle name="Обычный 2 7 3 5 2 3" xfId="9348"/>
    <cellStyle name="Обычный 2 7 3 5 3" xfId="4488"/>
    <cellStyle name="Обычный 2 7 3 5 4" xfId="7877"/>
    <cellStyle name="Обычный 2 7 3 6" xfId="2104"/>
    <cellStyle name="Обычный 2 7 3 6 2" xfId="6136"/>
    <cellStyle name="Обычный 2 7 3 6 3" xfId="8612"/>
    <cellStyle name="Обычный 2 7 3 7" xfId="3571"/>
    <cellStyle name="Обычный 2 7 3 7 2" xfId="6331"/>
    <cellStyle name="Обычный 2 7 3 7 3" xfId="10079"/>
    <cellStyle name="Обычный 2 7 3 8" xfId="6512"/>
    <cellStyle name="Обычный 2 7 3 9" xfId="6709"/>
    <cellStyle name="Обычный 2 7 4" xfId="799"/>
    <cellStyle name="Обычный 2 7 4 2" xfId="1560"/>
    <cellStyle name="Обычный 2 7 4 2 2" xfId="3031"/>
    <cellStyle name="Обычный 2 7 4 2 2 2" xfId="9539"/>
    <cellStyle name="Обычный 2 7 4 2 3" xfId="4679"/>
    <cellStyle name="Обычный 2 7 4 2 4" xfId="8068"/>
    <cellStyle name="Обычный 2 7 4 3" xfId="2295"/>
    <cellStyle name="Обычный 2 7 4 3 2" xfId="5414"/>
    <cellStyle name="Обычный 2 7 4 3 3" xfId="8803"/>
    <cellStyle name="Обычный 2 7 4 4" xfId="3943"/>
    <cellStyle name="Обычный 2 7 4 5" xfId="7332"/>
    <cellStyle name="Обычный 2 7 5" xfId="976"/>
    <cellStyle name="Обычный 2 7 5 2" xfId="1737"/>
    <cellStyle name="Обычный 2 7 5 2 2" xfId="3208"/>
    <cellStyle name="Обычный 2 7 5 2 2 2" xfId="9716"/>
    <cellStyle name="Обычный 2 7 5 2 3" xfId="4856"/>
    <cellStyle name="Обычный 2 7 5 2 4" xfId="8245"/>
    <cellStyle name="Обычный 2 7 5 3" xfId="2472"/>
    <cellStyle name="Обычный 2 7 5 3 2" xfId="5595"/>
    <cellStyle name="Обычный 2 7 5 3 3" xfId="8980"/>
    <cellStyle name="Обычный 2 7 5 4" xfId="4120"/>
    <cellStyle name="Обычный 2 7 5 5" xfId="7509"/>
    <cellStyle name="Обычный 2 7 6" xfId="1163"/>
    <cellStyle name="Обычный 2 7 6 2" xfId="1917"/>
    <cellStyle name="Обычный 2 7 6 2 2" xfId="3388"/>
    <cellStyle name="Обычный 2 7 6 2 2 2" xfId="9896"/>
    <cellStyle name="Обычный 2 7 6 2 3" xfId="5036"/>
    <cellStyle name="Обычный 2 7 6 2 4" xfId="8425"/>
    <cellStyle name="Обычный 2 7 6 3" xfId="2652"/>
    <cellStyle name="Обычный 2 7 6 3 2" xfId="5772"/>
    <cellStyle name="Обычный 2 7 6 3 3" xfId="9160"/>
    <cellStyle name="Обычный 2 7 6 4" xfId="4300"/>
    <cellStyle name="Обычный 2 7 6 5" xfId="7689"/>
    <cellStyle name="Обычный 2 7 7" xfId="1366"/>
    <cellStyle name="Обычный 2 7 7 2" xfId="2837"/>
    <cellStyle name="Обычный 2 7 7 2 2" xfId="5952"/>
    <cellStyle name="Обычный 2 7 7 2 3" xfId="9345"/>
    <cellStyle name="Обычный 2 7 7 3" xfId="4485"/>
    <cellStyle name="Обычный 2 7 7 4" xfId="7874"/>
    <cellStyle name="Обычный 2 7 8" xfId="2101"/>
    <cellStyle name="Обычный 2 7 8 2" xfId="6133"/>
    <cellStyle name="Обычный 2 7 8 3" xfId="8609"/>
    <cellStyle name="Обычный 2 7 9" xfId="3568"/>
    <cellStyle name="Обычный 2 7 9 2" xfId="6328"/>
    <cellStyle name="Обычный 2 7 9 3" xfId="10076"/>
    <cellStyle name="Обычный 2 8" xfId="237"/>
    <cellStyle name="Обычный 2 8 10" xfId="6513"/>
    <cellStyle name="Обычный 2 8 11" xfId="6710"/>
    <cellStyle name="Обычный 2 8 12" xfId="6924"/>
    <cellStyle name="Обычный 2 8 13" xfId="5224"/>
    <cellStyle name="Обычный 2 8 14" xfId="3753"/>
    <cellStyle name="Обычный 2 8 15" xfId="7142"/>
    <cellStyle name="Обычный 2 8 2" xfId="238"/>
    <cellStyle name="Обычный 2 8 2 10" xfId="6514"/>
    <cellStyle name="Обычный 2 8 2 11" xfId="6711"/>
    <cellStyle name="Обычный 2 8 2 12" xfId="6925"/>
    <cellStyle name="Обычный 2 8 2 13" xfId="5225"/>
    <cellStyle name="Обычный 2 8 2 14" xfId="3754"/>
    <cellStyle name="Обычный 2 8 2 15" xfId="7143"/>
    <cellStyle name="Обычный 2 8 2 2" xfId="239"/>
    <cellStyle name="Обычный 2 8 2 2 10" xfId="6712"/>
    <cellStyle name="Обычный 2 8 2 2 11" xfId="6926"/>
    <cellStyle name="Обычный 2 8 2 2 12" xfId="5226"/>
    <cellStyle name="Обычный 2 8 2 2 13" xfId="3755"/>
    <cellStyle name="Обычный 2 8 2 2 14" xfId="7144"/>
    <cellStyle name="Обычный 2 8 2 2 2" xfId="240"/>
    <cellStyle name="Обычный 2 8 2 2 2 10" xfId="6927"/>
    <cellStyle name="Обычный 2 8 2 2 2 11" xfId="5227"/>
    <cellStyle name="Обычный 2 8 2 2 2 12" xfId="3756"/>
    <cellStyle name="Обычный 2 8 2 2 2 13" xfId="7145"/>
    <cellStyle name="Обычный 2 8 2 2 2 2" xfId="806"/>
    <cellStyle name="Обычный 2 8 2 2 2 2 2" xfId="1567"/>
    <cellStyle name="Обычный 2 8 2 2 2 2 2 2" xfId="3038"/>
    <cellStyle name="Обычный 2 8 2 2 2 2 2 2 2" xfId="9546"/>
    <cellStyle name="Обычный 2 8 2 2 2 2 2 3" xfId="4686"/>
    <cellStyle name="Обычный 2 8 2 2 2 2 2 4" xfId="8075"/>
    <cellStyle name="Обычный 2 8 2 2 2 2 3" xfId="2302"/>
    <cellStyle name="Обычный 2 8 2 2 2 2 3 2" xfId="5421"/>
    <cellStyle name="Обычный 2 8 2 2 2 2 3 3" xfId="8810"/>
    <cellStyle name="Обычный 2 8 2 2 2 2 4" xfId="3950"/>
    <cellStyle name="Обычный 2 8 2 2 2 2 5" xfId="7339"/>
    <cellStyle name="Обычный 2 8 2 2 2 3" xfId="983"/>
    <cellStyle name="Обычный 2 8 2 2 2 3 2" xfId="1744"/>
    <cellStyle name="Обычный 2 8 2 2 2 3 2 2" xfId="3215"/>
    <cellStyle name="Обычный 2 8 2 2 2 3 2 2 2" xfId="9723"/>
    <cellStyle name="Обычный 2 8 2 2 2 3 2 3" xfId="4863"/>
    <cellStyle name="Обычный 2 8 2 2 2 3 2 4" xfId="8252"/>
    <cellStyle name="Обычный 2 8 2 2 2 3 3" xfId="2479"/>
    <cellStyle name="Обычный 2 8 2 2 2 3 3 2" xfId="5602"/>
    <cellStyle name="Обычный 2 8 2 2 2 3 3 3" xfId="8987"/>
    <cellStyle name="Обычный 2 8 2 2 2 3 4" xfId="4127"/>
    <cellStyle name="Обычный 2 8 2 2 2 3 5" xfId="7516"/>
    <cellStyle name="Обычный 2 8 2 2 2 4" xfId="1170"/>
    <cellStyle name="Обычный 2 8 2 2 2 4 2" xfId="1924"/>
    <cellStyle name="Обычный 2 8 2 2 2 4 2 2" xfId="3395"/>
    <cellStyle name="Обычный 2 8 2 2 2 4 2 2 2" xfId="9903"/>
    <cellStyle name="Обычный 2 8 2 2 2 4 2 3" xfId="5043"/>
    <cellStyle name="Обычный 2 8 2 2 2 4 2 4" xfId="8432"/>
    <cellStyle name="Обычный 2 8 2 2 2 4 3" xfId="2659"/>
    <cellStyle name="Обычный 2 8 2 2 2 4 3 2" xfId="5779"/>
    <cellStyle name="Обычный 2 8 2 2 2 4 3 3" xfId="9167"/>
    <cellStyle name="Обычный 2 8 2 2 2 4 4" xfId="4307"/>
    <cellStyle name="Обычный 2 8 2 2 2 4 5" xfId="7696"/>
    <cellStyle name="Обычный 2 8 2 2 2 5" xfId="1373"/>
    <cellStyle name="Обычный 2 8 2 2 2 5 2" xfId="2844"/>
    <cellStyle name="Обычный 2 8 2 2 2 5 2 2" xfId="5959"/>
    <cellStyle name="Обычный 2 8 2 2 2 5 2 3" xfId="9352"/>
    <cellStyle name="Обычный 2 8 2 2 2 5 3" xfId="4492"/>
    <cellStyle name="Обычный 2 8 2 2 2 5 4" xfId="7881"/>
    <cellStyle name="Обычный 2 8 2 2 2 6" xfId="2108"/>
    <cellStyle name="Обычный 2 8 2 2 2 6 2" xfId="6140"/>
    <cellStyle name="Обычный 2 8 2 2 2 6 3" xfId="8616"/>
    <cellStyle name="Обычный 2 8 2 2 2 7" xfId="3575"/>
    <cellStyle name="Обычный 2 8 2 2 2 7 2" xfId="6335"/>
    <cellStyle name="Обычный 2 8 2 2 2 7 3" xfId="10083"/>
    <cellStyle name="Обычный 2 8 2 2 2 8" xfId="6516"/>
    <cellStyle name="Обычный 2 8 2 2 2 9" xfId="6713"/>
    <cellStyle name="Обычный 2 8 2 2 3" xfId="805"/>
    <cellStyle name="Обычный 2 8 2 2 3 2" xfId="1566"/>
    <cellStyle name="Обычный 2 8 2 2 3 2 2" xfId="3037"/>
    <cellStyle name="Обычный 2 8 2 2 3 2 2 2" xfId="9545"/>
    <cellStyle name="Обычный 2 8 2 2 3 2 3" xfId="4685"/>
    <cellStyle name="Обычный 2 8 2 2 3 2 4" xfId="8074"/>
    <cellStyle name="Обычный 2 8 2 2 3 3" xfId="2301"/>
    <cellStyle name="Обычный 2 8 2 2 3 3 2" xfId="5420"/>
    <cellStyle name="Обычный 2 8 2 2 3 3 3" xfId="8809"/>
    <cellStyle name="Обычный 2 8 2 2 3 4" xfId="3949"/>
    <cellStyle name="Обычный 2 8 2 2 3 5" xfId="7338"/>
    <cellStyle name="Обычный 2 8 2 2 4" xfId="982"/>
    <cellStyle name="Обычный 2 8 2 2 4 2" xfId="1743"/>
    <cellStyle name="Обычный 2 8 2 2 4 2 2" xfId="3214"/>
    <cellStyle name="Обычный 2 8 2 2 4 2 2 2" xfId="9722"/>
    <cellStyle name="Обычный 2 8 2 2 4 2 3" xfId="4862"/>
    <cellStyle name="Обычный 2 8 2 2 4 2 4" xfId="8251"/>
    <cellStyle name="Обычный 2 8 2 2 4 3" xfId="2478"/>
    <cellStyle name="Обычный 2 8 2 2 4 3 2" xfId="5601"/>
    <cellStyle name="Обычный 2 8 2 2 4 3 3" xfId="8986"/>
    <cellStyle name="Обычный 2 8 2 2 4 4" xfId="4126"/>
    <cellStyle name="Обычный 2 8 2 2 4 5" xfId="7515"/>
    <cellStyle name="Обычный 2 8 2 2 5" xfId="1169"/>
    <cellStyle name="Обычный 2 8 2 2 5 2" xfId="1923"/>
    <cellStyle name="Обычный 2 8 2 2 5 2 2" xfId="3394"/>
    <cellStyle name="Обычный 2 8 2 2 5 2 2 2" xfId="9902"/>
    <cellStyle name="Обычный 2 8 2 2 5 2 3" xfId="5042"/>
    <cellStyle name="Обычный 2 8 2 2 5 2 4" xfId="8431"/>
    <cellStyle name="Обычный 2 8 2 2 5 3" xfId="2658"/>
    <cellStyle name="Обычный 2 8 2 2 5 3 2" xfId="5778"/>
    <cellStyle name="Обычный 2 8 2 2 5 3 3" xfId="9166"/>
    <cellStyle name="Обычный 2 8 2 2 5 4" xfId="4306"/>
    <cellStyle name="Обычный 2 8 2 2 5 5" xfId="7695"/>
    <cellStyle name="Обычный 2 8 2 2 6" xfId="1372"/>
    <cellStyle name="Обычный 2 8 2 2 6 2" xfId="2843"/>
    <cellStyle name="Обычный 2 8 2 2 6 2 2" xfId="5958"/>
    <cellStyle name="Обычный 2 8 2 2 6 2 3" xfId="9351"/>
    <cellStyle name="Обычный 2 8 2 2 6 3" xfId="4491"/>
    <cellStyle name="Обычный 2 8 2 2 6 4" xfId="7880"/>
    <cellStyle name="Обычный 2 8 2 2 7" xfId="2107"/>
    <cellStyle name="Обычный 2 8 2 2 7 2" xfId="6139"/>
    <cellStyle name="Обычный 2 8 2 2 7 3" xfId="8615"/>
    <cellStyle name="Обычный 2 8 2 2 8" xfId="3574"/>
    <cellStyle name="Обычный 2 8 2 2 8 2" xfId="6334"/>
    <cellStyle name="Обычный 2 8 2 2 8 3" xfId="10082"/>
    <cellStyle name="Обычный 2 8 2 2 9" xfId="6515"/>
    <cellStyle name="Обычный 2 8 2 3" xfId="241"/>
    <cellStyle name="Обычный 2 8 2 3 10" xfId="6928"/>
    <cellStyle name="Обычный 2 8 2 3 11" xfId="5228"/>
    <cellStyle name="Обычный 2 8 2 3 12" xfId="3757"/>
    <cellStyle name="Обычный 2 8 2 3 13" xfId="7146"/>
    <cellStyle name="Обычный 2 8 2 3 2" xfId="807"/>
    <cellStyle name="Обычный 2 8 2 3 2 2" xfId="1568"/>
    <cellStyle name="Обычный 2 8 2 3 2 2 2" xfId="3039"/>
    <cellStyle name="Обычный 2 8 2 3 2 2 2 2" xfId="9547"/>
    <cellStyle name="Обычный 2 8 2 3 2 2 3" xfId="4687"/>
    <cellStyle name="Обычный 2 8 2 3 2 2 4" xfId="8076"/>
    <cellStyle name="Обычный 2 8 2 3 2 3" xfId="2303"/>
    <cellStyle name="Обычный 2 8 2 3 2 3 2" xfId="5422"/>
    <cellStyle name="Обычный 2 8 2 3 2 3 3" xfId="8811"/>
    <cellStyle name="Обычный 2 8 2 3 2 4" xfId="3951"/>
    <cellStyle name="Обычный 2 8 2 3 2 5" xfId="7340"/>
    <cellStyle name="Обычный 2 8 2 3 3" xfId="984"/>
    <cellStyle name="Обычный 2 8 2 3 3 2" xfId="1745"/>
    <cellStyle name="Обычный 2 8 2 3 3 2 2" xfId="3216"/>
    <cellStyle name="Обычный 2 8 2 3 3 2 2 2" xfId="9724"/>
    <cellStyle name="Обычный 2 8 2 3 3 2 3" xfId="4864"/>
    <cellStyle name="Обычный 2 8 2 3 3 2 4" xfId="8253"/>
    <cellStyle name="Обычный 2 8 2 3 3 3" xfId="2480"/>
    <cellStyle name="Обычный 2 8 2 3 3 3 2" xfId="5603"/>
    <cellStyle name="Обычный 2 8 2 3 3 3 3" xfId="8988"/>
    <cellStyle name="Обычный 2 8 2 3 3 4" xfId="4128"/>
    <cellStyle name="Обычный 2 8 2 3 3 5" xfId="7517"/>
    <cellStyle name="Обычный 2 8 2 3 4" xfId="1171"/>
    <cellStyle name="Обычный 2 8 2 3 4 2" xfId="1925"/>
    <cellStyle name="Обычный 2 8 2 3 4 2 2" xfId="3396"/>
    <cellStyle name="Обычный 2 8 2 3 4 2 2 2" xfId="9904"/>
    <cellStyle name="Обычный 2 8 2 3 4 2 3" xfId="5044"/>
    <cellStyle name="Обычный 2 8 2 3 4 2 4" xfId="8433"/>
    <cellStyle name="Обычный 2 8 2 3 4 3" xfId="2660"/>
    <cellStyle name="Обычный 2 8 2 3 4 3 2" xfId="5780"/>
    <cellStyle name="Обычный 2 8 2 3 4 3 3" xfId="9168"/>
    <cellStyle name="Обычный 2 8 2 3 4 4" xfId="4308"/>
    <cellStyle name="Обычный 2 8 2 3 4 5" xfId="7697"/>
    <cellStyle name="Обычный 2 8 2 3 5" xfId="1374"/>
    <cellStyle name="Обычный 2 8 2 3 5 2" xfId="2845"/>
    <cellStyle name="Обычный 2 8 2 3 5 2 2" xfId="5960"/>
    <cellStyle name="Обычный 2 8 2 3 5 2 3" xfId="9353"/>
    <cellStyle name="Обычный 2 8 2 3 5 3" xfId="4493"/>
    <cellStyle name="Обычный 2 8 2 3 5 4" xfId="7882"/>
    <cellStyle name="Обычный 2 8 2 3 6" xfId="2109"/>
    <cellStyle name="Обычный 2 8 2 3 6 2" xfId="6141"/>
    <cellStyle name="Обычный 2 8 2 3 6 3" xfId="8617"/>
    <cellStyle name="Обычный 2 8 2 3 7" xfId="3576"/>
    <cellStyle name="Обычный 2 8 2 3 7 2" xfId="6336"/>
    <cellStyle name="Обычный 2 8 2 3 7 3" xfId="10084"/>
    <cellStyle name="Обычный 2 8 2 3 8" xfId="6517"/>
    <cellStyle name="Обычный 2 8 2 3 9" xfId="6714"/>
    <cellStyle name="Обычный 2 8 2 4" xfId="804"/>
    <cellStyle name="Обычный 2 8 2 4 2" xfId="1565"/>
    <cellStyle name="Обычный 2 8 2 4 2 2" xfId="3036"/>
    <cellStyle name="Обычный 2 8 2 4 2 2 2" xfId="9544"/>
    <cellStyle name="Обычный 2 8 2 4 2 3" xfId="4684"/>
    <cellStyle name="Обычный 2 8 2 4 2 4" xfId="8073"/>
    <cellStyle name="Обычный 2 8 2 4 3" xfId="2300"/>
    <cellStyle name="Обычный 2 8 2 4 3 2" xfId="5419"/>
    <cellStyle name="Обычный 2 8 2 4 3 3" xfId="8808"/>
    <cellStyle name="Обычный 2 8 2 4 4" xfId="3948"/>
    <cellStyle name="Обычный 2 8 2 4 5" xfId="7337"/>
    <cellStyle name="Обычный 2 8 2 5" xfId="981"/>
    <cellStyle name="Обычный 2 8 2 5 2" xfId="1742"/>
    <cellStyle name="Обычный 2 8 2 5 2 2" xfId="3213"/>
    <cellStyle name="Обычный 2 8 2 5 2 2 2" xfId="9721"/>
    <cellStyle name="Обычный 2 8 2 5 2 3" xfId="4861"/>
    <cellStyle name="Обычный 2 8 2 5 2 4" xfId="8250"/>
    <cellStyle name="Обычный 2 8 2 5 3" xfId="2477"/>
    <cellStyle name="Обычный 2 8 2 5 3 2" xfId="5600"/>
    <cellStyle name="Обычный 2 8 2 5 3 3" xfId="8985"/>
    <cellStyle name="Обычный 2 8 2 5 4" xfId="4125"/>
    <cellStyle name="Обычный 2 8 2 5 5" xfId="7514"/>
    <cellStyle name="Обычный 2 8 2 6" xfId="1168"/>
    <cellStyle name="Обычный 2 8 2 6 2" xfId="1922"/>
    <cellStyle name="Обычный 2 8 2 6 2 2" xfId="3393"/>
    <cellStyle name="Обычный 2 8 2 6 2 2 2" xfId="9901"/>
    <cellStyle name="Обычный 2 8 2 6 2 3" xfId="5041"/>
    <cellStyle name="Обычный 2 8 2 6 2 4" xfId="8430"/>
    <cellStyle name="Обычный 2 8 2 6 3" xfId="2657"/>
    <cellStyle name="Обычный 2 8 2 6 3 2" xfId="5777"/>
    <cellStyle name="Обычный 2 8 2 6 3 3" xfId="9165"/>
    <cellStyle name="Обычный 2 8 2 6 4" xfId="4305"/>
    <cellStyle name="Обычный 2 8 2 6 5" xfId="7694"/>
    <cellStyle name="Обычный 2 8 2 7" xfId="1371"/>
    <cellStyle name="Обычный 2 8 2 7 2" xfId="2842"/>
    <cellStyle name="Обычный 2 8 2 7 2 2" xfId="5957"/>
    <cellStyle name="Обычный 2 8 2 7 2 3" xfId="9350"/>
    <cellStyle name="Обычный 2 8 2 7 3" xfId="4490"/>
    <cellStyle name="Обычный 2 8 2 7 4" xfId="7879"/>
    <cellStyle name="Обычный 2 8 2 8" xfId="2106"/>
    <cellStyle name="Обычный 2 8 2 8 2" xfId="6138"/>
    <cellStyle name="Обычный 2 8 2 8 3" xfId="8614"/>
    <cellStyle name="Обычный 2 8 2 9" xfId="3573"/>
    <cellStyle name="Обычный 2 8 2 9 2" xfId="6333"/>
    <cellStyle name="Обычный 2 8 2 9 3" xfId="10081"/>
    <cellStyle name="Обычный 2 8 3" xfId="242"/>
    <cellStyle name="Обычный 2 8 3 10" xfId="6929"/>
    <cellStyle name="Обычный 2 8 3 11" xfId="5229"/>
    <cellStyle name="Обычный 2 8 3 12" xfId="3758"/>
    <cellStyle name="Обычный 2 8 3 13" xfId="7147"/>
    <cellStyle name="Обычный 2 8 3 2" xfId="808"/>
    <cellStyle name="Обычный 2 8 3 2 2" xfId="1569"/>
    <cellStyle name="Обычный 2 8 3 2 2 2" xfId="3040"/>
    <cellStyle name="Обычный 2 8 3 2 2 2 2" xfId="9548"/>
    <cellStyle name="Обычный 2 8 3 2 2 3" xfId="4688"/>
    <cellStyle name="Обычный 2 8 3 2 2 4" xfId="8077"/>
    <cellStyle name="Обычный 2 8 3 2 3" xfId="2304"/>
    <cellStyle name="Обычный 2 8 3 2 3 2" xfId="5423"/>
    <cellStyle name="Обычный 2 8 3 2 3 3" xfId="8812"/>
    <cellStyle name="Обычный 2 8 3 2 4" xfId="3952"/>
    <cellStyle name="Обычный 2 8 3 2 5" xfId="7341"/>
    <cellStyle name="Обычный 2 8 3 3" xfId="985"/>
    <cellStyle name="Обычный 2 8 3 3 2" xfId="1746"/>
    <cellStyle name="Обычный 2 8 3 3 2 2" xfId="3217"/>
    <cellStyle name="Обычный 2 8 3 3 2 2 2" xfId="9725"/>
    <cellStyle name="Обычный 2 8 3 3 2 3" xfId="4865"/>
    <cellStyle name="Обычный 2 8 3 3 2 4" xfId="8254"/>
    <cellStyle name="Обычный 2 8 3 3 3" xfId="2481"/>
    <cellStyle name="Обычный 2 8 3 3 3 2" xfId="5604"/>
    <cellStyle name="Обычный 2 8 3 3 3 3" xfId="8989"/>
    <cellStyle name="Обычный 2 8 3 3 4" xfId="4129"/>
    <cellStyle name="Обычный 2 8 3 3 5" xfId="7518"/>
    <cellStyle name="Обычный 2 8 3 4" xfId="1172"/>
    <cellStyle name="Обычный 2 8 3 4 2" xfId="1926"/>
    <cellStyle name="Обычный 2 8 3 4 2 2" xfId="3397"/>
    <cellStyle name="Обычный 2 8 3 4 2 2 2" xfId="9905"/>
    <cellStyle name="Обычный 2 8 3 4 2 3" xfId="5045"/>
    <cellStyle name="Обычный 2 8 3 4 2 4" xfId="8434"/>
    <cellStyle name="Обычный 2 8 3 4 3" xfId="2661"/>
    <cellStyle name="Обычный 2 8 3 4 3 2" xfId="5781"/>
    <cellStyle name="Обычный 2 8 3 4 3 3" xfId="9169"/>
    <cellStyle name="Обычный 2 8 3 4 4" xfId="4309"/>
    <cellStyle name="Обычный 2 8 3 4 5" xfId="7698"/>
    <cellStyle name="Обычный 2 8 3 5" xfId="1375"/>
    <cellStyle name="Обычный 2 8 3 5 2" xfId="2846"/>
    <cellStyle name="Обычный 2 8 3 5 2 2" xfId="5961"/>
    <cellStyle name="Обычный 2 8 3 5 2 3" xfId="9354"/>
    <cellStyle name="Обычный 2 8 3 5 3" xfId="4494"/>
    <cellStyle name="Обычный 2 8 3 5 4" xfId="7883"/>
    <cellStyle name="Обычный 2 8 3 6" xfId="2110"/>
    <cellStyle name="Обычный 2 8 3 6 2" xfId="6142"/>
    <cellStyle name="Обычный 2 8 3 6 3" xfId="8618"/>
    <cellStyle name="Обычный 2 8 3 7" xfId="3577"/>
    <cellStyle name="Обычный 2 8 3 7 2" xfId="6337"/>
    <cellStyle name="Обычный 2 8 3 7 3" xfId="10085"/>
    <cellStyle name="Обычный 2 8 3 8" xfId="6518"/>
    <cellStyle name="Обычный 2 8 3 9" xfId="6715"/>
    <cellStyle name="Обычный 2 8 4" xfId="803"/>
    <cellStyle name="Обычный 2 8 4 2" xfId="1564"/>
    <cellStyle name="Обычный 2 8 4 2 2" xfId="3035"/>
    <cellStyle name="Обычный 2 8 4 2 2 2" xfId="9543"/>
    <cellStyle name="Обычный 2 8 4 2 3" xfId="4683"/>
    <cellStyle name="Обычный 2 8 4 2 4" xfId="8072"/>
    <cellStyle name="Обычный 2 8 4 3" xfId="2299"/>
    <cellStyle name="Обычный 2 8 4 3 2" xfId="5418"/>
    <cellStyle name="Обычный 2 8 4 3 3" xfId="8807"/>
    <cellStyle name="Обычный 2 8 4 4" xfId="3947"/>
    <cellStyle name="Обычный 2 8 4 5" xfId="7336"/>
    <cellStyle name="Обычный 2 8 5" xfId="980"/>
    <cellStyle name="Обычный 2 8 5 2" xfId="1741"/>
    <cellStyle name="Обычный 2 8 5 2 2" xfId="3212"/>
    <cellStyle name="Обычный 2 8 5 2 2 2" xfId="9720"/>
    <cellStyle name="Обычный 2 8 5 2 3" xfId="4860"/>
    <cellStyle name="Обычный 2 8 5 2 4" xfId="8249"/>
    <cellStyle name="Обычный 2 8 5 3" xfId="2476"/>
    <cellStyle name="Обычный 2 8 5 3 2" xfId="5599"/>
    <cellStyle name="Обычный 2 8 5 3 3" xfId="8984"/>
    <cellStyle name="Обычный 2 8 5 4" xfId="4124"/>
    <cellStyle name="Обычный 2 8 5 5" xfId="7513"/>
    <cellStyle name="Обычный 2 8 6" xfId="1167"/>
    <cellStyle name="Обычный 2 8 6 2" xfId="1921"/>
    <cellStyle name="Обычный 2 8 6 2 2" xfId="3392"/>
    <cellStyle name="Обычный 2 8 6 2 2 2" xfId="9900"/>
    <cellStyle name="Обычный 2 8 6 2 3" xfId="5040"/>
    <cellStyle name="Обычный 2 8 6 2 4" xfId="8429"/>
    <cellStyle name="Обычный 2 8 6 3" xfId="2656"/>
    <cellStyle name="Обычный 2 8 6 3 2" xfId="5776"/>
    <cellStyle name="Обычный 2 8 6 3 3" xfId="9164"/>
    <cellStyle name="Обычный 2 8 6 4" xfId="4304"/>
    <cellStyle name="Обычный 2 8 6 5" xfId="7693"/>
    <cellStyle name="Обычный 2 8 7" xfId="1370"/>
    <cellStyle name="Обычный 2 8 7 2" xfId="2841"/>
    <cellStyle name="Обычный 2 8 7 2 2" xfId="5956"/>
    <cellStyle name="Обычный 2 8 7 2 3" xfId="9349"/>
    <cellStyle name="Обычный 2 8 7 3" xfId="4489"/>
    <cellStyle name="Обычный 2 8 7 4" xfId="7878"/>
    <cellStyle name="Обычный 2 8 8" xfId="2105"/>
    <cellStyle name="Обычный 2 8 8 2" xfId="6137"/>
    <cellStyle name="Обычный 2 8 8 3" xfId="8613"/>
    <cellStyle name="Обычный 2 8 9" xfId="3572"/>
    <cellStyle name="Обычный 2 8 9 2" xfId="6332"/>
    <cellStyle name="Обычный 2 8 9 3" xfId="10080"/>
    <cellStyle name="Обычный 2 9" xfId="243"/>
    <cellStyle name="Обычный 2 9 10" xfId="3578"/>
    <cellStyle name="Обычный 2 9 10 2" xfId="6338"/>
    <cellStyle name="Обычный 2 9 10 3" xfId="10086"/>
    <cellStyle name="Обычный 2 9 11" xfId="6519"/>
    <cellStyle name="Обычный 2 9 12" xfId="6716"/>
    <cellStyle name="Обычный 2 9 13" xfId="6930"/>
    <cellStyle name="Обычный 2 9 14" xfId="5230"/>
    <cellStyle name="Обычный 2 9 15" xfId="3759"/>
    <cellStyle name="Обычный 2 9 16" xfId="7148"/>
    <cellStyle name="Обычный 2 9 2" xfId="244"/>
    <cellStyle name="Обычный 2 9 2 10" xfId="6931"/>
    <cellStyle name="Обычный 2 9 2 11" xfId="5231"/>
    <cellStyle name="Обычный 2 9 2 12" xfId="3760"/>
    <cellStyle name="Обычный 2 9 2 13" xfId="7149"/>
    <cellStyle name="Обычный 2 9 2 2" xfId="810"/>
    <cellStyle name="Обычный 2 9 2 2 2" xfId="1571"/>
    <cellStyle name="Обычный 2 9 2 2 2 2" xfId="3042"/>
    <cellStyle name="Обычный 2 9 2 2 2 2 2" xfId="9550"/>
    <cellStyle name="Обычный 2 9 2 2 2 3" xfId="4690"/>
    <cellStyle name="Обычный 2 9 2 2 2 4" xfId="8079"/>
    <cellStyle name="Обычный 2 9 2 2 3" xfId="2306"/>
    <cellStyle name="Обычный 2 9 2 2 3 2" xfId="5425"/>
    <cellStyle name="Обычный 2 9 2 2 3 3" xfId="8814"/>
    <cellStyle name="Обычный 2 9 2 2 4" xfId="3954"/>
    <cellStyle name="Обычный 2 9 2 2 5" xfId="7343"/>
    <cellStyle name="Обычный 2 9 2 3" xfId="987"/>
    <cellStyle name="Обычный 2 9 2 3 2" xfId="1748"/>
    <cellStyle name="Обычный 2 9 2 3 2 2" xfId="3219"/>
    <cellStyle name="Обычный 2 9 2 3 2 2 2" xfId="9727"/>
    <cellStyle name="Обычный 2 9 2 3 2 3" xfId="4867"/>
    <cellStyle name="Обычный 2 9 2 3 2 4" xfId="8256"/>
    <cellStyle name="Обычный 2 9 2 3 3" xfId="2483"/>
    <cellStyle name="Обычный 2 9 2 3 3 2" xfId="5606"/>
    <cellStyle name="Обычный 2 9 2 3 3 3" xfId="8991"/>
    <cellStyle name="Обычный 2 9 2 3 4" xfId="4131"/>
    <cellStyle name="Обычный 2 9 2 3 5" xfId="7520"/>
    <cellStyle name="Обычный 2 9 2 4" xfId="1174"/>
    <cellStyle name="Обычный 2 9 2 4 2" xfId="1928"/>
    <cellStyle name="Обычный 2 9 2 4 2 2" xfId="3399"/>
    <cellStyle name="Обычный 2 9 2 4 2 2 2" xfId="9907"/>
    <cellStyle name="Обычный 2 9 2 4 2 3" xfId="5047"/>
    <cellStyle name="Обычный 2 9 2 4 2 4" xfId="8436"/>
    <cellStyle name="Обычный 2 9 2 4 3" xfId="2663"/>
    <cellStyle name="Обычный 2 9 2 4 3 2" xfId="5783"/>
    <cellStyle name="Обычный 2 9 2 4 3 3" xfId="9171"/>
    <cellStyle name="Обычный 2 9 2 4 4" xfId="4311"/>
    <cellStyle name="Обычный 2 9 2 4 5" xfId="7700"/>
    <cellStyle name="Обычный 2 9 2 5" xfId="1377"/>
    <cellStyle name="Обычный 2 9 2 5 2" xfId="2848"/>
    <cellStyle name="Обычный 2 9 2 5 2 2" xfId="5963"/>
    <cellStyle name="Обычный 2 9 2 5 2 3" xfId="9356"/>
    <cellStyle name="Обычный 2 9 2 5 3" xfId="4496"/>
    <cellStyle name="Обычный 2 9 2 5 4" xfId="7885"/>
    <cellStyle name="Обычный 2 9 2 6" xfId="2112"/>
    <cellStyle name="Обычный 2 9 2 6 2" xfId="6144"/>
    <cellStyle name="Обычный 2 9 2 6 3" xfId="8620"/>
    <cellStyle name="Обычный 2 9 2 7" xfId="3579"/>
    <cellStyle name="Обычный 2 9 2 7 2" xfId="6339"/>
    <cellStyle name="Обычный 2 9 2 7 3" xfId="10087"/>
    <cellStyle name="Обычный 2 9 2 8" xfId="6520"/>
    <cellStyle name="Обычный 2 9 2 9" xfId="6717"/>
    <cellStyle name="Обычный 2 9 3" xfId="245"/>
    <cellStyle name="Обычный 2 9 3 10" xfId="6521"/>
    <cellStyle name="Обычный 2 9 3 11" xfId="6718"/>
    <cellStyle name="Обычный 2 9 3 12" xfId="6932"/>
    <cellStyle name="Обычный 2 9 3 13" xfId="5232"/>
    <cellStyle name="Обычный 2 9 3 14" xfId="3761"/>
    <cellStyle name="Обычный 2 9 3 15" xfId="7150"/>
    <cellStyle name="Обычный 2 9 3 2" xfId="246"/>
    <cellStyle name="Обычный 2 9 3 2 10" xfId="6933"/>
    <cellStyle name="Обычный 2 9 3 2 11" xfId="5233"/>
    <cellStyle name="Обычный 2 9 3 2 12" xfId="3762"/>
    <cellStyle name="Обычный 2 9 3 2 13" xfId="7151"/>
    <cellStyle name="Обычный 2 9 3 2 2" xfId="812"/>
    <cellStyle name="Обычный 2 9 3 2 2 2" xfId="1573"/>
    <cellStyle name="Обычный 2 9 3 2 2 2 2" xfId="3044"/>
    <cellStyle name="Обычный 2 9 3 2 2 2 2 2" xfId="9552"/>
    <cellStyle name="Обычный 2 9 3 2 2 2 3" xfId="4692"/>
    <cellStyle name="Обычный 2 9 3 2 2 2 4" xfId="8081"/>
    <cellStyle name="Обычный 2 9 3 2 2 3" xfId="2308"/>
    <cellStyle name="Обычный 2 9 3 2 2 3 2" xfId="5427"/>
    <cellStyle name="Обычный 2 9 3 2 2 3 3" xfId="8816"/>
    <cellStyle name="Обычный 2 9 3 2 2 4" xfId="3956"/>
    <cellStyle name="Обычный 2 9 3 2 2 5" xfId="7345"/>
    <cellStyle name="Обычный 2 9 3 2 3" xfId="989"/>
    <cellStyle name="Обычный 2 9 3 2 3 2" xfId="1750"/>
    <cellStyle name="Обычный 2 9 3 2 3 2 2" xfId="3221"/>
    <cellStyle name="Обычный 2 9 3 2 3 2 2 2" xfId="9729"/>
    <cellStyle name="Обычный 2 9 3 2 3 2 3" xfId="4869"/>
    <cellStyle name="Обычный 2 9 3 2 3 2 4" xfId="8258"/>
    <cellStyle name="Обычный 2 9 3 2 3 3" xfId="2485"/>
    <cellStyle name="Обычный 2 9 3 2 3 3 2" xfId="5608"/>
    <cellStyle name="Обычный 2 9 3 2 3 3 3" xfId="8993"/>
    <cellStyle name="Обычный 2 9 3 2 3 4" xfId="4133"/>
    <cellStyle name="Обычный 2 9 3 2 3 5" xfId="7522"/>
    <cellStyle name="Обычный 2 9 3 2 4" xfId="1176"/>
    <cellStyle name="Обычный 2 9 3 2 4 2" xfId="1930"/>
    <cellStyle name="Обычный 2 9 3 2 4 2 2" xfId="3401"/>
    <cellStyle name="Обычный 2 9 3 2 4 2 2 2" xfId="9909"/>
    <cellStyle name="Обычный 2 9 3 2 4 2 3" xfId="5049"/>
    <cellStyle name="Обычный 2 9 3 2 4 2 4" xfId="8438"/>
    <cellStyle name="Обычный 2 9 3 2 4 3" xfId="2665"/>
    <cellStyle name="Обычный 2 9 3 2 4 3 2" xfId="5785"/>
    <cellStyle name="Обычный 2 9 3 2 4 3 3" xfId="9173"/>
    <cellStyle name="Обычный 2 9 3 2 4 4" xfId="4313"/>
    <cellStyle name="Обычный 2 9 3 2 4 5" xfId="7702"/>
    <cellStyle name="Обычный 2 9 3 2 5" xfId="1379"/>
    <cellStyle name="Обычный 2 9 3 2 5 2" xfId="2850"/>
    <cellStyle name="Обычный 2 9 3 2 5 2 2" xfId="5965"/>
    <cellStyle name="Обычный 2 9 3 2 5 2 3" xfId="9358"/>
    <cellStyle name="Обычный 2 9 3 2 5 3" xfId="4498"/>
    <cellStyle name="Обычный 2 9 3 2 5 4" xfId="7887"/>
    <cellStyle name="Обычный 2 9 3 2 6" xfId="2114"/>
    <cellStyle name="Обычный 2 9 3 2 6 2" xfId="6146"/>
    <cellStyle name="Обычный 2 9 3 2 6 3" xfId="8622"/>
    <cellStyle name="Обычный 2 9 3 2 7" xfId="3581"/>
    <cellStyle name="Обычный 2 9 3 2 7 2" xfId="6341"/>
    <cellStyle name="Обычный 2 9 3 2 7 3" xfId="10089"/>
    <cellStyle name="Обычный 2 9 3 2 8" xfId="6522"/>
    <cellStyle name="Обычный 2 9 3 2 9" xfId="6719"/>
    <cellStyle name="Обычный 2 9 3 3" xfId="247"/>
    <cellStyle name="Обычный 2 9 3 3 10" xfId="6934"/>
    <cellStyle name="Обычный 2 9 3 3 11" xfId="5234"/>
    <cellStyle name="Обычный 2 9 3 3 12" xfId="3763"/>
    <cellStyle name="Обычный 2 9 3 3 13" xfId="7152"/>
    <cellStyle name="Обычный 2 9 3 3 2" xfId="813"/>
    <cellStyle name="Обычный 2 9 3 3 2 2" xfId="1574"/>
    <cellStyle name="Обычный 2 9 3 3 2 2 2" xfId="3045"/>
    <cellStyle name="Обычный 2 9 3 3 2 2 2 2" xfId="9553"/>
    <cellStyle name="Обычный 2 9 3 3 2 2 3" xfId="4693"/>
    <cellStyle name="Обычный 2 9 3 3 2 2 4" xfId="8082"/>
    <cellStyle name="Обычный 2 9 3 3 2 3" xfId="2309"/>
    <cellStyle name="Обычный 2 9 3 3 2 3 2" xfId="5428"/>
    <cellStyle name="Обычный 2 9 3 3 2 3 3" xfId="8817"/>
    <cellStyle name="Обычный 2 9 3 3 2 4" xfId="3957"/>
    <cellStyle name="Обычный 2 9 3 3 2 5" xfId="7346"/>
    <cellStyle name="Обычный 2 9 3 3 3" xfId="990"/>
    <cellStyle name="Обычный 2 9 3 3 3 2" xfId="1751"/>
    <cellStyle name="Обычный 2 9 3 3 3 2 2" xfId="3222"/>
    <cellStyle name="Обычный 2 9 3 3 3 2 2 2" xfId="9730"/>
    <cellStyle name="Обычный 2 9 3 3 3 2 3" xfId="4870"/>
    <cellStyle name="Обычный 2 9 3 3 3 2 4" xfId="8259"/>
    <cellStyle name="Обычный 2 9 3 3 3 3" xfId="2486"/>
    <cellStyle name="Обычный 2 9 3 3 3 3 2" xfId="5609"/>
    <cellStyle name="Обычный 2 9 3 3 3 3 3" xfId="8994"/>
    <cellStyle name="Обычный 2 9 3 3 3 4" xfId="4134"/>
    <cellStyle name="Обычный 2 9 3 3 3 5" xfId="7523"/>
    <cellStyle name="Обычный 2 9 3 3 4" xfId="1177"/>
    <cellStyle name="Обычный 2 9 3 3 4 2" xfId="1931"/>
    <cellStyle name="Обычный 2 9 3 3 4 2 2" xfId="3402"/>
    <cellStyle name="Обычный 2 9 3 3 4 2 2 2" xfId="9910"/>
    <cellStyle name="Обычный 2 9 3 3 4 2 3" xfId="5050"/>
    <cellStyle name="Обычный 2 9 3 3 4 2 4" xfId="8439"/>
    <cellStyle name="Обычный 2 9 3 3 4 3" xfId="2666"/>
    <cellStyle name="Обычный 2 9 3 3 4 3 2" xfId="5786"/>
    <cellStyle name="Обычный 2 9 3 3 4 3 3" xfId="9174"/>
    <cellStyle name="Обычный 2 9 3 3 4 4" xfId="4314"/>
    <cellStyle name="Обычный 2 9 3 3 4 5" xfId="7703"/>
    <cellStyle name="Обычный 2 9 3 3 5" xfId="1380"/>
    <cellStyle name="Обычный 2 9 3 3 5 2" xfId="2851"/>
    <cellStyle name="Обычный 2 9 3 3 5 2 2" xfId="5966"/>
    <cellStyle name="Обычный 2 9 3 3 5 2 3" xfId="9359"/>
    <cellStyle name="Обычный 2 9 3 3 5 3" xfId="4499"/>
    <cellStyle name="Обычный 2 9 3 3 5 4" xfId="7888"/>
    <cellStyle name="Обычный 2 9 3 3 6" xfId="2115"/>
    <cellStyle name="Обычный 2 9 3 3 6 2" xfId="6147"/>
    <cellStyle name="Обычный 2 9 3 3 6 3" xfId="8623"/>
    <cellStyle name="Обычный 2 9 3 3 7" xfId="3582"/>
    <cellStyle name="Обычный 2 9 3 3 7 2" xfId="6342"/>
    <cellStyle name="Обычный 2 9 3 3 7 3" xfId="10090"/>
    <cellStyle name="Обычный 2 9 3 3 8" xfId="6523"/>
    <cellStyle name="Обычный 2 9 3 3 9" xfId="6720"/>
    <cellStyle name="Обычный 2 9 3 4" xfId="811"/>
    <cellStyle name="Обычный 2 9 3 4 2" xfId="1572"/>
    <cellStyle name="Обычный 2 9 3 4 2 2" xfId="3043"/>
    <cellStyle name="Обычный 2 9 3 4 2 2 2" xfId="9551"/>
    <cellStyle name="Обычный 2 9 3 4 2 3" xfId="4691"/>
    <cellStyle name="Обычный 2 9 3 4 2 4" xfId="8080"/>
    <cellStyle name="Обычный 2 9 3 4 3" xfId="2307"/>
    <cellStyle name="Обычный 2 9 3 4 3 2" xfId="5426"/>
    <cellStyle name="Обычный 2 9 3 4 3 3" xfId="8815"/>
    <cellStyle name="Обычный 2 9 3 4 4" xfId="3955"/>
    <cellStyle name="Обычный 2 9 3 4 5" xfId="7344"/>
    <cellStyle name="Обычный 2 9 3 5" xfId="988"/>
    <cellStyle name="Обычный 2 9 3 5 2" xfId="1749"/>
    <cellStyle name="Обычный 2 9 3 5 2 2" xfId="3220"/>
    <cellStyle name="Обычный 2 9 3 5 2 2 2" xfId="9728"/>
    <cellStyle name="Обычный 2 9 3 5 2 3" xfId="4868"/>
    <cellStyle name="Обычный 2 9 3 5 2 4" xfId="8257"/>
    <cellStyle name="Обычный 2 9 3 5 3" xfId="2484"/>
    <cellStyle name="Обычный 2 9 3 5 3 2" xfId="5607"/>
    <cellStyle name="Обычный 2 9 3 5 3 3" xfId="8992"/>
    <cellStyle name="Обычный 2 9 3 5 4" xfId="4132"/>
    <cellStyle name="Обычный 2 9 3 5 5" xfId="7521"/>
    <cellStyle name="Обычный 2 9 3 6" xfId="1175"/>
    <cellStyle name="Обычный 2 9 3 6 2" xfId="1929"/>
    <cellStyle name="Обычный 2 9 3 6 2 2" xfId="3400"/>
    <cellStyle name="Обычный 2 9 3 6 2 2 2" xfId="9908"/>
    <cellStyle name="Обычный 2 9 3 6 2 3" xfId="5048"/>
    <cellStyle name="Обычный 2 9 3 6 2 4" xfId="8437"/>
    <cellStyle name="Обычный 2 9 3 6 3" xfId="2664"/>
    <cellStyle name="Обычный 2 9 3 6 3 2" xfId="5784"/>
    <cellStyle name="Обычный 2 9 3 6 3 3" xfId="9172"/>
    <cellStyle name="Обычный 2 9 3 6 4" xfId="4312"/>
    <cellStyle name="Обычный 2 9 3 6 5" xfId="7701"/>
    <cellStyle name="Обычный 2 9 3 7" xfId="1378"/>
    <cellStyle name="Обычный 2 9 3 7 2" xfId="2849"/>
    <cellStyle name="Обычный 2 9 3 7 2 2" xfId="5964"/>
    <cellStyle name="Обычный 2 9 3 7 2 3" xfId="9357"/>
    <cellStyle name="Обычный 2 9 3 7 3" xfId="4497"/>
    <cellStyle name="Обычный 2 9 3 7 4" xfId="7886"/>
    <cellStyle name="Обычный 2 9 3 8" xfId="2113"/>
    <cellStyle name="Обычный 2 9 3 8 2" xfId="6145"/>
    <cellStyle name="Обычный 2 9 3 8 3" xfId="8621"/>
    <cellStyle name="Обычный 2 9 3 9" xfId="3580"/>
    <cellStyle name="Обычный 2 9 3 9 2" xfId="6340"/>
    <cellStyle name="Обычный 2 9 3 9 3" xfId="10088"/>
    <cellStyle name="Обычный 2 9 4" xfId="248"/>
    <cellStyle name="Обычный 2 9 5" xfId="809"/>
    <cellStyle name="Обычный 2 9 5 2" xfId="1570"/>
    <cellStyle name="Обычный 2 9 5 2 2" xfId="3041"/>
    <cellStyle name="Обычный 2 9 5 2 2 2" xfId="9549"/>
    <cellStyle name="Обычный 2 9 5 2 3" xfId="4689"/>
    <cellStyle name="Обычный 2 9 5 2 4" xfId="8078"/>
    <cellStyle name="Обычный 2 9 5 3" xfId="2305"/>
    <cellStyle name="Обычный 2 9 5 3 2" xfId="5424"/>
    <cellStyle name="Обычный 2 9 5 3 3" xfId="8813"/>
    <cellStyle name="Обычный 2 9 5 4" xfId="3953"/>
    <cellStyle name="Обычный 2 9 5 5" xfId="7342"/>
    <cellStyle name="Обычный 2 9 6" xfId="986"/>
    <cellStyle name="Обычный 2 9 6 2" xfId="1747"/>
    <cellStyle name="Обычный 2 9 6 2 2" xfId="3218"/>
    <cellStyle name="Обычный 2 9 6 2 2 2" xfId="9726"/>
    <cellStyle name="Обычный 2 9 6 2 3" xfId="4866"/>
    <cellStyle name="Обычный 2 9 6 2 4" xfId="8255"/>
    <cellStyle name="Обычный 2 9 6 3" xfId="2482"/>
    <cellStyle name="Обычный 2 9 6 3 2" xfId="5605"/>
    <cellStyle name="Обычный 2 9 6 3 3" xfId="8990"/>
    <cellStyle name="Обычный 2 9 6 4" xfId="4130"/>
    <cellStyle name="Обычный 2 9 6 5" xfId="7519"/>
    <cellStyle name="Обычный 2 9 7" xfId="1173"/>
    <cellStyle name="Обычный 2 9 7 2" xfId="1927"/>
    <cellStyle name="Обычный 2 9 7 2 2" xfId="3398"/>
    <cellStyle name="Обычный 2 9 7 2 2 2" xfId="9906"/>
    <cellStyle name="Обычный 2 9 7 2 3" xfId="5046"/>
    <cellStyle name="Обычный 2 9 7 2 4" xfId="8435"/>
    <cellStyle name="Обычный 2 9 7 3" xfId="2662"/>
    <cellStyle name="Обычный 2 9 7 3 2" xfId="5782"/>
    <cellStyle name="Обычный 2 9 7 3 3" xfId="9170"/>
    <cellStyle name="Обычный 2 9 7 4" xfId="4310"/>
    <cellStyle name="Обычный 2 9 7 5" xfId="7699"/>
    <cellStyle name="Обычный 2 9 8" xfId="1376"/>
    <cellStyle name="Обычный 2 9 8 2" xfId="2847"/>
    <cellStyle name="Обычный 2 9 8 2 2" xfId="5962"/>
    <cellStyle name="Обычный 2 9 8 2 3" xfId="9355"/>
    <cellStyle name="Обычный 2 9 8 3" xfId="4495"/>
    <cellStyle name="Обычный 2 9 8 4" xfId="7884"/>
    <cellStyle name="Обычный 2 9 9" xfId="2111"/>
    <cellStyle name="Обычный 2 9 9 2" xfId="6143"/>
    <cellStyle name="Обычный 2 9 9 3" xfId="8619"/>
    <cellStyle name="Обычный 20" xfId="249"/>
    <cellStyle name="Обычный 200" xfId="250"/>
    <cellStyle name="Обычный 201" xfId="251"/>
    <cellStyle name="Обычный 202" xfId="252"/>
    <cellStyle name="Обычный 203" xfId="253"/>
    <cellStyle name="Обычный 204" xfId="254"/>
    <cellStyle name="Обычный 205" xfId="255"/>
    <cellStyle name="Обычный 206" xfId="256"/>
    <cellStyle name="Обычный 207" xfId="257"/>
    <cellStyle name="Обычный 208" xfId="258"/>
    <cellStyle name="Обычный 209" xfId="259"/>
    <cellStyle name="Обычный 21" xfId="260"/>
    <cellStyle name="Обычный 210" xfId="261"/>
    <cellStyle name="Обычный 211" xfId="262"/>
    <cellStyle name="Обычный 212" xfId="263"/>
    <cellStyle name="Обычный 213" xfId="264"/>
    <cellStyle name="Обычный 214" xfId="265"/>
    <cellStyle name="Обычный 215" xfId="266"/>
    <cellStyle name="Обычный 216" xfId="267"/>
    <cellStyle name="Обычный 217" xfId="268"/>
    <cellStyle name="Обычный 218" xfId="269"/>
    <cellStyle name="Обычный 219" xfId="270"/>
    <cellStyle name="Обычный 22" xfId="271"/>
    <cellStyle name="Обычный 220" xfId="272"/>
    <cellStyle name="Обычный 221" xfId="273"/>
    <cellStyle name="Обычный 222" xfId="274"/>
    <cellStyle name="Обычный 223" xfId="275"/>
    <cellStyle name="Обычный 224" xfId="276"/>
    <cellStyle name="Обычный 225" xfId="277"/>
    <cellStyle name="Обычный 226" xfId="278"/>
    <cellStyle name="Обычный 227" xfId="279"/>
    <cellStyle name="Обычный 228" xfId="280"/>
    <cellStyle name="Обычный 229" xfId="281"/>
    <cellStyle name="Обычный 23" xfId="282"/>
    <cellStyle name="Обычный 230" xfId="283"/>
    <cellStyle name="Обычный 231" xfId="284"/>
    <cellStyle name="Обычный 232" xfId="285"/>
    <cellStyle name="Обычный 233" xfId="286"/>
    <cellStyle name="Обычный 234" xfId="287"/>
    <cellStyle name="Обычный 235" xfId="288"/>
    <cellStyle name="Обычный 236" xfId="289"/>
    <cellStyle name="Обычный 237" xfId="290"/>
    <cellStyle name="Обычный 238" xfId="291"/>
    <cellStyle name="Обычный 239" xfId="292"/>
    <cellStyle name="Обычный 24" xfId="293"/>
    <cellStyle name="Обычный 240" xfId="294"/>
    <cellStyle name="Обычный 241" xfId="295"/>
    <cellStyle name="Обычный 242" xfId="296"/>
    <cellStyle name="Обычный 243" xfId="297"/>
    <cellStyle name="Обычный 244" xfId="298"/>
    <cellStyle name="Обычный 245" xfId="299"/>
    <cellStyle name="Обычный 245 10" xfId="6935"/>
    <cellStyle name="Обычный 245 11" xfId="5235"/>
    <cellStyle name="Обычный 245 12" xfId="3764"/>
    <cellStyle name="Обычный 245 13" xfId="7153"/>
    <cellStyle name="Обычный 245 2" xfId="814"/>
    <cellStyle name="Обычный 245 2 2" xfId="1575"/>
    <cellStyle name="Обычный 245 2 2 2" xfId="3046"/>
    <cellStyle name="Обычный 245 2 2 2 2" xfId="9554"/>
    <cellStyle name="Обычный 245 2 2 3" xfId="4694"/>
    <cellStyle name="Обычный 245 2 2 4" xfId="8083"/>
    <cellStyle name="Обычный 245 2 3" xfId="2310"/>
    <cellStyle name="Обычный 245 2 3 2" xfId="5429"/>
    <cellStyle name="Обычный 245 2 3 3" xfId="8818"/>
    <cellStyle name="Обычный 245 2 4" xfId="3958"/>
    <cellStyle name="Обычный 245 2 5" xfId="7347"/>
    <cellStyle name="Обычный 245 3" xfId="991"/>
    <cellStyle name="Обычный 245 3 2" xfId="1752"/>
    <cellStyle name="Обычный 245 3 2 2" xfId="3223"/>
    <cellStyle name="Обычный 245 3 2 2 2" xfId="9731"/>
    <cellStyle name="Обычный 245 3 2 3" xfId="4871"/>
    <cellStyle name="Обычный 245 3 2 4" xfId="8260"/>
    <cellStyle name="Обычный 245 3 3" xfId="2487"/>
    <cellStyle name="Обычный 245 3 3 2" xfId="5610"/>
    <cellStyle name="Обычный 245 3 3 3" xfId="8995"/>
    <cellStyle name="Обычный 245 3 4" xfId="4135"/>
    <cellStyle name="Обычный 245 3 5" xfId="7524"/>
    <cellStyle name="Обычный 245 4" xfId="1178"/>
    <cellStyle name="Обычный 245 4 2" xfId="1932"/>
    <cellStyle name="Обычный 245 4 2 2" xfId="3403"/>
    <cellStyle name="Обычный 245 4 2 2 2" xfId="9911"/>
    <cellStyle name="Обычный 245 4 2 3" xfId="5051"/>
    <cellStyle name="Обычный 245 4 2 4" xfId="8440"/>
    <cellStyle name="Обычный 245 4 3" xfId="2667"/>
    <cellStyle name="Обычный 245 4 3 2" xfId="5787"/>
    <cellStyle name="Обычный 245 4 3 3" xfId="9175"/>
    <cellStyle name="Обычный 245 4 4" xfId="4315"/>
    <cellStyle name="Обычный 245 4 5" xfId="7704"/>
    <cellStyle name="Обычный 245 5" xfId="1381"/>
    <cellStyle name="Обычный 245 5 2" xfId="2852"/>
    <cellStyle name="Обычный 245 5 2 2" xfId="5967"/>
    <cellStyle name="Обычный 245 5 2 3" xfId="9360"/>
    <cellStyle name="Обычный 245 5 3" xfId="4500"/>
    <cellStyle name="Обычный 245 5 4" xfId="7889"/>
    <cellStyle name="Обычный 245 6" xfId="2116"/>
    <cellStyle name="Обычный 245 6 2" xfId="6148"/>
    <cellStyle name="Обычный 245 6 3" xfId="8624"/>
    <cellStyle name="Обычный 245 7" xfId="3583"/>
    <cellStyle name="Обычный 245 7 2" xfId="6343"/>
    <cellStyle name="Обычный 245 7 3" xfId="10091"/>
    <cellStyle name="Обычный 245 8" xfId="6524"/>
    <cellStyle name="Обычный 245 9" xfId="6721"/>
    <cellStyle name="Обычный 246" xfId="700"/>
    <cellStyle name="Обычный 246 10" xfId="7094"/>
    <cellStyle name="Обычный 246 2" xfId="1114"/>
    <cellStyle name="Обычный 246 2 2" xfId="1873"/>
    <cellStyle name="Обычный 246 2 2 2" xfId="3344"/>
    <cellStyle name="Обычный 246 2 2 2 2" xfId="9852"/>
    <cellStyle name="Обычный 246 2 2 3" xfId="4992"/>
    <cellStyle name="Обычный 246 2 2 4" xfId="8381"/>
    <cellStyle name="Обычный 246 2 3" xfId="2608"/>
    <cellStyle name="Обычный 246 2 3 2" xfId="5908"/>
    <cellStyle name="Обычный 246 2 3 3" xfId="9116"/>
    <cellStyle name="Обычный 246 2 4" xfId="4256"/>
    <cellStyle name="Обычный 246 2 5" xfId="7645"/>
    <cellStyle name="Обычный 246 3" xfId="1322"/>
    <cellStyle name="Обычный 246 3 2" xfId="2793"/>
    <cellStyle name="Обычный 246 3 2 2" xfId="6089"/>
    <cellStyle name="Обычный 246 3 2 3" xfId="9301"/>
    <cellStyle name="Обычный 246 3 3" xfId="4441"/>
    <cellStyle name="Обычный 246 3 4" xfId="7830"/>
    <cellStyle name="Обычный 246 4" xfId="2057"/>
    <cellStyle name="Обычный 246 4 2" xfId="6284"/>
    <cellStyle name="Обычный 246 4 3" xfId="8565"/>
    <cellStyle name="Обычный 246 5" xfId="6465"/>
    <cellStyle name="Обычный 246 6" xfId="6662"/>
    <cellStyle name="Обычный 246 7" xfId="6876"/>
    <cellStyle name="Обычный 246 8" xfId="5176"/>
    <cellStyle name="Обычный 246 9" xfId="3705"/>
    <cellStyle name="Обычный 247" xfId="665"/>
    <cellStyle name="Обычный 247 2" xfId="1111"/>
    <cellStyle name="Обычный 247 3" xfId="1499"/>
    <cellStyle name="Обычный 247 3 2" xfId="2970"/>
    <cellStyle name="Обычный 247 3 2 2" xfId="9478"/>
    <cellStyle name="Обычный 247 3 3" xfId="4618"/>
    <cellStyle name="Обычный 247 3 4" xfId="8007"/>
    <cellStyle name="Обычный 247 4" xfId="2234"/>
    <cellStyle name="Обычный 247 4 2" xfId="5353"/>
    <cellStyle name="Обычный 247 4 3" xfId="8742"/>
    <cellStyle name="Обычный 247 5" xfId="3882"/>
    <cellStyle name="Обычный 247 6" xfId="7271"/>
    <cellStyle name="Обычный 247 7" xfId="736"/>
    <cellStyle name="Обычный 248" xfId="666"/>
    <cellStyle name="Обычный 248 10" xfId="748"/>
    <cellStyle name="Обычный 248 2" xfId="1305"/>
    <cellStyle name="Обычный 248 2 2" xfId="2050"/>
    <cellStyle name="Обычный 248 2 2 2" xfId="3521"/>
    <cellStyle name="Обычный 248 2 2 2 2" xfId="10029"/>
    <cellStyle name="Обычный 248 2 2 3" xfId="5169"/>
    <cellStyle name="Обычный 248 2 2 4" xfId="8558"/>
    <cellStyle name="Обычный 248 2 3" xfId="2785"/>
    <cellStyle name="Обычный 248 2 3 2" xfId="6085"/>
    <cellStyle name="Обычный 248 2 3 3" xfId="9293"/>
    <cellStyle name="Обычный 248 2 4" xfId="4433"/>
    <cellStyle name="Обычный 248 2 5" xfId="7822"/>
    <cellStyle name="Обычный 248 3" xfId="1510"/>
    <cellStyle name="Обычный 248 3 2" xfId="2981"/>
    <cellStyle name="Обычный 248 3 2 2" xfId="6274"/>
    <cellStyle name="Обычный 248 3 2 3" xfId="9489"/>
    <cellStyle name="Обычный 248 3 3" xfId="4629"/>
    <cellStyle name="Обычный 248 3 4" xfId="8018"/>
    <cellStyle name="Обычный 248 4" xfId="2245"/>
    <cellStyle name="Обычный 248 4 2" xfId="6650"/>
    <cellStyle name="Обычный 248 4 3" xfId="8753"/>
    <cellStyle name="Обычный 248 5" xfId="6847"/>
    <cellStyle name="Обычный 248 6" xfId="7061"/>
    <cellStyle name="Обычный 248 7" xfId="5364"/>
    <cellStyle name="Обычный 248 8" xfId="3893"/>
    <cellStyle name="Обычный 248 9" xfId="7282"/>
    <cellStyle name="Обычный 249" xfId="690"/>
    <cellStyle name="Обычный 249 2" xfId="1516"/>
    <cellStyle name="Обычный 249 2 2" xfId="2987"/>
    <cellStyle name="Обычный 249 2 2 2" xfId="6856"/>
    <cellStyle name="Обычный 249 2 2 3" xfId="9495"/>
    <cellStyle name="Обычный 249 2 3" xfId="4635"/>
    <cellStyle name="Обычный 249 2 4" xfId="8024"/>
    <cellStyle name="Обычный 249 3" xfId="2251"/>
    <cellStyle name="Обычный 249 3 2" xfId="7070"/>
    <cellStyle name="Обычный 249 3 3" xfId="8759"/>
    <cellStyle name="Обычный 249 4" xfId="5370"/>
    <cellStyle name="Обычный 249 5" xfId="3899"/>
    <cellStyle name="Обычный 249 6" xfId="7288"/>
    <cellStyle name="Обычный 249 7" xfId="755"/>
    <cellStyle name="Обычный 25" xfId="300"/>
    <cellStyle name="Обычный 250" xfId="932"/>
    <cellStyle name="Обычный 250 2" xfId="1693"/>
    <cellStyle name="Обычный 250 2 2" xfId="3164"/>
    <cellStyle name="Обычный 250 2 2 2" xfId="9672"/>
    <cellStyle name="Обычный 250 2 3" xfId="4812"/>
    <cellStyle name="Обычный 250 2 4" xfId="8201"/>
    <cellStyle name="Обычный 250 3" xfId="2428"/>
    <cellStyle name="Обычный 250 3 2" xfId="5547"/>
    <cellStyle name="Обычный 250 3 3" xfId="8936"/>
    <cellStyle name="Обычный 250 4" xfId="4076"/>
    <cellStyle name="Обычный 250 5" xfId="7465"/>
    <cellStyle name="Обычный 251" xfId="1109"/>
    <cellStyle name="Обычный 251 2" xfId="1870"/>
    <cellStyle name="Обычный 251 2 2" xfId="3341"/>
    <cellStyle name="Обычный 251 2 2 2" xfId="9849"/>
    <cellStyle name="Обычный 251 2 3" xfId="4989"/>
    <cellStyle name="Обычный 251 2 4" xfId="8378"/>
    <cellStyle name="Обычный 251 3" xfId="2052"/>
    <cellStyle name="Обычный 251 3 2" xfId="3523"/>
    <cellStyle name="Обычный 251 3 2 2" xfId="10031"/>
    <cellStyle name="Обычный 251 3 3" xfId="5171"/>
    <cellStyle name="Обычный 251 3 4" xfId="8560"/>
    <cellStyle name="Обычный 251 4" xfId="2605"/>
    <cellStyle name="Обычный 251 4 2" xfId="5728"/>
    <cellStyle name="Обычный 251 4 3" xfId="9113"/>
    <cellStyle name="Обычный 251 5" xfId="4253"/>
    <cellStyle name="Обычный 251 6" xfId="7642"/>
    <cellStyle name="Обычный 252" xfId="1315"/>
    <cellStyle name="Обычный 252 2" xfId="2051"/>
    <cellStyle name="Обычный 252 2 2" xfId="3522"/>
    <cellStyle name="Обычный 252 2 2 2" xfId="10030"/>
    <cellStyle name="Обычный 252 2 3" xfId="5170"/>
    <cellStyle name="Обычный 252 2 4" xfId="8559"/>
    <cellStyle name="Обычный 252 3" xfId="2786"/>
    <cellStyle name="Обычный 252 3 2" xfId="5905"/>
    <cellStyle name="Обычный 252 3 3" xfId="9294"/>
    <cellStyle name="Обычный 252 4" xfId="4434"/>
    <cellStyle name="Обычный 252 5" xfId="7823"/>
    <cellStyle name="Обычный 253" xfId="3524"/>
    <cellStyle name="Обычный 253 2" xfId="6086"/>
    <cellStyle name="Обычный 253 3" xfId="10032"/>
    <cellStyle name="Обычный 254" xfId="5550"/>
    <cellStyle name="Обычный 255" xfId="6283"/>
    <cellStyle name="Обычный 256" xfId="6462"/>
    <cellStyle name="Обычный 257" xfId="6659"/>
    <cellStyle name="Обычный 258" xfId="1317"/>
    <cellStyle name="Обычный 258 2" xfId="2788"/>
    <cellStyle name="Обычный 258 2 2" xfId="6873"/>
    <cellStyle name="Обычный 258 2 3" xfId="9296"/>
    <cellStyle name="Обычный 258 3" xfId="4436"/>
    <cellStyle name="Обычный 258 4" xfId="7825"/>
    <cellStyle name="Обычный 259" xfId="1316"/>
    <cellStyle name="Обычный 259 2" xfId="2787"/>
    <cellStyle name="Обычный 259 2 2" xfId="7087"/>
    <cellStyle name="Обычный 259 2 3" xfId="9295"/>
    <cellStyle name="Обычный 259 3" xfId="4435"/>
    <cellStyle name="Обычный 259 4" xfId="7824"/>
    <cellStyle name="Обычный 26" xfId="301"/>
    <cellStyle name="Обычный 260" xfId="7088"/>
    <cellStyle name="Обычный 261" xfId="10209"/>
    <cellStyle name="Обычный 262" xfId="691"/>
    <cellStyle name="Обычный 263" xfId="10213"/>
    <cellStyle name="Обычный 264" xfId="10214"/>
    <cellStyle name="Обычный 265" xfId="1"/>
    <cellStyle name="Обычный 266" xfId="10211"/>
    <cellStyle name="Обычный 27" xfId="302"/>
    <cellStyle name="Обычный 28" xfId="303"/>
    <cellStyle name="Обычный 29" xfId="304"/>
    <cellStyle name="Обычный 3" xfId="305"/>
    <cellStyle name="Обычный 3 10" xfId="1110"/>
    <cellStyle name="Обычный 3 10 2" xfId="1871"/>
    <cellStyle name="Обычный 3 10 2 2" xfId="3342"/>
    <cellStyle name="Обычный 3 10 2 2 2" xfId="9850"/>
    <cellStyle name="Обычный 3 10 2 3" xfId="4990"/>
    <cellStyle name="Обычный 3 10 2 4" xfId="8379"/>
    <cellStyle name="Обычный 3 10 3" xfId="2606"/>
    <cellStyle name="Обычный 3 10 3 2" xfId="5906"/>
    <cellStyle name="Обычный 3 10 3 3" xfId="9114"/>
    <cellStyle name="Обычный 3 10 4" xfId="4254"/>
    <cellStyle name="Обычный 3 10 5" xfId="7643"/>
    <cellStyle name="Обычный 3 11" xfId="6087"/>
    <cellStyle name="Обычный 3 12" xfId="6463"/>
    <cellStyle name="Обычный 3 13" xfId="6660"/>
    <cellStyle name="Обычный 3 14" xfId="6874"/>
    <cellStyle name="Обычный 3 15" xfId="715"/>
    <cellStyle name="Обычный 3 16" xfId="667"/>
    <cellStyle name="Обычный 3 2" xfId="306"/>
    <cellStyle name="Обычный 3 2 2" xfId="307"/>
    <cellStyle name="Обычный 3 2 2 10" xfId="6525"/>
    <cellStyle name="Обычный 3 2 2 11" xfId="6722"/>
    <cellStyle name="Обычный 3 2 2 12" xfId="6936"/>
    <cellStyle name="Обычный 3 2 2 13" xfId="5236"/>
    <cellStyle name="Обычный 3 2 2 14" xfId="3765"/>
    <cellStyle name="Обычный 3 2 2 15" xfId="7154"/>
    <cellStyle name="Обычный 3 2 2 2" xfId="308"/>
    <cellStyle name="Обычный 3 2 2 2 10" xfId="6723"/>
    <cellStyle name="Обычный 3 2 2 2 11" xfId="6937"/>
    <cellStyle name="Обычный 3 2 2 2 12" xfId="5237"/>
    <cellStyle name="Обычный 3 2 2 2 13" xfId="3766"/>
    <cellStyle name="Обычный 3 2 2 2 14" xfId="7155"/>
    <cellStyle name="Обычный 3 2 2 2 2" xfId="309"/>
    <cellStyle name="Обычный 3 2 2 2 2 10" xfId="6938"/>
    <cellStyle name="Обычный 3 2 2 2 2 11" xfId="5238"/>
    <cellStyle name="Обычный 3 2 2 2 2 12" xfId="3767"/>
    <cellStyle name="Обычный 3 2 2 2 2 13" xfId="7156"/>
    <cellStyle name="Обычный 3 2 2 2 2 2" xfId="817"/>
    <cellStyle name="Обычный 3 2 2 2 2 2 2" xfId="1578"/>
    <cellStyle name="Обычный 3 2 2 2 2 2 2 2" xfId="3049"/>
    <cellStyle name="Обычный 3 2 2 2 2 2 2 2 2" xfId="9557"/>
    <cellStyle name="Обычный 3 2 2 2 2 2 2 3" xfId="4697"/>
    <cellStyle name="Обычный 3 2 2 2 2 2 2 4" xfId="8086"/>
    <cellStyle name="Обычный 3 2 2 2 2 2 3" xfId="2313"/>
    <cellStyle name="Обычный 3 2 2 2 2 2 3 2" xfId="5432"/>
    <cellStyle name="Обычный 3 2 2 2 2 2 3 3" xfId="8821"/>
    <cellStyle name="Обычный 3 2 2 2 2 2 4" xfId="3961"/>
    <cellStyle name="Обычный 3 2 2 2 2 2 5" xfId="7350"/>
    <cellStyle name="Обычный 3 2 2 2 2 3" xfId="994"/>
    <cellStyle name="Обычный 3 2 2 2 2 3 2" xfId="1755"/>
    <cellStyle name="Обычный 3 2 2 2 2 3 2 2" xfId="3226"/>
    <cellStyle name="Обычный 3 2 2 2 2 3 2 2 2" xfId="9734"/>
    <cellStyle name="Обычный 3 2 2 2 2 3 2 3" xfId="4874"/>
    <cellStyle name="Обычный 3 2 2 2 2 3 2 4" xfId="8263"/>
    <cellStyle name="Обычный 3 2 2 2 2 3 3" xfId="2490"/>
    <cellStyle name="Обычный 3 2 2 2 2 3 3 2" xfId="5613"/>
    <cellStyle name="Обычный 3 2 2 2 2 3 3 3" xfId="8998"/>
    <cellStyle name="Обычный 3 2 2 2 2 3 4" xfId="4138"/>
    <cellStyle name="Обычный 3 2 2 2 2 3 5" xfId="7527"/>
    <cellStyle name="Обычный 3 2 2 2 2 4" xfId="1182"/>
    <cellStyle name="Обычный 3 2 2 2 2 4 2" xfId="1935"/>
    <cellStyle name="Обычный 3 2 2 2 2 4 2 2" xfId="3406"/>
    <cellStyle name="Обычный 3 2 2 2 2 4 2 2 2" xfId="9914"/>
    <cellStyle name="Обычный 3 2 2 2 2 4 2 3" xfId="5054"/>
    <cellStyle name="Обычный 3 2 2 2 2 4 2 4" xfId="8443"/>
    <cellStyle name="Обычный 3 2 2 2 2 4 3" xfId="2670"/>
    <cellStyle name="Обычный 3 2 2 2 2 4 3 2" xfId="5790"/>
    <cellStyle name="Обычный 3 2 2 2 2 4 3 3" xfId="9178"/>
    <cellStyle name="Обычный 3 2 2 2 2 4 4" xfId="4318"/>
    <cellStyle name="Обычный 3 2 2 2 2 4 5" xfId="7707"/>
    <cellStyle name="Обычный 3 2 2 2 2 5" xfId="1384"/>
    <cellStyle name="Обычный 3 2 2 2 2 5 2" xfId="2855"/>
    <cellStyle name="Обычный 3 2 2 2 2 5 2 2" xfId="5970"/>
    <cellStyle name="Обычный 3 2 2 2 2 5 2 3" xfId="9363"/>
    <cellStyle name="Обычный 3 2 2 2 2 5 3" xfId="4503"/>
    <cellStyle name="Обычный 3 2 2 2 2 5 4" xfId="7892"/>
    <cellStyle name="Обычный 3 2 2 2 2 6" xfId="2119"/>
    <cellStyle name="Обычный 3 2 2 2 2 6 2" xfId="6151"/>
    <cellStyle name="Обычный 3 2 2 2 2 6 3" xfId="8627"/>
    <cellStyle name="Обычный 3 2 2 2 2 7" xfId="3586"/>
    <cellStyle name="Обычный 3 2 2 2 2 7 2" xfId="6346"/>
    <cellStyle name="Обычный 3 2 2 2 2 7 3" xfId="10094"/>
    <cellStyle name="Обычный 3 2 2 2 2 8" xfId="6527"/>
    <cellStyle name="Обычный 3 2 2 2 2 9" xfId="6724"/>
    <cellStyle name="Обычный 3 2 2 2 3" xfId="816"/>
    <cellStyle name="Обычный 3 2 2 2 3 2" xfId="1577"/>
    <cellStyle name="Обычный 3 2 2 2 3 2 2" xfId="3048"/>
    <cellStyle name="Обычный 3 2 2 2 3 2 2 2" xfId="9556"/>
    <cellStyle name="Обычный 3 2 2 2 3 2 3" xfId="4696"/>
    <cellStyle name="Обычный 3 2 2 2 3 2 4" xfId="8085"/>
    <cellStyle name="Обычный 3 2 2 2 3 3" xfId="2312"/>
    <cellStyle name="Обычный 3 2 2 2 3 3 2" xfId="5431"/>
    <cellStyle name="Обычный 3 2 2 2 3 3 3" xfId="8820"/>
    <cellStyle name="Обычный 3 2 2 2 3 4" xfId="3960"/>
    <cellStyle name="Обычный 3 2 2 2 3 5" xfId="7349"/>
    <cellStyle name="Обычный 3 2 2 2 4" xfId="993"/>
    <cellStyle name="Обычный 3 2 2 2 4 2" xfId="1754"/>
    <cellStyle name="Обычный 3 2 2 2 4 2 2" xfId="3225"/>
    <cellStyle name="Обычный 3 2 2 2 4 2 2 2" xfId="9733"/>
    <cellStyle name="Обычный 3 2 2 2 4 2 3" xfId="4873"/>
    <cellStyle name="Обычный 3 2 2 2 4 2 4" xfId="8262"/>
    <cellStyle name="Обычный 3 2 2 2 4 3" xfId="2489"/>
    <cellStyle name="Обычный 3 2 2 2 4 3 2" xfId="5612"/>
    <cellStyle name="Обычный 3 2 2 2 4 3 3" xfId="8997"/>
    <cellStyle name="Обычный 3 2 2 2 4 4" xfId="4137"/>
    <cellStyle name="Обычный 3 2 2 2 4 5" xfId="7526"/>
    <cellStyle name="Обычный 3 2 2 2 5" xfId="1181"/>
    <cellStyle name="Обычный 3 2 2 2 5 2" xfId="1934"/>
    <cellStyle name="Обычный 3 2 2 2 5 2 2" xfId="3405"/>
    <cellStyle name="Обычный 3 2 2 2 5 2 2 2" xfId="9913"/>
    <cellStyle name="Обычный 3 2 2 2 5 2 3" xfId="5053"/>
    <cellStyle name="Обычный 3 2 2 2 5 2 4" xfId="8442"/>
    <cellStyle name="Обычный 3 2 2 2 5 3" xfId="2669"/>
    <cellStyle name="Обычный 3 2 2 2 5 3 2" xfId="5789"/>
    <cellStyle name="Обычный 3 2 2 2 5 3 3" xfId="9177"/>
    <cellStyle name="Обычный 3 2 2 2 5 4" xfId="4317"/>
    <cellStyle name="Обычный 3 2 2 2 5 5" xfId="7706"/>
    <cellStyle name="Обычный 3 2 2 2 6" xfId="1383"/>
    <cellStyle name="Обычный 3 2 2 2 6 2" xfId="2854"/>
    <cellStyle name="Обычный 3 2 2 2 6 2 2" xfId="5969"/>
    <cellStyle name="Обычный 3 2 2 2 6 2 3" xfId="9362"/>
    <cellStyle name="Обычный 3 2 2 2 6 3" xfId="4502"/>
    <cellStyle name="Обычный 3 2 2 2 6 4" xfId="7891"/>
    <cellStyle name="Обычный 3 2 2 2 7" xfId="2118"/>
    <cellStyle name="Обычный 3 2 2 2 7 2" xfId="6150"/>
    <cellStyle name="Обычный 3 2 2 2 7 3" xfId="8626"/>
    <cellStyle name="Обычный 3 2 2 2 8" xfId="3585"/>
    <cellStyle name="Обычный 3 2 2 2 8 2" xfId="6345"/>
    <cellStyle name="Обычный 3 2 2 2 8 3" xfId="10093"/>
    <cellStyle name="Обычный 3 2 2 2 9" xfId="6526"/>
    <cellStyle name="Обычный 3 2 2 3" xfId="310"/>
    <cellStyle name="Обычный 3 2 2 3 10" xfId="6939"/>
    <cellStyle name="Обычный 3 2 2 3 11" xfId="5239"/>
    <cellStyle name="Обычный 3 2 2 3 12" xfId="3768"/>
    <cellStyle name="Обычный 3 2 2 3 13" xfId="7157"/>
    <cellStyle name="Обычный 3 2 2 3 2" xfId="818"/>
    <cellStyle name="Обычный 3 2 2 3 2 2" xfId="1579"/>
    <cellStyle name="Обычный 3 2 2 3 2 2 2" xfId="3050"/>
    <cellStyle name="Обычный 3 2 2 3 2 2 2 2" xfId="9558"/>
    <cellStyle name="Обычный 3 2 2 3 2 2 3" xfId="4698"/>
    <cellStyle name="Обычный 3 2 2 3 2 2 4" xfId="8087"/>
    <cellStyle name="Обычный 3 2 2 3 2 3" xfId="2314"/>
    <cellStyle name="Обычный 3 2 2 3 2 3 2" xfId="5433"/>
    <cellStyle name="Обычный 3 2 2 3 2 3 3" xfId="8822"/>
    <cellStyle name="Обычный 3 2 2 3 2 4" xfId="3962"/>
    <cellStyle name="Обычный 3 2 2 3 2 5" xfId="7351"/>
    <cellStyle name="Обычный 3 2 2 3 3" xfId="995"/>
    <cellStyle name="Обычный 3 2 2 3 3 2" xfId="1756"/>
    <cellStyle name="Обычный 3 2 2 3 3 2 2" xfId="3227"/>
    <cellStyle name="Обычный 3 2 2 3 3 2 2 2" xfId="9735"/>
    <cellStyle name="Обычный 3 2 2 3 3 2 3" xfId="4875"/>
    <cellStyle name="Обычный 3 2 2 3 3 2 4" xfId="8264"/>
    <cellStyle name="Обычный 3 2 2 3 3 3" xfId="2491"/>
    <cellStyle name="Обычный 3 2 2 3 3 3 2" xfId="5614"/>
    <cellStyle name="Обычный 3 2 2 3 3 3 3" xfId="8999"/>
    <cellStyle name="Обычный 3 2 2 3 3 4" xfId="4139"/>
    <cellStyle name="Обычный 3 2 2 3 3 5" xfId="7528"/>
    <cellStyle name="Обычный 3 2 2 3 4" xfId="1183"/>
    <cellStyle name="Обычный 3 2 2 3 4 2" xfId="1936"/>
    <cellStyle name="Обычный 3 2 2 3 4 2 2" xfId="3407"/>
    <cellStyle name="Обычный 3 2 2 3 4 2 2 2" xfId="9915"/>
    <cellStyle name="Обычный 3 2 2 3 4 2 3" xfId="5055"/>
    <cellStyle name="Обычный 3 2 2 3 4 2 4" xfId="8444"/>
    <cellStyle name="Обычный 3 2 2 3 4 3" xfId="2671"/>
    <cellStyle name="Обычный 3 2 2 3 4 3 2" xfId="5791"/>
    <cellStyle name="Обычный 3 2 2 3 4 3 3" xfId="9179"/>
    <cellStyle name="Обычный 3 2 2 3 4 4" xfId="4319"/>
    <cellStyle name="Обычный 3 2 2 3 4 5" xfId="7708"/>
    <cellStyle name="Обычный 3 2 2 3 5" xfId="1385"/>
    <cellStyle name="Обычный 3 2 2 3 5 2" xfId="2856"/>
    <cellStyle name="Обычный 3 2 2 3 5 2 2" xfId="5971"/>
    <cellStyle name="Обычный 3 2 2 3 5 2 3" xfId="9364"/>
    <cellStyle name="Обычный 3 2 2 3 5 3" xfId="4504"/>
    <cellStyle name="Обычный 3 2 2 3 5 4" xfId="7893"/>
    <cellStyle name="Обычный 3 2 2 3 6" xfId="2120"/>
    <cellStyle name="Обычный 3 2 2 3 6 2" xfId="6152"/>
    <cellStyle name="Обычный 3 2 2 3 6 3" xfId="8628"/>
    <cellStyle name="Обычный 3 2 2 3 7" xfId="3587"/>
    <cellStyle name="Обычный 3 2 2 3 7 2" xfId="6347"/>
    <cellStyle name="Обычный 3 2 2 3 7 3" xfId="10095"/>
    <cellStyle name="Обычный 3 2 2 3 8" xfId="6528"/>
    <cellStyle name="Обычный 3 2 2 3 9" xfId="6725"/>
    <cellStyle name="Обычный 3 2 2 4" xfId="815"/>
    <cellStyle name="Обычный 3 2 2 4 2" xfId="1576"/>
    <cellStyle name="Обычный 3 2 2 4 2 2" xfId="3047"/>
    <cellStyle name="Обычный 3 2 2 4 2 2 2" xfId="9555"/>
    <cellStyle name="Обычный 3 2 2 4 2 3" xfId="4695"/>
    <cellStyle name="Обычный 3 2 2 4 2 4" xfId="8084"/>
    <cellStyle name="Обычный 3 2 2 4 3" xfId="2311"/>
    <cellStyle name="Обычный 3 2 2 4 3 2" xfId="5430"/>
    <cellStyle name="Обычный 3 2 2 4 3 3" xfId="8819"/>
    <cellStyle name="Обычный 3 2 2 4 4" xfId="3959"/>
    <cellStyle name="Обычный 3 2 2 4 5" xfId="7348"/>
    <cellStyle name="Обычный 3 2 2 5" xfId="992"/>
    <cellStyle name="Обычный 3 2 2 5 2" xfId="1753"/>
    <cellStyle name="Обычный 3 2 2 5 2 2" xfId="3224"/>
    <cellStyle name="Обычный 3 2 2 5 2 2 2" xfId="9732"/>
    <cellStyle name="Обычный 3 2 2 5 2 3" xfId="4872"/>
    <cellStyle name="Обычный 3 2 2 5 2 4" xfId="8261"/>
    <cellStyle name="Обычный 3 2 2 5 3" xfId="2488"/>
    <cellStyle name="Обычный 3 2 2 5 3 2" xfId="5611"/>
    <cellStyle name="Обычный 3 2 2 5 3 3" xfId="8996"/>
    <cellStyle name="Обычный 3 2 2 5 4" xfId="4136"/>
    <cellStyle name="Обычный 3 2 2 5 5" xfId="7525"/>
    <cellStyle name="Обычный 3 2 2 6" xfId="1180"/>
    <cellStyle name="Обычный 3 2 2 6 2" xfId="1933"/>
    <cellStyle name="Обычный 3 2 2 6 2 2" xfId="3404"/>
    <cellStyle name="Обычный 3 2 2 6 2 2 2" xfId="9912"/>
    <cellStyle name="Обычный 3 2 2 6 2 3" xfId="5052"/>
    <cellStyle name="Обычный 3 2 2 6 2 4" xfId="8441"/>
    <cellStyle name="Обычный 3 2 2 6 3" xfId="2668"/>
    <cellStyle name="Обычный 3 2 2 6 3 2" xfId="5788"/>
    <cellStyle name="Обычный 3 2 2 6 3 3" xfId="9176"/>
    <cellStyle name="Обычный 3 2 2 6 4" xfId="4316"/>
    <cellStyle name="Обычный 3 2 2 6 5" xfId="7705"/>
    <cellStyle name="Обычный 3 2 2 7" xfId="1382"/>
    <cellStyle name="Обычный 3 2 2 7 2" xfId="2853"/>
    <cellStyle name="Обычный 3 2 2 7 2 2" xfId="5968"/>
    <cellStyle name="Обычный 3 2 2 7 2 3" xfId="9361"/>
    <cellStyle name="Обычный 3 2 2 7 3" xfId="4501"/>
    <cellStyle name="Обычный 3 2 2 7 4" xfId="7890"/>
    <cellStyle name="Обычный 3 2 2 8" xfId="2117"/>
    <cellStyle name="Обычный 3 2 2 8 2" xfId="6149"/>
    <cellStyle name="Обычный 3 2 2 8 3" xfId="8625"/>
    <cellStyle name="Обычный 3 2 2 9" xfId="3584"/>
    <cellStyle name="Обычный 3 2 2 9 2" xfId="6344"/>
    <cellStyle name="Обычный 3 2 2 9 3" xfId="10092"/>
    <cellStyle name="Обычный 3 2 3" xfId="311"/>
    <cellStyle name="Обычный 3 2 3 10" xfId="6529"/>
    <cellStyle name="Обычный 3 2 3 11" xfId="6726"/>
    <cellStyle name="Обычный 3 2 3 12" xfId="6940"/>
    <cellStyle name="Обычный 3 2 3 13" xfId="5240"/>
    <cellStyle name="Обычный 3 2 3 14" xfId="3769"/>
    <cellStyle name="Обычный 3 2 3 15" xfId="7158"/>
    <cellStyle name="Обычный 3 2 3 2" xfId="312"/>
    <cellStyle name="Обычный 3 2 3 2 10" xfId="6941"/>
    <cellStyle name="Обычный 3 2 3 2 11" xfId="5241"/>
    <cellStyle name="Обычный 3 2 3 2 12" xfId="3770"/>
    <cellStyle name="Обычный 3 2 3 2 13" xfId="7159"/>
    <cellStyle name="Обычный 3 2 3 2 2" xfId="820"/>
    <cellStyle name="Обычный 3 2 3 2 2 2" xfId="1581"/>
    <cellStyle name="Обычный 3 2 3 2 2 2 2" xfId="3052"/>
    <cellStyle name="Обычный 3 2 3 2 2 2 2 2" xfId="9560"/>
    <cellStyle name="Обычный 3 2 3 2 2 2 3" xfId="4700"/>
    <cellStyle name="Обычный 3 2 3 2 2 2 4" xfId="8089"/>
    <cellStyle name="Обычный 3 2 3 2 2 3" xfId="2316"/>
    <cellStyle name="Обычный 3 2 3 2 2 3 2" xfId="5435"/>
    <cellStyle name="Обычный 3 2 3 2 2 3 3" xfId="8824"/>
    <cellStyle name="Обычный 3 2 3 2 2 4" xfId="3964"/>
    <cellStyle name="Обычный 3 2 3 2 2 5" xfId="7353"/>
    <cellStyle name="Обычный 3 2 3 2 3" xfId="997"/>
    <cellStyle name="Обычный 3 2 3 2 3 2" xfId="1758"/>
    <cellStyle name="Обычный 3 2 3 2 3 2 2" xfId="3229"/>
    <cellStyle name="Обычный 3 2 3 2 3 2 2 2" xfId="9737"/>
    <cellStyle name="Обычный 3 2 3 2 3 2 3" xfId="4877"/>
    <cellStyle name="Обычный 3 2 3 2 3 2 4" xfId="8266"/>
    <cellStyle name="Обычный 3 2 3 2 3 3" xfId="2493"/>
    <cellStyle name="Обычный 3 2 3 2 3 3 2" xfId="5616"/>
    <cellStyle name="Обычный 3 2 3 2 3 3 3" xfId="9001"/>
    <cellStyle name="Обычный 3 2 3 2 3 4" xfId="4141"/>
    <cellStyle name="Обычный 3 2 3 2 3 5" xfId="7530"/>
    <cellStyle name="Обычный 3 2 3 2 4" xfId="1185"/>
    <cellStyle name="Обычный 3 2 3 2 4 2" xfId="1938"/>
    <cellStyle name="Обычный 3 2 3 2 4 2 2" xfId="3409"/>
    <cellStyle name="Обычный 3 2 3 2 4 2 2 2" xfId="9917"/>
    <cellStyle name="Обычный 3 2 3 2 4 2 3" xfId="5057"/>
    <cellStyle name="Обычный 3 2 3 2 4 2 4" xfId="8446"/>
    <cellStyle name="Обычный 3 2 3 2 4 3" xfId="2673"/>
    <cellStyle name="Обычный 3 2 3 2 4 3 2" xfId="5793"/>
    <cellStyle name="Обычный 3 2 3 2 4 3 3" xfId="9181"/>
    <cellStyle name="Обычный 3 2 3 2 4 4" xfId="4321"/>
    <cellStyle name="Обычный 3 2 3 2 4 5" xfId="7710"/>
    <cellStyle name="Обычный 3 2 3 2 5" xfId="1387"/>
    <cellStyle name="Обычный 3 2 3 2 5 2" xfId="2858"/>
    <cellStyle name="Обычный 3 2 3 2 5 2 2" xfId="5973"/>
    <cellStyle name="Обычный 3 2 3 2 5 2 3" xfId="9366"/>
    <cellStyle name="Обычный 3 2 3 2 5 3" xfId="4506"/>
    <cellStyle name="Обычный 3 2 3 2 5 4" xfId="7895"/>
    <cellStyle name="Обычный 3 2 3 2 6" xfId="2122"/>
    <cellStyle name="Обычный 3 2 3 2 6 2" xfId="6154"/>
    <cellStyle name="Обычный 3 2 3 2 6 3" xfId="8630"/>
    <cellStyle name="Обычный 3 2 3 2 7" xfId="3589"/>
    <cellStyle name="Обычный 3 2 3 2 7 2" xfId="6349"/>
    <cellStyle name="Обычный 3 2 3 2 7 3" xfId="10097"/>
    <cellStyle name="Обычный 3 2 3 2 8" xfId="6530"/>
    <cellStyle name="Обычный 3 2 3 2 9" xfId="6727"/>
    <cellStyle name="Обычный 3 2 3 3" xfId="313"/>
    <cellStyle name="Обычный 3 2 3 4" xfId="819"/>
    <cellStyle name="Обычный 3 2 3 4 2" xfId="1580"/>
    <cellStyle name="Обычный 3 2 3 4 2 2" xfId="3051"/>
    <cellStyle name="Обычный 3 2 3 4 2 2 2" xfId="9559"/>
    <cellStyle name="Обычный 3 2 3 4 2 3" xfId="4699"/>
    <cellStyle name="Обычный 3 2 3 4 2 4" xfId="8088"/>
    <cellStyle name="Обычный 3 2 3 4 3" xfId="2315"/>
    <cellStyle name="Обычный 3 2 3 4 3 2" xfId="5434"/>
    <cellStyle name="Обычный 3 2 3 4 3 3" xfId="8823"/>
    <cellStyle name="Обычный 3 2 3 4 4" xfId="3963"/>
    <cellStyle name="Обычный 3 2 3 4 5" xfId="7352"/>
    <cellStyle name="Обычный 3 2 3 5" xfId="996"/>
    <cellStyle name="Обычный 3 2 3 5 2" xfId="1757"/>
    <cellStyle name="Обычный 3 2 3 5 2 2" xfId="3228"/>
    <cellStyle name="Обычный 3 2 3 5 2 2 2" xfId="9736"/>
    <cellStyle name="Обычный 3 2 3 5 2 3" xfId="4876"/>
    <cellStyle name="Обычный 3 2 3 5 2 4" xfId="8265"/>
    <cellStyle name="Обычный 3 2 3 5 3" xfId="2492"/>
    <cellStyle name="Обычный 3 2 3 5 3 2" xfId="5615"/>
    <cellStyle name="Обычный 3 2 3 5 3 3" xfId="9000"/>
    <cellStyle name="Обычный 3 2 3 5 4" xfId="4140"/>
    <cellStyle name="Обычный 3 2 3 5 5" xfId="7529"/>
    <cellStyle name="Обычный 3 2 3 6" xfId="1184"/>
    <cellStyle name="Обычный 3 2 3 6 2" xfId="1937"/>
    <cellStyle name="Обычный 3 2 3 6 2 2" xfId="3408"/>
    <cellStyle name="Обычный 3 2 3 6 2 2 2" xfId="9916"/>
    <cellStyle name="Обычный 3 2 3 6 2 3" xfId="5056"/>
    <cellStyle name="Обычный 3 2 3 6 2 4" xfId="8445"/>
    <cellStyle name="Обычный 3 2 3 6 3" xfId="2672"/>
    <cellStyle name="Обычный 3 2 3 6 3 2" xfId="5792"/>
    <cellStyle name="Обычный 3 2 3 6 3 3" xfId="9180"/>
    <cellStyle name="Обычный 3 2 3 6 4" xfId="4320"/>
    <cellStyle name="Обычный 3 2 3 6 5" xfId="7709"/>
    <cellStyle name="Обычный 3 2 3 7" xfId="1386"/>
    <cellStyle name="Обычный 3 2 3 7 2" xfId="2857"/>
    <cellStyle name="Обычный 3 2 3 7 2 2" xfId="5972"/>
    <cellStyle name="Обычный 3 2 3 7 2 3" xfId="9365"/>
    <cellStyle name="Обычный 3 2 3 7 3" xfId="4505"/>
    <cellStyle name="Обычный 3 2 3 7 4" xfId="7894"/>
    <cellStyle name="Обычный 3 2 3 8" xfId="2121"/>
    <cellStyle name="Обычный 3 2 3 8 2" xfId="6153"/>
    <cellStyle name="Обычный 3 2 3 8 3" xfId="8629"/>
    <cellStyle name="Обычный 3 2 3 9" xfId="3588"/>
    <cellStyle name="Обычный 3 2 3 9 2" xfId="6348"/>
    <cellStyle name="Обычный 3 2 3 9 3" xfId="10096"/>
    <cellStyle name="Обычный 3 2 4" xfId="314"/>
    <cellStyle name="Обычный 3 2 4 10" xfId="6942"/>
    <cellStyle name="Обычный 3 2 4 11" xfId="5242"/>
    <cellStyle name="Обычный 3 2 4 12" xfId="3771"/>
    <cellStyle name="Обычный 3 2 4 13" xfId="7160"/>
    <cellStyle name="Обычный 3 2 4 2" xfId="821"/>
    <cellStyle name="Обычный 3 2 4 2 2" xfId="1582"/>
    <cellStyle name="Обычный 3 2 4 2 2 2" xfId="3053"/>
    <cellStyle name="Обычный 3 2 4 2 2 2 2" xfId="9561"/>
    <cellStyle name="Обычный 3 2 4 2 2 3" xfId="4701"/>
    <cellStyle name="Обычный 3 2 4 2 2 4" xfId="8090"/>
    <cellStyle name="Обычный 3 2 4 2 3" xfId="2317"/>
    <cellStyle name="Обычный 3 2 4 2 3 2" xfId="5436"/>
    <cellStyle name="Обычный 3 2 4 2 3 3" xfId="8825"/>
    <cellStyle name="Обычный 3 2 4 2 4" xfId="3965"/>
    <cellStyle name="Обычный 3 2 4 2 5" xfId="7354"/>
    <cellStyle name="Обычный 3 2 4 3" xfId="998"/>
    <cellStyle name="Обычный 3 2 4 3 2" xfId="1759"/>
    <cellStyle name="Обычный 3 2 4 3 2 2" xfId="3230"/>
    <cellStyle name="Обычный 3 2 4 3 2 2 2" xfId="9738"/>
    <cellStyle name="Обычный 3 2 4 3 2 3" xfId="4878"/>
    <cellStyle name="Обычный 3 2 4 3 2 4" xfId="8267"/>
    <cellStyle name="Обычный 3 2 4 3 3" xfId="2494"/>
    <cellStyle name="Обычный 3 2 4 3 3 2" xfId="5617"/>
    <cellStyle name="Обычный 3 2 4 3 3 3" xfId="9002"/>
    <cellStyle name="Обычный 3 2 4 3 4" xfId="4142"/>
    <cellStyle name="Обычный 3 2 4 3 5" xfId="7531"/>
    <cellStyle name="Обычный 3 2 4 4" xfId="1186"/>
    <cellStyle name="Обычный 3 2 4 4 2" xfId="1939"/>
    <cellStyle name="Обычный 3 2 4 4 2 2" xfId="3410"/>
    <cellStyle name="Обычный 3 2 4 4 2 2 2" xfId="9918"/>
    <cellStyle name="Обычный 3 2 4 4 2 3" xfId="5058"/>
    <cellStyle name="Обычный 3 2 4 4 2 4" xfId="8447"/>
    <cellStyle name="Обычный 3 2 4 4 3" xfId="2674"/>
    <cellStyle name="Обычный 3 2 4 4 3 2" xfId="5794"/>
    <cellStyle name="Обычный 3 2 4 4 3 3" xfId="9182"/>
    <cellStyle name="Обычный 3 2 4 4 4" xfId="4322"/>
    <cellStyle name="Обычный 3 2 4 4 5" xfId="7711"/>
    <cellStyle name="Обычный 3 2 4 5" xfId="1388"/>
    <cellStyle name="Обычный 3 2 4 5 2" xfId="2859"/>
    <cellStyle name="Обычный 3 2 4 5 2 2" xfId="5974"/>
    <cellStyle name="Обычный 3 2 4 5 2 3" xfId="9367"/>
    <cellStyle name="Обычный 3 2 4 5 3" xfId="4507"/>
    <cellStyle name="Обычный 3 2 4 5 4" xfId="7896"/>
    <cellStyle name="Обычный 3 2 4 6" xfId="2123"/>
    <cellStyle name="Обычный 3 2 4 6 2" xfId="6155"/>
    <cellStyle name="Обычный 3 2 4 6 3" xfId="8631"/>
    <cellStyle name="Обычный 3 2 4 7" xfId="3590"/>
    <cellStyle name="Обычный 3 2 4 7 2" xfId="6350"/>
    <cellStyle name="Обычный 3 2 4 7 3" xfId="10098"/>
    <cellStyle name="Обычный 3 2 4 8" xfId="6531"/>
    <cellStyle name="Обычный 3 2 4 9" xfId="6728"/>
    <cellStyle name="Обычный 3 2 5" xfId="315"/>
    <cellStyle name="Обычный 3 2 5 10" xfId="6943"/>
    <cellStyle name="Обычный 3 2 5 11" xfId="5243"/>
    <cellStyle name="Обычный 3 2 5 12" xfId="3772"/>
    <cellStyle name="Обычный 3 2 5 13" xfId="7161"/>
    <cellStyle name="Обычный 3 2 5 2" xfId="822"/>
    <cellStyle name="Обычный 3 2 5 2 2" xfId="1583"/>
    <cellStyle name="Обычный 3 2 5 2 2 2" xfId="3054"/>
    <cellStyle name="Обычный 3 2 5 2 2 2 2" xfId="9562"/>
    <cellStyle name="Обычный 3 2 5 2 2 3" xfId="4702"/>
    <cellStyle name="Обычный 3 2 5 2 2 4" xfId="8091"/>
    <cellStyle name="Обычный 3 2 5 2 3" xfId="2318"/>
    <cellStyle name="Обычный 3 2 5 2 3 2" xfId="5437"/>
    <cellStyle name="Обычный 3 2 5 2 3 3" xfId="8826"/>
    <cellStyle name="Обычный 3 2 5 2 4" xfId="3966"/>
    <cellStyle name="Обычный 3 2 5 2 5" xfId="7355"/>
    <cellStyle name="Обычный 3 2 5 3" xfId="999"/>
    <cellStyle name="Обычный 3 2 5 3 2" xfId="1760"/>
    <cellStyle name="Обычный 3 2 5 3 2 2" xfId="3231"/>
    <cellStyle name="Обычный 3 2 5 3 2 2 2" xfId="9739"/>
    <cellStyle name="Обычный 3 2 5 3 2 3" xfId="4879"/>
    <cellStyle name="Обычный 3 2 5 3 2 4" xfId="8268"/>
    <cellStyle name="Обычный 3 2 5 3 3" xfId="2495"/>
    <cellStyle name="Обычный 3 2 5 3 3 2" xfId="5618"/>
    <cellStyle name="Обычный 3 2 5 3 3 3" xfId="9003"/>
    <cellStyle name="Обычный 3 2 5 3 4" xfId="4143"/>
    <cellStyle name="Обычный 3 2 5 3 5" xfId="7532"/>
    <cellStyle name="Обычный 3 2 5 4" xfId="1187"/>
    <cellStyle name="Обычный 3 2 5 4 2" xfId="1940"/>
    <cellStyle name="Обычный 3 2 5 4 2 2" xfId="3411"/>
    <cellStyle name="Обычный 3 2 5 4 2 2 2" xfId="9919"/>
    <cellStyle name="Обычный 3 2 5 4 2 3" xfId="5059"/>
    <cellStyle name="Обычный 3 2 5 4 2 4" xfId="8448"/>
    <cellStyle name="Обычный 3 2 5 4 3" xfId="2675"/>
    <cellStyle name="Обычный 3 2 5 4 3 2" xfId="5795"/>
    <cellStyle name="Обычный 3 2 5 4 3 3" xfId="9183"/>
    <cellStyle name="Обычный 3 2 5 4 4" xfId="4323"/>
    <cellStyle name="Обычный 3 2 5 4 5" xfId="7712"/>
    <cellStyle name="Обычный 3 2 5 5" xfId="1389"/>
    <cellStyle name="Обычный 3 2 5 5 2" xfId="2860"/>
    <cellStyle name="Обычный 3 2 5 5 2 2" xfId="5975"/>
    <cellStyle name="Обычный 3 2 5 5 2 3" xfId="9368"/>
    <cellStyle name="Обычный 3 2 5 5 3" xfId="4508"/>
    <cellStyle name="Обычный 3 2 5 5 4" xfId="7897"/>
    <cellStyle name="Обычный 3 2 5 6" xfId="2124"/>
    <cellStyle name="Обычный 3 2 5 6 2" xfId="6156"/>
    <cellStyle name="Обычный 3 2 5 6 3" xfId="8632"/>
    <cellStyle name="Обычный 3 2 5 7" xfId="3591"/>
    <cellStyle name="Обычный 3 2 5 7 2" xfId="6351"/>
    <cellStyle name="Обычный 3 2 5 7 3" xfId="10099"/>
    <cellStyle name="Обычный 3 2 5 8" xfId="6532"/>
    <cellStyle name="Обычный 3 2 5 9" xfId="6729"/>
    <cellStyle name="Обычный 3 3" xfId="316"/>
    <cellStyle name="Обычный 3 3 2" xfId="317"/>
    <cellStyle name="Обычный 3 3 2 10" xfId="6944"/>
    <cellStyle name="Обычный 3 3 2 11" xfId="5244"/>
    <cellStyle name="Обычный 3 3 2 12" xfId="3773"/>
    <cellStyle name="Обычный 3 3 2 13" xfId="7162"/>
    <cellStyle name="Обычный 3 3 2 2" xfId="823"/>
    <cellStyle name="Обычный 3 3 2 2 2" xfId="1584"/>
    <cellStyle name="Обычный 3 3 2 2 2 2" xfId="3055"/>
    <cellStyle name="Обычный 3 3 2 2 2 2 2" xfId="9563"/>
    <cellStyle name="Обычный 3 3 2 2 2 3" xfId="4703"/>
    <cellStyle name="Обычный 3 3 2 2 2 4" xfId="8092"/>
    <cellStyle name="Обычный 3 3 2 2 3" xfId="2319"/>
    <cellStyle name="Обычный 3 3 2 2 3 2" xfId="5438"/>
    <cellStyle name="Обычный 3 3 2 2 3 3" xfId="8827"/>
    <cellStyle name="Обычный 3 3 2 2 4" xfId="3967"/>
    <cellStyle name="Обычный 3 3 2 2 5" xfId="7356"/>
    <cellStyle name="Обычный 3 3 2 3" xfId="1000"/>
    <cellStyle name="Обычный 3 3 2 3 2" xfId="1761"/>
    <cellStyle name="Обычный 3 3 2 3 2 2" xfId="3232"/>
    <cellStyle name="Обычный 3 3 2 3 2 2 2" xfId="9740"/>
    <cellStyle name="Обычный 3 3 2 3 2 3" xfId="4880"/>
    <cellStyle name="Обычный 3 3 2 3 2 4" xfId="8269"/>
    <cellStyle name="Обычный 3 3 2 3 3" xfId="2496"/>
    <cellStyle name="Обычный 3 3 2 3 3 2" xfId="5619"/>
    <cellStyle name="Обычный 3 3 2 3 3 3" xfId="9004"/>
    <cellStyle name="Обычный 3 3 2 3 4" xfId="4144"/>
    <cellStyle name="Обычный 3 3 2 3 5" xfId="7533"/>
    <cellStyle name="Обычный 3 3 2 4" xfId="1188"/>
    <cellStyle name="Обычный 3 3 2 4 2" xfId="1941"/>
    <cellStyle name="Обычный 3 3 2 4 2 2" xfId="3412"/>
    <cellStyle name="Обычный 3 3 2 4 2 2 2" xfId="9920"/>
    <cellStyle name="Обычный 3 3 2 4 2 3" xfId="5060"/>
    <cellStyle name="Обычный 3 3 2 4 2 4" xfId="8449"/>
    <cellStyle name="Обычный 3 3 2 4 3" xfId="2676"/>
    <cellStyle name="Обычный 3 3 2 4 3 2" xfId="5796"/>
    <cellStyle name="Обычный 3 3 2 4 3 3" xfId="9184"/>
    <cellStyle name="Обычный 3 3 2 4 4" xfId="4324"/>
    <cellStyle name="Обычный 3 3 2 4 5" xfId="7713"/>
    <cellStyle name="Обычный 3 3 2 5" xfId="1390"/>
    <cellStyle name="Обычный 3 3 2 5 2" xfId="2861"/>
    <cellStyle name="Обычный 3 3 2 5 2 2" xfId="5976"/>
    <cellStyle name="Обычный 3 3 2 5 2 3" xfId="9369"/>
    <cellStyle name="Обычный 3 3 2 5 3" xfId="4509"/>
    <cellStyle name="Обычный 3 3 2 5 4" xfId="7898"/>
    <cellStyle name="Обычный 3 3 2 6" xfId="2125"/>
    <cellStyle name="Обычный 3 3 2 6 2" xfId="6157"/>
    <cellStyle name="Обычный 3 3 2 6 3" xfId="8633"/>
    <cellStyle name="Обычный 3 3 2 7" xfId="3592"/>
    <cellStyle name="Обычный 3 3 2 7 2" xfId="6352"/>
    <cellStyle name="Обычный 3 3 2 7 3" xfId="10100"/>
    <cellStyle name="Обычный 3 3 2 8" xfId="6533"/>
    <cellStyle name="Обычный 3 3 2 9" xfId="6730"/>
    <cellStyle name="Обычный 3 4" xfId="318"/>
    <cellStyle name="Обычный 3 5" xfId="319"/>
    <cellStyle name="Обычный 3 5 2" xfId="320"/>
    <cellStyle name="Обычный 3 5 3" xfId="321"/>
    <cellStyle name="Обычный 3 6" xfId="322"/>
    <cellStyle name="Обычный 3 6 10" xfId="6534"/>
    <cellStyle name="Обычный 3 6 11" xfId="6731"/>
    <cellStyle name="Обычный 3 6 12" xfId="6945"/>
    <cellStyle name="Обычный 3 6 13" xfId="5245"/>
    <cellStyle name="Обычный 3 6 14" xfId="3774"/>
    <cellStyle name="Обычный 3 6 15" xfId="7163"/>
    <cellStyle name="Обычный 3 6 2" xfId="323"/>
    <cellStyle name="Обычный 3 6 2 10" xfId="6946"/>
    <cellStyle name="Обычный 3 6 2 11" xfId="5246"/>
    <cellStyle name="Обычный 3 6 2 12" xfId="3775"/>
    <cellStyle name="Обычный 3 6 2 13" xfId="7164"/>
    <cellStyle name="Обычный 3 6 2 2" xfId="825"/>
    <cellStyle name="Обычный 3 6 2 2 2" xfId="1586"/>
    <cellStyle name="Обычный 3 6 2 2 2 2" xfId="3057"/>
    <cellStyle name="Обычный 3 6 2 2 2 2 2" xfId="9565"/>
    <cellStyle name="Обычный 3 6 2 2 2 3" xfId="4705"/>
    <cellStyle name="Обычный 3 6 2 2 2 4" xfId="8094"/>
    <cellStyle name="Обычный 3 6 2 2 3" xfId="2321"/>
    <cellStyle name="Обычный 3 6 2 2 3 2" xfId="5440"/>
    <cellStyle name="Обычный 3 6 2 2 3 3" xfId="8829"/>
    <cellStyle name="Обычный 3 6 2 2 4" xfId="3969"/>
    <cellStyle name="Обычный 3 6 2 2 5" xfId="7358"/>
    <cellStyle name="Обычный 3 6 2 3" xfId="1002"/>
    <cellStyle name="Обычный 3 6 2 3 2" xfId="1763"/>
    <cellStyle name="Обычный 3 6 2 3 2 2" xfId="3234"/>
    <cellStyle name="Обычный 3 6 2 3 2 2 2" xfId="9742"/>
    <cellStyle name="Обычный 3 6 2 3 2 3" xfId="4882"/>
    <cellStyle name="Обычный 3 6 2 3 2 4" xfId="8271"/>
    <cellStyle name="Обычный 3 6 2 3 3" xfId="2498"/>
    <cellStyle name="Обычный 3 6 2 3 3 2" xfId="5621"/>
    <cellStyle name="Обычный 3 6 2 3 3 3" xfId="9006"/>
    <cellStyle name="Обычный 3 6 2 3 4" xfId="4146"/>
    <cellStyle name="Обычный 3 6 2 3 5" xfId="7535"/>
    <cellStyle name="Обычный 3 6 2 4" xfId="1190"/>
    <cellStyle name="Обычный 3 6 2 4 2" xfId="1943"/>
    <cellStyle name="Обычный 3 6 2 4 2 2" xfId="3414"/>
    <cellStyle name="Обычный 3 6 2 4 2 2 2" xfId="9922"/>
    <cellStyle name="Обычный 3 6 2 4 2 3" xfId="5062"/>
    <cellStyle name="Обычный 3 6 2 4 2 4" xfId="8451"/>
    <cellStyle name="Обычный 3 6 2 4 3" xfId="2678"/>
    <cellStyle name="Обычный 3 6 2 4 3 2" xfId="5798"/>
    <cellStyle name="Обычный 3 6 2 4 3 3" xfId="9186"/>
    <cellStyle name="Обычный 3 6 2 4 4" xfId="4326"/>
    <cellStyle name="Обычный 3 6 2 4 5" xfId="7715"/>
    <cellStyle name="Обычный 3 6 2 5" xfId="1392"/>
    <cellStyle name="Обычный 3 6 2 5 2" xfId="2863"/>
    <cellStyle name="Обычный 3 6 2 5 2 2" xfId="5978"/>
    <cellStyle name="Обычный 3 6 2 5 2 3" xfId="9371"/>
    <cellStyle name="Обычный 3 6 2 5 3" xfId="4511"/>
    <cellStyle name="Обычный 3 6 2 5 4" xfId="7900"/>
    <cellStyle name="Обычный 3 6 2 6" xfId="2127"/>
    <cellStyle name="Обычный 3 6 2 6 2" xfId="6159"/>
    <cellStyle name="Обычный 3 6 2 6 3" xfId="8635"/>
    <cellStyle name="Обычный 3 6 2 7" xfId="3594"/>
    <cellStyle name="Обычный 3 6 2 7 2" xfId="6354"/>
    <cellStyle name="Обычный 3 6 2 7 3" xfId="10102"/>
    <cellStyle name="Обычный 3 6 2 8" xfId="6535"/>
    <cellStyle name="Обычный 3 6 2 9" xfId="6732"/>
    <cellStyle name="Обычный 3 6 3" xfId="324"/>
    <cellStyle name="Обычный 3 6 4" xfId="824"/>
    <cellStyle name="Обычный 3 6 4 2" xfId="1585"/>
    <cellStyle name="Обычный 3 6 4 2 2" xfId="3056"/>
    <cellStyle name="Обычный 3 6 4 2 2 2" xfId="9564"/>
    <cellStyle name="Обычный 3 6 4 2 3" xfId="4704"/>
    <cellStyle name="Обычный 3 6 4 2 4" xfId="8093"/>
    <cellStyle name="Обычный 3 6 4 3" xfId="2320"/>
    <cellStyle name="Обычный 3 6 4 3 2" xfId="5439"/>
    <cellStyle name="Обычный 3 6 4 3 3" xfId="8828"/>
    <cellStyle name="Обычный 3 6 4 4" xfId="3968"/>
    <cellStyle name="Обычный 3 6 4 5" xfId="7357"/>
    <cellStyle name="Обычный 3 6 5" xfId="1001"/>
    <cellStyle name="Обычный 3 6 5 2" xfId="1762"/>
    <cellStyle name="Обычный 3 6 5 2 2" xfId="3233"/>
    <cellStyle name="Обычный 3 6 5 2 2 2" xfId="9741"/>
    <cellStyle name="Обычный 3 6 5 2 3" xfId="4881"/>
    <cellStyle name="Обычный 3 6 5 2 4" xfId="8270"/>
    <cellStyle name="Обычный 3 6 5 3" xfId="2497"/>
    <cellStyle name="Обычный 3 6 5 3 2" xfId="5620"/>
    <cellStyle name="Обычный 3 6 5 3 3" xfId="9005"/>
    <cellStyle name="Обычный 3 6 5 4" xfId="4145"/>
    <cellStyle name="Обычный 3 6 5 5" xfId="7534"/>
    <cellStyle name="Обычный 3 6 6" xfId="1189"/>
    <cellStyle name="Обычный 3 6 6 2" xfId="1942"/>
    <cellStyle name="Обычный 3 6 6 2 2" xfId="3413"/>
    <cellStyle name="Обычный 3 6 6 2 2 2" xfId="9921"/>
    <cellStyle name="Обычный 3 6 6 2 3" xfId="5061"/>
    <cellStyle name="Обычный 3 6 6 2 4" xfId="8450"/>
    <cellStyle name="Обычный 3 6 6 3" xfId="2677"/>
    <cellStyle name="Обычный 3 6 6 3 2" xfId="5797"/>
    <cellStyle name="Обычный 3 6 6 3 3" xfId="9185"/>
    <cellStyle name="Обычный 3 6 6 4" xfId="4325"/>
    <cellStyle name="Обычный 3 6 6 5" xfId="7714"/>
    <cellStyle name="Обычный 3 6 7" xfId="1391"/>
    <cellStyle name="Обычный 3 6 7 2" xfId="2862"/>
    <cellStyle name="Обычный 3 6 7 2 2" xfId="5977"/>
    <cellStyle name="Обычный 3 6 7 2 3" xfId="9370"/>
    <cellStyle name="Обычный 3 6 7 3" xfId="4510"/>
    <cellStyle name="Обычный 3 6 7 4" xfId="7899"/>
    <cellStyle name="Обычный 3 6 8" xfId="2126"/>
    <cellStyle name="Обычный 3 6 8 2" xfId="6158"/>
    <cellStyle name="Обычный 3 6 8 3" xfId="8634"/>
    <cellStyle name="Обычный 3 6 9" xfId="3593"/>
    <cellStyle name="Обычный 3 6 9 2" xfId="6353"/>
    <cellStyle name="Обычный 3 6 9 3" xfId="10101"/>
    <cellStyle name="Обычный 3 7" xfId="325"/>
    <cellStyle name="Обычный 3 7 10" xfId="6733"/>
    <cellStyle name="Обычный 3 7 11" xfId="6947"/>
    <cellStyle name="Обычный 3 7 12" xfId="5247"/>
    <cellStyle name="Обычный 3 7 13" xfId="3776"/>
    <cellStyle name="Обычный 3 7 14" xfId="7165"/>
    <cellStyle name="Обычный 3 7 2" xfId="326"/>
    <cellStyle name="Обычный 3 7 2 10" xfId="6948"/>
    <cellStyle name="Обычный 3 7 2 11" xfId="5248"/>
    <cellStyle name="Обычный 3 7 2 12" xfId="3777"/>
    <cellStyle name="Обычный 3 7 2 13" xfId="7166"/>
    <cellStyle name="Обычный 3 7 2 2" xfId="827"/>
    <cellStyle name="Обычный 3 7 2 2 2" xfId="1588"/>
    <cellStyle name="Обычный 3 7 2 2 2 2" xfId="3059"/>
    <cellStyle name="Обычный 3 7 2 2 2 2 2" xfId="9567"/>
    <cellStyle name="Обычный 3 7 2 2 2 3" xfId="4707"/>
    <cellStyle name="Обычный 3 7 2 2 2 4" xfId="8096"/>
    <cellStyle name="Обычный 3 7 2 2 3" xfId="2323"/>
    <cellStyle name="Обычный 3 7 2 2 3 2" xfId="5442"/>
    <cellStyle name="Обычный 3 7 2 2 3 3" xfId="8831"/>
    <cellStyle name="Обычный 3 7 2 2 4" xfId="3971"/>
    <cellStyle name="Обычный 3 7 2 2 5" xfId="7360"/>
    <cellStyle name="Обычный 3 7 2 3" xfId="1004"/>
    <cellStyle name="Обычный 3 7 2 3 2" xfId="1765"/>
    <cellStyle name="Обычный 3 7 2 3 2 2" xfId="3236"/>
    <cellStyle name="Обычный 3 7 2 3 2 2 2" xfId="9744"/>
    <cellStyle name="Обычный 3 7 2 3 2 3" xfId="4884"/>
    <cellStyle name="Обычный 3 7 2 3 2 4" xfId="8273"/>
    <cellStyle name="Обычный 3 7 2 3 3" xfId="2500"/>
    <cellStyle name="Обычный 3 7 2 3 3 2" xfId="5623"/>
    <cellStyle name="Обычный 3 7 2 3 3 3" xfId="9008"/>
    <cellStyle name="Обычный 3 7 2 3 4" xfId="4148"/>
    <cellStyle name="Обычный 3 7 2 3 5" xfId="7537"/>
    <cellStyle name="Обычный 3 7 2 4" xfId="1192"/>
    <cellStyle name="Обычный 3 7 2 4 2" xfId="1945"/>
    <cellStyle name="Обычный 3 7 2 4 2 2" xfId="3416"/>
    <cellStyle name="Обычный 3 7 2 4 2 2 2" xfId="9924"/>
    <cellStyle name="Обычный 3 7 2 4 2 3" xfId="5064"/>
    <cellStyle name="Обычный 3 7 2 4 2 4" xfId="8453"/>
    <cellStyle name="Обычный 3 7 2 4 3" xfId="2680"/>
    <cellStyle name="Обычный 3 7 2 4 3 2" xfId="5800"/>
    <cellStyle name="Обычный 3 7 2 4 3 3" xfId="9188"/>
    <cellStyle name="Обычный 3 7 2 4 4" xfId="4328"/>
    <cellStyle name="Обычный 3 7 2 4 5" xfId="7717"/>
    <cellStyle name="Обычный 3 7 2 5" xfId="1394"/>
    <cellStyle name="Обычный 3 7 2 5 2" xfId="2865"/>
    <cellStyle name="Обычный 3 7 2 5 2 2" xfId="5980"/>
    <cellStyle name="Обычный 3 7 2 5 2 3" xfId="9373"/>
    <cellStyle name="Обычный 3 7 2 5 3" xfId="4513"/>
    <cellStyle name="Обычный 3 7 2 5 4" xfId="7902"/>
    <cellStyle name="Обычный 3 7 2 6" xfId="2129"/>
    <cellStyle name="Обычный 3 7 2 6 2" xfId="6161"/>
    <cellStyle name="Обычный 3 7 2 6 3" xfId="8637"/>
    <cellStyle name="Обычный 3 7 2 7" xfId="3596"/>
    <cellStyle name="Обычный 3 7 2 7 2" xfId="6356"/>
    <cellStyle name="Обычный 3 7 2 7 3" xfId="10104"/>
    <cellStyle name="Обычный 3 7 2 8" xfId="6537"/>
    <cellStyle name="Обычный 3 7 2 9" xfId="6734"/>
    <cellStyle name="Обычный 3 7 3" xfId="826"/>
    <cellStyle name="Обычный 3 7 3 2" xfId="1587"/>
    <cellStyle name="Обычный 3 7 3 2 2" xfId="3058"/>
    <cellStyle name="Обычный 3 7 3 2 2 2" xfId="9566"/>
    <cellStyle name="Обычный 3 7 3 2 3" xfId="4706"/>
    <cellStyle name="Обычный 3 7 3 2 4" xfId="8095"/>
    <cellStyle name="Обычный 3 7 3 3" xfId="2322"/>
    <cellStyle name="Обычный 3 7 3 3 2" xfId="5441"/>
    <cellStyle name="Обычный 3 7 3 3 3" xfId="8830"/>
    <cellStyle name="Обычный 3 7 3 4" xfId="3970"/>
    <cellStyle name="Обычный 3 7 3 5" xfId="7359"/>
    <cellStyle name="Обычный 3 7 4" xfId="1003"/>
    <cellStyle name="Обычный 3 7 4 2" xfId="1764"/>
    <cellStyle name="Обычный 3 7 4 2 2" xfId="3235"/>
    <cellStyle name="Обычный 3 7 4 2 2 2" xfId="9743"/>
    <cellStyle name="Обычный 3 7 4 2 3" xfId="4883"/>
    <cellStyle name="Обычный 3 7 4 2 4" xfId="8272"/>
    <cellStyle name="Обычный 3 7 4 3" xfId="2499"/>
    <cellStyle name="Обычный 3 7 4 3 2" xfId="5622"/>
    <cellStyle name="Обычный 3 7 4 3 3" xfId="9007"/>
    <cellStyle name="Обычный 3 7 4 4" xfId="4147"/>
    <cellStyle name="Обычный 3 7 4 5" xfId="7536"/>
    <cellStyle name="Обычный 3 7 5" xfId="1191"/>
    <cellStyle name="Обычный 3 7 5 2" xfId="1944"/>
    <cellStyle name="Обычный 3 7 5 2 2" xfId="3415"/>
    <cellStyle name="Обычный 3 7 5 2 2 2" xfId="9923"/>
    <cellStyle name="Обычный 3 7 5 2 3" xfId="5063"/>
    <cellStyle name="Обычный 3 7 5 2 4" xfId="8452"/>
    <cellStyle name="Обычный 3 7 5 3" xfId="2679"/>
    <cellStyle name="Обычный 3 7 5 3 2" xfId="5799"/>
    <cellStyle name="Обычный 3 7 5 3 3" xfId="9187"/>
    <cellStyle name="Обычный 3 7 5 4" xfId="4327"/>
    <cellStyle name="Обычный 3 7 5 5" xfId="7716"/>
    <cellStyle name="Обычный 3 7 6" xfId="1393"/>
    <cellStyle name="Обычный 3 7 6 2" xfId="2864"/>
    <cellStyle name="Обычный 3 7 6 2 2" xfId="5979"/>
    <cellStyle name="Обычный 3 7 6 2 3" xfId="9372"/>
    <cellStyle name="Обычный 3 7 6 3" xfId="4512"/>
    <cellStyle name="Обычный 3 7 6 4" xfId="7901"/>
    <cellStyle name="Обычный 3 7 7" xfId="2128"/>
    <cellStyle name="Обычный 3 7 7 2" xfId="6160"/>
    <cellStyle name="Обычный 3 7 7 3" xfId="8636"/>
    <cellStyle name="Обычный 3 7 8" xfId="3595"/>
    <cellStyle name="Обычный 3 7 8 2" xfId="6355"/>
    <cellStyle name="Обычный 3 7 8 3" xfId="10103"/>
    <cellStyle name="Обычный 3 7 9" xfId="6536"/>
    <cellStyle name="Обычный 3 8" xfId="327"/>
    <cellStyle name="Обычный 3 8 10" xfId="6949"/>
    <cellStyle name="Обычный 3 8 11" xfId="5249"/>
    <cellStyle name="Обычный 3 8 12" xfId="3778"/>
    <cellStyle name="Обычный 3 8 13" xfId="7167"/>
    <cellStyle name="Обычный 3 8 2" xfId="828"/>
    <cellStyle name="Обычный 3 8 2 2" xfId="1589"/>
    <cellStyle name="Обычный 3 8 2 2 2" xfId="3060"/>
    <cellStyle name="Обычный 3 8 2 2 2 2" xfId="9568"/>
    <cellStyle name="Обычный 3 8 2 2 3" xfId="4708"/>
    <cellStyle name="Обычный 3 8 2 2 4" xfId="8097"/>
    <cellStyle name="Обычный 3 8 2 3" xfId="2324"/>
    <cellStyle name="Обычный 3 8 2 3 2" xfId="5443"/>
    <cellStyle name="Обычный 3 8 2 3 3" xfId="8832"/>
    <cellStyle name="Обычный 3 8 2 4" xfId="3972"/>
    <cellStyle name="Обычный 3 8 2 5" xfId="7361"/>
    <cellStyle name="Обычный 3 8 3" xfId="1005"/>
    <cellStyle name="Обычный 3 8 3 2" xfId="1766"/>
    <cellStyle name="Обычный 3 8 3 2 2" xfId="3237"/>
    <cellStyle name="Обычный 3 8 3 2 2 2" xfId="9745"/>
    <cellStyle name="Обычный 3 8 3 2 3" xfId="4885"/>
    <cellStyle name="Обычный 3 8 3 2 4" xfId="8274"/>
    <cellStyle name="Обычный 3 8 3 3" xfId="2501"/>
    <cellStyle name="Обычный 3 8 3 3 2" xfId="5624"/>
    <cellStyle name="Обычный 3 8 3 3 3" xfId="9009"/>
    <cellStyle name="Обычный 3 8 3 4" xfId="4149"/>
    <cellStyle name="Обычный 3 8 3 5" xfId="7538"/>
    <cellStyle name="Обычный 3 8 4" xfId="1193"/>
    <cellStyle name="Обычный 3 8 4 2" xfId="1946"/>
    <cellStyle name="Обычный 3 8 4 2 2" xfId="3417"/>
    <cellStyle name="Обычный 3 8 4 2 2 2" xfId="9925"/>
    <cellStyle name="Обычный 3 8 4 2 3" xfId="5065"/>
    <cellStyle name="Обычный 3 8 4 2 4" xfId="8454"/>
    <cellStyle name="Обычный 3 8 4 3" xfId="2681"/>
    <cellStyle name="Обычный 3 8 4 3 2" xfId="5801"/>
    <cellStyle name="Обычный 3 8 4 3 3" xfId="9189"/>
    <cellStyle name="Обычный 3 8 4 4" xfId="4329"/>
    <cellStyle name="Обычный 3 8 4 5" xfId="7718"/>
    <cellStyle name="Обычный 3 8 5" xfId="1395"/>
    <cellStyle name="Обычный 3 8 5 2" xfId="2866"/>
    <cellStyle name="Обычный 3 8 5 2 2" xfId="5981"/>
    <cellStyle name="Обычный 3 8 5 2 3" xfId="9374"/>
    <cellStyle name="Обычный 3 8 5 3" xfId="4514"/>
    <cellStyle name="Обычный 3 8 5 4" xfId="7903"/>
    <cellStyle name="Обычный 3 8 6" xfId="2130"/>
    <cellStyle name="Обычный 3 8 6 2" xfId="6162"/>
    <cellStyle name="Обычный 3 8 6 3" xfId="8638"/>
    <cellStyle name="Обычный 3 8 7" xfId="3597"/>
    <cellStyle name="Обычный 3 8 7 2" xfId="6357"/>
    <cellStyle name="Обычный 3 8 7 3" xfId="10105"/>
    <cellStyle name="Обычный 3 8 8" xfId="6538"/>
    <cellStyle name="Обычный 3 8 9" xfId="6735"/>
    <cellStyle name="Обычный 3 9" xfId="1179"/>
    <cellStyle name="Обычный 30" xfId="328"/>
    <cellStyle name="Обычный 31" xfId="329"/>
    <cellStyle name="Обычный 32" xfId="330"/>
    <cellStyle name="Обычный 33" xfId="331"/>
    <cellStyle name="Обычный 34" xfId="332"/>
    <cellStyle name="Обычный 35" xfId="333"/>
    <cellStyle name="Обычный 36" xfId="334"/>
    <cellStyle name="Обычный 37" xfId="335"/>
    <cellStyle name="Обычный 38" xfId="336"/>
    <cellStyle name="Обычный 39" xfId="337"/>
    <cellStyle name="Обычный 4" xfId="338"/>
    <cellStyle name="Обычный 4 10" xfId="6539"/>
    <cellStyle name="Обычный 4 11" xfId="6736"/>
    <cellStyle name="Обычный 4 12" xfId="6950"/>
    <cellStyle name="Обычный 4 13" xfId="5250"/>
    <cellStyle name="Обычный 4 14" xfId="3779"/>
    <cellStyle name="Обычный 4 15" xfId="7168"/>
    <cellStyle name="Обычный 4 16" xfId="716"/>
    <cellStyle name="Обычный 4 17" xfId="668"/>
    <cellStyle name="Обычный 4 2" xfId="339"/>
    <cellStyle name="Обычный 4 2 10" xfId="6737"/>
    <cellStyle name="Обычный 4 2 11" xfId="6951"/>
    <cellStyle name="Обычный 4 2 12" xfId="5251"/>
    <cellStyle name="Обычный 4 2 13" xfId="3780"/>
    <cellStyle name="Обычный 4 2 14" xfId="7169"/>
    <cellStyle name="Обычный 4 2 2" xfId="340"/>
    <cellStyle name="Обычный 4 2 2 10" xfId="6952"/>
    <cellStyle name="Обычный 4 2 2 11" xfId="5252"/>
    <cellStyle name="Обычный 4 2 2 12" xfId="3781"/>
    <cellStyle name="Обычный 4 2 2 13" xfId="7170"/>
    <cellStyle name="Обычный 4 2 2 2" xfId="831"/>
    <cellStyle name="Обычный 4 2 2 2 2" xfId="1592"/>
    <cellStyle name="Обычный 4 2 2 2 2 2" xfId="3063"/>
    <cellStyle name="Обычный 4 2 2 2 2 2 2" xfId="9571"/>
    <cellStyle name="Обычный 4 2 2 2 2 3" xfId="4711"/>
    <cellStyle name="Обычный 4 2 2 2 2 4" xfId="8100"/>
    <cellStyle name="Обычный 4 2 2 2 3" xfId="2327"/>
    <cellStyle name="Обычный 4 2 2 2 3 2" xfId="5446"/>
    <cellStyle name="Обычный 4 2 2 2 3 3" xfId="8835"/>
    <cellStyle name="Обычный 4 2 2 2 4" xfId="3975"/>
    <cellStyle name="Обычный 4 2 2 2 5" xfId="7364"/>
    <cellStyle name="Обычный 4 2 2 3" xfId="1008"/>
    <cellStyle name="Обычный 4 2 2 3 2" xfId="1769"/>
    <cellStyle name="Обычный 4 2 2 3 2 2" xfId="3240"/>
    <cellStyle name="Обычный 4 2 2 3 2 2 2" xfId="9748"/>
    <cellStyle name="Обычный 4 2 2 3 2 3" xfId="4888"/>
    <cellStyle name="Обычный 4 2 2 3 2 4" xfId="8277"/>
    <cellStyle name="Обычный 4 2 2 3 3" xfId="2504"/>
    <cellStyle name="Обычный 4 2 2 3 3 2" xfId="5627"/>
    <cellStyle name="Обычный 4 2 2 3 3 3" xfId="9012"/>
    <cellStyle name="Обычный 4 2 2 3 4" xfId="4152"/>
    <cellStyle name="Обычный 4 2 2 3 5" xfId="7541"/>
    <cellStyle name="Обычный 4 2 2 4" xfId="1196"/>
    <cellStyle name="Обычный 4 2 2 4 2" xfId="1949"/>
    <cellStyle name="Обычный 4 2 2 4 2 2" xfId="3420"/>
    <cellStyle name="Обычный 4 2 2 4 2 2 2" xfId="9928"/>
    <cellStyle name="Обычный 4 2 2 4 2 3" xfId="5068"/>
    <cellStyle name="Обычный 4 2 2 4 2 4" xfId="8457"/>
    <cellStyle name="Обычный 4 2 2 4 3" xfId="2684"/>
    <cellStyle name="Обычный 4 2 2 4 3 2" xfId="5804"/>
    <cellStyle name="Обычный 4 2 2 4 3 3" xfId="9192"/>
    <cellStyle name="Обычный 4 2 2 4 4" xfId="4332"/>
    <cellStyle name="Обычный 4 2 2 4 5" xfId="7721"/>
    <cellStyle name="Обычный 4 2 2 5" xfId="1398"/>
    <cellStyle name="Обычный 4 2 2 5 2" xfId="2869"/>
    <cellStyle name="Обычный 4 2 2 5 2 2" xfId="5984"/>
    <cellStyle name="Обычный 4 2 2 5 2 3" xfId="9377"/>
    <cellStyle name="Обычный 4 2 2 5 3" xfId="4517"/>
    <cellStyle name="Обычный 4 2 2 5 4" xfId="7906"/>
    <cellStyle name="Обычный 4 2 2 6" xfId="2133"/>
    <cellStyle name="Обычный 4 2 2 6 2" xfId="6165"/>
    <cellStyle name="Обычный 4 2 2 6 3" xfId="8641"/>
    <cellStyle name="Обычный 4 2 2 7" xfId="3600"/>
    <cellStyle name="Обычный 4 2 2 7 2" xfId="6360"/>
    <cellStyle name="Обычный 4 2 2 7 3" xfId="10108"/>
    <cellStyle name="Обычный 4 2 2 8" xfId="6541"/>
    <cellStyle name="Обычный 4 2 2 9" xfId="6738"/>
    <cellStyle name="Обычный 4 2 3" xfId="830"/>
    <cellStyle name="Обычный 4 2 3 2" xfId="1591"/>
    <cellStyle name="Обычный 4 2 3 2 2" xfId="3062"/>
    <cellStyle name="Обычный 4 2 3 2 2 2" xfId="9570"/>
    <cellStyle name="Обычный 4 2 3 2 3" xfId="4710"/>
    <cellStyle name="Обычный 4 2 3 2 4" xfId="8099"/>
    <cellStyle name="Обычный 4 2 3 3" xfId="2326"/>
    <cellStyle name="Обычный 4 2 3 3 2" xfId="5445"/>
    <cellStyle name="Обычный 4 2 3 3 3" xfId="8834"/>
    <cellStyle name="Обычный 4 2 3 4" xfId="3974"/>
    <cellStyle name="Обычный 4 2 3 5" xfId="7363"/>
    <cellStyle name="Обычный 4 2 4" xfId="1007"/>
    <cellStyle name="Обычный 4 2 4 2" xfId="1768"/>
    <cellStyle name="Обычный 4 2 4 2 2" xfId="3239"/>
    <cellStyle name="Обычный 4 2 4 2 2 2" xfId="9747"/>
    <cellStyle name="Обычный 4 2 4 2 3" xfId="4887"/>
    <cellStyle name="Обычный 4 2 4 2 4" xfId="8276"/>
    <cellStyle name="Обычный 4 2 4 3" xfId="2503"/>
    <cellStyle name="Обычный 4 2 4 3 2" xfId="5626"/>
    <cellStyle name="Обычный 4 2 4 3 3" xfId="9011"/>
    <cellStyle name="Обычный 4 2 4 4" xfId="4151"/>
    <cellStyle name="Обычный 4 2 4 5" xfId="7540"/>
    <cellStyle name="Обычный 4 2 5" xfId="1195"/>
    <cellStyle name="Обычный 4 2 5 2" xfId="1948"/>
    <cellStyle name="Обычный 4 2 5 2 2" xfId="3419"/>
    <cellStyle name="Обычный 4 2 5 2 2 2" xfId="9927"/>
    <cellStyle name="Обычный 4 2 5 2 3" xfId="5067"/>
    <cellStyle name="Обычный 4 2 5 2 4" xfId="8456"/>
    <cellStyle name="Обычный 4 2 5 3" xfId="2683"/>
    <cellStyle name="Обычный 4 2 5 3 2" xfId="5803"/>
    <cellStyle name="Обычный 4 2 5 3 3" xfId="9191"/>
    <cellStyle name="Обычный 4 2 5 4" xfId="4331"/>
    <cellStyle name="Обычный 4 2 5 5" xfId="7720"/>
    <cellStyle name="Обычный 4 2 6" xfId="1397"/>
    <cellStyle name="Обычный 4 2 6 2" xfId="2868"/>
    <cellStyle name="Обычный 4 2 6 2 2" xfId="5983"/>
    <cellStyle name="Обычный 4 2 6 2 3" xfId="9376"/>
    <cellStyle name="Обычный 4 2 6 3" xfId="4516"/>
    <cellStyle name="Обычный 4 2 6 4" xfId="7905"/>
    <cellStyle name="Обычный 4 2 7" xfId="2132"/>
    <cellStyle name="Обычный 4 2 7 2" xfId="6164"/>
    <cellStyle name="Обычный 4 2 7 3" xfId="8640"/>
    <cellStyle name="Обычный 4 2 8" xfId="3599"/>
    <cellStyle name="Обычный 4 2 8 2" xfId="6359"/>
    <cellStyle name="Обычный 4 2 8 3" xfId="10107"/>
    <cellStyle name="Обычный 4 2 9" xfId="6540"/>
    <cellStyle name="Обычный 4 3" xfId="341"/>
    <cellStyle name="Обычный 4 3 10" xfId="6953"/>
    <cellStyle name="Обычный 4 3 11" xfId="5253"/>
    <cellStyle name="Обычный 4 3 12" xfId="3782"/>
    <cellStyle name="Обычный 4 3 13" xfId="7171"/>
    <cellStyle name="Обычный 4 3 2" xfId="832"/>
    <cellStyle name="Обычный 4 3 2 2" xfId="1593"/>
    <cellStyle name="Обычный 4 3 2 2 2" xfId="3064"/>
    <cellStyle name="Обычный 4 3 2 2 2 2" xfId="9572"/>
    <cellStyle name="Обычный 4 3 2 2 3" xfId="4712"/>
    <cellStyle name="Обычный 4 3 2 2 4" xfId="8101"/>
    <cellStyle name="Обычный 4 3 2 3" xfId="2328"/>
    <cellStyle name="Обычный 4 3 2 3 2" xfId="5447"/>
    <cellStyle name="Обычный 4 3 2 3 3" xfId="8836"/>
    <cellStyle name="Обычный 4 3 2 4" xfId="3976"/>
    <cellStyle name="Обычный 4 3 2 5" xfId="7365"/>
    <cellStyle name="Обычный 4 3 3" xfId="1009"/>
    <cellStyle name="Обычный 4 3 3 2" xfId="1770"/>
    <cellStyle name="Обычный 4 3 3 2 2" xfId="3241"/>
    <cellStyle name="Обычный 4 3 3 2 2 2" xfId="9749"/>
    <cellStyle name="Обычный 4 3 3 2 3" xfId="4889"/>
    <cellStyle name="Обычный 4 3 3 2 4" xfId="8278"/>
    <cellStyle name="Обычный 4 3 3 3" xfId="2505"/>
    <cellStyle name="Обычный 4 3 3 3 2" xfId="5628"/>
    <cellStyle name="Обычный 4 3 3 3 3" xfId="9013"/>
    <cellStyle name="Обычный 4 3 3 4" xfId="4153"/>
    <cellStyle name="Обычный 4 3 3 5" xfId="7542"/>
    <cellStyle name="Обычный 4 3 4" xfId="1197"/>
    <cellStyle name="Обычный 4 3 4 2" xfId="1950"/>
    <cellStyle name="Обычный 4 3 4 2 2" xfId="3421"/>
    <cellStyle name="Обычный 4 3 4 2 2 2" xfId="9929"/>
    <cellStyle name="Обычный 4 3 4 2 3" xfId="5069"/>
    <cellStyle name="Обычный 4 3 4 2 4" xfId="8458"/>
    <cellStyle name="Обычный 4 3 4 3" xfId="2685"/>
    <cellStyle name="Обычный 4 3 4 3 2" xfId="5805"/>
    <cellStyle name="Обычный 4 3 4 3 3" xfId="9193"/>
    <cellStyle name="Обычный 4 3 4 4" xfId="4333"/>
    <cellStyle name="Обычный 4 3 4 5" xfId="7722"/>
    <cellStyle name="Обычный 4 3 5" xfId="1399"/>
    <cellStyle name="Обычный 4 3 5 2" xfId="2870"/>
    <cellStyle name="Обычный 4 3 5 2 2" xfId="5985"/>
    <cellStyle name="Обычный 4 3 5 2 3" xfId="9378"/>
    <cellStyle name="Обычный 4 3 5 3" xfId="4518"/>
    <cellStyle name="Обычный 4 3 5 4" xfId="7907"/>
    <cellStyle name="Обычный 4 3 6" xfId="2134"/>
    <cellStyle name="Обычный 4 3 6 2" xfId="6166"/>
    <cellStyle name="Обычный 4 3 6 3" xfId="8642"/>
    <cellStyle name="Обычный 4 3 7" xfId="3601"/>
    <cellStyle name="Обычный 4 3 7 2" xfId="6361"/>
    <cellStyle name="Обычный 4 3 7 3" xfId="10109"/>
    <cellStyle name="Обычный 4 3 8" xfId="6542"/>
    <cellStyle name="Обычный 4 3 9" xfId="6739"/>
    <cellStyle name="Обычный 4 4" xfId="829"/>
    <cellStyle name="Обычный 4 4 2" xfId="1590"/>
    <cellStyle name="Обычный 4 4 2 2" xfId="3061"/>
    <cellStyle name="Обычный 4 4 2 2 2" xfId="9569"/>
    <cellStyle name="Обычный 4 4 2 3" xfId="4709"/>
    <cellStyle name="Обычный 4 4 2 4" xfId="8098"/>
    <cellStyle name="Обычный 4 4 3" xfId="2325"/>
    <cellStyle name="Обычный 4 4 3 2" xfId="5444"/>
    <cellStyle name="Обычный 4 4 3 3" xfId="8833"/>
    <cellStyle name="Обычный 4 4 4" xfId="3973"/>
    <cellStyle name="Обычный 4 4 5" xfId="7362"/>
    <cellStyle name="Обычный 4 5" xfId="1006"/>
    <cellStyle name="Обычный 4 5 2" xfId="1767"/>
    <cellStyle name="Обычный 4 5 2 2" xfId="3238"/>
    <cellStyle name="Обычный 4 5 2 2 2" xfId="9746"/>
    <cellStyle name="Обычный 4 5 2 3" xfId="4886"/>
    <cellStyle name="Обычный 4 5 2 4" xfId="8275"/>
    <cellStyle name="Обычный 4 5 3" xfId="2502"/>
    <cellStyle name="Обычный 4 5 3 2" xfId="5625"/>
    <cellStyle name="Обычный 4 5 3 3" xfId="9010"/>
    <cellStyle name="Обычный 4 5 4" xfId="4150"/>
    <cellStyle name="Обычный 4 5 5" xfId="7539"/>
    <cellStyle name="Обычный 4 6" xfId="1194"/>
    <cellStyle name="Обычный 4 6 2" xfId="1947"/>
    <cellStyle name="Обычный 4 6 2 2" xfId="3418"/>
    <cellStyle name="Обычный 4 6 2 2 2" xfId="9926"/>
    <cellStyle name="Обычный 4 6 2 3" xfId="5066"/>
    <cellStyle name="Обычный 4 6 2 4" xfId="8455"/>
    <cellStyle name="Обычный 4 6 3" xfId="2682"/>
    <cellStyle name="Обычный 4 6 3 2" xfId="5802"/>
    <cellStyle name="Обычный 4 6 3 3" xfId="9190"/>
    <cellStyle name="Обычный 4 6 4" xfId="4330"/>
    <cellStyle name="Обычный 4 6 5" xfId="7719"/>
    <cellStyle name="Обычный 4 7" xfId="1396"/>
    <cellStyle name="Обычный 4 7 2" xfId="2867"/>
    <cellStyle name="Обычный 4 7 2 2" xfId="5982"/>
    <cellStyle name="Обычный 4 7 2 3" xfId="9375"/>
    <cellStyle name="Обычный 4 7 3" xfId="4515"/>
    <cellStyle name="Обычный 4 7 4" xfId="7904"/>
    <cellStyle name="Обычный 4 8" xfId="2131"/>
    <cellStyle name="Обычный 4 8 2" xfId="6163"/>
    <cellStyle name="Обычный 4 8 3" xfId="8639"/>
    <cellStyle name="Обычный 4 9" xfId="3598"/>
    <cellStyle name="Обычный 4 9 2" xfId="6358"/>
    <cellStyle name="Обычный 4 9 3" xfId="10106"/>
    <cellStyle name="Обычный 40" xfId="342"/>
    <cellStyle name="Обычный 41" xfId="343"/>
    <cellStyle name="Обычный 42" xfId="344"/>
    <cellStyle name="Обычный 43" xfId="345"/>
    <cellStyle name="Обычный 44" xfId="346"/>
    <cellStyle name="Обычный 45" xfId="347"/>
    <cellStyle name="Обычный 46" xfId="348"/>
    <cellStyle name="Обычный 47" xfId="349"/>
    <cellStyle name="Обычный 48" xfId="350"/>
    <cellStyle name="Обычный 49" xfId="351"/>
    <cellStyle name="Обычный 5" xfId="352"/>
    <cellStyle name="Обычный 5 2" xfId="353"/>
    <cellStyle name="Обычный 5 2 10" xfId="6740"/>
    <cellStyle name="Обычный 5 2 11" xfId="6954"/>
    <cellStyle name="Обычный 5 2 12" xfId="5254"/>
    <cellStyle name="Обычный 5 2 13" xfId="3783"/>
    <cellStyle name="Обычный 5 2 14" xfId="7172"/>
    <cellStyle name="Обычный 5 2 2" xfId="354"/>
    <cellStyle name="Обычный 5 2 3" xfId="833"/>
    <cellStyle name="Обычный 5 2 3 2" xfId="1594"/>
    <cellStyle name="Обычный 5 2 3 2 2" xfId="3065"/>
    <cellStyle name="Обычный 5 2 3 2 2 2" xfId="9573"/>
    <cellStyle name="Обычный 5 2 3 2 3" xfId="4713"/>
    <cellStyle name="Обычный 5 2 3 2 4" xfId="8102"/>
    <cellStyle name="Обычный 5 2 3 3" xfId="2329"/>
    <cellStyle name="Обычный 5 2 3 3 2" xfId="5448"/>
    <cellStyle name="Обычный 5 2 3 3 3" xfId="8837"/>
    <cellStyle name="Обычный 5 2 3 4" xfId="3977"/>
    <cellStyle name="Обычный 5 2 3 5" xfId="7366"/>
    <cellStyle name="Обычный 5 2 4" xfId="1010"/>
    <cellStyle name="Обычный 5 2 4 2" xfId="1771"/>
    <cellStyle name="Обычный 5 2 4 2 2" xfId="3242"/>
    <cellStyle name="Обычный 5 2 4 2 2 2" xfId="9750"/>
    <cellStyle name="Обычный 5 2 4 2 3" xfId="4890"/>
    <cellStyle name="Обычный 5 2 4 2 4" xfId="8279"/>
    <cellStyle name="Обычный 5 2 4 3" xfId="2506"/>
    <cellStyle name="Обычный 5 2 4 3 2" xfId="5629"/>
    <cellStyle name="Обычный 5 2 4 3 3" xfId="9014"/>
    <cellStyle name="Обычный 5 2 4 4" xfId="4154"/>
    <cellStyle name="Обычный 5 2 4 5" xfId="7543"/>
    <cellStyle name="Обычный 5 2 5" xfId="1198"/>
    <cellStyle name="Обычный 5 2 5 2" xfId="1951"/>
    <cellStyle name="Обычный 5 2 5 2 2" xfId="3422"/>
    <cellStyle name="Обычный 5 2 5 2 2 2" xfId="9930"/>
    <cellStyle name="Обычный 5 2 5 2 3" xfId="5070"/>
    <cellStyle name="Обычный 5 2 5 2 4" xfId="8459"/>
    <cellStyle name="Обычный 5 2 5 3" xfId="2686"/>
    <cellStyle name="Обычный 5 2 5 3 2" xfId="5806"/>
    <cellStyle name="Обычный 5 2 5 3 3" xfId="9194"/>
    <cellStyle name="Обычный 5 2 5 4" xfId="4334"/>
    <cellStyle name="Обычный 5 2 5 5" xfId="7723"/>
    <cellStyle name="Обычный 5 2 6" xfId="1400"/>
    <cellStyle name="Обычный 5 2 6 2" xfId="2871"/>
    <cellStyle name="Обычный 5 2 6 2 2" xfId="5986"/>
    <cellStyle name="Обычный 5 2 6 2 3" xfId="9379"/>
    <cellStyle name="Обычный 5 2 6 3" xfId="4519"/>
    <cellStyle name="Обычный 5 2 6 4" xfId="7908"/>
    <cellStyle name="Обычный 5 2 7" xfId="2135"/>
    <cellStyle name="Обычный 5 2 7 2" xfId="6167"/>
    <cellStyle name="Обычный 5 2 7 3" xfId="8643"/>
    <cellStyle name="Обычный 5 2 8" xfId="3602"/>
    <cellStyle name="Обычный 5 2 8 2" xfId="6362"/>
    <cellStyle name="Обычный 5 2 8 3" xfId="10110"/>
    <cellStyle name="Обычный 5 2 9" xfId="6543"/>
    <cellStyle name="Обычный 5 3" xfId="355"/>
    <cellStyle name="Обычный 5 3 2" xfId="740"/>
    <cellStyle name="Обычный 5 4" xfId="356"/>
    <cellStyle name="Обычный 5 4 10" xfId="6955"/>
    <cellStyle name="Обычный 5 4 11" xfId="5255"/>
    <cellStyle name="Обычный 5 4 12" xfId="3784"/>
    <cellStyle name="Обычный 5 4 13" xfId="7173"/>
    <cellStyle name="Обычный 5 4 2" xfId="834"/>
    <cellStyle name="Обычный 5 4 2 2" xfId="1595"/>
    <cellStyle name="Обычный 5 4 2 2 2" xfId="3066"/>
    <cellStyle name="Обычный 5 4 2 2 2 2" xfId="9574"/>
    <cellStyle name="Обычный 5 4 2 2 3" xfId="4714"/>
    <cellStyle name="Обычный 5 4 2 2 4" xfId="8103"/>
    <cellStyle name="Обычный 5 4 2 3" xfId="2330"/>
    <cellStyle name="Обычный 5 4 2 3 2" xfId="5449"/>
    <cellStyle name="Обычный 5 4 2 3 3" xfId="8838"/>
    <cellStyle name="Обычный 5 4 2 4" xfId="3978"/>
    <cellStyle name="Обычный 5 4 2 5" xfId="7367"/>
    <cellStyle name="Обычный 5 4 3" xfId="1011"/>
    <cellStyle name="Обычный 5 4 3 2" xfId="1772"/>
    <cellStyle name="Обычный 5 4 3 2 2" xfId="3243"/>
    <cellStyle name="Обычный 5 4 3 2 2 2" xfId="9751"/>
    <cellStyle name="Обычный 5 4 3 2 3" xfId="4891"/>
    <cellStyle name="Обычный 5 4 3 2 4" xfId="8280"/>
    <cellStyle name="Обычный 5 4 3 3" xfId="2507"/>
    <cellStyle name="Обычный 5 4 3 3 2" xfId="5630"/>
    <cellStyle name="Обычный 5 4 3 3 3" xfId="9015"/>
    <cellStyle name="Обычный 5 4 3 4" xfId="4155"/>
    <cellStyle name="Обычный 5 4 3 5" xfId="7544"/>
    <cellStyle name="Обычный 5 4 4" xfId="1199"/>
    <cellStyle name="Обычный 5 4 4 2" xfId="1952"/>
    <cellStyle name="Обычный 5 4 4 2 2" xfId="3423"/>
    <cellStyle name="Обычный 5 4 4 2 2 2" xfId="9931"/>
    <cellStyle name="Обычный 5 4 4 2 3" xfId="5071"/>
    <cellStyle name="Обычный 5 4 4 2 4" xfId="8460"/>
    <cellStyle name="Обычный 5 4 4 3" xfId="2687"/>
    <cellStyle name="Обычный 5 4 4 3 2" xfId="5807"/>
    <cellStyle name="Обычный 5 4 4 3 3" xfId="9195"/>
    <cellStyle name="Обычный 5 4 4 4" xfId="4335"/>
    <cellStyle name="Обычный 5 4 4 5" xfId="7724"/>
    <cellStyle name="Обычный 5 4 5" xfId="1401"/>
    <cellStyle name="Обычный 5 4 5 2" xfId="2872"/>
    <cellStyle name="Обычный 5 4 5 2 2" xfId="5987"/>
    <cellStyle name="Обычный 5 4 5 2 3" xfId="9380"/>
    <cellStyle name="Обычный 5 4 5 3" xfId="4520"/>
    <cellStyle name="Обычный 5 4 5 4" xfId="7909"/>
    <cellStyle name="Обычный 5 4 6" xfId="2136"/>
    <cellStyle name="Обычный 5 4 6 2" xfId="6168"/>
    <cellStyle name="Обычный 5 4 6 3" xfId="8644"/>
    <cellStyle name="Обычный 5 4 7" xfId="3603"/>
    <cellStyle name="Обычный 5 4 7 2" xfId="6363"/>
    <cellStyle name="Обычный 5 4 7 3" xfId="10111"/>
    <cellStyle name="Обычный 5 4 8" xfId="6544"/>
    <cellStyle name="Обычный 5 4 9" xfId="6741"/>
    <cellStyle name="Обычный 5 5" xfId="357"/>
    <cellStyle name="Обычный 5 6" xfId="718"/>
    <cellStyle name="Обычный 5 7" xfId="669"/>
    <cellStyle name="Обычный 50" xfId="358"/>
    <cellStyle name="Обычный 51" xfId="359"/>
    <cellStyle name="Обычный 52" xfId="360"/>
    <cellStyle name="Обычный 53" xfId="361"/>
    <cellStyle name="Обычный 54" xfId="362"/>
    <cellStyle name="Обычный 55" xfId="363"/>
    <cellStyle name="Обычный 56" xfId="364"/>
    <cellStyle name="Обычный 57" xfId="365"/>
    <cellStyle name="Обычный 58" xfId="366"/>
    <cellStyle name="Обычный 59" xfId="367"/>
    <cellStyle name="Обычный 6" xfId="368"/>
    <cellStyle name="Обычный 6 10" xfId="1402"/>
    <cellStyle name="Обычный 6 10 2" xfId="2873"/>
    <cellStyle name="Обычный 6 10 2 2" xfId="5988"/>
    <cellStyle name="Обычный 6 10 2 3" xfId="9381"/>
    <cellStyle name="Обычный 6 10 3" xfId="4521"/>
    <cellStyle name="Обычный 6 10 4" xfId="7910"/>
    <cellStyle name="Обычный 6 11" xfId="2137"/>
    <cellStyle name="Обычный 6 11 2" xfId="6169"/>
    <cellStyle name="Обычный 6 11 3" xfId="8645"/>
    <cellStyle name="Обычный 6 12" xfId="3604"/>
    <cellStyle name="Обычный 6 12 2" xfId="6364"/>
    <cellStyle name="Обычный 6 12 3" xfId="10112"/>
    <cellStyle name="Обычный 6 13" xfId="6545"/>
    <cellStyle name="Обычный 6 14" xfId="6742"/>
    <cellStyle name="Обычный 6 15" xfId="6956"/>
    <cellStyle name="Обычный 6 16" xfId="5256"/>
    <cellStyle name="Обычный 6 17" xfId="3785"/>
    <cellStyle name="Обычный 6 18" xfId="7174"/>
    <cellStyle name="Обычный 6 19" xfId="719"/>
    <cellStyle name="Обычный 6 2" xfId="369"/>
    <cellStyle name="Обычный 6 2 10" xfId="6743"/>
    <cellStyle name="Обычный 6 2 11" xfId="6957"/>
    <cellStyle name="Обычный 6 2 12" xfId="5257"/>
    <cellStyle name="Обычный 6 2 13" xfId="3786"/>
    <cellStyle name="Обычный 6 2 14" xfId="7175"/>
    <cellStyle name="Обычный 6 2 2" xfId="370"/>
    <cellStyle name="Обычный 6 2 3" xfId="836"/>
    <cellStyle name="Обычный 6 2 3 2" xfId="1597"/>
    <cellStyle name="Обычный 6 2 3 2 2" xfId="3068"/>
    <cellStyle name="Обычный 6 2 3 2 2 2" xfId="9576"/>
    <cellStyle name="Обычный 6 2 3 2 3" xfId="4716"/>
    <cellStyle name="Обычный 6 2 3 2 4" xfId="8105"/>
    <cellStyle name="Обычный 6 2 3 3" xfId="2332"/>
    <cellStyle name="Обычный 6 2 3 3 2" xfId="5451"/>
    <cellStyle name="Обычный 6 2 3 3 3" xfId="8840"/>
    <cellStyle name="Обычный 6 2 3 4" xfId="3980"/>
    <cellStyle name="Обычный 6 2 3 5" xfId="7369"/>
    <cellStyle name="Обычный 6 2 4" xfId="1013"/>
    <cellStyle name="Обычный 6 2 4 2" xfId="1774"/>
    <cellStyle name="Обычный 6 2 4 2 2" xfId="3245"/>
    <cellStyle name="Обычный 6 2 4 2 2 2" xfId="9753"/>
    <cellStyle name="Обычный 6 2 4 2 3" xfId="4893"/>
    <cellStyle name="Обычный 6 2 4 2 4" xfId="8282"/>
    <cellStyle name="Обычный 6 2 4 3" xfId="2509"/>
    <cellStyle name="Обычный 6 2 4 3 2" xfId="5632"/>
    <cellStyle name="Обычный 6 2 4 3 3" xfId="9017"/>
    <cellStyle name="Обычный 6 2 4 4" xfId="4157"/>
    <cellStyle name="Обычный 6 2 4 5" xfId="7546"/>
    <cellStyle name="Обычный 6 2 5" xfId="1201"/>
    <cellStyle name="Обычный 6 2 5 2" xfId="1954"/>
    <cellStyle name="Обычный 6 2 5 2 2" xfId="3425"/>
    <cellStyle name="Обычный 6 2 5 2 2 2" xfId="9933"/>
    <cellStyle name="Обычный 6 2 5 2 3" xfId="5073"/>
    <cellStyle name="Обычный 6 2 5 2 4" xfId="8462"/>
    <cellStyle name="Обычный 6 2 5 3" xfId="2689"/>
    <cellStyle name="Обычный 6 2 5 3 2" xfId="5809"/>
    <cellStyle name="Обычный 6 2 5 3 3" xfId="9197"/>
    <cellStyle name="Обычный 6 2 5 4" xfId="4337"/>
    <cellStyle name="Обычный 6 2 5 5" xfId="7726"/>
    <cellStyle name="Обычный 6 2 6" xfId="1403"/>
    <cellStyle name="Обычный 6 2 6 2" xfId="2874"/>
    <cellStyle name="Обычный 6 2 6 2 2" xfId="5989"/>
    <cellStyle name="Обычный 6 2 6 2 3" xfId="9382"/>
    <cellStyle name="Обычный 6 2 6 3" xfId="4522"/>
    <cellStyle name="Обычный 6 2 6 4" xfId="7911"/>
    <cellStyle name="Обычный 6 2 7" xfId="2138"/>
    <cellStyle name="Обычный 6 2 7 2" xfId="6170"/>
    <cellStyle name="Обычный 6 2 7 3" xfId="8646"/>
    <cellStyle name="Обычный 6 2 8" xfId="3605"/>
    <cellStyle name="Обычный 6 2 8 2" xfId="6365"/>
    <cellStyle name="Обычный 6 2 8 3" xfId="10113"/>
    <cellStyle name="Обычный 6 2 9" xfId="6546"/>
    <cellStyle name="Обычный 6 20" xfId="670"/>
    <cellStyle name="Обычный 6 3" xfId="371"/>
    <cellStyle name="Обычный 6 3 10" xfId="6958"/>
    <cellStyle name="Обычный 6 3 11" xfId="5258"/>
    <cellStyle name="Обычный 6 3 12" xfId="3787"/>
    <cellStyle name="Обычный 6 3 13" xfId="7176"/>
    <cellStyle name="Обычный 6 3 2" xfId="837"/>
    <cellStyle name="Обычный 6 3 2 2" xfId="1598"/>
    <cellStyle name="Обычный 6 3 2 2 2" xfId="3069"/>
    <cellStyle name="Обычный 6 3 2 2 2 2" xfId="9577"/>
    <cellStyle name="Обычный 6 3 2 2 3" xfId="4717"/>
    <cellStyle name="Обычный 6 3 2 2 4" xfId="8106"/>
    <cellStyle name="Обычный 6 3 2 3" xfId="2333"/>
    <cellStyle name="Обычный 6 3 2 3 2" xfId="5452"/>
    <cellStyle name="Обычный 6 3 2 3 3" xfId="8841"/>
    <cellStyle name="Обычный 6 3 2 4" xfId="3981"/>
    <cellStyle name="Обычный 6 3 2 5" xfId="7370"/>
    <cellStyle name="Обычный 6 3 3" xfId="1014"/>
    <cellStyle name="Обычный 6 3 3 2" xfId="1775"/>
    <cellStyle name="Обычный 6 3 3 2 2" xfId="3246"/>
    <cellStyle name="Обычный 6 3 3 2 2 2" xfId="9754"/>
    <cellStyle name="Обычный 6 3 3 2 3" xfId="4894"/>
    <cellStyle name="Обычный 6 3 3 2 4" xfId="8283"/>
    <cellStyle name="Обычный 6 3 3 3" xfId="2510"/>
    <cellStyle name="Обычный 6 3 3 3 2" xfId="5633"/>
    <cellStyle name="Обычный 6 3 3 3 3" xfId="9018"/>
    <cellStyle name="Обычный 6 3 3 4" xfId="4158"/>
    <cellStyle name="Обычный 6 3 3 5" xfId="7547"/>
    <cellStyle name="Обычный 6 3 4" xfId="1202"/>
    <cellStyle name="Обычный 6 3 4 2" xfId="1955"/>
    <cellStyle name="Обычный 6 3 4 2 2" xfId="3426"/>
    <cellStyle name="Обычный 6 3 4 2 2 2" xfId="9934"/>
    <cellStyle name="Обычный 6 3 4 2 3" xfId="5074"/>
    <cellStyle name="Обычный 6 3 4 2 4" xfId="8463"/>
    <cellStyle name="Обычный 6 3 4 3" xfId="2690"/>
    <cellStyle name="Обычный 6 3 4 3 2" xfId="5810"/>
    <cellStyle name="Обычный 6 3 4 3 3" xfId="9198"/>
    <cellStyle name="Обычный 6 3 4 4" xfId="4338"/>
    <cellStyle name="Обычный 6 3 4 5" xfId="7727"/>
    <cellStyle name="Обычный 6 3 5" xfId="1404"/>
    <cellStyle name="Обычный 6 3 5 2" xfId="2875"/>
    <cellStyle name="Обычный 6 3 5 2 2" xfId="5990"/>
    <cellStyle name="Обычный 6 3 5 2 3" xfId="9383"/>
    <cellStyle name="Обычный 6 3 5 3" xfId="4523"/>
    <cellStyle name="Обычный 6 3 5 4" xfId="7912"/>
    <cellStyle name="Обычный 6 3 6" xfId="2139"/>
    <cellStyle name="Обычный 6 3 6 2" xfId="6171"/>
    <cellStyle name="Обычный 6 3 6 3" xfId="8647"/>
    <cellStyle name="Обычный 6 3 7" xfId="3606"/>
    <cellStyle name="Обычный 6 3 7 2" xfId="6366"/>
    <cellStyle name="Обычный 6 3 7 3" xfId="10114"/>
    <cellStyle name="Обычный 6 3 8" xfId="6547"/>
    <cellStyle name="Обычный 6 3 9" xfId="6744"/>
    <cellStyle name="Обычный 6 4" xfId="372"/>
    <cellStyle name="Обычный 6 5" xfId="739"/>
    <cellStyle name="Обычный 6 5 2" xfId="1502"/>
    <cellStyle name="Обычный 6 5 2 2" xfId="2973"/>
    <cellStyle name="Обычный 6 5 2 2 2" xfId="9481"/>
    <cellStyle name="Обычный 6 5 2 3" xfId="4621"/>
    <cellStyle name="Обычный 6 5 2 4" xfId="8010"/>
    <cellStyle name="Обычный 6 5 3" xfId="2237"/>
    <cellStyle name="Обычный 6 5 3 2" xfId="5356"/>
    <cellStyle name="Обычный 6 5 3 3" xfId="8745"/>
    <cellStyle name="Обычный 6 5 4" xfId="3885"/>
    <cellStyle name="Обычный 6 5 5" xfId="7274"/>
    <cellStyle name="Обычный 6 6" xfId="751"/>
    <cellStyle name="Обычный 6 6 2" xfId="1513"/>
    <cellStyle name="Обычный 6 6 2 2" xfId="2984"/>
    <cellStyle name="Обычный 6 6 2 2 2" xfId="9492"/>
    <cellStyle name="Обычный 6 6 2 3" xfId="4632"/>
    <cellStyle name="Обычный 6 6 2 4" xfId="8021"/>
    <cellStyle name="Обычный 6 6 3" xfId="2248"/>
    <cellStyle name="Обычный 6 6 3 2" xfId="5367"/>
    <cellStyle name="Обычный 6 6 3 3" xfId="8756"/>
    <cellStyle name="Обычный 6 6 4" xfId="3896"/>
    <cellStyle name="Обычный 6 6 5" xfId="7285"/>
    <cellStyle name="Обычный 6 7" xfId="835"/>
    <cellStyle name="Обычный 6 7 2" xfId="1596"/>
    <cellStyle name="Обычный 6 7 2 2" xfId="3067"/>
    <cellStyle name="Обычный 6 7 2 2 2" xfId="9575"/>
    <cellStyle name="Обычный 6 7 2 3" xfId="4715"/>
    <cellStyle name="Обычный 6 7 2 4" xfId="8104"/>
    <cellStyle name="Обычный 6 7 3" xfId="2331"/>
    <cellStyle name="Обычный 6 7 3 2" xfId="5450"/>
    <cellStyle name="Обычный 6 7 3 3" xfId="8839"/>
    <cellStyle name="Обычный 6 7 4" xfId="3979"/>
    <cellStyle name="Обычный 6 7 5" xfId="7368"/>
    <cellStyle name="Обычный 6 8" xfId="1012"/>
    <cellStyle name="Обычный 6 8 2" xfId="1773"/>
    <cellStyle name="Обычный 6 8 2 2" xfId="3244"/>
    <cellStyle name="Обычный 6 8 2 2 2" xfId="9752"/>
    <cellStyle name="Обычный 6 8 2 3" xfId="4892"/>
    <cellStyle name="Обычный 6 8 2 4" xfId="8281"/>
    <cellStyle name="Обычный 6 8 3" xfId="2508"/>
    <cellStyle name="Обычный 6 8 3 2" xfId="5631"/>
    <cellStyle name="Обычный 6 8 3 3" xfId="9016"/>
    <cellStyle name="Обычный 6 8 4" xfId="4156"/>
    <cellStyle name="Обычный 6 8 5" xfId="7545"/>
    <cellStyle name="Обычный 6 9" xfId="1200"/>
    <cellStyle name="Обычный 6 9 2" xfId="1953"/>
    <cellStyle name="Обычный 6 9 2 2" xfId="3424"/>
    <cellStyle name="Обычный 6 9 2 2 2" xfId="9932"/>
    <cellStyle name="Обычный 6 9 2 3" xfId="5072"/>
    <cellStyle name="Обычный 6 9 2 4" xfId="8461"/>
    <cellStyle name="Обычный 6 9 3" xfId="2688"/>
    <cellStyle name="Обычный 6 9 3 2" xfId="5808"/>
    <cellStyle name="Обычный 6 9 3 3" xfId="9196"/>
    <cellStyle name="Обычный 6 9 4" xfId="4336"/>
    <cellStyle name="Обычный 6 9 5" xfId="7725"/>
    <cellStyle name="Обычный 60" xfId="373"/>
    <cellStyle name="Обычный 61" xfId="374"/>
    <cellStyle name="Обычный 62" xfId="375"/>
    <cellStyle name="Обычный 63" xfId="376"/>
    <cellStyle name="Обычный 64" xfId="377"/>
    <cellStyle name="Обычный 65" xfId="378"/>
    <cellStyle name="Обычный 66" xfId="379"/>
    <cellStyle name="Обычный 67" xfId="380"/>
    <cellStyle name="Обычный 68" xfId="381"/>
    <cellStyle name="Обычный 69" xfId="382"/>
    <cellStyle name="Обычный 7" xfId="383"/>
    <cellStyle name="Обычный 7 2" xfId="384"/>
    <cellStyle name="Обычный 7 3" xfId="738"/>
    <cellStyle name="Обычный 7 3 2" xfId="1501"/>
    <cellStyle name="Обычный 7 3 2 2" xfId="2972"/>
    <cellStyle name="Обычный 7 3 2 2 2" xfId="9480"/>
    <cellStyle name="Обычный 7 3 2 3" xfId="4620"/>
    <cellStyle name="Обычный 7 3 2 4" xfId="8009"/>
    <cellStyle name="Обычный 7 3 3" xfId="2236"/>
    <cellStyle name="Обычный 7 3 3 2" xfId="5355"/>
    <cellStyle name="Обычный 7 3 3 3" xfId="8744"/>
    <cellStyle name="Обычный 7 3 4" xfId="3884"/>
    <cellStyle name="Обычный 7 3 5" xfId="7273"/>
    <cellStyle name="Обычный 7 4" xfId="385"/>
    <cellStyle name="Обычный 7 5" xfId="750"/>
    <cellStyle name="Обычный 7 5 2" xfId="1512"/>
    <cellStyle name="Обычный 7 5 2 2" xfId="2983"/>
    <cellStyle name="Обычный 7 5 2 2 2" xfId="9491"/>
    <cellStyle name="Обычный 7 5 2 3" xfId="4631"/>
    <cellStyle name="Обычный 7 5 2 4" xfId="8020"/>
    <cellStyle name="Обычный 7 5 3" xfId="2247"/>
    <cellStyle name="Обычный 7 5 3 2" xfId="5366"/>
    <cellStyle name="Обычный 7 5 3 3" xfId="8755"/>
    <cellStyle name="Обычный 7 5 4" xfId="3895"/>
    <cellStyle name="Обычный 7 5 5" xfId="7284"/>
    <cellStyle name="Обычный 70" xfId="386"/>
    <cellStyle name="Обычный 71" xfId="387"/>
    <cellStyle name="Обычный 72" xfId="388"/>
    <cellStyle name="Обычный 73" xfId="389"/>
    <cellStyle name="Обычный 74" xfId="390"/>
    <cellStyle name="Обычный 75" xfId="391"/>
    <cellStyle name="Обычный 76" xfId="392"/>
    <cellStyle name="Обычный 77" xfId="393"/>
    <cellStyle name="Обычный 78" xfId="394"/>
    <cellStyle name="Обычный 79" xfId="395"/>
    <cellStyle name="Обычный 8" xfId="396"/>
    <cellStyle name="Обычный 8 10" xfId="6745"/>
    <cellStyle name="Обычный 8 11" xfId="6959"/>
    <cellStyle name="Обычный 8 12" xfId="5259"/>
    <cellStyle name="Обычный 8 13" xfId="3788"/>
    <cellStyle name="Обычный 8 14" xfId="7177"/>
    <cellStyle name="Обычный 8 2" xfId="838"/>
    <cellStyle name="Обычный 8 2 2" xfId="1599"/>
    <cellStyle name="Обычный 8 2 2 2" xfId="3070"/>
    <cellStyle name="Обычный 8 2 2 2 2" xfId="9578"/>
    <cellStyle name="Обычный 8 2 2 3" xfId="4718"/>
    <cellStyle name="Обычный 8 2 2 4" xfId="8107"/>
    <cellStyle name="Обычный 8 2 3" xfId="2334"/>
    <cellStyle name="Обычный 8 2 3 2" xfId="5453"/>
    <cellStyle name="Обычный 8 2 3 3" xfId="8842"/>
    <cellStyle name="Обычный 8 2 4" xfId="3982"/>
    <cellStyle name="Обычный 8 2 5" xfId="7371"/>
    <cellStyle name="Обычный 8 3" xfId="693"/>
    <cellStyle name="Обычный 8 4" xfId="1015"/>
    <cellStyle name="Обычный 8 4 2" xfId="1776"/>
    <cellStyle name="Обычный 8 4 2 2" xfId="3247"/>
    <cellStyle name="Обычный 8 4 2 2 2" xfId="9755"/>
    <cellStyle name="Обычный 8 4 2 3" xfId="4895"/>
    <cellStyle name="Обычный 8 4 2 4" xfId="8284"/>
    <cellStyle name="Обычный 8 4 3" xfId="2511"/>
    <cellStyle name="Обычный 8 4 3 2" xfId="5634"/>
    <cellStyle name="Обычный 8 4 3 3" xfId="9019"/>
    <cellStyle name="Обычный 8 4 4" xfId="4159"/>
    <cellStyle name="Обычный 8 4 5" xfId="7548"/>
    <cellStyle name="Обычный 8 5" xfId="1203"/>
    <cellStyle name="Обычный 8 5 2" xfId="1956"/>
    <cellStyle name="Обычный 8 5 2 2" xfId="3427"/>
    <cellStyle name="Обычный 8 5 2 2 2" xfId="9935"/>
    <cellStyle name="Обычный 8 5 2 3" xfId="5075"/>
    <cellStyle name="Обычный 8 5 2 4" xfId="8464"/>
    <cellStyle name="Обычный 8 5 3" xfId="2691"/>
    <cellStyle name="Обычный 8 5 3 2" xfId="5811"/>
    <cellStyle name="Обычный 8 5 3 3" xfId="9199"/>
    <cellStyle name="Обычный 8 5 4" xfId="4339"/>
    <cellStyle name="Обычный 8 5 5" xfId="7728"/>
    <cellStyle name="Обычный 8 6" xfId="1405"/>
    <cellStyle name="Обычный 8 6 2" xfId="2876"/>
    <cellStyle name="Обычный 8 6 2 2" xfId="5991"/>
    <cellStyle name="Обычный 8 6 2 3" xfId="9384"/>
    <cellStyle name="Обычный 8 6 3" xfId="4524"/>
    <cellStyle name="Обычный 8 6 4" xfId="7913"/>
    <cellStyle name="Обычный 8 7" xfId="2140"/>
    <cellStyle name="Обычный 8 7 2" xfId="6172"/>
    <cellStyle name="Обычный 8 7 3" xfId="8648"/>
    <cellStyle name="Обычный 8 8" xfId="3607"/>
    <cellStyle name="Обычный 8 8 2" xfId="6367"/>
    <cellStyle name="Обычный 8 8 3" xfId="10115"/>
    <cellStyle name="Обычный 8 9" xfId="6548"/>
    <cellStyle name="Обычный 80" xfId="397"/>
    <cellStyle name="Обычный 81" xfId="398"/>
    <cellStyle name="Обычный 82" xfId="399"/>
    <cellStyle name="Обычный 83" xfId="400"/>
    <cellStyle name="Обычный 84" xfId="401"/>
    <cellStyle name="Обычный 85" xfId="402"/>
    <cellStyle name="Обычный 86" xfId="403"/>
    <cellStyle name="Обычный 87" xfId="404"/>
    <cellStyle name="Обычный 88" xfId="405"/>
    <cellStyle name="Обычный 89" xfId="406"/>
    <cellStyle name="Обычный 9" xfId="407"/>
    <cellStyle name="Обычный 9 10" xfId="6960"/>
    <cellStyle name="Обычный 9 11" xfId="5260"/>
    <cellStyle name="Обычный 9 12" xfId="3789"/>
    <cellStyle name="Обычный 9 13" xfId="7178"/>
    <cellStyle name="Обычный 9 2" xfId="839"/>
    <cellStyle name="Обычный 9 2 2" xfId="1600"/>
    <cellStyle name="Обычный 9 2 2 2" xfId="3071"/>
    <cellStyle name="Обычный 9 2 2 2 2" xfId="9579"/>
    <cellStyle name="Обычный 9 2 2 3" xfId="4719"/>
    <cellStyle name="Обычный 9 2 2 4" xfId="8108"/>
    <cellStyle name="Обычный 9 2 3" xfId="2335"/>
    <cellStyle name="Обычный 9 2 3 2" xfId="5454"/>
    <cellStyle name="Обычный 9 2 3 3" xfId="8843"/>
    <cellStyle name="Обычный 9 2 4" xfId="3983"/>
    <cellStyle name="Обычный 9 2 5" xfId="7372"/>
    <cellStyle name="Обычный 9 3" xfId="1016"/>
    <cellStyle name="Обычный 9 3 2" xfId="1777"/>
    <cellStyle name="Обычный 9 3 2 2" xfId="3248"/>
    <cellStyle name="Обычный 9 3 2 2 2" xfId="9756"/>
    <cellStyle name="Обычный 9 3 2 3" xfId="4896"/>
    <cellStyle name="Обычный 9 3 2 4" xfId="8285"/>
    <cellStyle name="Обычный 9 3 3" xfId="2512"/>
    <cellStyle name="Обычный 9 3 3 2" xfId="5635"/>
    <cellStyle name="Обычный 9 3 3 3" xfId="9020"/>
    <cellStyle name="Обычный 9 3 4" xfId="4160"/>
    <cellStyle name="Обычный 9 3 5" xfId="7549"/>
    <cellStyle name="Обычный 9 4" xfId="1204"/>
    <cellStyle name="Обычный 9 4 2" xfId="1957"/>
    <cellStyle name="Обычный 9 4 2 2" xfId="3428"/>
    <cellStyle name="Обычный 9 4 2 2 2" xfId="9936"/>
    <cellStyle name="Обычный 9 4 2 3" xfId="5076"/>
    <cellStyle name="Обычный 9 4 2 4" xfId="8465"/>
    <cellStyle name="Обычный 9 4 3" xfId="2692"/>
    <cellStyle name="Обычный 9 4 3 2" xfId="5812"/>
    <cellStyle name="Обычный 9 4 3 3" xfId="9200"/>
    <cellStyle name="Обычный 9 4 4" xfId="4340"/>
    <cellStyle name="Обычный 9 4 5" xfId="7729"/>
    <cellStyle name="Обычный 9 5" xfId="1406"/>
    <cellStyle name="Обычный 9 5 2" xfId="2877"/>
    <cellStyle name="Обычный 9 5 2 2" xfId="5992"/>
    <cellStyle name="Обычный 9 5 2 3" xfId="9385"/>
    <cellStyle name="Обычный 9 5 3" xfId="4525"/>
    <cellStyle name="Обычный 9 5 4" xfId="7914"/>
    <cellStyle name="Обычный 9 6" xfId="2141"/>
    <cellStyle name="Обычный 9 6 2" xfId="6173"/>
    <cellStyle name="Обычный 9 6 3" xfId="8649"/>
    <cellStyle name="Обычный 9 7" xfId="3608"/>
    <cellStyle name="Обычный 9 7 2" xfId="6368"/>
    <cellStyle name="Обычный 9 7 3" xfId="10116"/>
    <cellStyle name="Обычный 9 8" xfId="6549"/>
    <cellStyle name="Обычный 9 9" xfId="6746"/>
    <cellStyle name="Обычный 90" xfId="408"/>
    <cellStyle name="Обычный 91" xfId="409"/>
    <cellStyle name="Обычный 92" xfId="410"/>
    <cellStyle name="Обычный 93" xfId="411"/>
    <cellStyle name="Обычный 94" xfId="412"/>
    <cellStyle name="Обычный 95" xfId="413"/>
    <cellStyle name="Обычный 96" xfId="414"/>
    <cellStyle name="Обычный 97" xfId="415"/>
    <cellStyle name="Обычный 98" xfId="416"/>
    <cellStyle name="Обычный 99" xfId="417"/>
    <cellStyle name="Плохой 2" xfId="418"/>
    <cellStyle name="Пояснение 2" xfId="419"/>
    <cellStyle name="Примечание 2" xfId="420"/>
    <cellStyle name="Примечание 2 2" xfId="1314"/>
    <cellStyle name="Примечание 2 2 2" xfId="10222"/>
    <cellStyle name="Примечание 2 2 3" xfId="10242"/>
    <cellStyle name="Примечание 2 2 4" xfId="10238"/>
    <cellStyle name="Примечание 2 3" xfId="10215"/>
    <cellStyle name="Примечание 2 4" xfId="10228"/>
    <cellStyle name="Примечание 2 5" xfId="10227"/>
    <cellStyle name="Процентный 10" xfId="749"/>
    <cellStyle name="Процентный 10 2" xfId="1511"/>
    <cellStyle name="Процентный 10 2 2" xfId="2982"/>
    <cellStyle name="Процентный 10 2 2 2" xfId="9490"/>
    <cellStyle name="Процентный 10 2 3" xfId="4630"/>
    <cellStyle name="Процентный 10 2 4" xfId="8019"/>
    <cellStyle name="Процентный 10 3" xfId="2246"/>
    <cellStyle name="Процентный 10 3 2" xfId="5365"/>
    <cellStyle name="Процентный 10 3 3" xfId="8754"/>
    <cellStyle name="Процентный 10 4" xfId="3894"/>
    <cellStyle name="Процентный 10 5" xfId="7283"/>
    <cellStyle name="Процентный 11" xfId="5548"/>
    <cellStyle name="Процентный 12" xfId="692"/>
    <cellStyle name="Процентный 13" xfId="671"/>
    <cellStyle name="Процентный 2" xfId="421"/>
    <cellStyle name="Процентный 2 10" xfId="2142"/>
    <cellStyle name="Процентный 2 10 2" xfId="6174"/>
    <cellStyle name="Процентный 2 10 3" xfId="8650"/>
    <cellStyle name="Процентный 2 11" xfId="3609"/>
    <cellStyle name="Процентный 2 11 2" xfId="6369"/>
    <cellStyle name="Процентный 2 11 3" xfId="10117"/>
    <cellStyle name="Процентный 2 12" xfId="6550"/>
    <cellStyle name="Процентный 2 13" xfId="6747"/>
    <cellStyle name="Процентный 2 14" xfId="6961"/>
    <cellStyle name="Процентный 2 15" xfId="5261"/>
    <cellStyle name="Процентный 2 16" xfId="3790"/>
    <cellStyle name="Процентный 2 17" xfId="7179"/>
    <cellStyle name="Процентный 2 18" xfId="723"/>
    <cellStyle name="Процентный 2 19" xfId="672"/>
    <cellStyle name="Процентный 2 2" xfId="422"/>
    <cellStyle name="Процентный 2 2 10" xfId="6551"/>
    <cellStyle name="Процентный 2 2 11" xfId="6748"/>
    <cellStyle name="Процентный 2 2 12" xfId="6962"/>
    <cellStyle name="Процентный 2 2 13" xfId="5262"/>
    <cellStyle name="Процентный 2 2 14" xfId="3791"/>
    <cellStyle name="Процентный 2 2 15" xfId="7180"/>
    <cellStyle name="Процентный 2 2 16" xfId="724"/>
    <cellStyle name="Процентный 2 2 17" xfId="673"/>
    <cellStyle name="Процентный 2 2 2" xfId="423"/>
    <cellStyle name="Процентный 2 2 2 10" xfId="6749"/>
    <cellStyle name="Процентный 2 2 2 11" xfId="6963"/>
    <cellStyle name="Процентный 2 2 2 12" xfId="5263"/>
    <cellStyle name="Процентный 2 2 2 13" xfId="3792"/>
    <cellStyle name="Процентный 2 2 2 14" xfId="7181"/>
    <cellStyle name="Процентный 2 2 2 2" xfId="424"/>
    <cellStyle name="Процентный 2 2 2 2 10" xfId="6964"/>
    <cellStyle name="Процентный 2 2 2 2 11" xfId="5264"/>
    <cellStyle name="Процентный 2 2 2 2 12" xfId="3793"/>
    <cellStyle name="Процентный 2 2 2 2 13" xfId="7182"/>
    <cellStyle name="Процентный 2 2 2 2 2" xfId="843"/>
    <cellStyle name="Процентный 2 2 2 2 2 2" xfId="1604"/>
    <cellStyle name="Процентный 2 2 2 2 2 2 2" xfId="3075"/>
    <cellStyle name="Процентный 2 2 2 2 2 2 2 2" xfId="9583"/>
    <cellStyle name="Процентный 2 2 2 2 2 2 3" xfId="4723"/>
    <cellStyle name="Процентный 2 2 2 2 2 2 4" xfId="8112"/>
    <cellStyle name="Процентный 2 2 2 2 2 3" xfId="2339"/>
    <cellStyle name="Процентный 2 2 2 2 2 3 2" xfId="5458"/>
    <cellStyle name="Процентный 2 2 2 2 2 3 3" xfId="8847"/>
    <cellStyle name="Процентный 2 2 2 2 2 4" xfId="3987"/>
    <cellStyle name="Процентный 2 2 2 2 2 5" xfId="7376"/>
    <cellStyle name="Процентный 2 2 2 2 3" xfId="1020"/>
    <cellStyle name="Процентный 2 2 2 2 3 2" xfId="1781"/>
    <cellStyle name="Процентный 2 2 2 2 3 2 2" xfId="3252"/>
    <cellStyle name="Процентный 2 2 2 2 3 2 2 2" xfId="9760"/>
    <cellStyle name="Процентный 2 2 2 2 3 2 3" xfId="4900"/>
    <cellStyle name="Процентный 2 2 2 2 3 2 4" xfId="8289"/>
    <cellStyle name="Процентный 2 2 2 2 3 3" xfId="2516"/>
    <cellStyle name="Процентный 2 2 2 2 3 3 2" xfId="5639"/>
    <cellStyle name="Процентный 2 2 2 2 3 3 3" xfId="9024"/>
    <cellStyle name="Процентный 2 2 2 2 3 4" xfId="4164"/>
    <cellStyle name="Процентный 2 2 2 2 3 5" xfId="7553"/>
    <cellStyle name="Процентный 2 2 2 2 4" xfId="1208"/>
    <cellStyle name="Процентный 2 2 2 2 4 2" xfId="1961"/>
    <cellStyle name="Процентный 2 2 2 2 4 2 2" xfId="3432"/>
    <cellStyle name="Процентный 2 2 2 2 4 2 2 2" xfId="9940"/>
    <cellStyle name="Процентный 2 2 2 2 4 2 3" xfId="5080"/>
    <cellStyle name="Процентный 2 2 2 2 4 2 4" xfId="8469"/>
    <cellStyle name="Процентный 2 2 2 2 4 3" xfId="2696"/>
    <cellStyle name="Процентный 2 2 2 2 4 3 2" xfId="5816"/>
    <cellStyle name="Процентный 2 2 2 2 4 3 3" xfId="9204"/>
    <cellStyle name="Процентный 2 2 2 2 4 4" xfId="4344"/>
    <cellStyle name="Процентный 2 2 2 2 4 5" xfId="7733"/>
    <cellStyle name="Процентный 2 2 2 2 5" xfId="1410"/>
    <cellStyle name="Процентный 2 2 2 2 5 2" xfId="2881"/>
    <cellStyle name="Процентный 2 2 2 2 5 2 2" xfId="5996"/>
    <cellStyle name="Процентный 2 2 2 2 5 2 3" xfId="9389"/>
    <cellStyle name="Процентный 2 2 2 2 5 3" xfId="4529"/>
    <cellStyle name="Процентный 2 2 2 2 5 4" xfId="7918"/>
    <cellStyle name="Процентный 2 2 2 2 6" xfId="2145"/>
    <cellStyle name="Процентный 2 2 2 2 6 2" xfId="6177"/>
    <cellStyle name="Процентный 2 2 2 2 6 3" xfId="8653"/>
    <cellStyle name="Процентный 2 2 2 2 7" xfId="3612"/>
    <cellStyle name="Процентный 2 2 2 2 7 2" xfId="6372"/>
    <cellStyle name="Процентный 2 2 2 2 7 3" xfId="10120"/>
    <cellStyle name="Процентный 2 2 2 2 8" xfId="6553"/>
    <cellStyle name="Процентный 2 2 2 2 9" xfId="6750"/>
    <cellStyle name="Процентный 2 2 2 3" xfId="842"/>
    <cellStyle name="Процентный 2 2 2 3 2" xfId="1603"/>
    <cellStyle name="Процентный 2 2 2 3 2 2" xfId="3074"/>
    <cellStyle name="Процентный 2 2 2 3 2 2 2" xfId="9582"/>
    <cellStyle name="Процентный 2 2 2 3 2 3" xfId="4722"/>
    <cellStyle name="Процентный 2 2 2 3 2 4" xfId="8111"/>
    <cellStyle name="Процентный 2 2 2 3 3" xfId="2338"/>
    <cellStyle name="Процентный 2 2 2 3 3 2" xfId="5457"/>
    <cellStyle name="Процентный 2 2 2 3 3 3" xfId="8846"/>
    <cellStyle name="Процентный 2 2 2 3 4" xfId="3986"/>
    <cellStyle name="Процентный 2 2 2 3 5" xfId="7375"/>
    <cellStyle name="Процентный 2 2 2 4" xfId="1019"/>
    <cellStyle name="Процентный 2 2 2 4 2" xfId="1780"/>
    <cellStyle name="Процентный 2 2 2 4 2 2" xfId="3251"/>
    <cellStyle name="Процентный 2 2 2 4 2 2 2" xfId="9759"/>
    <cellStyle name="Процентный 2 2 2 4 2 3" xfId="4899"/>
    <cellStyle name="Процентный 2 2 2 4 2 4" xfId="8288"/>
    <cellStyle name="Процентный 2 2 2 4 3" xfId="2515"/>
    <cellStyle name="Процентный 2 2 2 4 3 2" xfId="5638"/>
    <cellStyle name="Процентный 2 2 2 4 3 3" xfId="9023"/>
    <cellStyle name="Процентный 2 2 2 4 4" xfId="4163"/>
    <cellStyle name="Процентный 2 2 2 4 5" xfId="7552"/>
    <cellStyle name="Процентный 2 2 2 5" xfId="1207"/>
    <cellStyle name="Процентный 2 2 2 5 2" xfId="1960"/>
    <cellStyle name="Процентный 2 2 2 5 2 2" xfId="3431"/>
    <cellStyle name="Процентный 2 2 2 5 2 2 2" xfId="9939"/>
    <cellStyle name="Процентный 2 2 2 5 2 3" xfId="5079"/>
    <cellStyle name="Процентный 2 2 2 5 2 4" xfId="8468"/>
    <cellStyle name="Процентный 2 2 2 5 3" xfId="2695"/>
    <cellStyle name="Процентный 2 2 2 5 3 2" xfId="5815"/>
    <cellStyle name="Процентный 2 2 2 5 3 3" xfId="9203"/>
    <cellStyle name="Процентный 2 2 2 5 4" xfId="4343"/>
    <cellStyle name="Процентный 2 2 2 5 5" xfId="7732"/>
    <cellStyle name="Процентный 2 2 2 6" xfId="1409"/>
    <cellStyle name="Процентный 2 2 2 6 2" xfId="2880"/>
    <cellStyle name="Процентный 2 2 2 6 2 2" xfId="5995"/>
    <cellStyle name="Процентный 2 2 2 6 2 3" xfId="9388"/>
    <cellStyle name="Процентный 2 2 2 6 3" xfId="4528"/>
    <cellStyle name="Процентный 2 2 2 6 4" xfId="7917"/>
    <cellStyle name="Процентный 2 2 2 7" xfId="2144"/>
    <cellStyle name="Процентный 2 2 2 7 2" xfId="6176"/>
    <cellStyle name="Процентный 2 2 2 7 3" xfId="8652"/>
    <cellStyle name="Процентный 2 2 2 8" xfId="3611"/>
    <cellStyle name="Процентный 2 2 2 8 2" xfId="6371"/>
    <cellStyle name="Процентный 2 2 2 8 3" xfId="10119"/>
    <cellStyle name="Процентный 2 2 2 9" xfId="6552"/>
    <cellStyle name="Процентный 2 2 3" xfId="425"/>
    <cellStyle name="Процентный 2 2 3 10" xfId="6751"/>
    <cellStyle name="Процентный 2 2 3 11" xfId="6965"/>
    <cellStyle name="Процентный 2 2 3 12" xfId="5265"/>
    <cellStyle name="Процентный 2 2 3 13" xfId="3794"/>
    <cellStyle name="Процентный 2 2 3 14" xfId="7183"/>
    <cellStyle name="Процентный 2 2 3 2" xfId="426"/>
    <cellStyle name="Процентный 2 2 3 3" xfId="844"/>
    <cellStyle name="Процентный 2 2 3 3 2" xfId="1605"/>
    <cellStyle name="Процентный 2 2 3 3 2 2" xfId="3076"/>
    <cellStyle name="Процентный 2 2 3 3 2 2 2" xfId="9584"/>
    <cellStyle name="Процентный 2 2 3 3 2 3" xfId="4724"/>
    <cellStyle name="Процентный 2 2 3 3 2 4" xfId="8113"/>
    <cellStyle name="Процентный 2 2 3 3 3" xfId="2340"/>
    <cellStyle name="Процентный 2 2 3 3 3 2" xfId="5459"/>
    <cellStyle name="Процентный 2 2 3 3 3 3" xfId="8848"/>
    <cellStyle name="Процентный 2 2 3 3 4" xfId="3988"/>
    <cellStyle name="Процентный 2 2 3 3 5" xfId="7377"/>
    <cellStyle name="Процентный 2 2 3 4" xfId="1021"/>
    <cellStyle name="Процентный 2 2 3 4 2" xfId="1782"/>
    <cellStyle name="Процентный 2 2 3 4 2 2" xfId="3253"/>
    <cellStyle name="Процентный 2 2 3 4 2 2 2" xfId="9761"/>
    <cellStyle name="Процентный 2 2 3 4 2 3" xfId="4901"/>
    <cellStyle name="Процентный 2 2 3 4 2 4" xfId="8290"/>
    <cellStyle name="Процентный 2 2 3 4 3" xfId="2517"/>
    <cellStyle name="Процентный 2 2 3 4 3 2" xfId="5640"/>
    <cellStyle name="Процентный 2 2 3 4 3 3" xfId="9025"/>
    <cellStyle name="Процентный 2 2 3 4 4" xfId="4165"/>
    <cellStyle name="Процентный 2 2 3 4 5" xfId="7554"/>
    <cellStyle name="Процентный 2 2 3 5" xfId="1209"/>
    <cellStyle name="Процентный 2 2 3 5 2" xfId="1962"/>
    <cellStyle name="Процентный 2 2 3 5 2 2" xfId="3433"/>
    <cellStyle name="Процентный 2 2 3 5 2 2 2" xfId="9941"/>
    <cellStyle name="Процентный 2 2 3 5 2 3" xfId="5081"/>
    <cellStyle name="Процентный 2 2 3 5 2 4" xfId="8470"/>
    <cellStyle name="Процентный 2 2 3 5 3" xfId="2697"/>
    <cellStyle name="Процентный 2 2 3 5 3 2" xfId="5817"/>
    <cellStyle name="Процентный 2 2 3 5 3 3" xfId="9205"/>
    <cellStyle name="Процентный 2 2 3 5 4" xfId="4345"/>
    <cellStyle name="Процентный 2 2 3 5 5" xfId="7734"/>
    <cellStyle name="Процентный 2 2 3 6" xfId="1411"/>
    <cellStyle name="Процентный 2 2 3 6 2" xfId="2882"/>
    <cellStyle name="Процентный 2 2 3 6 2 2" xfId="5997"/>
    <cellStyle name="Процентный 2 2 3 6 2 3" xfId="9390"/>
    <cellStyle name="Процентный 2 2 3 6 3" xfId="4530"/>
    <cellStyle name="Процентный 2 2 3 6 4" xfId="7919"/>
    <cellStyle name="Процентный 2 2 3 7" xfId="2146"/>
    <cellStyle name="Процентный 2 2 3 7 2" xfId="6178"/>
    <cellStyle name="Процентный 2 2 3 7 3" xfId="8654"/>
    <cellStyle name="Процентный 2 2 3 8" xfId="3613"/>
    <cellStyle name="Процентный 2 2 3 8 2" xfId="6373"/>
    <cellStyle name="Процентный 2 2 3 8 3" xfId="10121"/>
    <cellStyle name="Процентный 2 2 3 9" xfId="6554"/>
    <cellStyle name="Процентный 2 2 4" xfId="841"/>
    <cellStyle name="Процентный 2 2 4 2" xfId="1602"/>
    <cellStyle name="Процентный 2 2 4 2 2" xfId="3073"/>
    <cellStyle name="Процентный 2 2 4 2 2 2" xfId="9581"/>
    <cellStyle name="Процентный 2 2 4 2 3" xfId="4721"/>
    <cellStyle name="Процентный 2 2 4 2 4" xfId="8110"/>
    <cellStyle name="Процентный 2 2 4 3" xfId="2337"/>
    <cellStyle name="Процентный 2 2 4 3 2" xfId="5456"/>
    <cellStyle name="Процентный 2 2 4 3 3" xfId="8845"/>
    <cellStyle name="Процентный 2 2 4 4" xfId="3985"/>
    <cellStyle name="Процентный 2 2 4 5" xfId="7374"/>
    <cellStyle name="Процентный 2 2 5" xfId="1018"/>
    <cellStyle name="Процентный 2 2 5 2" xfId="1779"/>
    <cellStyle name="Процентный 2 2 5 2 2" xfId="3250"/>
    <cellStyle name="Процентный 2 2 5 2 2 2" xfId="9758"/>
    <cellStyle name="Процентный 2 2 5 2 3" xfId="4898"/>
    <cellStyle name="Процентный 2 2 5 2 4" xfId="8287"/>
    <cellStyle name="Процентный 2 2 5 3" xfId="2514"/>
    <cellStyle name="Процентный 2 2 5 3 2" xfId="5637"/>
    <cellStyle name="Процентный 2 2 5 3 3" xfId="9022"/>
    <cellStyle name="Процентный 2 2 5 4" xfId="4162"/>
    <cellStyle name="Процентный 2 2 5 5" xfId="7551"/>
    <cellStyle name="Процентный 2 2 6" xfId="1206"/>
    <cellStyle name="Процентный 2 2 6 2" xfId="1959"/>
    <cellStyle name="Процентный 2 2 6 2 2" xfId="3430"/>
    <cellStyle name="Процентный 2 2 6 2 2 2" xfId="9938"/>
    <cellStyle name="Процентный 2 2 6 2 3" xfId="5078"/>
    <cellStyle name="Процентный 2 2 6 2 4" xfId="8467"/>
    <cellStyle name="Процентный 2 2 6 3" xfId="2694"/>
    <cellStyle name="Процентный 2 2 6 3 2" xfId="5814"/>
    <cellStyle name="Процентный 2 2 6 3 3" xfId="9202"/>
    <cellStyle name="Процентный 2 2 6 4" xfId="4342"/>
    <cellStyle name="Процентный 2 2 6 5" xfId="7731"/>
    <cellStyle name="Процентный 2 2 7" xfId="1408"/>
    <cellStyle name="Процентный 2 2 7 2" xfId="2879"/>
    <cellStyle name="Процентный 2 2 7 2 2" xfId="5994"/>
    <cellStyle name="Процентный 2 2 7 2 3" xfId="9387"/>
    <cellStyle name="Процентный 2 2 7 3" xfId="4527"/>
    <cellStyle name="Процентный 2 2 7 4" xfId="7916"/>
    <cellStyle name="Процентный 2 2 8" xfId="2143"/>
    <cellStyle name="Процентный 2 2 8 2" xfId="6175"/>
    <cellStyle name="Процентный 2 2 8 3" xfId="8651"/>
    <cellStyle name="Процентный 2 2 9" xfId="3610"/>
    <cellStyle name="Процентный 2 2 9 2" xfId="6370"/>
    <cellStyle name="Процентный 2 2 9 3" xfId="10118"/>
    <cellStyle name="Процентный 2 3" xfId="427"/>
    <cellStyle name="Процентный 2 3 10" xfId="6752"/>
    <cellStyle name="Процентный 2 3 11" xfId="6966"/>
    <cellStyle name="Процентный 2 3 12" xfId="5266"/>
    <cellStyle name="Процентный 2 3 13" xfId="3795"/>
    <cellStyle name="Процентный 2 3 14" xfId="7184"/>
    <cellStyle name="Процентный 2 3 15" xfId="725"/>
    <cellStyle name="Процентный 2 3 16" xfId="674"/>
    <cellStyle name="Процентный 2 3 2" xfId="428"/>
    <cellStyle name="Процентный 2 3 2 10" xfId="6967"/>
    <cellStyle name="Процентный 2 3 2 11" xfId="5267"/>
    <cellStyle name="Процентный 2 3 2 12" xfId="3796"/>
    <cellStyle name="Процентный 2 3 2 13" xfId="7185"/>
    <cellStyle name="Процентный 2 3 2 2" xfId="846"/>
    <cellStyle name="Процентный 2 3 2 2 2" xfId="1607"/>
    <cellStyle name="Процентный 2 3 2 2 2 2" xfId="3078"/>
    <cellStyle name="Процентный 2 3 2 2 2 2 2" xfId="9586"/>
    <cellStyle name="Процентный 2 3 2 2 2 3" xfId="4726"/>
    <cellStyle name="Процентный 2 3 2 2 2 4" xfId="8115"/>
    <cellStyle name="Процентный 2 3 2 2 3" xfId="2342"/>
    <cellStyle name="Процентный 2 3 2 2 3 2" xfId="5461"/>
    <cellStyle name="Процентный 2 3 2 2 3 3" xfId="8850"/>
    <cellStyle name="Процентный 2 3 2 2 4" xfId="3990"/>
    <cellStyle name="Процентный 2 3 2 2 5" xfId="7379"/>
    <cellStyle name="Процентный 2 3 2 3" xfId="1023"/>
    <cellStyle name="Процентный 2 3 2 3 2" xfId="1784"/>
    <cellStyle name="Процентный 2 3 2 3 2 2" xfId="3255"/>
    <cellStyle name="Процентный 2 3 2 3 2 2 2" xfId="9763"/>
    <cellStyle name="Процентный 2 3 2 3 2 3" xfId="4903"/>
    <cellStyle name="Процентный 2 3 2 3 2 4" xfId="8292"/>
    <cellStyle name="Процентный 2 3 2 3 3" xfId="2519"/>
    <cellStyle name="Процентный 2 3 2 3 3 2" xfId="5642"/>
    <cellStyle name="Процентный 2 3 2 3 3 3" xfId="9027"/>
    <cellStyle name="Процентный 2 3 2 3 4" xfId="4167"/>
    <cellStyle name="Процентный 2 3 2 3 5" xfId="7556"/>
    <cellStyle name="Процентный 2 3 2 4" xfId="1211"/>
    <cellStyle name="Процентный 2 3 2 4 2" xfId="1964"/>
    <cellStyle name="Процентный 2 3 2 4 2 2" xfId="3435"/>
    <cellStyle name="Процентный 2 3 2 4 2 2 2" xfId="9943"/>
    <cellStyle name="Процентный 2 3 2 4 2 3" xfId="5083"/>
    <cellStyle name="Процентный 2 3 2 4 2 4" xfId="8472"/>
    <cellStyle name="Процентный 2 3 2 4 3" xfId="2699"/>
    <cellStyle name="Процентный 2 3 2 4 3 2" xfId="5819"/>
    <cellStyle name="Процентный 2 3 2 4 3 3" xfId="9207"/>
    <cellStyle name="Процентный 2 3 2 4 4" xfId="4347"/>
    <cellStyle name="Процентный 2 3 2 4 5" xfId="7736"/>
    <cellStyle name="Процентный 2 3 2 5" xfId="1413"/>
    <cellStyle name="Процентный 2 3 2 5 2" xfId="2884"/>
    <cellStyle name="Процентный 2 3 2 5 2 2" xfId="5999"/>
    <cellStyle name="Процентный 2 3 2 5 2 3" xfId="9392"/>
    <cellStyle name="Процентный 2 3 2 5 3" xfId="4532"/>
    <cellStyle name="Процентный 2 3 2 5 4" xfId="7921"/>
    <cellStyle name="Процентный 2 3 2 6" xfId="2148"/>
    <cellStyle name="Процентный 2 3 2 6 2" xfId="6180"/>
    <cellStyle name="Процентный 2 3 2 6 3" xfId="8656"/>
    <cellStyle name="Процентный 2 3 2 7" xfId="3615"/>
    <cellStyle name="Процентный 2 3 2 7 2" xfId="6375"/>
    <cellStyle name="Процентный 2 3 2 7 3" xfId="10123"/>
    <cellStyle name="Процентный 2 3 2 8" xfId="6556"/>
    <cellStyle name="Процентный 2 3 2 9" xfId="6753"/>
    <cellStyle name="Процентный 2 3 3" xfId="845"/>
    <cellStyle name="Процентный 2 3 3 2" xfId="1606"/>
    <cellStyle name="Процентный 2 3 3 2 2" xfId="3077"/>
    <cellStyle name="Процентный 2 3 3 2 2 2" xfId="9585"/>
    <cellStyle name="Процентный 2 3 3 2 3" xfId="4725"/>
    <cellStyle name="Процентный 2 3 3 2 4" xfId="8114"/>
    <cellStyle name="Процентный 2 3 3 3" xfId="2341"/>
    <cellStyle name="Процентный 2 3 3 3 2" xfId="5460"/>
    <cellStyle name="Процентный 2 3 3 3 3" xfId="8849"/>
    <cellStyle name="Процентный 2 3 3 4" xfId="3989"/>
    <cellStyle name="Процентный 2 3 3 5" xfId="7378"/>
    <cellStyle name="Процентный 2 3 4" xfId="1022"/>
    <cellStyle name="Процентный 2 3 4 2" xfId="1783"/>
    <cellStyle name="Процентный 2 3 4 2 2" xfId="3254"/>
    <cellStyle name="Процентный 2 3 4 2 2 2" xfId="9762"/>
    <cellStyle name="Процентный 2 3 4 2 3" xfId="4902"/>
    <cellStyle name="Процентный 2 3 4 2 4" xfId="8291"/>
    <cellStyle name="Процентный 2 3 4 3" xfId="2518"/>
    <cellStyle name="Процентный 2 3 4 3 2" xfId="5641"/>
    <cellStyle name="Процентный 2 3 4 3 3" xfId="9026"/>
    <cellStyle name="Процентный 2 3 4 4" xfId="4166"/>
    <cellStyle name="Процентный 2 3 4 5" xfId="7555"/>
    <cellStyle name="Процентный 2 3 5" xfId="1210"/>
    <cellStyle name="Процентный 2 3 5 2" xfId="1963"/>
    <cellStyle name="Процентный 2 3 5 2 2" xfId="3434"/>
    <cellStyle name="Процентный 2 3 5 2 2 2" xfId="9942"/>
    <cellStyle name="Процентный 2 3 5 2 3" xfId="5082"/>
    <cellStyle name="Процентный 2 3 5 2 4" xfId="8471"/>
    <cellStyle name="Процентный 2 3 5 3" xfId="2698"/>
    <cellStyle name="Процентный 2 3 5 3 2" xfId="5818"/>
    <cellStyle name="Процентный 2 3 5 3 3" xfId="9206"/>
    <cellStyle name="Процентный 2 3 5 4" xfId="4346"/>
    <cellStyle name="Процентный 2 3 5 5" xfId="7735"/>
    <cellStyle name="Процентный 2 3 6" xfId="1412"/>
    <cellStyle name="Процентный 2 3 6 2" xfId="2883"/>
    <cellStyle name="Процентный 2 3 6 2 2" xfId="5998"/>
    <cellStyle name="Процентный 2 3 6 2 3" xfId="9391"/>
    <cellStyle name="Процентный 2 3 6 3" xfId="4531"/>
    <cellStyle name="Процентный 2 3 6 4" xfId="7920"/>
    <cellStyle name="Процентный 2 3 7" xfId="2147"/>
    <cellStyle name="Процентный 2 3 7 2" xfId="6179"/>
    <cellStyle name="Процентный 2 3 7 3" xfId="8655"/>
    <cellStyle name="Процентный 2 3 8" xfId="3614"/>
    <cellStyle name="Процентный 2 3 8 2" xfId="6374"/>
    <cellStyle name="Процентный 2 3 8 3" xfId="10122"/>
    <cellStyle name="Процентный 2 3 9" xfId="6555"/>
    <cellStyle name="Процентный 2 4" xfId="429"/>
    <cellStyle name="Процентный 2 4 10" xfId="6754"/>
    <cellStyle name="Процентный 2 4 11" xfId="6968"/>
    <cellStyle name="Процентный 2 4 12" xfId="5268"/>
    <cellStyle name="Процентный 2 4 13" xfId="3797"/>
    <cellStyle name="Процентный 2 4 14" xfId="7186"/>
    <cellStyle name="Процентный 2 4 15" xfId="726"/>
    <cellStyle name="Процентный 2 4 16" xfId="675"/>
    <cellStyle name="Процентный 2 4 2" xfId="430"/>
    <cellStyle name="Процентный 2 4 3" xfId="847"/>
    <cellStyle name="Процентный 2 4 3 2" xfId="1608"/>
    <cellStyle name="Процентный 2 4 3 2 2" xfId="3079"/>
    <cellStyle name="Процентный 2 4 3 2 2 2" xfId="9587"/>
    <cellStyle name="Процентный 2 4 3 2 3" xfId="4727"/>
    <cellStyle name="Процентный 2 4 3 2 4" xfId="8116"/>
    <cellStyle name="Процентный 2 4 3 3" xfId="2343"/>
    <cellStyle name="Процентный 2 4 3 3 2" xfId="5462"/>
    <cellStyle name="Процентный 2 4 3 3 3" xfId="8851"/>
    <cellStyle name="Процентный 2 4 3 4" xfId="3991"/>
    <cellStyle name="Процентный 2 4 3 5" xfId="7380"/>
    <cellStyle name="Процентный 2 4 4" xfId="1024"/>
    <cellStyle name="Процентный 2 4 4 2" xfId="1785"/>
    <cellStyle name="Процентный 2 4 4 2 2" xfId="3256"/>
    <cellStyle name="Процентный 2 4 4 2 2 2" xfId="9764"/>
    <cellStyle name="Процентный 2 4 4 2 3" xfId="4904"/>
    <cellStyle name="Процентный 2 4 4 2 4" xfId="8293"/>
    <cellStyle name="Процентный 2 4 4 3" xfId="2520"/>
    <cellStyle name="Процентный 2 4 4 3 2" xfId="5643"/>
    <cellStyle name="Процентный 2 4 4 3 3" xfId="9028"/>
    <cellStyle name="Процентный 2 4 4 4" xfId="4168"/>
    <cellStyle name="Процентный 2 4 4 5" xfId="7557"/>
    <cellStyle name="Процентный 2 4 5" xfId="1212"/>
    <cellStyle name="Процентный 2 4 5 2" xfId="1965"/>
    <cellStyle name="Процентный 2 4 5 2 2" xfId="3436"/>
    <cellStyle name="Процентный 2 4 5 2 2 2" xfId="9944"/>
    <cellStyle name="Процентный 2 4 5 2 3" xfId="5084"/>
    <cellStyle name="Процентный 2 4 5 2 4" xfId="8473"/>
    <cellStyle name="Процентный 2 4 5 3" xfId="2700"/>
    <cellStyle name="Процентный 2 4 5 3 2" xfId="5820"/>
    <cellStyle name="Процентный 2 4 5 3 3" xfId="9208"/>
    <cellStyle name="Процентный 2 4 5 4" xfId="4348"/>
    <cellStyle name="Процентный 2 4 5 5" xfId="7737"/>
    <cellStyle name="Процентный 2 4 6" xfId="1414"/>
    <cellStyle name="Процентный 2 4 6 2" xfId="2885"/>
    <cellStyle name="Процентный 2 4 6 2 2" xfId="6000"/>
    <cellStyle name="Процентный 2 4 6 2 3" xfId="9393"/>
    <cellStyle name="Процентный 2 4 6 3" xfId="4533"/>
    <cellStyle name="Процентный 2 4 6 4" xfId="7922"/>
    <cellStyle name="Процентный 2 4 7" xfId="2149"/>
    <cellStyle name="Процентный 2 4 7 2" xfId="6181"/>
    <cellStyle name="Процентный 2 4 7 3" xfId="8657"/>
    <cellStyle name="Процентный 2 4 8" xfId="3616"/>
    <cellStyle name="Процентный 2 4 8 2" xfId="6376"/>
    <cellStyle name="Процентный 2 4 8 3" xfId="10124"/>
    <cellStyle name="Процентный 2 4 9" xfId="6557"/>
    <cellStyle name="Процентный 2 5" xfId="431"/>
    <cellStyle name="Процентный 2 5 10" xfId="6969"/>
    <cellStyle name="Процентный 2 5 11" xfId="5269"/>
    <cellStyle name="Процентный 2 5 12" xfId="3798"/>
    <cellStyle name="Процентный 2 5 13" xfId="7187"/>
    <cellStyle name="Процентный 2 5 14" xfId="727"/>
    <cellStyle name="Процентный 2 5 15" xfId="676"/>
    <cellStyle name="Процентный 2 5 2" xfId="848"/>
    <cellStyle name="Процентный 2 5 2 2" xfId="1609"/>
    <cellStyle name="Процентный 2 5 2 2 2" xfId="3080"/>
    <cellStyle name="Процентный 2 5 2 2 2 2" xfId="9588"/>
    <cellStyle name="Процентный 2 5 2 2 3" xfId="4728"/>
    <cellStyle name="Процентный 2 5 2 2 4" xfId="8117"/>
    <cellStyle name="Процентный 2 5 2 3" xfId="2344"/>
    <cellStyle name="Процентный 2 5 2 3 2" xfId="5463"/>
    <cellStyle name="Процентный 2 5 2 3 3" xfId="8852"/>
    <cellStyle name="Процентный 2 5 2 4" xfId="3992"/>
    <cellStyle name="Процентный 2 5 2 5" xfId="7381"/>
    <cellStyle name="Процентный 2 5 3" xfId="1025"/>
    <cellStyle name="Процентный 2 5 3 2" xfId="1786"/>
    <cellStyle name="Процентный 2 5 3 2 2" xfId="3257"/>
    <cellStyle name="Процентный 2 5 3 2 2 2" xfId="9765"/>
    <cellStyle name="Процентный 2 5 3 2 3" xfId="4905"/>
    <cellStyle name="Процентный 2 5 3 2 4" xfId="8294"/>
    <cellStyle name="Процентный 2 5 3 3" xfId="2521"/>
    <cellStyle name="Процентный 2 5 3 3 2" xfId="5644"/>
    <cellStyle name="Процентный 2 5 3 3 3" xfId="9029"/>
    <cellStyle name="Процентный 2 5 3 4" xfId="4169"/>
    <cellStyle name="Процентный 2 5 3 5" xfId="7558"/>
    <cellStyle name="Процентный 2 5 4" xfId="1213"/>
    <cellStyle name="Процентный 2 5 4 2" xfId="1966"/>
    <cellStyle name="Процентный 2 5 4 2 2" xfId="3437"/>
    <cellStyle name="Процентный 2 5 4 2 2 2" xfId="9945"/>
    <cellStyle name="Процентный 2 5 4 2 3" xfId="5085"/>
    <cellStyle name="Процентный 2 5 4 2 4" xfId="8474"/>
    <cellStyle name="Процентный 2 5 4 3" xfId="2701"/>
    <cellStyle name="Процентный 2 5 4 3 2" xfId="5821"/>
    <cellStyle name="Процентный 2 5 4 3 3" xfId="9209"/>
    <cellStyle name="Процентный 2 5 4 4" xfId="4349"/>
    <cellStyle name="Процентный 2 5 4 5" xfId="7738"/>
    <cellStyle name="Процентный 2 5 5" xfId="1415"/>
    <cellStyle name="Процентный 2 5 5 2" xfId="2886"/>
    <cellStyle name="Процентный 2 5 5 2 2" xfId="6001"/>
    <cellStyle name="Процентный 2 5 5 2 3" xfId="9394"/>
    <cellStyle name="Процентный 2 5 5 3" xfId="4534"/>
    <cellStyle name="Процентный 2 5 5 4" xfId="7923"/>
    <cellStyle name="Процентный 2 5 6" xfId="2150"/>
    <cellStyle name="Процентный 2 5 6 2" xfId="6182"/>
    <cellStyle name="Процентный 2 5 6 3" xfId="8658"/>
    <cellStyle name="Процентный 2 5 7" xfId="3617"/>
    <cellStyle name="Процентный 2 5 7 2" xfId="6377"/>
    <cellStyle name="Процентный 2 5 7 3" xfId="10125"/>
    <cellStyle name="Процентный 2 5 8" xfId="6558"/>
    <cellStyle name="Процентный 2 5 9" xfId="6755"/>
    <cellStyle name="Процентный 2 6" xfId="677"/>
    <cellStyle name="Процентный 2 6 2" xfId="1601"/>
    <cellStyle name="Процентный 2 6 2 2" xfId="3072"/>
    <cellStyle name="Процентный 2 6 2 2 2" xfId="9580"/>
    <cellStyle name="Процентный 2 6 2 3" xfId="4720"/>
    <cellStyle name="Процентный 2 6 2 4" xfId="8109"/>
    <cellStyle name="Процентный 2 6 3" xfId="2336"/>
    <cellStyle name="Процентный 2 6 3 2" xfId="5455"/>
    <cellStyle name="Процентный 2 6 3 3" xfId="8844"/>
    <cellStyle name="Процентный 2 6 4" xfId="3984"/>
    <cellStyle name="Процентный 2 6 5" xfId="7373"/>
    <cellStyle name="Процентный 2 6 6" xfId="840"/>
    <cellStyle name="Процентный 2 7" xfId="1017"/>
    <cellStyle name="Процентный 2 7 2" xfId="1778"/>
    <cellStyle name="Процентный 2 7 2 2" xfId="3249"/>
    <cellStyle name="Процентный 2 7 2 2 2" xfId="9757"/>
    <cellStyle name="Процентный 2 7 2 3" xfId="4897"/>
    <cellStyle name="Процентный 2 7 2 4" xfId="8286"/>
    <cellStyle name="Процентный 2 7 3" xfId="2513"/>
    <cellStyle name="Процентный 2 7 3 2" xfId="5636"/>
    <cellStyle name="Процентный 2 7 3 3" xfId="9021"/>
    <cellStyle name="Процентный 2 7 4" xfId="4161"/>
    <cellStyle name="Процентный 2 7 5" xfId="7550"/>
    <cellStyle name="Процентный 2 8" xfId="1205"/>
    <cellStyle name="Процентный 2 8 2" xfId="1958"/>
    <cellStyle name="Процентный 2 8 2 2" xfId="3429"/>
    <cellStyle name="Процентный 2 8 2 2 2" xfId="9937"/>
    <cellStyle name="Процентный 2 8 2 3" xfId="5077"/>
    <cellStyle name="Процентный 2 8 2 4" xfId="8466"/>
    <cellStyle name="Процентный 2 8 3" xfId="2693"/>
    <cellStyle name="Процентный 2 8 3 2" xfId="5813"/>
    <cellStyle name="Процентный 2 8 3 3" xfId="9201"/>
    <cellStyle name="Процентный 2 8 4" xfId="4341"/>
    <cellStyle name="Процентный 2 8 5" xfId="7730"/>
    <cellStyle name="Процентный 2 9" xfId="1407"/>
    <cellStyle name="Процентный 2 9 2" xfId="2878"/>
    <cellStyle name="Процентный 2 9 2 2" xfId="5993"/>
    <cellStyle name="Процентный 2 9 2 3" xfId="9386"/>
    <cellStyle name="Процентный 2 9 3" xfId="4526"/>
    <cellStyle name="Процентный 2 9 4" xfId="7915"/>
    <cellStyle name="Процентный 3" xfId="432"/>
    <cellStyle name="Процентный 3 2" xfId="728"/>
    <cellStyle name="Процентный 3 3" xfId="678"/>
    <cellStyle name="Процентный 4" xfId="433"/>
    <cellStyle name="Процентный 4 10" xfId="6756"/>
    <cellStyle name="Процентный 4 11" xfId="6970"/>
    <cellStyle name="Процентный 4 12" xfId="5270"/>
    <cellStyle name="Процентный 4 13" xfId="3799"/>
    <cellStyle name="Процентный 4 14" xfId="7188"/>
    <cellStyle name="Процентный 4 15" xfId="729"/>
    <cellStyle name="Процентный 4 16" xfId="679"/>
    <cellStyle name="Процентный 4 2" xfId="434"/>
    <cellStyle name="Процентный 4 2 10" xfId="6971"/>
    <cellStyle name="Процентный 4 2 11" xfId="5271"/>
    <cellStyle name="Процентный 4 2 12" xfId="3800"/>
    <cellStyle name="Процентный 4 2 13" xfId="7189"/>
    <cellStyle name="Процентный 4 2 2" xfId="850"/>
    <cellStyle name="Процентный 4 2 2 2" xfId="1611"/>
    <cellStyle name="Процентный 4 2 2 2 2" xfId="3082"/>
    <cellStyle name="Процентный 4 2 2 2 2 2" xfId="9590"/>
    <cellStyle name="Процентный 4 2 2 2 3" xfId="4730"/>
    <cellStyle name="Процентный 4 2 2 2 4" xfId="8119"/>
    <cellStyle name="Процентный 4 2 2 3" xfId="2346"/>
    <cellStyle name="Процентный 4 2 2 3 2" xfId="5465"/>
    <cellStyle name="Процентный 4 2 2 3 3" xfId="8854"/>
    <cellStyle name="Процентный 4 2 2 4" xfId="3994"/>
    <cellStyle name="Процентный 4 2 2 5" xfId="7383"/>
    <cellStyle name="Процентный 4 2 3" xfId="1027"/>
    <cellStyle name="Процентный 4 2 3 2" xfId="1788"/>
    <cellStyle name="Процентный 4 2 3 2 2" xfId="3259"/>
    <cellStyle name="Процентный 4 2 3 2 2 2" xfId="9767"/>
    <cellStyle name="Процентный 4 2 3 2 3" xfId="4907"/>
    <cellStyle name="Процентный 4 2 3 2 4" xfId="8296"/>
    <cellStyle name="Процентный 4 2 3 3" xfId="2523"/>
    <cellStyle name="Процентный 4 2 3 3 2" xfId="5646"/>
    <cellStyle name="Процентный 4 2 3 3 3" xfId="9031"/>
    <cellStyle name="Процентный 4 2 3 4" xfId="4171"/>
    <cellStyle name="Процентный 4 2 3 5" xfId="7560"/>
    <cellStyle name="Процентный 4 2 4" xfId="1215"/>
    <cellStyle name="Процентный 4 2 4 2" xfId="1968"/>
    <cellStyle name="Процентный 4 2 4 2 2" xfId="3439"/>
    <cellStyle name="Процентный 4 2 4 2 2 2" xfId="9947"/>
    <cellStyle name="Процентный 4 2 4 2 3" xfId="5087"/>
    <cellStyle name="Процентный 4 2 4 2 4" xfId="8476"/>
    <cellStyle name="Процентный 4 2 4 3" xfId="2703"/>
    <cellStyle name="Процентный 4 2 4 3 2" xfId="5823"/>
    <cellStyle name="Процентный 4 2 4 3 3" xfId="9211"/>
    <cellStyle name="Процентный 4 2 4 4" xfId="4351"/>
    <cellStyle name="Процентный 4 2 4 5" xfId="7740"/>
    <cellStyle name="Процентный 4 2 5" xfId="1417"/>
    <cellStyle name="Процентный 4 2 5 2" xfId="2888"/>
    <cellStyle name="Процентный 4 2 5 2 2" xfId="6003"/>
    <cellStyle name="Процентный 4 2 5 2 3" xfId="9396"/>
    <cellStyle name="Процентный 4 2 5 3" xfId="4536"/>
    <cellStyle name="Процентный 4 2 5 4" xfId="7925"/>
    <cellStyle name="Процентный 4 2 6" xfId="2152"/>
    <cellStyle name="Процентный 4 2 6 2" xfId="6184"/>
    <cellStyle name="Процентный 4 2 6 3" xfId="8660"/>
    <cellStyle name="Процентный 4 2 7" xfId="3619"/>
    <cellStyle name="Процентный 4 2 7 2" xfId="6379"/>
    <cellStyle name="Процентный 4 2 7 3" xfId="10127"/>
    <cellStyle name="Процентный 4 2 8" xfId="6560"/>
    <cellStyle name="Процентный 4 2 9" xfId="6757"/>
    <cellStyle name="Процентный 4 3" xfId="849"/>
    <cellStyle name="Процентный 4 3 2" xfId="1610"/>
    <cellStyle name="Процентный 4 3 2 2" xfId="3081"/>
    <cellStyle name="Процентный 4 3 2 2 2" xfId="9589"/>
    <cellStyle name="Процентный 4 3 2 3" xfId="4729"/>
    <cellStyle name="Процентный 4 3 2 4" xfId="8118"/>
    <cellStyle name="Процентный 4 3 3" xfId="2345"/>
    <cellStyle name="Процентный 4 3 3 2" xfId="5464"/>
    <cellStyle name="Процентный 4 3 3 3" xfId="8853"/>
    <cellStyle name="Процентный 4 3 4" xfId="3993"/>
    <cellStyle name="Процентный 4 3 5" xfId="7382"/>
    <cellStyle name="Процентный 4 4" xfId="1026"/>
    <cellStyle name="Процентный 4 4 2" xfId="1787"/>
    <cellStyle name="Процентный 4 4 2 2" xfId="3258"/>
    <cellStyle name="Процентный 4 4 2 2 2" xfId="9766"/>
    <cellStyle name="Процентный 4 4 2 3" xfId="4906"/>
    <cellStyle name="Процентный 4 4 2 4" xfId="8295"/>
    <cellStyle name="Процентный 4 4 3" xfId="2522"/>
    <cellStyle name="Процентный 4 4 3 2" xfId="5645"/>
    <cellStyle name="Процентный 4 4 3 3" xfId="9030"/>
    <cellStyle name="Процентный 4 4 4" xfId="4170"/>
    <cellStyle name="Процентный 4 4 5" xfId="7559"/>
    <cellStyle name="Процентный 4 5" xfId="1214"/>
    <cellStyle name="Процентный 4 5 2" xfId="1967"/>
    <cellStyle name="Процентный 4 5 2 2" xfId="3438"/>
    <cellStyle name="Процентный 4 5 2 2 2" xfId="9946"/>
    <cellStyle name="Процентный 4 5 2 3" xfId="5086"/>
    <cellStyle name="Процентный 4 5 2 4" xfId="8475"/>
    <cellStyle name="Процентный 4 5 3" xfId="2702"/>
    <cellStyle name="Процентный 4 5 3 2" xfId="5822"/>
    <cellStyle name="Процентный 4 5 3 3" xfId="9210"/>
    <cellStyle name="Процентный 4 5 4" xfId="4350"/>
    <cellStyle name="Процентный 4 5 5" xfId="7739"/>
    <cellStyle name="Процентный 4 6" xfId="1416"/>
    <cellStyle name="Процентный 4 6 2" xfId="2887"/>
    <cellStyle name="Процентный 4 6 2 2" xfId="6002"/>
    <cellStyle name="Процентный 4 6 2 3" xfId="9395"/>
    <cellStyle name="Процентный 4 6 3" xfId="4535"/>
    <cellStyle name="Процентный 4 6 4" xfId="7924"/>
    <cellStyle name="Процентный 4 7" xfId="2151"/>
    <cellStyle name="Процентный 4 7 2" xfId="6183"/>
    <cellStyle name="Процентный 4 7 3" xfId="8659"/>
    <cellStyle name="Процентный 4 8" xfId="3618"/>
    <cellStyle name="Процентный 4 8 2" xfId="6378"/>
    <cellStyle name="Процентный 4 8 3" xfId="10126"/>
    <cellStyle name="Процентный 4 9" xfId="6559"/>
    <cellStyle name="Процентный 5" xfId="435"/>
    <cellStyle name="Процентный 5 2" xfId="730"/>
    <cellStyle name="Процентный 5 3" xfId="680"/>
    <cellStyle name="Процентный 6" xfId="436"/>
    <cellStyle name="Процентный 6 10" xfId="6972"/>
    <cellStyle name="Процентный 6 11" xfId="5272"/>
    <cellStyle name="Процентный 6 12" xfId="3801"/>
    <cellStyle name="Процентный 6 13" xfId="7190"/>
    <cellStyle name="Процентный 6 14" xfId="731"/>
    <cellStyle name="Процентный 6 15" xfId="681"/>
    <cellStyle name="Процентный 6 2" xfId="851"/>
    <cellStyle name="Процентный 6 2 2" xfId="1612"/>
    <cellStyle name="Процентный 6 2 2 2" xfId="3083"/>
    <cellStyle name="Процентный 6 2 2 2 2" xfId="9591"/>
    <cellStyle name="Процентный 6 2 2 3" xfId="4731"/>
    <cellStyle name="Процентный 6 2 2 4" xfId="8120"/>
    <cellStyle name="Процентный 6 2 3" xfId="2347"/>
    <cellStyle name="Процентный 6 2 3 2" xfId="5466"/>
    <cellStyle name="Процентный 6 2 3 3" xfId="8855"/>
    <cellStyle name="Процентный 6 2 4" xfId="3995"/>
    <cellStyle name="Процентный 6 2 5" xfId="7384"/>
    <cellStyle name="Процентный 6 3" xfId="1028"/>
    <cellStyle name="Процентный 6 3 2" xfId="1789"/>
    <cellStyle name="Процентный 6 3 2 2" xfId="3260"/>
    <cellStyle name="Процентный 6 3 2 2 2" xfId="9768"/>
    <cellStyle name="Процентный 6 3 2 3" xfId="4908"/>
    <cellStyle name="Процентный 6 3 2 4" xfId="8297"/>
    <cellStyle name="Процентный 6 3 3" xfId="2524"/>
    <cellStyle name="Процентный 6 3 3 2" xfId="5647"/>
    <cellStyle name="Процентный 6 3 3 3" xfId="9032"/>
    <cellStyle name="Процентный 6 3 4" xfId="4172"/>
    <cellStyle name="Процентный 6 3 5" xfId="7561"/>
    <cellStyle name="Процентный 6 4" xfId="1216"/>
    <cellStyle name="Процентный 6 4 2" xfId="1969"/>
    <cellStyle name="Процентный 6 4 2 2" xfId="3440"/>
    <cellStyle name="Процентный 6 4 2 2 2" xfId="9948"/>
    <cellStyle name="Процентный 6 4 2 3" xfId="5088"/>
    <cellStyle name="Процентный 6 4 2 4" xfId="8477"/>
    <cellStyle name="Процентный 6 4 3" xfId="2704"/>
    <cellStyle name="Процентный 6 4 3 2" xfId="5824"/>
    <cellStyle name="Процентный 6 4 3 3" xfId="9212"/>
    <cellStyle name="Процентный 6 4 4" xfId="4352"/>
    <cellStyle name="Процентный 6 4 5" xfId="7741"/>
    <cellStyle name="Процентный 6 5" xfId="1418"/>
    <cellStyle name="Процентный 6 5 2" xfId="2889"/>
    <cellStyle name="Процентный 6 5 2 2" xfId="6004"/>
    <cellStyle name="Процентный 6 5 2 3" xfId="9397"/>
    <cellStyle name="Процентный 6 5 3" xfId="4537"/>
    <cellStyle name="Процентный 6 5 4" xfId="7926"/>
    <cellStyle name="Процентный 6 6" xfId="2153"/>
    <cellStyle name="Процентный 6 6 2" xfId="6185"/>
    <cellStyle name="Процентный 6 6 3" xfId="8661"/>
    <cellStyle name="Процентный 6 7" xfId="3620"/>
    <cellStyle name="Процентный 6 7 2" xfId="6380"/>
    <cellStyle name="Процентный 6 7 3" xfId="10128"/>
    <cellStyle name="Процентный 6 8" xfId="6561"/>
    <cellStyle name="Процентный 6 9" xfId="6758"/>
    <cellStyle name="Процентный 7" xfId="437"/>
    <cellStyle name="Процентный 8" xfId="438"/>
    <cellStyle name="Процентный 9" xfId="737"/>
    <cellStyle name="Процентный 9 2" xfId="1113"/>
    <cellStyle name="Процентный 9 3" xfId="1500"/>
    <cellStyle name="Процентный 9 3 2" xfId="2971"/>
    <cellStyle name="Процентный 9 3 2 2" xfId="9479"/>
    <cellStyle name="Процентный 9 3 3" xfId="4619"/>
    <cellStyle name="Процентный 9 3 4" xfId="8008"/>
    <cellStyle name="Процентный 9 4" xfId="2235"/>
    <cellStyle name="Процентный 9 4 2" xfId="5354"/>
    <cellStyle name="Процентный 9 4 3" xfId="8743"/>
    <cellStyle name="Процентный 9 5" xfId="3883"/>
    <cellStyle name="Процентный 9 6" xfId="7272"/>
    <cellStyle name="Связанная ячейка 2" xfId="439"/>
    <cellStyle name="Субсчет" xfId="682"/>
    <cellStyle name="Счет" xfId="683"/>
    <cellStyle name="Текст предупреждения 2" xfId="440"/>
    <cellStyle name="Тысячи [0]_Example " xfId="684"/>
    <cellStyle name="Тысячи_Example " xfId="685"/>
    <cellStyle name="Финансовый 10" xfId="744"/>
    <cellStyle name="Финансовый 10 2" xfId="1506"/>
    <cellStyle name="Финансовый 10 2 2" xfId="2977"/>
    <cellStyle name="Финансовый 10 2 2 2" xfId="9485"/>
    <cellStyle name="Финансовый 10 2 3" xfId="4625"/>
    <cellStyle name="Финансовый 10 2 4" xfId="8014"/>
    <cellStyle name="Финансовый 10 3" xfId="2241"/>
    <cellStyle name="Финансовый 10 3 2" xfId="5360"/>
    <cellStyle name="Финансовый 10 3 3" xfId="8749"/>
    <cellStyle name="Финансовый 10 4" xfId="3889"/>
    <cellStyle name="Финансовый 10 5" xfId="7278"/>
    <cellStyle name="Финансовый 11" xfId="745"/>
    <cellStyle name="Финансовый 11 2" xfId="1507"/>
    <cellStyle name="Финансовый 11 2 2" xfId="2978"/>
    <cellStyle name="Финансовый 11 2 2 2" xfId="9486"/>
    <cellStyle name="Финансовый 11 2 3" xfId="4626"/>
    <cellStyle name="Финансовый 11 2 4" xfId="8015"/>
    <cellStyle name="Финансовый 11 3" xfId="2242"/>
    <cellStyle name="Финансовый 11 3 2" xfId="5361"/>
    <cellStyle name="Финансовый 11 3 3" xfId="8750"/>
    <cellStyle name="Финансовый 11 4" xfId="3890"/>
    <cellStyle name="Финансовый 11 5" xfId="7279"/>
    <cellStyle name="Финансовый 12" xfId="746"/>
    <cellStyle name="Финансовый 12 2" xfId="1508"/>
    <cellStyle name="Финансовый 12 2 2" xfId="2979"/>
    <cellStyle name="Финансовый 12 2 2 2" xfId="9487"/>
    <cellStyle name="Финансовый 12 2 3" xfId="4627"/>
    <cellStyle name="Финансовый 12 2 4" xfId="8016"/>
    <cellStyle name="Финансовый 12 3" xfId="2243"/>
    <cellStyle name="Финансовый 12 3 2" xfId="5362"/>
    <cellStyle name="Финансовый 12 3 3" xfId="8751"/>
    <cellStyle name="Финансовый 12 4" xfId="3891"/>
    <cellStyle name="Финансовый 12 5" xfId="7280"/>
    <cellStyle name="Финансовый 13" xfId="747"/>
    <cellStyle name="Финансовый 13 2" xfId="1509"/>
    <cellStyle name="Финансовый 13 2 2" xfId="2980"/>
    <cellStyle name="Финансовый 13 2 2 2" xfId="9488"/>
    <cellStyle name="Финансовый 13 2 3" xfId="4628"/>
    <cellStyle name="Финансовый 13 2 4" xfId="8017"/>
    <cellStyle name="Финансовый 13 3" xfId="2244"/>
    <cellStyle name="Финансовый 13 3 2" xfId="5363"/>
    <cellStyle name="Финансовый 13 3 3" xfId="8752"/>
    <cellStyle name="Финансовый 13 4" xfId="3892"/>
    <cellStyle name="Финансовый 13 5" xfId="7281"/>
    <cellStyle name="Финансовый 14" xfId="752"/>
    <cellStyle name="Финансовый 14 2" xfId="1514"/>
    <cellStyle name="Финансовый 14 2 2" xfId="2985"/>
    <cellStyle name="Финансовый 14 2 2 2" xfId="9493"/>
    <cellStyle name="Финансовый 14 2 3" xfId="4633"/>
    <cellStyle name="Финансовый 14 2 4" xfId="8022"/>
    <cellStyle name="Финансовый 14 3" xfId="2249"/>
    <cellStyle name="Финансовый 14 3 2" xfId="5368"/>
    <cellStyle name="Финансовый 14 3 3" xfId="8757"/>
    <cellStyle name="Финансовый 14 4" xfId="3897"/>
    <cellStyle name="Финансовый 14 5" xfId="7286"/>
    <cellStyle name="Финансовый 15" xfId="753"/>
    <cellStyle name="Финансовый 15 2" xfId="1515"/>
    <cellStyle name="Финансовый 15 2 2" xfId="2986"/>
    <cellStyle name="Финансовый 15 2 2 2" xfId="9494"/>
    <cellStyle name="Финансовый 15 2 3" xfId="4634"/>
    <cellStyle name="Финансовый 15 2 4" xfId="8023"/>
    <cellStyle name="Финансовый 15 3" xfId="2250"/>
    <cellStyle name="Финансовый 15 3 2" xfId="5369"/>
    <cellStyle name="Финансовый 15 3 3" xfId="8758"/>
    <cellStyle name="Финансовый 15 4" xfId="3898"/>
    <cellStyle name="Финансовый 15 5" xfId="7287"/>
    <cellStyle name="Финансовый 16" xfId="6461"/>
    <cellStyle name="Финансовый 17" xfId="754"/>
    <cellStyle name="Финансовый 18" xfId="10210"/>
    <cellStyle name="Финансовый 19" xfId="686"/>
    <cellStyle name="Финансовый 2" xfId="441"/>
    <cellStyle name="Финансовый 2 10" xfId="687"/>
    <cellStyle name="Финансовый 2 2" xfId="442"/>
    <cellStyle name="Финансовый 2 2 2" xfId="443"/>
    <cellStyle name="Финансовый 2 2 2 10" xfId="3621"/>
    <cellStyle name="Финансовый 2 2 2 10 2" xfId="6381"/>
    <cellStyle name="Финансовый 2 2 2 10 3" xfId="10129"/>
    <cellStyle name="Финансовый 2 2 2 11" xfId="6562"/>
    <cellStyle name="Финансовый 2 2 2 12" xfId="6759"/>
    <cellStyle name="Финансовый 2 2 2 13" xfId="6973"/>
    <cellStyle name="Финансовый 2 2 2 14" xfId="5273"/>
    <cellStyle name="Финансовый 2 2 2 15" xfId="3802"/>
    <cellStyle name="Финансовый 2 2 2 16" xfId="7191"/>
    <cellStyle name="Финансовый 2 2 2 2" xfId="444"/>
    <cellStyle name="Финансовый 2 2 2 2 10" xfId="6974"/>
    <cellStyle name="Финансовый 2 2 2 2 11" xfId="5274"/>
    <cellStyle name="Финансовый 2 2 2 2 12" xfId="3803"/>
    <cellStyle name="Финансовый 2 2 2 2 13" xfId="7192"/>
    <cellStyle name="Финансовый 2 2 2 2 2" xfId="853"/>
    <cellStyle name="Финансовый 2 2 2 2 2 2" xfId="1614"/>
    <cellStyle name="Финансовый 2 2 2 2 2 2 2" xfId="3085"/>
    <cellStyle name="Финансовый 2 2 2 2 2 2 2 2" xfId="9593"/>
    <cellStyle name="Финансовый 2 2 2 2 2 2 3" xfId="4733"/>
    <cellStyle name="Финансовый 2 2 2 2 2 2 4" xfId="8122"/>
    <cellStyle name="Финансовый 2 2 2 2 2 3" xfId="2349"/>
    <cellStyle name="Финансовый 2 2 2 2 2 3 2" xfId="5468"/>
    <cellStyle name="Финансовый 2 2 2 2 2 3 3" xfId="8857"/>
    <cellStyle name="Финансовый 2 2 2 2 2 4" xfId="3997"/>
    <cellStyle name="Финансовый 2 2 2 2 2 5" xfId="7386"/>
    <cellStyle name="Финансовый 2 2 2 2 3" xfId="1030"/>
    <cellStyle name="Финансовый 2 2 2 2 3 2" xfId="1791"/>
    <cellStyle name="Финансовый 2 2 2 2 3 2 2" xfId="3262"/>
    <cellStyle name="Финансовый 2 2 2 2 3 2 2 2" xfId="9770"/>
    <cellStyle name="Финансовый 2 2 2 2 3 2 3" xfId="4910"/>
    <cellStyle name="Финансовый 2 2 2 2 3 2 4" xfId="8299"/>
    <cellStyle name="Финансовый 2 2 2 2 3 3" xfId="2526"/>
    <cellStyle name="Финансовый 2 2 2 2 3 3 2" xfId="5649"/>
    <cellStyle name="Финансовый 2 2 2 2 3 3 3" xfId="9034"/>
    <cellStyle name="Финансовый 2 2 2 2 3 4" xfId="4174"/>
    <cellStyle name="Финансовый 2 2 2 2 3 5" xfId="7563"/>
    <cellStyle name="Финансовый 2 2 2 2 4" xfId="1218"/>
    <cellStyle name="Финансовый 2 2 2 2 4 2" xfId="1971"/>
    <cellStyle name="Финансовый 2 2 2 2 4 2 2" xfId="3442"/>
    <cellStyle name="Финансовый 2 2 2 2 4 2 2 2" xfId="9950"/>
    <cellStyle name="Финансовый 2 2 2 2 4 2 3" xfId="5090"/>
    <cellStyle name="Финансовый 2 2 2 2 4 2 4" xfId="8479"/>
    <cellStyle name="Финансовый 2 2 2 2 4 3" xfId="2706"/>
    <cellStyle name="Финансовый 2 2 2 2 4 3 2" xfId="5826"/>
    <cellStyle name="Финансовый 2 2 2 2 4 3 3" xfId="9214"/>
    <cellStyle name="Финансовый 2 2 2 2 4 4" xfId="4354"/>
    <cellStyle name="Финансовый 2 2 2 2 4 5" xfId="7743"/>
    <cellStyle name="Финансовый 2 2 2 2 5" xfId="1420"/>
    <cellStyle name="Финансовый 2 2 2 2 5 2" xfId="2891"/>
    <cellStyle name="Финансовый 2 2 2 2 5 2 2" xfId="6006"/>
    <cellStyle name="Финансовый 2 2 2 2 5 2 3" xfId="9399"/>
    <cellStyle name="Финансовый 2 2 2 2 5 3" xfId="4539"/>
    <cellStyle name="Финансовый 2 2 2 2 5 4" xfId="7928"/>
    <cellStyle name="Финансовый 2 2 2 2 6" xfId="2155"/>
    <cellStyle name="Финансовый 2 2 2 2 6 2" xfId="6187"/>
    <cellStyle name="Финансовый 2 2 2 2 6 3" xfId="8663"/>
    <cellStyle name="Финансовый 2 2 2 2 7" xfId="3622"/>
    <cellStyle name="Финансовый 2 2 2 2 7 2" xfId="6382"/>
    <cellStyle name="Финансовый 2 2 2 2 7 3" xfId="10130"/>
    <cellStyle name="Финансовый 2 2 2 2 8" xfId="6563"/>
    <cellStyle name="Финансовый 2 2 2 2 9" xfId="6760"/>
    <cellStyle name="Финансовый 2 2 2 3" xfId="445"/>
    <cellStyle name="Финансовый 2 2 2 3 10" xfId="6975"/>
    <cellStyle name="Финансовый 2 2 2 3 11" xfId="5275"/>
    <cellStyle name="Финансовый 2 2 2 3 12" xfId="3804"/>
    <cellStyle name="Финансовый 2 2 2 3 13" xfId="7193"/>
    <cellStyle name="Финансовый 2 2 2 3 2" xfId="854"/>
    <cellStyle name="Финансовый 2 2 2 3 2 2" xfId="1615"/>
    <cellStyle name="Финансовый 2 2 2 3 2 2 2" xfId="3086"/>
    <cellStyle name="Финансовый 2 2 2 3 2 2 2 2" xfId="9594"/>
    <cellStyle name="Финансовый 2 2 2 3 2 2 3" xfId="4734"/>
    <cellStyle name="Финансовый 2 2 2 3 2 2 4" xfId="8123"/>
    <cellStyle name="Финансовый 2 2 2 3 2 3" xfId="2350"/>
    <cellStyle name="Финансовый 2 2 2 3 2 3 2" xfId="5469"/>
    <cellStyle name="Финансовый 2 2 2 3 2 3 3" xfId="8858"/>
    <cellStyle name="Финансовый 2 2 2 3 2 4" xfId="3998"/>
    <cellStyle name="Финансовый 2 2 2 3 2 5" xfId="7387"/>
    <cellStyle name="Финансовый 2 2 2 3 3" xfId="1031"/>
    <cellStyle name="Финансовый 2 2 2 3 3 2" xfId="1792"/>
    <cellStyle name="Финансовый 2 2 2 3 3 2 2" xfId="3263"/>
    <cellStyle name="Финансовый 2 2 2 3 3 2 2 2" xfId="9771"/>
    <cellStyle name="Финансовый 2 2 2 3 3 2 3" xfId="4911"/>
    <cellStyle name="Финансовый 2 2 2 3 3 2 4" xfId="8300"/>
    <cellStyle name="Финансовый 2 2 2 3 3 3" xfId="2527"/>
    <cellStyle name="Финансовый 2 2 2 3 3 3 2" xfId="5650"/>
    <cellStyle name="Финансовый 2 2 2 3 3 3 3" xfId="9035"/>
    <cellStyle name="Финансовый 2 2 2 3 3 4" xfId="4175"/>
    <cellStyle name="Финансовый 2 2 2 3 3 5" xfId="7564"/>
    <cellStyle name="Финансовый 2 2 2 3 4" xfId="1219"/>
    <cellStyle name="Финансовый 2 2 2 3 4 2" xfId="1972"/>
    <cellStyle name="Финансовый 2 2 2 3 4 2 2" xfId="3443"/>
    <cellStyle name="Финансовый 2 2 2 3 4 2 2 2" xfId="9951"/>
    <cellStyle name="Финансовый 2 2 2 3 4 2 3" xfId="5091"/>
    <cellStyle name="Финансовый 2 2 2 3 4 2 4" xfId="8480"/>
    <cellStyle name="Финансовый 2 2 2 3 4 3" xfId="2707"/>
    <cellStyle name="Финансовый 2 2 2 3 4 3 2" xfId="5827"/>
    <cellStyle name="Финансовый 2 2 2 3 4 3 3" xfId="9215"/>
    <cellStyle name="Финансовый 2 2 2 3 4 4" xfId="4355"/>
    <cellStyle name="Финансовый 2 2 2 3 4 5" xfId="7744"/>
    <cellStyle name="Финансовый 2 2 2 3 5" xfId="1421"/>
    <cellStyle name="Финансовый 2 2 2 3 5 2" xfId="2892"/>
    <cellStyle name="Финансовый 2 2 2 3 5 2 2" xfId="6007"/>
    <cellStyle name="Финансовый 2 2 2 3 5 2 3" xfId="9400"/>
    <cellStyle name="Финансовый 2 2 2 3 5 3" xfId="4540"/>
    <cellStyle name="Финансовый 2 2 2 3 5 4" xfId="7929"/>
    <cellStyle name="Финансовый 2 2 2 3 6" xfId="2156"/>
    <cellStyle name="Финансовый 2 2 2 3 6 2" xfId="6188"/>
    <cellStyle name="Финансовый 2 2 2 3 6 3" xfId="8664"/>
    <cellStyle name="Финансовый 2 2 2 3 7" xfId="3623"/>
    <cellStyle name="Финансовый 2 2 2 3 7 2" xfId="6383"/>
    <cellStyle name="Финансовый 2 2 2 3 7 3" xfId="10131"/>
    <cellStyle name="Финансовый 2 2 2 3 8" xfId="6564"/>
    <cellStyle name="Финансовый 2 2 2 3 9" xfId="6761"/>
    <cellStyle name="Финансовый 2 2 2 4" xfId="446"/>
    <cellStyle name="Финансовый 2 2 2 4 10" xfId="6976"/>
    <cellStyle name="Финансовый 2 2 2 4 11" xfId="5276"/>
    <cellStyle name="Финансовый 2 2 2 4 12" xfId="3805"/>
    <cellStyle name="Финансовый 2 2 2 4 13" xfId="7194"/>
    <cellStyle name="Финансовый 2 2 2 4 2" xfId="855"/>
    <cellStyle name="Финансовый 2 2 2 4 2 2" xfId="1616"/>
    <cellStyle name="Финансовый 2 2 2 4 2 2 2" xfId="3087"/>
    <cellStyle name="Финансовый 2 2 2 4 2 2 2 2" xfId="9595"/>
    <cellStyle name="Финансовый 2 2 2 4 2 2 3" xfId="4735"/>
    <cellStyle name="Финансовый 2 2 2 4 2 2 4" xfId="8124"/>
    <cellStyle name="Финансовый 2 2 2 4 2 3" xfId="2351"/>
    <cellStyle name="Финансовый 2 2 2 4 2 3 2" xfId="5470"/>
    <cellStyle name="Финансовый 2 2 2 4 2 3 3" xfId="8859"/>
    <cellStyle name="Финансовый 2 2 2 4 2 4" xfId="3999"/>
    <cellStyle name="Финансовый 2 2 2 4 2 5" xfId="7388"/>
    <cellStyle name="Финансовый 2 2 2 4 3" xfId="1032"/>
    <cellStyle name="Финансовый 2 2 2 4 3 2" xfId="1793"/>
    <cellStyle name="Финансовый 2 2 2 4 3 2 2" xfId="3264"/>
    <cellStyle name="Финансовый 2 2 2 4 3 2 2 2" xfId="9772"/>
    <cellStyle name="Финансовый 2 2 2 4 3 2 3" xfId="4912"/>
    <cellStyle name="Финансовый 2 2 2 4 3 2 4" xfId="8301"/>
    <cellStyle name="Финансовый 2 2 2 4 3 3" xfId="2528"/>
    <cellStyle name="Финансовый 2 2 2 4 3 3 2" xfId="5651"/>
    <cellStyle name="Финансовый 2 2 2 4 3 3 3" xfId="9036"/>
    <cellStyle name="Финансовый 2 2 2 4 3 4" xfId="4176"/>
    <cellStyle name="Финансовый 2 2 2 4 3 5" xfId="7565"/>
    <cellStyle name="Финансовый 2 2 2 4 4" xfId="1220"/>
    <cellStyle name="Финансовый 2 2 2 4 4 2" xfId="1973"/>
    <cellStyle name="Финансовый 2 2 2 4 4 2 2" xfId="3444"/>
    <cellStyle name="Финансовый 2 2 2 4 4 2 2 2" xfId="9952"/>
    <cellStyle name="Финансовый 2 2 2 4 4 2 3" xfId="5092"/>
    <cellStyle name="Финансовый 2 2 2 4 4 2 4" xfId="8481"/>
    <cellStyle name="Финансовый 2 2 2 4 4 3" xfId="2708"/>
    <cellStyle name="Финансовый 2 2 2 4 4 3 2" xfId="5828"/>
    <cellStyle name="Финансовый 2 2 2 4 4 3 3" xfId="9216"/>
    <cellStyle name="Финансовый 2 2 2 4 4 4" xfId="4356"/>
    <cellStyle name="Финансовый 2 2 2 4 4 5" xfId="7745"/>
    <cellStyle name="Финансовый 2 2 2 4 5" xfId="1422"/>
    <cellStyle name="Финансовый 2 2 2 4 5 2" xfId="2893"/>
    <cellStyle name="Финансовый 2 2 2 4 5 2 2" xfId="6008"/>
    <cellStyle name="Финансовый 2 2 2 4 5 2 3" xfId="9401"/>
    <cellStyle name="Финансовый 2 2 2 4 5 3" xfId="4541"/>
    <cellStyle name="Финансовый 2 2 2 4 5 4" xfId="7930"/>
    <cellStyle name="Финансовый 2 2 2 4 6" xfId="2157"/>
    <cellStyle name="Финансовый 2 2 2 4 6 2" xfId="6189"/>
    <cellStyle name="Финансовый 2 2 2 4 6 3" xfId="8665"/>
    <cellStyle name="Финансовый 2 2 2 4 7" xfId="3624"/>
    <cellStyle name="Финансовый 2 2 2 4 7 2" xfId="6384"/>
    <cellStyle name="Финансовый 2 2 2 4 7 3" xfId="10132"/>
    <cellStyle name="Финансовый 2 2 2 4 8" xfId="6565"/>
    <cellStyle name="Финансовый 2 2 2 4 9" xfId="6762"/>
    <cellStyle name="Финансовый 2 2 2 5" xfId="852"/>
    <cellStyle name="Финансовый 2 2 2 5 2" xfId="1613"/>
    <cellStyle name="Финансовый 2 2 2 5 2 2" xfId="3084"/>
    <cellStyle name="Финансовый 2 2 2 5 2 2 2" xfId="9592"/>
    <cellStyle name="Финансовый 2 2 2 5 2 3" xfId="4732"/>
    <cellStyle name="Финансовый 2 2 2 5 2 4" xfId="8121"/>
    <cellStyle name="Финансовый 2 2 2 5 3" xfId="2348"/>
    <cellStyle name="Финансовый 2 2 2 5 3 2" xfId="5467"/>
    <cellStyle name="Финансовый 2 2 2 5 3 3" xfId="8856"/>
    <cellStyle name="Финансовый 2 2 2 5 4" xfId="3996"/>
    <cellStyle name="Финансовый 2 2 2 5 5" xfId="7385"/>
    <cellStyle name="Финансовый 2 2 2 6" xfId="1029"/>
    <cellStyle name="Финансовый 2 2 2 6 2" xfId="1790"/>
    <cellStyle name="Финансовый 2 2 2 6 2 2" xfId="3261"/>
    <cellStyle name="Финансовый 2 2 2 6 2 2 2" xfId="9769"/>
    <cellStyle name="Финансовый 2 2 2 6 2 3" xfId="4909"/>
    <cellStyle name="Финансовый 2 2 2 6 2 4" xfId="8298"/>
    <cellStyle name="Финансовый 2 2 2 6 3" xfId="2525"/>
    <cellStyle name="Финансовый 2 2 2 6 3 2" xfId="5648"/>
    <cellStyle name="Финансовый 2 2 2 6 3 3" xfId="9033"/>
    <cellStyle name="Финансовый 2 2 2 6 4" xfId="4173"/>
    <cellStyle name="Финансовый 2 2 2 6 5" xfId="7562"/>
    <cellStyle name="Финансовый 2 2 2 7" xfId="1217"/>
    <cellStyle name="Финансовый 2 2 2 7 2" xfId="1970"/>
    <cellStyle name="Финансовый 2 2 2 7 2 2" xfId="3441"/>
    <cellStyle name="Финансовый 2 2 2 7 2 2 2" xfId="9949"/>
    <cellStyle name="Финансовый 2 2 2 7 2 3" xfId="5089"/>
    <cellStyle name="Финансовый 2 2 2 7 2 4" xfId="8478"/>
    <cellStyle name="Финансовый 2 2 2 7 3" xfId="2705"/>
    <cellStyle name="Финансовый 2 2 2 7 3 2" xfId="5825"/>
    <cellStyle name="Финансовый 2 2 2 7 3 3" xfId="9213"/>
    <cellStyle name="Финансовый 2 2 2 7 4" xfId="4353"/>
    <cellStyle name="Финансовый 2 2 2 7 5" xfId="7742"/>
    <cellStyle name="Финансовый 2 2 2 8" xfId="1419"/>
    <cellStyle name="Финансовый 2 2 2 8 2" xfId="2890"/>
    <cellStyle name="Финансовый 2 2 2 8 2 2" xfId="6005"/>
    <cellStyle name="Финансовый 2 2 2 8 2 3" xfId="9398"/>
    <cellStyle name="Финансовый 2 2 2 8 3" xfId="4538"/>
    <cellStyle name="Финансовый 2 2 2 8 4" xfId="7927"/>
    <cellStyle name="Финансовый 2 2 2 9" xfId="2154"/>
    <cellStyle name="Финансовый 2 2 2 9 2" xfId="6186"/>
    <cellStyle name="Финансовый 2 2 2 9 3" xfId="8662"/>
    <cellStyle name="Финансовый 2 2 3" xfId="447"/>
    <cellStyle name="Финансовый 2 2 3 10" xfId="6977"/>
    <cellStyle name="Финансовый 2 2 3 11" xfId="5277"/>
    <cellStyle name="Финансовый 2 2 3 12" xfId="3806"/>
    <cellStyle name="Финансовый 2 2 3 13" xfId="7195"/>
    <cellStyle name="Финансовый 2 2 3 2" xfId="856"/>
    <cellStyle name="Финансовый 2 2 3 2 2" xfId="1617"/>
    <cellStyle name="Финансовый 2 2 3 2 2 2" xfId="3088"/>
    <cellStyle name="Финансовый 2 2 3 2 2 2 2" xfId="9596"/>
    <cellStyle name="Финансовый 2 2 3 2 2 3" xfId="4736"/>
    <cellStyle name="Финансовый 2 2 3 2 2 4" xfId="8125"/>
    <cellStyle name="Финансовый 2 2 3 2 3" xfId="2352"/>
    <cellStyle name="Финансовый 2 2 3 2 3 2" xfId="5471"/>
    <cellStyle name="Финансовый 2 2 3 2 3 3" xfId="8860"/>
    <cellStyle name="Финансовый 2 2 3 2 4" xfId="4000"/>
    <cellStyle name="Финансовый 2 2 3 2 5" xfId="7389"/>
    <cellStyle name="Финансовый 2 2 3 3" xfId="1033"/>
    <cellStyle name="Финансовый 2 2 3 3 2" xfId="1794"/>
    <cellStyle name="Финансовый 2 2 3 3 2 2" xfId="3265"/>
    <cellStyle name="Финансовый 2 2 3 3 2 2 2" xfId="9773"/>
    <cellStyle name="Финансовый 2 2 3 3 2 3" xfId="4913"/>
    <cellStyle name="Финансовый 2 2 3 3 2 4" xfId="8302"/>
    <cellStyle name="Финансовый 2 2 3 3 3" xfId="2529"/>
    <cellStyle name="Финансовый 2 2 3 3 3 2" xfId="5652"/>
    <cellStyle name="Финансовый 2 2 3 3 3 3" xfId="9037"/>
    <cellStyle name="Финансовый 2 2 3 3 4" xfId="4177"/>
    <cellStyle name="Финансовый 2 2 3 3 5" xfId="7566"/>
    <cellStyle name="Финансовый 2 2 3 4" xfId="1221"/>
    <cellStyle name="Финансовый 2 2 3 4 2" xfId="1974"/>
    <cellStyle name="Финансовый 2 2 3 4 2 2" xfId="3445"/>
    <cellStyle name="Финансовый 2 2 3 4 2 2 2" xfId="9953"/>
    <cellStyle name="Финансовый 2 2 3 4 2 3" xfId="5093"/>
    <cellStyle name="Финансовый 2 2 3 4 2 4" xfId="8482"/>
    <cellStyle name="Финансовый 2 2 3 4 3" xfId="2709"/>
    <cellStyle name="Финансовый 2 2 3 4 3 2" xfId="5829"/>
    <cellStyle name="Финансовый 2 2 3 4 3 3" xfId="9217"/>
    <cellStyle name="Финансовый 2 2 3 4 4" xfId="4357"/>
    <cellStyle name="Финансовый 2 2 3 4 5" xfId="7746"/>
    <cellStyle name="Финансовый 2 2 3 5" xfId="1423"/>
    <cellStyle name="Финансовый 2 2 3 5 2" xfId="2894"/>
    <cellStyle name="Финансовый 2 2 3 5 2 2" xfId="6009"/>
    <cellStyle name="Финансовый 2 2 3 5 2 3" xfId="9402"/>
    <cellStyle name="Финансовый 2 2 3 5 3" xfId="4542"/>
    <cellStyle name="Финансовый 2 2 3 5 4" xfId="7931"/>
    <cellStyle name="Финансовый 2 2 3 6" xfId="2158"/>
    <cellStyle name="Финансовый 2 2 3 6 2" xfId="6190"/>
    <cellStyle name="Финансовый 2 2 3 6 3" xfId="8666"/>
    <cellStyle name="Финансовый 2 2 3 7" xfId="3625"/>
    <cellStyle name="Финансовый 2 2 3 7 2" xfId="6385"/>
    <cellStyle name="Финансовый 2 2 3 7 3" xfId="10133"/>
    <cellStyle name="Финансовый 2 2 3 8" xfId="6566"/>
    <cellStyle name="Финансовый 2 2 3 9" xfId="6763"/>
    <cellStyle name="Финансовый 2 2 4" xfId="448"/>
    <cellStyle name="Финансовый 2 2 4 10" xfId="6978"/>
    <cellStyle name="Финансовый 2 2 4 11" xfId="5278"/>
    <cellStyle name="Финансовый 2 2 4 12" xfId="3807"/>
    <cellStyle name="Финансовый 2 2 4 13" xfId="7196"/>
    <cellStyle name="Финансовый 2 2 4 2" xfId="857"/>
    <cellStyle name="Финансовый 2 2 4 2 2" xfId="1618"/>
    <cellStyle name="Финансовый 2 2 4 2 2 2" xfId="3089"/>
    <cellStyle name="Финансовый 2 2 4 2 2 2 2" xfId="9597"/>
    <cellStyle name="Финансовый 2 2 4 2 2 3" xfId="4737"/>
    <cellStyle name="Финансовый 2 2 4 2 2 4" xfId="8126"/>
    <cellStyle name="Финансовый 2 2 4 2 3" xfId="2353"/>
    <cellStyle name="Финансовый 2 2 4 2 3 2" xfId="5472"/>
    <cellStyle name="Финансовый 2 2 4 2 3 3" xfId="8861"/>
    <cellStyle name="Финансовый 2 2 4 2 4" xfId="4001"/>
    <cellStyle name="Финансовый 2 2 4 2 5" xfId="7390"/>
    <cellStyle name="Финансовый 2 2 4 3" xfId="1034"/>
    <cellStyle name="Финансовый 2 2 4 3 2" xfId="1795"/>
    <cellStyle name="Финансовый 2 2 4 3 2 2" xfId="3266"/>
    <cellStyle name="Финансовый 2 2 4 3 2 2 2" xfId="9774"/>
    <cellStyle name="Финансовый 2 2 4 3 2 3" xfId="4914"/>
    <cellStyle name="Финансовый 2 2 4 3 2 4" xfId="8303"/>
    <cellStyle name="Финансовый 2 2 4 3 3" xfId="2530"/>
    <cellStyle name="Финансовый 2 2 4 3 3 2" xfId="5653"/>
    <cellStyle name="Финансовый 2 2 4 3 3 3" xfId="9038"/>
    <cellStyle name="Финансовый 2 2 4 3 4" xfId="4178"/>
    <cellStyle name="Финансовый 2 2 4 3 5" xfId="7567"/>
    <cellStyle name="Финансовый 2 2 4 4" xfId="1222"/>
    <cellStyle name="Финансовый 2 2 4 4 2" xfId="1975"/>
    <cellStyle name="Финансовый 2 2 4 4 2 2" xfId="3446"/>
    <cellStyle name="Финансовый 2 2 4 4 2 2 2" xfId="9954"/>
    <cellStyle name="Финансовый 2 2 4 4 2 3" xfId="5094"/>
    <cellStyle name="Финансовый 2 2 4 4 2 4" xfId="8483"/>
    <cellStyle name="Финансовый 2 2 4 4 3" xfId="2710"/>
    <cellStyle name="Финансовый 2 2 4 4 3 2" xfId="5830"/>
    <cellStyle name="Финансовый 2 2 4 4 3 3" xfId="9218"/>
    <cellStyle name="Финансовый 2 2 4 4 4" xfId="4358"/>
    <cellStyle name="Финансовый 2 2 4 4 5" xfId="7747"/>
    <cellStyle name="Финансовый 2 2 4 5" xfId="1424"/>
    <cellStyle name="Финансовый 2 2 4 5 2" xfId="2895"/>
    <cellStyle name="Финансовый 2 2 4 5 2 2" xfId="6010"/>
    <cellStyle name="Финансовый 2 2 4 5 2 3" xfId="9403"/>
    <cellStyle name="Финансовый 2 2 4 5 3" xfId="4543"/>
    <cellStyle name="Финансовый 2 2 4 5 4" xfId="7932"/>
    <cellStyle name="Финансовый 2 2 4 6" xfId="2159"/>
    <cellStyle name="Финансовый 2 2 4 6 2" xfId="6191"/>
    <cellStyle name="Финансовый 2 2 4 6 3" xfId="8667"/>
    <cellStyle name="Финансовый 2 2 4 7" xfId="3626"/>
    <cellStyle name="Финансовый 2 2 4 7 2" xfId="6386"/>
    <cellStyle name="Финансовый 2 2 4 7 3" xfId="10134"/>
    <cellStyle name="Финансовый 2 2 4 8" xfId="6567"/>
    <cellStyle name="Финансовый 2 2 4 9" xfId="6764"/>
    <cellStyle name="Финансовый 2 2 5" xfId="449"/>
    <cellStyle name="Финансовый 2 2 5 10" xfId="6979"/>
    <cellStyle name="Финансовый 2 2 5 11" xfId="5279"/>
    <cellStyle name="Финансовый 2 2 5 12" xfId="3808"/>
    <cellStyle name="Финансовый 2 2 5 13" xfId="7197"/>
    <cellStyle name="Финансовый 2 2 5 2" xfId="858"/>
    <cellStyle name="Финансовый 2 2 5 2 2" xfId="1619"/>
    <cellStyle name="Финансовый 2 2 5 2 2 2" xfId="3090"/>
    <cellStyle name="Финансовый 2 2 5 2 2 2 2" xfId="9598"/>
    <cellStyle name="Финансовый 2 2 5 2 2 3" xfId="4738"/>
    <cellStyle name="Финансовый 2 2 5 2 2 4" xfId="8127"/>
    <cellStyle name="Финансовый 2 2 5 2 3" xfId="2354"/>
    <cellStyle name="Финансовый 2 2 5 2 3 2" xfId="5473"/>
    <cellStyle name="Финансовый 2 2 5 2 3 3" xfId="8862"/>
    <cellStyle name="Финансовый 2 2 5 2 4" xfId="4002"/>
    <cellStyle name="Финансовый 2 2 5 2 5" xfId="7391"/>
    <cellStyle name="Финансовый 2 2 5 3" xfId="1035"/>
    <cellStyle name="Финансовый 2 2 5 3 2" xfId="1796"/>
    <cellStyle name="Финансовый 2 2 5 3 2 2" xfId="3267"/>
    <cellStyle name="Финансовый 2 2 5 3 2 2 2" xfId="9775"/>
    <cellStyle name="Финансовый 2 2 5 3 2 3" xfId="4915"/>
    <cellStyle name="Финансовый 2 2 5 3 2 4" xfId="8304"/>
    <cellStyle name="Финансовый 2 2 5 3 3" xfId="2531"/>
    <cellStyle name="Финансовый 2 2 5 3 3 2" xfId="5654"/>
    <cellStyle name="Финансовый 2 2 5 3 3 3" xfId="9039"/>
    <cellStyle name="Финансовый 2 2 5 3 4" xfId="4179"/>
    <cellStyle name="Финансовый 2 2 5 3 5" xfId="7568"/>
    <cellStyle name="Финансовый 2 2 5 4" xfId="1223"/>
    <cellStyle name="Финансовый 2 2 5 4 2" xfId="1976"/>
    <cellStyle name="Финансовый 2 2 5 4 2 2" xfId="3447"/>
    <cellStyle name="Финансовый 2 2 5 4 2 2 2" xfId="9955"/>
    <cellStyle name="Финансовый 2 2 5 4 2 3" xfId="5095"/>
    <cellStyle name="Финансовый 2 2 5 4 2 4" xfId="8484"/>
    <cellStyle name="Финансовый 2 2 5 4 3" xfId="2711"/>
    <cellStyle name="Финансовый 2 2 5 4 3 2" xfId="5831"/>
    <cellStyle name="Финансовый 2 2 5 4 3 3" xfId="9219"/>
    <cellStyle name="Финансовый 2 2 5 4 4" xfId="4359"/>
    <cellStyle name="Финансовый 2 2 5 4 5" xfId="7748"/>
    <cellStyle name="Финансовый 2 2 5 5" xfId="1425"/>
    <cellStyle name="Финансовый 2 2 5 5 2" xfId="2896"/>
    <cellStyle name="Финансовый 2 2 5 5 2 2" xfId="6011"/>
    <cellStyle name="Финансовый 2 2 5 5 2 3" xfId="9404"/>
    <cellStyle name="Финансовый 2 2 5 5 3" xfId="4544"/>
    <cellStyle name="Финансовый 2 2 5 5 4" xfId="7933"/>
    <cellStyle name="Финансовый 2 2 5 6" xfId="2160"/>
    <cellStyle name="Финансовый 2 2 5 6 2" xfId="6192"/>
    <cellStyle name="Финансовый 2 2 5 6 3" xfId="8668"/>
    <cellStyle name="Финансовый 2 2 5 7" xfId="3627"/>
    <cellStyle name="Финансовый 2 2 5 7 2" xfId="6387"/>
    <cellStyle name="Финансовый 2 2 5 7 3" xfId="10135"/>
    <cellStyle name="Финансовый 2 2 5 8" xfId="6568"/>
    <cellStyle name="Финансовый 2 2 5 9" xfId="6765"/>
    <cellStyle name="Финансовый 2 2 6" xfId="450"/>
    <cellStyle name="Финансовый 2 2 6 10" xfId="6980"/>
    <cellStyle name="Финансовый 2 2 6 11" xfId="5280"/>
    <cellStyle name="Финансовый 2 2 6 12" xfId="3809"/>
    <cellStyle name="Финансовый 2 2 6 13" xfId="7198"/>
    <cellStyle name="Финансовый 2 2 6 2" xfId="859"/>
    <cellStyle name="Финансовый 2 2 6 2 2" xfId="1620"/>
    <cellStyle name="Финансовый 2 2 6 2 2 2" xfId="3091"/>
    <cellStyle name="Финансовый 2 2 6 2 2 2 2" xfId="9599"/>
    <cellStyle name="Финансовый 2 2 6 2 2 3" xfId="4739"/>
    <cellStyle name="Финансовый 2 2 6 2 2 4" xfId="8128"/>
    <cellStyle name="Финансовый 2 2 6 2 3" xfId="2355"/>
    <cellStyle name="Финансовый 2 2 6 2 3 2" xfId="5474"/>
    <cellStyle name="Финансовый 2 2 6 2 3 3" xfId="8863"/>
    <cellStyle name="Финансовый 2 2 6 2 4" xfId="4003"/>
    <cellStyle name="Финансовый 2 2 6 2 5" xfId="7392"/>
    <cellStyle name="Финансовый 2 2 6 3" xfId="1036"/>
    <cellStyle name="Финансовый 2 2 6 3 2" xfId="1797"/>
    <cellStyle name="Финансовый 2 2 6 3 2 2" xfId="3268"/>
    <cellStyle name="Финансовый 2 2 6 3 2 2 2" xfId="9776"/>
    <cellStyle name="Финансовый 2 2 6 3 2 3" xfId="4916"/>
    <cellStyle name="Финансовый 2 2 6 3 2 4" xfId="8305"/>
    <cellStyle name="Финансовый 2 2 6 3 3" xfId="2532"/>
    <cellStyle name="Финансовый 2 2 6 3 3 2" xfId="5655"/>
    <cellStyle name="Финансовый 2 2 6 3 3 3" xfId="9040"/>
    <cellStyle name="Финансовый 2 2 6 3 4" xfId="4180"/>
    <cellStyle name="Финансовый 2 2 6 3 5" xfId="7569"/>
    <cellStyle name="Финансовый 2 2 6 4" xfId="1224"/>
    <cellStyle name="Финансовый 2 2 6 4 2" xfId="1977"/>
    <cellStyle name="Финансовый 2 2 6 4 2 2" xfId="3448"/>
    <cellStyle name="Финансовый 2 2 6 4 2 2 2" xfId="9956"/>
    <cellStyle name="Финансовый 2 2 6 4 2 3" xfId="5096"/>
    <cellStyle name="Финансовый 2 2 6 4 2 4" xfId="8485"/>
    <cellStyle name="Финансовый 2 2 6 4 3" xfId="2712"/>
    <cellStyle name="Финансовый 2 2 6 4 3 2" xfId="5832"/>
    <cellStyle name="Финансовый 2 2 6 4 3 3" xfId="9220"/>
    <cellStyle name="Финансовый 2 2 6 4 4" xfId="4360"/>
    <cellStyle name="Финансовый 2 2 6 4 5" xfId="7749"/>
    <cellStyle name="Финансовый 2 2 6 5" xfId="1426"/>
    <cellStyle name="Финансовый 2 2 6 5 2" xfId="2897"/>
    <cellStyle name="Финансовый 2 2 6 5 2 2" xfId="6012"/>
    <cellStyle name="Финансовый 2 2 6 5 2 3" xfId="9405"/>
    <cellStyle name="Финансовый 2 2 6 5 3" xfId="4545"/>
    <cellStyle name="Финансовый 2 2 6 5 4" xfId="7934"/>
    <cellStyle name="Финансовый 2 2 6 6" xfId="2161"/>
    <cellStyle name="Финансовый 2 2 6 6 2" xfId="6193"/>
    <cellStyle name="Финансовый 2 2 6 6 3" xfId="8669"/>
    <cellStyle name="Финансовый 2 2 6 7" xfId="3628"/>
    <cellStyle name="Финансовый 2 2 6 7 2" xfId="6388"/>
    <cellStyle name="Финансовый 2 2 6 7 3" xfId="10136"/>
    <cellStyle name="Финансовый 2 2 6 8" xfId="6569"/>
    <cellStyle name="Финансовый 2 2 6 9" xfId="6766"/>
    <cellStyle name="Финансовый 2 3" xfId="451"/>
    <cellStyle name="Финансовый 2 3 10" xfId="1225"/>
    <cellStyle name="Финансовый 2 3 10 2" xfId="1978"/>
    <cellStyle name="Финансовый 2 3 10 2 2" xfId="3449"/>
    <cellStyle name="Финансовый 2 3 10 2 2 2" xfId="9957"/>
    <cellStyle name="Финансовый 2 3 10 2 3" xfId="5097"/>
    <cellStyle name="Финансовый 2 3 10 2 4" xfId="8486"/>
    <cellStyle name="Финансовый 2 3 10 3" xfId="2713"/>
    <cellStyle name="Финансовый 2 3 10 3 2" xfId="5833"/>
    <cellStyle name="Финансовый 2 3 10 3 3" xfId="9221"/>
    <cellStyle name="Финансовый 2 3 10 4" xfId="4361"/>
    <cellStyle name="Финансовый 2 3 10 5" xfId="7750"/>
    <cellStyle name="Финансовый 2 3 11" xfId="1427"/>
    <cellStyle name="Финансовый 2 3 11 2" xfId="2898"/>
    <cellStyle name="Финансовый 2 3 11 2 2" xfId="6013"/>
    <cellStyle name="Финансовый 2 3 11 2 3" xfId="9406"/>
    <cellStyle name="Финансовый 2 3 11 3" xfId="4546"/>
    <cellStyle name="Финансовый 2 3 11 4" xfId="7935"/>
    <cellStyle name="Финансовый 2 3 12" xfId="2162"/>
    <cellStyle name="Финансовый 2 3 12 2" xfId="6194"/>
    <cellStyle name="Финансовый 2 3 12 3" xfId="8670"/>
    <cellStyle name="Финансовый 2 3 13" xfId="3629"/>
    <cellStyle name="Финансовый 2 3 13 2" xfId="6389"/>
    <cellStyle name="Финансовый 2 3 13 3" xfId="10137"/>
    <cellStyle name="Финансовый 2 3 14" xfId="6570"/>
    <cellStyle name="Финансовый 2 3 15" xfId="6767"/>
    <cellStyle name="Финансовый 2 3 16" xfId="6981"/>
    <cellStyle name="Финансовый 2 3 17" xfId="5281"/>
    <cellStyle name="Финансовый 2 3 18" xfId="3810"/>
    <cellStyle name="Финансовый 2 3 19" xfId="7199"/>
    <cellStyle name="Финансовый 2 3 2" xfId="452"/>
    <cellStyle name="Финансовый 2 3 2 2" xfId="453"/>
    <cellStyle name="Финансовый 2 3 2 3" xfId="454"/>
    <cellStyle name="Финансовый 2 3 2 4" xfId="455"/>
    <cellStyle name="Финансовый 2 3 3" xfId="456"/>
    <cellStyle name="Финансовый 2 3 3 10" xfId="6768"/>
    <cellStyle name="Финансовый 2 3 3 11" xfId="6982"/>
    <cellStyle name="Финансовый 2 3 3 12" xfId="5282"/>
    <cellStyle name="Финансовый 2 3 3 13" xfId="3811"/>
    <cellStyle name="Финансовый 2 3 3 14" xfId="7200"/>
    <cellStyle name="Финансовый 2 3 3 2" xfId="457"/>
    <cellStyle name="Финансовый 2 3 3 2 10" xfId="6983"/>
    <cellStyle name="Финансовый 2 3 3 2 11" xfId="5283"/>
    <cellStyle name="Финансовый 2 3 3 2 12" xfId="3812"/>
    <cellStyle name="Финансовый 2 3 3 2 13" xfId="7201"/>
    <cellStyle name="Финансовый 2 3 3 2 2" xfId="862"/>
    <cellStyle name="Финансовый 2 3 3 2 2 2" xfId="1623"/>
    <cellStyle name="Финансовый 2 3 3 2 2 2 2" xfId="3094"/>
    <cellStyle name="Финансовый 2 3 3 2 2 2 2 2" xfId="9602"/>
    <cellStyle name="Финансовый 2 3 3 2 2 2 3" xfId="4742"/>
    <cellStyle name="Финансовый 2 3 3 2 2 2 4" xfId="8131"/>
    <cellStyle name="Финансовый 2 3 3 2 2 3" xfId="2358"/>
    <cellStyle name="Финансовый 2 3 3 2 2 3 2" xfId="5477"/>
    <cellStyle name="Финансовый 2 3 3 2 2 3 3" xfId="8866"/>
    <cellStyle name="Финансовый 2 3 3 2 2 4" xfId="4006"/>
    <cellStyle name="Финансовый 2 3 3 2 2 5" xfId="7395"/>
    <cellStyle name="Финансовый 2 3 3 2 3" xfId="1039"/>
    <cellStyle name="Финансовый 2 3 3 2 3 2" xfId="1800"/>
    <cellStyle name="Финансовый 2 3 3 2 3 2 2" xfId="3271"/>
    <cellStyle name="Финансовый 2 3 3 2 3 2 2 2" xfId="9779"/>
    <cellStyle name="Финансовый 2 3 3 2 3 2 3" xfId="4919"/>
    <cellStyle name="Финансовый 2 3 3 2 3 2 4" xfId="8308"/>
    <cellStyle name="Финансовый 2 3 3 2 3 3" xfId="2535"/>
    <cellStyle name="Финансовый 2 3 3 2 3 3 2" xfId="5658"/>
    <cellStyle name="Финансовый 2 3 3 2 3 3 3" xfId="9043"/>
    <cellStyle name="Финансовый 2 3 3 2 3 4" xfId="4183"/>
    <cellStyle name="Финансовый 2 3 3 2 3 5" xfId="7572"/>
    <cellStyle name="Финансовый 2 3 3 2 4" xfId="1227"/>
    <cellStyle name="Финансовый 2 3 3 2 4 2" xfId="1980"/>
    <cellStyle name="Финансовый 2 3 3 2 4 2 2" xfId="3451"/>
    <cellStyle name="Финансовый 2 3 3 2 4 2 2 2" xfId="9959"/>
    <cellStyle name="Финансовый 2 3 3 2 4 2 3" xfId="5099"/>
    <cellStyle name="Финансовый 2 3 3 2 4 2 4" xfId="8488"/>
    <cellStyle name="Финансовый 2 3 3 2 4 3" xfId="2715"/>
    <cellStyle name="Финансовый 2 3 3 2 4 3 2" xfId="5835"/>
    <cellStyle name="Финансовый 2 3 3 2 4 3 3" xfId="9223"/>
    <cellStyle name="Финансовый 2 3 3 2 4 4" xfId="4363"/>
    <cellStyle name="Финансовый 2 3 3 2 4 5" xfId="7752"/>
    <cellStyle name="Финансовый 2 3 3 2 5" xfId="1429"/>
    <cellStyle name="Финансовый 2 3 3 2 5 2" xfId="2900"/>
    <cellStyle name="Финансовый 2 3 3 2 5 2 2" xfId="6015"/>
    <cellStyle name="Финансовый 2 3 3 2 5 2 3" xfId="9408"/>
    <cellStyle name="Финансовый 2 3 3 2 5 3" xfId="4548"/>
    <cellStyle name="Финансовый 2 3 3 2 5 4" xfId="7937"/>
    <cellStyle name="Финансовый 2 3 3 2 6" xfId="2164"/>
    <cellStyle name="Финансовый 2 3 3 2 6 2" xfId="6196"/>
    <cellStyle name="Финансовый 2 3 3 2 6 3" xfId="8672"/>
    <cellStyle name="Финансовый 2 3 3 2 7" xfId="3631"/>
    <cellStyle name="Финансовый 2 3 3 2 7 2" xfId="6391"/>
    <cellStyle name="Финансовый 2 3 3 2 7 3" xfId="10139"/>
    <cellStyle name="Финансовый 2 3 3 2 8" xfId="6572"/>
    <cellStyle name="Финансовый 2 3 3 2 9" xfId="6769"/>
    <cellStyle name="Финансовый 2 3 3 3" xfId="861"/>
    <cellStyle name="Финансовый 2 3 3 3 2" xfId="1622"/>
    <cellStyle name="Финансовый 2 3 3 3 2 2" xfId="3093"/>
    <cellStyle name="Финансовый 2 3 3 3 2 2 2" xfId="9601"/>
    <cellStyle name="Финансовый 2 3 3 3 2 3" xfId="4741"/>
    <cellStyle name="Финансовый 2 3 3 3 2 4" xfId="8130"/>
    <cellStyle name="Финансовый 2 3 3 3 3" xfId="2357"/>
    <cellStyle name="Финансовый 2 3 3 3 3 2" xfId="5476"/>
    <cellStyle name="Финансовый 2 3 3 3 3 3" xfId="8865"/>
    <cellStyle name="Финансовый 2 3 3 3 4" xfId="4005"/>
    <cellStyle name="Финансовый 2 3 3 3 5" xfId="7394"/>
    <cellStyle name="Финансовый 2 3 3 4" xfId="1038"/>
    <cellStyle name="Финансовый 2 3 3 4 2" xfId="1799"/>
    <cellStyle name="Финансовый 2 3 3 4 2 2" xfId="3270"/>
    <cellStyle name="Финансовый 2 3 3 4 2 2 2" xfId="9778"/>
    <cellStyle name="Финансовый 2 3 3 4 2 3" xfId="4918"/>
    <cellStyle name="Финансовый 2 3 3 4 2 4" xfId="8307"/>
    <cellStyle name="Финансовый 2 3 3 4 3" xfId="2534"/>
    <cellStyle name="Финансовый 2 3 3 4 3 2" xfId="5657"/>
    <cellStyle name="Финансовый 2 3 3 4 3 3" xfId="9042"/>
    <cellStyle name="Финансовый 2 3 3 4 4" xfId="4182"/>
    <cellStyle name="Финансовый 2 3 3 4 5" xfId="7571"/>
    <cellStyle name="Финансовый 2 3 3 5" xfId="1226"/>
    <cellStyle name="Финансовый 2 3 3 5 2" xfId="1979"/>
    <cellStyle name="Финансовый 2 3 3 5 2 2" xfId="3450"/>
    <cellStyle name="Финансовый 2 3 3 5 2 2 2" xfId="9958"/>
    <cellStyle name="Финансовый 2 3 3 5 2 3" xfId="5098"/>
    <cellStyle name="Финансовый 2 3 3 5 2 4" xfId="8487"/>
    <cellStyle name="Финансовый 2 3 3 5 3" xfId="2714"/>
    <cellStyle name="Финансовый 2 3 3 5 3 2" xfId="5834"/>
    <cellStyle name="Финансовый 2 3 3 5 3 3" xfId="9222"/>
    <cellStyle name="Финансовый 2 3 3 5 4" xfId="4362"/>
    <cellStyle name="Финансовый 2 3 3 5 5" xfId="7751"/>
    <cellStyle name="Финансовый 2 3 3 6" xfId="1428"/>
    <cellStyle name="Финансовый 2 3 3 6 2" xfId="2899"/>
    <cellStyle name="Финансовый 2 3 3 6 2 2" xfId="6014"/>
    <cellStyle name="Финансовый 2 3 3 6 2 3" xfId="9407"/>
    <cellStyle name="Финансовый 2 3 3 6 3" xfId="4547"/>
    <cellStyle name="Финансовый 2 3 3 6 4" xfId="7936"/>
    <cellStyle name="Финансовый 2 3 3 7" xfId="2163"/>
    <cellStyle name="Финансовый 2 3 3 7 2" xfId="6195"/>
    <cellStyle name="Финансовый 2 3 3 7 3" xfId="8671"/>
    <cellStyle name="Финансовый 2 3 3 8" xfId="3630"/>
    <cellStyle name="Финансовый 2 3 3 8 2" xfId="6390"/>
    <cellStyle name="Финансовый 2 3 3 8 3" xfId="10138"/>
    <cellStyle name="Финансовый 2 3 3 9" xfId="6571"/>
    <cellStyle name="Финансовый 2 3 4" xfId="458"/>
    <cellStyle name="Финансовый 2 3 4 10" xfId="3632"/>
    <cellStyle name="Финансовый 2 3 4 10 2" xfId="6392"/>
    <cellStyle name="Финансовый 2 3 4 10 3" xfId="10140"/>
    <cellStyle name="Финансовый 2 3 4 11" xfId="6573"/>
    <cellStyle name="Финансовый 2 3 4 12" xfId="6770"/>
    <cellStyle name="Финансовый 2 3 4 13" xfId="6984"/>
    <cellStyle name="Финансовый 2 3 4 14" xfId="5284"/>
    <cellStyle name="Финансовый 2 3 4 15" xfId="3813"/>
    <cellStyle name="Финансовый 2 3 4 16" xfId="7202"/>
    <cellStyle name="Финансовый 2 3 4 2" xfId="459"/>
    <cellStyle name="Финансовый 2 3 4 2 10" xfId="6985"/>
    <cellStyle name="Финансовый 2 3 4 2 11" xfId="5285"/>
    <cellStyle name="Финансовый 2 3 4 2 12" xfId="3814"/>
    <cellStyle name="Финансовый 2 3 4 2 13" xfId="7203"/>
    <cellStyle name="Финансовый 2 3 4 2 2" xfId="864"/>
    <cellStyle name="Финансовый 2 3 4 2 2 2" xfId="1625"/>
    <cellStyle name="Финансовый 2 3 4 2 2 2 2" xfId="3096"/>
    <cellStyle name="Финансовый 2 3 4 2 2 2 2 2" xfId="9604"/>
    <cellStyle name="Финансовый 2 3 4 2 2 2 3" xfId="4744"/>
    <cellStyle name="Финансовый 2 3 4 2 2 2 4" xfId="8133"/>
    <cellStyle name="Финансовый 2 3 4 2 2 3" xfId="2360"/>
    <cellStyle name="Финансовый 2 3 4 2 2 3 2" xfId="5479"/>
    <cellStyle name="Финансовый 2 3 4 2 2 3 3" xfId="8868"/>
    <cellStyle name="Финансовый 2 3 4 2 2 4" xfId="4008"/>
    <cellStyle name="Финансовый 2 3 4 2 2 5" xfId="7397"/>
    <cellStyle name="Финансовый 2 3 4 2 3" xfId="1041"/>
    <cellStyle name="Финансовый 2 3 4 2 3 2" xfId="1802"/>
    <cellStyle name="Финансовый 2 3 4 2 3 2 2" xfId="3273"/>
    <cellStyle name="Финансовый 2 3 4 2 3 2 2 2" xfId="9781"/>
    <cellStyle name="Финансовый 2 3 4 2 3 2 3" xfId="4921"/>
    <cellStyle name="Финансовый 2 3 4 2 3 2 4" xfId="8310"/>
    <cellStyle name="Финансовый 2 3 4 2 3 3" xfId="2537"/>
    <cellStyle name="Финансовый 2 3 4 2 3 3 2" xfId="5660"/>
    <cellStyle name="Финансовый 2 3 4 2 3 3 3" xfId="9045"/>
    <cellStyle name="Финансовый 2 3 4 2 3 4" xfId="4185"/>
    <cellStyle name="Финансовый 2 3 4 2 3 5" xfId="7574"/>
    <cellStyle name="Финансовый 2 3 4 2 4" xfId="1229"/>
    <cellStyle name="Финансовый 2 3 4 2 4 2" xfId="1982"/>
    <cellStyle name="Финансовый 2 3 4 2 4 2 2" xfId="3453"/>
    <cellStyle name="Финансовый 2 3 4 2 4 2 2 2" xfId="9961"/>
    <cellStyle name="Финансовый 2 3 4 2 4 2 3" xfId="5101"/>
    <cellStyle name="Финансовый 2 3 4 2 4 2 4" xfId="8490"/>
    <cellStyle name="Финансовый 2 3 4 2 4 3" xfId="2717"/>
    <cellStyle name="Финансовый 2 3 4 2 4 3 2" xfId="5837"/>
    <cellStyle name="Финансовый 2 3 4 2 4 3 3" xfId="9225"/>
    <cellStyle name="Финансовый 2 3 4 2 4 4" xfId="4365"/>
    <cellStyle name="Финансовый 2 3 4 2 4 5" xfId="7754"/>
    <cellStyle name="Финансовый 2 3 4 2 5" xfId="1431"/>
    <cellStyle name="Финансовый 2 3 4 2 5 2" xfId="2902"/>
    <cellStyle name="Финансовый 2 3 4 2 5 2 2" xfId="6017"/>
    <cellStyle name="Финансовый 2 3 4 2 5 2 3" xfId="9410"/>
    <cellStyle name="Финансовый 2 3 4 2 5 3" xfId="4550"/>
    <cellStyle name="Финансовый 2 3 4 2 5 4" xfId="7939"/>
    <cellStyle name="Финансовый 2 3 4 2 6" xfId="2166"/>
    <cellStyle name="Финансовый 2 3 4 2 6 2" xfId="6198"/>
    <cellStyle name="Финансовый 2 3 4 2 6 3" xfId="8674"/>
    <cellStyle name="Финансовый 2 3 4 2 7" xfId="3633"/>
    <cellStyle name="Финансовый 2 3 4 2 7 2" xfId="6393"/>
    <cellStyle name="Финансовый 2 3 4 2 7 3" xfId="10141"/>
    <cellStyle name="Финансовый 2 3 4 2 8" xfId="6574"/>
    <cellStyle name="Финансовый 2 3 4 2 9" xfId="6771"/>
    <cellStyle name="Финансовый 2 3 4 3" xfId="460"/>
    <cellStyle name="Финансовый 2 3 4 3 10" xfId="6986"/>
    <cellStyle name="Финансовый 2 3 4 3 11" xfId="5286"/>
    <cellStyle name="Финансовый 2 3 4 3 12" xfId="3815"/>
    <cellStyle name="Финансовый 2 3 4 3 13" xfId="7204"/>
    <cellStyle name="Финансовый 2 3 4 3 2" xfId="865"/>
    <cellStyle name="Финансовый 2 3 4 3 2 2" xfId="1626"/>
    <cellStyle name="Финансовый 2 3 4 3 2 2 2" xfId="3097"/>
    <cellStyle name="Финансовый 2 3 4 3 2 2 2 2" xfId="9605"/>
    <cellStyle name="Финансовый 2 3 4 3 2 2 3" xfId="4745"/>
    <cellStyle name="Финансовый 2 3 4 3 2 2 4" xfId="8134"/>
    <cellStyle name="Финансовый 2 3 4 3 2 3" xfId="2361"/>
    <cellStyle name="Финансовый 2 3 4 3 2 3 2" xfId="5480"/>
    <cellStyle name="Финансовый 2 3 4 3 2 3 3" xfId="8869"/>
    <cellStyle name="Финансовый 2 3 4 3 2 4" xfId="4009"/>
    <cellStyle name="Финансовый 2 3 4 3 2 5" xfId="7398"/>
    <cellStyle name="Финансовый 2 3 4 3 3" xfId="1042"/>
    <cellStyle name="Финансовый 2 3 4 3 3 2" xfId="1803"/>
    <cellStyle name="Финансовый 2 3 4 3 3 2 2" xfId="3274"/>
    <cellStyle name="Финансовый 2 3 4 3 3 2 2 2" xfId="9782"/>
    <cellStyle name="Финансовый 2 3 4 3 3 2 3" xfId="4922"/>
    <cellStyle name="Финансовый 2 3 4 3 3 2 4" xfId="8311"/>
    <cellStyle name="Финансовый 2 3 4 3 3 3" xfId="2538"/>
    <cellStyle name="Финансовый 2 3 4 3 3 3 2" xfId="5661"/>
    <cellStyle name="Финансовый 2 3 4 3 3 3 3" xfId="9046"/>
    <cellStyle name="Финансовый 2 3 4 3 3 4" xfId="4186"/>
    <cellStyle name="Финансовый 2 3 4 3 3 5" xfId="7575"/>
    <cellStyle name="Финансовый 2 3 4 3 4" xfId="1230"/>
    <cellStyle name="Финансовый 2 3 4 3 4 2" xfId="1983"/>
    <cellStyle name="Финансовый 2 3 4 3 4 2 2" xfId="3454"/>
    <cellStyle name="Финансовый 2 3 4 3 4 2 2 2" xfId="9962"/>
    <cellStyle name="Финансовый 2 3 4 3 4 2 3" xfId="5102"/>
    <cellStyle name="Финансовый 2 3 4 3 4 2 4" xfId="8491"/>
    <cellStyle name="Финансовый 2 3 4 3 4 3" xfId="2718"/>
    <cellStyle name="Финансовый 2 3 4 3 4 3 2" xfId="5838"/>
    <cellStyle name="Финансовый 2 3 4 3 4 3 3" xfId="9226"/>
    <cellStyle name="Финансовый 2 3 4 3 4 4" xfId="4366"/>
    <cellStyle name="Финансовый 2 3 4 3 4 5" xfId="7755"/>
    <cellStyle name="Финансовый 2 3 4 3 5" xfId="1432"/>
    <cellStyle name="Финансовый 2 3 4 3 5 2" xfId="2903"/>
    <cellStyle name="Финансовый 2 3 4 3 5 2 2" xfId="6018"/>
    <cellStyle name="Финансовый 2 3 4 3 5 2 3" xfId="9411"/>
    <cellStyle name="Финансовый 2 3 4 3 5 3" xfId="4551"/>
    <cellStyle name="Финансовый 2 3 4 3 5 4" xfId="7940"/>
    <cellStyle name="Финансовый 2 3 4 3 6" xfId="2167"/>
    <cellStyle name="Финансовый 2 3 4 3 6 2" xfId="6199"/>
    <cellStyle name="Финансовый 2 3 4 3 6 3" xfId="8675"/>
    <cellStyle name="Финансовый 2 3 4 3 7" xfId="3634"/>
    <cellStyle name="Финансовый 2 3 4 3 7 2" xfId="6394"/>
    <cellStyle name="Финансовый 2 3 4 3 7 3" xfId="10142"/>
    <cellStyle name="Финансовый 2 3 4 3 8" xfId="6575"/>
    <cellStyle name="Финансовый 2 3 4 3 9" xfId="6772"/>
    <cellStyle name="Финансовый 2 3 4 4" xfId="461"/>
    <cellStyle name="Финансовый 2 3 4 4 10" xfId="6987"/>
    <cellStyle name="Финансовый 2 3 4 4 11" xfId="5287"/>
    <cellStyle name="Финансовый 2 3 4 4 12" xfId="3816"/>
    <cellStyle name="Финансовый 2 3 4 4 13" xfId="7205"/>
    <cellStyle name="Финансовый 2 3 4 4 2" xfId="866"/>
    <cellStyle name="Финансовый 2 3 4 4 2 2" xfId="1627"/>
    <cellStyle name="Финансовый 2 3 4 4 2 2 2" xfId="3098"/>
    <cellStyle name="Финансовый 2 3 4 4 2 2 2 2" xfId="9606"/>
    <cellStyle name="Финансовый 2 3 4 4 2 2 3" xfId="4746"/>
    <cellStyle name="Финансовый 2 3 4 4 2 2 4" xfId="8135"/>
    <cellStyle name="Финансовый 2 3 4 4 2 3" xfId="2362"/>
    <cellStyle name="Финансовый 2 3 4 4 2 3 2" xfId="5481"/>
    <cellStyle name="Финансовый 2 3 4 4 2 3 3" xfId="8870"/>
    <cellStyle name="Финансовый 2 3 4 4 2 4" xfId="4010"/>
    <cellStyle name="Финансовый 2 3 4 4 2 5" xfId="7399"/>
    <cellStyle name="Финансовый 2 3 4 4 3" xfId="1043"/>
    <cellStyle name="Финансовый 2 3 4 4 3 2" xfId="1804"/>
    <cellStyle name="Финансовый 2 3 4 4 3 2 2" xfId="3275"/>
    <cellStyle name="Финансовый 2 3 4 4 3 2 2 2" xfId="9783"/>
    <cellStyle name="Финансовый 2 3 4 4 3 2 3" xfId="4923"/>
    <cellStyle name="Финансовый 2 3 4 4 3 2 4" xfId="8312"/>
    <cellStyle name="Финансовый 2 3 4 4 3 3" xfId="2539"/>
    <cellStyle name="Финансовый 2 3 4 4 3 3 2" xfId="5662"/>
    <cellStyle name="Финансовый 2 3 4 4 3 3 3" xfId="9047"/>
    <cellStyle name="Финансовый 2 3 4 4 3 4" xfId="4187"/>
    <cellStyle name="Финансовый 2 3 4 4 3 5" xfId="7576"/>
    <cellStyle name="Финансовый 2 3 4 4 4" xfId="1231"/>
    <cellStyle name="Финансовый 2 3 4 4 4 2" xfId="1984"/>
    <cellStyle name="Финансовый 2 3 4 4 4 2 2" xfId="3455"/>
    <cellStyle name="Финансовый 2 3 4 4 4 2 2 2" xfId="9963"/>
    <cellStyle name="Финансовый 2 3 4 4 4 2 3" xfId="5103"/>
    <cellStyle name="Финансовый 2 3 4 4 4 2 4" xfId="8492"/>
    <cellStyle name="Финансовый 2 3 4 4 4 3" xfId="2719"/>
    <cellStyle name="Финансовый 2 3 4 4 4 3 2" xfId="5839"/>
    <cellStyle name="Финансовый 2 3 4 4 4 3 3" xfId="9227"/>
    <cellStyle name="Финансовый 2 3 4 4 4 4" xfId="4367"/>
    <cellStyle name="Финансовый 2 3 4 4 4 5" xfId="7756"/>
    <cellStyle name="Финансовый 2 3 4 4 5" xfId="1433"/>
    <cellStyle name="Финансовый 2 3 4 4 5 2" xfId="2904"/>
    <cellStyle name="Финансовый 2 3 4 4 5 2 2" xfId="6019"/>
    <cellStyle name="Финансовый 2 3 4 4 5 2 3" xfId="9412"/>
    <cellStyle name="Финансовый 2 3 4 4 5 3" xfId="4552"/>
    <cellStyle name="Финансовый 2 3 4 4 5 4" xfId="7941"/>
    <cellStyle name="Финансовый 2 3 4 4 6" xfId="2168"/>
    <cellStyle name="Финансовый 2 3 4 4 6 2" xfId="6200"/>
    <cellStyle name="Финансовый 2 3 4 4 6 3" xfId="8676"/>
    <cellStyle name="Финансовый 2 3 4 4 7" xfId="3635"/>
    <cellStyle name="Финансовый 2 3 4 4 7 2" xfId="6395"/>
    <cellStyle name="Финансовый 2 3 4 4 7 3" xfId="10143"/>
    <cellStyle name="Финансовый 2 3 4 4 8" xfId="6576"/>
    <cellStyle name="Финансовый 2 3 4 4 9" xfId="6773"/>
    <cellStyle name="Финансовый 2 3 4 5" xfId="863"/>
    <cellStyle name="Финансовый 2 3 4 5 2" xfId="1624"/>
    <cellStyle name="Финансовый 2 3 4 5 2 2" xfId="3095"/>
    <cellStyle name="Финансовый 2 3 4 5 2 2 2" xfId="9603"/>
    <cellStyle name="Финансовый 2 3 4 5 2 3" xfId="4743"/>
    <cellStyle name="Финансовый 2 3 4 5 2 4" xfId="8132"/>
    <cellStyle name="Финансовый 2 3 4 5 3" xfId="2359"/>
    <cellStyle name="Финансовый 2 3 4 5 3 2" xfId="5478"/>
    <cellStyle name="Финансовый 2 3 4 5 3 3" xfId="8867"/>
    <cellStyle name="Финансовый 2 3 4 5 4" xfId="4007"/>
    <cellStyle name="Финансовый 2 3 4 5 5" xfId="7396"/>
    <cellStyle name="Финансовый 2 3 4 6" xfId="1040"/>
    <cellStyle name="Финансовый 2 3 4 6 2" xfId="1801"/>
    <cellStyle name="Финансовый 2 3 4 6 2 2" xfId="3272"/>
    <cellStyle name="Финансовый 2 3 4 6 2 2 2" xfId="9780"/>
    <cellStyle name="Финансовый 2 3 4 6 2 3" xfId="4920"/>
    <cellStyle name="Финансовый 2 3 4 6 2 4" xfId="8309"/>
    <cellStyle name="Финансовый 2 3 4 6 3" xfId="2536"/>
    <cellStyle name="Финансовый 2 3 4 6 3 2" xfId="5659"/>
    <cellStyle name="Финансовый 2 3 4 6 3 3" xfId="9044"/>
    <cellStyle name="Финансовый 2 3 4 6 4" xfId="4184"/>
    <cellStyle name="Финансовый 2 3 4 6 5" xfId="7573"/>
    <cellStyle name="Финансовый 2 3 4 7" xfId="1228"/>
    <cellStyle name="Финансовый 2 3 4 7 2" xfId="1981"/>
    <cellStyle name="Финансовый 2 3 4 7 2 2" xfId="3452"/>
    <cellStyle name="Финансовый 2 3 4 7 2 2 2" xfId="9960"/>
    <cellStyle name="Финансовый 2 3 4 7 2 3" xfId="5100"/>
    <cellStyle name="Финансовый 2 3 4 7 2 4" xfId="8489"/>
    <cellStyle name="Финансовый 2 3 4 7 3" xfId="2716"/>
    <cellStyle name="Финансовый 2 3 4 7 3 2" xfId="5836"/>
    <cellStyle name="Финансовый 2 3 4 7 3 3" xfId="9224"/>
    <cellStyle name="Финансовый 2 3 4 7 4" xfId="4364"/>
    <cellStyle name="Финансовый 2 3 4 7 5" xfId="7753"/>
    <cellStyle name="Финансовый 2 3 4 8" xfId="1430"/>
    <cellStyle name="Финансовый 2 3 4 8 2" xfId="2901"/>
    <cellStyle name="Финансовый 2 3 4 8 2 2" xfId="6016"/>
    <cellStyle name="Финансовый 2 3 4 8 2 3" xfId="9409"/>
    <cellStyle name="Финансовый 2 3 4 8 3" xfId="4549"/>
    <cellStyle name="Финансовый 2 3 4 8 4" xfId="7938"/>
    <cellStyle name="Финансовый 2 3 4 9" xfId="2165"/>
    <cellStyle name="Финансовый 2 3 4 9 2" xfId="6197"/>
    <cellStyle name="Финансовый 2 3 4 9 3" xfId="8673"/>
    <cellStyle name="Финансовый 2 3 5" xfId="462"/>
    <cellStyle name="Финансовый 2 3 5 10" xfId="6988"/>
    <cellStyle name="Финансовый 2 3 5 11" xfId="5288"/>
    <cellStyle name="Финансовый 2 3 5 12" xfId="3817"/>
    <cellStyle name="Финансовый 2 3 5 13" xfId="7206"/>
    <cellStyle name="Финансовый 2 3 5 2" xfId="867"/>
    <cellStyle name="Финансовый 2 3 5 2 2" xfId="1628"/>
    <cellStyle name="Финансовый 2 3 5 2 2 2" xfId="3099"/>
    <cellStyle name="Финансовый 2 3 5 2 2 2 2" xfId="9607"/>
    <cellStyle name="Финансовый 2 3 5 2 2 3" xfId="4747"/>
    <cellStyle name="Финансовый 2 3 5 2 2 4" xfId="8136"/>
    <cellStyle name="Финансовый 2 3 5 2 3" xfId="2363"/>
    <cellStyle name="Финансовый 2 3 5 2 3 2" xfId="5482"/>
    <cellStyle name="Финансовый 2 3 5 2 3 3" xfId="8871"/>
    <cellStyle name="Финансовый 2 3 5 2 4" xfId="4011"/>
    <cellStyle name="Финансовый 2 3 5 2 5" xfId="7400"/>
    <cellStyle name="Финансовый 2 3 5 3" xfId="1044"/>
    <cellStyle name="Финансовый 2 3 5 3 2" xfId="1805"/>
    <cellStyle name="Финансовый 2 3 5 3 2 2" xfId="3276"/>
    <cellStyle name="Финансовый 2 3 5 3 2 2 2" xfId="9784"/>
    <cellStyle name="Финансовый 2 3 5 3 2 3" xfId="4924"/>
    <cellStyle name="Финансовый 2 3 5 3 2 4" xfId="8313"/>
    <cellStyle name="Финансовый 2 3 5 3 3" xfId="2540"/>
    <cellStyle name="Финансовый 2 3 5 3 3 2" xfId="5663"/>
    <cellStyle name="Финансовый 2 3 5 3 3 3" xfId="9048"/>
    <cellStyle name="Финансовый 2 3 5 3 4" xfId="4188"/>
    <cellStyle name="Финансовый 2 3 5 3 5" xfId="7577"/>
    <cellStyle name="Финансовый 2 3 5 4" xfId="1232"/>
    <cellStyle name="Финансовый 2 3 5 4 2" xfId="1985"/>
    <cellStyle name="Финансовый 2 3 5 4 2 2" xfId="3456"/>
    <cellStyle name="Финансовый 2 3 5 4 2 2 2" xfId="9964"/>
    <cellStyle name="Финансовый 2 3 5 4 2 3" xfId="5104"/>
    <cellStyle name="Финансовый 2 3 5 4 2 4" xfId="8493"/>
    <cellStyle name="Финансовый 2 3 5 4 3" xfId="2720"/>
    <cellStyle name="Финансовый 2 3 5 4 3 2" xfId="5840"/>
    <cellStyle name="Финансовый 2 3 5 4 3 3" xfId="9228"/>
    <cellStyle name="Финансовый 2 3 5 4 4" xfId="4368"/>
    <cellStyle name="Финансовый 2 3 5 4 5" xfId="7757"/>
    <cellStyle name="Финансовый 2 3 5 5" xfId="1434"/>
    <cellStyle name="Финансовый 2 3 5 5 2" xfId="2905"/>
    <cellStyle name="Финансовый 2 3 5 5 2 2" xfId="6020"/>
    <cellStyle name="Финансовый 2 3 5 5 2 3" xfId="9413"/>
    <cellStyle name="Финансовый 2 3 5 5 3" xfId="4553"/>
    <cellStyle name="Финансовый 2 3 5 5 4" xfId="7942"/>
    <cellStyle name="Финансовый 2 3 5 6" xfId="2169"/>
    <cellStyle name="Финансовый 2 3 5 6 2" xfId="6201"/>
    <cellStyle name="Финансовый 2 3 5 6 3" xfId="8677"/>
    <cellStyle name="Финансовый 2 3 5 7" xfId="3636"/>
    <cellStyle name="Финансовый 2 3 5 7 2" xfId="6396"/>
    <cellStyle name="Финансовый 2 3 5 7 3" xfId="10144"/>
    <cellStyle name="Финансовый 2 3 5 8" xfId="6577"/>
    <cellStyle name="Финансовый 2 3 5 9" xfId="6774"/>
    <cellStyle name="Финансовый 2 3 6" xfId="463"/>
    <cellStyle name="Финансовый 2 3 6 10" xfId="6989"/>
    <cellStyle name="Финансовый 2 3 6 11" xfId="5289"/>
    <cellStyle name="Финансовый 2 3 6 12" xfId="3818"/>
    <cellStyle name="Финансовый 2 3 6 13" xfId="7207"/>
    <cellStyle name="Финансовый 2 3 6 2" xfId="868"/>
    <cellStyle name="Финансовый 2 3 6 2 2" xfId="1629"/>
    <cellStyle name="Финансовый 2 3 6 2 2 2" xfId="3100"/>
    <cellStyle name="Финансовый 2 3 6 2 2 2 2" xfId="9608"/>
    <cellStyle name="Финансовый 2 3 6 2 2 3" xfId="4748"/>
    <cellStyle name="Финансовый 2 3 6 2 2 4" xfId="8137"/>
    <cellStyle name="Финансовый 2 3 6 2 3" xfId="2364"/>
    <cellStyle name="Финансовый 2 3 6 2 3 2" xfId="5483"/>
    <cellStyle name="Финансовый 2 3 6 2 3 3" xfId="8872"/>
    <cellStyle name="Финансовый 2 3 6 2 4" xfId="4012"/>
    <cellStyle name="Финансовый 2 3 6 2 5" xfId="7401"/>
    <cellStyle name="Финансовый 2 3 6 3" xfId="1045"/>
    <cellStyle name="Финансовый 2 3 6 3 2" xfId="1806"/>
    <cellStyle name="Финансовый 2 3 6 3 2 2" xfId="3277"/>
    <cellStyle name="Финансовый 2 3 6 3 2 2 2" xfId="9785"/>
    <cellStyle name="Финансовый 2 3 6 3 2 3" xfId="4925"/>
    <cellStyle name="Финансовый 2 3 6 3 2 4" xfId="8314"/>
    <cellStyle name="Финансовый 2 3 6 3 3" xfId="2541"/>
    <cellStyle name="Финансовый 2 3 6 3 3 2" xfId="5664"/>
    <cellStyle name="Финансовый 2 3 6 3 3 3" xfId="9049"/>
    <cellStyle name="Финансовый 2 3 6 3 4" xfId="4189"/>
    <cellStyle name="Финансовый 2 3 6 3 5" xfId="7578"/>
    <cellStyle name="Финансовый 2 3 6 4" xfId="1233"/>
    <cellStyle name="Финансовый 2 3 6 4 2" xfId="1986"/>
    <cellStyle name="Финансовый 2 3 6 4 2 2" xfId="3457"/>
    <cellStyle name="Финансовый 2 3 6 4 2 2 2" xfId="9965"/>
    <cellStyle name="Финансовый 2 3 6 4 2 3" xfId="5105"/>
    <cellStyle name="Финансовый 2 3 6 4 2 4" xfId="8494"/>
    <cellStyle name="Финансовый 2 3 6 4 3" xfId="2721"/>
    <cellStyle name="Финансовый 2 3 6 4 3 2" xfId="5841"/>
    <cellStyle name="Финансовый 2 3 6 4 3 3" xfId="9229"/>
    <cellStyle name="Финансовый 2 3 6 4 4" xfId="4369"/>
    <cellStyle name="Финансовый 2 3 6 4 5" xfId="7758"/>
    <cellStyle name="Финансовый 2 3 6 5" xfId="1435"/>
    <cellStyle name="Финансовый 2 3 6 5 2" xfId="2906"/>
    <cellStyle name="Финансовый 2 3 6 5 2 2" xfId="6021"/>
    <cellStyle name="Финансовый 2 3 6 5 2 3" xfId="9414"/>
    <cellStyle name="Финансовый 2 3 6 5 3" xfId="4554"/>
    <cellStyle name="Финансовый 2 3 6 5 4" xfId="7943"/>
    <cellStyle name="Финансовый 2 3 6 6" xfId="2170"/>
    <cellStyle name="Финансовый 2 3 6 6 2" xfId="6202"/>
    <cellStyle name="Финансовый 2 3 6 6 3" xfId="8678"/>
    <cellStyle name="Финансовый 2 3 6 7" xfId="3637"/>
    <cellStyle name="Финансовый 2 3 6 7 2" xfId="6397"/>
    <cellStyle name="Финансовый 2 3 6 7 3" xfId="10145"/>
    <cellStyle name="Финансовый 2 3 6 8" xfId="6578"/>
    <cellStyle name="Финансовый 2 3 6 9" xfId="6775"/>
    <cellStyle name="Финансовый 2 3 7" xfId="464"/>
    <cellStyle name="Финансовый 2 3 7 10" xfId="6990"/>
    <cellStyle name="Финансовый 2 3 7 11" xfId="5290"/>
    <cellStyle name="Финансовый 2 3 7 12" xfId="3819"/>
    <cellStyle name="Финансовый 2 3 7 13" xfId="7208"/>
    <cellStyle name="Финансовый 2 3 7 14" xfId="734"/>
    <cellStyle name="Финансовый 2 3 7 15" xfId="688"/>
    <cellStyle name="Финансовый 2 3 7 2" xfId="869"/>
    <cellStyle name="Финансовый 2 3 7 2 2" xfId="1630"/>
    <cellStyle name="Финансовый 2 3 7 2 2 2" xfId="3101"/>
    <cellStyle name="Финансовый 2 3 7 2 2 2 2" xfId="9609"/>
    <cellStyle name="Финансовый 2 3 7 2 2 3" xfId="4749"/>
    <cellStyle name="Финансовый 2 3 7 2 2 4" xfId="8138"/>
    <cellStyle name="Финансовый 2 3 7 2 3" xfId="2365"/>
    <cellStyle name="Финансовый 2 3 7 2 3 2" xfId="5484"/>
    <cellStyle name="Финансовый 2 3 7 2 3 3" xfId="8873"/>
    <cellStyle name="Финансовый 2 3 7 2 4" xfId="4013"/>
    <cellStyle name="Финансовый 2 3 7 2 5" xfId="7402"/>
    <cellStyle name="Финансовый 2 3 7 3" xfId="1046"/>
    <cellStyle name="Финансовый 2 3 7 3 2" xfId="1807"/>
    <cellStyle name="Финансовый 2 3 7 3 2 2" xfId="3278"/>
    <cellStyle name="Финансовый 2 3 7 3 2 2 2" xfId="9786"/>
    <cellStyle name="Финансовый 2 3 7 3 2 3" xfId="4926"/>
    <cellStyle name="Финансовый 2 3 7 3 2 4" xfId="8315"/>
    <cellStyle name="Финансовый 2 3 7 3 3" xfId="2542"/>
    <cellStyle name="Финансовый 2 3 7 3 3 2" xfId="5665"/>
    <cellStyle name="Финансовый 2 3 7 3 3 3" xfId="9050"/>
    <cellStyle name="Финансовый 2 3 7 3 4" xfId="4190"/>
    <cellStyle name="Финансовый 2 3 7 3 5" xfId="7579"/>
    <cellStyle name="Финансовый 2 3 7 4" xfId="1234"/>
    <cellStyle name="Финансовый 2 3 7 4 2" xfId="1987"/>
    <cellStyle name="Финансовый 2 3 7 4 2 2" xfId="3458"/>
    <cellStyle name="Финансовый 2 3 7 4 2 2 2" xfId="9966"/>
    <cellStyle name="Финансовый 2 3 7 4 2 3" xfId="5106"/>
    <cellStyle name="Финансовый 2 3 7 4 2 4" xfId="8495"/>
    <cellStyle name="Финансовый 2 3 7 4 3" xfId="2722"/>
    <cellStyle name="Финансовый 2 3 7 4 3 2" xfId="5842"/>
    <cellStyle name="Финансовый 2 3 7 4 3 3" xfId="9230"/>
    <cellStyle name="Финансовый 2 3 7 4 4" xfId="4370"/>
    <cellStyle name="Финансовый 2 3 7 4 5" xfId="7759"/>
    <cellStyle name="Финансовый 2 3 7 5" xfId="1436"/>
    <cellStyle name="Финансовый 2 3 7 5 2" xfId="2907"/>
    <cellStyle name="Финансовый 2 3 7 5 2 2" xfId="6022"/>
    <cellStyle name="Финансовый 2 3 7 5 2 3" xfId="9415"/>
    <cellStyle name="Финансовый 2 3 7 5 3" xfId="4555"/>
    <cellStyle name="Финансовый 2 3 7 5 4" xfId="7944"/>
    <cellStyle name="Финансовый 2 3 7 6" xfId="2171"/>
    <cellStyle name="Финансовый 2 3 7 6 2" xfId="6203"/>
    <cellStyle name="Финансовый 2 3 7 6 3" xfId="8679"/>
    <cellStyle name="Финансовый 2 3 7 7" xfId="3638"/>
    <cellStyle name="Финансовый 2 3 7 7 2" xfId="6398"/>
    <cellStyle name="Финансовый 2 3 7 7 3" xfId="10146"/>
    <cellStyle name="Финансовый 2 3 7 8" xfId="6579"/>
    <cellStyle name="Финансовый 2 3 7 9" xfId="6776"/>
    <cellStyle name="Финансовый 2 3 8" xfId="860"/>
    <cellStyle name="Финансовый 2 3 8 2" xfId="1621"/>
    <cellStyle name="Финансовый 2 3 8 2 2" xfId="3092"/>
    <cellStyle name="Финансовый 2 3 8 2 2 2" xfId="9600"/>
    <cellStyle name="Финансовый 2 3 8 2 3" xfId="4740"/>
    <cellStyle name="Финансовый 2 3 8 2 4" xfId="8129"/>
    <cellStyle name="Финансовый 2 3 8 3" xfId="2356"/>
    <cellStyle name="Финансовый 2 3 8 3 2" xfId="5475"/>
    <cellStyle name="Финансовый 2 3 8 3 3" xfId="8864"/>
    <cellStyle name="Финансовый 2 3 8 4" xfId="4004"/>
    <cellStyle name="Финансовый 2 3 8 5" xfId="7393"/>
    <cellStyle name="Финансовый 2 3 9" xfId="1037"/>
    <cellStyle name="Финансовый 2 3 9 2" xfId="1798"/>
    <cellStyle name="Финансовый 2 3 9 2 2" xfId="3269"/>
    <cellStyle name="Финансовый 2 3 9 2 2 2" xfId="9777"/>
    <cellStyle name="Финансовый 2 3 9 2 3" xfId="4917"/>
    <cellStyle name="Финансовый 2 3 9 2 4" xfId="8306"/>
    <cellStyle name="Финансовый 2 3 9 3" xfId="2533"/>
    <cellStyle name="Финансовый 2 3 9 3 2" xfId="5656"/>
    <cellStyle name="Финансовый 2 3 9 3 3" xfId="9041"/>
    <cellStyle name="Финансовый 2 3 9 4" xfId="4181"/>
    <cellStyle name="Финансовый 2 3 9 5" xfId="7570"/>
    <cellStyle name="Финансовый 2 4" xfId="465"/>
    <cellStyle name="Финансовый 2 4 10" xfId="3639"/>
    <cellStyle name="Финансовый 2 4 10 2" xfId="6399"/>
    <cellStyle name="Финансовый 2 4 10 3" xfId="10147"/>
    <cellStyle name="Финансовый 2 4 11" xfId="6580"/>
    <cellStyle name="Финансовый 2 4 12" xfId="6777"/>
    <cellStyle name="Финансовый 2 4 13" xfId="6991"/>
    <cellStyle name="Финансовый 2 4 14" xfId="5291"/>
    <cellStyle name="Финансовый 2 4 15" xfId="3820"/>
    <cellStyle name="Финансовый 2 4 16" xfId="7209"/>
    <cellStyle name="Финансовый 2 4 2" xfId="466"/>
    <cellStyle name="Финансовый 2 4 2 10" xfId="6992"/>
    <cellStyle name="Финансовый 2 4 2 11" xfId="5292"/>
    <cellStyle name="Финансовый 2 4 2 12" xfId="3821"/>
    <cellStyle name="Финансовый 2 4 2 13" xfId="7210"/>
    <cellStyle name="Финансовый 2 4 2 2" xfId="871"/>
    <cellStyle name="Финансовый 2 4 2 2 2" xfId="1632"/>
    <cellStyle name="Финансовый 2 4 2 2 2 2" xfId="3103"/>
    <cellStyle name="Финансовый 2 4 2 2 2 2 2" xfId="9611"/>
    <cellStyle name="Финансовый 2 4 2 2 2 3" xfId="4751"/>
    <cellStyle name="Финансовый 2 4 2 2 2 4" xfId="8140"/>
    <cellStyle name="Финансовый 2 4 2 2 3" xfId="2367"/>
    <cellStyle name="Финансовый 2 4 2 2 3 2" xfId="5486"/>
    <cellStyle name="Финансовый 2 4 2 2 3 3" xfId="8875"/>
    <cellStyle name="Финансовый 2 4 2 2 4" xfId="4015"/>
    <cellStyle name="Финансовый 2 4 2 2 5" xfId="7404"/>
    <cellStyle name="Финансовый 2 4 2 3" xfId="1048"/>
    <cellStyle name="Финансовый 2 4 2 3 2" xfId="1809"/>
    <cellStyle name="Финансовый 2 4 2 3 2 2" xfId="3280"/>
    <cellStyle name="Финансовый 2 4 2 3 2 2 2" xfId="9788"/>
    <cellStyle name="Финансовый 2 4 2 3 2 3" xfId="4928"/>
    <cellStyle name="Финансовый 2 4 2 3 2 4" xfId="8317"/>
    <cellStyle name="Финансовый 2 4 2 3 3" xfId="2544"/>
    <cellStyle name="Финансовый 2 4 2 3 3 2" xfId="5667"/>
    <cellStyle name="Финансовый 2 4 2 3 3 3" xfId="9052"/>
    <cellStyle name="Финансовый 2 4 2 3 4" xfId="4192"/>
    <cellStyle name="Финансовый 2 4 2 3 5" xfId="7581"/>
    <cellStyle name="Финансовый 2 4 2 4" xfId="1236"/>
    <cellStyle name="Финансовый 2 4 2 4 2" xfId="1989"/>
    <cellStyle name="Финансовый 2 4 2 4 2 2" xfId="3460"/>
    <cellStyle name="Финансовый 2 4 2 4 2 2 2" xfId="9968"/>
    <cellStyle name="Финансовый 2 4 2 4 2 3" xfId="5108"/>
    <cellStyle name="Финансовый 2 4 2 4 2 4" xfId="8497"/>
    <cellStyle name="Финансовый 2 4 2 4 3" xfId="2724"/>
    <cellStyle name="Финансовый 2 4 2 4 3 2" xfId="5844"/>
    <cellStyle name="Финансовый 2 4 2 4 3 3" xfId="9232"/>
    <cellStyle name="Финансовый 2 4 2 4 4" xfId="4372"/>
    <cellStyle name="Финансовый 2 4 2 4 5" xfId="7761"/>
    <cellStyle name="Финансовый 2 4 2 5" xfId="1438"/>
    <cellStyle name="Финансовый 2 4 2 5 2" xfId="2909"/>
    <cellStyle name="Финансовый 2 4 2 5 2 2" xfId="6024"/>
    <cellStyle name="Финансовый 2 4 2 5 2 3" xfId="9417"/>
    <cellStyle name="Финансовый 2 4 2 5 3" xfId="4557"/>
    <cellStyle name="Финансовый 2 4 2 5 4" xfId="7946"/>
    <cellStyle name="Финансовый 2 4 2 6" xfId="2173"/>
    <cellStyle name="Финансовый 2 4 2 6 2" xfId="6205"/>
    <cellStyle name="Финансовый 2 4 2 6 3" xfId="8681"/>
    <cellStyle name="Финансовый 2 4 2 7" xfId="3640"/>
    <cellStyle name="Финансовый 2 4 2 7 2" xfId="6400"/>
    <cellStyle name="Финансовый 2 4 2 7 3" xfId="10148"/>
    <cellStyle name="Финансовый 2 4 2 8" xfId="6581"/>
    <cellStyle name="Финансовый 2 4 2 9" xfId="6778"/>
    <cellStyle name="Финансовый 2 4 3" xfId="467"/>
    <cellStyle name="Финансовый 2 4 3 10" xfId="6993"/>
    <cellStyle name="Финансовый 2 4 3 11" xfId="5293"/>
    <cellStyle name="Финансовый 2 4 3 12" xfId="3822"/>
    <cellStyle name="Финансовый 2 4 3 13" xfId="7211"/>
    <cellStyle name="Финансовый 2 4 3 2" xfId="872"/>
    <cellStyle name="Финансовый 2 4 3 2 2" xfId="1633"/>
    <cellStyle name="Финансовый 2 4 3 2 2 2" xfId="3104"/>
    <cellStyle name="Финансовый 2 4 3 2 2 2 2" xfId="9612"/>
    <cellStyle name="Финансовый 2 4 3 2 2 3" xfId="4752"/>
    <cellStyle name="Финансовый 2 4 3 2 2 4" xfId="8141"/>
    <cellStyle name="Финансовый 2 4 3 2 3" xfId="2368"/>
    <cellStyle name="Финансовый 2 4 3 2 3 2" xfId="5487"/>
    <cellStyle name="Финансовый 2 4 3 2 3 3" xfId="8876"/>
    <cellStyle name="Финансовый 2 4 3 2 4" xfId="4016"/>
    <cellStyle name="Финансовый 2 4 3 2 5" xfId="7405"/>
    <cellStyle name="Финансовый 2 4 3 3" xfId="1049"/>
    <cellStyle name="Финансовый 2 4 3 3 2" xfId="1810"/>
    <cellStyle name="Финансовый 2 4 3 3 2 2" xfId="3281"/>
    <cellStyle name="Финансовый 2 4 3 3 2 2 2" xfId="9789"/>
    <cellStyle name="Финансовый 2 4 3 3 2 3" xfId="4929"/>
    <cellStyle name="Финансовый 2 4 3 3 2 4" xfId="8318"/>
    <cellStyle name="Финансовый 2 4 3 3 3" xfId="2545"/>
    <cellStyle name="Финансовый 2 4 3 3 3 2" xfId="5668"/>
    <cellStyle name="Финансовый 2 4 3 3 3 3" xfId="9053"/>
    <cellStyle name="Финансовый 2 4 3 3 4" xfId="4193"/>
    <cellStyle name="Финансовый 2 4 3 3 5" xfId="7582"/>
    <cellStyle name="Финансовый 2 4 3 4" xfId="1237"/>
    <cellStyle name="Финансовый 2 4 3 4 2" xfId="1990"/>
    <cellStyle name="Финансовый 2 4 3 4 2 2" xfId="3461"/>
    <cellStyle name="Финансовый 2 4 3 4 2 2 2" xfId="9969"/>
    <cellStyle name="Финансовый 2 4 3 4 2 3" xfId="5109"/>
    <cellStyle name="Финансовый 2 4 3 4 2 4" xfId="8498"/>
    <cellStyle name="Финансовый 2 4 3 4 3" xfId="2725"/>
    <cellStyle name="Финансовый 2 4 3 4 3 2" xfId="5845"/>
    <cellStyle name="Финансовый 2 4 3 4 3 3" xfId="9233"/>
    <cellStyle name="Финансовый 2 4 3 4 4" xfId="4373"/>
    <cellStyle name="Финансовый 2 4 3 4 5" xfId="7762"/>
    <cellStyle name="Финансовый 2 4 3 5" xfId="1439"/>
    <cellStyle name="Финансовый 2 4 3 5 2" xfId="2910"/>
    <cellStyle name="Финансовый 2 4 3 5 2 2" xfId="6025"/>
    <cellStyle name="Финансовый 2 4 3 5 2 3" xfId="9418"/>
    <cellStyle name="Финансовый 2 4 3 5 3" xfId="4558"/>
    <cellStyle name="Финансовый 2 4 3 5 4" xfId="7947"/>
    <cellStyle name="Финансовый 2 4 3 6" xfId="2174"/>
    <cellStyle name="Финансовый 2 4 3 6 2" xfId="6206"/>
    <cellStyle name="Финансовый 2 4 3 6 3" xfId="8682"/>
    <cellStyle name="Финансовый 2 4 3 7" xfId="3641"/>
    <cellStyle name="Финансовый 2 4 3 7 2" xfId="6401"/>
    <cellStyle name="Финансовый 2 4 3 7 3" xfId="10149"/>
    <cellStyle name="Финансовый 2 4 3 8" xfId="6582"/>
    <cellStyle name="Финансовый 2 4 3 9" xfId="6779"/>
    <cellStyle name="Финансовый 2 4 4" xfId="468"/>
    <cellStyle name="Финансовый 2 4 4 10" xfId="6994"/>
    <cellStyle name="Финансовый 2 4 4 11" xfId="5294"/>
    <cellStyle name="Финансовый 2 4 4 12" xfId="3823"/>
    <cellStyle name="Финансовый 2 4 4 13" xfId="7212"/>
    <cellStyle name="Финансовый 2 4 4 2" xfId="873"/>
    <cellStyle name="Финансовый 2 4 4 2 2" xfId="1634"/>
    <cellStyle name="Финансовый 2 4 4 2 2 2" xfId="3105"/>
    <cellStyle name="Финансовый 2 4 4 2 2 2 2" xfId="9613"/>
    <cellStyle name="Финансовый 2 4 4 2 2 3" xfId="4753"/>
    <cellStyle name="Финансовый 2 4 4 2 2 4" xfId="8142"/>
    <cellStyle name="Финансовый 2 4 4 2 3" xfId="2369"/>
    <cellStyle name="Финансовый 2 4 4 2 3 2" xfId="5488"/>
    <cellStyle name="Финансовый 2 4 4 2 3 3" xfId="8877"/>
    <cellStyle name="Финансовый 2 4 4 2 4" xfId="4017"/>
    <cellStyle name="Финансовый 2 4 4 2 5" xfId="7406"/>
    <cellStyle name="Финансовый 2 4 4 3" xfId="1050"/>
    <cellStyle name="Финансовый 2 4 4 3 2" xfId="1811"/>
    <cellStyle name="Финансовый 2 4 4 3 2 2" xfId="3282"/>
    <cellStyle name="Финансовый 2 4 4 3 2 2 2" xfId="9790"/>
    <cellStyle name="Финансовый 2 4 4 3 2 3" xfId="4930"/>
    <cellStyle name="Финансовый 2 4 4 3 2 4" xfId="8319"/>
    <cellStyle name="Финансовый 2 4 4 3 3" xfId="2546"/>
    <cellStyle name="Финансовый 2 4 4 3 3 2" xfId="5669"/>
    <cellStyle name="Финансовый 2 4 4 3 3 3" xfId="9054"/>
    <cellStyle name="Финансовый 2 4 4 3 4" xfId="4194"/>
    <cellStyle name="Финансовый 2 4 4 3 5" xfId="7583"/>
    <cellStyle name="Финансовый 2 4 4 4" xfId="1238"/>
    <cellStyle name="Финансовый 2 4 4 4 2" xfId="1991"/>
    <cellStyle name="Финансовый 2 4 4 4 2 2" xfId="3462"/>
    <cellStyle name="Финансовый 2 4 4 4 2 2 2" xfId="9970"/>
    <cellStyle name="Финансовый 2 4 4 4 2 3" xfId="5110"/>
    <cellStyle name="Финансовый 2 4 4 4 2 4" xfId="8499"/>
    <cellStyle name="Финансовый 2 4 4 4 3" xfId="2726"/>
    <cellStyle name="Финансовый 2 4 4 4 3 2" xfId="5846"/>
    <cellStyle name="Финансовый 2 4 4 4 3 3" xfId="9234"/>
    <cellStyle name="Финансовый 2 4 4 4 4" xfId="4374"/>
    <cellStyle name="Финансовый 2 4 4 4 5" xfId="7763"/>
    <cellStyle name="Финансовый 2 4 4 5" xfId="1440"/>
    <cellStyle name="Финансовый 2 4 4 5 2" xfId="2911"/>
    <cellStyle name="Финансовый 2 4 4 5 2 2" xfId="6026"/>
    <cellStyle name="Финансовый 2 4 4 5 2 3" xfId="9419"/>
    <cellStyle name="Финансовый 2 4 4 5 3" xfId="4559"/>
    <cellStyle name="Финансовый 2 4 4 5 4" xfId="7948"/>
    <cellStyle name="Финансовый 2 4 4 6" xfId="2175"/>
    <cellStyle name="Финансовый 2 4 4 6 2" xfId="6207"/>
    <cellStyle name="Финансовый 2 4 4 6 3" xfId="8683"/>
    <cellStyle name="Финансовый 2 4 4 7" xfId="3642"/>
    <cellStyle name="Финансовый 2 4 4 7 2" xfId="6402"/>
    <cellStyle name="Финансовый 2 4 4 7 3" xfId="10150"/>
    <cellStyle name="Финансовый 2 4 4 8" xfId="6583"/>
    <cellStyle name="Финансовый 2 4 4 9" xfId="6780"/>
    <cellStyle name="Финансовый 2 4 5" xfId="870"/>
    <cellStyle name="Финансовый 2 4 5 2" xfId="1631"/>
    <cellStyle name="Финансовый 2 4 5 2 2" xfId="3102"/>
    <cellStyle name="Финансовый 2 4 5 2 2 2" xfId="9610"/>
    <cellStyle name="Финансовый 2 4 5 2 3" xfId="4750"/>
    <cellStyle name="Финансовый 2 4 5 2 4" xfId="8139"/>
    <cellStyle name="Финансовый 2 4 5 3" xfId="2366"/>
    <cellStyle name="Финансовый 2 4 5 3 2" xfId="5485"/>
    <cellStyle name="Финансовый 2 4 5 3 3" xfId="8874"/>
    <cellStyle name="Финансовый 2 4 5 4" xfId="4014"/>
    <cellStyle name="Финансовый 2 4 5 5" xfId="7403"/>
    <cellStyle name="Финансовый 2 4 6" xfId="1047"/>
    <cellStyle name="Финансовый 2 4 6 2" xfId="1808"/>
    <cellStyle name="Финансовый 2 4 6 2 2" xfId="3279"/>
    <cellStyle name="Финансовый 2 4 6 2 2 2" xfId="9787"/>
    <cellStyle name="Финансовый 2 4 6 2 3" xfId="4927"/>
    <cellStyle name="Финансовый 2 4 6 2 4" xfId="8316"/>
    <cellStyle name="Финансовый 2 4 6 3" xfId="2543"/>
    <cellStyle name="Финансовый 2 4 6 3 2" xfId="5666"/>
    <cellStyle name="Финансовый 2 4 6 3 3" xfId="9051"/>
    <cellStyle name="Финансовый 2 4 6 4" xfId="4191"/>
    <cellStyle name="Финансовый 2 4 6 5" xfId="7580"/>
    <cellStyle name="Финансовый 2 4 7" xfId="1235"/>
    <cellStyle name="Финансовый 2 4 7 2" xfId="1988"/>
    <cellStyle name="Финансовый 2 4 7 2 2" xfId="3459"/>
    <cellStyle name="Финансовый 2 4 7 2 2 2" xfId="9967"/>
    <cellStyle name="Финансовый 2 4 7 2 3" xfId="5107"/>
    <cellStyle name="Финансовый 2 4 7 2 4" xfId="8496"/>
    <cellStyle name="Финансовый 2 4 7 3" xfId="2723"/>
    <cellStyle name="Финансовый 2 4 7 3 2" xfId="5843"/>
    <cellStyle name="Финансовый 2 4 7 3 3" xfId="9231"/>
    <cellStyle name="Финансовый 2 4 7 4" xfId="4371"/>
    <cellStyle name="Финансовый 2 4 7 5" xfId="7760"/>
    <cellStyle name="Финансовый 2 4 8" xfId="1437"/>
    <cellStyle name="Финансовый 2 4 8 2" xfId="2908"/>
    <cellStyle name="Финансовый 2 4 8 2 2" xfId="6023"/>
    <cellStyle name="Финансовый 2 4 8 2 3" xfId="9416"/>
    <cellStyle name="Финансовый 2 4 8 3" xfId="4556"/>
    <cellStyle name="Финансовый 2 4 8 4" xfId="7945"/>
    <cellStyle name="Финансовый 2 4 9" xfId="2172"/>
    <cellStyle name="Финансовый 2 4 9 2" xfId="6204"/>
    <cellStyle name="Финансовый 2 4 9 3" xfId="8680"/>
    <cellStyle name="Финансовый 2 5" xfId="469"/>
    <cellStyle name="Финансовый 2 5 10" xfId="6995"/>
    <cellStyle name="Финансовый 2 5 11" xfId="5295"/>
    <cellStyle name="Финансовый 2 5 12" xfId="3824"/>
    <cellStyle name="Финансовый 2 5 13" xfId="7213"/>
    <cellStyle name="Финансовый 2 5 2" xfId="874"/>
    <cellStyle name="Финансовый 2 5 2 2" xfId="1635"/>
    <cellStyle name="Финансовый 2 5 2 2 2" xfId="3106"/>
    <cellStyle name="Финансовый 2 5 2 2 2 2" xfId="9614"/>
    <cellStyle name="Финансовый 2 5 2 2 3" xfId="4754"/>
    <cellStyle name="Финансовый 2 5 2 2 4" xfId="8143"/>
    <cellStyle name="Финансовый 2 5 2 3" xfId="2370"/>
    <cellStyle name="Финансовый 2 5 2 3 2" xfId="5489"/>
    <cellStyle name="Финансовый 2 5 2 3 3" xfId="8878"/>
    <cellStyle name="Финансовый 2 5 2 4" xfId="4018"/>
    <cellStyle name="Финансовый 2 5 2 5" xfId="7407"/>
    <cellStyle name="Финансовый 2 5 3" xfId="1051"/>
    <cellStyle name="Финансовый 2 5 3 2" xfId="1812"/>
    <cellStyle name="Финансовый 2 5 3 2 2" xfId="3283"/>
    <cellStyle name="Финансовый 2 5 3 2 2 2" xfId="9791"/>
    <cellStyle name="Финансовый 2 5 3 2 3" xfId="4931"/>
    <cellStyle name="Финансовый 2 5 3 2 4" xfId="8320"/>
    <cellStyle name="Финансовый 2 5 3 3" xfId="2547"/>
    <cellStyle name="Финансовый 2 5 3 3 2" xfId="5670"/>
    <cellStyle name="Финансовый 2 5 3 3 3" xfId="9055"/>
    <cellStyle name="Финансовый 2 5 3 4" xfId="4195"/>
    <cellStyle name="Финансовый 2 5 3 5" xfId="7584"/>
    <cellStyle name="Финансовый 2 5 4" xfId="1239"/>
    <cellStyle name="Финансовый 2 5 4 2" xfId="1992"/>
    <cellStyle name="Финансовый 2 5 4 2 2" xfId="3463"/>
    <cellStyle name="Финансовый 2 5 4 2 2 2" xfId="9971"/>
    <cellStyle name="Финансовый 2 5 4 2 3" xfId="5111"/>
    <cellStyle name="Финансовый 2 5 4 2 4" xfId="8500"/>
    <cellStyle name="Финансовый 2 5 4 3" xfId="2727"/>
    <cellStyle name="Финансовый 2 5 4 3 2" xfId="5847"/>
    <cellStyle name="Финансовый 2 5 4 3 3" xfId="9235"/>
    <cellStyle name="Финансовый 2 5 4 4" xfId="4375"/>
    <cellStyle name="Финансовый 2 5 4 5" xfId="7764"/>
    <cellStyle name="Финансовый 2 5 5" xfId="1441"/>
    <cellStyle name="Финансовый 2 5 5 2" xfId="2912"/>
    <cellStyle name="Финансовый 2 5 5 2 2" xfId="6027"/>
    <cellStyle name="Финансовый 2 5 5 2 3" xfId="9420"/>
    <cellStyle name="Финансовый 2 5 5 3" xfId="4560"/>
    <cellStyle name="Финансовый 2 5 5 4" xfId="7949"/>
    <cellStyle name="Финансовый 2 5 6" xfId="2176"/>
    <cellStyle name="Финансовый 2 5 6 2" xfId="6208"/>
    <cellStyle name="Финансовый 2 5 6 3" xfId="8684"/>
    <cellStyle name="Финансовый 2 5 7" xfId="3643"/>
    <cellStyle name="Финансовый 2 5 7 2" xfId="6403"/>
    <cellStyle name="Финансовый 2 5 7 3" xfId="10151"/>
    <cellStyle name="Финансовый 2 5 8" xfId="6584"/>
    <cellStyle name="Финансовый 2 5 9" xfId="6781"/>
    <cellStyle name="Финансовый 2 6" xfId="470"/>
    <cellStyle name="Финансовый 2 6 10" xfId="6996"/>
    <cellStyle name="Финансовый 2 6 11" xfId="5296"/>
    <cellStyle name="Финансовый 2 6 12" xfId="3825"/>
    <cellStyle name="Финансовый 2 6 13" xfId="7214"/>
    <cellStyle name="Финансовый 2 6 2" xfId="875"/>
    <cellStyle name="Финансовый 2 6 2 2" xfId="1636"/>
    <cellStyle name="Финансовый 2 6 2 2 2" xfId="3107"/>
    <cellStyle name="Финансовый 2 6 2 2 2 2" xfId="9615"/>
    <cellStyle name="Финансовый 2 6 2 2 3" xfId="4755"/>
    <cellStyle name="Финансовый 2 6 2 2 4" xfId="8144"/>
    <cellStyle name="Финансовый 2 6 2 3" xfId="2371"/>
    <cellStyle name="Финансовый 2 6 2 3 2" xfId="5490"/>
    <cellStyle name="Финансовый 2 6 2 3 3" xfId="8879"/>
    <cellStyle name="Финансовый 2 6 2 4" xfId="4019"/>
    <cellStyle name="Финансовый 2 6 2 5" xfId="7408"/>
    <cellStyle name="Финансовый 2 6 3" xfId="1052"/>
    <cellStyle name="Финансовый 2 6 3 2" xfId="1813"/>
    <cellStyle name="Финансовый 2 6 3 2 2" xfId="3284"/>
    <cellStyle name="Финансовый 2 6 3 2 2 2" xfId="9792"/>
    <cellStyle name="Финансовый 2 6 3 2 3" xfId="4932"/>
    <cellStyle name="Финансовый 2 6 3 2 4" xfId="8321"/>
    <cellStyle name="Финансовый 2 6 3 3" xfId="2548"/>
    <cellStyle name="Финансовый 2 6 3 3 2" xfId="5671"/>
    <cellStyle name="Финансовый 2 6 3 3 3" xfId="9056"/>
    <cellStyle name="Финансовый 2 6 3 4" xfId="4196"/>
    <cellStyle name="Финансовый 2 6 3 5" xfId="7585"/>
    <cellStyle name="Финансовый 2 6 4" xfId="1240"/>
    <cellStyle name="Финансовый 2 6 4 2" xfId="1993"/>
    <cellStyle name="Финансовый 2 6 4 2 2" xfId="3464"/>
    <cellStyle name="Финансовый 2 6 4 2 2 2" xfId="9972"/>
    <cellStyle name="Финансовый 2 6 4 2 3" xfId="5112"/>
    <cellStyle name="Финансовый 2 6 4 2 4" xfId="8501"/>
    <cellStyle name="Финансовый 2 6 4 3" xfId="2728"/>
    <cellStyle name="Финансовый 2 6 4 3 2" xfId="5848"/>
    <cellStyle name="Финансовый 2 6 4 3 3" xfId="9236"/>
    <cellStyle name="Финансовый 2 6 4 4" xfId="4376"/>
    <cellStyle name="Финансовый 2 6 4 5" xfId="7765"/>
    <cellStyle name="Финансовый 2 6 5" xfId="1442"/>
    <cellStyle name="Финансовый 2 6 5 2" xfId="2913"/>
    <cellStyle name="Финансовый 2 6 5 2 2" xfId="6028"/>
    <cellStyle name="Финансовый 2 6 5 2 3" xfId="9421"/>
    <cellStyle name="Финансовый 2 6 5 3" xfId="4561"/>
    <cellStyle name="Финансовый 2 6 5 4" xfId="7950"/>
    <cellStyle name="Финансовый 2 6 6" xfId="2177"/>
    <cellStyle name="Финансовый 2 6 6 2" xfId="6209"/>
    <cellStyle name="Финансовый 2 6 6 3" xfId="8685"/>
    <cellStyle name="Финансовый 2 6 7" xfId="3644"/>
    <cellStyle name="Финансовый 2 6 7 2" xfId="6404"/>
    <cellStyle name="Финансовый 2 6 7 3" xfId="10152"/>
    <cellStyle name="Финансовый 2 6 8" xfId="6585"/>
    <cellStyle name="Финансовый 2 6 9" xfId="6782"/>
    <cellStyle name="Финансовый 2 7" xfId="471"/>
    <cellStyle name="Финансовый 2 7 10" xfId="6997"/>
    <cellStyle name="Финансовый 2 7 11" xfId="5297"/>
    <cellStyle name="Финансовый 2 7 12" xfId="3826"/>
    <cellStyle name="Финансовый 2 7 13" xfId="7215"/>
    <cellStyle name="Финансовый 2 7 2" xfId="876"/>
    <cellStyle name="Финансовый 2 7 2 2" xfId="1637"/>
    <cellStyle name="Финансовый 2 7 2 2 2" xfId="3108"/>
    <cellStyle name="Финансовый 2 7 2 2 2 2" xfId="9616"/>
    <cellStyle name="Финансовый 2 7 2 2 3" xfId="4756"/>
    <cellStyle name="Финансовый 2 7 2 2 4" xfId="8145"/>
    <cellStyle name="Финансовый 2 7 2 3" xfId="2372"/>
    <cellStyle name="Финансовый 2 7 2 3 2" xfId="5491"/>
    <cellStyle name="Финансовый 2 7 2 3 3" xfId="8880"/>
    <cellStyle name="Финансовый 2 7 2 4" xfId="4020"/>
    <cellStyle name="Финансовый 2 7 2 5" xfId="7409"/>
    <cellStyle name="Финансовый 2 7 3" xfId="1053"/>
    <cellStyle name="Финансовый 2 7 3 2" xfId="1814"/>
    <cellStyle name="Финансовый 2 7 3 2 2" xfId="3285"/>
    <cellStyle name="Финансовый 2 7 3 2 2 2" xfId="9793"/>
    <cellStyle name="Финансовый 2 7 3 2 3" xfId="4933"/>
    <cellStyle name="Финансовый 2 7 3 2 4" xfId="8322"/>
    <cellStyle name="Финансовый 2 7 3 3" xfId="2549"/>
    <cellStyle name="Финансовый 2 7 3 3 2" xfId="5672"/>
    <cellStyle name="Финансовый 2 7 3 3 3" xfId="9057"/>
    <cellStyle name="Финансовый 2 7 3 4" xfId="4197"/>
    <cellStyle name="Финансовый 2 7 3 5" xfId="7586"/>
    <cellStyle name="Финансовый 2 7 4" xfId="1241"/>
    <cellStyle name="Финансовый 2 7 4 2" xfId="1994"/>
    <cellStyle name="Финансовый 2 7 4 2 2" xfId="3465"/>
    <cellStyle name="Финансовый 2 7 4 2 2 2" xfId="9973"/>
    <cellStyle name="Финансовый 2 7 4 2 3" xfId="5113"/>
    <cellStyle name="Финансовый 2 7 4 2 4" xfId="8502"/>
    <cellStyle name="Финансовый 2 7 4 3" xfId="2729"/>
    <cellStyle name="Финансовый 2 7 4 3 2" xfId="5849"/>
    <cellStyle name="Финансовый 2 7 4 3 3" xfId="9237"/>
    <cellStyle name="Финансовый 2 7 4 4" xfId="4377"/>
    <cellStyle name="Финансовый 2 7 4 5" xfId="7766"/>
    <cellStyle name="Финансовый 2 7 5" xfId="1443"/>
    <cellStyle name="Финансовый 2 7 5 2" xfId="2914"/>
    <cellStyle name="Финансовый 2 7 5 2 2" xfId="6029"/>
    <cellStyle name="Финансовый 2 7 5 2 3" xfId="9422"/>
    <cellStyle name="Финансовый 2 7 5 3" xfId="4562"/>
    <cellStyle name="Финансовый 2 7 5 4" xfId="7951"/>
    <cellStyle name="Финансовый 2 7 6" xfId="2178"/>
    <cellStyle name="Финансовый 2 7 6 2" xfId="6210"/>
    <cellStyle name="Финансовый 2 7 6 3" xfId="8686"/>
    <cellStyle name="Финансовый 2 7 7" xfId="3645"/>
    <cellStyle name="Финансовый 2 7 7 2" xfId="6405"/>
    <cellStyle name="Финансовый 2 7 7 3" xfId="10153"/>
    <cellStyle name="Финансовый 2 7 8" xfId="6586"/>
    <cellStyle name="Финансовый 2 7 9" xfId="6783"/>
    <cellStyle name="Финансовый 2 8" xfId="472"/>
    <cellStyle name="Финансовый 2 8 10" xfId="6998"/>
    <cellStyle name="Финансовый 2 8 11" xfId="5298"/>
    <cellStyle name="Финансовый 2 8 12" xfId="3827"/>
    <cellStyle name="Финансовый 2 8 13" xfId="7216"/>
    <cellStyle name="Финансовый 2 8 2" xfId="877"/>
    <cellStyle name="Финансовый 2 8 2 2" xfId="1638"/>
    <cellStyle name="Финансовый 2 8 2 2 2" xfId="3109"/>
    <cellStyle name="Финансовый 2 8 2 2 2 2" xfId="9617"/>
    <cellStyle name="Финансовый 2 8 2 2 3" xfId="4757"/>
    <cellStyle name="Финансовый 2 8 2 2 4" xfId="8146"/>
    <cellStyle name="Финансовый 2 8 2 3" xfId="2373"/>
    <cellStyle name="Финансовый 2 8 2 3 2" xfId="5492"/>
    <cellStyle name="Финансовый 2 8 2 3 3" xfId="8881"/>
    <cellStyle name="Финансовый 2 8 2 4" xfId="4021"/>
    <cellStyle name="Финансовый 2 8 2 5" xfId="7410"/>
    <cellStyle name="Финансовый 2 8 3" xfId="1054"/>
    <cellStyle name="Финансовый 2 8 3 2" xfId="1815"/>
    <cellStyle name="Финансовый 2 8 3 2 2" xfId="3286"/>
    <cellStyle name="Финансовый 2 8 3 2 2 2" xfId="9794"/>
    <cellStyle name="Финансовый 2 8 3 2 3" xfId="4934"/>
    <cellStyle name="Финансовый 2 8 3 2 4" xfId="8323"/>
    <cellStyle name="Финансовый 2 8 3 3" xfId="2550"/>
    <cellStyle name="Финансовый 2 8 3 3 2" xfId="5673"/>
    <cellStyle name="Финансовый 2 8 3 3 3" xfId="9058"/>
    <cellStyle name="Финансовый 2 8 3 4" xfId="4198"/>
    <cellStyle name="Финансовый 2 8 3 5" xfId="7587"/>
    <cellStyle name="Финансовый 2 8 4" xfId="1242"/>
    <cellStyle name="Финансовый 2 8 4 2" xfId="1995"/>
    <cellStyle name="Финансовый 2 8 4 2 2" xfId="3466"/>
    <cellStyle name="Финансовый 2 8 4 2 2 2" xfId="9974"/>
    <cellStyle name="Финансовый 2 8 4 2 3" xfId="5114"/>
    <cellStyle name="Финансовый 2 8 4 2 4" xfId="8503"/>
    <cellStyle name="Финансовый 2 8 4 3" xfId="2730"/>
    <cellStyle name="Финансовый 2 8 4 3 2" xfId="5850"/>
    <cellStyle name="Финансовый 2 8 4 3 3" xfId="9238"/>
    <cellStyle name="Финансовый 2 8 4 4" xfId="4378"/>
    <cellStyle name="Финансовый 2 8 4 5" xfId="7767"/>
    <cellStyle name="Финансовый 2 8 5" xfId="1444"/>
    <cellStyle name="Финансовый 2 8 5 2" xfId="2915"/>
    <cellStyle name="Финансовый 2 8 5 2 2" xfId="6030"/>
    <cellStyle name="Финансовый 2 8 5 2 3" xfId="9423"/>
    <cellStyle name="Финансовый 2 8 5 3" xfId="4563"/>
    <cellStyle name="Финансовый 2 8 5 4" xfId="7952"/>
    <cellStyle name="Финансовый 2 8 6" xfId="2179"/>
    <cellStyle name="Финансовый 2 8 6 2" xfId="6211"/>
    <cellStyle name="Финансовый 2 8 6 3" xfId="8687"/>
    <cellStyle name="Финансовый 2 8 7" xfId="3646"/>
    <cellStyle name="Финансовый 2 8 7 2" xfId="6406"/>
    <cellStyle name="Финансовый 2 8 7 3" xfId="10154"/>
    <cellStyle name="Финансовый 2 8 8" xfId="6587"/>
    <cellStyle name="Финансовый 2 8 9" xfId="6784"/>
    <cellStyle name="Финансовый 2 9" xfId="732"/>
    <cellStyle name="Финансовый 3" xfId="473"/>
    <cellStyle name="Финансовый 3 10" xfId="1055"/>
    <cellStyle name="Финансовый 3 10 2" xfId="1816"/>
    <cellStyle name="Финансовый 3 10 2 2" xfId="3287"/>
    <cellStyle name="Финансовый 3 10 2 2 2" xfId="9795"/>
    <cellStyle name="Финансовый 3 10 2 3" xfId="4935"/>
    <cellStyle name="Финансовый 3 10 2 4" xfId="8324"/>
    <cellStyle name="Финансовый 3 10 3" xfId="2551"/>
    <cellStyle name="Финансовый 3 10 3 2" xfId="5674"/>
    <cellStyle name="Финансовый 3 10 3 3" xfId="9059"/>
    <cellStyle name="Финансовый 3 10 4" xfId="4199"/>
    <cellStyle name="Финансовый 3 10 5" xfId="7588"/>
    <cellStyle name="Финансовый 3 11" xfId="1243"/>
    <cellStyle name="Финансовый 3 11 2" xfId="1996"/>
    <cellStyle name="Финансовый 3 11 2 2" xfId="3467"/>
    <cellStyle name="Финансовый 3 11 2 2 2" xfId="9975"/>
    <cellStyle name="Финансовый 3 11 2 3" xfId="5115"/>
    <cellStyle name="Финансовый 3 11 2 4" xfId="8504"/>
    <cellStyle name="Финансовый 3 11 3" xfId="2731"/>
    <cellStyle name="Финансовый 3 11 3 2" xfId="5851"/>
    <cellStyle name="Финансовый 3 11 3 3" xfId="9239"/>
    <cellStyle name="Финансовый 3 11 4" xfId="4379"/>
    <cellStyle name="Финансовый 3 11 5" xfId="7768"/>
    <cellStyle name="Финансовый 3 12" xfId="1445"/>
    <cellStyle name="Финансовый 3 12 2" xfId="2916"/>
    <cellStyle name="Финансовый 3 12 2 2" xfId="6031"/>
    <cellStyle name="Финансовый 3 12 2 3" xfId="9424"/>
    <cellStyle name="Финансовый 3 12 3" xfId="4564"/>
    <cellStyle name="Финансовый 3 12 4" xfId="7953"/>
    <cellStyle name="Финансовый 3 13" xfId="2180"/>
    <cellStyle name="Финансовый 3 13 2" xfId="6212"/>
    <cellStyle name="Финансовый 3 13 3" xfId="8688"/>
    <cellStyle name="Финансовый 3 14" xfId="3647"/>
    <cellStyle name="Финансовый 3 14 2" xfId="6407"/>
    <cellStyle name="Финансовый 3 14 3" xfId="10155"/>
    <cellStyle name="Финансовый 3 15" xfId="6588"/>
    <cellStyle name="Финансовый 3 16" xfId="6785"/>
    <cellStyle name="Финансовый 3 17" xfId="6999"/>
    <cellStyle name="Финансовый 3 18" xfId="5299"/>
    <cellStyle name="Финансовый 3 19" xfId="3828"/>
    <cellStyle name="Финансовый 3 2" xfId="474"/>
    <cellStyle name="Финансовый 3 2 10" xfId="1244"/>
    <cellStyle name="Финансовый 3 2 10 2" xfId="1997"/>
    <cellStyle name="Финансовый 3 2 10 2 2" xfId="3468"/>
    <cellStyle name="Финансовый 3 2 10 2 2 2" xfId="9976"/>
    <cellStyle name="Финансовый 3 2 10 2 3" xfId="5116"/>
    <cellStyle name="Финансовый 3 2 10 2 4" xfId="8505"/>
    <cellStyle name="Финансовый 3 2 10 3" xfId="2732"/>
    <cellStyle name="Финансовый 3 2 10 3 2" xfId="5852"/>
    <cellStyle name="Финансовый 3 2 10 3 3" xfId="9240"/>
    <cellStyle name="Финансовый 3 2 10 4" xfId="4380"/>
    <cellStyle name="Финансовый 3 2 10 5" xfId="7769"/>
    <cellStyle name="Финансовый 3 2 11" xfId="1446"/>
    <cellStyle name="Финансовый 3 2 11 2" xfId="2917"/>
    <cellStyle name="Финансовый 3 2 11 2 2" xfId="6032"/>
    <cellStyle name="Финансовый 3 2 11 2 3" xfId="9425"/>
    <cellStyle name="Финансовый 3 2 11 3" xfId="4565"/>
    <cellStyle name="Финансовый 3 2 11 4" xfId="7954"/>
    <cellStyle name="Финансовый 3 2 12" xfId="2181"/>
    <cellStyle name="Финансовый 3 2 12 2" xfId="6213"/>
    <cellStyle name="Финансовый 3 2 12 3" xfId="8689"/>
    <cellStyle name="Финансовый 3 2 13" xfId="3648"/>
    <cellStyle name="Финансовый 3 2 13 2" xfId="6408"/>
    <cellStyle name="Финансовый 3 2 13 3" xfId="10156"/>
    <cellStyle name="Финансовый 3 2 14" xfId="6589"/>
    <cellStyle name="Финансовый 3 2 15" xfId="6786"/>
    <cellStyle name="Финансовый 3 2 16" xfId="7000"/>
    <cellStyle name="Финансовый 3 2 17" xfId="5300"/>
    <cellStyle name="Финансовый 3 2 18" xfId="3829"/>
    <cellStyle name="Финансовый 3 2 19" xfId="7218"/>
    <cellStyle name="Финансовый 3 2 2" xfId="475"/>
    <cellStyle name="Финансовый 3 2 2 10" xfId="2182"/>
    <cellStyle name="Финансовый 3 2 2 10 2" xfId="6214"/>
    <cellStyle name="Финансовый 3 2 2 10 3" xfId="8690"/>
    <cellStyle name="Финансовый 3 2 2 11" xfId="3649"/>
    <cellStyle name="Финансовый 3 2 2 11 2" xfId="6409"/>
    <cellStyle name="Финансовый 3 2 2 11 3" xfId="10157"/>
    <cellStyle name="Финансовый 3 2 2 12" xfId="6590"/>
    <cellStyle name="Финансовый 3 2 2 13" xfId="6787"/>
    <cellStyle name="Финансовый 3 2 2 14" xfId="7001"/>
    <cellStyle name="Финансовый 3 2 2 15" xfId="5301"/>
    <cellStyle name="Финансовый 3 2 2 16" xfId="3830"/>
    <cellStyle name="Финансовый 3 2 2 17" xfId="7219"/>
    <cellStyle name="Финансовый 3 2 2 2" xfId="476"/>
    <cellStyle name="Финансовый 3 2 2 2 10" xfId="3650"/>
    <cellStyle name="Финансовый 3 2 2 2 10 2" xfId="6410"/>
    <cellStyle name="Финансовый 3 2 2 2 10 3" xfId="10158"/>
    <cellStyle name="Финансовый 3 2 2 2 11" xfId="6591"/>
    <cellStyle name="Финансовый 3 2 2 2 12" xfId="6788"/>
    <cellStyle name="Финансовый 3 2 2 2 13" xfId="7002"/>
    <cellStyle name="Финансовый 3 2 2 2 14" xfId="5302"/>
    <cellStyle name="Финансовый 3 2 2 2 15" xfId="3831"/>
    <cellStyle name="Финансовый 3 2 2 2 16" xfId="7220"/>
    <cellStyle name="Финансовый 3 2 2 2 2" xfId="477"/>
    <cellStyle name="Финансовый 3 2 2 2 2 10" xfId="7003"/>
    <cellStyle name="Финансовый 3 2 2 2 2 11" xfId="5303"/>
    <cellStyle name="Финансовый 3 2 2 2 2 12" xfId="3832"/>
    <cellStyle name="Финансовый 3 2 2 2 2 13" xfId="7221"/>
    <cellStyle name="Финансовый 3 2 2 2 2 2" xfId="882"/>
    <cellStyle name="Финансовый 3 2 2 2 2 2 2" xfId="1643"/>
    <cellStyle name="Финансовый 3 2 2 2 2 2 2 2" xfId="3114"/>
    <cellStyle name="Финансовый 3 2 2 2 2 2 2 2 2" xfId="9622"/>
    <cellStyle name="Финансовый 3 2 2 2 2 2 2 3" xfId="4762"/>
    <cellStyle name="Финансовый 3 2 2 2 2 2 2 4" xfId="8151"/>
    <cellStyle name="Финансовый 3 2 2 2 2 2 3" xfId="2378"/>
    <cellStyle name="Финансовый 3 2 2 2 2 2 3 2" xfId="5497"/>
    <cellStyle name="Финансовый 3 2 2 2 2 2 3 3" xfId="8886"/>
    <cellStyle name="Финансовый 3 2 2 2 2 2 4" xfId="4026"/>
    <cellStyle name="Финансовый 3 2 2 2 2 2 5" xfId="7415"/>
    <cellStyle name="Финансовый 3 2 2 2 2 3" xfId="1059"/>
    <cellStyle name="Финансовый 3 2 2 2 2 3 2" xfId="1820"/>
    <cellStyle name="Финансовый 3 2 2 2 2 3 2 2" xfId="3291"/>
    <cellStyle name="Финансовый 3 2 2 2 2 3 2 2 2" xfId="9799"/>
    <cellStyle name="Финансовый 3 2 2 2 2 3 2 3" xfId="4939"/>
    <cellStyle name="Финансовый 3 2 2 2 2 3 2 4" xfId="8328"/>
    <cellStyle name="Финансовый 3 2 2 2 2 3 3" xfId="2555"/>
    <cellStyle name="Финансовый 3 2 2 2 2 3 3 2" xfId="5678"/>
    <cellStyle name="Финансовый 3 2 2 2 2 3 3 3" xfId="9063"/>
    <cellStyle name="Финансовый 3 2 2 2 2 3 4" xfId="4203"/>
    <cellStyle name="Финансовый 3 2 2 2 2 3 5" xfId="7592"/>
    <cellStyle name="Финансовый 3 2 2 2 2 4" xfId="1247"/>
    <cellStyle name="Финансовый 3 2 2 2 2 4 2" xfId="2000"/>
    <cellStyle name="Финансовый 3 2 2 2 2 4 2 2" xfId="3471"/>
    <cellStyle name="Финансовый 3 2 2 2 2 4 2 2 2" xfId="9979"/>
    <cellStyle name="Финансовый 3 2 2 2 2 4 2 3" xfId="5119"/>
    <cellStyle name="Финансовый 3 2 2 2 2 4 2 4" xfId="8508"/>
    <cellStyle name="Финансовый 3 2 2 2 2 4 3" xfId="2735"/>
    <cellStyle name="Финансовый 3 2 2 2 2 4 3 2" xfId="5855"/>
    <cellStyle name="Финансовый 3 2 2 2 2 4 3 3" xfId="9243"/>
    <cellStyle name="Финансовый 3 2 2 2 2 4 4" xfId="4383"/>
    <cellStyle name="Финансовый 3 2 2 2 2 4 5" xfId="7772"/>
    <cellStyle name="Финансовый 3 2 2 2 2 5" xfId="1449"/>
    <cellStyle name="Финансовый 3 2 2 2 2 5 2" xfId="2920"/>
    <cellStyle name="Финансовый 3 2 2 2 2 5 2 2" xfId="6035"/>
    <cellStyle name="Финансовый 3 2 2 2 2 5 2 3" xfId="9428"/>
    <cellStyle name="Финансовый 3 2 2 2 2 5 3" xfId="4568"/>
    <cellStyle name="Финансовый 3 2 2 2 2 5 4" xfId="7957"/>
    <cellStyle name="Финансовый 3 2 2 2 2 6" xfId="2184"/>
    <cellStyle name="Финансовый 3 2 2 2 2 6 2" xfId="6216"/>
    <cellStyle name="Финансовый 3 2 2 2 2 6 3" xfId="8692"/>
    <cellStyle name="Финансовый 3 2 2 2 2 7" xfId="3651"/>
    <cellStyle name="Финансовый 3 2 2 2 2 7 2" xfId="6411"/>
    <cellStyle name="Финансовый 3 2 2 2 2 7 3" xfId="10159"/>
    <cellStyle name="Финансовый 3 2 2 2 2 8" xfId="6592"/>
    <cellStyle name="Финансовый 3 2 2 2 2 9" xfId="6789"/>
    <cellStyle name="Финансовый 3 2 2 2 3" xfId="478"/>
    <cellStyle name="Финансовый 3 2 2 2 3 10" xfId="7004"/>
    <cellStyle name="Финансовый 3 2 2 2 3 11" xfId="5304"/>
    <cellStyle name="Финансовый 3 2 2 2 3 12" xfId="3833"/>
    <cellStyle name="Финансовый 3 2 2 2 3 13" xfId="7222"/>
    <cellStyle name="Финансовый 3 2 2 2 3 2" xfId="883"/>
    <cellStyle name="Финансовый 3 2 2 2 3 2 2" xfId="1644"/>
    <cellStyle name="Финансовый 3 2 2 2 3 2 2 2" xfId="3115"/>
    <cellStyle name="Финансовый 3 2 2 2 3 2 2 2 2" xfId="9623"/>
    <cellStyle name="Финансовый 3 2 2 2 3 2 2 3" xfId="4763"/>
    <cellStyle name="Финансовый 3 2 2 2 3 2 2 4" xfId="8152"/>
    <cellStyle name="Финансовый 3 2 2 2 3 2 3" xfId="2379"/>
    <cellStyle name="Финансовый 3 2 2 2 3 2 3 2" xfId="5498"/>
    <cellStyle name="Финансовый 3 2 2 2 3 2 3 3" xfId="8887"/>
    <cellStyle name="Финансовый 3 2 2 2 3 2 4" xfId="4027"/>
    <cellStyle name="Финансовый 3 2 2 2 3 2 5" xfId="7416"/>
    <cellStyle name="Финансовый 3 2 2 2 3 3" xfId="1060"/>
    <cellStyle name="Финансовый 3 2 2 2 3 3 2" xfId="1821"/>
    <cellStyle name="Финансовый 3 2 2 2 3 3 2 2" xfId="3292"/>
    <cellStyle name="Финансовый 3 2 2 2 3 3 2 2 2" xfId="9800"/>
    <cellStyle name="Финансовый 3 2 2 2 3 3 2 3" xfId="4940"/>
    <cellStyle name="Финансовый 3 2 2 2 3 3 2 4" xfId="8329"/>
    <cellStyle name="Финансовый 3 2 2 2 3 3 3" xfId="2556"/>
    <cellStyle name="Финансовый 3 2 2 2 3 3 3 2" xfId="5679"/>
    <cellStyle name="Финансовый 3 2 2 2 3 3 3 3" xfId="9064"/>
    <cellStyle name="Финансовый 3 2 2 2 3 3 4" xfId="4204"/>
    <cellStyle name="Финансовый 3 2 2 2 3 3 5" xfId="7593"/>
    <cellStyle name="Финансовый 3 2 2 2 3 4" xfId="1248"/>
    <cellStyle name="Финансовый 3 2 2 2 3 4 2" xfId="2001"/>
    <cellStyle name="Финансовый 3 2 2 2 3 4 2 2" xfId="3472"/>
    <cellStyle name="Финансовый 3 2 2 2 3 4 2 2 2" xfId="9980"/>
    <cellStyle name="Финансовый 3 2 2 2 3 4 2 3" xfId="5120"/>
    <cellStyle name="Финансовый 3 2 2 2 3 4 2 4" xfId="8509"/>
    <cellStyle name="Финансовый 3 2 2 2 3 4 3" xfId="2736"/>
    <cellStyle name="Финансовый 3 2 2 2 3 4 3 2" xfId="5856"/>
    <cellStyle name="Финансовый 3 2 2 2 3 4 3 3" xfId="9244"/>
    <cellStyle name="Финансовый 3 2 2 2 3 4 4" xfId="4384"/>
    <cellStyle name="Финансовый 3 2 2 2 3 4 5" xfId="7773"/>
    <cellStyle name="Финансовый 3 2 2 2 3 5" xfId="1450"/>
    <cellStyle name="Финансовый 3 2 2 2 3 5 2" xfId="2921"/>
    <cellStyle name="Финансовый 3 2 2 2 3 5 2 2" xfId="6036"/>
    <cellStyle name="Финансовый 3 2 2 2 3 5 2 3" xfId="9429"/>
    <cellStyle name="Финансовый 3 2 2 2 3 5 3" xfId="4569"/>
    <cellStyle name="Финансовый 3 2 2 2 3 5 4" xfId="7958"/>
    <cellStyle name="Финансовый 3 2 2 2 3 6" xfId="2185"/>
    <cellStyle name="Финансовый 3 2 2 2 3 6 2" xfId="6217"/>
    <cellStyle name="Финансовый 3 2 2 2 3 6 3" xfId="8693"/>
    <cellStyle name="Финансовый 3 2 2 2 3 7" xfId="3652"/>
    <cellStyle name="Финансовый 3 2 2 2 3 7 2" xfId="6412"/>
    <cellStyle name="Финансовый 3 2 2 2 3 7 3" xfId="10160"/>
    <cellStyle name="Финансовый 3 2 2 2 3 8" xfId="6593"/>
    <cellStyle name="Финансовый 3 2 2 2 3 9" xfId="6790"/>
    <cellStyle name="Финансовый 3 2 2 2 4" xfId="479"/>
    <cellStyle name="Финансовый 3 2 2 2 4 10" xfId="7005"/>
    <cellStyle name="Финансовый 3 2 2 2 4 11" xfId="5305"/>
    <cellStyle name="Финансовый 3 2 2 2 4 12" xfId="3834"/>
    <cellStyle name="Финансовый 3 2 2 2 4 13" xfId="7223"/>
    <cellStyle name="Финансовый 3 2 2 2 4 2" xfId="884"/>
    <cellStyle name="Финансовый 3 2 2 2 4 2 2" xfId="1645"/>
    <cellStyle name="Финансовый 3 2 2 2 4 2 2 2" xfId="3116"/>
    <cellStyle name="Финансовый 3 2 2 2 4 2 2 2 2" xfId="9624"/>
    <cellStyle name="Финансовый 3 2 2 2 4 2 2 3" xfId="4764"/>
    <cellStyle name="Финансовый 3 2 2 2 4 2 2 4" xfId="8153"/>
    <cellStyle name="Финансовый 3 2 2 2 4 2 3" xfId="2380"/>
    <cellStyle name="Финансовый 3 2 2 2 4 2 3 2" xfId="5499"/>
    <cellStyle name="Финансовый 3 2 2 2 4 2 3 3" xfId="8888"/>
    <cellStyle name="Финансовый 3 2 2 2 4 2 4" xfId="4028"/>
    <cellStyle name="Финансовый 3 2 2 2 4 2 5" xfId="7417"/>
    <cellStyle name="Финансовый 3 2 2 2 4 3" xfId="1061"/>
    <cellStyle name="Финансовый 3 2 2 2 4 3 2" xfId="1822"/>
    <cellStyle name="Финансовый 3 2 2 2 4 3 2 2" xfId="3293"/>
    <cellStyle name="Финансовый 3 2 2 2 4 3 2 2 2" xfId="9801"/>
    <cellStyle name="Финансовый 3 2 2 2 4 3 2 3" xfId="4941"/>
    <cellStyle name="Финансовый 3 2 2 2 4 3 2 4" xfId="8330"/>
    <cellStyle name="Финансовый 3 2 2 2 4 3 3" xfId="2557"/>
    <cellStyle name="Финансовый 3 2 2 2 4 3 3 2" xfId="5680"/>
    <cellStyle name="Финансовый 3 2 2 2 4 3 3 3" xfId="9065"/>
    <cellStyle name="Финансовый 3 2 2 2 4 3 4" xfId="4205"/>
    <cellStyle name="Финансовый 3 2 2 2 4 3 5" xfId="7594"/>
    <cellStyle name="Финансовый 3 2 2 2 4 4" xfId="1249"/>
    <cellStyle name="Финансовый 3 2 2 2 4 4 2" xfId="2002"/>
    <cellStyle name="Финансовый 3 2 2 2 4 4 2 2" xfId="3473"/>
    <cellStyle name="Финансовый 3 2 2 2 4 4 2 2 2" xfId="9981"/>
    <cellStyle name="Финансовый 3 2 2 2 4 4 2 3" xfId="5121"/>
    <cellStyle name="Финансовый 3 2 2 2 4 4 2 4" xfId="8510"/>
    <cellStyle name="Финансовый 3 2 2 2 4 4 3" xfId="2737"/>
    <cellStyle name="Финансовый 3 2 2 2 4 4 3 2" xfId="5857"/>
    <cellStyle name="Финансовый 3 2 2 2 4 4 3 3" xfId="9245"/>
    <cellStyle name="Финансовый 3 2 2 2 4 4 4" xfId="4385"/>
    <cellStyle name="Финансовый 3 2 2 2 4 4 5" xfId="7774"/>
    <cellStyle name="Финансовый 3 2 2 2 4 5" xfId="1451"/>
    <cellStyle name="Финансовый 3 2 2 2 4 5 2" xfId="2922"/>
    <cellStyle name="Финансовый 3 2 2 2 4 5 2 2" xfId="6037"/>
    <cellStyle name="Финансовый 3 2 2 2 4 5 2 3" xfId="9430"/>
    <cellStyle name="Финансовый 3 2 2 2 4 5 3" xfId="4570"/>
    <cellStyle name="Финансовый 3 2 2 2 4 5 4" xfId="7959"/>
    <cellStyle name="Финансовый 3 2 2 2 4 6" xfId="2186"/>
    <cellStyle name="Финансовый 3 2 2 2 4 6 2" xfId="6218"/>
    <cellStyle name="Финансовый 3 2 2 2 4 6 3" xfId="8694"/>
    <cellStyle name="Финансовый 3 2 2 2 4 7" xfId="3653"/>
    <cellStyle name="Финансовый 3 2 2 2 4 7 2" xfId="6413"/>
    <cellStyle name="Финансовый 3 2 2 2 4 7 3" xfId="10161"/>
    <cellStyle name="Финансовый 3 2 2 2 4 8" xfId="6594"/>
    <cellStyle name="Финансовый 3 2 2 2 4 9" xfId="6791"/>
    <cellStyle name="Финансовый 3 2 2 2 5" xfId="881"/>
    <cellStyle name="Финансовый 3 2 2 2 5 2" xfId="1642"/>
    <cellStyle name="Финансовый 3 2 2 2 5 2 2" xfId="3113"/>
    <cellStyle name="Финансовый 3 2 2 2 5 2 2 2" xfId="9621"/>
    <cellStyle name="Финансовый 3 2 2 2 5 2 3" xfId="4761"/>
    <cellStyle name="Финансовый 3 2 2 2 5 2 4" xfId="8150"/>
    <cellStyle name="Финансовый 3 2 2 2 5 3" xfId="2377"/>
    <cellStyle name="Финансовый 3 2 2 2 5 3 2" xfId="5496"/>
    <cellStyle name="Финансовый 3 2 2 2 5 3 3" xfId="8885"/>
    <cellStyle name="Финансовый 3 2 2 2 5 4" xfId="4025"/>
    <cellStyle name="Финансовый 3 2 2 2 5 5" xfId="7414"/>
    <cellStyle name="Финансовый 3 2 2 2 6" xfId="1058"/>
    <cellStyle name="Финансовый 3 2 2 2 6 2" xfId="1819"/>
    <cellStyle name="Финансовый 3 2 2 2 6 2 2" xfId="3290"/>
    <cellStyle name="Финансовый 3 2 2 2 6 2 2 2" xfId="9798"/>
    <cellStyle name="Финансовый 3 2 2 2 6 2 3" xfId="4938"/>
    <cellStyle name="Финансовый 3 2 2 2 6 2 4" xfId="8327"/>
    <cellStyle name="Финансовый 3 2 2 2 6 3" xfId="2554"/>
    <cellStyle name="Финансовый 3 2 2 2 6 3 2" xfId="5677"/>
    <cellStyle name="Финансовый 3 2 2 2 6 3 3" xfId="9062"/>
    <cellStyle name="Финансовый 3 2 2 2 6 4" xfId="4202"/>
    <cellStyle name="Финансовый 3 2 2 2 6 5" xfId="7591"/>
    <cellStyle name="Финансовый 3 2 2 2 7" xfId="1246"/>
    <cellStyle name="Финансовый 3 2 2 2 7 2" xfId="1999"/>
    <cellStyle name="Финансовый 3 2 2 2 7 2 2" xfId="3470"/>
    <cellStyle name="Финансовый 3 2 2 2 7 2 2 2" xfId="9978"/>
    <cellStyle name="Финансовый 3 2 2 2 7 2 3" xfId="5118"/>
    <cellStyle name="Финансовый 3 2 2 2 7 2 4" xfId="8507"/>
    <cellStyle name="Финансовый 3 2 2 2 7 3" xfId="2734"/>
    <cellStyle name="Финансовый 3 2 2 2 7 3 2" xfId="5854"/>
    <cellStyle name="Финансовый 3 2 2 2 7 3 3" xfId="9242"/>
    <cellStyle name="Финансовый 3 2 2 2 7 4" xfId="4382"/>
    <cellStyle name="Финансовый 3 2 2 2 7 5" xfId="7771"/>
    <cellStyle name="Финансовый 3 2 2 2 8" xfId="1448"/>
    <cellStyle name="Финансовый 3 2 2 2 8 2" xfId="2919"/>
    <cellStyle name="Финансовый 3 2 2 2 8 2 2" xfId="6034"/>
    <cellStyle name="Финансовый 3 2 2 2 8 2 3" xfId="9427"/>
    <cellStyle name="Финансовый 3 2 2 2 8 3" xfId="4567"/>
    <cellStyle name="Финансовый 3 2 2 2 8 4" xfId="7956"/>
    <cellStyle name="Финансовый 3 2 2 2 9" xfId="2183"/>
    <cellStyle name="Финансовый 3 2 2 2 9 2" xfId="6215"/>
    <cellStyle name="Финансовый 3 2 2 2 9 3" xfId="8691"/>
    <cellStyle name="Финансовый 3 2 2 3" xfId="480"/>
    <cellStyle name="Финансовый 3 2 2 3 10" xfId="7006"/>
    <cellStyle name="Финансовый 3 2 2 3 11" xfId="5306"/>
    <cellStyle name="Финансовый 3 2 2 3 12" xfId="3835"/>
    <cellStyle name="Финансовый 3 2 2 3 13" xfId="7224"/>
    <cellStyle name="Финансовый 3 2 2 3 2" xfId="885"/>
    <cellStyle name="Финансовый 3 2 2 3 2 2" xfId="1646"/>
    <cellStyle name="Финансовый 3 2 2 3 2 2 2" xfId="3117"/>
    <cellStyle name="Финансовый 3 2 2 3 2 2 2 2" xfId="9625"/>
    <cellStyle name="Финансовый 3 2 2 3 2 2 3" xfId="4765"/>
    <cellStyle name="Финансовый 3 2 2 3 2 2 4" xfId="8154"/>
    <cellStyle name="Финансовый 3 2 2 3 2 3" xfId="2381"/>
    <cellStyle name="Финансовый 3 2 2 3 2 3 2" xfId="5500"/>
    <cellStyle name="Финансовый 3 2 2 3 2 3 3" xfId="8889"/>
    <cellStyle name="Финансовый 3 2 2 3 2 4" xfId="4029"/>
    <cellStyle name="Финансовый 3 2 2 3 2 5" xfId="7418"/>
    <cellStyle name="Финансовый 3 2 2 3 3" xfId="1062"/>
    <cellStyle name="Финансовый 3 2 2 3 3 2" xfId="1823"/>
    <cellStyle name="Финансовый 3 2 2 3 3 2 2" xfId="3294"/>
    <cellStyle name="Финансовый 3 2 2 3 3 2 2 2" xfId="9802"/>
    <cellStyle name="Финансовый 3 2 2 3 3 2 3" xfId="4942"/>
    <cellStyle name="Финансовый 3 2 2 3 3 2 4" xfId="8331"/>
    <cellStyle name="Финансовый 3 2 2 3 3 3" xfId="2558"/>
    <cellStyle name="Финансовый 3 2 2 3 3 3 2" xfId="5681"/>
    <cellStyle name="Финансовый 3 2 2 3 3 3 3" xfId="9066"/>
    <cellStyle name="Финансовый 3 2 2 3 3 4" xfId="4206"/>
    <cellStyle name="Финансовый 3 2 2 3 3 5" xfId="7595"/>
    <cellStyle name="Финансовый 3 2 2 3 4" xfId="1250"/>
    <cellStyle name="Финансовый 3 2 2 3 4 2" xfId="2003"/>
    <cellStyle name="Финансовый 3 2 2 3 4 2 2" xfId="3474"/>
    <cellStyle name="Финансовый 3 2 2 3 4 2 2 2" xfId="9982"/>
    <cellStyle name="Финансовый 3 2 2 3 4 2 3" xfId="5122"/>
    <cellStyle name="Финансовый 3 2 2 3 4 2 4" xfId="8511"/>
    <cellStyle name="Финансовый 3 2 2 3 4 3" xfId="2738"/>
    <cellStyle name="Финансовый 3 2 2 3 4 3 2" xfId="5858"/>
    <cellStyle name="Финансовый 3 2 2 3 4 3 3" xfId="9246"/>
    <cellStyle name="Финансовый 3 2 2 3 4 4" xfId="4386"/>
    <cellStyle name="Финансовый 3 2 2 3 4 5" xfId="7775"/>
    <cellStyle name="Финансовый 3 2 2 3 5" xfId="1452"/>
    <cellStyle name="Финансовый 3 2 2 3 5 2" xfId="2923"/>
    <cellStyle name="Финансовый 3 2 2 3 5 2 2" xfId="6038"/>
    <cellStyle name="Финансовый 3 2 2 3 5 2 3" xfId="9431"/>
    <cellStyle name="Финансовый 3 2 2 3 5 3" xfId="4571"/>
    <cellStyle name="Финансовый 3 2 2 3 5 4" xfId="7960"/>
    <cellStyle name="Финансовый 3 2 2 3 6" xfId="2187"/>
    <cellStyle name="Финансовый 3 2 2 3 6 2" xfId="6219"/>
    <cellStyle name="Финансовый 3 2 2 3 6 3" xfId="8695"/>
    <cellStyle name="Финансовый 3 2 2 3 7" xfId="3654"/>
    <cellStyle name="Финансовый 3 2 2 3 7 2" xfId="6414"/>
    <cellStyle name="Финансовый 3 2 2 3 7 3" xfId="10162"/>
    <cellStyle name="Финансовый 3 2 2 3 8" xfId="6595"/>
    <cellStyle name="Финансовый 3 2 2 3 9" xfId="6792"/>
    <cellStyle name="Финансовый 3 2 2 4" xfId="481"/>
    <cellStyle name="Финансовый 3 2 2 4 10" xfId="7007"/>
    <cellStyle name="Финансовый 3 2 2 4 11" xfId="5307"/>
    <cellStyle name="Финансовый 3 2 2 4 12" xfId="3836"/>
    <cellStyle name="Финансовый 3 2 2 4 13" xfId="7225"/>
    <cellStyle name="Финансовый 3 2 2 4 2" xfId="886"/>
    <cellStyle name="Финансовый 3 2 2 4 2 2" xfId="1647"/>
    <cellStyle name="Финансовый 3 2 2 4 2 2 2" xfId="3118"/>
    <cellStyle name="Финансовый 3 2 2 4 2 2 2 2" xfId="9626"/>
    <cellStyle name="Финансовый 3 2 2 4 2 2 3" xfId="4766"/>
    <cellStyle name="Финансовый 3 2 2 4 2 2 4" xfId="8155"/>
    <cellStyle name="Финансовый 3 2 2 4 2 3" xfId="2382"/>
    <cellStyle name="Финансовый 3 2 2 4 2 3 2" xfId="5501"/>
    <cellStyle name="Финансовый 3 2 2 4 2 3 3" xfId="8890"/>
    <cellStyle name="Финансовый 3 2 2 4 2 4" xfId="4030"/>
    <cellStyle name="Финансовый 3 2 2 4 2 5" xfId="7419"/>
    <cellStyle name="Финансовый 3 2 2 4 3" xfId="1063"/>
    <cellStyle name="Финансовый 3 2 2 4 3 2" xfId="1824"/>
    <cellStyle name="Финансовый 3 2 2 4 3 2 2" xfId="3295"/>
    <cellStyle name="Финансовый 3 2 2 4 3 2 2 2" xfId="9803"/>
    <cellStyle name="Финансовый 3 2 2 4 3 2 3" xfId="4943"/>
    <cellStyle name="Финансовый 3 2 2 4 3 2 4" xfId="8332"/>
    <cellStyle name="Финансовый 3 2 2 4 3 3" xfId="2559"/>
    <cellStyle name="Финансовый 3 2 2 4 3 3 2" xfId="5682"/>
    <cellStyle name="Финансовый 3 2 2 4 3 3 3" xfId="9067"/>
    <cellStyle name="Финансовый 3 2 2 4 3 4" xfId="4207"/>
    <cellStyle name="Финансовый 3 2 2 4 3 5" xfId="7596"/>
    <cellStyle name="Финансовый 3 2 2 4 4" xfId="1251"/>
    <cellStyle name="Финансовый 3 2 2 4 4 2" xfId="2004"/>
    <cellStyle name="Финансовый 3 2 2 4 4 2 2" xfId="3475"/>
    <cellStyle name="Финансовый 3 2 2 4 4 2 2 2" xfId="9983"/>
    <cellStyle name="Финансовый 3 2 2 4 4 2 3" xfId="5123"/>
    <cellStyle name="Финансовый 3 2 2 4 4 2 4" xfId="8512"/>
    <cellStyle name="Финансовый 3 2 2 4 4 3" xfId="2739"/>
    <cellStyle name="Финансовый 3 2 2 4 4 3 2" xfId="5859"/>
    <cellStyle name="Финансовый 3 2 2 4 4 3 3" xfId="9247"/>
    <cellStyle name="Финансовый 3 2 2 4 4 4" xfId="4387"/>
    <cellStyle name="Финансовый 3 2 2 4 4 5" xfId="7776"/>
    <cellStyle name="Финансовый 3 2 2 4 5" xfId="1453"/>
    <cellStyle name="Финансовый 3 2 2 4 5 2" xfId="2924"/>
    <cellStyle name="Финансовый 3 2 2 4 5 2 2" xfId="6039"/>
    <cellStyle name="Финансовый 3 2 2 4 5 2 3" xfId="9432"/>
    <cellStyle name="Финансовый 3 2 2 4 5 3" xfId="4572"/>
    <cellStyle name="Финансовый 3 2 2 4 5 4" xfId="7961"/>
    <cellStyle name="Финансовый 3 2 2 4 6" xfId="2188"/>
    <cellStyle name="Финансовый 3 2 2 4 6 2" xfId="6220"/>
    <cellStyle name="Финансовый 3 2 2 4 6 3" xfId="8696"/>
    <cellStyle name="Финансовый 3 2 2 4 7" xfId="3655"/>
    <cellStyle name="Финансовый 3 2 2 4 7 2" xfId="6415"/>
    <cellStyle name="Финансовый 3 2 2 4 7 3" xfId="10163"/>
    <cellStyle name="Финансовый 3 2 2 4 8" xfId="6596"/>
    <cellStyle name="Финансовый 3 2 2 4 9" xfId="6793"/>
    <cellStyle name="Финансовый 3 2 2 5" xfId="482"/>
    <cellStyle name="Финансовый 3 2 2 5 10" xfId="7008"/>
    <cellStyle name="Финансовый 3 2 2 5 11" xfId="5308"/>
    <cellStyle name="Финансовый 3 2 2 5 12" xfId="3837"/>
    <cellStyle name="Финансовый 3 2 2 5 13" xfId="7226"/>
    <cellStyle name="Финансовый 3 2 2 5 2" xfId="887"/>
    <cellStyle name="Финансовый 3 2 2 5 2 2" xfId="1648"/>
    <cellStyle name="Финансовый 3 2 2 5 2 2 2" xfId="3119"/>
    <cellStyle name="Финансовый 3 2 2 5 2 2 2 2" xfId="9627"/>
    <cellStyle name="Финансовый 3 2 2 5 2 2 3" xfId="4767"/>
    <cellStyle name="Финансовый 3 2 2 5 2 2 4" xfId="8156"/>
    <cellStyle name="Финансовый 3 2 2 5 2 3" xfId="2383"/>
    <cellStyle name="Финансовый 3 2 2 5 2 3 2" xfId="5502"/>
    <cellStyle name="Финансовый 3 2 2 5 2 3 3" xfId="8891"/>
    <cellStyle name="Финансовый 3 2 2 5 2 4" xfId="4031"/>
    <cellStyle name="Финансовый 3 2 2 5 2 5" xfId="7420"/>
    <cellStyle name="Финансовый 3 2 2 5 3" xfId="1064"/>
    <cellStyle name="Финансовый 3 2 2 5 3 2" xfId="1825"/>
    <cellStyle name="Финансовый 3 2 2 5 3 2 2" xfId="3296"/>
    <cellStyle name="Финансовый 3 2 2 5 3 2 2 2" xfId="9804"/>
    <cellStyle name="Финансовый 3 2 2 5 3 2 3" xfId="4944"/>
    <cellStyle name="Финансовый 3 2 2 5 3 2 4" xfId="8333"/>
    <cellStyle name="Финансовый 3 2 2 5 3 3" xfId="2560"/>
    <cellStyle name="Финансовый 3 2 2 5 3 3 2" xfId="5683"/>
    <cellStyle name="Финансовый 3 2 2 5 3 3 3" xfId="9068"/>
    <cellStyle name="Финансовый 3 2 2 5 3 4" xfId="4208"/>
    <cellStyle name="Финансовый 3 2 2 5 3 5" xfId="7597"/>
    <cellStyle name="Финансовый 3 2 2 5 4" xfId="1252"/>
    <cellStyle name="Финансовый 3 2 2 5 4 2" xfId="2005"/>
    <cellStyle name="Финансовый 3 2 2 5 4 2 2" xfId="3476"/>
    <cellStyle name="Финансовый 3 2 2 5 4 2 2 2" xfId="9984"/>
    <cellStyle name="Финансовый 3 2 2 5 4 2 3" xfId="5124"/>
    <cellStyle name="Финансовый 3 2 2 5 4 2 4" xfId="8513"/>
    <cellStyle name="Финансовый 3 2 2 5 4 3" xfId="2740"/>
    <cellStyle name="Финансовый 3 2 2 5 4 3 2" xfId="5860"/>
    <cellStyle name="Финансовый 3 2 2 5 4 3 3" xfId="9248"/>
    <cellStyle name="Финансовый 3 2 2 5 4 4" xfId="4388"/>
    <cellStyle name="Финансовый 3 2 2 5 4 5" xfId="7777"/>
    <cellStyle name="Финансовый 3 2 2 5 5" xfId="1454"/>
    <cellStyle name="Финансовый 3 2 2 5 5 2" xfId="2925"/>
    <cellStyle name="Финансовый 3 2 2 5 5 2 2" xfId="6040"/>
    <cellStyle name="Финансовый 3 2 2 5 5 2 3" xfId="9433"/>
    <cellStyle name="Финансовый 3 2 2 5 5 3" xfId="4573"/>
    <cellStyle name="Финансовый 3 2 2 5 5 4" xfId="7962"/>
    <cellStyle name="Финансовый 3 2 2 5 6" xfId="2189"/>
    <cellStyle name="Финансовый 3 2 2 5 6 2" xfId="6221"/>
    <cellStyle name="Финансовый 3 2 2 5 6 3" xfId="8697"/>
    <cellStyle name="Финансовый 3 2 2 5 7" xfId="3656"/>
    <cellStyle name="Финансовый 3 2 2 5 7 2" xfId="6416"/>
    <cellStyle name="Финансовый 3 2 2 5 7 3" xfId="10164"/>
    <cellStyle name="Финансовый 3 2 2 5 8" xfId="6597"/>
    <cellStyle name="Финансовый 3 2 2 5 9" xfId="6794"/>
    <cellStyle name="Финансовый 3 2 2 6" xfId="880"/>
    <cellStyle name="Финансовый 3 2 2 6 2" xfId="1641"/>
    <cellStyle name="Финансовый 3 2 2 6 2 2" xfId="3112"/>
    <cellStyle name="Финансовый 3 2 2 6 2 2 2" xfId="9620"/>
    <cellStyle name="Финансовый 3 2 2 6 2 3" xfId="4760"/>
    <cellStyle name="Финансовый 3 2 2 6 2 4" xfId="8149"/>
    <cellStyle name="Финансовый 3 2 2 6 3" xfId="2376"/>
    <cellStyle name="Финансовый 3 2 2 6 3 2" xfId="5495"/>
    <cellStyle name="Финансовый 3 2 2 6 3 3" xfId="8884"/>
    <cellStyle name="Финансовый 3 2 2 6 4" xfId="4024"/>
    <cellStyle name="Финансовый 3 2 2 6 5" xfId="7413"/>
    <cellStyle name="Финансовый 3 2 2 7" xfId="1057"/>
    <cellStyle name="Финансовый 3 2 2 7 2" xfId="1818"/>
    <cellStyle name="Финансовый 3 2 2 7 2 2" xfId="3289"/>
    <cellStyle name="Финансовый 3 2 2 7 2 2 2" xfId="9797"/>
    <cellStyle name="Финансовый 3 2 2 7 2 3" xfId="4937"/>
    <cellStyle name="Финансовый 3 2 2 7 2 4" xfId="8326"/>
    <cellStyle name="Финансовый 3 2 2 7 3" xfId="2553"/>
    <cellStyle name="Финансовый 3 2 2 7 3 2" xfId="5676"/>
    <cellStyle name="Финансовый 3 2 2 7 3 3" xfId="9061"/>
    <cellStyle name="Финансовый 3 2 2 7 4" xfId="4201"/>
    <cellStyle name="Финансовый 3 2 2 7 5" xfId="7590"/>
    <cellStyle name="Финансовый 3 2 2 8" xfId="1245"/>
    <cellStyle name="Финансовый 3 2 2 8 2" xfId="1998"/>
    <cellStyle name="Финансовый 3 2 2 8 2 2" xfId="3469"/>
    <cellStyle name="Финансовый 3 2 2 8 2 2 2" xfId="9977"/>
    <cellStyle name="Финансовый 3 2 2 8 2 3" xfId="5117"/>
    <cellStyle name="Финансовый 3 2 2 8 2 4" xfId="8506"/>
    <cellStyle name="Финансовый 3 2 2 8 3" xfId="2733"/>
    <cellStyle name="Финансовый 3 2 2 8 3 2" xfId="5853"/>
    <cellStyle name="Финансовый 3 2 2 8 3 3" xfId="9241"/>
    <cellStyle name="Финансовый 3 2 2 8 4" xfId="4381"/>
    <cellStyle name="Финансовый 3 2 2 8 5" xfId="7770"/>
    <cellStyle name="Финансовый 3 2 2 9" xfId="1447"/>
    <cellStyle name="Финансовый 3 2 2 9 2" xfId="2918"/>
    <cellStyle name="Финансовый 3 2 2 9 2 2" xfId="6033"/>
    <cellStyle name="Финансовый 3 2 2 9 2 3" xfId="9426"/>
    <cellStyle name="Финансовый 3 2 2 9 3" xfId="4566"/>
    <cellStyle name="Финансовый 3 2 2 9 4" xfId="7955"/>
    <cellStyle name="Финансовый 3 2 3" xfId="483"/>
    <cellStyle name="Финансовый 3 2 3 10" xfId="3657"/>
    <cellStyle name="Финансовый 3 2 3 10 2" xfId="6417"/>
    <cellStyle name="Финансовый 3 2 3 10 3" xfId="10165"/>
    <cellStyle name="Финансовый 3 2 3 11" xfId="6598"/>
    <cellStyle name="Финансовый 3 2 3 12" xfId="6795"/>
    <cellStyle name="Финансовый 3 2 3 13" xfId="7009"/>
    <cellStyle name="Финансовый 3 2 3 14" xfId="5309"/>
    <cellStyle name="Финансовый 3 2 3 15" xfId="3838"/>
    <cellStyle name="Финансовый 3 2 3 16" xfId="7227"/>
    <cellStyle name="Финансовый 3 2 3 2" xfId="484"/>
    <cellStyle name="Финансовый 3 2 3 2 10" xfId="7010"/>
    <cellStyle name="Финансовый 3 2 3 2 11" xfId="5310"/>
    <cellStyle name="Финансовый 3 2 3 2 12" xfId="3839"/>
    <cellStyle name="Финансовый 3 2 3 2 13" xfId="7228"/>
    <cellStyle name="Финансовый 3 2 3 2 2" xfId="889"/>
    <cellStyle name="Финансовый 3 2 3 2 2 2" xfId="1650"/>
    <cellStyle name="Финансовый 3 2 3 2 2 2 2" xfId="3121"/>
    <cellStyle name="Финансовый 3 2 3 2 2 2 2 2" xfId="9629"/>
    <cellStyle name="Финансовый 3 2 3 2 2 2 3" xfId="4769"/>
    <cellStyle name="Финансовый 3 2 3 2 2 2 4" xfId="8158"/>
    <cellStyle name="Финансовый 3 2 3 2 2 3" xfId="2385"/>
    <cellStyle name="Финансовый 3 2 3 2 2 3 2" xfId="5504"/>
    <cellStyle name="Финансовый 3 2 3 2 2 3 3" xfId="8893"/>
    <cellStyle name="Финансовый 3 2 3 2 2 4" xfId="4033"/>
    <cellStyle name="Финансовый 3 2 3 2 2 5" xfId="7422"/>
    <cellStyle name="Финансовый 3 2 3 2 3" xfId="1066"/>
    <cellStyle name="Финансовый 3 2 3 2 3 2" xfId="1827"/>
    <cellStyle name="Финансовый 3 2 3 2 3 2 2" xfId="3298"/>
    <cellStyle name="Финансовый 3 2 3 2 3 2 2 2" xfId="9806"/>
    <cellStyle name="Финансовый 3 2 3 2 3 2 3" xfId="4946"/>
    <cellStyle name="Финансовый 3 2 3 2 3 2 4" xfId="8335"/>
    <cellStyle name="Финансовый 3 2 3 2 3 3" xfId="2562"/>
    <cellStyle name="Финансовый 3 2 3 2 3 3 2" xfId="5685"/>
    <cellStyle name="Финансовый 3 2 3 2 3 3 3" xfId="9070"/>
    <cellStyle name="Финансовый 3 2 3 2 3 4" xfId="4210"/>
    <cellStyle name="Финансовый 3 2 3 2 3 5" xfId="7599"/>
    <cellStyle name="Финансовый 3 2 3 2 4" xfId="1254"/>
    <cellStyle name="Финансовый 3 2 3 2 4 2" xfId="2007"/>
    <cellStyle name="Финансовый 3 2 3 2 4 2 2" xfId="3478"/>
    <cellStyle name="Финансовый 3 2 3 2 4 2 2 2" xfId="9986"/>
    <cellStyle name="Финансовый 3 2 3 2 4 2 3" xfId="5126"/>
    <cellStyle name="Финансовый 3 2 3 2 4 2 4" xfId="8515"/>
    <cellStyle name="Финансовый 3 2 3 2 4 3" xfId="2742"/>
    <cellStyle name="Финансовый 3 2 3 2 4 3 2" xfId="5862"/>
    <cellStyle name="Финансовый 3 2 3 2 4 3 3" xfId="9250"/>
    <cellStyle name="Финансовый 3 2 3 2 4 4" xfId="4390"/>
    <cellStyle name="Финансовый 3 2 3 2 4 5" xfId="7779"/>
    <cellStyle name="Финансовый 3 2 3 2 5" xfId="1456"/>
    <cellStyle name="Финансовый 3 2 3 2 5 2" xfId="2927"/>
    <cellStyle name="Финансовый 3 2 3 2 5 2 2" xfId="6042"/>
    <cellStyle name="Финансовый 3 2 3 2 5 2 3" xfId="9435"/>
    <cellStyle name="Финансовый 3 2 3 2 5 3" xfId="4575"/>
    <cellStyle name="Финансовый 3 2 3 2 5 4" xfId="7964"/>
    <cellStyle name="Финансовый 3 2 3 2 6" xfId="2191"/>
    <cellStyle name="Финансовый 3 2 3 2 6 2" xfId="6223"/>
    <cellStyle name="Финансовый 3 2 3 2 6 3" xfId="8699"/>
    <cellStyle name="Финансовый 3 2 3 2 7" xfId="3658"/>
    <cellStyle name="Финансовый 3 2 3 2 7 2" xfId="6418"/>
    <cellStyle name="Финансовый 3 2 3 2 7 3" xfId="10166"/>
    <cellStyle name="Финансовый 3 2 3 2 8" xfId="6599"/>
    <cellStyle name="Финансовый 3 2 3 2 9" xfId="6796"/>
    <cellStyle name="Финансовый 3 2 3 3" xfId="485"/>
    <cellStyle name="Финансовый 3 2 3 3 10" xfId="7011"/>
    <cellStyle name="Финансовый 3 2 3 3 11" xfId="5311"/>
    <cellStyle name="Финансовый 3 2 3 3 12" xfId="3840"/>
    <cellStyle name="Финансовый 3 2 3 3 13" xfId="7229"/>
    <cellStyle name="Финансовый 3 2 3 3 2" xfId="890"/>
    <cellStyle name="Финансовый 3 2 3 3 2 2" xfId="1651"/>
    <cellStyle name="Финансовый 3 2 3 3 2 2 2" xfId="3122"/>
    <cellStyle name="Финансовый 3 2 3 3 2 2 2 2" xfId="9630"/>
    <cellStyle name="Финансовый 3 2 3 3 2 2 3" xfId="4770"/>
    <cellStyle name="Финансовый 3 2 3 3 2 2 4" xfId="8159"/>
    <cellStyle name="Финансовый 3 2 3 3 2 3" xfId="2386"/>
    <cellStyle name="Финансовый 3 2 3 3 2 3 2" xfId="5505"/>
    <cellStyle name="Финансовый 3 2 3 3 2 3 3" xfId="8894"/>
    <cellStyle name="Финансовый 3 2 3 3 2 4" xfId="4034"/>
    <cellStyle name="Финансовый 3 2 3 3 2 5" xfId="7423"/>
    <cellStyle name="Финансовый 3 2 3 3 3" xfId="1067"/>
    <cellStyle name="Финансовый 3 2 3 3 3 2" xfId="1828"/>
    <cellStyle name="Финансовый 3 2 3 3 3 2 2" xfId="3299"/>
    <cellStyle name="Финансовый 3 2 3 3 3 2 2 2" xfId="9807"/>
    <cellStyle name="Финансовый 3 2 3 3 3 2 3" xfId="4947"/>
    <cellStyle name="Финансовый 3 2 3 3 3 2 4" xfId="8336"/>
    <cellStyle name="Финансовый 3 2 3 3 3 3" xfId="2563"/>
    <cellStyle name="Финансовый 3 2 3 3 3 3 2" xfId="5686"/>
    <cellStyle name="Финансовый 3 2 3 3 3 3 3" xfId="9071"/>
    <cellStyle name="Финансовый 3 2 3 3 3 4" xfId="4211"/>
    <cellStyle name="Финансовый 3 2 3 3 3 5" xfId="7600"/>
    <cellStyle name="Финансовый 3 2 3 3 4" xfId="1255"/>
    <cellStyle name="Финансовый 3 2 3 3 4 2" xfId="2008"/>
    <cellStyle name="Финансовый 3 2 3 3 4 2 2" xfId="3479"/>
    <cellStyle name="Финансовый 3 2 3 3 4 2 2 2" xfId="9987"/>
    <cellStyle name="Финансовый 3 2 3 3 4 2 3" xfId="5127"/>
    <cellStyle name="Финансовый 3 2 3 3 4 2 4" xfId="8516"/>
    <cellStyle name="Финансовый 3 2 3 3 4 3" xfId="2743"/>
    <cellStyle name="Финансовый 3 2 3 3 4 3 2" xfId="5863"/>
    <cellStyle name="Финансовый 3 2 3 3 4 3 3" xfId="9251"/>
    <cellStyle name="Финансовый 3 2 3 3 4 4" xfId="4391"/>
    <cellStyle name="Финансовый 3 2 3 3 4 5" xfId="7780"/>
    <cellStyle name="Финансовый 3 2 3 3 5" xfId="1457"/>
    <cellStyle name="Финансовый 3 2 3 3 5 2" xfId="2928"/>
    <cellStyle name="Финансовый 3 2 3 3 5 2 2" xfId="6043"/>
    <cellStyle name="Финансовый 3 2 3 3 5 2 3" xfId="9436"/>
    <cellStyle name="Финансовый 3 2 3 3 5 3" xfId="4576"/>
    <cellStyle name="Финансовый 3 2 3 3 5 4" xfId="7965"/>
    <cellStyle name="Финансовый 3 2 3 3 6" xfId="2192"/>
    <cellStyle name="Финансовый 3 2 3 3 6 2" xfId="6224"/>
    <cellStyle name="Финансовый 3 2 3 3 6 3" xfId="8700"/>
    <cellStyle name="Финансовый 3 2 3 3 7" xfId="3659"/>
    <cellStyle name="Финансовый 3 2 3 3 7 2" xfId="6419"/>
    <cellStyle name="Финансовый 3 2 3 3 7 3" xfId="10167"/>
    <cellStyle name="Финансовый 3 2 3 3 8" xfId="6600"/>
    <cellStyle name="Финансовый 3 2 3 3 9" xfId="6797"/>
    <cellStyle name="Финансовый 3 2 3 4" xfId="486"/>
    <cellStyle name="Финансовый 3 2 3 4 10" xfId="7012"/>
    <cellStyle name="Финансовый 3 2 3 4 11" xfId="5312"/>
    <cellStyle name="Финансовый 3 2 3 4 12" xfId="3841"/>
    <cellStyle name="Финансовый 3 2 3 4 13" xfId="7230"/>
    <cellStyle name="Финансовый 3 2 3 4 2" xfId="891"/>
    <cellStyle name="Финансовый 3 2 3 4 2 2" xfId="1652"/>
    <cellStyle name="Финансовый 3 2 3 4 2 2 2" xfId="3123"/>
    <cellStyle name="Финансовый 3 2 3 4 2 2 2 2" xfId="9631"/>
    <cellStyle name="Финансовый 3 2 3 4 2 2 3" xfId="4771"/>
    <cellStyle name="Финансовый 3 2 3 4 2 2 4" xfId="8160"/>
    <cellStyle name="Финансовый 3 2 3 4 2 3" xfId="2387"/>
    <cellStyle name="Финансовый 3 2 3 4 2 3 2" xfId="5506"/>
    <cellStyle name="Финансовый 3 2 3 4 2 3 3" xfId="8895"/>
    <cellStyle name="Финансовый 3 2 3 4 2 4" xfId="4035"/>
    <cellStyle name="Финансовый 3 2 3 4 2 5" xfId="7424"/>
    <cellStyle name="Финансовый 3 2 3 4 3" xfId="1068"/>
    <cellStyle name="Финансовый 3 2 3 4 3 2" xfId="1829"/>
    <cellStyle name="Финансовый 3 2 3 4 3 2 2" xfId="3300"/>
    <cellStyle name="Финансовый 3 2 3 4 3 2 2 2" xfId="9808"/>
    <cellStyle name="Финансовый 3 2 3 4 3 2 3" xfId="4948"/>
    <cellStyle name="Финансовый 3 2 3 4 3 2 4" xfId="8337"/>
    <cellStyle name="Финансовый 3 2 3 4 3 3" xfId="2564"/>
    <cellStyle name="Финансовый 3 2 3 4 3 3 2" xfId="5687"/>
    <cellStyle name="Финансовый 3 2 3 4 3 3 3" xfId="9072"/>
    <cellStyle name="Финансовый 3 2 3 4 3 4" xfId="4212"/>
    <cellStyle name="Финансовый 3 2 3 4 3 5" xfId="7601"/>
    <cellStyle name="Финансовый 3 2 3 4 4" xfId="1256"/>
    <cellStyle name="Финансовый 3 2 3 4 4 2" xfId="2009"/>
    <cellStyle name="Финансовый 3 2 3 4 4 2 2" xfId="3480"/>
    <cellStyle name="Финансовый 3 2 3 4 4 2 2 2" xfId="9988"/>
    <cellStyle name="Финансовый 3 2 3 4 4 2 3" xfId="5128"/>
    <cellStyle name="Финансовый 3 2 3 4 4 2 4" xfId="8517"/>
    <cellStyle name="Финансовый 3 2 3 4 4 3" xfId="2744"/>
    <cellStyle name="Финансовый 3 2 3 4 4 3 2" xfId="5864"/>
    <cellStyle name="Финансовый 3 2 3 4 4 3 3" xfId="9252"/>
    <cellStyle name="Финансовый 3 2 3 4 4 4" xfId="4392"/>
    <cellStyle name="Финансовый 3 2 3 4 4 5" xfId="7781"/>
    <cellStyle name="Финансовый 3 2 3 4 5" xfId="1458"/>
    <cellStyle name="Финансовый 3 2 3 4 5 2" xfId="2929"/>
    <cellStyle name="Финансовый 3 2 3 4 5 2 2" xfId="6044"/>
    <cellStyle name="Финансовый 3 2 3 4 5 2 3" xfId="9437"/>
    <cellStyle name="Финансовый 3 2 3 4 5 3" xfId="4577"/>
    <cellStyle name="Финансовый 3 2 3 4 5 4" xfId="7966"/>
    <cellStyle name="Финансовый 3 2 3 4 6" xfId="2193"/>
    <cellStyle name="Финансовый 3 2 3 4 6 2" xfId="6225"/>
    <cellStyle name="Финансовый 3 2 3 4 6 3" xfId="8701"/>
    <cellStyle name="Финансовый 3 2 3 4 7" xfId="3660"/>
    <cellStyle name="Финансовый 3 2 3 4 7 2" xfId="6420"/>
    <cellStyle name="Финансовый 3 2 3 4 7 3" xfId="10168"/>
    <cellStyle name="Финансовый 3 2 3 4 8" xfId="6601"/>
    <cellStyle name="Финансовый 3 2 3 4 9" xfId="6798"/>
    <cellStyle name="Финансовый 3 2 3 5" xfId="888"/>
    <cellStyle name="Финансовый 3 2 3 5 2" xfId="1649"/>
    <cellStyle name="Финансовый 3 2 3 5 2 2" xfId="3120"/>
    <cellStyle name="Финансовый 3 2 3 5 2 2 2" xfId="9628"/>
    <cellStyle name="Финансовый 3 2 3 5 2 3" xfId="4768"/>
    <cellStyle name="Финансовый 3 2 3 5 2 4" xfId="8157"/>
    <cellStyle name="Финансовый 3 2 3 5 3" xfId="2384"/>
    <cellStyle name="Финансовый 3 2 3 5 3 2" xfId="5503"/>
    <cellStyle name="Финансовый 3 2 3 5 3 3" xfId="8892"/>
    <cellStyle name="Финансовый 3 2 3 5 4" xfId="4032"/>
    <cellStyle name="Финансовый 3 2 3 5 5" xfId="7421"/>
    <cellStyle name="Финансовый 3 2 3 6" xfId="1065"/>
    <cellStyle name="Финансовый 3 2 3 6 2" xfId="1826"/>
    <cellStyle name="Финансовый 3 2 3 6 2 2" xfId="3297"/>
    <cellStyle name="Финансовый 3 2 3 6 2 2 2" xfId="9805"/>
    <cellStyle name="Финансовый 3 2 3 6 2 3" xfId="4945"/>
    <cellStyle name="Финансовый 3 2 3 6 2 4" xfId="8334"/>
    <cellStyle name="Финансовый 3 2 3 6 3" xfId="2561"/>
    <cellStyle name="Финансовый 3 2 3 6 3 2" xfId="5684"/>
    <cellStyle name="Финансовый 3 2 3 6 3 3" xfId="9069"/>
    <cellStyle name="Финансовый 3 2 3 6 4" xfId="4209"/>
    <cellStyle name="Финансовый 3 2 3 6 5" xfId="7598"/>
    <cellStyle name="Финансовый 3 2 3 7" xfId="1253"/>
    <cellStyle name="Финансовый 3 2 3 7 2" xfId="2006"/>
    <cellStyle name="Финансовый 3 2 3 7 2 2" xfId="3477"/>
    <cellStyle name="Финансовый 3 2 3 7 2 2 2" xfId="9985"/>
    <cellStyle name="Финансовый 3 2 3 7 2 3" xfId="5125"/>
    <cellStyle name="Финансовый 3 2 3 7 2 4" xfId="8514"/>
    <cellStyle name="Финансовый 3 2 3 7 3" xfId="2741"/>
    <cellStyle name="Финансовый 3 2 3 7 3 2" xfId="5861"/>
    <cellStyle name="Финансовый 3 2 3 7 3 3" xfId="9249"/>
    <cellStyle name="Финансовый 3 2 3 7 4" xfId="4389"/>
    <cellStyle name="Финансовый 3 2 3 7 5" xfId="7778"/>
    <cellStyle name="Финансовый 3 2 3 8" xfId="1455"/>
    <cellStyle name="Финансовый 3 2 3 8 2" xfId="2926"/>
    <cellStyle name="Финансовый 3 2 3 8 2 2" xfId="6041"/>
    <cellStyle name="Финансовый 3 2 3 8 2 3" xfId="9434"/>
    <cellStyle name="Финансовый 3 2 3 8 3" xfId="4574"/>
    <cellStyle name="Финансовый 3 2 3 8 4" xfId="7963"/>
    <cellStyle name="Финансовый 3 2 3 9" xfId="2190"/>
    <cellStyle name="Финансовый 3 2 3 9 2" xfId="6222"/>
    <cellStyle name="Финансовый 3 2 3 9 3" xfId="8698"/>
    <cellStyle name="Финансовый 3 2 4" xfId="487"/>
    <cellStyle name="Финансовый 3 2 4 10" xfId="7013"/>
    <cellStyle name="Финансовый 3 2 4 11" xfId="5313"/>
    <cellStyle name="Финансовый 3 2 4 12" xfId="3842"/>
    <cellStyle name="Финансовый 3 2 4 13" xfId="7231"/>
    <cellStyle name="Финансовый 3 2 4 2" xfId="892"/>
    <cellStyle name="Финансовый 3 2 4 2 2" xfId="1653"/>
    <cellStyle name="Финансовый 3 2 4 2 2 2" xfId="3124"/>
    <cellStyle name="Финансовый 3 2 4 2 2 2 2" xfId="9632"/>
    <cellStyle name="Финансовый 3 2 4 2 2 3" xfId="4772"/>
    <cellStyle name="Финансовый 3 2 4 2 2 4" xfId="8161"/>
    <cellStyle name="Финансовый 3 2 4 2 3" xfId="2388"/>
    <cellStyle name="Финансовый 3 2 4 2 3 2" xfId="5507"/>
    <cellStyle name="Финансовый 3 2 4 2 3 3" xfId="8896"/>
    <cellStyle name="Финансовый 3 2 4 2 4" xfId="4036"/>
    <cellStyle name="Финансовый 3 2 4 2 5" xfId="7425"/>
    <cellStyle name="Финансовый 3 2 4 3" xfId="1069"/>
    <cellStyle name="Финансовый 3 2 4 3 2" xfId="1830"/>
    <cellStyle name="Финансовый 3 2 4 3 2 2" xfId="3301"/>
    <cellStyle name="Финансовый 3 2 4 3 2 2 2" xfId="9809"/>
    <cellStyle name="Финансовый 3 2 4 3 2 3" xfId="4949"/>
    <cellStyle name="Финансовый 3 2 4 3 2 4" xfId="8338"/>
    <cellStyle name="Финансовый 3 2 4 3 3" xfId="2565"/>
    <cellStyle name="Финансовый 3 2 4 3 3 2" xfId="5688"/>
    <cellStyle name="Финансовый 3 2 4 3 3 3" xfId="9073"/>
    <cellStyle name="Финансовый 3 2 4 3 4" xfId="4213"/>
    <cellStyle name="Финансовый 3 2 4 3 5" xfId="7602"/>
    <cellStyle name="Финансовый 3 2 4 4" xfId="1257"/>
    <cellStyle name="Финансовый 3 2 4 4 2" xfId="2010"/>
    <cellStyle name="Финансовый 3 2 4 4 2 2" xfId="3481"/>
    <cellStyle name="Финансовый 3 2 4 4 2 2 2" xfId="9989"/>
    <cellStyle name="Финансовый 3 2 4 4 2 3" xfId="5129"/>
    <cellStyle name="Финансовый 3 2 4 4 2 4" xfId="8518"/>
    <cellStyle name="Финансовый 3 2 4 4 3" xfId="2745"/>
    <cellStyle name="Финансовый 3 2 4 4 3 2" xfId="5865"/>
    <cellStyle name="Финансовый 3 2 4 4 3 3" xfId="9253"/>
    <cellStyle name="Финансовый 3 2 4 4 4" xfId="4393"/>
    <cellStyle name="Финансовый 3 2 4 4 5" xfId="7782"/>
    <cellStyle name="Финансовый 3 2 4 5" xfId="1459"/>
    <cellStyle name="Финансовый 3 2 4 5 2" xfId="2930"/>
    <cellStyle name="Финансовый 3 2 4 5 2 2" xfId="6045"/>
    <cellStyle name="Финансовый 3 2 4 5 2 3" xfId="9438"/>
    <cellStyle name="Финансовый 3 2 4 5 3" xfId="4578"/>
    <cellStyle name="Финансовый 3 2 4 5 4" xfId="7967"/>
    <cellStyle name="Финансовый 3 2 4 6" xfId="2194"/>
    <cellStyle name="Финансовый 3 2 4 6 2" xfId="6226"/>
    <cellStyle name="Финансовый 3 2 4 6 3" xfId="8702"/>
    <cellStyle name="Финансовый 3 2 4 7" xfId="3661"/>
    <cellStyle name="Финансовый 3 2 4 7 2" xfId="6421"/>
    <cellStyle name="Финансовый 3 2 4 7 3" xfId="10169"/>
    <cellStyle name="Финансовый 3 2 4 8" xfId="6602"/>
    <cellStyle name="Финансовый 3 2 4 9" xfId="6799"/>
    <cellStyle name="Финансовый 3 2 5" xfId="488"/>
    <cellStyle name="Финансовый 3 2 5 10" xfId="7014"/>
    <cellStyle name="Финансовый 3 2 5 11" xfId="5314"/>
    <cellStyle name="Финансовый 3 2 5 12" xfId="3843"/>
    <cellStyle name="Финансовый 3 2 5 13" xfId="7232"/>
    <cellStyle name="Финансовый 3 2 5 2" xfId="893"/>
    <cellStyle name="Финансовый 3 2 5 2 2" xfId="1654"/>
    <cellStyle name="Финансовый 3 2 5 2 2 2" xfId="3125"/>
    <cellStyle name="Финансовый 3 2 5 2 2 2 2" xfId="9633"/>
    <cellStyle name="Финансовый 3 2 5 2 2 3" xfId="4773"/>
    <cellStyle name="Финансовый 3 2 5 2 2 4" xfId="8162"/>
    <cellStyle name="Финансовый 3 2 5 2 3" xfId="2389"/>
    <cellStyle name="Финансовый 3 2 5 2 3 2" xfId="5508"/>
    <cellStyle name="Финансовый 3 2 5 2 3 3" xfId="8897"/>
    <cellStyle name="Финансовый 3 2 5 2 4" xfId="4037"/>
    <cellStyle name="Финансовый 3 2 5 2 5" xfId="7426"/>
    <cellStyle name="Финансовый 3 2 5 3" xfId="1070"/>
    <cellStyle name="Финансовый 3 2 5 3 2" xfId="1831"/>
    <cellStyle name="Финансовый 3 2 5 3 2 2" xfId="3302"/>
    <cellStyle name="Финансовый 3 2 5 3 2 2 2" xfId="9810"/>
    <cellStyle name="Финансовый 3 2 5 3 2 3" xfId="4950"/>
    <cellStyle name="Финансовый 3 2 5 3 2 4" xfId="8339"/>
    <cellStyle name="Финансовый 3 2 5 3 3" xfId="2566"/>
    <cellStyle name="Финансовый 3 2 5 3 3 2" xfId="5689"/>
    <cellStyle name="Финансовый 3 2 5 3 3 3" xfId="9074"/>
    <cellStyle name="Финансовый 3 2 5 3 4" xfId="4214"/>
    <cellStyle name="Финансовый 3 2 5 3 5" xfId="7603"/>
    <cellStyle name="Финансовый 3 2 5 4" xfId="1258"/>
    <cellStyle name="Финансовый 3 2 5 4 2" xfId="2011"/>
    <cellStyle name="Финансовый 3 2 5 4 2 2" xfId="3482"/>
    <cellStyle name="Финансовый 3 2 5 4 2 2 2" xfId="9990"/>
    <cellStyle name="Финансовый 3 2 5 4 2 3" xfId="5130"/>
    <cellStyle name="Финансовый 3 2 5 4 2 4" xfId="8519"/>
    <cellStyle name="Финансовый 3 2 5 4 3" xfId="2746"/>
    <cellStyle name="Финансовый 3 2 5 4 3 2" xfId="5866"/>
    <cellStyle name="Финансовый 3 2 5 4 3 3" xfId="9254"/>
    <cellStyle name="Финансовый 3 2 5 4 4" xfId="4394"/>
    <cellStyle name="Финансовый 3 2 5 4 5" xfId="7783"/>
    <cellStyle name="Финансовый 3 2 5 5" xfId="1460"/>
    <cellStyle name="Финансовый 3 2 5 5 2" xfId="2931"/>
    <cellStyle name="Финансовый 3 2 5 5 2 2" xfId="6046"/>
    <cellStyle name="Финансовый 3 2 5 5 2 3" xfId="9439"/>
    <cellStyle name="Финансовый 3 2 5 5 3" xfId="4579"/>
    <cellStyle name="Финансовый 3 2 5 5 4" xfId="7968"/>
    <cellStyle name="Финансовый 3 2 5 6" xfId="2195"/>
    <cellStyle name="Финансовый 3 2 5 6 2" xfId="6227"/>
    <cellStyle name="Финансовый 3 2 5 6 3" xfId="8703"/>
    <cellStyle name="Финансовый 3 2 5 7" xfId="3662"/>
    <cellStyle name="Финансовый 3 2 5 7 2" xfId="6422"/>
    <cellStyle name="Финансовый 3 2 5 7 3" xfId="10170"/>
    <cellStyle name="Финансовый 3 2 5 8" xfId="6603"/>
    <cellStyle name="Финансовый 3 2 5 9" xfId="6800"/>
    <cellStyle name="Финансовый 3 2 6" xfId="489"/>
    <cellStyle name="Финансовый 3 2 6 10" xfId="7015"/>
    <cellStyle name="Финансовый 3 2 6 11" xfId="5315"/>
    <cellStyle name="Финансовый 3 2 6 12" xfId="3844"/>
    <cellStyle name="Финансовый 3 2 6 13" xfId="7233"/>
    <cellStyle name="Финансовый 3 2 6 2" xfId="894"/>
    <cellStyle name="Финансовый 3 2 6 2 2" xfId="1655"/>
    <cellStyle name="Финансовый 3 2 6 2 2 2" xfId="3126"/>
    <cellStyle name="Финансовый 3 2 6 2 2 2 2" xfId="9634"/>
    <cellStyle name="Финансовый 3 2 6 2 2 3" xfId="4774"/>
    <cellStyle name="Финансовый 3 2 6 2 2 4" xfId="8163"/>
    <cellStyle name="Финансовый 3 2 6 2 3" xfId="2390"/>
    <cellStyle name="Финансовый 3 2 6 2 3 2" xfId="5509"/>
    <cellStyle name="Финансовый 3 2 6 2 3 3" xfId="8898"/>
    <cellStyle name="Финансовый 3 2 6 2 4" xfId="4038"/>
    <cellStyle name="Финансовый 3 2 6 2 5" xfId="7427"/>
    <cellStyle name="Финансовый 3 2 6 3" xfId="1071"/>
    <cellStyle name="Финансовый 3 2 6 3 2" xfId="1832"/>
    <cellStyle name="Финансовый 3 2 6 3 2 2" xfId="3303"/>
    <cellStyle name="Финансовый 3 2 6 3 2 2 2" xfId="9811"/>
    <cellStyle name="Финансовый 3 2 6 3 2 3" xfId="4951"/>
    <cellStyle name="Финансовый 3 2 6 3 2 4" xfId="8340"/>
    <cellStyle name="Финансовый 3 2 6 3 3" xfId="2567"/>
    <cellStyle name="Финансовый 3 2 6 3 3 2" xfId="5690"/>
    <cellStyle name="Финансовый 3 2 6 3 3 3" xfId="9075"/>
    <cellStyle name="Финансовый 3 2 6 3 4" xfId="4215"/>
    <cellStyle name="Финансовый 3 2 6 3 5" xfId="7604"/>
    <cellStyle name="Финансовый 3 2 6 4" xfId="1259"/>
    <cellStyle name="Финансовый 3 2 6 4 2" xfId="2012"/>
    <cellStyle name="Финансовый 3 2 6 4 2 2" xfId="3483"/>
    <cellStyle name="Финансовый 3 2 6 4 2 2 2" xfId="9991"/>
    <cellStyle name="Финансовый 3 2 6 4 2 3" xfId="5131"/>
    <cellStyle name="Финансовый 3 2 6 4 2 4" xfId="8520"/>
    <cellStyle name="Финансовый 3 2 6 4 3" xfId="2747"/>
    <cellStyle name="Финансовый 3 2 6 4 3 2" xfId="5867"/>
    <cellStyle name="Финансовый 3 2 6 4 3 3" xfId="9255"/>
    <cellStyle name="Финансовый 3 2 6 4 4" xfId="4395"/>
    <cellStyle name="Финансовый 3 2 6 4 5" xfId="7784"/>
    <cellStyle name="Финансовый 3 2 6 5" xfId="1461"/>
    <cellStyle name="Финансовый 3 2 6 5 2" xfId="2932"/>
    <cellStyle name="Финансовый 3 2 6 5 2 2" xfId="6047"/>
    <cellStyle name="Финансовый 3 2 6 5 2 3" xfId="9440"/>
    <cellStyle name="Финансовый 3 2 6 5 3" xfId="4580"/>
    <cellStyle name="Финансовый 3 2 6 5 4" xfId="7969"/>
    <cellStyle name="Финансовый 3 2 6 6" xfId="2196"/>
    <cellStyle name="Финансовый 3 2 6 6 2" xfId="6228"/>
    <cellStyle name="Финансовый 3 2 6 6 3" xfId="8704"/>
    <cellStyle name="Финансовый 3 2 6 7" xfId="3663"/>
    <cellStyle name="Финансовый 3 2 6 7 2" xfId="6423"/>
    <cellStyle name="Финансовый 3 2 6 7 3" xfId="10171"/>
    <cellStyle name="Финансовый 3 2 6 8" xfId="6604"/>
    <cellStyle name="Финансовый 3 2 6 9" xfId="6801"/>
    <cellStyle name="Финансовый 3 2 7" xfId="490"/>
    <cellStyle name="Финансовый 3 2 7 10" xfId="7016"/>
    <cellStyle name="Финансовый 3 2 7 11" xfId="5316"/>
    <cellStyle name="Финансовый 3 2 7 12" xfId="3845"/>
    <cellStyle name="Финансовый 3 2 7 13" xfId="7234"/>
    <cellStyle name="Финансовый 3 2 7 2" xfId="895"/>
    <cellStyle name="Финансовый 3 2 7 2 2" xfId="1656"/>
    <cellStyle name="Финансовый 3 2 7 2 2 2" xfId="3127"/>
    <cellStyle name="Финансовый 3 2 7 2 2 2 2" xfId="9635"/>
    <cellStyle name="Финансовый 3 2 7 2 2 3" xfId="4775"/>
    <cellStyle name="Финансовый 3 2 7 2 2 4" xfId="8164"/>
    <cellStyle name="Финансовый 3 2 7 2 3" xfId="2391"/>
    <cellStyle name="Финансовый 3 2 7 2 3 2" xfId="5510"/>
    <cellStyle name="Финансовый 3 2 7 2 3 3" xfId="8899"/>
    <cellStyle name="Финансовый 3 2 7 2 4" xfId="4039"/>
    <cellStyle name="Финансовый 3 2 7 2 5" xfId="7428"/>
    <cellStyle name="Финансовый 3 2 7 3" xfId="1072"/>
    <cellStyle name="Финансовый 3 2 7 3 2" xfId="1833"/>
    <cellStyle name="Финансовый 3 2 7 3 2 2" xfId="3304"/>
    <cellStyle name="Финансовый 3 2 7 3 2 2 2" xfId="9812"/>
    <cellStyle name="Финансовый 3 2 7 3 2 3" xfId="4952"/>
    <cellStyle name="Финансовый 3 2 7 3 2 4" xfId="8341"/>
    <cellStyle name="Финансовый 3 2 7 3 3" xfId="2568"/>
    <cellStyle name="Финансовый 3 2 7 3 3 2" xfId="5691"/>
    <cellStyle name="Финансовый 3 2 7 3 3 3" xfId="9076"/>
    <cellStyle name="Финансовый 3 2 7 3 4" xfId="4216"/>
    <cellStyle name="Финансовый 3 2 7 3 5" xfId="7605"/>
    <cellStyle name="Финансовый 3 2 7 4" xfId="1260"/>
    <cellStyle name="Финансовый 3 2 7 4 2" xfId="2013"/>
    <cellStyle name="Финансовый 3 2 7 4 2 2" xfId="3484"/>
    <cellStyle name="Финансовый 3 2 7 4 2 2 2" xfId="9992"/>
    <cellStyle name="Финансовый 3 2 7 4 2 3" xfId="5132"/>
    <cellStyle name="Финансовый 3 2 7 4 2 4" xfId="8521"/>
    <cellStyle name="Финансовый 3 2 7 4 3" xfId="2748"/>
    <cellStyle name="Финансовый 3 2 7 4 3 2" xfId="5868"/>
    <cellStyle name="Финансовый 3 2 7 4 3 3" xfId="9256"/>
    <cellStyle name="Финансовый 3 2 7 4 4" xfId="4396"/>
    <cellStyle name="Финансовый 3 2 7 4 5" xfId="7785"/>
    <cellStyle name="Финансовый 3 2 7 5" xfId="1462"/>
    <cellStyle name="Финансовый 3 2 7 5 2" xfId="2933"/>
    <cellStyle name="Финансовый 3 2 7 5 2 2" xfId="6048"/>
    <cellStyle name="Финансовый 3 2 7 5 2 3" xfId="9441"/>
    <cellStyle name="Финансовый 3 2 7 5 3" xfId="4581"/>
    <cellStyle name="Финансовый 3 2 7 5 4" xfId="7970"/>
    <cellStyle name="Финансовый 3 2 7 6" xfId="2197"/>
    <cellStyle name="Финансовый 3 2 7 6 2" xfId="6229"/>
    <cellStyle name="Финансовый 3 2 7 6 3" xfId="8705"/>
    <cellStyle name="Финансовый 3 2 7 7" xfId="3664"/>
    <cellStyle name="Финансовый 3 2 7 7 2" xfId="6424"/>
    <cellStyle name="Финансовый 3 2 7 7 3" xfId="10172"/>
    <cellStyle name="Финансовый 3 2 7 8" xfId="6605"/>
    <cellStyle name="Финансовый 3 2 7 9" xfId="6802"/>
    <cellStyle name="Финансовый 3 2 8" xfId="879"/>
    <cellStyle name="Финансовый 3 2 8 2" xfId="1640"/>
    <cellStyle name="Финансовый 3 2 8 2 2" xfId="3111"/>
    <cellStyle name="Финансовый 3 2 8 2 2 2" xfId="9619"/>
    <cellStyle name="Финансовый 3 2 8 2 3" xfId="4759"/>
    <cellStyle name="Финансовый 3 2 8 2 4" xfId="8148"/>
    <cellStyle name="Финансовый 3 2 8 3" xfId="2375"/>
    <cellStyle name="Финансовый 3 2 8 3 2" xfId="5494"/>
    <cellStyle name="Финансовый 3 2 8 3 3" xfId="8883"/>
    <cellStyle name="Финансовый 3 2 8 4" xfId="4023"/>
    <cellStyle name="Финансовый 3 2 8 5" xfId="7412"/>
    <cellStyle name="Финансовый 3 2 9" xfId="1056"/>
    <cellStyle name="Финансовый 3 2 9 2" xfId="1817"/>
    <cellStyle name="Финансовый 3 2 9 2 2" xfId="3288"/>
    <cellStyle name="Финансовый 3 2 9 2 2 2" xfId="9796"/>
    <cellStyle name="Финансовый 3 2 9 2 3" xfId="4936"/>
    <cellStyle name="Финансовый 3 2 9 2 4" xfId="8325"/>
    <cellStyle name="Финансовый 3 2 9 3" xfId="2552"/>
    <cellStyle name="Финансовый 3 2 9 3 2" xfId="5675"/>
    <cellStyle name="Финансовый 3 2 9 3 3" xfId="9060"/>
    <cellStyle name="Финансовый 3 2 9 4" xfId="4200"/>
    <cellStyle name="Финансовый 3 2 9 5" xfId="7589"/>
    <cellStyle name="Финансовый 3 20" xfId="7217"/>
    <cellStyle name="Финансовый 3 3" xfId="491"/>
    <cellStyle name="Финансовый 3 3 10" xfId="2198"/>
    <cellStyle name="Финансовый 3 3 10 2" xfId="6230"/>
    <cellStyle name="Финансовый 3 3 10 3" xfId="8706"/>
    <cellStyle name="Финансовый 3 3 11" xfId="3665"/>
    <cellStyle name="Финансовый 3 3 11 2" xfId="6425"/>
    <cellStyle name="Финансовый 3 3 11 3" xfId="10173"/>
    <cellStyle name="Финансовый 3 3 12" xfId="6606"/>
    <cellStyle name="Финансовый 3 3 13" xfId="6803"/>
    <cellStyle name="Финансовый 3 3 14" xfId="7017"/>
    <cellStyle name="Финансовый 3 3 15" xfId="5317"/>
    <cellStyle name="Финансовый 3 3 16" xfId="3846"/>
    <cellStyle name="Финансовый 3 3 17" xfId="7235"/>
    <cellStyle name="Финансовый 3 3 2" xfId="492"/>
    <cellStyle name="Финансовый 3 3 2 10" xfId="3666"/>
    <cellStyle name="Финансовый 3 3 2 10 2" xfId="6426"/>
    <cellStyle name="Финансовый 3 3 2 10 3" xfId="10174"/>
    <cellStyle name="Финансовый 3 3 2 11" xfId="6607"/>
    <cellStyle name="Финансовый 3 3 2 12" xfId="6804"/>
    <cellStyle name="Финансовый 3 3 2 13" xfId="7018"/>
    <cellStyle name="Финансовый 3 3 2 14" xfId="5318"/>
    <cellStyle name="Финансовый 3 3 2 15" xfId="3847"/>
    <cellStyle name="Финансовый 3 3 2 16" xfId="7236"/>
    <cellStyle name="Финансовый 3 3 2 2" xfId="493"/>
    <cellStyle name="Финансовый 3 3 2 2 10" xfId="7019"/>
    <cellStyle name="Финансовый 3 3 2 2 11" xfId="5319"/>
    <cellStyle name="Финансовый 3 3 2 2 12" xfId="3848"/>
    <cellStyle name="Финансовый 3 3 2 2 13" xfId="7237"/>
    <cellStyle name="Финансовый 3 3 2 2 2" xfId="898"/>
    <cellStyle name="Финансовый 3 3 2 2 2 2" xfId="1659"/>
    <cellStyle name="Финансовый 3 3 2 2 2 2 2" xfId="3130"/>
    <cellStyle name="Финансовый 3 3 2 2 2 2 2 2" xfId="9638"/>
    <cellStyle name="Финансовый 3 3 2 2 2 2 3" xfId="4778"/>
    <cellStyle name="Финансовый 3 3 2 2 2 2 4" xfId="8167"/>
    <cellStyle name="Финансовый 3 3 2 2 2 3" xfId="2394"/>
    <cellStyle name="Финансовый 3 3 2 2 2 3 2" xfId="5513"/>
    <cellStyle name="Финансовый 3 3 2 2 2 3 3" xfId="8902"/>
    <cellStyle name="Финансовый 3 3 2 2 2 4" xfId="4042"/>
    <cellStyle name="Финансовый 3 3 2 2 2 5" xfId="7431"/>
    <cellStyle name="Финансовый 3 3 2 2 3" xfId="1075"/>
    <cellStyle name="Финансовый 3 3 2 2 3 2" xfId="1836"/>
    <cellStyle name="Финансовый 3 3 2 2 3 2 2" xfId="3307"/>
    <cellStyle name="Финансовый 3 3 2 2 3 2 2 2" xfId="9815"/>
    <cellStyle name="Финансовый 3 3 2 2 3 2 3" xfId="4955"/>
    <cellStyle name="Финансовый 3 3 2 2 3 2 4" xfId="8344"/>
    <cellStyle name="Финансовый 3 3 2 2 3 3" xfId="2571"/>
    <cellStyle name="Финансовый 3 3 2 2 3 3 2" xfId="5694"/>
    <cellStyle name="Финансовый 3 3 2 2 3 3 3" xfId="9079"/>
    <cellStyle name="Финансовый 3 3 2 2 3 4" xfId="4219"/>
    <cellStyle name="Финансовый 3 3 2 2 3 5" xfId="7608"/>
    <cellStyle name="Финансовый 3 3 2 2 4" xfId="1263"/>
    <cellStyle name="Финансовый 3 3 2 2 4 2" xfId="2016"/>
    <cellStyle name="Финансовый 3 3 2 2 4 2 2" xfId="3487"/>
    <cellStyle name="Финансовый 3 3 2 2 4 2 2 2" xfId="9995"/>
    <cellStyle name="Финансовый 3 3 2 2 4 2 3" xfId="5135"/>
    <cellStyle name="Финансовый 3 3 2 2 4 2 4" xfId="8524"/>
    <cellStyle name="Финансовый 3 3 2 2 4 3" xfId="2751"/>
    <cellStyle name="Финансовый 3 3 2 2 4 3 2" xfId="5871"/>
    <cellStyle name="Финансовый 3 3 2 2 4 3 3" xfId="9259"/>
    <cellStyle name="Финансовый 3 3 2 2 4 4" xfId="4399"/>
    <cellStyle name="Финансовый 3 3 2 2 4 5" xfId="7788"/>
    <cellStyle name="Финансовый 3 3 2 2 5" xfId="1465"/>
    <cellStyle name="Финансовый 3 3 2 2 5 2" xfId="2936"/>
    <cellStyle name="Финансовый 3 3 2 2 5 2 2" xfId="6051"/>
    <cellStyle name="Финансовый 3 3 2 2 5 2 3" xfId="9444"/>
    <cellStyle name="Финансовый 3 3 2 2 5 3" xfId="4584"/>
    <cellStyle name="Финансовый 3 3 2 2 5 4" xfId="7973"/>
    <cellStyle name="Финансовый 3 3 2 2 6" xfId="2200"/>
    <cellStyle name="Финансовый 3 3 2 2 6 2" xfId="6232"/>
    <cellStyle name="Финансовый 3 3 2 2 6 3" xfId="8708"/>
    <cellStyle name="Финансовый 3 3 2 2 7" xfId="3667"/>
    <cellStyle name="Финансовый 3 3 2 2 7 2" xfId="6427"/>
    <cellStyle name="Финансовый 3 3 2 2 7 3" xfId="10175"/>
    <cellStyle name="Финансовый 3 3 2 2 8" xfId="6608"/>
    <cellStyle name="Финансовый 3 3 2 2 9" xfId="6805"/>
    <cellStyle name="Финансовый 3 3 2 3" xfId="494"/>
    <cellStyle name="Финансовый 3 3 2 3 10" xfId="7020"/>
    <cellStyle name="Финансовый 3 3 2 3 11" xfId="5320"/>
    <cellStyle name="Финансовый 3 3 2 3 12" xfId="3849"/>
    <cellStyle name="Финансовый 3 3 2 3 13" xfId="7238"/>
    <cellStyle name="Финансовый 3 3 2 3 2" xfId="899"/>
    <cellStyle name="Финансовый 3 3 2 3 2 2" xfId="1660"/>
    <cellStyle name="Финансовый 3 3 2 3 2 2 2" xfId="3131"/>
    <cellStyle name="Финансовый 3 3 2 3 2 2 2 2" xfId="9639"/>
    <cellStyle name="Финансовый 3 3 2 3 2 2 3" xfId="4779"/>
    <cellStyle name="Финансовый 3 3 2 3 2 2 4" xfId="8168"/>
    <cellStyle name="Финансовый 3 3 2 3 2 3" xfId="2395"/>
    <cellStyle name="Финансовый 3 3 2 3 2 3 2" xfId="5514"/>
    <cellStyle name="Финансовый 3 3 2 3 2 3 3" xfId="8903"/>
    <cellStyle name="Финансовый 3 3 2 3 2 4" xfId="4043"/>
    <cellStyle name="Финансовый 3 3 2 3 2 5" xfId="7432"/>
    <cellStyle name="Финансовый 3 3 2 3 3" xfId="1076"/>
    <cellStyle name="Финансовый 3 3 2 3 3 2" xfId="1837"/>
    <cellStyle name="Финансовый 3 3 2 3 3 2 2" xfId="3308"/>
    <cellStyle name="Финансовый 3 3 2 3 3 2 2 2" xfId="9816"/>
    <cellStyle name="Финансовый 3 3 2 3 3 2 3" xfId="4956"/>
    <cellStyle name="Финансовый 3 3 2 3 3 2 4" xfId="8345"/>
    <cellStyle name="Финансовый 3 3 2 3 3 3" xfId="2572"/>
    <cellStyle name="Финансовый 3 3 2 3 3 3 2" xfId="5695"/>
    <cellStyle name="Финансовый 3 3 2 3 3 3 3" xfId="9080"/>
    <cellStyle name="Финансовый 3 3 2 3 3 4" xfId="4220"/>
    <cellStyle name="Финансовый 3 3 2 3 3 5" xfId="7609"/>
    <cellStyle name="Финансовый 3 3 2 3 4" xfId="1264"/>
    <cellStyle name="Финансовый 3 3 2 3 4 2" xfId="2017"/>
    <cellStyle name="Финансовый 3 3 2 3 4 2 2" xfId="3488"/>
    <cellStyle name="Финансовый 3 3 2 3 4 2 2 2" xfId="9996"/>
    <cellStyle name="Финансовый 3 3 2 3 4 2 3" xfId="5136"/>
    <cellStyle name="Финансовый 3 3 2 3 4 2 4" xfId="8525"/>
    <cellStyle name="Финансовый 3 3 2 3 4 3" xfId="2752"/>
    <cellStyle name="Финансовый 3 3 2 3 4 3 2" xfId="5872"/>
    <cellStyle name="Финансовый 3 3 2 3 4 3 3" xfId="9260"/>
    <cellStyle name="Финансовый 3 3 2 3 4 4" xfId="4400"/>
    <cellStyle name="Финансовый 3 3 2 3 4 5" xfId="7789"/>
    <cellStyle name="Финансовый 3 3 2 3 5" xfId="1466"/>
    <cellStyle name="Финансовый 3 3 2 3 5 2" xfId="2937"/>
    <cellStyle name="Финансовый 3 3 2 3 5 2 2" xfId="6052"/>
    <cellStyle name="Финансовый 3 3 2 3 5 2 3" xfId="9445"/>
    <cellStyle name="Финансовый 3 3 2 3 5 3" xfId="4585"/>
    <cellStyle name="Финансовый 3 3 2 3 5 4" xfId="7974"/>
    <cellStyle name="Финансовый 3 3 2 3 6" xfId="2201"/>
    <cellStyle name="Финансовый 3 3 2 3 6 2" xfId="6233"/>
    <cellStyle name="Финансовый 3 3 2 3 6 3" xfId="8709"/>
    <cellStyle name="Финансовый 3 3 2 3 7" xfId="3668"/>
    <cellStyle name="Финансовый 3 3 2 3 7 2" xfId="6428"/>
    <cellStyle name="Финансовый 3 3 2 3 7 3" xfId="10176"/>
    <cellStyle name="Финансовый 3 3 2 3 8" xfId="6609"/>
    <cellStyle name="Финансовый 3 3 2 3 9" xfId="6806"/>
    <cellStyle name="Финансовый 3 3 2 4" xfId="495"/>
    <cellStyle name="Финансовый 3 3 2 4 10" xfId="7021"/>
    <cellStyle name="Финансовый 3 3 2 4 11" xfId="5321"/>
    <cellStyle name="Финансовый 3 3 2 4 12" xfId="3850"/>
    <cellStyle name="Финансовый 3 3 2 4 13" xfId="7239"/>
    <cellStyle name="Финансовый 3 3 2 4 2" xfId="900"/>
    <cellStyle name="Финансовый 3 3 2 4 2 2" xfId="1661"/>
    <cellStyle name="Финансовый 3 3 2 4 2 2 2" xfId="3132"/>
    <cellStyle name="Финансовый 3 3 2 4 2 2 2 2" xfId="9640"/>
    <cellStyle name="Финансовый 3 3 2 4 2 2 3" xfId="4780"/>
    <cellStyle name="Финансовый 3 3 2 4 2 2 4" xfId="8169"/>
    <cellStyle name="Финансовый 3 3 2 4 2 3" xfId="2396"/>
    <cellStyle name="Финансовый 3 3 2 4 2 3 2" xfId="5515"/>
    <cellStyle name="Финансовый 3 3 2 4 2 3 3" xfId="8904"/>
    <cellStyle name="Финансовый 3 3 2 4 2 4" xfId="4044"/>
    <cellStyle name="Финансовый 3 3 2 4 2 5" xfId="7433"/>
    <cellStyle name="Финансовый 3 3 2 4 3" xfId="1077"/>
    <cellStyle name="Финансовый 3 3 2 4 3 2" xfId="1838"/>
    <cellStyle name="Финансовый 3 3 2 4 3 2 2" xfId="3309"/>
    <cellStyle name="Финансовый 3 3 2 4 3 2 2 2" xfId="9817"/>
    <cellStyle name="Финансовый 3 3 2 4 3 2 3" xfId="4957"/>
    <cellStyle name="Финансовый 3 3 2 4 3 2 4" xfId="8346"/>
    <cellStyle name="Финансовый 3 3 2 4 3 3" xfId="2573"/>
    <cellStyle name="Финансовый 3 3 2 4 3 3 2" xfId="5696"/>
    <cellStyle name="Финансовый 3 3 2 4 3 3 3" xfId="9081"/>
    <cellStyle name="Финансовый 3 3 2 4 3 4" xfId="4221"/>
    <cellStyle name="Финансовый 3 3 2 4 3 5" xfId="7610"/>
    <cellStyle name="Финансовый 3 3 2 4 4" xfId="1265"/>
    <cellStyle name="Финансовый 3 3 2 4 4 2" xfId="2018"/>
    <cellStyle name="Финансовый 3 3 2 4 4 2 2" xfId="3489"/>
    <cellStyle name="Финансовый 3 3 2 4 4 2 2 2" xfId="9997"/>
    <cellStyle name="Финансовый 3 3 2 4 4 2 3" xfId="5137"/>
    <cellStyle name="Финансовый 3 3 2 4 4 2 4" xfId="8526"/>
    <cellStyle name="Финансовый 3 3 2 4 4 3" xfId="2753"/>
    <cellStyle name="Финансовый 3 3 2 4 4 3 2" xfId="5873"/>
    <cellStyle name="Финансовый 3 3 2 4 4 3 3" xfId="9261"/>
    <cellStyle name="Финансовый 3 3 2 4 4 4" xfId="4401"/>
    <cellStyle name="Финансовый 3 3 2 4 4 5" xfId="7790"/>
    <cellStyle name="Финансовый 3 3 2 4 5" xfId="1467"/>
    <cellStyle name="Финансовый 3 3 2 4 5 2" xfId="2938"/>
    <cellStyle name="Финансовый 3 3 2 4 5 2 2" xfId="6053"/>
    <cellStyle name="Финансовый 3 3 2 4 5 2 3" xfId="9446"/>
    <cellStyle name="Финансовый 3 3 2 4 5 3" xfId="4586"/>
    <cellStyle name="Финансовый 3 3 2 4 5 4" xfId="7975"/>
    <cellStyle name="Финансовый 3 3 2 4 6" xfId="2202"/>
    <cellStyle name="Финансовый 3 3 2 4 6 2" xfId="6234"/>
    <cellStyle name="Финансовый 3 3 2 4 6 3" xfId="8710"/>
    <cellStyle name="Финансовый 3 3 2 4 7" xfId="3669"/>
    <cellStyle name="Финансовый 3 3 2 4 7 2" xfId="6429"/>
    <cellStyle name="Финансовый 3 3 2 4 7 3" xfId="10177"/>
    <cellStyle name="Финансовый 3 3 2 4 8" xfId="6610"/>
    <cellStyle name="Финансовый 3 3 2 4 9" xfId="6807"/>
    <cellStyle name="Финансовый 3 3 2 5" xfId="897"/>
    <cellStyle name="Финансовый 3 3 2 5 2" xfId="1658"/>
    <cellStyle name="Финансовый 3 3 2 5 2 2" xfId="3129"/>
    <cellStyle name="Финансовый 3 3 2 5 2 2 2" xfId="9637"/>
    <cellStyle name="Финансовый 3 3 2 5 2 3" xfId="4777"/>
    <cellStyle name="Финансовый 3 3 2 5 2 4" xfId="8166"/>
    <cellStyle name="Финансовый 3 3 2 5 3" xfId="2393"/>
    <cellStyle name="Финансовый 3 3 2 5 3 2" xfId="5512"/>
    <cellStyle name="Финансовый 3 3 2 5 3 3" xfId="8901"/>
    <cellStyle name="Финансовый 3 3 2 5 4" xfId="4041"/>
    <cellStyle name="Финансовый 3 3 2 5 5" xfId="7430"/>
    <cellStyle name="Финансовый 3 3 2 6" xfId="1074"/>
    <cellStyle name="Финансовый 3 3 2 6 2" xfId="1835"/>
    <cellStyle name="Финансовый 3 3 2 6 2 2" xfId="3306"/>
    <cellStyle name="Финансовый 3 3 2 6 2 2 2" xfId="9814"/>
    <cellStyle name="Финансовый 3 3 2 6 2 3" xfId="4954"/>
    <cellStyle name="Финансовый 3 3 2 6 2 4" xfId="8343"/>
    <cellStyle name="Финансовый 3 3 2 6 3" xfId="2570"/>
    <cellStyle name="Финансовый 3 3 2 6 3 2" xfId="5693"/>
    <cellStyle name="Финансовый 3 3 2 6 3 3" xfId="9078"/>
    <cellStyle name="Финансовый 3 3 2 6 4" xfId="4218"/>
    <cellStyle name="Финансовый 3 3 2 6 5" xfId="7607"/>
    <cellStyle name="Финансовый 3 3 2 7" xfId="1262"/>
    <cellStyle name="Финансовый 3 3 2 7 2" xfId="2015"/>
    <cellStyle name="Финансовый 3 3 2 7 2 2" xfId="3486"/>
    <cellStyle name="Финансовый 3 3 2 7 2 2 2" xfId="9994"/>
    <cellStyle name="Финансовый 3 3 2 7 2 3" xfId="5134"/>
    <cellStyle name="Финансовый 3 3 2 7 2 4" xfId="8523"/>
    <cellStyle name="Финансовый 3 3 2 7 3" xfId="2750"/>
    <cellStyle name="Финансовый 3 3 2 7 3 2" xfId="5870"/>
    <cellStyle name="Финансовый 3 3 2 7 3 3" xfId="9258"/>
    <cellStyle name="Финансовый 3 3 2 7 4" xfId="4398"/>
    <cellStyle name="Финансовый 3 3 2 7 5" xfId="7787"/>
    <cellStyle name="Финансовый 3 3 2 8" xfId="1464"/>
    <cellStyle name="Финансовый 3 3 2 8 2" xfId="2935"/>
    <cellStyle name="Финансовый 3 3 2 8 2 2" xfId="6050"/>
    <cellStyle name="Финансовый 3 3 2 8 2 3" xfId="9443"/>
    <cellStyle name="Финансовый 3 3 2 8 3" xfId="4583"/>
    <cellStyle name="Финансовый 3 3 2 8 4" xfId="7972"/>
    <cellStyle name="Финансовый 3 3 2 9" xfId="2199"/>
    <cellStyle name="Финансовый 3 3 2 9 2" xfId="6231"/>
    <cellStyle name="Финансовый 3 3 2 9 3" xfId="8707"/>
    <cellStyle name="Финансовый 3 3 3" xfId="496"/>
    <cellStyle name="Финансовый 3 3 3 10" xfId="7022"/>
    <cellStyle name="Финансовый 3 3 3 11" xfId="5322"/>
    <cellStyle name="Финансовый 3 3 3 12" xfId="3851"/>
    <cellStyle name="Финансовый 3 3 3 13" xfId="7240"/>
    <cellStyle name="Финансовый 3 3 3 2" xfId="901"/>
    <cellStyle name="Финансовый 3 3 3 2 2" xfId="1662"/>
    <cellStyle name="Финансовый 3 3 3 2 2 2" xfId="3133"/>
    <cellStyle name="Финансовый 3 3 3 2 2 2 2" xfId="9641"/>
    <cellStyle name="Финансовый 3 3 3 2 2 3" xfId="4781"/>
    <cellStyle name="Финансовый 3 3 3 2 2 4" xfId="8170"/>
    <cellStyle name="Финансовый 3 3 3 2 3" xfId="2397"/>
    <cellStyle name="Финансовый 3 3 3 2 3 2" xfId="5516"/>
    <cellStyle name="Финансовый 3 3 3 2 3 3" xfId="8905"/>
    <cellStyle name="Финансовый 3 3 3 2 4" xfId="4045"/>
    <cellStyle name="Финансовый 3 3 3 2 5" xfId="7434"/>
    <cellStyle name="Финансовый 3 3 3 3" xfId="1078"/>
    <cellStyle name="Финансовый 3 3 3 3 2" xfId="1839"/>
    <cellStyle name="Финансовый 3 3 3 3 2 2" xfId="3310"/>
    <cellStyle name="Финансовый 3 3 3 3 2 2 2" xfId="9818"/>
    <cellStyle name="Финансовый 3 3 3 3 2 3" xfId="4958"/>
    <cellStyle name="Финансовый 3 3 3 3 2 4" xfId="8347"/>
    <cellStyle name="Финансовый 3 3 3 3 3" xfId="2574"/>
    <cellStyle name="Финансовый 3 3 3 3 3 2" xfId="5697"/>
    <cellStyle name="Финансовый 3 3 3 3 3 3" xfId="9082"/>
    <cellStyle name="Финансовый 3 3 3 3 4" xfId="4222"/>
    <cellStyle name="Финансовый 3 3 3 3 5" xfId="7611"/>
    <cellStyle name="Финансовый 3 3 3 4" xfId="1266"/>
    <cellStyle name="Финансовый 3 3 3 4 2" xfId="2019"/>
    <cellStyle name="Финансовый 3 3 3 4 2 2" xfId="3490"/>
    <cellStyle name="Финансовый 3 3 3 4 2 2 2" xfId="9998"/>
    <cellStyle name="Финансовый 3 3 3 4 2 3" xfId="5138"/>
    <cellStyle name="Финансовый 3 3 3 4 2 4" xfId="8527"/>
    <cellStyle name="Финансовый 3 3 3 4 3" xfId="2754"/>
    <cellStyle name="Финансовый 3 3 3 4 3 2" xfId="5874"/>
    <cellStyle name="Финансовый 3 3 3 4 3 3" xfId="9262"/>
    <cellStyle name="Финансовый 3 3 3 4 4" xfId="4402"/>
    <cellStyle name="Финансовый 3 3 3 4 5" xfId="7791"/>
    <cellStyle name="Финансовый 3 3 3 5" xfId="1468"/>
    <cellStyle name="Финансовый 3 3 3 5 2" xfId="2939"/>
    <cellStyle name="Финансовый 3 3 3 5 2 2" xfId="6054"/>
    <cellStyle name="Финансовый 3 3 3 5 2 3" xfId="9447"/>
    <cellStyle name="Финансовый 3 3 3 5 3" xfId="4587"/>
    <cellStyle name="Финансовый 3 3 3 5 4" xfId="7976"/>
    <cellStyle name="Финансовый 3 3 3 6" xfId="2203"/>
    <cellStyle name="Финансовый 3 3 3 6 2" xfId="6235"/>
    <cellStyle name="Финансовый 3 3 3 6 3" xfId="8711"/>
    <cellStyle name="Финансовый 3 3 3 7" xfId="3670"/>
    <cellStyle name="Финансовый 3 3 3 7 2" xfId="6430"/>
    <cellStyle name="Финансовый 3 3 3 7 3" xfId="10178"/>
    <cellStyle name="Финансовый 3 3 3 8" xfId="6611"/>
    <cellStyle name="Финансовый 3 3 3 9" xfId="6808"/>
    <cellStyle name="Финансовый 3 3 4" xfId="497"/>
    <cellStyle name="Финансовый 3 3 4 10" xfId="7023"/>
    <cellStyle name="Финансовый 3 3 4 11" xfId="5323"/>
    <cellStyle name="Финансовый 3 3 4 12" xfId="3852"/>
    <cellStyle name="Финансовый 3 3 4 13" xfId="7241"/>
    <cellStyle name="Финансовый 3 3 4 2" xfId="902"/>
    <cellStyle name="Финансовый 3 3 4 2 2" xfId="1663"/>
    <cellStyle name="Финансовый 3 3 4 2 2 2" xfId="3134"/>
    <cellStyle name="Финансовый 3 3 4 2 2 2 2" xfId="9642"/>
    <cellStyle name="Финансовый 3 3 4 2 2 3" xfId="4782"/>
    <cellStyle name="Финансовый 3 3 4 2 2 4" xfId="8171"/>
    <cellStyle name="Финансовый 3 3 4 2 3" xfId="2398"/>
    <cellStyle name="Финансовый 3 3 4 2 3 2" xfId="5517"/>
    <cellStyle name="Финансовый 3 3 4 2 3 3" xfId="8906"/>
    <cellStyle name="Финансовый 3 3 4 2 4" xfId="4046"/>
    <cellStyle name="Финансовый 3 3 4 2 5" xfId="7435"/>
    <cellStyle name="Финансовый 3 3 4 3" xfId="1079"/>
    <cellStyle name="Финансовый 3 3 4 3 2" xfId="1840"/>
    <cellStyle name="Финансовый 3 3 4 3 2 2" xfId="3311"/>
    <cellStyle name="Финансовый 3 3 4 3 2 2 2" xfId="9819"/>
    <cellStyle name="Финансовый 3 3 4 3 2 3" xfId="4959"/>
    <cellStyle name="Финансовый 3 3 4 3 2 4" xfId="8348"/>
    <cellStyle name="Финансовый 3 3 4 3 3" xfId="2575"/>
    <cellStyle name="Финансовый 3 3 4 3 3 2" xfId="5698"/>
    <cellStyle name="Финансовый 3 3 4 3 3 3" xfId="9083"/>
    <cellStyle name="Финансовый 3 3 4 3 4" xfId="4223"/>
    <cellStyle name="Финансовый 3 3 4 3 5" xfId="7612"/>
    <cellStyle name="Финансовый 3 3 4 4" xfId="1267"/>
    <cellStyle name="Финансовый 3 3 4 4 2" xfId="2020"/>
    <cellStyle name="Финансовый 3 3 4 4 2 2" xfId="3491"/>
    <cellStyle name="Финансовый 3 3 4 4 2 2 2" xfId="9999"/>
    <cellStyle name="Финансовый 3 3 4 4 2 3" xfId="5139"/>
    <cellStyle name="Финансовый 3 3 4 4 2 4" xfId="8528"/>
    <cellStyle name="Финансовый 3 3 4 4 3" xfId="2755"/>
    <cellStyle name="Финансовый 3 3 4 4 3 2" xfId="5875"/>
    <cellStyle name="Финансовый 3 3 4 4 3 3" xfId="9263"/>
    <cellStyle name="Финансовый 3 3 4 4 4" xfId="4403"/>
    <cellStyle name="Финансовый 3 3 4 4 5" xfId="7792"/>
    <cellStyle name="Финансовый 3 3 4 5" xfId="1469"/>
    <cellStyle name="Финансовый 3 3 4 5 2" xfId="2940"/>
    <cellStyle name="Финансовый 3 3 4 5 2 2" xfId="6055"/>
    <cellStyle name="Финансовый 3 3 4 5 2 3" xfId="9448"/>
    <cellStyle name="Финансовый 3 3 4 5 3" xfId="4588"/>
    <cellStyle name="Финансовый 3 3 4 5 4" xfId="7977"/>
    <cellStyle name="Финансовый 3 3 4 6" xfId="2204"/>
    <cellStyle name="Финансовый 3 3 4 6 2" xfId="6236"/>
    <cellStyle name="Финансовый 3 3 4 6 3" xfId="8712"/>
    <cellStyle name="Финансовый 3 3 4 7" xfId="3671"/>
    <cellStyle name="Финансовый 3 3 4 7 2" xfId="6431"/>
    <cellStyle name="Финансовый 3 3 4 7 3" xfId="10179"/>
    <cellStyle name="Финансовый 3 3 4 8" xfId="6612"/>
    <cellStyle name="Финансовый 3 3 4 9" xfId="6809"/>
    <cellStyle name="Финансовый 3 3 5" xfId="498"/>
    <cellStyle name="Финансовый 3 3 5 10" xfId="7024"/>
    <cellStyle name="Финансовый 3 3 5 11" xfId="5324"/>
    <cellStyle name="Финансовый 3 3 5 12" xfId="3853"/>
    <cellStyle name="Финансовый 3 3 5 13" xfId="7242"/>
    <cellStyle name="Финансовый 3 3 5 2" xfId="903"/>
    <cellStyle name="Финансовый 3 3 5 2 2" xfId="1664"/>
    <cellStyle name="Финансовый 3 3 5 2 2 2" xfId="3135"/>
    <cellStyle name="Финансовый 3 3 5 2 2 2 2" xfId="9643"/>
    <cellStyle name="Финансовый 3 3 5 2 2 3" xfId="4783"/>
    <cellStyle name="Финансовый 3 3 5 2 2 4" xfId="8172"/>
    <cellStyle name="Финансовый 3 3 5 2 3" xfId="2399"/>
    <cellStyle name="Финансовый 3 3 5 2 3 2" xfId="5518"/>
    <cellStyle name="Финансовый 3 3 5 2 3 3" xfId="8907"/>
    <cellStyle name="Финансовый 3 3 5 2 4" xfId="4047"/>
    <cellStyle name="Финансовый 3 3 5 2 5" xfId="7436"/>
    <cellStyle name="Финансовый 3 3 5 3" xfId="1080"/>
    <cellStyle name="Финансовый 3 3 5 3 2" xfId="1841"/>
    <cellStyle name="Финансовый 3 3 5 3 2 2" xfId="3312"/>
    <cellStyle name="Финансовый 3 3 5 3 2 2 2" xfId="9820"/>
    <cellStyle name="Финансовый 3 3 5 3 2 3" xfId="4960"/>
    <cellStyle name="Финансовый 3 3 5 3 2 4" xfId="8349"/>
    <cellStyle name="Финансовый 3 3 5 3 3" xfId="2576"/>
    <cellStyle name="Финансовый 3 3 5 3 3 2" xfId="5699"/>
    <cellStyle name="Финансовый 3 3 5 3 3 3" xfId="9084"/>
    <cellStyle name="Финансовый 3 3 5 3 4" xfId="4224"/>
    <cellStyle name="Финансовый 3 3 5 3 5" xfId="7613"/>
    <cellStyle name="Финансовый 3 3 5 4" xfId="1268"/>
    <cellStyle name="Финансовый 3 3 5 4 2" xfId="2021"/>
    <cellStyle name="Финансовый 3 3 5 4 2 2" xfId="3492"/>
    <cellStyle name="Финансовый 3 3 5 4 2 2 2" xfId="10000"/>
    <cellStyle name="Финансовый 3 3 5 4 2 3" xfId="5140"/>
    <cellStyle name="Финансовый 3 3 5 4 2 4" xfId="8529"/>
    <cellStyle name="Финансовый 3 3 5 4 3" xfId="2756"/>
    <cellStyle name="Финансовый 3 3 5 4 3 2" xfId="5876"/>
    <cellStyle name="Финансовый 3 3 5 4 3 3" xfId="9264"/>
    <cellStyle name="Финансовый 3 3 5 4 4" xfId="4404"/>
    <cellStyle name="Финансовый 3 3 5 4 5" xfId="7793"/>
    <cellStyle name="Финансовый 3 3 5 5" xfId="1470"/>
    <cellStyle name="Финансовый 3 3 5 5 2" xfId="2941"/>
    <cellStyle name="Финансовый 3 3 5 5 2 2" xfId="6056"/>
    <cellStyle name="Финансовый 3 3 5 5 2 3" xfId="9449"/>
    <cellStyle name="Финансовый 3 3 5 5 3" xfId="4589"/>
    <cellStyle name="Финансовый 3 3 5 5 4" xfId="7978"/>
    <cellStyle name="Финансовый 3 3 5 6" xfId="2205"/>
    <cellStyle name="Финансовый 3 3 5 6 2" xfId="6237"/>
    <cellStyle name="Финансовый 3 3 5 6 3" xfId="8713"/>
    <cellStyle name="Финансовый 3 3 5 7" xfId="3672"/>
    <cellStyle name="Финансовый 3 3 5 7 2" xfId="6432"/>
    <cellStyle name="Финансовый 3 3 5 7 3" xfId="10180"/>
    <cellStyle name="Финансовый 3 3 5 8" xfId="6613"/>
    <cellStyle name="Финансовый 3 3 5 9" xfId="6810"/>
    <cellStyle name="Финансовый 3 3 6" xfId="896"/>
    <cellStyle name="Финансовый 3 3 6 2" xfId="1657"/>
    <cellStyle name="Финансовый 3 3 6 2 2" xfId="3128"/>
    <cellStyle name="Финансовый 3 3 6 2 2 2" xfId="9636"/>
    <cellStyle name="Финансовый 3 3 6 2 3" xfId="4776"/>
    <cellStyle name="Финансовый 3 3 6 2 4" xfId="8165"/>
    <cellStyle name="Финансовый 3 3 6 3" xfId="2392"/>
    <cellStyle name="Финансовый 3 3 6 3 2" xfId="5511"/>
    <cellStyle name="Финансовый 3 3 6 3 3" xfId="8900"/>
    <cellStyle name="Финансовый 3 3 6 4" xfId="4040"/>
    <cellStyle name="Финансовый 3 3 6 5" xfId="7429"/>
    <cellStyle name="Финансовый 3 3 7" xfId="1073"/>
    <cellStyle name="Финансовый 3 3 7 2" xfId="1834"/>
    <cellStyle name="Финансовый 3 3 7 2 2" xfId="3305"/>
    <cellStyle name="Финансовый 3 3 7 2 2 2" xfId="9813"/>
    <cellStyle name="Финансовый 3 3 7 2 3" xfId="4953"/>
    <cellStyle name="Финансовый 3 3 7 2 4" xfId="8342"/>
    <cellStyle name="Финансовый 3 3 7 3" xfId="2569"/>
    <cellStyle name="Финансовый 3 3 7 3 2" xfId="5692"/>
    <cellStyle name="Финансовый 3 3 7 3 3" xfId="9077"/>
    <cellStyle name="Финансовый 3 3 7 4" xfId="4217"/>
    <cellStyle name="Финансовый 3 3 7 5" xfId="7606"/>
    <cellStyle name="Финансовый 3 3 8" xfId="1261"/>
    <cellStyle name="Финансовый 3 3 8 2" xfId="2014"/>
    <cellStyle name="Финансовый 3 3 8 2 2" xfId="3485"/>
    <cellStyle name="Финансовый 3 3 8 2 2 2" xfId="9993"/>
    <cellStyle name="Финансовый 3 3 8 2 3" xfId="5133"/>
    <cellStyle name="Финансовый 3 3 8 2 4" xfId="8522"/>
    <cellStyle name="Финансовый 3 3 8 3" xfId="2749"/>
    <cellStyle name="Финансовый 3 3 8 3 2" xfId="5869"/>
    <cellStyle name="Финансовый 3 3 8 3 3" xfId="9257"/>
    <cellStyle name="Финансовый 3 3 8 4" xfId="4397"/>
    <cellStyle name="Финансовый 3 3 8 5" xfId="7786"/>
    <cellStyle name="Финансовый 3 3 9" xfId="1463"/>
    <cellStyle name="Финансовый 3 3 9 2" xfId="2934"/>
    <cellStyle name="Финансовый 3 3 9 2 2" xfId="6049"/>
    <cellStyle name="Финансовый 3 3 9 2 3" xfId="9442"/>
    <cellStyle name="Финансовый 3 3 9 3" xfId="4582"/>
    <cellStyle name="Финансовый 3 3 9 4" xfId="7971"/>
    <cellStyle name="Финансовый 3 4" xfId="499"/>
    <cellStyle name="Финансовый 3 4 10" xfId="3673"/>
    <cellStyle name="Финансовый 3 4 10 2" xfId="6433"/>
    <cellStyle name="Финансовый 3 4 10 3" xfId="10181"/>
    <cellStyle name="Финансовый 3 4 11" xfId="6614"/>
    <cellStyle name="Финансовый 3 4 12" xfId="6811"/>
    <cellStyle name="Финансовый 3 4 13" xfId="7025"/>
    <cellStyle name="Финансовый 3 4 14" xfId="5325"/>
    <cellStyle name="Финансовый 3 4 15" xfId="3854"/>
    <cellStyle name="Финансовый 3 4 16" xfId="7243"/>
    <cellStyle name="Финансовый 3 4 2" xfId="500"/>
    <cellStyle name="Финансовый 3 4 2 10" xfId="7026"/>
    <cellStyle name="Финансовый 3 4 2 11" xfId="5326"/>
    <cellStyle name="Финансовый 3 4 2 12" xfId="3855"/>
    <cellStyle name="Финансовый 3 4 2 13" xfId="7244"/>
    <cellStyle name="Финансовый 3 4 2 2" xfId="905"/>
    <cellStyle name="Финансовый 3 4 2 2 2" xfId="1666"/>
    <cellStyle name="Финансовый 3 4 2 2 2 2" xfId="3137"/>
    <cellStyle name="Финансовый 3 4 2 2 2 2 2" xfId="9645"/>
    <cellStyle name="Финансовый 3 4 2 2 2 3" xfId="4785"/>
    <cellStyle name="Финансовый 3 4 2 2 2 4" xfId="8174"/>
    <cellStyle name="Финансовый 3 4 2 2 3" xfId="2401"/>
    <cellStyle name="Финансовый 3 4 2 2 3 2" xfId="5520"/>
    <cellStyle name="Финансовый 3 4 2 2 3 3" xfId="8909"/>
    <cellStyle name="Финансовый 3 4 2 2 4" xfId="4049"/>
    <cellStyle name="Финансовый 3 4 2 2 5" xfId="7438"/>
    <cellStyle name="Финансовый 3 4 2 3" xfId="1082"/>
    <cellStyle name="Финансовый 3 4 2 3 2" xfId="1843"/>
    <cellStyle name="Финансовый 3 4 2 3 2 2" xfId="3314"/>
    <cellStyle name="Финансовый 3 4 2 3 2 2 2" xfId="9822"/>
    <cellStyle name="Финансовый 3 4 2 3 2 3" xfId="4962"/>
    <cellStyle name="Финансовый 3 4 2 3 2 4" xfId="8351"/>
    <cellStyle name="Финансовый 3 4 2 3 3" xfId="2578"/>
    <cellStyle name="Финансовый 3 4 2 3 3 2" xfId="5701"/>
    <cellStyle name="Финансовый 3 4 2 3 3 3" xfId="9086"/>
    <cellStyle name="Финансовый 3 4 2 3 4" xfId="4226"/>
    <cellStyle name="Финансовый 3 4 2 3 5" xfId="7615"/>
    <cellStyle name="Финансовый 3 4 2 4" xfId="1270"/>
    <cellStyle name="Финансовый 3 4 2 4 2" xfId="2023"/>
    <cellStyle name="Финансовый 3 4 2 4 2 2" xfId="3494"/>
    <cellStyle name="Финансовый 3 4 2 4 2 2 2" xfId="10002"/>
    <cellStyle name="Финансовый 3 4 2 4 2 3" xfId="5142"/>
    <cellStyle name="Финансовый 3 4 2 4 2 4" xfId="8531"/>
    <cellStyle name="Финансовый 3 4 2 4 3" xfId="2758"/>
    <cellStyle name="Финансовый 3 4 2 4 3 2" xfId="5878"/>
    <cellStyle name="Финансовый 3 4 2 4 3 3" xfId="9266"/>
    <cellStyle name="Финансовый 3 4 2 4 4" xfId="4406"/>
    <cellStyle name="Финансовый 3 4 2 4 5" xfId="7795"/>
    <cellStyle name="Финансовый 3 4 2 5" xfId="1472"/>
    <cellStyle name="Финансовый 3 4 2 5 2" xfId="2943"/>
    <cellStyle name="Финансовый 3 4 2 5 2 2" xfId="6058"/>
    <cellStyle name="Финансовый 3 4 2 5 2 3" xfId="9451"/>
    <cellStyle name="Финансовый 3 4 2 5 3" xfId="4591"/>
    <cellStyle name="Финансовый 3 4 2 5 4" xfId="7980"/>
    <cellStyle name="Финансовый 3 4 2 6" xfId="2207"/>
    <cellStyle name="Финансовый 3 4 2 6 2" xfId="6239"/>
    <cellStyle name="Финансовый 3 4 2 6 3" xfId="8715"/>
    <cellStyle name="Финансовый 3 4 2 7" xfId="3674"/>
    <cellStyle name="Финансовый 3 4 2 7 2" xfId="6434"/>
    <cellStyle name="Финансовый 3 4 2 7 3" xfId="10182"/>
    <cellStyle name="Финансовый 3 4 2 8" xfId="6615"/>
    <cellStyle name="Финансовый 3 4 2 9" xfId="6812"/>
    <cellStyle name="Финансовый 3 4 3" xfId="501"/>
    <cellStyle name="Финансовый 3 4 3 10" xfId="7027"/>
    <cellStyle name="Финансовый 3 4 3 11" xfId="5327"/>
    <cellStyle name="Финансовый 3 4 3 12" xfId="3856"/>
    <cellStyle name="Финансовый 3 4 3 13" xfId="7245"/>
    <cellStyle name="Финансовый 3 4 3 2" xfId="906"/>
    <cellStyle name="Финансовый 3 4 3 2 2" xfId="1667"/>
    <cellStyle name="Финансовый 3 4 3 2 2 2" xfId="3138"/>
    <cellStyle name="Финансовый 3 4 3 2 2 2 2" xfId="9646"/>
    <cellStyle name="Финансовый 3 4 3 2 2 3" xfId="4786"/>
    <cellStyle name="Финансовый 3 4 3 2 2 4" xfId="8175"/>
    <cellStyle name="Финансовый 3 4 3 2 3" xfId="2402"/>
    <cellStyle name="Финансовый 3 4 3 2 3 2" xfId="5521"/>
    <cellStyle name="Финансовый 3 4 3 2 3 3" xfId="8910"/>
    <cellStyle name="Финансовый 3 4 3 2 4" xfId="4050"/>
    <cellStyle name="Финансовый 3 4 3 2 5" xfId="7439"/>
    <cellStyle name="Финансовый 3 4 3 3" xfId="1083"/>
    <cellStyle name="Финансовый 3 4 3 3 2" xfId="1844"/>
    <cellStyle name="Финансовый 3 4 3 3 2 2" xfId="3315"/>
    <cellStyle name="Финансовый 3 4 3 3 2 2 2" xfId="9823"/>
    <cellStyle name="Финансовый 3 4 3 3 2 3" xfId="4963"/>
    <cellStyle name="Финансовый 3 4 3 3 2 4" xfId="8352"/>
    <cellStyle name="Финансовый 3 4 3 3 3" xfId="2579"/>
    <cellStyle name="Финансовый 3 4 3 3 3 2" xfId="5702"/>
    <cellStyle name="Финансовый 3 4 3 3 3 3" xfId="9087"/>
    <cellStyle name="Финансовый 3 4 3 3 4" xfId="4227"/>
    <cellStyle name="Финансовый 3 4 3 3 5" xfId="7616"/>
    <cellStyle name="Финансовый 3 4 3 4" xfId="1271"/>
    <cellStyle name="Финансовый 3 4 3 4 2" xfId="2024"/>
    <cellStyle name="Финансовый 3 4 3 4 2 2" xfId="3495"/>
    <cellStyle name="Финансовый 3 4 3 4 2 2 2" xfId="10003"/>
    <cellStyle name="Финансовый 3 4 3 4 2 3" xfId="5143"/>
    <cellStyle name="Финансовый 3 4 3 4 2 4" xfId="8532"/>
    <cellStyle name="Финансовый 3 4 3 4 3" xfId="2759"/>
    <cellStyle name="Финансовый 3 4 3 4 3 2" xfId="5879"/>
    <cellStyle name="Финансовый 3 4 3 4 3 3" xfId="9267"/>
    <cellStyle name="Финансовый 3 4 3 4 4" xfId="4407"/>
    <cellStyle name="Финансовый 3 4 3 4 5" xfId="7796"/>
    <cellStyle name="Финансовый 3 4 3 5" xfId="1473"/>
    <cellStyle name="Финансовый 3 4 3 5 2" xfId="2944"/>
    <cellStyle name="Финансовый 3 4 3 5 2 2" xfId="6059"/>
    <cellStyle name="Финансовый 3 4 3 5 2 3" xfId="9452"/>
    <cellStyle name="Финансовый 3 4 3 5 3" xfId="4592"/>
    <cellStyle name="Финансовый 3 4 3 5 4" xfId="7981"/>
    <cellStyle name="Финансовый 3 4 3 6" xfId="2208"/>
    <cellStyle name="Финансовый 3 4 3 6 2" xfId="6240"/>
    <cellStyle name="Финансовый 3 4 3 6 3" xfId="8716"/>
    <cellStyle name="Финансовый 3 4 3 7" xfId="3675"/>
    <cellStyle name="Финансовый 3 4 3 7 2" xfId="6435"/>
    <cellStyle name="Финансовый 3 4 3 7 3" xfId="10183"/>
    <cellStyle name="Финансовый 3 4 3 8" xfId="6616"/>
    <cellStyle name="Финансовый 3 4 3 9" xfId="6813"/>
    <cellStyle name="Финансовый 3 4 4" xfId="502"/>
    <cellStyle name="Финансовый 3 4 4 10" xfId="7028"/>
    <cellStyle name="Финансовый 3 4 4 11" xfId="5328"/>
    <cellStyle name="Финансовый 3 4 4 12" xfId="3857"/>
    <cellStyle name="Финансовый 3 4 4 13" xfId="7246"/>
    <cellStyle name="Финансовый 3 4 4 2" xfId="907"/>
    <cellStyle name="Финансовый 3 4 4 2 2" xfId="1668"/>
    <cellStyle name="Финансовый 3 4 4 2 2 2" xfId="3139"/>
    <cellStyle name="Финансовый 3 4 4 2 2 2 2" xfId="9647"/>
    <cellStyle name="Финансовый 3 4 4 2 2 3" xfId="4787"/>
    <cellStyle name="Финансовый 3 4 4 2 2 4" xfId="8176"/>
    <cellStyle name="Финансовый 3 4 4 2 3" xfId="2403"/>
    <cellStyle name="Финансовый 3 4 4 2 3 2" xfId="5522"/>
    <cellStyle name="Финансовый 3 4 4 2 3 3" xfId="8911"/>
    <cellStyle name="Финансовый 3 4 4 2 4" xfId="4051"/>
    <cellStyle name="Финансовый 3 4 4 2 5" xfId="7440"/>
    <cellStyle name="Финансовый 3 4 4 3" xfId="1084"/>
    <cellStyle name="Финансовый 3 4 4 3 2" xfId="1845"/>
    <cellStyle name="Финансовый 3 4 4 3 2 2" xfId="3316"/>
    <cellStyle name="Финансовый 3 4 4 3 2 2 2" xfId="9824"/>
    <cellStyle name="Финансовый 3 4 4 3 2 3" xfId="4964"/>
    <cellStyle name="Финансовый 3 4 4 3 2 4" xfId="8353"/>
    <cellStyle name="Финансовый 3 4 4 3 3" xfId="2580"/>
    <cellStyle name="Финансовый 3 4 4 3 3 2" xfId="5703"/>
    <cellStyle name="Финансовый 3 4 4 3 3 3" xfId="9088"/>
    <cellStyle name="Финансовый 3 4 4 3 4" xfId="4228"/>
    <cellStyle name="Финансовый 3 4 4 3 5" xfId="7617"/>
    <cellStyle name="Финансовый 3 4 4 4" xfId="1272"/>
    <cellStyle name="Финансовый 3 4 4 4 2" xfId="2025"/>
    <cellStyle name="Финансовый 3 4 4 4 2 2" xfId="3496"/>
    <cellStyle name="Финансовый 3 4 4 4 2 2 2" xfId="10004"/>
    <cellStyle name="Финансовый 3 4 4 4 2 3" xfId="5144"/>
    <cellStyle name="Финансовый 3 4 4 4 2 4" xfId="8533"/>
    <cellStyle name="Финансовый 3 4 4 4 3" xfId="2760"/>
    <cellStyle name="Финансовый 3 4 4 4 3 2" xfId="5880"/>
    <cellStyle name="Финансовый 3 4 4 4 3 3" xfId="9268"/>
    <cellStyle name="Финансовый 3 4 4 4 4" xfId="4408"/>
    <cellStyle name="Финансовый 3 4 4 4 5" xfId="7797"/>
    <cellStyle name="Финансовый 3 4 4 5" xfId="1474"/>
    <cellStyle name="Финансовый 3 4 4 5 2" xfId="2945"/>
    <cellStyle name="Финансовый 3 4 4 5 2 2" xfId="6060"/>
    <cellStyle name="Финансовый 3 4 4 5 2 3" xfId="9453"/>
    <cellStyle name="Финансовый 3 4 4 5 3" xfId="4593"/>
    <cellStyle name="Финансовый 3 4 4 5 4" xfId="7982"/>
    <cellStyle name="Финансовый 3 4 4 6" xfId="2209"/>
    <cellStyle name="Финансовый 3 4 4 6 2" xfId="6241"/>
    <cellStyle name="Финансовый 3 4 4 6 3" xfId="8717"/>
    <cellStyle name="Финансовый 3 4 4 7" xfId="3676"/>
    <cellStyle name="Финансовый 3 4 4 7 2" xfId="6436"/>
    <cellStyle name="Финансовый 3 4 4 7 3" xfId="10184"/>
    <cellStyle name="Финансовый 3 4 4 8" xfId="6617"/>
    <cellStyle name="Финансовый 3 4 4 9" xfId="6814"/>
    <cellStyle name="Финансовый 3 4 5" xfId="904"/>
    <cellStyle name="Финансовый 3 4 5 2" xfId="1665"/>
    <cellStyle name="Финансовый 3 4 5 2 2" xfId="3136"/>
    <cellStyle name="Финансовый 3 4 5 2 2 2" xfId="9644"/>
    <cellStyle name="Финансовый 3 4 5 2 3" xfId="4784"/>
    <cellStyle name="Финансовый 3 4 5 2 4" xfId="8173"/>
    <cellStyle name="Финансовый 3 4 5 3" xfId="2400"/>
    <cellStyle name="Финансовый 3 4 5 3 2" xfId="5519"/>
    <cellStyle name="Финансовый 3 4 5 3 3" xfId="8908"/>
    <cellStyle name="Финансовый 3 4 5 4" xfId="4048"/>
    <cellStyle name="Финансовый 3 4 5 5" xfId="7437"/>
    <cellStyle name="Финансовый 3 4 6" xfId="1081"/>
    <cellStyle name="Финансовый 3 4 6 2" xfId="1842"/>
    <cellStyle name="Финансовый 3 4 6 2 2" xfId="3313"/>
    <cellStyle name="Финансовый 3 4 6 2 2 2" xfId="9821"/>
    <cellStyle name="Финансовый 3 4 6 2 3" xfId="4961"/>
    <cellStyle name="Финансовый 3 4 6 2 4" xfId="8350"/>
    <cellStyle name="Финансовый 3 4 6 3" xfId="2577"/>
    <cellStyle name="Финансовый 3 4 6 3 2" xfId="5700"/>
    <cellStyle name="Финансовый 3 4 6 3 3" xfId="9085"/>
    <cellStyle name="Финансовый 3 4 6 4" xfId="4225"/>
    <cellStyle name="Финансовый 3 4 6 5" xfId="7614"/>
    <cellStyle name="Финансовый 3 4 7" xfId="1269"/>
    <cellStyle name="Финансовый 3 4 7 2" xfId="2022"/>
    <cellStyle name="Финансовый 3 4 7 2 2" xfId="3493"/>
    <cellStyle name="Финансовый 3 4 7 2 2 2" xfId="10001"/>
    <cellStyle name="Финансовый 3 4 7 2 3" xfId="5141"/>
    <cellStyle name="Финансовый 3 4 7 2 4" xfId="8530"/>
    <cellStyle name="Финансовый 3 4 7 3" xfId="2757"/>
    <cellStyle name="Финансовый 3 4 7 3 2" xfId="5877"/>
    <cellStyle name="Финансовый 3 4 7 3 3" xfId="9265"/>
    <cellStyle name="Финансовый 3 4 7 4" xfId="4405"/>
    <cellStyle name="Финансовый 3 4 7 5" xfId="7794"/>
    <cellStyle name="Финансовый 3 4 8" xfId="1471"/>
    <cellStyle name="Финансовый 3 4 8 2" xfId="2942"/>
    <cellStyle name="Финансовый 3 4 8 2 2" xfId="6057"/>
    <cellStyle name="Финансовый 3 4 8 2 3" xfId="9450"/>
    <cellStyle name="Финансовый 3 4 8 3" xfId="4590"/>
    <cellStyle name="Финансовый 3 4 8 4" xfId="7979"/>
    <cellStyle name="Финансовый 3 4 9" xfId="2206"/>
    <cellStyle name="Финансовый 3 4 9 2" xfId="6238"/>
    <cellStyle name="Финансовый 3 4 9 3" xfId="8714"/>
    <cellStyle name="Финансовый 3 5" xfId="503"/>
    <cellStyle name="Финансовый 3 5 10" xfId="7029"/>
    <cellStyle name="Финансовый 3 5 11" xfId="5329"/>
    <cellStyle name="Финансовый 3 5 12" xfId="3858"/>
    <cellStyle name="Финансовый 3 5 13" xfId="7247"/>
    <cellStyle name="Финансовый 3 5 2" xfId="908"/>
    <cellStyle name="Финансовый 3 5 2 2" xfId="1669"/>
    <cellStyle name="Финансовый 3 5 2 2 2" xfId="3140"/>
    <cellStyle name="Финансовый 3 5 2 2 2 2" xfId="9648"/>
    <cellStyle name="Финансовый 3 5 2 2 3" xfId="4788"/>
    <cellStyle name="Финансовый 3 5 2 2 4" xfId="8177"/>
    <cellStyle name="Финансовый 3 5 2 3" xfId="2404"/>
    <cellStyle name="Финансовый 3 5 2 3 2" xfId="5523"/>
    <cellStyle name="Финансовый 3 5 2 3 3" xfId="8912"/>
    <cellStyle name="Финансовый 3 5 2 4" xfId="4052"/>
    <cellStyle name="Финансовый 3 5 2 5" xfId="7441"/>
    <cellStyle name="Финансовый 3 5 3" xfId="1085"/>
    <cellStyle name="Финансовый 3 5 3 2" xfId="1846"/>
    <cellStyle name="Финансовый 3 5 3 2 2" xfId="3317"/>
    <cellStyle name="Финансовый 3 5 3 2 2 2" xfId="9825"/>
    <cellStyle name="Финансовый 3 5 3 2 3" xfId="4965"/>
    <cellStyle name="Финансовый 3 5 3 2 4" xfId="8354"/>
    <cellStyle name="Финансовый 3 5 3 3" xfId="2581"/>
    <cellStyle name="Финансовый 3 5 3 3 2" xfId="5704"/>
    <cellStyle name="Финансовый 3 5 3 3 3" xfId="9089"/>
    <cellStyle name="Финансовый 3 5 3 4" xfId="4229"/>
    <cellStyle name="Финансовый 3 5 3 5" xfId="7618"/>
    <cellStyle name="Финансовый 3 5 4" xfId="1273"/>
    <cellStyle name="Финансовый 3 5 4 2" xfId="2026"/>
    <cellStyle name="Финансовый 3 5 4 2 2" xfId="3497"/>
    <cellStyle name="Финансовый 3 5 4 2 2 2" xfId="10005"/>
    <cellStyle name="Финансовый 3 5 4 2 3" xfId="5145"/>
    <cellStyle name="Финансовый 3 5 4 2 4" xfId="8534"/>
    <cellStyle name="Финансовый 3 5 4 3" xfId="2761"/>
    <cellStyle name="Финансовый 3 5 4 3 2" xfId="5881"/>
    <cellStyle name="Финансовый 3 5 4 3 3" xfId="9269"/>
    <cellStyle name="Финансовый 3 5 4 4" xfId="4409"/>
    <cellStyle name="Финансовый 3 5 4 5" xfId="7798"/>
    <cellStyle name="Финансовый 3 5 5" xfId="1475"/>
    <cellStyle name="Финансовый 3 5 5 2" xfId="2946"/>
    <cellStyle name="Финансовый 3 5 5 2 2" xfId="6061"/>
    <cellStyle name="Финансовый 3 5 5 2 3" xfId="9454"/>
    <cellStyle name="Финансовый 3 5 5 3" xfId="4594"/>
    <cellStyle name="Финансовый 3 5 5 4" xfId="7983"/>
    <cellStyle name="Финансовый 3 5 6" xfId="2210"/>
    <cellStyle name="Финансовый 3 5 6 2" xfId="6242"/>
    <cellStyle name="Финансовый 3 5 6 3" xfId="8718"/>
    <cellStyle name="Финансовый 3 5 7" xfId="3677"/>
    <cellStyle name="Финансовый 3 5 7 2" xfId="6437"/>
    <cellStyle name="Финансовый 3 5 7 3" xfId="10185"/>
    <cellStyle name="Финансовый 3 5 8" xfId="6618"/>
    <cellStyle name="Финансовый 3 5 9" xfId="6815"/>
    <cellStyle name="Финансовый 3 6" xfId="504"/>
    <cellStyle name="Финансовый 3 6 10" xfId="7030"/>
    <cellStyle name="Финансовый 3 6 11" xfId="5330"/>
    <cellStyle name="Финансовый 3 6 12" xfId="3859"/>
    <cellStyle name="Финансовый 3 6 13" xfId="7248"/>
    <cellStyle name="Финансовый 3 6 2" xfId="909"/>
    <cellStyle name="Финансовый 3 6 2 2" xfId="1670"/>
    <cellStyle name="Финансовый 3 6 2 2 2" xfId="3141"/>
    <cellStyle name="Финансовый 3 6 2 2 2 2" xfId="9649"/>
    <cellStyle name="Финансовый 3 6 2 2 3" xfId="4789"/>
    <cellStyle name="Финансовый 3 6 2 2 4" xfId="8178"/>
    <cellStyle name="Финансовый 3 6 2 3" xfId="2405"/>
    <cellStyle name="Финансовый 3 6 2 3 2" xfId="5524"/>
    <cellStyle name="Финансовый 3 6 2 3 3" xfId="8913"/>
    <cellStyle name="Финансовый 3 6 2 4" xfId="4053"/>
    <cellStyle name="Финансовый 3 6 2 5" xfId="7442"/>
    <cellStyle name="Финансовый 3 6 3" xfId="1086"/>
    <cellStyle name="Финансовый 3 6 3 2" xfId="1847"/>
    <cellStyle name="Финансовый 3 6 3 2 2" xfId="3318"/>
    <cellStyle name="Финансовый 3 6 3 2 2 2" xfId="9826"/>
    <cellStyle name="Финансовый 3 6 3 2 3" xfId="4966"/>
    <cellStyle name="Финансовый 3 6 3 2 4" xfId="8355"/>
    <cellStyle name="Финансовый 3 6 3 3" xfId="2582"/>
    <cellStyle name="Финансовый 3 6 3 3 2" xfId="5705"/>
    <cellStyle name="Финансовый 3 6 3 3 3" xfId="9090"/>
    <cellStyle name="Финансовый 3 6 3 4" xfId="4230"/>
    <cellStyle name="Финансовый 3 6 3 5" xfId="7619"/>
    <cellStyle name="Финансовый 3 6 4" xfId="1274"/>
    <cellStyle name="Финансовый 3 6 4 2" xfId="2027"/>
    <cellStyle name="Финансовый 3 6 4 2 2" xfId="3498"/>
    <cellStyle name="Финансовый 3 6 4 2 2 2" xfId="10006"/>
    <cellStyle name="Финансовый 3 6 4 2 3" xfId="5146"/>
    <cellStyle name="Финансовый 3 6 4 2 4" xfId="8535"/>
    <cellStyle name="Финансовый 3 6 4 3" xfId="2762"/>
    <cellStyle name="Финансовый 3 6 4 3 2" xfId="5882"/>
    <cellStyle name="Финансовый 3 6 4 3 3" xfId="9270"/>
    <cellStyle name="Финансовый 3 6 4 4" xfId="4410"/>
    <cellStyle name="Финансовый 3 6 4 5" xfId="7799"/>
    <cellStyle name="Финансовый 3 6 5" xfId="1476"/>
    <cellStyle name="Финансовый 3 6 5 2" xfId="2947"/>
    <cellStyle name="Финансовый 3 6 5 2 2" xfId="6062"/>
    <cellStyle name="Финансовый 3 6 5 2 3" xfId="9455"/>
    <cellStyle name="Финансовый 3 6 5 3" xfId="4595"/>
    <cellStyle name="Финансовый 3 6 5 4" xfId="7984"/>
    <cellStyle name="Финансовый 3 6 6" xfId="2211"/>
    <cellStyle name="Финансовый 3 6 6 2" xfId="6243"/>
    <cellStyle name="Финансовый 3 6 6 3" xfId="8719"/>
    <cellStyle name="Финансовый 3 6 7" xfId="3678"/>
    <cellStyle name="Финансовый 3 6 7 2" xfId="6438"/>
    <cellStyle name="Финансовый 3 6 7 3" xfId="10186"/>
    <cellStyle name="Финансовый 3 6 8" xfId="6619"/>
    <cellStyle name="Финансовый 3 6 9" xfId="6816"/>
    <cellStyle name="Финансовый 3 7" xfId="505"/>
    <cellStyle name="Финансовый 3 7 10" xfId="7031"/>
    <cellStyle name="Финансовый 3 7 11" xfId="5331"/>
    <cellStyle name="Финансовый 3 7 12" xfId="3860"/>
    <cellStyle name="Финансовый 3 7 13" xfId="7249"/>
    <cellStyle name="Финансовый 3 7 2" xfId="910"/>
    <cellStyle name="Финансовый 3 7 2 2" xfId="1671"/>
    <cellStyle name="Финансовый 3 7 2 2 2" xfId="3142"/>
    <cellStyle name="Финансовый 3 7 2 2 2 2" xfId="9650"/>
    <cellStyle name="Финансовый 3 7 2 2 3" xfId="4790"/>
    <cellStyle name="Финансовый 3 7 2 2 4" xfId="8179"/>
    <cellStyle name="Финансовый 3 7 2 3" xfId="2406"/>
    <cellStyle name="Финансовый 3 7 2 3 2" xfId="5525"/>
    <cellStyle name="Финансовый 3 7 2 3 3" xfId="8914"/>
    <cellStyle name="Финансовый 3 7 2 4" xfId="4054"/>
    <cellStyle name="Финансовый 3 7 2 5" xfId="7443"/>
    <cellStyle name="Финансовый 3 7 3" xfId="1087"/>
    <cellStyle name="Финансовый 3 7 3 2" xfId="1848"/>
    <cellStyle name="Финансовый 3 7 3 2 2" xfId="3319"/>
    <cellStyle name="Финансовый 3 7 3 2 2 2" xfId="9827"/>
    <cellStyle name="Финансовый 3 7 3 2 3" xfId="4967"/>
    <cellStyle name="Финансовый 3 7 3 2 4" xfId="8356"/>
    <cellStyle name="Финансовый 3 7 3 3" xfId="2583"/>
    <cellStyle name="Финансовый 3 7 3 3 2" xfId="5706"/>
    <cellStyle name="Финансовый 3 7 3 3 3" xfId="9091"/>
    <cellStyle name="Финансовый 3 7 3 4" xfId="4231"/>
    <cellStyle name="Финансовый 3 7 3 5" xfId="7620"/>
    <cellStyle name="Финансовый 3 7 4" xfId="1275"/>
    <cellStyle name="Финансовый 3 7 4 2" xfId="2028"/>
    <cellStyle name="Финансовый 3 7 4 2 2" xfId="3499"/>
    <cellStyle name="Финансовый 3 7 4 2 2 2" xfId="10007"/>
    <cellStyle name="Финансовый 3 7 4 2 3" xfId="5147"/>
    <cellStyle name="Финансовый 3 7 4 2 4" xfId="8536"/>
    <cellStyle name="Финансовый 3 7 4 3" xfId="2763"/>
    <cellStyle name="Финансовый 3 7 4 3 2" xfId="5883"/>
    <cellStyle name="Финансовый 3 7 4 3 3" xfId="9271"/>
    <cellStyle name="Финансовый 3 7 4 4" xfId="4411"/>
    <cellStyle name="Финансовый 3 7 4 5" xfId="7800"/>
    <cellStyle name="Финансовый 3 7 5" xfId="1477"/>
    <cellStyle name="Финансовый 3 7 5 2" xfId="2948"/>
    <cellStyle name="Финансовый 3 7 5 2 2" xfId="6063"/>
    <cellStyle name="Финансовый 3 7 5 2 3" xfId="9456"/>
    <cellStyle name="Финансовый 3 7 5 3" xfId="4596"/>
    <cellStyle name="Финансовый 3 7 5 4" xfId="7985"/>
    <cellStyle name="Финансовый 3 7 6" xfId="2212"/>
    <cellStyle name="Финансовый 3 7 6 2" xfId="6244"/>
    <cellStyle name="Финансовый 3 7 6 3" xfId="8720"/>
    <cellStyle name="Финансовый 3 7 7" xfId="3679"/>
    <cellStyle name="Финансовый 3 7 7 2" xfId="6439"/>
    <cellStyle name="Финансовый 3 7 7 3" xfId="10187"/>
    <cellStyle name="Финансовый 3 7 8" xfId="6620"/>
    <cellStyle name="Финансовый 3 7 9" xfId="6817"/>
    <cellStyle name="Финансовый 3 8" xfId="506"/>
    <cellStyle name="Финансовый 3 8 10" xfId="7032"/>
    <cellStyle name="Финансовый 3 8 11" xfId="5332"/>
    <cellStyle name="Финансовый 3 8 12" xfId="3861"/>
    <cellStyle name="Финансовый 3 8 13" xfId="7250"/>
    <cellStyle name="Финансовый 3 8 2" xfId="911"/>
    <cellStyle name="Финансовый 3 8 2 2" xfId="1672"/>
    <cellStyle name="Финансовый 3 8 2 2 2" xfId="3143"/>
    <cellStyle name="Финансовый 3 8 2 2 2 2" xfId="9651"/>
    <cellStyle name="Финансовый 3 8 2 2 3" xfId="4791"/>
    <cellStyle name="Финансовый 3 8 2 2 4" xfId="8180"/>
    <cellStyle name="Финансовый 3 8 2 3" xfId="2407"/>
    <cellStyle name="Финансовый 3 8 2 3 2" xfId="5526"/>
    <cellStyle name="Финансовый 3 8 2 3 3" xfId="8915"/>
    <cellStyle name="Финансовый 3 8 2 4" xfId="4055"/>
    <cellStyle name="Финансовый 3 8 2 5" xfId="7444"/>
    <cellStyle name="Финансовый 3 8 3" xfId="1088"/>
    <cellStyle name="Финансовый 3 8 3 2" xfId="1849"/>
    <cellStyle name="Финансовый 3 8 3 2 2" xfId="3320"/>
    <cellStyle name="Финансовый 3 8 3 2 2 2" xfId="9828"/>
    <cellStyle name="Финансовый 3 8 3 2 3" xfId="4968"/>
    <cellStyle name="Финансовый 3 8 3 2 4" xfId="8357"/>
    <cellStyle name="Финансовый 3 8 3 3" xfId="2584"/>
    <cellStyle name="Финансовый 3 8 3 3 2" xfId="5707"/>
    <cellStyle name="Финансовый 3 8 3 3 3" xfId="9092"/>
    <cellStyle name="Финансовый 3 8 3 4" xfId="4232"/>
    <cellStyle name="Финансовый 3 8 3 5" xfId="7621"/>
    <cellStyle name="Финансовый 3 8 4" xfId="1276"/>
    <cellStyle name="Финансовый 3 8 4 2" xfId="2029"/>
    <cellStyle name="Финансовый 3 8 4 2 2" xfId="3500"/>
    <cellStyle name="Финансовый 3 8 4 2 2 2" xfId="10008"/>
    <cellStyle name="Финансовый 3 8 4 2 3" xfId="5148"/>
    <cellStyle name="Финансовый 3 8 4 2 4" xfId="8537"/>
    <cellStyle name="Финансовый 3 8 4 3" xfId="2764"/>
    <cellStyle name="Финансовый 3 8 4 3 2" xfId="5884"/>
    <cellStyle name="Финансовый 3 8 4 3 3" xfId="9272"/>
    <cellStyle name="Финансовый 3 8 4 4" xfId="4412"/>
    <cellStyle name="Финансовый 3 8 4 5" xfId="7801"/>
    <cellStyle name="Финансовый 3 8 5" xfId="1478"/>
    <cellStyle name="Финансовый 3 8 5 2" xfId="2949"/>
    <cellStyle name="Финансовый 3 8 5 2 2" xfId="6064"/>
    <cellStyle name="Финансовый 3 8 5 2 3" xfId="9457"/>
    <cellStyle name="Финансовый 3 8 5 3" xfId="4597"/>
    <cellStyle name="Финансовый 3 8 5 4" xfId="7986"/>
    <cellStyle name="Финансовый 3 8 6" xfId="2213"/>
    <cellStyle name="Финансовый 3 8 6 2" xfId="6245"/>
    <cellStyle name="Финансовый 3 8 6 3" xfId="8721"/>
    <cellStyle name="Финансовый 3 8 7" xfId="3680"/>
    <cellStyle name="Финансовый 3 8 7 2" xfId="6440"/>
    <cellStyle name="Финансовый 3 8 7 3" xfId="10188"/>
    <cellStyle name="Финансовый 3 8 8" xfId="6621"/>
    <cellStyle name="Финансовый 3 8 9" xfId="6818"/>
    <cellStyle name="Финансовый 3 9" xfId="878"/>
    <cellStyle name="Финансовый 3 9 2" xfId="1639"/>
    <cellStyle name="Финансовый 3 9 2 2" xfId="3110"/>
    <cellStyle name="Финансовый 3 9 2 2 2" xfId="9618"/>
    <cellStyle name="Финансовый 3 9 2 3" xfId="4758"/>
    <cellStyle name="Финансовый 3 9 2 4" xfId="8147"/>
    <cellStyle name="Финансовый 3 9 3" xfId="2374"/>
    <cellStyle name="Финансовый 3 9 3 2" xfId="5493"/>
    <cellStyle name="Финансовый 3 9 3 3" xfId="8882"/>
    <cellStyle name="Финансовый 3 9 4" xfId="4022"/>
    <cellStyle name="Финансовый 3 9 5" xfId="7411"/>
    <cellStyle name="Финансовый 4" xfId="507"/>
    <cellStyle name="Финансовый 4 10" xfId="1277"/>
    <cellStyle name="Финансовый 4 10 2" xfId="2030"/>
    <cellStyle name="Финансовый 4 10 2 2" xfId="3501"/>
    <cellStyle name="Финансовый 4 10 2 2 2" xfId="10009"/>
    <cellStyle name="Финансовый 4 10 2 3" xfId="5149"/>
    <cellStyle name="Финансовый 4 10 2 4" xfId="8538"/>
    <cellStyle name="Финансовый 4 10 3" xfId="2765"/>
    <cellStyle name="Финансовый 4 10 3 2" xfId="5885"/>
    <cellStyle name="Финансовый 4 10 3 3" xfId="9273"/>
    <cellStyle name="Финансовый 4 10 4" xfId="4413"/>
    <cellStyle name="Финансовый 4 10 5" xfId="7802"/>
    <cellStyle name="Финансовый 4 11" xfId="3681"/>
    <cellStyle name="Финансовый 4 11 2" xfId="6065"/>
    <cellStyle name="Финансовый 4 11 3" xfId="10189"/>
    <cellStyle name="Финансовый 4 12" xfId="6246"/>
    <cellStyle name="Финансовый 4 13" xfId="6441"/>
    <cellStyle name="Финансовый 4 14" xfId="6622"/>
    <cellStyle name="Финансовый 4 15" xfId="6819"/>
    <cellStyle name="Финансовый 4 16" xfId="7033"/>
    <cellStyle name="Финансовый 4 17" xfId="699"/>
    <cellStyle name="Финансовый 4 2" xfId="508"/>
    <cellStyle name="Финансовый 4 2 10" xfId="2215"/>
    <cellStyle name="Финансовый 4 2 10 2" xfId="6247"/>
    <cellStyle name="Финансовый 4 2 10 3" xfId="8723"/>
    <cellStyle name="Финансовый 4 2 11" xfId="3682"/>
    <cellStyle name="Финансовый 4 2 11 2" xfId="6442"/>
    <cellStyle name="Финансовый 4 2 11 3" xfId="10190"/>
    <cellStyle name="Финансовый 4 2 12" xfId="6623"/>
    <cellStyle name="Финансовый 4 2 13" xfId="6820"/>
    <cellStyle name="Финансовый 4 2 14" xfId="7034"/>
    <cellStyle name="Финансовый 4 2 15" xfId="5334"/>
    <cellStyle name="Финансовый 4 2 16" xfId="3863"/>
    <cellStyle name="Финансовый 4 2 17" xfId="7252"/>
    <cellStyle name="Финансовый 4 2 2" xfId="509"/>
    <cellStyle name="Финансовый 4 2 2 10" xfId="3683"/>
    <cellStyle name="Финансовый 4 2 2 10 2" xfId="6443"/>
    <cellStyle name="Финансовый 4 2 2 10 3" xfId="10191"/>
    <cellStyle name="Финансовый 4 2 2 11" xfId="6624"/>
    <cellStyle name="Финансовый 4 2 2 12" xfId="6821"/>
    <cellStyle name="Финансовый 4 2 2 13" xfId="7035"/>
    <cellStyle name="Финансовый 4 2 2 14" xfId="5335"/>
    <cellStyle name="Финансовый 4 2 2 15" xfId="3864"/>
    <cellStyle name="Финансовый 4 2 2 16" xfId="7253"/>
    <cellStyle name="Финансовый 4 2 2 2" xfId="510"/>
    <cellStyle name="Финансовый 4 2 2 2 10" xfId="7036"/>
    <cellStyle name="Финансовый 4 2 2 2 11" xfId="5336"/>
    <cellStyle name="Финансовый 4 2 2 2 12" xfId="3865"/>
    <cellStyle name="Финансовый 4 2 2 2 13" xfId="7254"/>
    <cellStyle name="Финансовый 4 2 2 2 2" xfId="915"/>
    <cellStyle name="Финансовый 4 2 2 2 2 2" xfId="1676"/>
    <cellStyle name="Финансовый 4 2 2 2 2 2 2" xfId="3147"/>
    <cellStyle name="Финансовый 4 2 2 2 2 2 2 2" xfId="9655"/>
    <cellStyle name="Финансовый 4 2 2 2 2 2 3" xfId="4795"/>
    <cellStyle name="Финансовый 4 2 2 2 2 2 4" xfId="8184"/>
    <cellStyle name="Финансовый 4 2 2 2 2 3" xfId="2411"/>
    <cellStyle name="Финансовый 4 2 2 2 2 3 2" xfId="5530"/>
    <cellStyle name="Финансовый 4 2 2 2 2 3 3" xfId="8919"/>
    <cellStyle name="Финансовый 4 2 2 2 2 4" xfId="4059"/>
    <cellStyle name="Финансовый 4 2 2 2 2 5" xfId="7448"/>
    <cellStyle name="Финансовый 4 2 2 2 3" xfId="1092"/>
    <cellStyle name="Финансовый 4 2 2 2 3 2" xfId="1853"/>
    <cellStyle name="Финансовый 4 2 2 2 3 2 2" xfId="3324"/>
    <cellStyle name="Финансовый 4 2 2 2 3 2 2 2" xfId="9832"/>
    <cellStyle name="Финансовый 4 2 2 2 3 2 3" xfId="4972"/>
    <cellStyle name="Финансовый 4 2 2 2 3 2 4" xfId="8361"/>
    <cellStyle name="Финансовый 4 2 2 2 3 3" xfId="2588"/>
    <cellStyle name="Финансовый 4 2 2 2 3 3 2" xfId="5711"/>
    <cellStyle name="Финансовый 4 2 2 2 3 3 3" xfId="9096"/>
    <cellStyle name="Финансовый 4 2 2 2 3 4" xfId="4236"/>
    <cellStyle name="Финансовый 4 2 2 2 3 5" xfId="7625"/>
    <cellStyle name="Финансовый 4 2 2 2 4" xfId="1280"/>
    <cellStyle name="Финансовый 4 2 2 2 4 2" xfId="2033"/>
    <cellStyle name="Финансовый 4 2 2 2 4 2 2" xfId="3504"/>
    <cellStyle name="Финансовый 4 2 2 2 4 2 2 2" xfId="10012"/>
    <cellStyle name="Финансовый 4 2 2 2 4 2 3" xfId="5152"/>
    <cellStyle name="Финансовый 4 2 2 2 4 2 4" xfId="8541"/>
    <cellStyle name="Финансовый 4 2 2 2 4 3" xfId="2768"/>
    <cellStyle name="Финансовый 4 2 2 2 4 3 2" xfId="5888"/>
    <cellStyle name="Финансовый 4 2 2 2 4 3 3" xfId="9276"/>
    <cellStyle name="Финансовый 4 2 2 2 4 4" xfId="4416"/>
    <cellStyle name="Финансовый 4 2 2 2 4 5" xfId="7805"/>
    <cellStyle name="Финансовый 4 2 2 2 5" xfId="1482"/>
    <cellStyle name="Финансовый 4 2 2 2 5 2" xfId="2953"/>
    <cellStyle name="Финансовый 4 2 2 2 5 2 2" xfId="6068"/>
    <cellStyle name="Финансовый 4 2 2 2 5 2 3" xfId="9461"/>
    <cellStyle name="Финансовый 4 2 2 2 5 3" xfId="4601"/>
    <cellStyle name="Финансовый 4 2 2 2 5 4" xfId="7990"/>
    <cellStyle name="Финансовый 4 2 2 2 6" xfId="2217"/>
    <cellStyle name="Финансовый 4 2 2 2 6 2" xfId="6249"/>
    <cellStyle name="Финансовый 4 2 2 2 6 3" xfId="8725"/>
    <cellStyle name="Финансовый 4 2 2 2 7" xfId="3684"/>
    <cellStyle name="Финансовый 4 2 2 2 7 2" xfId="6444"/>
    <cellStyle name="Финансовый 4 2 2 2 7 3" xfId="10192"/>
    <cellStyle name="Финансовый 4 2 2 2 8" xfId="6625"/>
    <cellStyle name="Финансовый 4 2 2 2 9" xfId="6822"/>
    <cellStyle name="Финансовый 4 2 2 3" xfId="511"/>
    <cellStyle name="Финансовый 4 2 2 3 10" xfId="7037"/>
    <cellStyle name="Финансовый 4 2 2 3 11" xfId="5337"/>
    <cellStyle name="Финансовый 4 2 2 3 12" xfId="3866"/>
    <cellStyle name="Финансовый 4 2 2 3 13" xfId="7255"/>
    <cellStyle name="Финансовый 4 2 2 3 2" xfId="916"/>
    <cellStyle name="Финансовый 4 2 2 3 2 2" xfId="1677"/>
    <cellStyle name="Финансовый 4 2 2 3 2 2 2" xfId="3148"/>
    <cellStyle name="Финансовый 4 2 2 3 2 2 2 2" xfId="9656"/>
    <cellStyle name="Финансовый 4 2 2 3 2 2 3" xfId="4796"/>
    <cellStyle name="Финансовый 4 2 2 3 2 2 4" xfId="8185"/>
    <cellStyle name="Финансовый 4 2 2 3 2 3" xfId="2412"/>
    <cellStyle name="Финансовый 4 2 2 3 2 3 2" xfId="5531"/>
    <cellStyle name="Финансовый 4 2 2 3 2 3 3" xfId="8920"/>
    <cellStyle name="Финансовый 4 2 2 3 2 4" xfId="4060"/>
    <cellStyle name="Финансовый 4 2 2 3 2 5" xfId="7449"/>
    <cellStyle name="Финансовый 4 2 2 3 3" xfId="1093"/>
    <cellStyle name="Финансовый 4 2 2 3 3 2" xfId="1854"/>
    <cellStyle name="Финансовый 4 2 2 3 3 2 2" xfId="3325"/>
    <cellStyle name="Финансовый 4 2 2 3 3 2 2 2" xfId="9833"/>
    <cellStyle name="Финансовый 4 2 2 3 3 2 3" xfId="4973"/>
    <cellStyle name="Финансовый 4 2 2 3 3 2 4" xfId="8362"/>
    <cellStyle name="Финансовый 4 2 2 3 3 3" xfId="2589"/>
    <cellStyle name="Финансовый 4 2 2 3 3 3 2" xfId="5712"/>
    <cellStyle name="Финансовый 4 2 2 3 3 3 3" xfId="9097"/>
    <cellStyle name="Финансовый 4 2 2 3 3 4" xfId="4237"/>
    <cellStyle name="Финансовый 4 2 2 3 3 5" xfId="7626"/>
    <cellStyle name="Финансовый 4 2 2 3 4" xfId="1281"/>
    <cellStyle name="Финансовый 4 2 2 3 4 2" xfId="2034"/>
    <cellStyle name="Финансовый 4 2 2 3 4 2 2" xfId="3505"/>
    <cellStyle name="Финансовый 4 2 2 3 4 2 2 2" xfId="10013"/>
    <cellStyle name="Финансовый 4 2 2 3 4 2 3" xfId="5153"/>
    <cellStyle name="Финансовый 4 2 2 3 4 2 4" xfId="8542"/>
    <cellStyle name="Финансовый 4 2 2 3 4 3" xfId="2769"/>
    <cellStyle name="Финансовый 4 2 2 3 4 3 2" xfId="5889"/>
    <cellStyle name="Финансовый 4 2 2 3 4 3 3" xfId="9277"/>
    <cellStyle name="Финансовый 4 2 2 3 4 4" xfId="4417"/>
    <cellStyle name="Финансовый 4 2 2 3 4 5" xfId="7806"/>
    <cellStyle name="Финансовый 4 2 2 3 5" xfId="1483"/>
    <cellStyle name="Финансовый 4 2 2 3 5 2" xfId="2954"/>
    <cellStyle name="Финансовый 4 2 2 3 5 2 2" xfId="6069"/>
    <cellStyle name="Финансовый 4 2 2 3 5 2 3" xfId="9462"/>
    <cellStyle name="Финансовый 4 2 2 3 5 3" xfId="4602"/>
    <cellStyle name="Финансовый 4 2 2 3 5 4" xfId="7991"/>
    <cellStyle name="Финансовый 4 2 2 3 6" xfId="2218"/>
    <cellStyle name="Финансовый 4 2 2 3 6 2" xfId="6250"/>
    <cellStyle name="Финансовый 4 2 2 3 6 3" xfId="8726"/>
    <cellStyle name="Финансовый 4 2 2 3 7" xfId="3685"/>
    <cellStyle name="Финансовый 4 2 2 3 7 2" xfId="6445"/>
    <cellStyle name="Финансовый 4 2 2 3 7 3" xfId="10193"/>
    <cellStyle name="Финансовый 4 2 2 3 8" xfId="6626"/>
    <cellStyle name="Финансовый 4 2 2 3 9" xfId="6823"/>
    <cellStyle name="Финансовый 4 2 2 4" xfId="512"/>
    <cellStyle name="Финансовый 4 2 2 4 10" xfId="7038"/>
    <cellStyle name="Финансовый 4 2 2 4 11" xfId="5338"/>
    <cellStyle name="Финансовый 4 2 2 4 12" xfId="3867"/>
    <cellStyle name="Финансовый 4 2 2 4 13" xfId="7256"/>
    <cellStyle name="Финансовый 4 2 2 4 2" xfId="917"/>
    <cellStyle name="Финансовый 4 2 2 4 2 2" xfId="1678"/>
    <cellStyle name="Финансовый 4 2 2 4 2 2 2" xfId="3149"/>
    <cellStyle name="Финансовый 4 2 2 4 2 2 2 2" xfId="9657"/>
    <cellStyle name="Финансовый 4 2 2 4 2 2 3" xfId="4797"/>
    <cellStyle name="Финансовый 4 2 2 4 2 2 4" xfId="8186"/>
    <cellStyle name="Финансовый 4 2 2 4 2 3" xfId="2413"/>
    <cellStyle name="Финансовый 4 2 2 4 2 3 2" xfId="5532"/>
    <cellStyle name="Финансовый 4 2 2 4 2 3 3" xfId="8921"/>
    <cellStyle name="Финансовый 4 2 2 4 2 4" xfId="4061"/>
    <cellStyle name="Финансовый 4 2 2 4 2 5" xfId="7450"/>
    <cellStyle name="Финансовый 4 2 2 4 3" xfId="1094"/>
    <cellStyle name="Финансовый 4 2 2 4 3 2" xfId="1855"/>
    <cellStyle name="Финансовый 4 2 2 4 3 2 2" xfId="3326"/>
    <cellStyle name="Финансовый 4 2 2 4 3 2 2 2" xfId="9834"/>
    <cellStyle name="Финансовый 4 2 2 4 3 2 3" xfId="4974"/>
    <cellStyle name="Финансовый 4 2 2 4 3 2 4" xfId="8363"/>
    <cellStyle name="Финансовый 4 2 2 4 3 3" xfId="2590"/>
    <cellStyle name="Финансовый 4 2 2 4 3 3 2" xfId="5713"/>
    <cellStyle name="Финансовый 4 2 2 4 3 3 3" xfId="9098"/>
    <cellStyle name="Финансовый 4 2 2 4 3 4" xfId="4238"/>
    <cellStyle name="Финансовый 4 2 2 4 3 5" xfId="7627"/>
    <cellStyle name="Финансовый 4 2 2 4 4" xfId="1282"/>
    <cellStyle name="Финансовый 4 2 2 4 4 2" xfId="2035"/>
    <cellStyle name="Финансовый 4 2 2 4 4 2 2" xfId="3506"/>
    <cellStyle name="Финансовый 4 2 2 4 4 2 2 2" xfId="10014"/>
    <cellStyle name="Финансовый 4 2 2 4 4 2 3" xfId="5154"/>
    <cellStyle name="Финансовый 4 2 2 4 4 2 4" xfId="8543"/>
    <cellStyle name="Финансовый 4 2 2 4 4 3" xfId="2770"/>
    <cellStyle name="Финансовый 4 2 2 4 4 3 2" xfId="5890"/>
    <cellStyle name="Финансовый 4 2 2 4 4 3 3" xfId="9278"/>
    <cellStyle name="Финансовый 4 2 2 4 4 4" xfId="4418"/>
    <cellStyle name="Финансовый 4 2 2 4 4 5" xfId="7807"/>
    <cellStyle name="Финансовый 4 2 2 4 5" xfId="1484"/>
    <cellStyle name="Финансовый 4 2 2 4 5 2" xfId="2955"/>
    <cellStyle name="Финансовый 4 2 2 4 5 2 2" xfId="6070"/>
    <cellStyle name="Финансовый 4 2 2 4 5 2 3" xfId="9463"/>
    <cellStyle name="Финансовый 4 2 2 4 5 3" xfId="4603"/>
    <cellStyle name="Финансовый 4 2 2 4 5 4" xfId="7992"/>
    <cellStyle name="Финансовый 4 2 2 4 6" xfId="2219"/>
    <cellStyle name="Финансовый 4 2 2 4 6 2" xfId="6251"/>
    <cellStyle name="Финансовый 4 2 2 4 6 3" xfId="8727"/>
    <cellStyle name="Финансовый 4 2 2 4 7" xfId="3686"/>
    <cellStyle name="Финансовый 4 2 2 4 7 2" xfId="6446"/>
    <cellStyle name="Финансовый 4 2 2 4 7 3" xfId="10194"/>
    <cellStyle name="Финансовый 4 2 2 4 8" xfId="6627"/>
    <cellStyle name="Финансовый 4 2 2 4 9" xfId="6824"/>
    <cellStyle name="Финансовый 4 2 2 5" xfId="914"/>
    <cellStyle name="Финансовый 4 2 2 5 2" xfId="1675"/>
    <cellStyle name="Финансовый 4 2 2 5 2 2" xfId="3146"/>
    <cellStyle name="Финансовый 4 2 2 5 2 2 2" xfId="9654"/>
    <cellStyle name="Финансовый 4 2 2 5 2 3" xfId="4794"/>
    <cellStyle name="Финансовый 4 2 2 5 2 4" xfId="8183"/>
    <cellStyle name="Финансовый 4 2 2 5 3" xfId="2410"/>
    <cellStyle name="Финансовый 4 2 2 5 3 2" xfId="5529"/>
    <cellStyle name="Финансовый 4 2 2 5 3 3" xfId="8918"/>
    <cellStyle name="Финансовый 4 2 2 5 4" xfId="4058"/>
    <cellStyle name="Финансовый 4 2 2 5 5" xfId="7447"/>
    <cellStyle name="Финансовый 4 2 2 6" xfId="1091"/>
    <cellStyle name="Финансовый 4 2 2 6 2" xfId="1852"/>
    <cellStyle name="Финансовый 4 2 2 6 2 2" xfId="3323"/>
    <cellStyle name="Финансовый 4 2 2 6 2 2 2" xfId="9831"/>
    <cellStyle name="Финансовый 4 2 2 6 2 3" xfId="4971"/>
    <cellStyle name="Финансовый 4 2 2 6 2 4" xfId="8360"/>
    <cellStyle name="Финансовый 4 2 2 6 3" xfId="2587"/>
    <cellStyle name="Финансовый 4 2 2 6 3 2" xfId="5710"/>
    <cellStyle name="Финансовый 4 2 2 6 3 3" xfId="9095"/>
    <cellStyle name="Финансовый 4 2 2 6 4" xfId="4235"/>
    <cellStyle name="Финансовый 4 2 2 6 5" xfId="7624"/>
    <cellStyle name="Финансовый 4 2 2 7" xfId="1279"/>
    <cellStyle name="Финансовый 4 2 2 7 2" xfId="2032"/>
    <cellStyle name="Финансовый 4 2 2 7 2 2" xfId="3503"/>
    <cellStyle name="Финансовый 4 2 2 7 2 2 2" xfId="10011"/>
    <cellStyle name="Финансовый 4 2 2 7 2 3" xfId="5151"/>
    <cellStyle name="Финансовый 4 2 2 7 2 4" xfId="8540"/>
    <cellStyle name="Финансовый 4 2 2 7 3" xfId="2767"/>
    <cellStyle name="Финансовый 4 2 2 7 3 2" xfId="5887"/>
    <cellStyle name="Финансовый 4 2 2 7 3 3" xfId="9275"/>
    <cellStyle name="Финансовый 4 2 2 7 4" xfId="4415"/>
    <cellStyle name="Финансовый 4 2 2 7 5" xfId="7804"/>
    <cellStyle name="Финансовый 4 2 2 8" xfId="1481"/>
    <cellStyle name="Финансовый 4 2 2 8 2" xfId="2952"/>
    <cellStyle name="Финансовый 4 2 2 8 2 2" xfId="6067"/>
    <cellStyle name="Финансовый 4 2 2 8 2 3" xfId="9460"/>
    <cellStyle name="Финансовый 4 2 2 8 3" xfId="4600"/>
    <cellStyle name="Финансовый 4 2 2 8 4" xfId="7989"/>
    <cellStyle name="Финансовый 4 2 2 9" xfId="2216"/>
    <cellStyle name="Финансовый 4 2 2 9 2" xfId="6248"/>
    <cellStyle name="Финансовый 4 2 2 9 3" xfId="8724"/>
    <cellStyle name="Финансовый 4 2 3" xfId="513"/>
    <cellStyle name="Финансовый 4 2 3 10" xfId="7039"/>
    <cellStyle name="Финансовый 4 2 3 11" xfId="5339"/>
    <cellStyle name="Финансовый 4 2 3 12" xfId="3868"/>
    <cellStyle name="Финансовый 4 2 3 13" xfId="7257"/>
    <cellStyle name="Финансовый 4 2 3 2" xfId="918"/>
    <cellStyle name="Финансовый 4 2 3 2 2" xfId="1679"/>
    <cellStyle name="Финансовый 4 2 3 2 2 2" xfId="3150"/>
    <cellStyle name="Финансовый 4 2 3 2 2 2 2" xfId="9658"/>
    <cellStyle name="Финансовый 4 2 3 2 2 3" xfId="4798"/>
    <cellStyle name="Финансовый 4 2 3 2 2 4" xfId="8187"/>
    <cellStyle name="Финансовый 4 2 3 2 3" xfId="2414"/>
    <cellStyle name="Финансовый 4 2 3 2 3 2" xfId="5533"/>
    <cellStyle name="Финансовый 4 2 3 2 3 3" xfId="8922"/>
    <cellStyle name="Финансовый 4 2 3 2 4" xfId="4062"/>
    <cellStyle name="Финансовый 4 2 3 2 5" xfId="7451"/>
    <cellStyle name="Финансовый 4 2 3 3" xfId="1095"/>
    <cellStyle name="Финансовый 4 2 3 3 2" xfId="1856"/>
    <cellStyle name="Финансовый 4 2 3 3 2 2" xfId="3327"/>
    <cellStyle name="Финансовый 4 2 3 3 2 2 2" xfId="9835"/>
    <cellStyle name="Финансовый 4 2 3 3 2 3" xfId="4975"/>
    <cellStyle name="Финансовый 4 2 3 3 2 4" xfId="8364"/>
    <cellStyle name="Финансовый 4 2 3 3 3" xfId="2591"/>
    <cellStyle name="Финансовый 4 2 3 3 3 2" xfId="5714"/>
    <cellStyle name="Финансовый 4 2 3 3 3 3" xfId="9099"/>
    <cellStyle name="Финансовый 4 2 3 3 4" xfId="4239"/>
    <cellStyle name="Финансовый 4 2 3 3 5" xfId="7628"/>
    <cellStyle name="Финансовый 4 2 3 4" xfId="1283"/>
    <cellStyle name="Финансовый 4 2 3 4 2" xfId="2036"/>
    <cellStyle name="Финансовый 4 2 3 4 2 2" xfId="3507"/>
    <cellStyle name="Финансовый 4 2 3 4 2 2 2" xfId="10015"/>
    <cellStyle name="Финансовый 4 2 3 4 2 3" xfId="5155"/>
    <cellStyle name="Финансовый 4 2 3 4 2 4" xfId="8544"/>
    <cellStyle name="Финансовый 4 2 3 4 3" xfId="2771"/>
    <cellStyle name="Финансовый 4 2 3 4 3 2" xfId="5891"/>
    <cellStyle name="Финансовый 4 2 3 4 3 3" xfId="9279"/>
    <cellStyle name="Финансовый 4 2 3 4 4" xfId="4419"/>
    <cellStyle name="Финансовый 4 2 3 4 5" xfId="7808"/>
    <cellStyle name="Финансовый 4 2 3 5" xfId="1485"/>
    <cellStyle name="Финансовый 4 2 3 5 2" xfId="2956"/>
    <cellStyle name="Финансовый 4 2 3 5 2 2" xfId="6071"/>
    <cellStyle name="Финансовый 4 2 3 5 2 3" xfId="9464"/>
    <cellStyle name="Финансовый 4 2 3 5 3" xfId="4604"/>
    <cellStyle name="Финансовый 4 2 3 5 4" xfId="7993"/>
    <cellStyle name="Финансовый 4 2 3 6" xfId="2220"/>
    <cellStyle name="Финансовый 4 2 3 6 2" xfId="6252"/>
    <cellStyle name="Финансовый 4 2 3 6 3" xfId="8728"/>
    <cellStyle name="Финансовый 4 2 3 7" xfId="3687"/>
    <cellStyle name="Финансовый 4 2 3 7 2" xfId="6447"/>
    <cellStyle name="Финансовый 4 2 3 7 3" xfId="10195"/>
    <cellStyle name="Финансовый 4 2 3 8" xfId="6628"/>
    <cellStyle name="Финансовый 4 2 3 9" xfId="6825"/>
    <cellStyle name="Финансовый 4 2 4" xfId="514"/>
    <cellStyle name="Финансовый 4 2 4 10" xfId="7040"/>
    <cellStyle name="Финансовый 4 2 4 11" xfId="5340"/>
    <cellStyle name="Финансовый 4 2 4 12" xfId="3869"/>
    <cellStyle name="Финансовый 4 2 4 13" xfId="7258"/>
    <cellStyle name="Финансовый 4 2 4 2" xfId="919"/>
    <cellStyle name="Финансовый 4 2 4 2 2" xfId="1680"/>
    <cellStyle name="Финансовый 4 2 4 2 2 2" xfId="3151"/>
    <cellStyle name="Финансовый 4 2 4 2 2 2 2" xfId="9659"/>
    <cellStyle name="Финансовый 4 2 4 2 2 3" xfId="4799"/>
    <cellStyle name="Финансовый 4 2 4 2 2 4" xfId="8188"/>
    <cellStyle name="Финансовый 4 2 4 2 3" xfId="2415"/>
    <cellStyle name="Финансовый 4 2 4 2 3 2" xfId="5534"/>
    <cellStyle name="Финансовый 4 2 4 2 3 3" xfId="8923"/>
    <cellStyle name="Финансовый 4 2 4 2 4" xfId="4063"/>
    <cellStyle name="Финансовый 4 2 4 2 5" xfId="7452"/>
    <cellStyle name="Финансовый 4 2 4 3" xfId="1096"/>
    <cellStyle name="Финансовый 4 2 4 3 2" xfId="1857"/>
    <cellStyle name="Финансовый 4 2 4 3 2 2" xfId="3328"/>
    <cellStyle name="Финансовый 4 2 4 3 2 2 2" xfId="9836"/>
    <cellStyle name="Финансовый 4 2 4 3 2 3" xfId="4976"/>
    <cellStyle name="Финансовый 4 2 4 3 2 4" xfId="8365"/>
    <cellStyle name="Финансовый 4 2 4 3 3" xfId="2592"/>
    <cellStyle name="Финансовый 4 2 4 3 3 2" xfId="5715"/>
    <cellStyle name="Финансовый 4 2 4 3 3 3" xfId="9100"/>
    <cellStyle name="Финансовый 4 2 4 3 4" xfId="4240"/>
    <cellStyle name="Финансовый 4 2 4 3 5" xfId="7629"/>
    <cellStyle name="Финансовый 4 2 4 4" xfId="1284"/>
    <cellStyle name="Финансовый 4 2 4 4 2" xfId="2037"/>
    <cellStyle name="Финансовый 4 2 4 4 2 2" xfId="3508"/>
    <cellStyle name="Финансовый 4 2 4 4 2 2 2" xfId="10016"/>
    <cellStyle name="Финансовый 4 2 4 4 2 3" xfId="5156"/>
    <cellStyle name="Финансовый 4 2 4 4 2 4" xfId="8545"/>
    <cellStyle name="Финансовый 4 2 4 4 3" xfId="2772"/>
    <cellStyle name="Финансовый 4 2 4 4 3 2" xfId="5892"/>
    <cellStyle name="Финансовый 4 2 4 4 3 3" xfId="9280"/>
    <cellStyle name="Финансовый 4 2 4 4 4" xfId="4420"/>
    <cellStyle name="Финансовый 4 2 4 4 5" xfId="7809"/>
    <cellStyle name="Финансовый 4 2 4 5" xfId="1486"/>
    <cellStyle name="Финансовый 4 2 4 5 2" xfId="2957"/>
    <cellStyle name="Финансовый 4 2 4 5 2 2" xfId="6072"/>
    <cellStyle name="Финансовый 4 2 4 5 2 3" xfId="9465"/>
    <cellStyle name="Финансовый 4 2 4 5 3" xfId="4605"/>
    <cellStyle name="Финансовый 4 2 4 5 4" xfId="7994"/>
    <cellStyle name="Финансовый 4 2 4 6" xfId="2221"/>
    <cellStyle name="Финансовый 4 2 4 6 2" xfId="6253"/>
    <cellStyle name="Финансовый 4 2 4 6 3" xfId="8729"/>
    <cellStyle name="Финансовый 4 2 4 7" xfId="3688"/>
    <cellStyle name="Финансовый 4 2 4 7 2" xfId="6448"/>
    <cellStyle name="Финансовый 4 2 4 7 3" xfId="10196"/>
    <cellStyle name="Финансовый 4 2 4 8" xfId="6629"/>
    <cellStyle name="Финансовый 4 2 4 9" xfId="6826"/>
    <cellStyle name="Финансовый 4 2 5" xfId="515"/>
    <cellStyle name="Финансовый 4 2 5 10" xfId="7041"/>
    <cellStyle name="Финансовый 4 2 5 11" xfId="5341"/>
    <cellStyle name="Финансовый 4 2 5 12" xfId="3870"/>
    <cellStyle name="Финансовый 4 2 5 13" xfId="7259"/>
    <cellStyle name="Финансовый 4 2 5 2" xfId="920"/>
    <cellStyle name="Финансовый 4 2 5 2 2" xfId="1681"/>
    <cellStyle name="Финансовый 4 2 5 2 2 2" xfId="3152"/>
    <cellStyle name="Финансовый 4 2 5 2 2 2 2" xfId="9660"/>
    <cellStyle name="Финансовый 4 2 5 2 2 3" xfId="4800"/>
    <cellStyle name="Финансовый 4 2 5 2 2 4" xfId="8189"/>
    <cellStyle name="Финансовый 4 2 5 2 3" xfId="2416"/>
    <cellStyle name="Финансовый 4 2 5 2 3 2" xfId="5535"/>
    <cellStyle name="Финансовый 4 2 5 2 3 3" xfId="8924"/>
    <cellStyle name="Финансовый 4 2 5 2 4" xfId="4064"/>
    <cellStyle name="Финансовый 4 2 5 2 5" xfId="7453"/>
    <cellStyle name="Финансовый 4 2 5 3" xfId="1097"/>
    <cellStyle name="Финансовый 4 2 5 3 2" xfId="1858"/>
    <cellStyle name="Финансовый 4 2 5 3 2 2" xfId="3329"/>
    <cellStyle name="Финансовый 4 2 5 3 2 2 2" xfId="9837"/>
    <cellStyle name="Финансовый 4 2 5 3 2 3" xfId="4977"/>
    <cellStyle name="Финансовый 4 2 5 3 2 4" xfId="8366"/>
    <cellStyle name="Финансовый 4 2 5 3 3" xfId="2593"/>
    <cellStyle name="Финансовый 4 2 5 3 3 2" xfId="5716"/>
    <cellStyle name="Финансовый 4 2 5 3 3 3" xfId="9101"/>
    <cellStyle name="Финансовый 4 2 5 3 4" xfId="4241"/>
    <cellStyle name="Финансовый 4 2 5 3 5" xfId="7630"/>
    <cellStyle name="Финансовый 4 2 5 4" xfId="1285"/>
    <cellStyle name="Финансовый 4 2 5 4 2" xfId="2038"/>
    <cellStyle name="Финансовый 4 2 5 4 2 2" xfId="3509"/>
    <cellStyle name="Финансовый 4 2 5 4 2 2 2" xfId="10017"/>
    <cellStyle name="Финансовый 4 2 5 4 2 3" xfId="5157"/>
    <cellStyle name="Финансовый 4 2 5 4 2 4" xfId="8546"/>
    <cellStyle name="Финансовый 4 2 5 4 3" xfId="2773"/>
    <cellStyle name="Финансовый 4 2 5 4 3 2" xfId="5893"/>
    <cellStyle name="Финансовый 4 2 5 4 3 3" xfId="9281"/>
    <cellStyle name="Финансовый 4 2 5 4 4" xfId="4421"/>
    <cellStyle name="Финансовый 4 2 5 4 5" xfId="7810"/>
    <cellStyle name="Финансовый 4 2 5 5" xfId="1487"/>
    <cellStyle name="Финансовый 4 2 5 5 2" xfId="2958"/>
    <cellStyle name="Финансовый 4 2 5 5 2 2" xfId="6073"/>
    <cellStyle name="Финансовый 4 2 5 5 2 3" xfId="9466"/>
    <cellStyle name="Финансовый 4 2 5 5 3" xfId="4606"/>
    <cellStyle name="Финансовый 4 2 5 5 4" xfId="7995"/>
    <cellStyle name="Финансовый 4 2 5 6" xfId="2222"/>
    <cellStyle name="Финансовый 4 2 5 6 2" xfId="6254"/>
    <cellStyle name="Финансовый 4 2 5 6 3" xfId="8730"/>
    <cellStyle name="Финансовый 4 2 5 7" xfId="3689"/>
    <cellStyle name="Финансовый 4 2 5 7 2" xfId="6449"/>
    <cellStyle name="Финансовый 4 2 5 7 3" xfId="10197"/>
    <cellStyle name="Финансовый 4 2 5 8" xfId="6630"/>
    <cellStyle name="Финансовый 4 2 5 9" xfId="6827"/>
    <cellStyle name="Финансовый 4 2 6" xfId="913"/>
    <cellStyle name="Финансовый 4 2 6 2" xfId="1674"/>
    <cellStyle name="Финансовый 4 2 6 2 2" xfId="3145"/>
    <cellStyle name="Финансовый 4 2 6 2 2 2" xfId="9653"/>
    <cellStyle name="Финансовый 4 2 6 2 3" xfId="4793"/>
    <cellStyle name="Финансовый 4 2 6 2 4" xfId="8182"/>
    <cellStyle name="Финансовый 4 2 6 3" xfId="2409"/>
    <cellStyle name="Финансовый 4 2 6 3 2" xfId="5528"/>
    <cellStyle name="Финансовый 4 2 6 3 3" xfId="8917"/>
    <cellStyle name="Финансовый 4 2 6 4" xfId="4057"/>
    <cellStyle name="Финансовый 4 2 6 5" xfId="7446"/>
    <cellStyle name="Финансовый 4 2 7" xfId="1090"/>
    <cellStyle name="Финансовый 4 2 7 2" xfId="1851"/>
    <cellStyle name="Финансовый 4 2 7 2 2" xfId="3322"/>
    <cellStyle name="Финансовый 4 2 7 2 2 2" xfId="9830"/>
    <cellStyle name="Финансовый 4 2 7 2 3" xfId="4970"/>
    <cellStyle name="Финансовый 4 2 7 2 4" xfId="8359"/>
    <cellStyle name="Финансовый 4 2 7 3" xfId="2586"/>
    <cellStyle name="Финансовый 4 2 7 3 2" xfId="5709"/>
    <cellStyle name="Финансовый 4 2 7 3 3" xfId="9094"/>
    <cellStyle name="Финансовый 4 2 7 4" xfId="4234"/>
    <cellStyle name="Финансовый 4 2 7 5" xfId="7623"/>
    <cellStyle name="Финансовый 4 2 8" xfId="1278"/>
    <cellStyle name="Финансовый 4 2 8 2" xfId="2031"/>
    <cellStyle name="Финансовый 4 2 8 2 2" xfId="3502"/>
    <cellStyle name="Финансовый 4 2 8 2 2 2" xfId="10010"/>
    <cellStyle name="Финансовый 4 2 8 2 3" xfId="5150"/>
    <cellStyle name="Финансовый 4 2 8 2 4" xfId="8539"/>
    <cellStyle name="Финансовый 4 2 8 3" xfId="2766"/>
    <cellStyle name="Финансовый 4 2 8 3 2" xfId="5886"/>
    <cellStyle name="Финансовый 4 2 8 3 3" xfId="9274"/>
    <cellStyle name="Финансовый 4 2 8 4" xfId="4414"/>
    <cellStyle name="Финансовый 4 2 8 5" xfId="7803"/>
    <cellStyle name="Финансовый 4 2 9" xfId="1480"/>
    <cellStyle name="Финансовый 4 2 9 2" xfId="2951"/>
    <cellStyle name="Финансовый 4 2 9 2 2" xfId="6066"/>
    <cellStyle name="Финансовый 4 2 9 2 3" xfId="9459"/>
    <cellStyle name="Финансовый 4 2 9 3" xfId="4599"/>
    <cellStyle name="Финансовый 4 2 9 4" xfId="7988"/>
    <cellStyle name="Финансовый 4 3" xfId="516"/>
    <cellStyle name="Финансовый 4 3 10" xfId="3690"/>
    <cellStyle name="Финансовый 4 3 10 2" xfId="6450"/>
    <cellStyle name="Финансовый 4 3 10 3" xfId="10198"/>
    <cellStyle name="Финансовый 4 3 11" xfId="6631"/>
    <cellStyle name="Финансовый 4 3 12" xfId="6828"/>
    <cellStyle name="Финансовый 4 3 13" xfId="7042"/>
    <cellStyle name="Финансовый 4 3 14" xfId="5342"/>
    <cellStyle name="Финансовый 4 3 15" xfId="3871"/>
    <cellStyle name="Финансовый 4 3 16" xfId="7260"/>
    <cellStyle name="Финансовый 4 3 2" xfId="517"/>
    <cellStyle name="Финансовый 4 3 2 10" xfId="7043"/>
    <cellStyle name="Финансовый 4 3 2 11" xfId="5343"/>
    <cellStyle name="Финансовый 4 3 2 12" xfId="3872"/>
    <cellStyle name="Финансовый 4 3 2 13" xfId="7261"/>
    <cellStyle name="Финансовый 4 3 2 2" xfId="922"/>
    <cellStyle name="Финансовый 4 3 2 2 2" xfId="1683"/>
    <cellStyle name="Финансовый 4 3 2 2 2 2" xfId="3154"/>
    <cellStyle name="Финансовый 4 3 2 2 2 2 2" xfId="9662"/>
    <cellStyle name="Финансовый 4 3 2 2 2 3" xfId="4802"/>
    <cellStyle name="Финансовый 4 3 2 2 2 4" xfId="8191"/>
    <cellStyle name="Финансовый 4 3 2 2 3" xfId="2418"/>
    <cellStyle name="Финансовый 4 3 2 2 3 2" xfId="5537"/>
    <cellStyle name="Финансовый 4 3 2 2 3 3" xfId="8926"/>
    <cellStyle name="Финансовый 4 3 2 2 4" xfId="4066"/>
    <cellStyle name="Финансовый 4 3 2 2 5" xfId="7455"/>
    <cellStyle name="Финансовый 4 3 2 3" xfId="1099"/>
    <cellStyle name="Финансовый 4 3 2 3 2" xfId="1860"/>
    <cellStyle name="Финансовый 4 3 2 3 2 2" xfId="3331"/>
    <cellStyle name="Финансовый 4 3 2 3 2 2 2" xfId="9839"/>
    <cellStyle name="Финансовый 4 3 2 3 2 3" xfId="4979"/>
    <cellStyle name="Финансовый 4 3 2 3 2 4" xfId="8368"/>
    <cellStyle name="Финансовый 4 3 2 3 3" xfId="2595"/>
    <cellStyle name="Финансовый 4 3 2 3 3 2" xfId="5718"/>
    <cellStyle name="Финансовый 4 3 2 3 3 3" xfId="9103"/>
    <cellStyle name="Финансовый 4 3 2 3 4" xfId="4243"/>
    <cellStyle name="Финансовый 4 3 2 3 5" xfId="7632"/>
    <cellStyle name="Финансовый 4 3 2 4" xfId="1287"/>
    <cellStyle name="Финансовый 4 3 2 4 2" xfId="2040"/>
    <cellStyle name="Финансовый 4 3 2 4 2 2" xfId="3511"/>
    <cellStyle name="Финансовый 4 3 2 4 2 2 2" xfId="10019"/>
    <cellStyle name="Финансовый 4 3 2 4 2 3" xfId="5159"/>
    <cellStyle name="Финансовый 4 3 2 4 2 4" xfId="8548"/>
    <cellStyle name="Финансовый 4 3 2 4 3" xfId="2775"/>
    <cellStyle name="Финансовый 4 3 2 4 3 2" xfId="5895"/>
    <cellStyle name="Финансовый 4 3 2 4 3 3" xfId="9283"/>
    <cellStyle name="Финансовый 4 3 2 4 4" xfId="4423"/>
    <cellStyle name="Финансовый 4 3 2 4 5" xfId="7812"/>
    <cellStyle name="Финансовый 4 3 2 5" xfId="1489"/>
    <cellStyle name="Финансовый 4 3 2 5 2" xfId="2960"/>
    <cellStyle name="Финансовый 4 3 2 5 2 2" xfId="6075"/>
    <cellStyle name="Финансовый 4 3 2 5 2 3" xfId="9468"/>
    <cellStyle name="Финансовый 4 3 2 5 3" xfId="4608"/>
    <cellStyle name="Финансовый 4 3 2 5 4" xfId="7997"/>
    <cellStyle name="Финансовый 4 3 2 6" xfId="2224"/>
    <cellStyle name="Финансовый 4 3 2 6 2" xfId="6256"/>
    <cellStyle name="Финансовый 4 3 2 6 3" xfId="8732"/>
    <cellStyle name="Финансовый 4 3 2 7" xfId="3691"/>
    <cellStyle name="Финансовый 4 3 2 7 2" xfId="6451"/>
    <cellStyle name="Финансовый 4 3 2 7 3" xfId="10199"/>
    <cellStyle name="Финансовый 4 3 2 8" xfId="6632"/>
    <cellStyle name="Финансовый 4 3 2 9" xfId="6829"/>
    <cellStyle name="Финансовый 4 3 3" xfId="518"/>
    <cellStyle name="Финансовый 4 3 3 10" xfId="7044"/>
    <cellStyle name="Финансовый 4 3 3 11" xfId="5344"/>
    <cellStyle name="Финансовый 4 3 3 12" xfId="3873"/>
    <cellStyle name="Финансовый 4 3 3 13" xfId="7262"/>
    <cellStyle name="Финансовый 4 3 3 2" xfId="923"/>
    <cellStyle name="Финансовый 4 3 3 2 2" xfId="1684"/>
    <cellStyle name="Финансовый 4 3 3 2 2 2" xfId="3155"/>
    <cellStyle name="Финансовый 4 3 3 2 2 2 2" xfId="9663"/>
    <cellStyle name="Финансовый 4 3 3 2 2 3" xfId="4803"/>
    <cellStyle name="Финансовый 4 3 3 2 2 4" xfId="8192"/>
    <cellStyle name="Финансовый 4 3 3 2 3" xfId="2419"/>
    <cellStyle name="Финансовый 4 3 3 2 3 2" xfId="5538"/>
    <cellStyle name="Финансовый 4 3 3 2 3 3" xfId="8927"/>
    <cellStyle name="Финансовый 4 3 3 2 4" xfId="4067"/>
    <cellStyle name="Финансовый 4 3 3 2 5" xfId="7456"/>
    <cellStyle name="Финансовый 4 3 3 3" xfId="1100"/>
    <cellStyle name="Финансовый 4 3 3 3 2" xfId="1861"/>
    <cellStyle name="Финансовый 4 3 3 3 2 2" xfId="3332"/>
    <cellStyle name="Финансовый 4 3 3 3 2 2 2" xfId="9840"/>
    <cellStyle name="Финансовый 4 3 3 3 2 3" xfId="4980"/>
    <cellStyle name="Финансовый 4 3 3 3 2 4" xfId="8369"/>
    <cellStyle name="Финансовый 4 3 3 3 3" xfId="2596"/>
    <cellStyle name="Финансовый 4 3 3 3 3 2" xfId="5719"/>
    <cellStyle name="Финансовый 4 3 3 3 3 3" xfId="9104"/>
    <cellStyle name="Финансовый 4 3 3 3 4" xfId="4244"/>
    <cellStyle name="Финансовый 4 3 3 3 5" xfId="7633"/>
    <cellStyle name="Финансовый 4 3 3 4" xfId="1288"/>
    <cellStyle name="Финансовый 4 3 3 4 2" xfId="2041"/>
    <cellStyle name="Финансовый 4 3 3 4 2 2" xfId="3512"/>
    <cellStyle name="Финансовый 4 3 3 4 2 2 2" xfId="10020"/>
    <cellStyle name="Финансовый 4 3 3 4 2 3" xfId="5160"/>
    <cellStyle name="Финансовый 4 3 3 4 2 4" xfId="8549"/>
    <cellStyle name="Финансовый 4 3 3 4 3" xfId="2776"/>
    <cellStyle name="Финансовый 4 3 3 4 3 2" xfId="5896"/>
    <cellStyle name="Финансовый 4 3 3 4 3 3" xfId="9284"/>
    <cellStyle name="Финансовый 4 3 3 4 4" xfId="4424"/>
    <cellStyle name="Финансовый 4 3 3 4 5" xfId="7813"/>
    <cellStyle name="Финансовый 4 3 3 5" xfId="1490"/>
    <cellStyle name="Финансовый 4 3 3 5 2" xfId="2961"/>
    <cellStyle name="Финансовый 4 3 3 5 2 2" xfId="6076"/>
    <cellStyle name="Финансовый 4 3 3 5 2 3" xfId="9469"/>
    <cellStyle name="Финансовый 4 3 3 5 3" xfId="4609"/>
    <cellStyle name="Финансовый 4 3 3 5 4" xfId="7998"/>
    <cellStyle name="Финансовый 4 3 3 6" xfId="2225"/>
    <cellStyle name="Финансовый 4 3 3 6 2" xfId="6257"/>
    <cellStyle name="Финансовый 4 3 3 6 3" xfId="8733"/>
    <cellStyle name="Финансовый 4 3 3 7" xfId="3692"/>
    <cellStyle name="Финансовый 4 3 3 7 2" xfId="6452"/>
    <cellStyle name="Финансовый 4 3 3 7 3" xfId="10200"/>
    <cellStyle name="Финансовый 4 3 3 8" xfId="6633"/>
    <cellStyle name="Финансовый 4 3 3 9" xfId="6830"/>
    <cellStyle name="Финансовый 4 3 4" xfId="519"/>
    <cellStyle name="Финансовый 4 3 4 10" xfId="7045"/>
    <cellStyle name="Финансовый 4 3 4 11" xfId="5345"/>
    <cellStyle name="Финансовый 4 3 4 12" xfId="3874"/>
    <cellStyle name="Финансовый 4 3 4 13" xfId="7263"/>
    <cellStyle name="Финансовый 4 3 4 2" xfId="924"/>
    <cellStyle name="Финансовый 4 3 4 2 2" xfId="1685"/>
    <cellStyle name="Финансовый 4 3 4 2 2 2" xfId="3156"/>
    <cellStyle name="Финансовый 4 3 4 2 2 2 2" xfId="9664"/>
    <cellStyle name="Финансовый 4 3 4 2 2 3" xfId="4804"/>
    <cellStyle name="Финансовый 4 3 4 2 2 4" xfId="8193"/>
    <cellStyle name="Финансовый 4 3 4 2 3" xfId="2420"/>
    <cellStyle name="Финансовый 4 3 4 2 3 2" xfId="5539"/>
    <cellStyle name="Финансовый 4 3 4 2 3 3" xfId="8928"/>
    <cellStyle name="Финансовый 4 3 4 2 4" xfId="4068"/>
    <cellStyle name="Финансовый 4 3 4 2 5" xfId="7457"/>
    <cellStyle name="Финансовый 4 3 4 3" xfId="1101"/>
    <cellStyle name="Финансовый 4 3 4 3 2" xfId="1862"/>
    <cellStyle name="Финансовый 4 3 4 3 2 2" xfId="3333"/>
    <cellStyle name="Финансовый 4 3 4 3 2 2 2" xfId="9841"/>
    <cellStyle name="Финансовый 4 3 4 3 2 3" xfId="4981"/>
    <cellStyle name="Финансовый 4 3 4 3 2 4" xfId="8370"/>
    <cellStyle name="Финансовый 4 3 4 3 3" xfId="2597"/>
    <cellStyle name="Финансовый 4 3 4 3 3 2" xfId="5720"/>
    <cellStyle name="Финансовый 4 3 4 3 3 3" xfId="9105"/>
    <cellStyle name="Финансовый 4 3 4 3 4" xfId="4245"/>
    <cellStyle name="Финансовый 4 3 4 3 5" xfId="7634"/>
    <cellStyle name="Финансовый 4 3 4 4" xfId="1289"/>
    <cellStyle name="Финансовый 4 3 4 4 2" xfId="2042"/>
    <cellStyle name="Финансовый 4 3 4 4 2 2" xfId="3513"/>
    <cellStyle name="Финансовый 4 3 4 4 2 2 2" xfId="10021"/>
    <cellStyle name="Финансовый 4 3 4 4 2 3" xfId="5161"/>
    <cellStyle name="Финансовый 4 3 4 4 2 4" xfId="8550"/>
    <cellStyle name="Финансовый 4 3 4 4 3" xfId="2777"/>
    <cellStyle name="Финансовый 4 3 4 4 3 2" xfId="5897"/>
    <cellStyle name="Финансовый 4 3 4 4 3 3" xfId="9285"/>
    <cellStyle name="Финансовый 4 3 4 4 4" xfId="4425"/>
    <cellStyle name="Финансовый 4 3 4 4 5" xfId="7814"/>
    <cellStyle name="Финансовый 4 3 4 5" xfId="1491"/>
    <cellStyle name="Финансовый 4 3 4 5 2" xfId="2962"/>
    <cellStyle name="Финансовый 4 3 4 5 2 2" xfId="6077"/>
    <cellStyle name="Финансовый 4 3 4 5 2 3" xfId="9470"/>
    <cellStyle name="Финансовый 4 3 4 5 3" xfId="4610"/>
    <cellStyle name="Финансовый 4 3 4 5 4" xfId="7999"/>
    <cellStyle name="Финансовый 4 3 4 6" xfId="2226"/>
    <cellStyle name="Финансовый 4 3 4 6 2" xfId="6258"/>
    <cellStyle name="Финансовый 4 3 4 6 3" xfId="8734"/>
    <cellStyle name="Финансовый 4 3 4 7" xfId="3693"/>
    <cellStyle name="Финансовый 4 3 4 7 2" xfId="6453"/>
    <cellStyle name="Финансовый 4 3 4 7 3" xfId="10201"/>
    <cellStyle name="Финансовый 4 3 4 8" xfId="6634"/>
    <cellStyle name="Финансовый 4 3 4 9" xfId="6831"/>
    <cellStyle name="Финансовый 4 3 5" xfId="921"/>
    <cellStyle name="Финансовый 4 3 5 2" xfId="1682"/>
    <cellStyle name="Финансовый 4 3 5 2 2" xfId="3153"/>
    <cellStyle name="Финансовый 4 3 5 2 2 2" xfId="9661"/>
    <cellStyle name="Финансовый 4 3 5 2 3" xfId="4801"/>
    <cellStyle name="Финансовый 4 3 5 2 4" xfId="8190"/>
    <cellStyle name="Финансовый 4 3 5 3" xfId="2417"/>
    <cellStyle name="Финансовый 4 3 5 3 2" xfId="5536"/>
    <cellStyle name="Финансовый 4 3 5 3 3" xfId="8925"/>
    <cellStyle name="Финансовый 4 3 5 4" xfId="4065"/>
    <cellStyle name="Финансовый 4 3 5 5" xfId="7454"/>
    <cellStyle name="Финансовый 4 3 6" xfId="1098"/>
    <cellStyle name="Финансовый 4 3 6 2" xfId="1859"/>
    <cellStyle name="Финансовый 4 3 6 2 2" xfId="3330"/>
    <cellStyle name="Финансовый 4 3 6 2 2 2" xfId="9838"/>
    <cellStyle name="Финансовый 4 3 6 2 3" xfId="4978"/>
    <cellStyle name="Финансовый 4 3 6 2 4" xfId="8367"/>
    <cellStyle name="Финансовый 4 3 6 3" xfId="2594"/>
    <cellStyle name="Финансовый 4 3 6 3 2" xfId="5717"/>
    <cellStyle name="Финансовый 4 3 6 3 3" xfId="9102"/>
    <cellStyle name="Финансовый 4 3 6 4" xfId="4242"/>
    <cellStyle name="Финансовый 4 3 6 5" xfId="7631"/>
    <cellStyle name="Финансовый 4 3 7" xfId="1286"/>
    <cellStyle name="Финансовый 4 3 7 2" xfId="2039"/>
    <cellStyle name="Финансовый 4 3 7 2 2" xfId="3510"/>
    <cellStyle name="Финансовый 4 3 7 2 2 2" xfId="10018"/>
    <cellStyle name="Финансовый 4 3 7 2 3" xfId="5158"/>
    <cellStyle name="Финансовый 4 3 7 2 4" xfId="8547"/>
    <cellStyle name="Финансовый 4 3 7 3" xfId="2774"/>
    <cellStyle name="Финансовый 4 3 7 3 2" xfId="5894"/>
    <cellStyle name="Финансовый 4 3 7 3 3" xfId="9282"/>
    <cellStyle name="Финансовый 4 3 7 4" xfId="4422"/>
    <cellStyle name="Финансовый 4 3 7 5" xfId="7811"/>
    <cellStyle name="Финансовый 4 3 8" xfId="1488"/>
    <cellStyle name="Финансовый 4 3 8 2" xfId="2959"/>
    <cellStyle name="Финансовый 4 3 8 2 2" xfId="6074"/>
    <cellStyle name="Финансовый 4 3 8 2 3" xfId="9467"/>
    <cellStyle name="Финансовый 4 3 8 3" xfId="4607"/>
    <cellStyle name="Финансовый 4 3 8 4" xfId="7996"/>
    <cellStyle name="Финансовый 4 3 9" xfId="2223"/>
    <cellStyle name="Финансовый 4 3 9 2" xfId="6255"/>
    <cellStyle name="Финансовый 4 3 9 3" xfId="8731"/>
    <cellStyle name="Финансовый 4 4" xfId="520"/>
    <cellStyle name="Финансовый 4 4 10" xfId="7046"/>
    <cellStyle name="Финансовый 4 4 11" xfId="5346"/>
    <cellStyle name="Финансовый 4 4 12" xfId="3875"/>
    <cellStyle name="Финансовый 4 4 13" xfId="7264"/>
    <cellStyle name="Финансовый 4 4 2" xfId="925"/>
    <cellStyle name="Финансовый 4 4 2 2" xfId="1686"/>
    <cellStyle name="Финансовый 4 4 2 2 2" xfId="3157"/>
    <cellStyle name="Финансовый 4 4 2 2 2 2" xfId="9665"/>
    <cellStyle name="Финансовый 4 4 2 2 3" xfId="4805"/>
    <cellStyle name="Финансовый 4 4 2 2 4" xfId="8194"/>
    <cellStyle name="Финансовый 4 4 2 3" xfId="2421"/>
    <cellStyle name="Финансовый 4 4 2 3 2" xfId="5540"/>
    <cellStyle name="Финансовый 4 4 2 3 3" xfId="8929"/>
    <cellStyle name="Финансовый 4 4 2 4" xfId="4069"/>
    <cellStyle name="Финансовый 4 4 2 5" xfId="7458"/>
    <cellStyle name="Финансовый 4 4 3" xfId="1102"/>
    <cellStyle name="Финансовый 4 4 3 2" xfId="1863"/>
    <cellStyle name="Финансовый 4 4 3 2 2" xfId="3334"/>
    <cellStyle name="Финансовый 4 4 3 2 2 2" xfId="9842"/>
    <cellStyle name="Финансовый 4 4 3 2 3" xfId="4982"/>
    <cellStyle name="Финансовый 4 4 3 2 4" xfId="8371"/>
    <cellStyle name="Финансовый 4 4 3 3" xfId="2598"/>
    <cellStyle name="Финансовый 4 4 3 3 2" xfId="5721"/>
    <cellStyle name="Финансовый 4 4 3 3 3" xfId="9106"/>
    <cellStyle name="Финансовый 4 4 3 4" xfId="4246"/>
    <cellStyle name="Финансовый 4 4 3 5" xfId="7635"/>
    <cellStyle name="Финансовый 4 4 4" xfId="1290"/>
    <cellStyle name="Финансовый 4 4 4 2" xfId="2043"/>
    <cellStyle name="Финансовый 4 4 4 2 2" xfId="3514"/>
    <cellStyle name="Финансовый 4 4 4 2 2 2" xfId="10022"/>
    <cellStyle name="Финансовый 4 4 4 2 3" xfId="5162"/>
    <cellStyle name="Финансовый 4 4 4 2 4" xfId="8551"/>
    <cellStyle name="Финансовый 4 4 4 3" xfId="2778"/>
    <cellStyle name="Финансовый 4 4 4 3 2" xfId="5898"/>
    <cellStyle name="Финансовый 4 4 4 3 3" xfId="9286"/>
    <cellStyle name="Финансовый 4 4 4 4" xfId="4426"/>
    <cellStyle name="Финансовый 4 4 4 5" xfId="7815"/>
    <cellStyle name="Финансовый 4 4 5" xfId="1492"/>
    <cellStyle name="Финансовый 4 4 5 2" xfId="2963"/>
    <cellStyle name="Финансовый 4 4 5 2 2" xfId="6078"/>
    <cellStyle name="Финансовый 4 4 5 2 3" xfId="9471"/>
    <cellStyle name="Финансовый 4 4 5 3" xfId="4611"/>
    <cellStyle name="Финансовый 4 4 5 4" xfId="8000"/>
    <cellStyle name="Финансовый 4 4 6" xfId="2227"/>
    <cellStyle name="Финансовый 4 4 6 2" xfId="6259"/>
    <cellStyle name="Финансовый 4 4 6 3" xfId="8735"/>
    <cellStyle name="Финансовый 4 4 7" xfId="3694"/>
    <cellStyle name="Финансовый 4 4 7 2" xfId="6454"/>
    <cellStyle name="Финансовый 4 4 7 3" xfId="10202"/>
    <cellStyle name="Финансовый 4 4 8" xfId="6635"/>
    <cellStyle name="Финансовый 4 4 9" xfId="6832"/>
    <cellStyle name="Финансовый 4 5" xfId="521"/>
    <cellStyle name="Финансовый 4 5 10" xfId="7047"/>
    <cellStyle name="Финансовый 4 5 11" xfId="5347"/>
    <cellStyle name="Финансовый 4 5 12" xfId="3876"/>
    <cellStyle name="Финансовый 4 5 13" xfId="7265"/>
    <cellStyle name="Финансовый 4 5 2" xfId="926"/>
    <cellStyle name="Финансовый 4 5 2 2" xfId="1687"/>
    <cellStyle name="Финансовый 4 5 2 2 2" xfId="3158"/>
    <cellStyle name="Финансовый 4 5 2 2 2 2" xfId="9666"/>
    <cellStyle name="Финансовый 4 5 2 2 3" xfId="4806"/>
    <cellStyle name="Финансовый 4 5 2 2 4" xfId="8195"/>
    <cellStyle name="Финансовый 4 5 2 3" xfId="2422"/>
    <cellStyle name="Финансовый 4 5 2 3 2" xfId="5541"/>
    <cellStyle name="Финансовый 4 5 2 3 3" xfId="8930"/>
    <cellStyle name="Финансовый 4 5 2 4" xfId="4070"/>
    <cellStyle name="Финансовый 4 5 2 5" xfId="7459"/>
    <cellStyle name="Финансовый 4 5 3" xfId="1103"/>
    <cellStyle name="Финансовый 4 5 3 2" xfId="1864"/>
    <cellStyle name="Финансовый 4 5 3 2 2" xfId="3335"/>
    <cellStyle name="Финансовый 4 5 3 2 2 2" xfId="9843"/>
    <cellStyle name="Финансовый 4 5 3 2 3" xfId="4983"/>
    <cellStyle name="Финансовый 4 5 3 2 4" xfId="8372"/>
    <cellStyle name="Финансовый 4 5 3 3" xfId="2599"/>
    <cellStyle name="Финансовый 4 5 3 3 2" xfId="5722"/>
    <cellStyle name="Финансовый 4 5 3 3 3" xfId="9107"/>
    <cellStyle name="Финансовый 4 5 3 4" xfId="4247"/>
    <cellStyle name="Финансовый 4 5 3 5" xfId="7636"/>
    <cellStyle name="Финансовый 4 5 4" xfId="1291"/>
    <cellStyle name="Финансовый 4 5 4 2" xfId="2044"/>
    <cellStyle name="Финансовый 4 5 4 2 2" xfId="3515"/>
    <cellStyle name="Финансовый 4 5 4 2 2 2" xfId="10023"/>
    <cellStyle name="Финансовый 4 5 4 2 3" xfId="5163"/>
    <cellStyle name="Финансовый 4 5 4 2 4" xfId="8552"/>
    <cellStyle name="Финансовый 4 5 4 3" xfId="2779"/>
    <cellStyle name="Финансовый 4 5 4 3 2" xfId="5899"/>
    <cellStyle name="Финансовый 4 5 4 3 3" xfId="9287"/>
    <cellStyle name="Финансовый 4 5 4 4" xfId="4427"/>
    <cellStyle name="Финансовый 4 5 4 5" xfId="7816"/>
    <cellStyle name="Финансовый 4 5 5" xfId="1493"/>
    <cellStyle name="Финансовый 4 5 5 2" xfId="2964"/>
    <cellStyle name="Финансовый 4 5 5 2 2" xfId="6079"/>
    <cellStyle name="Финансовый 4 5 5 2 3" xfId="9472"/>
    <cellStyle name="Финансовый 4 5 5 3" xfId="4612"/>
    <cellStyle name="Финансовый 4 5 5 4" xfId="8001"/>
    <cellStyle name="Финансовый 4 5 6" xfId="2228"/>
    <cellStyle name="Финансовый 4 5 6 2" xfId="6260"/>
    <cellStyle name="Финансовый 4 5 6 3" xfId="8736"/>
    <cellStyle name="Финансовый 4 5 7" xfId="3695"/>
    <cellStyle name="Финансовый 4 5 7 2" xfId="6455"/>
    <cellStyle name="Финансовый 4 5 7 3" xfId="10203"/>
    <cellStyle name="Финансовый 4 5 8" xfId="6636"/>
    <cellStyle name="Финансовый 4 5 9" xfId="6833"/>
    <cellStyle name="Финансовый 4 6" xfId="522"/>
    <cellStyle name="Финансовый 4 6 10" xfId="7048"/>
    <cellStyle name="Финансовый 4 6 11" xfId="5348"/>
    <cellStyle name="Финансовый 4 6 12" xfId="3877"/>
    <cellStyle name="Финансовый 4 6 13" xfId="7266"/>
    <cellStyle name="Финансовый 4 6 2" xfId="927"/>
    <cellStyle name="Финансовый 4 6 2 2" xfId="1688"/>
    <cellStyle name="Финансовый 4 6 2 2 2" xfId="3159"/>
    <cellStyle name="Финансовый 4 6 2 2 2 2" xfId="9667"/>
    <cellStyle name="Финансовый 4 6 2 2 3" xfId="4807"/>
    <cellStyle name="Финансовый 4 6 2 2 4" xfId="8196"/>
    <cellStyle name="Финансовый 4 6 2 3" xfId="2423"/>
    <cellStyle name="Финансовый 4 6 2 3 2" xfId="5542"/>
    <cellStyle name="Финансовый 4 6 2 3 3" xfId="8931"/>
    <cellStyle name="Финансовый 4 6 2 4" xfId="4071"/>
    <cellStyle name="Финансовый 4 6 2 5" xfId="7460"/>
    <cellStyle name="Финансовый 4 6 3" xfId="1104"/>
    <cellStyle name="Финансовый 4 6 3 2" xfId="1865"/>
    <cellStyle name="Финансовый 4 6 3 2 2" xfId="3336"/>
    <cellStyle name="Финансовый 4 6 3 2 2 2" xfId="9844"/>
    <cellStyle name="Финансовый 4 6 3 2 3" xfId="4984"/>
    <cellStyle name="Финансовый 4 6 3 2 4" xfId="8373"/>
    <cellStyle name="Финансовый 4 6 3 3" xfId="2600"/>
    <cellStyle name="Финансовый 4 6 3 3 2" xfId="5723"/>
    <cellStyle name="Финансовый 4 6 3 3 3" xfId="9108"/>
    <cellStyle name="Финансовый 4 6 3 4" xfId="4248"/>
    <cellStyle name="Финансовый 4 6 3 5" xfId="7637"/>
    <cellStyle name="Финансовый 4 6 4" xfId="1292"/>
    <cellStyle name="Финансовый 4 6 4 2" xfId="2045"/>
    <cellStyle name="Финансовый 4 6 4 2 2" xfId="3516"/>
    <cellStyle name="Финансовый 4 6 4 2 2 2" xfId="10024"/>
    <cellStyle name="Финансовый 4 6 4 2 3" xfId="5164"/>
    <cellStyle name="Финансовый 4 6 4 2 4" xfId="8553"/>
    <cellStyle name="Финансовый 4 6 4 3" xfId="2780"/>
    <cellStyle name="Финансовый 4 6 4 3 2" xfId="5900"/>
    <cellStyle name="Финансовый 4 6 4 3 3" xfId="9288"/>
    <cellStyle name="Финансовый 4 6 4 4" xfId="4428"/>
    <cellStyle name="Финансовый 4 6 4 5" xfId="7817"/>
    <cellStyle name="Финансовый 4 6 5" xfId="1494"/>
    <cellStyle name="Финансовый 4 6 5 2" xfId="2965"/>
    <cellStyle name="Финансовый 4 6 5 2 2" xfId="6080"/>
    <cellStyle name="Финансовый 4 6 5 2 3" xfId="9473"/>
    <cellStyle name="Финансовый 4 6 5 3" xfId="4613"/>
    <cellStyle name="Финансовый 4 6 5 4" xfId="8002"/>
    <cellStyle name="Финансовый 4 6 6" xfId="2229"/>
    <cellStyle name="Финансовый 4 6 6 2" xfId="6261"/>
    <cellStyle name="Финансовый 4 6 6 3" xfId="8737"/>
    <cellStyle name="Финансовый 4 6 7" xfId="3696"/>
    <cellStyle name="Финансовый 4 6 7 2" xfId="6456"/>
    <cellStyle name="Финансовый 4 6 7 3" xfId="10204"/>
    <cellStyle name="Финансовый 4 6 8" xfId="6637"/>
    <cellStyle name="Финансовый 4 6 9" xfId="6834"/>
    <cellStyle name="Финансовый 4 7" xfId="735"/>
    <cellStyle name="Финансовый 4 7 2" xfId="1479"/>
    <cellStyle name="Финансовый 4 7 2 2" xfId="2950"/>
    <cellStyle name="Финансовый 4 7 2 2 2" xfId="9458"/>
    <cellStyle name="Финансовый 4 7 2 3" xfId="4598"/>
    <cellStyle name="Финансовый 4 7 2 4" xfId="7987"/>
    <cellStyle name="Финансовый 4 7 3" xfId="2214"/>
    <cellStyle name="Финансовый 4 7 3 2" xfId="5333"/>
    <cellStyle name="Финансовый 4 7 3 3" xfId="8722"/>
    <cellStyle name="Финансовый 4 7 4" xfId="3862"/>
    <cellStyle name="Финансовый 4 7 5" xfId="7251"/>
    <cellStyle name="Финансовый 4 8" xfId="912"/>
    <cellStyle name="Финансовый 4 8 2" xfId="1673"/>
    <cellStyle name="Финансовый 4 8 2 2" xfId="3144"/>
    <cellStyle name="Финансовый 4 8 2 2 2" xfId="9652"/>
    <cellStyle name="Финансовый 4 8 2 3" xfId="4792"/>
    <cellStyle name="Финансовый 4 8 2 4" xfId="8181"/>
    <cellStyle name="Финансовый 4 8 3" xfId="2408"/>
    <cellStyle name="Финансовый 4 8 3 2" xfId="5527"/>
    <cellStyle name="Финансовый 4 8 3 3" xfId="8916"/>
    <cellStyle name="Финансовый 4 8 4" xfId="4056"/>
    <cellStyle name="Финансовый 4 8 5" xfId="7445"/>
    <cellStyle name="Финансовый 4 9" xfId="1089"/>
    <cellStyle name="Финансовый 4 9 2" xfId="1850"/>
    <cellStyle name="Финансовый 4 9 2 2" xfId="3321"/>
    <cellStyle name="Финансовый 4 9 2 2 2" xfId="9829"/>
    <cellStyle name="Финансовый 4 9 2 3" xfId="4969"/>
    <cellStyle name="Финансовый 4 9 2 4" xfId="8358"/>
    <cellStyle name="Финансовый 4 9 3" xfId="2585"/>
    <cellStyle name="Финансовый 4 9 3 2" xfId="5708"/>
    <cellStyle name="Финансовый 4 9 3 3" xfId="9093"/>
    <cellStyle name="Финансовый 4 9 4" xfId="4233"/>
    <cellStyle name="Финансовый 4 9 5" xfId="7622"/>
    <cellStyle name="Финансовый 5" xfId="523"/>
    <cellStyle name="Финансовый 5 10" xfId="3697"/>
    <cellStyle name="Финансовый 5 10 2" xfId="6457"/>
    <cellStyle name="Финансовый 5 10 3" xfId="10205"/>
    <cellStyle name="Финансовый 5 11" xfId="6638"/>
    <cellStyle name="Финансовый 5 12" xfId="6835"/>
    <cellStyle name="Финансовый 5 13" xfId="7049"/>
    <cellStyle name="Финансовый 5 14" xfId="5349"/>
    <cellStyle name="Финансовый 5 15" xfId="3878"/>
    <cellStyle name="Финансовый 5 16" xfId="7267"/>
    <cellStyle name="Финансовый 5 2" xfId="524"/>
    <cellStyle name="Финансовый 5 2 10" xfId="7050"/>
    <cellStyle name="Финансовый 5 2 11" xfId="5350"/>
    <cellStyle name="Финансовый 5 2 12" xfId="3879"/>
    <cellStyle name="Финансовый 5 2 13" xfId="7268"/>
    <cellStyle name="Финансовый 5 2 2" xfId="929"/>
    <cellStyle name="Финансовый 5 2 2 2" xfId="1690"/>
    <cellStyle name="Финансовый 5 2 2 2 2" xfId="3161"/>
    <cellStyle name="Финансовый 5 2 2 2 2 2" xfId="9669"/>
    <cellStyle name="Финансовый 5 2 2 2 3" xfId="4809"/>
    <cellStyle name="Финансовый 5 2 2 2 4" xfId="8198"/>
    <cellStyle name="Финансовый 5 2 2 3" xfId="2425"/>
    <cellStyle name="Финансовый 5 2 2 3 2" xfId="5544"/>
    <cellStyle name="Финансовый 5 2 2 3 3" xfId="8933"/>
    <cellStyle name="Финансовый 5 2 2 4" xfId="4073"/>
    <cellStyle name="Финансовый 5 2 2 5" xfId="7462"/>
    <cellStyle name="Финансовый 5 2 3" xfId="1106"/>
    <cellStyle name="Финансовый 5 2 3 2" xfId="1867"/>
    <cellStyle name="Финансовый 5 2 3 2 2" xfId="3338"/>
    <cellStyle name="Финансовый 5 2 3 2 2 2" xfId="9846"/>
    <cellStyle name="Финансовый 5 2 3 2 3" xfId="4986"/>
    <cellStyle name="Финансовый 5 2 3 2 4" xfId="8375"/>
    <cellStyle name="Финансовый 5 2 3 3" xfId="2602"/>
    <cellStyle name="Финансовый 5 2 3 3 2" xfId="5725"/>
    <cellStyle name="Финансовый 5 2 3 3 3" xfId="9110"/>
    <cellStyle name="Финансовый 5 2 3 4" xfId="4250"/>
    <cellStyle name="Финансовый 5 2 3 5" xfId="7639"/>
    <cellStyle name="Финансовый 5 2 4" xfId="1294"/>
    <cellStyle name="Финансовый 5 2 4 2" xfId="2047"/>
    <cellStyle name="Финансовый 5 2 4 2 2" xfId="3518"/>
    <cellStyle name="Финансовый 5 2 4 2 2 2" xfId="10026"/>
    <cellStyle name="Финансовый 5 2 4 2 3" xfId="5166"/>
    <cellStyle name="Финансовый 5 2 4 2 4" xfId="8555"/>
    <cellStyle name="Финансовый 5 2 4 3" xfId="2782"/>
    <cellStyle name="Финансовый 5 2 4 3 2" xfId="5902"/>
    <cellStyle name="Финансовый 5 2 4 3 3" xfId="9290"/>
    <cellStyle name="Финансовый 5 2 4 4" xfId="4430"/>
    <cellStyle name="Финансовый 5 2 4 5" xfId="7819"/>
    <cellStyle name="Финансовый 5 2 5" xfId="1496"/>
    <cellStyle name="Финансовый 5 2 5 2" xfId="2967"/>
    <cellStyle name="Финансовый 5 2 5 2 2" xfId="6082"/>
    <cellStyle name="Финансовый 5 2 5 2 3" xfId="9475"/>
    <cellStyle name="Финансовый 5 2 5 3" xfId="4615"/>
    <cellStyle name="Финансовый 5 2 5 4" xfId="8004"/>
    <cellStyle name="Финансовый 5 2 6" xfId="2231"/>
    <cellStyle name="Финансовый 5 2 6 2" xfId="6263"/>
    <cellStyle name="Финансовый 5 2 6 3" xfId="8739"/>
    <cellStyle name="Финансовый 5 2 7" xfId="3698"/>
    <cellStyle name="Финансовый 5 2 7 2" xfId="6458"/>
    <cellStyle name="Финансовый 5 2 7 3" xfId="10206"/>
    <cellStyle name="Финансовый 5 2 8" xfId="6639"/>
    <cellStyle name="Финансовый 5 2 9" xfId="6836"/>
    <cellStyle name="Финансовый 5 3" xfId="525"/>
    <cellStyle name="Финансовый 5 3 10" xfId="7051"/>
    <cellStyle name="Финансовый 5 3 11" xfId="5351"/>
    <cellStyle name="Финансовый 5 3 12" xfId="3880"/>
    <cellStyle name="Финансовый 5 3 13" xfId="7269"/>
    <cellStyle name="Финансовый 5 3 2" xfId="930"/>
    <cellStyle name="Финансовый 5 3 2 2" xfId="1691"/>
    <cellStyle name="Финансовый 5 3 2 2 2" xfId="3162"/>
    <cellStyle name="Финансовый 5 3 2 2 2 2" xfId="9670"/>
    <cellStyle name="Финансовый 5 3 2 2 3" xfId="4810"/>
    <cellStyle name="Финансовый 5 3 2 2 4" xfId="8199"/>
    <cellStyle name="Финансовый 5 3 2 3" xfId="2426"/>
    <cellStyle name="Финансовый 5 3 2 3 2" xfId="5545"/>
    <cellStyle name="Финансовый 5 3 2 3 3" xfId="8934"/>
    <cellStyle name="Финансовый 5 3 2 4" xfId="4074"/>
    <cellStyle name="Финансовый 5 3 2 5" xfId="7463"/>
    <cellStyle name="Финансовый 5 3 3" xfId="1107"/>
    <cellStyle name="Финансовый 5 3 3 2" xfId="1868"/>
    <cellStyle name="Финансовый 5 3 3 2 2" xfId="3339"/>
    <cellStyle name="Финансовый 5 3 3 2 2 2" xfId="9847"/>
    <cellStyle name="Финансовый 5 3 3 2 3" xfId="4987"/>
    <cellStyle name="Финансовый 5 3 3 2 4" xfId="8376"/>
    <cellStyle name="Финансовый 5 3 3 3" xfId="2603"/>
    <cellStyle name="Финансовый 5 3 3 3 2" xfId="5726"/>
    <cellStyle name="Финансовый 5 3 3 3 3" xfId="9111"/>
    <cellStyle name="Финансовый 5 3 3 4" xfId="4251"/>
    <cellStyle name="Финансовый 5 3 3 5" xfId="7640"/>
    <cellStyle name="Финансовый 5 3 4" xfId="1295"/>
    <cellStyle name="Финансовый 5 3 4 2" xfId="2048"/>
    <cellStyle name="Финансовый 5 3 4 2 2" xfId="3519"/>
    <cellStyle name="Финансовый 5 3 4 2 2 2" xfId="10027"/>
    <cellStyle name="Финансовый 5 3 4 2 3" xfId="5167"/>
    <cellStyle name="Финансовый 5 3 4 2 4" xfId="8556"/>
    <cellStyle name="Финансовый 5 3 4 3" xfId="2783"/>
    <cellStyle name="Финансовый 5 3 4 3 2" xfId="5903"/>
    <cellStyle name="Финансовый 5 3 4 3 3" xfId="9291"/>
    <cellStyle name="Финансовый 5 3 4 4" xfId="4431"/>
    <cellStyle name="Финансовый 5 3 4 5" xfId="7820"/>
    <cellStyle name="Финансовый 5 3 5" xfId="1497"/>
    <cellStyle name="Финансовый 5 3 5 2" xfId="2968"/>
    <cellStyle name="Финансовый 5 3 5 2 2" xfId="6083"/>
    <cellStyle name="Финансовый 5 3 5 2 3" xfId="9476"/>
    <cellStyle name="Финансовый 5 3 5 3" xfId="4616"/>
    <cellStyle name="Финансовый 5 3 5 4" xfId="8005"/>
    <cellStyle name="Финансовый 5 3 6" xfId="2232"/>
    <cellStyle name="Финансовый 5 3 6 2" xfId="6264"/>
    <cellStyle name="Финансовый 5 3 6 3" xfId="8740"/>
    <cellStyle name="Финансовый 5 3 7" xfId="3699"/>
    <cellStyle name="Финансовый 5 3 7 2" xfId="6459"/>
    <cellStyle name="Финансовый 5 3 7 3" xfId="10207"/>
    <cellStyle name="Финансовый 5 3 8" xfId="6640"/>
    <cellStyle name="Финансовый 5 3 9" xfId="6837"/>
    <cellStyle name="Финансовый 5 4" xfId="526"/>
    <cellStyle name="Финансовый 5 4 10" xfId="7052"/>
    <cellStyle name="Финансовый 5 4 11" xfId="5352"/>
    <cellStyle name="Финансовый 5 4 12" xfId="3881"/>
    <cellStyle name="Финансовый 5 4 13" xfId="7270"/>
    <cellStyle name="Финансовый 5 4 2" xfId="931"/>
    <cellStyle name="Финансовый 5 4 2 2" xfId="1692"/>
    <cellStyle name="Финансовый 5 4 2 2 2" xfId="3163"/>
    <cellStyle name="Финансовый 5 4 2 2 2 2" xfId="9671"/>
    <cellStyle name="Финансовый 5 4 2 2 3" xfId="4811"/>
    <cellStyle name="Финансовый 5 4 2 2 4" xfId="8200"/>
    <cellStyle name="Финансовый 5 4 2 3" xfId="2427"/>
    <cellStyle name="Финансовый 5 4 2 3 2" xfId="5546"/>
    <cellStyle name="Финансовый 5 4 2 3 3" xfId="8935"/>
    <cellStyle name="Финансовый 5 4 2 4" xfId="4075"/>
    <cellStyle name="Финансовый 5 4 2 5" xfId="7464"/>
    <cellStyle name="Финансовый 5 4 3" xfId="1108"/>
    <cellStyle name="Финансовый 5 4 3 2" xfId="1869"/>
    <cellStyle name="Финансовый 5 4 3 2 2" xfId="3340"/>
    <cellStyle name="Финансовый 5 4 3 2 2 2" xfId="9848"/>
    <cellStyle name="Финансовый 5 4 3 2 3" xfId="4988"/>
    <cellStyle name="Финансовый 5 4 3 2 4" xfId="8377"/>
    <cellStyle name="Финансовый 5 4 3 3" xfId="2604"/>
    <cellStyle name="Финансовый 5 4 3 3 2" xfId="5727"/>
    <cellStyle name="Финансовый 5 4 3 3 3" xfId="9112"/>
    <cellStyle name="Финансовый 5 4 3 4" xfId="4252"/>
    <cellStyle name="Финансовый 5 4 3 5" xfId="7641"/>
    <cellStyle name="Финансовый 5 4 4" xfId="1296"/>
    <cellStyle name="Финансовый 5 4 4 2" xfId="2049"/>
    <cellStyle name="Финансовый 5 4 4 2 2" xfId="3520"/>
    <cellStyle name="Финансовый 5 4 4 2 2 2" xfId="10028"/>
    <cellStyle name="Финансовый 5 4 4 2 3" xfId="5168"/>
    <cellStyle name="Финансовый 5 4 4 2 4" xfId="8557"/>
    <cellStyle name="Финансовый 5 4 4 3" xfId="2784"/>
    <cellStyle name="Финансовый 5 4 4 3 2" xfId="5904"/>
    <cellStyle name="Финансовый 5 4 4 3 3" xfId="9292"/>
    <cellStyle name="Финансовый 5 4 4 4" xfId="4432"/>
    <cellStyle name="Финансовый 5 4 4 5" xfId="7821"/>
    <cellStyle name="Финансовый 5 4 5" xfId="1498"/>
    <cellStyle name="Финансовый 5 4 5 2" xfId="2969"/>
    <cellStyle name="Финансовый 5 4 5 2 2" xfId="6084"/>
    <cellStyle name="Финансовый 5 4 5 2 3" xfId="9477"/>
    <cellStyle name="Финансовый 5 4 5 3" xfId="4617"/>
    <cellStyle name="Финансовый 5 4 5 4" xfId="8006"/>
    <cellStyle name="Финансовый 5 4 6" xfId="2233"/>
    <cellStyle name="Финансовый 5 4 6 2" xfId="6265"/>
    <cellStyle name="Финансовый 5 4 6 3" xfId="8741"/>
    <cellStyle name="Финансовый 5 4 7" xfId="3700"/>
    <cellStyle name="Финансовый 5 4 7 2" xfId="6460"/>
    <cellStyle name="Финансовый 5 4 7 3" xfId="10208"/>
    <cellStyle name="Финансовый 5 4 8" xfId="6641"/>
    <cellStyle name="Финансовый 5 4 9" xfId="6838"/>
    <cellStyle name="Финансовый 5 5" xfId="928"/>
    <cellStyle name="Финансовый 5 5 2" xfId="1689"/>
    <cellStyle name="Финансовый 5 5 2 2" xfId="3160"/>
    <cellStyle name="Финансовый 5 5 2 2 2" xfId="9668"/>
    <cellStyle name="Финансовый 5 5 2 3" xfId="4808"/>
    <cellStyle name="Финансовый 5 5 2 4" xfId="8197"/>
    <cellStyle name="Финансовый 5 5 3" xfId="2424"/>
    <cellStyle name="Финансовый 5 5 3 2" xfId="5543"/>
    <cellStyle name="Финансовый 5 5 3 3" xfId="8932"/>
    <cellStyle name="Финансовый 5 5 4" xfId="4072"/>
    <cellStyle name="Финансовый 5 5 5" xfId="7461"/>
    <cellStyle name="Финансовый 5 6" xfId="1105"/>
    <cellStyle name="Финансовый 5 6 2" xfId="1866"/>
    <cellStyle name="Финансовый 5 6 2 2" xfId="3337"/>
    <cellStyle name="Финансовый 5 6 2 2 2" xfId="9845"/>
    <cellStyle name="Финансовый 5 6 2 3" xfId="4985"/>
    <cellStyle name="Финансовый 5 6 2 4" xfId="8374"/>
    <cellStyle name="Финансовый 5 6 3" xfId="2601"/>
    <cellStyle name="Финансовый 5 6 3 2" xfId="5724"/>
    <cellStyle name="Финансовый 5 6 3 3" xfId="9109"/>
    <cellStyle name="Финансовый 5 6 4" xfId="4249"/>
    <cellStyle name="Финансовый 5 6 5" xfId="7638"/>
    <cellStyle name="Финансовый 5 7" xfId="1293"/>
    <cellStyle name="Финансовый 5 7 2" xfId="2046"/>
    <cellStyle name="Финансовый 5 7 2 2" xfId="3517"/>
    <cellStyle name="Финансовый 5 7 2 2 2" xfId="10025"/>
    <cellStyle name="Финансовый 5 7 2 3" xfId="5165"/>
    <cellStyle name="Финансовый 5 7 2 4" xfId="8554"/>
    <cellStyle name="Финансовый 5 7 3" xfId="2781"/>
    <cellStyle name="Финансовый 5 7 3 2" xfId="5901"/>
    <cellStyle name="Финансовый 5 7 3 3" xfId="9289"/>
    <cellStyle name="Финансовый 5 7 4" xfId="4429"/>
    <cellStyle name="Финансовый 5 7 5" xfId="7818"/>
    <cellStyle name="Финансовый 5 8" xfId="1495"/>
    <cellStyle name="Финансовый 5 8 2" xfId="2966"/>
    <cellStyle name="Финансовый 5 8 2 2" xfId="6081"/>
    <cellStyle name="Финансовый 5 8 2 3" xfId="9474"/>
    <cellStyle name="Финансовый 5 8 3" xfId="4614"/>
    <cellStyle name="Финансовый 5 8 4" xfId="8003"/>
    <cellStyle name="Финансовый 5 9" xfId="2230"/>
    <cellStyle name="Финансовый 5 9 2" xfId="6262"/>
    <cellStyle name="Финансовый 5 9 3" xfId="8738"/>
    <cellStyle name="Финансовый 6" xfId="741"/>
    <cellStyle name="Финансовый 6 10" xfId="6839"/>
    <cellStyle name="Финансовый 6 11" xfId="7053"/>
    <cellStyle name="Финансовый 6 12" xfId="5357"/>
    <cellStyle name="Финансовый 6 13" xfId="3886"/>
    <cellStyle name="Финансовый 6 14" xfId="7275"/>
    <cellStyle name="Финансовый 6 2" xfId="1298"/>
    <cellStyle name="Финансовый 6 2 2" xfId="1301"/>
    <cellStyle name="Финансовый 6 2 2 2" xfId="1310"/>
    <cellStyle name="Финансовый 6 2 2 2 2" xfId="6279"/>
    <cellStyle name="Финансовый 6 2 2 2 2 2" xfId="6869"/>
    <cellStyle name="Финансовый 6 2 2 2 2 3" xfId="7083"/>
    <cellStyle name="Финансовый 6 2 2 2 3" xfId="6655"/>
    <cellStyle name="Финансовый 6 2 2 2 4" xfId="6852"/>
    <cellStyle name="Финансовый 6 2 2 2 5" xfId="7066"/>
    <cellStyle name="Финансовый 6 2 2 3" xfId="6270"/>
    <cellStyle name="Финансовый 6 2 2 3 2" xfId="6861"/>
    <cellStyle name="Финансовый 6 2 2 3 3" xfId="7075"/>
    <cellStyle name="Финансовый 6 2 2 4" xfId="6646"/>
    <cellStyle name="Финансовый 6 2 2 5" xfId="6843"/>
    <cellStyle name="Финансовый 6 2 2 6" xfId="7057"/>
    <cellStyle name="Финансовый 6 2 3" xfId="1304"/>
    <cellStyle name="Финансовый 6 2 3 2" xfId="1313"/>
    <cellStyle name="Финансовый 6 2 3 2 2" xfId="6282"/>
    <cellStyle name="Финансовый 6 2 3 2 2 2" xfId="6872"/>
    <cellStyle name="Финансовый 6 2 3 2 2 3" xfId="7086"/>
    <cellStyle name="Финансовый 6 2 3 2 3" xfId="6658"/>
    <cellStyle name="Финансовый 6 2 3 2 4" xfId="6855"/>
    <cellStyle name="Финансовый 6 2 3 2 5" xfId="7069"/>
    <cellStyle name="Финансовый 6 2 3 3" xfId="6273"/>
    <cellStyle name="Финансовый 6 2 3 3 2" xfId="6864"/>
    <cellStyle name="Финансовый 6 2 3 3 3" xfId="7078"/>
    <cellStyle name="Финансовый 6 2 3 4" xfId="6649"/>
    <cellStyle name="Финансовый 6 2 3 5" xfId="6846"/>
    <cellStyle name="Финансовый 6 2 3 6" xfId="7060"/>
    <cellStyle name="Финансовый 6 2 4" xfId="1307"/>
    <cellStyle name="Финансовый 6 2 4 2" xfId="6276"/>
    <cellStyle name="Финансовый 6 2 4 2 2" xfId="6866"/>
    <cellStyle name="Финансовый 6 2 4 2 3" xfId="7080"/>
    <cellStyle name="Финансовый 6 2 4 3" xfId="6652"/>
    <cellStyle name="Финансовый 6 2 4 4" xfId="6849"/>
    <cellStyle name="Финансовый 6 2 4 5" xfId="7063"/>
    <cellStyle name="Финансовый 6 2 5" xfId="6267"/>
    <cellStyle name="Финансовый 6 2 5 2" xfId="6858"/>
    <cellStyle name="Финансовый 6 2 5 3" xfId="7072"/>
    <cellStyle name="Финансовый 6 2 6" xfId="6643"/>
    <cellStyle name="Финансовый 6 2 7" xfId="6840"/>
    <cellStyle name="Финансовый 6 2 8" xfId="7054"/>
    <cellStyle name="Финансовый 6 3" xfId="1300"/>
    <cellStyle name="Финансовый 6 3 2" xfId="1303"/>
    <cellStyle name="Финансовый 6 3 2 2" xfId="1312"/>
    <cellStyle name="Финансовый 6 3 2 2 2" xfId="6281"/>
    <cellStyle name="Финансовый 6 3 2 2 2 2" xfId="6871"/>
    <cellStyle name="Финансовый 6 3 2 2 2 3" xfId="7085"/>
    <cellStyle name="Финансовый 6 3 2 2 3" xfId="6657"/>
    <cellStyle name="Финансовый 6 3 2 2 4" xfId="6854"/>
    <cellStyle name="Финансовый 6 3 2 2 5" xfId="7068"/>
    <cellStyle name="Финансовый 6 3 2 3" xfId="6272"/>
    <cellStyle name="Финансовый 6 3 2 3 2" xfId="6863"/>
    <cellStyle name="Финансовый 6 3 2 3 3" xfId="7077"/>
    <cellStyle name="Финансовый 6 3 2 4" xfId="6648"/>
    <cellStyle name="Финансовый 6 3 2 5" xfId="6845"/>
    <cellStyle name="Финансовый 6 3 2 6" xfId="7059"/>
    <cellStyle name="Финансовый 6 3 3" xfId="1309"/>
    <cellStyle name="Финансовый 6 3 3 2" xfId="6278"/>
    <cellStyle name="Финансовый 6 3 3 2 2" xfId="6868"/>
    <cellStyle name="Финансовый 6 3 3 2 3" xfId="7082"/>
    <cellStyle name="Финансовый 6 3 3 3" xfId="6654"/>
    <cellStyle name="Финансовый 6 3 3 4" xfId="6851"/>
    <cellStyle name="Финансовый 6 3 3 5" xfId="7065"/>
    <cellStyle name="Финансовый 6 3 4" xfId="6269"/>
    <cellStyle name="Финансовый 6 3 4 2" xfId="6860"/>
    <cellStyle name="Финансовый 6 3 4 3" xfId="7074"/>
    <cellStyle name="Финансовый 6 3 5" xfId="6645"/>
    <cellStyle name="Финансовый 6 3 6" xfId="6842"/>
    <cellStyle name="Финансовый 6 3 7" xfId="7056"/>
    <cellStyle name="Финансовый 6 4" xfId="1299"/>
    <cellStyle name="Финансовый 6 4 2" xfId="1308"/>
    <cellStyle name="Финансовый 6 4 2 2" xfId="6277"/>
    <cellStyle name="Финансовый 6 4 2 2 2" xfId="6867"/>
    <cellStyle name="Финансовый 6 4 2 2 3" xfId="7081"/>
    <cellStyle name="Финансовый 6 4 2 3" xfId="6653"/>
    <cellStyle name="Финансовый 6 4 2 4" xfId="6850"/>
    <cellStyle name="Финансовый 6 4 2 5" xfId="7064"/>
    <cellStyle name="Финансовый 6 4 3" xfId="6268"/>
    <cellStyle name="Финансовый 6 4 3 2" xfId="6859"/>
    <cellStyle name="Финансовый 6 4 3 3" xfId="7073"/>
    <cellStyle name="Финансовый 6 4 4" xfId="6644"/>
    <cellStyle name="Финансовый 6 4 5" xfId="6841"/>
    <cellStyle name="Финансовый 6 4 6" xfId="7055"/>
    <cellStyle name="Финансовый 6 5" xfId="1302"/>
    <cellStyle name="Финансовый 6 5 2" xfId="1311"/>
    <cellStyle name="Финансовый 6 5 2 2" xfId="6280"/>
    <cellStyle name="Финансовый 6 5 2 2 2" xfId="6870"/>
    <cellStyle name="Финансовый 6 5 2 2 3" xfId="7084"/>
    <cellStyle name="Финансовый 6 5 2 3" xfId="6656"/>
    <cellStyle name="Финансовый 6 5 2 4" xfId="6853"/>
    <cellStyle name="Финансовый 6 5 2 5" xfId="7067"/>
    <cellStyle name="Финансовый 6 5 3" xfId="6271"/>
    <cellStyle name="Финансовый 6 5 3 2" xfId="6862"/>
    <cellStyle name="Финансовый 6 5 3 3" xfId="7076"/>
    <cellStyle name="Финансовый 6 5 4" xfId="6647"/>
    <cellStyle name="Финансовый 6 5 5" xfId="6844"/>
    <cellStyle name="Финансовый 6 5 6" xfId="7058"/>
    <cellStyle name="Финансовый 6 6" xfId="1306"/>
    <cellStyle name="Финансовый 6 6 2" xfId="6275"/>
    <cellStyle name="Финансовый 6 6 2 2" xfId="6865"/>
    <cellStyle name="Финансовый 6 6 2 3" xfId="7079"/>
    <cellStyle name="Финансовый 6 6 3" xfId="6651"/>
    <cellStyle name="Финансовый 6 6 4" xfId="6848"/>
    <cellStyle name="Финансовый 6 6 5" xfId="7062"/>
    <cellStyle name="Финансовый 6 7" xfId="1297"/>
    <cellStyle name="Финансовый 6 7 2" xfId="6857"/>
    <cellStyle name="Финансовый 6 7 3" xfId="7071"/>
    <cellStyle name="Финансовый 6 8" xfId="1503"/>
    <cellStyle name="Финансовый 6 8 2" xfId="2974"/>
    <cellStyle name="Финансовый 6 8 2 2" xfId="6266"/>
    <cellStyle name="Финансовый 6 8 2 3" xfId="9482"/>
    <cellStyle name="Финансовый 6 8 3" xfId="4622"/>
    <cellStyle name="Финансовый 6 8 4" xfId="8011"/>
    <cellStyle name="Финансовый 6 9" xfId="2238"/>
    <cellStyle name="Финансовый 6 9 2" xfId="6642"/>
    <cellStyle name="Финансовый 6 9 3" xfId="8746"/>
    <cellStyle name="Финансовый 7" xfId="742"/>
    <cellStyle name="Финансовый 7 2" xfId="1504"/>
    <cellStyle name="Финансовый 7 2 2" xfId="2975"/>
    <cellStyle name="Финансовый 7 2 2 2" xfId="9483"/>
    <cellStyle name="Финансовый 7 2 3" xfId="4623"/>
    <cellStyle name="Финансовый 7 2 4" xfId="8012"/>
    <cellStyle name="Финансовый 7 3" xfId="2239"/>
    <cellStyle name="Финансовый 7 3 2" xfId="5358"/>
    <cellStyle name="Финансовый 7 3 3" xfId="8747"/>
    <cellStyle name="Финансовый 7 4" xfId="3887"/>
    <cellStyle name="Финансовый 7 5" xfId="7276"/>
    <cellStyle name="Финансовый 8" xfId="527"/>
    <cellStyle name="Финансовый 8 2" xfId="528"/>
    <cellStyle name="Финансовый 9" xfId="743"/>
    <cellStyle name="Финансовый 9 2" xfId="1505"/>
    <cellStyle name="Финансовый 9 2 2" xfId="2976"/>
    <cellStyle name="Финансовый 9 2 2 2" xfId="9484"/>
    <cellStyle name="Финансовый 9 2 3" xfId="697"/>
    <cellStyle name="Финансовый 9 2 3 2" xfId="1321"/>
    <cellStyle name="Финансовый 9 2 3 2 2" xfId="2792"/>
    <cellStyle name="Финансовый 9 2 3 2 2 2" xfId="9300"/>
    <cellStyle name="Финансовый 9 2 3 2 3" xfId="4440"/>
    <cellStyle name="Финансовый 9 2 3 2 4" xfId="7829"/>
    <cellStyle name="Финансовый 9 2 3 3" xfId="2056"/>
    <cellStyle name="Финансовый 9 2 3 3 2" xfId="5175"/>
    <cellStyle name="Финансовый 9 2 3 3 3" xfId="8564"/>
    <cellStyle name="Финансовый 9 2 3 4" xfId="3704"/>
    <cellStyle name="Финансовый 9 2 3 5" xfId="7093"/>
    <cellStyle name="Финансовый 9 2 4" xfId="4624"/>
    <cellStyle name="Финансовый 9 2 5" xfId="8013"/>
    <cellStyle name="Финансовый 9 3" xfId="2240"/>
    <cellStyle name="Финансовый 9 3 2" xfId="5359"/>
    <cellStyle name="Финансовый 9 3 3" xfId="8748"/>
    <cellStyle name="Финансовый 9 4" xfId="3888"/>
    <cellStyle name="Финансовый 9 5" xfId="7277"/>
    <cellStyle name="Хороший 2" xfId="529"/>
    <cellStyle name="ШАУ" xfId="689"/>
    <cellStyle name="ШАУ 2" xfId="717"/>
    <cellStyle name="ШАУ 3" xfId="10223"/>
    <cellStyle name="ШАУ 4" xfId="10247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Father\Work\2025_05\&#1056;&#1040;&#1041;&#1054;&#1063;&#1048;&#1049;%20&#1057;&#1058;&#1054;&#1051;\&#1055;&#1045;&#1056;&#1045;&#1052;&#1045;&#1065;&#1045;&#1053;&#1048;&#1045;%20&#1041;&#1077;&#1088;&#1076;&#1103;&#1085;&#1089;&#1082;%20-%20&#1052;&#1072;&#1088;&#1080;&#1091;&#1087;&#1086;&#1083;&#1100;\&#1087;&#1088;&#1086;&#1076;&#1072;&#1078;&#1080;%20&#1041;&#1077;&#1088;&#1076;&#1103;&#1085;&#1089;&#1082;%2016,08,26-15,09,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1">
          <cell r="C1" t="str">
            <v>22 торговых дня</v>
          </cell>
        </row>
        <row r="2">
          <cell r="A2" t="str">
            <v>Параметры:</v>
          </cell>
          <cell r="C2" t="str">
            <v>Период отчета: 16.08.2026 - 15.09.2026</v>
          </cell>
          <cell r="L2">
            <v>22</v>
          </cell>
        </row>
        <row r="3">
          <cell r="A3" t="str">
            <v>Отбор:</v>
          </cell>
          <cell r="C3" t="str">
            <v>Номенклатура В группе из списка "ПОКОМ Логистический Партн...; Останкино ООО" И
Партнер Не в группе из списка "1463 (45) МР ИП Ставриенк...; 18 (4) ИП Арефьев( Филиал..." И
Склад / комиссионер  / подразделение В группе из списка "АСП Бердянск Заморозка; АСП Бердянск ПОКОМ; АСП Бердянск Молоко Остан...; АСП Бердянск Останкино"</v>
          </cell>
          <cell r="J3" t="str">
            <v>Мариуполь</v>
          </cell>
          <cell r="L3" t="str">
            <v>Мариуполь</v>
          </cell>
          <cell r="N3" t="str">
            <v>Мариуполь</v>
          </cell>
        </row>
        <row r="5">
          <cell r="A5" t="str">
            <v>Номенклатура</v>
          </cell>
          <cell r="D5" t="str">
            <v>Номенклатура.Код</v>
          </cell>
          <cell r="F5" t="str">
            <v>кол-во</v>
          </cell>
          <cell r="H5" t="str">
            <v>возврат</v>
          </cell>
          <cell r="J5" t="str">
            <v>кол-во</v>
          </cell>
          <cell r="L5" t="str">
            <v>продажи в день</v>
          </cell>
          <cell r="N5" t="str">
            <v>процент</v>
          </cell>
        </row>
        <row r="6">
          <cell r="F6" t="str">
            <v>Вес</v>
          </cell>
          <cell r="G6" t="str">
            <v>Количество</v>
          </cell>
          <cell r="H6" t="str">
            <v>Возврат вес</v>
          </cell>
          <cell r="I6" t="str">
            <v>Возврат кол-во</v>
          </cell>
          <cell r="J6" t="str">
            <v>Вес</v>
          </cell>
          <cell r="K6" t="str">
            <v>Количество</v>
          </cell>
          <cell r="L6" t="str">
            <v>Вес</v>
          </cell>
          <cell r="M6" t="str">
            <v>Количество</v>
          </cell>
          <cell r="N6" t="str">
            <v>Мариуполь / Бердянск</v>
          </cell>
        </row>
        <row r="7">
          <cell r="A7" t="str">
            <v xml:space="preserve"> 005  Колбаса Докторская ГОСТ, Вязанка вектор,ВЕС. ПОКОМ</v>
          </cell>
          <cell r="D7" t="str">
            <v>00-00000923</v>
          </cell>
          <cell r="F7">
            <v>1049.309</v>
          </cell>
          <cell r="G7">
            <v>1049.309</v>
          </cell>
          <cell r="H7">
            <v>22.161999999999999</v>
          </cell>
          <cell r="I7">
            <v>22.161999999999999</v>
          </cell>
          <cell r="J7">
            <v>484.81</v>
          </cell>
          <cell r="K7">
            <v>484.81</v>
          </cell>
          <cell r="L7">
            <v>22.03681818181818</v>
          </cell>
          <cell r="M7">
            <v>22.03681818181818</v>
          </cell>
          <cell r="N7">
            <v>0.46202786786351779</v>
          </cell>
        </row>
        <row r="8">
          <cell r="A8" t="str">
            <v xml:space="preserve"> 016  Сосиски Вязанка Молочные, Вязанка вискофан  ВЕС.ПОКОМ</v>
          </cell>
          <cell r="D8" t="str">
            <v>00-00000894</v>
          </cell>
          <cell r="F8">
            <v>2066.7559999999999</v>
          </cell>
          <cell r="G8">
            <v>2066.7559999999999</v>
          </cell>
          <cell r="H8">
            <v>45.131999999999998</v>
          </cell>
          <cell r="I8">
            <v>45.131999999999998</v>
          </cell>
          <cell r="J8">
            <v>673.18799999999999</v>
          </cell>
          <cell r="K8">
            <v>673.18799999999999</v>
          </cell>
          <cell r="L8">
            <v>30.599454545454545</v>
          </cell>
          <cell r="M8">
            <v>30.599454545454545</v>
          </cell>
          <cell r="N8">
            <v>0.32572204943399224</v>
          </cell>
        </row>
        <row r="9">
          <cell r="A9" t="str">
            <v xml:space="preserve"> 017  Сосиски Вязанка Сливочные, Вязанка амицел ВЕС.ПОКОМ</v>
          </cell>
          <cell r="D9" t="str">
            <v>00-00000895</v>
          </cell>
          <cell r="F9">
            <v>2079.8919999999998</v>
          </cell>
          <cell r="G9">
            <v>2079.8919999999998</v>
          </cell>
          <cell r="H9">
            <v>28.984999999999999</v>
          </cell>
          <cell r="I9">
            <v>28.984999999999999</v>
          </cell>
          <cell r="J9">
            <v>673.21400000000006</v>
          </cell>
          <cell r="K9">
            <v>673.21400000000006</v>
          </cell>
          <cell r="L9">
            <v>30.600636363636365</v>
          </cell>
          <cell r="M9">
            <v>30.600636363636365</v>
          </cell>
          <cell r="N9">
            <v>0.32367738324874568</v>
          </cell>
        </row>
        <row r="10">
          <cell r="A10" t="str">
            <v xml:space="preserve"> 030  Сосиски Вязанка Молочные, Вязанка вискофан МГС, 0.45кг, ПОКОМ</v>
          </cell>
          <cell r="D10" t="str">
            <v>00-00000967</v>
          </cell>
          <cell r="F10">
            <v>486.69209999999998</v>
          </cell>
          <cell r="G10">
            <v>1081.538</v>
          </cell>
          <cell r="H10">
            <v>51.3</v>
          </cell>
          <cell r="I10">
            <v>114</v>
          </cell>
          <cell r="J10">
            <v>276.99209999999999</v>
          </cell>
          <cell r="K10">
            <v>615.53800000000001</v>
          </cell>
          <cell r="L10">
            <v>12.59055</v>
          </cell>
          <cell r="M10">
            <v>27.978999999999999</v>
          </cell>
          <cell r="N10">
            <v>0.5691321063152659</v>
          </cell>
        </row>
        <row r="11">
          <cell r="A11" t="str">
            <v xml:space="preserve"> 032  Сосиски Вязанка Сливочные, Вязанка амицел МГС, 0.45кг, ПОКОМ</v>
          </cell>
          <cell r="D11" t="str">
            <v>00-00000968</v>
          </cell>
          <cell r="F11">
            <v>1122.3</v>
          </cell>
          <cell r="G11">
            <v>2494</v>
          </cell>
          <cell r="H11">
            <v>61.2</v>
          </cell>
          <cell r="I11">
            <v>136</v>
          </cell>
          <cell r="J11">
            <v>570.15</v>
          </cell>
          <cell r="K11">
            <v>1267</v>
          </cell>
          <cell r="L11">
            <v>25.915909090909089</v>
          </cell>
          <cell r="M11">
            <v>57.590909090909093</v>
          </cell>
          <cell r="N11">
            <v>0.50801924619085803</v>
          </cell>
        </row>
        <row r="12">
          <cell r="A12" t="str">
            <v xml:space="preserve"> 047  Кол Баварская, белков.обол. в термоусад. пакете 0.17 кг, ТМ Стародворье  ПОКОМ</v>
          </cell>
          <cell r="D12" t="str">
            <v>00-00005538</v>
          </cell>
          <cell r="F12">
            <v>40.97</v>
          </cell>
          <cell r="G12">
            <v>241</v>
          </cell>
          <cell r="H12">
            <v>0.51</v>
          </cell>
          <cell r="I12">
            <v>3</v>
          </cell>
          <cell r="J12">
            <v>15.81</v>
          </cell>
          <cell r="K12">
            <v>93</v>
          </cell>
          <cell r="L12">
            <v>0.71863636363636363</v>
          </cell>
          <cell r="M12">
            <v>4.2272727272727275</v>
          </cell>
          <cell r="N12">
            <v>0.38589211618257263</v>
          </cell>
        </row>
        <row r="13">
          <cell r="A13" t="str">
            <v xml:space="preserve"> 062  Колбаса Кракушка пряная с сальцем, 0.3кг в/у п/к, БАВАРУШКА ПОКОМ</v>
          </cell>
          <cell r="D13" t="str">
            <v>00-00005820</v>
          </cell>
          <cell r="F13">
            <v>57.3</v>
          </cell>
          <cell r="G13">
            <v>191</v>
          </cell>
          <cell r="H13">
            <v>6.9</v>
          </cell>
          <cell r="I13">
            <v>23</v>
          </cell>
          <cell r="J13">
            <v>10.5</v>
          </cell>
          <cell r="K13">
            <v>35</v>
          </cell>
          <cell r="L13">
            <v>0.47727272727272729</v>
          </cell>
          <cell r="M13">
            <v>1.5909090909090908</v>
          </cell>
          <cell r="N13">
            <v>0.18324607329842932</v>
          </cell>
        </row>
        <row r="14">
          <cell r="A14" t="str">
            <v xml:space="preserve"> 083  Колбаса Швейцарская 0,17 кг., ШТ., сырокопченая   ПОКОМ</v>
          </cell>
          <cell r="D14" t="str">
            <v>00-00000953</v>
          </cell>
          <cell r="F14">
            <v>167.45</v>
          </cell>
          <cell r="G14">
            <v>985</v>
          </cell>
          <cell r="H14">
            <v>0.51</v>
          </cell>
          <cell r="I14">
            <v>3</v>
          </cell>
          <cell r="J14">
            <v>50.15</v>
          </cell>
          <cell r="K14">
            <v>295</v>
          </cell>
          <cell r="L14">
            <v>2.2795454545454543</v>
          </cell>
          <cell r="M14">
            <v>13.409090909090908</v>
          </cell>
          <cell r="N14">
            <v>0.29949238578680204</v>
          </cell>
        </row>
        <row r="15">
          <cell r="A15" t="str">
            <v xml:space="preserve"> 200  Ветчина Дугушка ТМ Стародворье, вектор в/у    ПОКОМ</v>
          </cell>
          <cell r="D15" t="str">
            <v>00-00006605</v>
          </cell>
          <cell r="F15">
            <v>1915.479</v>
          </cell>
          <cell r="G15">
            <v>1915.479</v>
          </cell>
          <cell r="H15">
            <v>7.2859999999999996</v>
          </cell>
          <cell r="I15">
            <v>7.2859999999999996</v>
          </cell>
          <cell r="J15">
            <v>1120.6110000000001</v>
          </cell>
          <cell r="K15">
            <v>1120.6110000000001</v>
          </cell>
          <cell r="L15">
            <v>50.93686363636364</v>
          </cell>
          <cell r="M15">
            <v>50.93686363636364</v>
          </cell>
          <cell r="N15">
            <v>0.58502912326368495</v>
          </cell>
        </row>
        <row r="16">
          <cell r="A16" t="str">
            <v xml:space="preserve"> 201  Ветчина Нежная ТМ Особый рецепт, (2,5кг), ПОКОМ</v>
          </cell>
          <cell r="D16" t="str">
            <v>00-00005832</v>
          </cell>
          <cell r="F16">
            <v>9339.9279999999999</v>
          </cell>
          <cell r="G16">
            <v>9339.9279999999999</v>
          </cell>
          <cell r="H16">
            <v>17.925000000000001</v>
          </cell>
          <cell r="I16">
            <v>17.925000000000001</v>
          </cell>
          <cell r="J16">
            <v>2834.8470000000002</v>
          </cell>
          <cell r="K16">
            <v>2834.8470000000002</v>
          </cell>
          <cell r="L16">
            <v>128.85668181818184</v>
          </cell>
          <cell r="M16">
            <v>128.85668181818184</v>
          </cell>
          <cell r="N16">
            <v>0.30351914918401945</v>
          </cell>
        </row>
        <row r="17">
          <cell r="A17" t="str">
            <v xml:space="preserve"> 215  Колбаса Докторская ГОСТ Дугушка, ВЕС, ТМ Стародворье ПОКОМ</v>
          </cell>
          <cell r="D17" t="str">
            <v>00-00005273</v>
          </cell>
          <cell r="F17">
            <v>280.18200000000002</v>
          </cell>
          <cell r="G17">
            <v>280.18200000000002</v>
          </cell>
          <cell r="H17">
            <v>1.119</v>
          </cell>
          <cell r="I17">
            <v>1.119</v>
          </cell>
          <cell r="J17">
            <v>211.797</v>
          </cell>
          <cell r="K17">
            <v>211.797</v>
          </cell>
          <cell r="L17">
            <v>9.6271363636363638</v>
          </cell>
          <cell r="M17">
            <v>9.6271363636363638</v>
          </cell>
          <cell r="N17">
            <v>0.75592650491466251</v>
          </cell>
        </row>
        <row r="18">
          <cell r="A18" t="str">
            <v xml:space="preserve"> 219  Колбаса Докторская Особая ТМ Особый рецепт, ВЕС  ПОКОМ</v>
          </cell>
          <cell r="D18" t="str">
            <v>00-00005821</v>
          </cell>
          <cell r="F18">
            <v>4.2380000000000004</v>
          </cell>
          <cell r="G18">
            <v>4.2380000000000004</v>
          </cell>
          <cell r="H18">
            <v>0.79400000000000004</v>
          </cell>
          <cell r="I18">
            <v>0.79400000000000004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</row>
        <row r="19">
          <cell r="A19" t="str">
            <v xml:space="preserve"> 225  Колбаса Дугушка со шпиком, ВЕС, ТМ Стародворье   ПОКОМ</v>
          </cell>
          <cell r="D19" t="str">
            <v>00-00005969</v>
          </cell>
          <cell r="F19">
            <v>178.11099999999999</v>
          </cell>
          <cell r="G19">
            <v>178.11099999999999</v>
          </cell>
          <cell r="H19">
            <v>0.88</v>
          </cell>
          <cell r="I19">
            <v>0.88</v>
          </cell>
          <cell r="J19">
            <v>135.071</v>
          </cell>
          <cell r="K19">
            <v>135.071</v>
          </cell>
          <cell r="L19">
            <v>6.1395909090909093</v>
          </cell>
          <cell r="M19">
            <v>6.1395909090909093</v>
          </cell>
          <cell r="N19">
            <v>0.75835293721331087</v>
          </cell>
        </row>
        <row r="20">
          <cell r="A20" t="str">
            <v xml:space="preserve"> 226  Колбаса Княжеская, с/к белков.обол в термоусад. пакете, ВЕС, ТМ Стародворье ПОКОМ</v>
          </cell>
          <cell r="D20" t="str">
            <v>00-00005539</v>
          </cell>
          <cell r="F20">
            <v>132.68600000000001</v>
          </cell>
          <cell r="G20">
            <v>132.68600000000001</v>
          </cell>
          <cell r="J20">
            <v>12.195</v>
          </cell>
          <cell r="K20">
            <v>12.195</v>
          </cell>
          <cell r="L20">
            <v>0.55431818181818182</v>
          </cell>
          <cell r="M20">
            <v>0.55431818181818182</v>
          </cell>
          <cell r="N20">
            <v>9.1908716820161884E-2</v>
          </cell>
        </row>
        <row r="21">
          <cell r="A21" t="str">
            <v xml:space="preserve"> 229  Колбаса Молочная Дугушка, в/у, ВЕС, ТМ Стародворье   ПОКОМ</v>
          </cell>
          <cell r="D21" t="str">
            <v>00-00005274</v>
          </cell>
          <cell r="F21">
            <v>1383.7850000000001</v>
          </cell>
          <cell r="G21">
            <v>1383.7850000000001</v>
          </cell>
          <cell r="H21">
            <v>13.32</v>
          </cell>
          <cell r="I21">
            <v>13.32</v>
          </cell>
          <cell r="J21">
            <v>826.65599999999995</v>
          </cell>
          <cell r="K21">
            <v>826.65599999999995</v>
          </cell>
          <cell r="L21">
            <v>37.575272727272726</v>
          </cell>
          <cell r="M21">
            <v>37.575272727272726</v>
          </cell>
          <cell r="N21">
            <v>0.59738759995230462</v>
          </cell>
        </row>
        <row r="22">
          <cell r="A22" t="str">
            <v xml:space="preserve"> 236  Колбаса Рубленая ЗАПЕЧ. Дугушка ТМ Стародворье, вектор, в/к    ПОКОМ</v>
          </cell>
          <cell r="D22" t="str">
            <v>00-00005635</v>
          </cell>
          <cell r="F22">
            <v>432.34</v>
          </cell>
          <cell r="G22">
            <v>432.34</v>
          </cell>
          <cell r="H22">
            <v>4.915</v>
          </cell>
          <cell r="I22">
            <v>4.915</v>
          </cell>
          <cell r="J22">
            <v>329.166</v>
          </cell>
          <cell r="K22">
            <v>329.166</v>
          </cell>
          <cell r="L22">
            <v>14.962090909090909</v>
          </cell>
          <cell r="M22">
            <v>14.962090909090909</v>
          </cell>
          <cell r="N22">
            <v>0.76135911551094049</v>
          </cell>
        </row>
        <row r="23">
          <cell r="A23" t="str">
            <v xml:space="preserve"> 239  Колбаса Салями запеч Дугушка, оболочка вектор, ВЕС, ТМ Стародворье  ПОКОМ</v>
          </cell>
          <cell r="D23" t="str">
            <v>00-00005603</v>
          </cell>
          <cell r="F23">
            <v>585.66300000000001</v>
          </cell>
          <cell r="G23">
            <v>585.66300000000001</v>
          </cell>
          <cell r="H23">
            <v>8.7569999999999997</v>
          </cell>
          <cell r="I23">
            <v>8.7569999999999997</v>
          </cell>
          <cell r="J23">
            <v>413.45299999999997</v>
          </cell>
          <cell r="K23">
            <v>413.45299999999997</v>
          </cell>
          <cell r="L23">
            <v>18.793318181818179</v>
          </cell>
          <cell r="M23">
            <v>18.793318181818179</v>
          </cell>
          <cell r="N23">
            <v>0.70595718015309139</v>
          </cell>
        </row>
        <row r="24">
          <cell r="A24" t="str">
            <v xml:space="preserve"> 240  Колбаса Салями охотничья, ВЕС. ПОКОМ</v>
          </cell>
          <cell r="D24" t="str">
            <v>00-00000910</v>
          </cell>
          <cell r="F24">
            <v>115.182</v>
          </cell>
          <cell r="G24">
            <v>115.182</v>
          </cell>
          <cell r="J24">
            <v>10.039999999999999</v>
          </cell>
          <cell r="K24">
            <v>10.039999999999999</v>
          </cell>
          <cell r="L24">
            <v>0.4563636363636363</v>
          </cell>
          <cell r="M24">
            <v>0.4563636363636363</v>
          </cell>
          <cell r="N24">
            <v>8.7166397527391429E-2</v>
          </cell>
        </row>
        <row r="25">
          <cell r="A25" t="str">
            <v xml:space="preserve"> 242  Колбаса Сервелат ЗАПЕЧ.Дугушка ТМ Стародворье, вектор, в/к     ПОКОМ</v>
          </cell>
          <cell r="D25" t="str">
            <v>00-00005636</v>
          </cell>
          <cell r="F25">
            <v>803.16200000000003</v>
          </cell>
          <cell r="G25">
            <v>803.16200000000003</v>
          </cell>
          <cell r="H25">
            <v>12.24</v>
          </cell>
          <cell r="I25">
            <v>12.24</v>
          </cell>
          <cell r="J25">
            <v>532.90800000000002</v>
          </cell>
          <cell r="K25">
            <v>532.90800000000002</v>
          </cell>
          <cell r="L25">
            <v>24.22309090909091</v>
          </cell>
          <cell r="M25">
            <v>24.22309090909091</v>
          </cell>
          <cell r="N25">
            <v>0.66351246697428412</v>
          </cell>
        </row>
        <row r="26">
          <cell r="A26" t="str">
            <v xml:space="preserve"> 247  Сардельки Нежные, ВЕС.  ПОКОМ</v>
          </cell>
          <cell r="D26" t="str">
            <v>00-00000890</v>
          </cell>
          <cell r="F26">
            <v>397.53300000000002</v>
          </cell>
          <cell r="G26">
            <v>397.53300000000002</v>
          </cell>
          <cell r="H26">
            <v>35.154000000000003</v>
          </cell>
          <cell r="I26">
            <v>35.154000000000003</v>
          </cell>
          <cell r="J26">
            <v>97.078999999999994</v>
          </cell>
          <cell r="K26">
            <v>97.078999999999994</v>
          </cell>
          <cell r="L26">
            <v>4.4126818181818175</v>
          </cell>
          <cell r="M26">
            <v>4.4126818181818175</v>
          </cell>
          <cell r="N26">
            <v>0.24420362586250699</v>
          </cell>
        </row>
        <row r="27">
          <cell r="A27" t="str">
            <v xml:space="preserve"> 248  Сардельки Сочные ТМ Особый рецепт,   ПОКОМ</v>
          </cell>
          <cell r="D27" t="str">
            <v>00-00006239</v>
          </cell>
          <cell r="F27">
            <v>34.448</v>
          </cell>
          <cell r="G27">
            <v>34.448</v>
          </cell>
          <cell r="H27">
            <v>10.406000000000001</v>
          </cell>
          <cell r="I27">
            <v>10.406000000000001</v>
          </cell>
          <cell r="J27">
            <v>-1.042</v>
          </cell>
          <cell r="K27">
            <v>-1.042</v>
          </cell>
          <cell r="L27">
            <v>-4.7363636363636365E-2</v>
          </cell>
          <cell r="M27">
            <v>-4.7363636363636365E-2</v>
          </cell>
          <cell r="N27">
            <v>0</v>
          </cell>
        </row>
        <row r="28">
          <cell r="A28" t="str">
            <v xml:space="preserve"> 250  Сардельки стародворские с говядиной в обол. NDX, ВЕС. ПОКОМ</v>
          </cell>
          <cell r="D28" t="str">
            <v>00-00006052</v>
          </cell>
          <cell r="F28">
            <v>695.23400000000004</v>
          </cell>
          <cell r="G28">
            <v>695.23400000000004</v>
          </cell>
          <cell r="H28">
            <v>69.287999999999997</v>
          </cell>
          <cell r="I28">
            <v>69.287999999999997</v>
          </cell>
          <cell r="J28">
            <v>83.641999999999996</v>
          </cell>
          <cell r="K28">
            <v>83.641999999999996</v>
          </cell>
          <cell r="L28">
            <v>3.8019090909090907</v>
          </cell>
          <cell r="M28">
            <v>3.8019090909090907</v>
          </cell>
          <cell r="N28">
            <v>0.1203076949631347</v>
          </cell>
        </row>
        <row r="29">
          <cell r="A29" t="str">
            <v xml:space="preserve"> 255  Сосиски Молочные для завтрака ТМ Особый рецепт, п/а МГС, ВЕС, ТМ Стародворье  ПОКОМ</v>
          </cell>
          <cell r="D29" t="str">
            <v>00-00006302</v>
          </cell>
          <cell r="F29">
            <v>1352.14</v>
          </cell>
          <cell r="G29">
            <v>1352.14</v>
          </cell>
          <cell r="H29">
            <v>11.313000000000001</v>
          </cell>
          <cell r="I29">
            <v>11.313000000000001</v>
          </cell>
          <cell r="J29">
            <v>387.38600000000002</v>
          </cell>
          <cell r="K29">
            <v>387.38600000000002</v>
          </cell>
          <cell r="L29">
            <v>17.608454545454546</v>
          </cell>
          <cell r="M29">
            <v>17.608454545454546</v>
          </cell>
          <cell r="N29">
            <v>0.28649843951070153</v>
          </cell>
        </row>
        <row r="30">
          <cell r="A30" t="str">
            <v xml:space="preserve"> 257  Сосиски Молочные оригинальные ТМ Особый рецепт, ВЕС.   ПОКОМ</v>
          </cell>
          <cell r="D30" t="str">
            <v>00-00005822</v>
          </cell>
          <cell r="F30">
            <v>43.298000000000002</v>
          </cell>
          <cell r="G30">
            <v>43.298000000000002</v>
          </cell>
          <cell r="J30">
            <v>21.16</v>
          </cell>
          <cell r="K30">
            <v>21.16</v>
          </cell>
          <cell r="L30">
            <v>0.96181818181818179</v>
          </cell>
          <cell r="M30">
            <v>0.96181818181818179</v>
          </cell>
          <cell r="N30">
            <v>0.48870617580488707</v>
          </cell>
        </row>
        <row r="31">
          <cell r="A31" t="str">
            <v xml:space="preserve"> 263  Шпикачки Стародворские, ВЕС.  ПОКОМ</v>
          </cell>
          <cell r="D31" t="str">
            <v>00-00000899</v>
          </cell>
          <cell r="F31">
            <v>248.09800000000001</v>
          </cell>
          <cell r="G31">
            <v>248.09800000000001</v>
          </cell>
          <cell r="H31">
            <v>42.195</v>
          </cell>
          <cell r="I31">
            <v>42.195</v>
          </cell>
          <cell r="J31">
            <v>5.1879999999999997</v>
          </cell>
          <cell r="K31">
            <v>5.1879999999999997</v>
          </cell>
          <cell r="L31">
            <v>0.23581818181818182</v>
          </cell>
          <cell r="M31">
            <v>0.23581818181818182</v>
          </cell>
          <cell r="N31">
            <v>2.091109158477698E-2</v>
          </cell>
        </row>
        <row r="32">
          <cell r="A32" t="str">
            <v xml:space="preserve"> 265  Колбаса Балыкбургская, ВЕС, ТМ Баварушка  ПОКОМ</v>
          </cell>
          <cell r="D32" t="str">
            <v>00-00006426</v>
          </cell>
          <cell r="F32">
            <v>299.78500000000003</v>
          </cell>
          <cell r="G32">
            <v>299.78500000000003</v>
          </cell>
          <cell r="H32">
            <v>28.077999999999999</v>
          </cell>
          <cell r="I32">
            <v>28.077999999999999</v>
          </cell>
          <cell r="J32">
            <v>45.902999999999999</v>
          </cell>
          <cell r="K32">
            <v>45.902999999999999</v>
          </cell>
          <cell r="L32">
            <v>2.0865</v>
          </cell>
          <cell r="M32">
            <v>2.0865</v>
          </cell>
          <cell r="N32">
            <v>0.15311973581066429</v>
          </cell>
        </row>
        <row r="33">
          <cell r="A33" t="str">
            <v xml:space="preserve"> 266  Колбаса Филейбургская с сочным окороком, ВЕС, ТМ Баварушка  ПОКОМ</v>
          </cell>
          <cell r="D33" t="str">
            <v>00-00006428</v>
          </cell>
          <cell r="F33">
            <v>2.7559999999999998</v>
          </cell>
          <cell r="G33">
            <v>2.7559999999999998</v>
          </cell>
          <cell r="J33">
            <v>2.7559999999999998</v>
          </cell>
          <cell r="K33">
            <v>2.7559999999999998</v>
          </cell>
          <cell r="L33">
            <v>0.12527272727272726</v>
          </cell>
          <cell r="M33">
            <v>0.12527272727272726</v>
          </cell>
          <cell r="N33">
            <v>1</v>
          </cell>
        </row>
        <row r="34">
          <cell r="A34" t="str">
            <v xml:space="preserve"> 267  Колбаса Салями Филейбургская зернистая, оболочка фиброуз, ВЕС, ТМ Баварушка  ПОКОМ</v>
          </cell>
          <cell r="D34" t="str">
            <v>00-00006480</v>
          </cell>
          <cell r="F34">
            <v>347.71699999999998</v>
          </cell>
          <cell r="G34">
            <v>347.71699999999998</v>
          </cell>
          <cell r="H34">
            <v>19.175000000000001</v>
          </cell>
          <cell r="I34">
            <v>19.175000000000001</v>
          </cell>
          <cell r="J34">
            <v>24.664999999999999</v>
          </cell>
          <cell r="K34">
            <v>24.664999999999999</v>
          </cell>
          <cell r="L34">
            <v>1.1211363636363636</v>
          </cell>
          <cell r="M34">
            <v>1.1211363636363636</v>
          </cell>
          <cell r="N34">
            <v>7.0934121713922535E-2</v>
          </cell>
        </row>
        <row r="35">
          <cell r="A35" t="str">
            <v xml:space="preserve"> 273  Сосиски Сочинки с сочной грудинкой, МГС 0.4кг,   ПОКОМ</v>
          </cell>
          <cell r="D35" t="str">
            <v>00-00007884</v>
          </cell>
          <cell r="F35">
            <v>1082</v>
          </cell>
          <cell r="G35">
            <v>2705</v>
          </cell>
          <cell r="H35">
            <v>43.6</v>
          </cell>
          <cell r="I35">
            <v>109</v>
          </cell>
          <cell r="J35">
            <v>478.8</v>
          </cell>
          <cell r="K35">
            <v>1197</v>
          </cell>
          <cell r="L35">
            <v>21.763636363636365</v>
          </cell>
          <cell r="M35">
            <v>54.409090909090907</v>
          </cell>
          <cell r="N35">
            <v>0.44251386321626618</v>
          </cell>
        </row>
        <row r="36">
          <cell r="A36" t="str">
            <v xml:space="preserve"> 276  Колбаса Сливушка ТМ Вязанка в оболочке полиамид 0,45 кг  ПОКОМ</v>
          </cell>
          <cell r="D36" t="str">
            <v>00-00007904</v>
          </cell>
          <cell r="F36">
            <v>580.95000000000005</v>
          </cell>
          <cell r="G36">
            <v>1291</v>
          </cell>
          <cell r="H36">
            <v>4.5</v>
          </cell>
          <cell r="I36">
            <v>10</v>
          </cell>
          <cell r="J36">
            <v>340.2</v>
          </cell>
          <cell r="K36">
            <v>756</v>
          </cell>
          <cell r="L36">
            <v>15.463636363636363</v>
          </cell>
          <cell r="M36">
            <v>34.363636363636367</v>
          </cell>
          <cell r="N36">
            <v>0.58559256390395031</v>
          </cell>
        </row>
        <row r="37">
          <cell r="A37" t="str">
            <v xml:space="preserve"> 278  Сосиски Сочинки с сочным окороком, МГС 0.4кг,   ПОКОМ</v>
          </cell>
          <cell r="D37" t="str">
            <v>00-00008111</v>
          </cell>
          <cell r="F37">
            <v>315.60000000000002</v>
          </cell>
          <cell r="G37">
            <v>789</v>
          </cell>
          <cell r="H37">
            <v>27.2</v>
          </cell>
          <cell r="I37">
            <v>68</v>
          </cell>
          <cell r="J37">
            <v>199.2</v>
          </cell>
          <cell r="K37">
            <v>498</v>
          </cell>
          <cell r="L37">
            <v>9.0545454545454547</v>
          </cell>
          <cell r="M37">
            <v>22.636363636363637</v>
          </cell>
          <cell r="N37">
            <v>0.63117870722433456</v>
          </cell>
        </row>
        <row r="38">
          <cell r="A38" t="str">
            <v xml:space="preserve"> 281  Сосиски Молочные для завтрака ТМ Особый рецепт, 0,4кг  ПОКОМ</v>
          </cell>
          <cell r="D38" t="str">
            <v>00-00008552</v>
          </cell>
          <cell r="F38">
            <v>34.4</v>
          </cell>
          <cell r="G38">
            <v>86</v>
          </cell>
          <cell r="H38">
            <v>4.4000000000000004</v>
          </cell>
          <cell r="I38">
            <v>11</v>
          </cell>
          <cell r="J38">
            <v>8.4</v>
          </cell>
          <cell r="K38">
            <v>21</v>
          </cell>
          <cell r="L38">
            <v>0.38181818181818183</v>
          </cell>
          <cell r="M38">
            <v>0.95454545454545459</v>
          </cell>
          <cell r="N38">
            <v>0.24418604651162792</v>
          </cell>
        </row>
        <row r="39">
          <cell r="A39" t="str">
            <v xml:space="preserve"> 283  Сосиски Сочинки, ВЕС, ТМ Стародворье ПОКОМ</v>
          </cell>
          <cell r="D39" t="str">
            <v>00-00007182</v>
          </cell>
          <cell r="F39">
            <v>199.22200000000001</v>
          </cell>
          <cell r="G39">
            <v>199.22200000000001</v>
          </cell>
          <cell r="H39">
            <v>6.2880000000000003</v>
          </cell>
          <cell r="I39">
            <v>6.2880000000000003</v>
          </cell>
          <cell r="J39">
            <v>14.545999999999999</v>
          </cell>
          <cell r="K39">
            <v>14.545999999999999</v>
          </cell>
          <cell r="L39">
            <v>0.6611818181818182</v>
          </cell>
          <cell r="M39">
            <v>0.6611818181818182</v>
          </cell>
          <cell r="N39">
            <v>7.3014024555520973E-2</v>
          </cell>
        </row>
        <row r="40">
          <cell r="A40" t="str">
            <v xml:space="preserve"> 285  Паштет печеночный со слив.маслом ТМ Стародворье ламистер 0,1 кг  ПОКОМ</v>
          </cell>
          <cell r="D40" t="str">
            <v>00-00008448</v>
          </cell>
          <cell r="F40">
            <v>62.1</v>
          </cell>
          <cell r="G40">
            <v>621</v>
          </cell>
          <cell r="J40">
            <v>11</v>
          </cell>
          <cell r="K40">
            <v>110</v>
          </cell>
          <cell r="L40">
            <v>0.5</v>
          </cell>
          <cell r="M40">
            <v>5</v>
          </cell>
          <cell r="N40">
            <v>0.17713365539452497</v>
          </cell>
        </row>
        <row r="41">
          <cell r="A41" t="str">
            <v xml:space="preserve"> 296  Колбаса Мясорубская с рубленой грудинкой 0,35кг срез ТМ Стародворье  ПОКОМ</v>
          </cell>
          <cell r="D41" t="str">
            <v>00-00007883</v>
          </cell>
          <cell r="F41">
            <v>3.15</v>
          </cell>
          <cell r="G41">
            <v>9</v>
          </cell>
          <cell r="H41">
            <v>8.0500000000000007</v>
          </cell>
          <cell r="I41">
            <v>23</v>
          </cell>
          <cell r="J41">
            <v>-1.05</v>
          </cell>
          <cell r="K41">
            <v>-3</v>
          </cell>
          <cell r="L41">
            <v>-4.7727272727272729E-2</v>
          </cell>
          <cell r="M41">
            <v>-0.13636363636363635</v>
          </cell>
          <cell r="N41">
            <v>0</v>
          </cell>
        </row>
        <row r="42">
          <cell r="A42" t="str">
            <v xml:space="preserve"> 297  Колбаса Мясорубская с рубленой грудинкой ВЕС ТМ Стародворье  ПОКОМ</v>
          </cell>
          <cell r="D42" t="str">
            <v>00-00007882</v>
          </cell>
          <cell r="F42">
            <v>159.05500000000001</v>
          </cell>
          <cell r="G42">
            <v>159.05500000000001</v>
          </cell>
          <cell r="H42">
            <v>11.695</v>
          </cell>
          <cell r="I42">
            <v>11.695</v>
          </cell>
          <cell r="J42">
            <v>29.190999999999999</v>
          </cell>
          <cell r="K42">
            <v>29.190999999999999</v>
          </cell>
          <cell r="L42">
            <v>1.3268636363636364</v>
          </cell>
          <cell r="M42">
            <v>1.3268636363636364</v>
          </cell>
          <cell r="N42">
            <v>0.18352771054037911</v>
          </cell>
        </row>
        <row r="43">
          <cell r="A43" t="str">
            <v xml:space="preserve"> 298  Колбаса Сливушка ТМ Вязанка, 0,375кг,  ПОКОМ</v>
          </cell>
          <cell r="D43" t="str">
            <v>00-00009312</v>
          </cell>
          <cell r="F43">
            <v>2.25</v>
          </cell>
          <cell r="G43">
            <v>6</v>
          </cell>
          <cell r="H43">
            <v>0.375</v>
          </cell>
          <cell r="I43">
            <v>1</v>
          </cell>
          <cell r="J43">
            <v>0.75</v>
          </cell>
          <cell r="K43">
            <v>2</v>
          </cell>
          <cell r="L43">
            <v>3.4090909090909088E-2</v>
          </cell>
          <cell r="M43">
            <v>9.0909090909090912E-2</v>
          </cell>
          <cell r="N43">
            <v>0.33333333333333331</v>
          </cell>
        </row>
        <row r="44">
          <cell r="A44" t="str">
            <v xml:space="preserve"> 301  Сосиски Сочинки по-баварски с сыром,  0.4кг, ТМ Стародворье  ПОКОМ</v>
          </cell>
          <cell r="D44" t="str">
            <v>00-00007885</v>
          </cell>
          <cell r="F44">
            <v>114.8</v>
          </cell>
          <cell r="G44">
            <v>287</v>
          </cell>
          <cell r="H44">
            <v>13.2</v>
          </cell>
          <cell r="I44">
            <v>33</v>
          </cell>
          <cell r="J44">
            <v>57.2</v>
          </cell>
          <cell r="K44">
            <v>143</v>
          </cell>
          <cell r="L44">
            <v>2.6</v>
          </cell>
          <cell r="M44">
            <v>6.5</v>
          </cell>
          <cell r="N44">
            <v>0.49825783972125437</v>
          </cell>
        </row>
        <row r="45">
          <cell r="A45" t="str">
            <v xml:space="preserve"> 302  Сосиски Сочинки по-баварски,  0.4кг, ТМ Стародворье  ПОКОМ</v>
          </cell>
          <cell r="D45" t="str">
            <v>00-00007886</v>
          </cell>
          <cell r="F45">
            <v>235.2</v>
          </cell>
          <cell r="G45">
            <v>588</v>
          </cell>
          <cell r="H45">
            <v>6.8</v>
          </cell>
          <cell r="I45">
            <v>17</v>
          </cell>
          <cell r="J45">
            <v>136.80000000000001</v>
          </cell>
          <cell r="K45">
            <v>342</v>
          </cell>
          <cell r="L45">
            <v>6.2181818181818187</v>
          </cell>
          <cell r="M45">
            <v>15.545454545454545</v>
          </cell>
          <cell r="N45">
            <v>0.58163265306122458</v>
          </cell>
        </row>
        <row r="46">
          <cell r="A46" t="str">
            <v xml:space="preserve"> 305  Колбаса Сервелат Мясорубский с мелкорубленным окороком в/у  ТМ Стародворье ВЕС   ПОКОМ</v>
          </cell>
          <cell r="D46" t="str">
            <v>00-00008651</v>
          </cell>
          <cell r="F46">
            <v>133.23599999999999</v>
          </cell>
          <cell r="G46">
            <v>133.23599999999999</v>
          </cell>
          <cell r="H46">
            <v>14.82</v>
          </cell>
          <cell r="I46">
            <v>14.82</v>
          </cell>
          <cell r="J46">
            <v>52.329000000000001</v>
          </cell>
          <cell r="K46">
            <v>52.329000000000001</v>
          </cell>
          <cell r="L46">
            <v>2.3785909090909092</v>
          </cell>
          <cell r="M46">
            <v>2.3785909090909092</v>
          </cell>
          <cell r="N46">
            <v>0.39275421057371884</v>
          </cell>
        </row>
        <row r="47">
          <cell r="A47" t="str">
            <v xml:space="preserve"> 307  Колбаса Сервелат Мясорубский с мелкорубленным окороком 0,35 кг срез ТМ Стародворье   Поком</v>
          </cell>
          <cell r="D47" t="str">
            <v>00-00008268</v>
          </cell>
          <cell r="F47">
            <v>209.3</v>
          </cell>
          <cell r="G47">
            <v>598</v>
          </cell>
          <cell r="H47">
            <v>7.7</v>
          </cell>
          <cell r="I47">
            <v>22</v>
          </cell>
          <cell r="J47">
            <v>56</v>
          </cell>
          <cell r="K47">
            <v>160</v>
          </cell>
          <cell r="L47">
            <v>2.5454545454545454</v>
          </cell>
          <cell r="M47">
            <v>7.2727272727272725</v>
          </cell>
          <cell r="N47">
            <v>0.26755852842809363</v>
          </cell>
        </row>
        <row r="48">
          <cell r="A48" t="str">
            <v xml:space="preserve"> 309  Сосиски Сочинки с сыром 0,4 кг ТМ Стародворье  ПОКОМ</v>
          </cell>
          <cell r="D48" t="str">
            <v>00-00008169</v>
          </cell>
          <cell r="F48">
            <v>508.4</v>
          </cell>
          <cell r="G48">
            <v>1271</v>
          </cell>
          <cell r="H48">
            <v>3.6</v>
          </cell>
          <cell r="I48">
            <v>9</v>
          </cell>
          <cell r="J48">
            <v>194</v>
          </cell>
          <cell r="K48">
            <v>485</v>
          </cell>
          <cell r="L48">
            <v>8.8181818181818183</v>
          </cell>
          <cell r="M48">
            <v>22.045454545454547</v>
          </cell>
          <cell r="N48">
            <v>0.38158929976396538</v>
          </cell>
        </row>
        <row r="49">
          <cell r="A49" t="str">
            <v xml:space="preserve"> 312  Ветчина Филейская ВЕС ТМ  Вязанка ТС Столичная  ПОКОМ</v>
          </cell>
          <cell r="D49" t="str">
            <v>00-00007957</v>
          </cell>
          <cell r="F49">
            <v>322.154</v>
          </cell>
          <cell r="G49">
            <v>322.154</v>
          </cell>
          <cell r="H49">
            <v>6.0730000000000004</v>
          </cell>
          <cell r="I49">
            <v>6.0730000000000004</v>
          </cell>
          <cell r="J49">
            <v>153.68700000000001</v>
          </cell>
          <cell r="K49">
            <v>153.68700000000001</v>
          </cell>
          <cell r="L49">
            <v>6.9857727272727281</v>
          </cell>
          <cell r="M49">
            <v>6.9857727272727281</v>
          </cell>
          <cell r="N49">
            <v>0.47706066042948408</v>
          </cell>
        </row>
        <row r="50">
          <cell r="A50" t="str">
            <v xml:space="preserve"> 315  Колбаса вареная Молокуша ТМ Вязанка ВЕС, ПОКОМ</v>
          </cell>
          <cell r="D50" t="str">
            <v>00-00008011</v>
          </cell>
          <cell r="F50">
            <v>278.19400000000002</v>
          </cell>
          <cell r="G50">
            <v>278.19400000000002</v>
          </cell>
          <cell r="H50">
            <v>13.066000000000001</v>
          </cell>
          <cell r="I50">
            <v>13.066000000000001</v>
          </cell>
          <cell r="J50">
            <v>161.52699999999999</v>
          </cell>
          <cell r="K50">
            <v>161.52699999999999</v>
          </cell>
          <cell r="L50">
            <v>7.3421363636363628</v>
          </cell>
          <cell r="M50">
            <v>7.3421363636363628</v>
          </cell>
          <cell r="N50">
            <v>0.58062718822116932</v>
          </cell>
        </row>
        <row r="51">
          <cell r="A51" t="str">
            <v xml:space="preserve"> 318  Сосиски Датские ТМ Зареченские, ВЕС  ПОКОМ</v>
          </cell>
          <cell r="D51" t="str">
            <v>00-00008108</v>
          </cell>
          <cell r="F51">
            <v>-13.259</v>
          </cell>
          <cell r="G51">
            <v>-13.259</v>
          </cell>
          <cell r="H51">
            <v>13.259</v>
          </cell>
          <cell r="I51">
            <v>13.259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</row>
        <row r="52">
          <cell r="A52" t="str">
            <v xml:space="preserve"> 319  Колбаса вареная Филейская ТМ Вязанка ТС Классическая, 0,45 кг. ПОКОМ</v>
          </cell>
          <cell r="D52" t="str">
            <v>00-00008110</v>
          </cell>
          <cell r="F52">
            <v>282.14999999999998</v>
          </cell>
          <cell r="G52">
            <v>627</v>
          </cell>
          <cell r="H52">
            <v>12.6</v>
          </cell>
          <cell r="I52">
            <v>28</v>
          </cell>
          <cell r="J52">
            <v>149.4</v>
          </cell>
          <cell r="K52">
            <v>332</v>
          </cell>
          <cell r="L52">
            <v>6.790909090909091</v>
          </cell>
          <cell r="M52">
            <v>15.090909090909092</v>
          </cell>
          <cell r="N52">
            <v>0.52950558213716115</v>
          </cell>
        </row>
        <row r="53">
          <cell r="A53" t="str">
            <v xml:space="preserve"> 322  Колбаса вареная Молокуша 0,45кг ТМ Вязанка  ПОКОМ</v>
          </cell>
          <cell r="D53" t="str">
            <v>00-00008752</v>
          </cell>
          <cell r="F53">
            <v>348.3</v>
          </cell>
          <cell r="G53">
            <v>774</v>
          </cell>
          <cell r="H53">
            <v>10.8</v>
          </cell>
          <cell r="I53">
            <v>24</v>
          </cell>
          <cell r="J53">
            <v>206.1</v>
          </cell>
          <cell r="K53">
            <v>458</v>
          </cell>
          <cell r="L53">
            <v>9.3681818181818173</v>
          </cell>
          <cell r="M53">
            <v>20.818181818181817</v>
          </cell>
          <cell r="N53">
            <v>0.59173126614987082</v>
          </cell>
        </row>
        <row r="54">
          <cell r="A54" t="str">
            <v xml:space="preserve"> 328  Сардельки Сочинки Стародворье ТМ  0,4 кг ПОКОМ</v>
          </cell>
          <cell r="D54" t="str">
            <v>00-00008901</v>
          </cell>
          <cell r="F54">
            <v>45.6</v>
          </cell>
          <cell r="G54">
            <v>114</v>
          </cell>
          <cell r="H54">
            <v>2.8</v>
          </cell>
          <cell r="I54">
            <v>7</v>
          </cell>
          <cell r="J54">
            <v>6.4</v>
          </cell>
          <cell r="K54">
            <v>16</v>
          </cell>
          <cell r="L54">
            <v>0.29090909090909095</v>
          </cell>
          <cell r="M54">
            <v>0.72727272727272729</v>
          </cell>
          <cell r="N54">
            <v>0.14035087719298245</v>
          </cell>
        </row>
        <row r="55">
          <cell r="A55" t="str">
            <v xml:space="preserve"> 329  Сардельки Сочинки с сыром Стародворье ТМ, 0,4 кг. ПОКОМ</v>
          </cell>
          <cell r="D55" t="str">
            <v>00-00008517</v>
          </cell>
          <cell r="F55">
            <v>56.8</v>
          </cell>
          <cell r="G55">
            <v>142</v>
          </cell>
          <cell r="H55">
            <v>5.2</v>
          </cell>
          <cell r="I55">
            <v>13</v>
          </cell>
          <cell r="J55">
            <v>-1.2</v>
          </cell>
          <cell r="K55">
            <v>-3</v>
          </cell>
          <cell r="L55">
            <v>-5.4545454545454543E-2</v>
          </cell>
          <cell r="M55">
            <v>-0.13636363636363635</v>
          </cell>
          <cell r="N55">
            <v>0</v>
          </cell>
        </row>
        <row r="56">
          <cell r="A56" t="str">
            <v xml:space="preserve"> 330  Колбаса вареная Филейская ТМ Вязанка ТС Классическая ВЕС  ПОКОМ</v>
          </cell>
          <cell r="D56" t="str">
            <v>00-00008056</v>
          </cell>
          <cell r="F56">
            <v>259.75400000000002</v>
          </cell>
          <cell r="G56">
            <v>259.75400000000002</v>
          </cell>
          <cell r="H56">
            <v>4.766</v>
          </cell>
          <cell r="I56">
            <v>4.766</v>
          </cell>
          <cell r="J56">
            <v>159.68899999999999</v>
          </cell>
          <cell r="K56">
            <v>159.68899999999999</v>
          </cell>
          <cell r="L56">
            <v>7.2585909090909091</v>
          </cell>
          <cell r="M56">
            <v>7.2585909090909091</v>
          </cell>
          <cell r="N56">
            <v>0.61477012866019376</v>
          </cell>
        </row>
        <row r="57">
          <cell r="A57" t="str">
            <v xml:space="preserve"> 334  Паштет Любительский ТМ Стародворье ламистер 0,1 кг  ПОКОМ</v>
          </cell>
          <cell r="D57" t="str">
            <v>00-00009323</v>
          </cell>
          <cell r="F57">
            <v>47.5</v>
          </cell>
          <cell r="G57">
            <v>475</v>
          </cell>
          <cell r="J57">
            <v>9.1</v>
          </cell>
          <cell r="K57">
            <v>91</v>
          </cell>
          <cell r="L57">
            <v>0.41363636363636364</v>
          </cell>
          <cell r="M57">
            <v>4.1363636363636367</v>
          </cell>
          <cell r="N57">
            <v>0.19157894736842104</v>
          </cell>
        </row>
        <row r="58">
          <cell r="A58" t="str">
            <v xml:space="preserve"> 335  Колбаса Сливушка ТМ Вязанка. ВЕС.  ПОКОМ </v>
          </cell>
          <cell r="D58" t="str">
            <v>00-00008855</v>
          </cell>
          <cell r="F58">
            <v>474.00400000000002</v>
          </cell>
          <cell r="G58">
            <v>474.00400000000002</v>
          </cell>
          <cell r="H58">
            <v>4.2729999999999997</v>
          </cell>
          <cell r="I58">
            <v>4.2729999999999997</v>
          </cell>
          <cell r="J58">
            <v>276.12200000000001</v>
          </cell>
          <cell r="K58">
            <v>276.12200000000001</v>
          </cell>
          <cell r="L58">
            <v>12.551</v>
          </cell>
          <cell r="M58">
            <v>12.551</v>
          </cell>
          <cell r="N58">
            <v>0.58253094910591474</v>
          </cell>
        </row>
        <row r="59">
          <cell r="A59" t="str">
            <v xml:space="preserve"> 336  Ветчина Сливушка с индейкой ТМ Вязанка. ВЕС  ПОКОМ</v>
          </cell>
          <cell r="D59" t="str">
            <v>00-00008856</v>
          </cell>
          <cell r="F59">
            <v>151.87799999999999</v>
          </cell>
          <cell r="G59">
            <v>151.87799999999999</v>
          </cell>
          <cell r="H59">
            <v>3.306</v>
          </cell>
          <cell r="I59">
            <v>3.306</v>
          </cell>
          <cell r="J59">
            <v>39.6</v>
          </cell>
          <cell r="K59">
            <v>39.6</v>
          </cell>
          <cell r="L59">
            <v>1.8</v>
          </cell>
          <cell r="M59">
            <v>1.8</v>
          </cell>
          <cell r="N59">
            <v>0.26073559040809074</v>
          </cell>
        </row>
        <row r="60">
          <cell r="A60" t="str">
            <v xml:space="preserve"> 338  Паштет печеночный с морковью ТМ Стародворье ламистер 0,1 кг.  ПОКОМ</v>
          </cell>
          <cell r="D60" t="str">
            <v>00-00009324</v>
          </cell>
          <cell r="F60">
            <v>50.9</v>
          </cell>
          <cell r="G60">
            <v>509</v>
          </cell>
          <cell r="J60">
            <v>6.5</v>
          </cell>
          <cell r="K60">
            <v>65</v>
          </cell>
          <cell r="L60">
            <v>0.29545454545454547</v>
          </cell>
          <cell r="M60">
            <v>2.9545454545454546</v>
          </cell>
          <cell r="N60">
            <v>0.12770137524557956</v>
          </cell>
        </row>
        <row r="61">
          <cell r="A61" t="str">
            <v xml:space="preserve"> 339  Колбаса вареная Филейская ТМ Вязанка ТС Классическая, 0,40 кг.  ПОКОМ</v>
          </cell>
          <cell r="D61" t="str">
            <v>00-00008397</v>
          </cell>
          <cell r="F61">
            <v>21.6</v>
          </cell>
          <cell r="G61">
            <v>54</v>
          </cell>
          <cell r="J61">
            <v>2.4</v>
          </cell>
          <cell r="K61">
            <v>6</v>
          </cell>
          <cell r="L61">
            <v>0.10909090909090909</v>
          </cell>
          <cell r="M61">
            <v>0.27272727272727271</v>
          </cell>
          <cell r="N61">
            <v>0.1111111111111111</v>
          </cell>
        </row>
        <row r="62">
          <cell r="A62" t="str">
            <v xml:space="preserve"> 340  Сосиски Сочинки Молочные ТМ Стародворье, ВЕС ПОКОМ</v>
          </cell>
          <cell r="D62" t="str">
            <v>00-ko009080</v>
          </cell>
          <cell r="F62">
            <v>458.04399999999998</v>
          </cell>
          <cell r="G62">
            <v>458.04399999999998</v>
          </cell>
          <cell r="H62">
            <v>9.5920000000000005</v>
          </cell>
          <cell r="I62">
            <v>9.5920000000000005</v>
          </cell>
          <cell r="J62">
            <v>85.436999999999998</v>
          </cell>
          <cell r="K62">
            <v>85.436999999999998</v>
          </cell>
          <cell r="L62">
            <v>3.8834999999999997</v>
          </cell>
          <cell r="M62">
            <v>3.8834999999999997</v>
          </cell>
          <cell r="N62">
            <v>0.1865257486180367</v>
          </cell>
        </row>
        <row r="63">
          <cell r="A63" t="str">
            <v xml:space="preserve"> 341 Сосиски Сочинки Сливочные ТМ Стародворье ВЕС ПОКОМ</v>
          </cell>
          <cell r="D63" t="str">
            <v>00-00000799</v>
          </cell>
          <cell r="F63">
            <v>499.17399999999998</v>
          </cell>
          <cell r="G63">
            <v>499.17399999999998</v>
          </cell>
          <cell r="H63">
            <v>3.5030000000000001</v>
          </cell>
          <cell r="I63">
            <v>3.5030000000000001</v>
          </cell>
          <cell r="J63">
            <v>36.030999999999999</v>
          </cell>
          <cell r="K63">
            <v>36.030999999999999</v>
          </cell>
          <cell r="L63">
            <v>1.6377727272727272</v>
          </cell>
          <cell r="M63">
            <v>1.6377727272727272</v>
          </cell>
          <cell r="N63">
            <v>7.2181243414120133E-2</v>
          </cell>
        </row>
        <row r="64">
          <cell r="A64" t="str">
            <v xml:space="preserve"> 342 Сосиски Сочинки Молочные ТМ Стародворье 0,4 кг ПОКОМ</v>
          </cell>
          <cell r="D64" t="str">
            <v>00-00008857</v>
          </cell>
          <cell r="F64">
            <v>549.6</v>
          </cell>
          <cell r="G64">
            <v>1374</v>
          </cell>
          <cell r="H64">
            <v>32.4</v>
          </cell>
          <cell r="I64">
            <v>81</v>
          </cell>
          <cell r="J64">
            <v>196.4</v>
          </cell>
          <cell r="K64">
            <v>491</v>
          </cell>
          <cell r="L64">
            <v>8.9272727272727277</v>
          </cell>
          <cell r="M64">
            <v>22.318181818181817</v>
          </cell>
          <cell r="N64">
            <v>0.35735080058224161</v>
          </cell>
        </row>
        <row r="65">
          <cell r="A65" t="str">
            <v xml:space="preserve"> 343 Сосиски Сочинки Сливочные ТМ Стародворье  0,4 кг ПОКОМ</v>
          </cell>
          <cell r="D65" t="str">
            <v>00-00008858</v>
          </cell>
          <cell r="F65">
            <v>397.2</v>
          </cell>
          <cell r="G65">
            <v>993</v>
          </cell>
          <cell r="H65">
            <v>14</v>
          </cell>
          <cell r="I65">
            <v>35</v>
          </cell>
          <cell r="J65">
            <v>118.4</v>
          </cell>
          <cell r="K65">
            <v>296</v>
          </cell>
          <cell r="L65">
            <v>5.3818181818181818</v>
          </cell>
          <cell r="M65">
            <v>13.454545454545455</v>
          </cell>
          <cell r="N65">
            <v>0.29808660624370598</v>
          </cell>
        </row>
        <row r="66">
          <cell r="A66" t="str">
            <v xml:space="preserve"> 344  Колбаса Сочинка по-европейски с сочной грудинкой ТМ Стародворье, ВЕС ПОКОМ</v>
          </cell>
          <cell r="D66" t="str">
            <v>00-00008906</v>
          </cell>
          <cell r="F66">
            <v>351.96899999999999</v>
          </cell>
          <cell r="G66">
            <v>351.96899999999999</v>
          </cell>
          <cell r="H66">
            <v>19.010999999999999</v>
          </cell>
          <cell r="I66">
            <v>19.010999999999999</v>
          </cell>
          <cell r="J66">
            <v>75.662999999999997</v>
          </cell>
          <cell r="K66">
            <v>75.662999999999997</v>
          </cell>
          <cell r="L66">
            <v>3.4392272727272726</v>
          </cell>
          <cell r="M66">
            <v>3.4392272727272726</v>
          </cell>
          <cell r="N66">
            <v>0.21497063661856583</v>
          </cell>
        </row>
        <row r="67">
          <cell r="A67" t="str">
            <v xml:space="preserve"> 345  Колбаса Сочинка по-фински с сочным окроком ТМ Стародворье ВЕС ПОКОМ</v>
          </cell>
          <cell r="D67" t="str">
            <v>00-00008907</v>
          </cell>
          <cell r="F67">
            <v>193.392</v>
          </cell>
          <cell r="G67">
            <v>193.392</v>
          </cell>
          <cell r="H67">
            <v>28.032</v>
          </cell>
          <cell r="I67">
            <v>28.032</v>
          </cell>
          <cell r="J67">
            <v>44.350999999999999</v>
          </cell>
          <cell r="K67">
            <v>44.350999999999999</v>
          </cell>
          <cell r="L67">
            <v>2.0159545454545453</v>
          </cell>
          <cell r="M67">
            <v>2.0159545454545453</v>
          </cell>
          <cell r="N67">
            <v>0.2293321336973608</v>
          </cell>
        </row>
        <row r="68">
          <cell r="A68" t="str">
            <v xml:space="preserve"> 346  Колбаса Сочинка зернистая с сочной грудинкой ТМ Стародворье.ВЕС ПОКОМ</v>
          </cell>
          <cell r="D68" t="str">
            <v>00-ko009147</v>
          </cell>
          <cell r="F68">
            <v>1115.835</v>
          </cell>
          <cell r="G68">
            <v>1115.835</v>
          </cell>
          <cell r="H68">
            <v>30.091000000000001</v>
          </cell>
          <cell r="I68">
            <v>30.091000000000001</v>
          </cell>
          <cell r="J68">
            <v>288.142</v>
          </cell>
          <cell r="K68">
            <v>288.142</v>
          </cell>
          <cell r="L68">
            <v>13.097363636363637</v>
          </cell>
          <cell r="M68">
            <v>13.097363636363637</v>
          </cell>
          <cell r="N68">
            <v>0.25822993542952138</v>
          </cell>
        </row>
        <row r="69">
          <cell r="A69" t="str">
            <v xml:space="preserve"> 347  Колбаса Сочинка рубленая с сочным окороком ТМ Стародворье ВЕС ПОКОМ</v>
          </cell>
          <cell r="D69" t="str">
            <v>00-00009321</v>
          </cell>
          <cell r="F69">
            <v>477.012</v>
          </cell>
          <cell r="G69">
            <v>477.012</v>
          </cell>
          <cell r="H69">
            <v>40.249000000000002</v>
          </cell>
          <cell r="I69">
            <v>40.249000000000002</v>
          </cell>
          <cell r="J69">
            <v>146.50200000000001</v>
          </cell>
          <cell r="K69">
            <v>146.50200000000001</v>
          </cell>
          <cell r="L69">
            <v>6.6591818181818185</v>
          </cell>
          <cell r="M69">
            <v>6.6591818181818185</v>
          </cell>
          <cell r="N69">
            <v>0.30712434907297931</v>
          </cell>
        </row>
        <row r="70">
          <cell r="A70" t="str">
            <v xml:space="preserve"> 364  Сардельки Филейские Вязанка ВЕС NDX ТМ Вязанка  ПОКОМ</v>
          </cell>
          <cell r="D70" t="str">
            <v>00-00008656</v>
          </cell>
          <cell r="F70">
            <v>421.15699999999998</v>
          </cell>
          <cell r="G70">
            <v>421.15699999999998</v>
          </cell>
          <cell r="H70">
            <v>71.793999999999997</v>
          </cell>
          <cell r="I70">
            <v>71.793999999999997</v>
          </cell>
          <cell r="J70">
            <v>43.098999999999997</v>
          </cell>
          <cell r="K70">
            <v>43.098999999999997</v>
          </cell>
          <cell r="L70">
            <v>1.9590454545454543</v>
          </cell>
          <cell r="M70">
            <v>1.9590454545454543</v>
          </cell>
          <cell r="N70">
            <v>0.10233475877166946</v>
          </cell>
        </row>
        <row r="71">
          <cell r="A71" t="str">
            <v xml:space="preserve"> 376  Колбаса Докторская Дугушка 0,6кг ГОСТ ТМ Стародворье  ПОКОМ </v>
          </cell>
          <cell r="D71" t="str">
            <v>00-00009081</v>
          </cell>
          <cell r="F71">
            <v>197.4</v>
          </cell>
          <cell r="G71">
            <v>329</v>
          </cell>
          <cell r="H71">
            <v>4.8</v>
          </cell>
          <cell r="I71">
            <v>8</v>
          </cell>
          <cell r="J71">
            <v>129.6</v>
          </cell>
          <cell r="K71">
            <v>216</v>
          </cell>
          <cell r="L71">
            <v>5.8909090909090907</v>
          </cell>
          <cell r="M71">
            <v>9.8181818181818183</v>
          </cell>
          <cell r="N71">
            <v>0.65653495440729481</v>
          </cell>
        </row>
        <row r="72">
          <cell r="A72" t="str">
            <v xml:space="preserve"> 377  Колбаса Молочная Дугушка 0,6кг ТМ Стародворье  ПОКОМ</v>
          </cell>
          <cell r="D72" t="str">
            <v>00-ko009847</v>
          </cell>
          <cell r="F72">
            <v>350.4</v>
          </cell>
          <cell r="G72">
            <v>584</v>
          </cell>
          <cell r="H72">
            <v>17.399999999999999</v>
          </cell>
          <cell r="I72">
            <v>29</v>
          </cell>
          <cell r="J72">
            <v>254.4</v>
          </cell>
          <cell r="K72">
            <v>424</v>
          </cell>
          <cell r="L72">
            <v>11.563636363636364</v>
          </cell>
          <cell r="M72">
            <v>19.272727272727273</v>
          </cell>
          <cell r="N72">
            <v>0.72602739726027399</v>
          </cell>
        </row>
        <row r="73">
          <cell r="A73" t="str">
            <v xml:space="preserve"> 378  Колбаса Докторская Дугушка 0,6кг НЕГОСТ ТМ Стародворье  ПОКОМ </v>
          </cell>
          <cell r="D73" t="str">
            <v>00-ko009070</v>
          </cell>
          <cell r="F73">
            <v>1.8</v>
          </cell>
          <cell r="G73">
            <v>3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</row>
        <row r="74">
          <cell r="A74" t="str">
            <v xml:space="preserve"> 387  Колбаса вареная Мусульманская Халяль ТМ Вязанка, 0,4 кг ПОКОМ</v>
          </cell>
          <cell r="D74" t="str">
            <v>00-00009009</v>
          </cell>
          <cell r="F74">
            <v>198</v>
          </cell>
          <cell r="G74">
            <v>495</v>
          </cell>
          <cell r="H74">
            <v>1.6</v>
          </cell>
          <cell r="I74">
            <v>4</v>
          </cell>
          <cell r="J74">
            <v>57.6</v>
          </cell>
          <cell r="K74">
            <v>144</v>
          </cell>
          <cell r="L74">
            <v>2.6181818181818182</v>
          </cell>
          <cell r="M74">
            <v>6.5454545454545459</v>
          </cell>
          <cell r="N74">
            <v>0.29090909090909089</v>
          </cell>
        </row>
        <row r="75">
          <cell r="A75" t="str">
            <v xml:space="preserve"> 388  Сосиски Восточные Халяль ТМ Вязанка 0,33 кг АК. ПОКОМ</v>
          </cell>
          <cell r="D75" t="str">
            <v>00-00009010</v>
          </cell>
          <cell r="F75">
            <v>242.55</v>
          </cell>
          <cell r="G75">
            <v>735</v>
          </cell>
          <cell r="H75">
            <v>0.66</v>
          </cell>
          <cell r="I75">
            <v>2</v>
          </cell>
          <cell r="J75">
            <v>81.84</v>
          </cell>
          <cell r="K75">
            <v>248</v>
          </cell>
          <cell r="L75">
            <v>3.72</v>
          </cell>
          <cell r="M75">
            <v>11.272727272727273</v>
          </cell>
          <cell r="N75">
            <v>0.33741496598639453</v>
          </cell>
        </row>
        <row r="76">
          <cell r="A76" t="str">
            <v xml:space="preserve"> 394 Колбаса полукопченая Аль-Ислами халяль ТМ Вязанка оболочка фиброуз в в/у 0,35 кг  ПОКОМ</v>
          </cell>
          <cell r="D76" t="str">
            <v>00-ko011455</v>
          </cell>
          <cell r="F76">
            <v>219.45</v>
          </cell>
          <cell r="G76">
            <v>627</v>
          </cell>
          <cell r="H76">
            <v>2.1</v>
          </cell>
          <cell r="I76">
            <v>6</v>
          </cell>
          <cell r="J76">
            <v>87.85</v>
          </cell>
          <cell r="K76">
            <v>251</v>
          </cell>
          <cell r="L76">
            <v>3.9931818181818177</v>
          </cell>
          <cell r="M76">
            <v>11.409090909090908</v>
          </cell>
          <cell r="N76">
            <v>0.40031897926634769</v>
          </cell>
        </row>
        <row r="77">
          <cell r="A77" t="str">
            <v xml:space="preserve"> 395  Колбаса Докторская ГОСТ ТМ Вязанка в оболочке полиамид 0,37 кг. ПОКОМ</v>
          </cell>
          <cell r="D77" t="str">
            <v>00-00009080</v>
          </cell>
          <cell r="F77">
            <v>6.66</v>
          </cell>
          <cell r="G77">
            <v>18</v>
          </cell>
          <cell r="J77">
            <v>2.96</v>
          </cell>
          <cell r="K77">
            <v>8</v>
          </cell>
          <cell r="L77">
            <v>0.13454545454545455</v>
          </cell>
          <cell r="M77">
            <v>0.36363636363636365</v>
          </cell>
          <cell r="N77">
            <v>0.44444444444444442</v>
          </cell>
        </row>
        <row r="78">
          <cell r="A78" t="str">
            <v xml:space="preserve"> 397  Ветчина Дугушка ТМ Стародворье ТС Дугушка в полиамидной оболочке 0,6 кг. ПОКОМ</v>
          </cell>
          <cell r="D78" t="str">
            <v>00-00009084</v>
          </cell>
          <cell r="F78">
            <v>122.4</v>
          </cell>
          <cell r="G78">
            <v>204</v>
          </cell>
          <cell r="H78">
            <v>3.6</v>
          </cell>
          <cell r="I78">
            <v>6</v>
          </cell>
          <cell r="J78">
            <v>98.4</v>
          </cell>
          <cell r="K78">
            <v>164</v>
          </cell>
          <cell r="L78">
            <v>4.4727272727272727</v>
          </cell>
          <cell r="M78">
            <v>7.4545454545454541</v>
          </cell>
          <cell r="N78">
            <v>0.80392156862745101</v>
          </cell>
        </row>
        <row r="79">
          <cell r="A79" t="str">
            <v xml:space="preserve"> 405  Сардельки Сливушки ТМ Вязанка в оболочке айпил 0,33 кг. ПОКОМ</v>
          </cell>
          <cell r="D79" t="str">
            <v>00-00009325</v>
          </cell>
          <cell r="F79">
            <v>75.569999999999993</v>
          </cell>
          <cell r="G79">
            <v>229</v>
          </cell>
          <cell r="H79">
            <v>3.96</v>
          </cell>
          <cell r="I79">
            <v>12</v>
          </cell>
          <cell r="J79">
            <v>25.74</v>
          </cell>
          <cell r="K79">
            <v>78</v>
          </cell>
          <cell r="L79">
            <v>1.17</v>
          </cell>
          <cell r="M79">
            <v>3.5454545454545454</v>
          </cell>
          <cell r="N79">
            <v>0.34061135371179041</v>
          </cell>
        </row>
        <row r="80">
          <cell r="A80" t="str">
            <v xml:space="preserve"> 408  Ветчина Сливушка с индейкой ТМ Вязанка, 0,4кг  ПОКОМ</v>
          </cell>
          <cell r="D80" t="str">
            <v>00-00009082</v>
          </cell>
          <cell r="F80">
            <v>74.8</v>
          </cell>
          <cell r="G80">
            <v>187</v>
          </cell>
          <cell r="H80">
            <v>10.8</v>
          </cell>
          <cell r="I80">
            <v>27</v>
          </cell>
          <cell r="J80">
            <v>8.8000000000000007</v>
          </cell>
          <cell r="K80">
            <v>22</v>
          </cell>
          <cell r="L80">
            <v>0.4</v>
          </cell>
          <cell r="M80">
            <v>1</v>
          </cell>
          <cell r="N80">
            <v>0.11764705882352942</v>
          </cell>
        </row>
        <row r="81">
          <cell r="A81" t="str">
            <v xml:space="preserve"> 410  Сосиски Баварские с сыром ТМ Стародворье 0,35 кг. ПОКОМ</v>
          </cell>
          <cell r="D81" t="str">
            <v>00-ko009100</v>
          </cell>
          <cell r="F81">
            <v>5.95</v>
          </cell>
          <cell r="G81">
            <v>17</v>
          </cell>
          <cell r="H81">
            <v>2.1</v>
          </cell>
          <cell r="I81">
            <v>6</v>
          </cell>
          <cell r="J81">
            <v>-0.7</v>
          </cell>
          <cell r="K81">
            <v>-2</v>
          </cell>
          <cell r="L81">
            <v>-3.1818181818181815E-2</v>
          </cell>
          <cell r="M81">
            <v>-9.0909090909090912E-2</v>
          </cell>
          <cell r="N81">
            <v>0</v>
          </cell>
        </row>
        <row r="82">
          <cell r="A82" t="str">
            <v xml:space="preserve"> 412  Сосиски Баварские ТМ Стародворье 0,35 кг ПОКОМ</v>
          </cell>
          <cell r="D82" t="str">
            <v>00-ko009128</v>
          </cell>
          <cell r="F82">
            <v>80.849999999999994</v>
          </cell>
          <cell r="G82">
            <v>231</v>
          </cell>
          <cell r="H82">
            <v>2.1</v>
          </cell>
          <cell r="I82">
            <v>6</v>
          </cell>
          <cell r="J82">
            <v>43.4</v>
          </cell>
          <cell r="K82">
            <v>124</v>
          </cell>
          <cell r="L82">
            <v>1.9727272727272727</v>
          </cell>
          <cell r="M82">
            <v>5.6363636363636367</v>
          </cell>
          <cell r="N82">
            <v>0.53679653679653683</v>
          </cell>
        </row>
        <row r="83">
          <cell r="A83" t="str">
            <v xml:space="preserve"> 449  Колбаса Дугушка Стародворская ВЕС ТС Дугушка ПОКОМ</v>
          </cell>
          <cell r="D83" t="str">
            <v>00-ko009715</v>
          </cell>
          <cell r="F83">
            <v>714.71</v>
          </cell>
          <cell r="G83">
            <v>714.71</v>
          </cell>
          <cell r="H83">
            <v>14.627000000000001</v>
          </cell>
          <cell r="I83">
            <v>14.627000000000001</v>
          </cell>
          <cell r="J83">
            <v>480.351</v>
          </cell>
          <cell r="K83">
            <v>480.351</v>
          </cell>
          <cell r="L83">
            <v>21.834136363636365</v>
          </cell>
          <cell r="M83">
            <v>21.834136363636365</v>
          </cell>
          <cell r="N83">
            <v>0.67209217724671544</v>
          </cell>
        </row>
        <row r="84">
          <cell r="A84" t="str">
            <v xml:space="preserve"> 452  Колбаса Со шпиком ВЕС большой батон ТМ Особый рецепт  ПОКОМ</v>
          </cell>
          <cell r="D84" t="str">
            <v>00-ko009574</v>
          </cell>
          <cell r="F84">
            <v>6758.0360000000001</v>
          </cell>
          <cell r="G84">
            <v>6758.0360000000001</v>
          </cell>
          <cell r="H84">
            <v>18.132999999999999</v>
          </cell>
          <cell r="I84">
            <v>18.132999999999999</v>
          </cell>
          <cell r="J84">
            <v>1462.9269999999999</v>
          </cell>
          <cell r="K84">
            <v>1462.9269999999999</v>
          </cell>
          <cell r="L84">
            <v>66.496681818181813</v>
          </cell>
          <cell r="M84">
            <v>66.496681818181813</v>
          </cell>
          <cell r="N84">
            <v>0.21647221174909395</v>
          </cell>
        </row>
        <row r="85">
          <cell r="A85" t="str">
            <v xml:space="preserve"> 456  Колбаса Филейная ТМ Особый рецепт ВЕС большой батон  ПОКОМ</v>
          </cell>
          <cell r="D85" t="str">
            <v>00-ko009644</v>
          </cell>
          <cell r="F85">
            <v>4607.7039999999997</v>
          </cell>
          <cell r="G85">
            <v>4607.7039999999997</v>
          </cell>
          <cell r="H85">
            <v>24.1</v>
          </cell>
          <cell r="I85">
            <v>24.1</v>
          </cell>
          <cell r="J85">
            <v>1247.9659999999999</v>
          </cell>
          <cell r="K85">
            <v>1247.9659999999999</v>
          </cell>
          <cell r="L85">
            <v>56.725727272727269</v>
          </cell>
          <cell r="M85">
            <v>56.725727272727269</v>
          </cell>
          <cell r="N85">
            <v>0.27084335278481431</v>
          </cell>
        </row>
        <row r="86">
          <cell r="A86" t="str">
            <v xml:space="preserve"> 457  Колбаса Молочная ТМ Особый рецепт ВЕС большой батон  ПОКОМ</v>
          </cell>
          <cell r="D86" t="str">
            <v>00-ko009646</v>
          </cell>
          <cell r="F86">
            <v>6286.4560000000001</v>
          </cell>
          <cell r="G86">
            <v>6286.4560000000001</v>
          </cell>
          <cell r="H86">
            <v>19.568999999999999</v>
          </cell>
          <cell r="I86">
            <v>19.568999999999999</v>
          </cell>
          <cell r="J86">
            <v>2123.1419999999998</v>
          </cell>
          <cell r="K86">
            <v>2123.1419999999998</v>
          </cell>
          <cell r="L86">
            <v>96.506454545454531</v>
          </cell>
          <cell r="M86">
            <v>96.506454545454531</v>
          </cell>
          <cell r="N86">
            <v>0.33773273844595425</v>
          </cell>
        </row>
        <row r="87">
          <cell r="A87" t="str">
            <v xml:space="preserve"> 498  Колбаса Сочинка рубленая с сочным окороком 0,3кг ТМ Стародворье  ПОКОМ</v>
          </cell>
          <cell r="D87" t="str">
            <v>00-ko010045</v>
          </cell>
          <cell r="F87">
            <v>-3</v>
          </cell>
          <cell r="G87">
            <v>-10</v>
          </cell>
          <cell r="H87">
            <v>12</v>
          </cell>
          <cell r="I87">
            <v>40</v>
          </cell>
          <cell r="J87">
            <v>0.3</v>
          </cell>
          <cell r="K87">
            <v>1</v>
          </cell>
          <cell r="L87">
            <v>1.3636363636363636E-2</v>
          </cell>
          <cell r="M87">
            <v>4.5454545454545456E-2</v>
          </cell>
          <cell r="N87">
            <v>0</v>
          </cell>
        </row>
        <row r="88">
          <cell r="A88" t="str">
            <v xml:space="preserve"> 523  Колбаса Сальчичон нарезка 0,07кг ТМ Стародворье  ПОКОМ </v>
          </cell>
          <cell r="D88" t="str">
            <v>00-ko011123</v>
          </cell>
          <cell r="F88">
            <v>17.920000000000002</v>
          </cell>
          <cell r="G88">
            <v>256</v>
          </cell>
          <cell r="H88">
            <v>0.21</v>
          </cell>
          <cell r="I88">
            <v>3</v>
          </cell>
          <cell r="J88">
            <v>3.78</v>
          </cell>
          <cell r="K88">
            <v>54</v>
          </cell>
          <cell r="L88">
            <v>0.17181818181818181</v>
          </cell>
          <cell r="M88">
            <v>2.4545454545454546</v>
          </cell>
          <cell r="N88">
            <v>0.21093749999999997</v>
          </cell>
        </row>
        <row r="89">
          <cell r="A89" t="str">
            <v xml:space="preserve"> 524  Колбаса Сервелат Ореховый нарезка 0,07кг ТМ Стародворье  ПОКОМ</v>
          </cell>
          <cell r="D89" t="str">
            <v>00-ko011142</v>
          </cell>
          <cell r="F89">
            <v>18.059999999999999</v>
          </cell>
          <cell r="G89">
            <v>258</v>
          </cell>
          <cell r="J89">
            <v>2.73</v>
          </cell>
          <cell r="K89">
            <v>39</v>
          </cell>
          <cell r="L89">
            <v>0.12409090909090909</v>
          </cell>
          <cell r="M89">
            <v>1.7727272727272727</v>
          </cell>
          <cell r="N89">
            <v>0.15116279069767444</v>
          </cell>
        </row>
        <row r="90">
          <cell r="A90" t="str">
            <v xml:space="preserve"> 525  Колбаса Фуэт нарезка 0,07кг ТМ Стародворье  ПОКОМ</v>
          </cell>
          <cell r="D90" t="str">
            <v>00-ko011128</v>
          </cell>
          <cell r="F90">
            <v>30.38</v>
          </cell>
          <cell r="G90">
            <v>434</v>
          </cell>
          <cell r="H90">
            <v>0.84</v>
          </cell>
          <cell r="I90">
            <v>12</v>
          </cell>
          <cell r="J90">
            <v>5.04</v>
          </cell>
          <cell r="K90">
            <v>72</v>
          </cell>
          <cell r="L90">
            <v>0.2290909090909091</v>
          </cell>
          <cell r="M90">
            <v>3.2727272727272729</v>
          </cell>
          <cell r="N90">
            <v>0.16589861751152074</v>
          </cell>
        </row>
        <row r="91">
          <cell r="A91" t="str">
            <v xml:space="preserve"> 526  Корейка вяленая выдержанная нарезка 0,05кг ТМ Стародворье  ПОКОМ</v>
          </cell>
          <cell r="D91" t="str">
            <v>00-ko011127</v>
          </cell>
          <cell r="F91">
            <v>1.95</v>
          </cell>
          <cell r="G91">
            <v>39</v>
          </cell>
          <cell r="J91">
            <v>1.05</v>
          </cell>
          <cell r="K91">
            <v>21</v>
          </cell>
          <cell r="L91">
            <v>4.7727272727272729E-2</v>
          </cell>
          <cell r="M91">
            <v>0.95454545454545459</v>
          </cell>
          <cell r="N91">
            <v>0.53846153846153855</v>
          </cell>
        </row>
        <row r="92">
          <cell r="A92" t="str">
            <v xml:space="preserve"> 530  Окорок Хамон выдержанный нарезка 0,055кг ТМ Стародворье  ПОКОМ</v>
          </cell>
          <cell r="D92" t="str">
            <v>00-ko011124</v>
          </cell>
          <cell r="F92">
            <v>-0.55000000000000004</v>
          </cell>
          <cell r="G92">
            <v>-10</v>
          </cell>
          <cell r="H92">
            <v>0.55000000000000004</v>
          </cell>
          <cell r="I92">
            <v>10</v>
          </cell>
          <cell r="J92">
            <v>-0.16500000000000001</v>
          </cell>
          <cell r="K92">
            <v>-3</v>
          </cell>
          <cell r="L92">
            <v>-7.5000000000000006E-3</v>
          </cell>
          <cell r="M92">
            <v>-0.13636363636363635</v>
          </cell>
          <cell r="N92">
            <v>0.3</v>
          </cell>
        </row>
        <row r="93">
          <cell r="A93" t="str">
            <v xml:space="preserve"> 544  Сосиски Мясные для гриля ТС Ядрена копоть 0,3 кг  ПОКОМ</v>
          </cell>
          <cell r="D93" t="str">
            <v>00-ko011597</v>
          </cell>
          <cell r="F93">
            <v>24.9</v>
          </cell>
          <cell r="G93">
            <v>83</v>
          </cell>
          <cell r="J93">
            <v>1.2</v>
          </cell>
          <cell r="K93">
            <v>4</v>
          </cell>
          <cell r="L93">
            <v>5.4545454545454543E-2</v>
          </cell>
          <cell r="M93">
            <v>0.18181818181818182</v>
          </cell>
          <cell r="N93">
            <v>4.8192771084337352E-2</v>
          </cell>
        </row>
        <row r="94">
          <cell r="A94" t="str">
            <v xml:space="preserve"> 547  Колбаса Мясная Классическая ТМ Вязанка в оболочке полиамид. ВЕС  ПОКОМ</v>
          </cell>
          <cell r="D94" t="str">
            <v>00-ko011537</v>
          </cell>
          <cell r="F94">
            <v>8.9930000000000003</v>
          </cell>
          <cell r="G94">
            <v>8.9930000000000003</v>
          </cell>
          <cell r="H94">
            <v>3.2170000000000001</v>
          </cell>
          <cell r="I94">
            <v>3.2170000000000001</v>
          </cell>
          <cell r="J94">
            <v>7.12</v>
          </cell>
          <cell r="K94">
            <v>7.12</v>
          </cell>
          <cell r="L94">
            <v>0.32363636363636367</v>
          </cell>
          <cell r="M94">
            <v>0.32363636363636367</v>
          </cell>
          <cell r="N94">
            <v>0.79172689869898805</v>
          </cell>
        </row>
        <row r="95">
          <cell r="A95" t="str">
            <v xml:space="preserve"> 551  Колбаса Сливушка ТМ Вязанка в модифицированной газовой среде 0,11 кг нарезка  ПОКОМ</v>
          </cell>
          <cell r="D95" t="str">
            <v>00-ko011465</v>
          </cell>
          <cell r="F95">
            <v>3.74</v>
          </cell>
          <cell r="G95">
            <v>34</v>
          </cell>
          <cell r="H95">
            <v>10.78</v>
          </cell>
          <cell r="I95">
            <v>98</v>
          </cell>
          <cell r="J95">
            <v>2.2000000000000002</v>
          </cell>
          <cell r="K95">
            <v>20</v>
          </cell>
          <cell r="L95">
            <v>0.1</v>
          </cell>
          <cell r="M95">
            <v>0.90909090909090906</v>
          </cell>
          <cell r="N95">
            <v>0.58823529411764708</v>
          </cell>
        </row>
        <row r="96">
          <cell r="A96" t="str">
            <v xml:space="preserve"> 553  Ассорти колбас Мясорубская коллекция: Сервелат Делюкс, С балыком 0,08 кг нарезка  ПОКОМ</v>
          </cell>
          <cell r="D96" t="str">
            <v>00-ko011467</v>
          </cell>
          <cell r="F96">
            <v>34.159999999999997</v>
          </cell>
          <cell r="G96">
            <v>427</v>
          </cell>
          <cell r="H96">
            <v>0.56000000000000005</v>
          </cell>
          <cell r="I96">
            <v>7</v>
          </cell>
          <cell r="J96">
            <v>14.8</v>
          </cell>
          <cell r="K96">
            <v>185</v>
          </cell>
          <cell r="L96">
            <v>0.67272727272727273</v>
          </cell>
          <cell r="M96">
            <v>8.4090909090909083</v>
          </cell>
          <cell r="N96">
            <v>0.43325526932084313</v>
          </cell>
        </row>
        <row r="97">
          <cell r="A97" t="str">
            <v xml:space="preserve"> 554  Колбаса Сервелат Мясорубский ТМ Стародворье в упаковке скин 0,08 кг нарезка  ПОКОМ</v>
          </cell>
          <cell r="D97" t="str">
            <v>00-ko011468</v>
          </cell>
          <cell r="F97">
            <v>26.32</v>
          </cell>
          <cell r="G97">
            <v>329</v>
          </cell>
          <cell r="H97">
            <v>1.36</v>
          </cell>
          <cell r="I97">
            <v>17</v>
          </cell>
          <cell r="J97">
            <v>13.12</v>
          </cell>
          <cell r="K97">
            <v>164</v>
          </cell>
          <cell r="L97">
            <v>0.59636363636363632</v>
          </cell>
          <cell r="M97">
            <v>7.4545454545454541</v>
          </cell>
          <cell r="N97">
            <v>0.49848024316109418</v>
          </cell>
        </row>
        <row r="98">
          <cell r="A98" t="str">
            <v xml:space="preserve"> 555  Колбаса Молокуша ТМ Вязанка в модифицированной газовой среде 0,17 кг нарезка  ПОКОМ</v>
          </cell>
          <cell r="D98" t="str">
            <v>00-ko011464</v>
          </cell>
          <cell r="F98">
            <v>5.0999999999999996</v>
          </cell>
          <cell r="G98">
            <v>30</v>
          </cell>
          <cell r="H98">
            <v>0.34</v>
          </cell>
          <cell r="I98">
            <v>2</v>
          </cell>
          <cell r="J98">
            <v>3.91</v>
          </cell>
          <cell r="K98">
            <v>23</v>
          </cell>
          <cell r="L98">
            <v>0.17772727272727273</v>
          </cell>
          <cell r="M98">
            <v>1.0454545454545454</v>
          </cell>
          <cell r="N98">
            <v>0.76666666666666672</v>
          </cell>
        </row>
        <row r="99">
          <cell r="A99" t="str">
            <v xml:space="preserve"> 556  Колбаса Сервелат Ореховый ТМ Вязанка в оболочке фиброуз в вакуумной упаковке, ВЕС  ПОКОМ</v>
          </cell>
          <cell r="D99" t="str">
            <v>00-ko011536</v>
          </cell>
          <cell r="F99">
            <v>223.83</v>
          </cell>
          <cell r="G99">
            <v>223.83</v>
          </cell>
          <cell r="H99">
            <v>16.905999999999999</v>
          </cell>
          <cell r="I99">
            <v>16.905999999999999</v>
          </cell>
          <cell r="J99">
            <v>62.573</v>
          </cell>
          <cell r="K99">
            <v>62.573</v>
          </cell>
          <cell r="L99">
            <v>2.8442272727272728</v>
          </cell>
          <cell r="M99">
            <v>2.8442272727272728</v>
          </cell>
          <cell r="N99">
            <v>0.27955591296966448</v>
          </cell>
        </row>
        <row r="100">
          <cell r="A100" t="str">
            <v xml:space="preserve"> 557  Колбаса Сервелат Финский ТМ Вязанка в оболочке фиброуз в вакуумной упаковке, ВЕС  ПОКОМ</v>
          </cell>
          <cell r="D100" t="str">
            <v>00-ko011534</v>
          </cell>
          <cell r="F100">
            <v>255.566</v>
          </cell>
          <cell r="G100">
            <v>255.566</v>
          </cell>
          <cell r="H100">
            <v>23.268999999999998</v>
          </cell>
          <cell r="I100">
            <v>23.268999999999998</v>
          </cell>
          <cell r="J100">
            <v>41.18</v>
          </cell>
          <cell r="K100">
            <v>41.18</v>
          </cell>
          <cell r="L100">
            <v>1.8718181818181818</v>
          </cell>
          <cell r="M100">
            <v>1.8718181818181818</v>
          </cell>
          <cell r="N100">
            <v>0.16113254501772536</v>
          </cell>
        </row>
        <row r="101">
          <cell r="A101" t="str">
            <v xml:space="preserve"> 558  Колбаса Балыковая НОВАЯ ВЕС Вязанка фиброуз в/у ПОКОМ</v>
          </cell>
          <cell r="D101" t="str">
            <v>00-ko011531</v>
          </cell>
          <cell r="F101">
            <v>107.598</v>
          </cell>
          <cell r="G101">
            <v>107.598</v>
          </cell>
          <cell r="H101">
            <v>21.167000000000002</v>
          </cell>
          <cell r="I101">
            <v>21.167000000000002</v>
          </cell>
          <cell r="J101">
            <v>18.71</v>
          </cell>
          <cell r="K101">
            <v>18.71</v>
          </cell>
          <cell r="L101">
            <v>0.85045454545454546</v>
          </cell>
          <cell r="M101">
            <v>0.85045454545454546</v>
          </cell>
          <cell r="N101">
            <v>0.1738879904830945</v>
          </cell>
        </row>
        <row r="102">
          <cell r="A102" t="str">
            <v xml:space="preserve"> 569  Колбаса Балыковая ТМ Вязанка в оболочке фиброуз в вакуумной упаковке 0,28 кг срез.  ПОКОМ</v>
          </cell>
          <cell r="D102" t="str">
            <v>00-ko011578</v>
          </cell>
          <cell r="F102">
            <v>49</v>
          </cell>
          <cell r="G102">
            <v>175</v>
          </cell>
          <cell r="H102">
            <v>10.08</v>
          </cell>
          <cell r="I102">
            <v>36</v>
          </cell>
          <cell r="J102">
            <v>26.88</v>
          </cell>
          <cell r="K102">
            <v>96</v>
          </cell>
          <cell r="L102">
            <v>1.2218181818181817</v>
          </cell>
          <cell r="M102">
            <v>4.3636363636363633</v>
          </cell>
          <cell r="N102">
            <v>0.5485714285714286</v>
          </cell>
        </row>
        <row r="103">
          <cell r="A103" t="str">
            <v xml:space="preserve"> 570  Колбаса Сервелат Финский ТМ Вязанка в оболочке фиброуз в вак. упаковке 0,28 кг срез  ПОКОМ</v>
          </cell>
          <cell r="D103" t="str">
            <v>00-ko011690</v>
          </cell>
          <cell r="F103">
            <v>57.68</v>
          </cell>
          <cell r="G103">
            <v>206</v>
          </cell>
          <cell r="H103">
            <v>6.16</v>
          </cell>
          <cell r="I103">
            <v>22</v>
          </cell>
          <cell r="J103">
            <v>30.52</v>
          </cell>
          <cell r="K103">
            <v>109</v>
          </cell>
          <cell r="L103">
            <v>1.3872727272727272</v>
          </cell>
          <cell r="M103">
            <v>4.9545454545454541</v>
          </cell>
          <cell r="N103">
            <v>0.529126213592233</v>
          </cell>
        </row>
        <row r="104">
          <cell r="A104" t="str">
            <v xml:space="preserve"> 571  Колбаса Сервелат Ореховый ТМ Вязанка в оболочке фиброуз в вак. упаковке 0,28 кг срез  ПОКОМ</v>
          </cell>
          <cell r="D104" t="str">
            <v>00-ko011580</v>
          </cell>
          <cell r="F104">
            <v>32.76</v>
          </cell>
          <cell r="G104">
            <v>117</v>
          </cell>
          <cell r="H104">
            <v>6.72</v>
          </cell>
          <cell r="I104">
            <v>24</v>
          </cell>
          <cell r="J104">
            <v>17.64</v>
          </cell>
          <cell r="K104">
            <v>63</v>
          </cell>
          <cell r="L104">
            <v>0.80181818181818187</v>
          </cell>
          <cell r="M104">
            <v>2.8636363636363638</v>
          </cell>
          <cell r="N104">
            <v>0.53846153846153855</v>
          </cell>
        </row>
        <row r="105">
          <cell r="A105" t="str">
            <v xml:space="preserve"> 574  Колбаса Сервелат Финский ТМ Вязанка в упаковке скин 0,09 кг нарезка  ПОКОМ</v>
          </cell>
          <cell r="D105" t="str">
            <v>00-ko011712</v>
          </cell>
          <cell r="F105">
            <v>21.51</v>
          </cell>
          <cell r="G105">
            <v>239</v>
          </cell>
          <cell r="H105">
            <v>0.18</v>
          </cell>
          <cell r="I105">
            <v>2</v>
          </cell>
          <cell r="J105">
            <v>2.79</v>
          </cell>
          <cell r="K105">
            <v>31</v>
          </cell>
          <cell r="L105">
            <v>0.12681818181818183</v>
          </cell>
          <cell r="M105">
            <v>1.4090909090909092</v>
          </cell>
          <cell r="N105">
            <v>0.1297071129707113</v>
          </cell>
        </row>
        <row r="106">
          <cell r="A106" t="str">
            <v xml:space="preserve"> 579  Колбаса Ветчинно-рубленая ТМ Особый рецепт в оболочке полиамид.ВЕС  ПОКОМ</v>
          </cell>
          <cell r="D106" t="str">
            <v>00-ko011582</v>
          </cell>
          <cell r="F106">
            <v>193.041</v>
          </cell>
          <cell r="G106">
            <v>193.041</v>
          </cell>
          <cell r="H106">
            <v>0.71</v>
          </cell>
          <cell r="I106">
            <v>0.71</v>
          </cell>
          <cell r="J106">
            <v>32.813000000000002</v>
          </cell>
          <cell r="K106">
            <v>32.813000000000002</v>
          </cell>
          <cell r="L106">
            <v>1.4915</v>
          </cell>
          <cell r="M106">
            <v>1.4915</v>
          </cell>
          <cell r="N106">
            <v>0.16997943442066712</v>
          </cell>
        </row>
        <row r="107">
          <cell r="A107" t="str">
            <v xml:space="preserve"> 580  Ветчина Нежная с индейкой ТМ Особый рецепт в оболочке полиамид.ВЕС  ПОКОМ</v>
          </cell>
          <cell r="D107" t="str">
            <v>00-ko011583</v>
          </cell>
          <cell r="F107">
            <v>257.30700000000002</v>
          </cell>
          <cell r="G107">
            <v>257.30700000000002</v>
          </cell>
          <cell r="J107">
            <v>27.266999999999999</v>
          </cell>
          <cell r="K107">
            <v>27.266999999999999</v>
          </cell>
          <cell r="L107">
            <v>1.2394090909090909</v>
          </cell>
          <cell r="M107">
            <v>1.2394090909090909</v>
          </cell>
          <cell r="N107">
            <v>0.1059706887103732</v>
          </cell>
        </row>
        <row r="108">
          <cell r="A108" t="str">
            <v xml:space="preserve"> 583  Колбаса Балыковая ТМ Вязанка в упаковке скин 0,09 кг нарезка  ПОКОМ</v>
          </cell>
          <cell r="D108" t="str">
            <v>00-ko011711</v>
          </cell>
          <cell r="F108">
            <v>16.920000000000002</v>
          </cell>
          <cell r="G108">
            <v>188</v>
          </cell>
          <cell r="H108">
            <v>0.09</v>
          </cell>
          <cell r="I108">
            <v>1</v>
          </cell>
          <cell r="J108">
            <v>1.35</v>
          </cell>
          <cell r="K108">
            <v>15</v>
          </cell>
          <cell r="L108">
            <v>6.136363636363637E-2</v>
          </cell>
          <cell r="M108">
            <v>0.68181818181818177</v>
          </cell>
          <cell r="N108">
            <v>7.9787234042553196E-2</v>
          </cell>
        </row>
        <row r="109">
          <cell r="A109" t="str">
            <v xml:space="preserve"> 584  Колбаса Сервелат Ореховый ТМ Вязанка в упаковке скин 0,09 кг нарезка  ПОКОМ</v>
          </cell>
          <cell r="D109" t="str">
            <v>00-ko011713</v>
          </cell>
          <cell r="F109">
            <v>18.45</v>
          </cell>
          <cell r="G109">
            <v>205</v>
          </cell>
          <cell r="J109">
            <v>1.62</v>
          </cell>
          <cell r="K109">
            <v>18</v>
          </cell>
          <cell r="L109">
            <v>7.3636363636363639E-2</v>
          </cell>
          <cell r="M109">
            <v>0.81818181818181823</v>
          </cell>
          <cell r="N109">
            <v>8.7804878048780496E-2</v>
          </cell>
        </row>
        <row r="110">
          <cell r="A110" t="str">
            <v xml:space="preserve"> 585  Колбаса Молочная ТМ Стародворье в оболочке вектор НД ВЕС.  ПОКОМ</v>
          </cell>
          <cell r="D110" t="str">
            <v>00-ko011661</v>
          </cell>
          <cell r="F110">
            <v>343.57799999999997</v>
          </cell>
          <cell r="G110">
            <v>343.57799999999997</v>
          </cell>
          <cell r="H110">
            <v>7.56</v>
          </cell>
          <cell r="I110">
            <v>7.56</v>
          </cell>
          <cell r="J110">
            <v>95.251999999999995</v>
          </cell>
          <cell r="K110">
            <v>95.251999999999995</v>
          </cell>
          <cell r="L110">
            <v>4.3296363636363635</v>
          </cell>
          <cell r="M110">
            <v>4.3296363636363635</v>
          </cell>
          <cell r="N110">
            <v>0.27723544580852094</v>
          </cell>
        </row>
        <row r="111">
          <cell r="A111" t="str">
            <v xml:space="preserve"> 586  Колбаса Мясная ТМ Стародворье в оболочке вектор НД ВЕС.  ПОКОМ</v>
          </cell>
          <cell r="D111" t="str">
            <v>00-ko011581</v>
          </cell>
          <cell r="F111">
            <v>636.96799999999996</v>
          </cell>
          <cell r="G111">
            <v>636.96799999999996</v>
          </cell>
          <cell r="H111">
            <v>7.5289999999999999</v>
          </cell>
          <cell r="I111">
            <v>7.5289999999999999</v>
          </cell>
          <cell r="J111">
            <v>274.97899999999998</v>
          </cell>
          <cell r="K111">
            <v>274.97899999999998</v>
          </cell>
          <cell r="L111">
            <v>12.499045454545454</v>
          </cell>
          <cell r="M111">
            <v>12.499045454545454</v>
          </cell>
          <cell r="N111">
            <v>0.43169986561334323</v>
          </cell>
        </row>
        <row r="112">
          <cell r="A112" t="str">
            <v xml:space="preserve"> 588 Колбаса Со шпиком ТМ Стародворье в оболочке вектор ВЕС  ПОКОМ</v>
          </cell>
          <cell r="D112" t="str">
            <v>00-ko011611</v>
          </cell>
          <cell r="F112">
            <v>161.792</v>
          </cell>
          <cell r="G112">
            <v>161.792</v>
          </cell>
          <cell r="H112">
            <v>3.7240000000000002</v>
          </cell>
          <cell r="I112">
            <v>3.7240000000000002</v>
          </cell>
          <cell r="J112">
            <v>46.457999999999998</v>
          </cell>
          <cell r="K112">
            <v>46.457999999999998</v>
          </cell>
          <cell r="L112">
            <v>2.1117272727272725</v>
          </cell>
          <cell r="M112">
            <v>2.1117272727272725</v>
          </cell>
          <cell r="N112">
            <v>0.28714645965189872</v>
          </cell>
        </row>
        <row r="113">
          <cell r="A113" t="str">
            <v xml:space="preserve"> 597  Колбаса Классическая ТМ Особый рецепт в оболочке полиамид ВЕС. ПОКОМ</v>
          </cell>
          <cell r="D113" t="str">
            <v>00-ko011707</v>
          </cell>
          <cell r="F113">
            <v>2542.9949999999999</v>
          </cell>
          <cell r="G113">
            <v>2542.9949999999999</v>
          </cell>
          <cell r="H113">
            <v>14.917999999999999</v>
          </cell>
          <cell r="I113">
            <v>14.917999999999999</v>
          </cell>
          <cell r="J113">
            <v>805.23900000000003</v>
          </cell>
          <cell r="K113">
            <v>805.23900000000003</v>
          </cell>
          <cell r="L113">
            <v>36.601772727272731</v>
          </cell>
          <cell r="M113">
            <v>36.601772727272731</v>
          </cell>
          <cell r="N113">
            <v>0.31664985578029059</v>
          </cell>
        </row>
        <row r="114">
          <cell r="A114" t="str">
            <v xml:space="preserve"> 614  Буженина в пряном маринаде 0,25 кг консервы из мяса индейки ТМ Стародворье  ПОКОМ</v>
          </cell>
          <cell r="D114" t="str">
            <v>00-ko011745</v>
          </cell>
          <cell r="F114">
            <v>124.5</v>
          </cell>
          <cell r="G114">
            <v>498</v>
          </cell>
          <cell r="J114">
            <v>4</v>
          </cell>
          <cell r="K114">
            <v>16</v>
          </cell>
          <cell r="L114">
            <v>0.18181818181818182</v>
          </cell>
          <cell r="M114">
            <v>0.72727272727272729</v>
          </cell>
          <cell r="N114">
            <v>3.2128514056224897E-2</v>
          </cell>
        </row>
        <row r="115">
          <cell r="A115" t="str">
            <v xml:space="preserve"> 615  Гречка по-купечески с говядиной и овощами 0,325кг ТМ Стародворье  ПОКОМ</v>
          </cell>
          <cell r="D115" t="str">
            <v>00-ko011746</v>
          </cell>
          <cell r="F115">
            <v>100.425</v>
          </cell>
          <cell r="G115">
            <v>309</v>
          </cell>
          <cell r="J115">
            <v>9.1</v>
          </cell>
          <cell r="K115">
            <v>28</v>
          </cell>
          <cell r="L115">
            <v>0.41363636363636364</v>
          </cell>
          <cell r="M115">
            <v>1.2727272727272727</v>
          </cell>
          <cell r="N115">
            <v>9.0614886731391578E-2</v>
          </cell>
        </row>
        <row r="116">
          <cell r="A116" t="str">
            <v xml:space="preserve"> 616  Индейка томлёная в собственном соку 0,25кг ТМ Стародлворье Консервый из мяс.птицы  ПОКОМ</v>
          </cell>
          <cell r="D116" t="str">
            <v>00-ko011747</v>
          </cell>
          <cell r="F116">
            <v>273</v>
          </cell>
          <cell r="G116">
            <v>1092</v>
          </cell>
          <cell r="J116">
            <v>7.75</v>
          </cell>
          <cell r="K116">
            <v>31</v>
          </cell>
          <cell r="L116">
            <v>0.35227272727272729</v>
          </cell>
          <cell r="M116">
            <v>1.4090909090909092</v>
          </cell>
          <cell r="N116">
            <v>2.8388278388278388E-2</v>
          </cell>
        </row>
        <row r="117">
          <cell r="A117" t="str">
            <v>0614 ПРАЗДНИЧНАЯ с/к в/с дек.спец.мгс  Останкино</v>
          </cell>
          <cell r="D117" t="str">
            <v>00-ko010430</v>
          </cell>
          <cell r="F117">
            <v>40.609000000000002</v>
          </cell>
          <cell r="G117">
            <v>40.609000000000002</v>
          </cell>
          <cell r="J117">
            <v>20.190000000000001</v>
          </cell>
          <cell r="K117">
            <v>20.190000000000001</v>
          </cell>
          <cell r="L117">
            <v>0.91772727272727284</v>
          </cell>
          <cell r="M117">
            <v>0.91772727272727284</v>
          </cell>
          <cell r="N117">
            <v>0.49718042798394446</v>
          </cell>
        </row>
        <row r="118">
          <cell r="A118" t="str">
            <v>1103201 Сыр копченый "Косичка" мини ПАПА МОЖЕТ 55г лоток  ОСТАНКИНО</v>
          </cell>
          <cell r="D118" t="str">
            <v>00-ko011744</v>
          </cell>
          <cell r="F118">
            <v>0.27500000000000002</v>
          </cell>
          <cell r="G118">
            <v>5</v>
          </cell>
          <cell r="H118">
            <v>5.5E-2</v>
          </cell>
          <cell r="I118">
            <v>1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</row>
        <row r="119">
          <cell r="A119" t="str">
            <v>2103201 БЖП, произведенный по технологии сыра копченый "Косичка" мини Ассорти  ОСТАНКИНО</v>
          </cell>
          <cell r="D119" t="str">
            <v>00-ko011743</v>
          </cell>
          <cell r="F119">
            <v>1</v>
          </cell>
          <cell r="G119">
            <v>10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</row>
        <row r="120">
          <cell r="A120" t="str">
            <v>2105201 БЖП, произведенный по технологии сыра копченый "Балык" резаный 4 вкуса  ОСТАНКИНО</v>
          </cell>
          <cell r="D120" t="str">
            <v>00-ko011742</v>
          </cell>
          <cell r="F120">
            <v>0.4</v>
          </cell>
          <cell r="G120">
            <v>4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</row>
        <row r="121">
          <cell r="A121" t="str">
            <v>3215 ВЕТЧ.МЯСНАЯ Папа может п/о 0.4кг 8шт.    ОСТАНКИНО</v>
          </cell>
          <cell r="D121" t="str">
            <v>00-00005413</v>
          </cell>
          <cell r="F121">
            <v>484</v>
          </cell>
          <cell r="G121">
            <v>1210</v>
          </cell>
          <cell r="H121">
            <v>3.2</v>
          </cell>
          <cell r="I121">
            <v>8</v>
          </cell>
          <cell r="J121">
            <v>283.60000000000002</v>
          </cell>
          <cell r="K121">
            <v>709</v>
          </cell>
          <cell r="L121">
            <v>12.890909090909092</v>
          </cell>
          <cell r="M121">
            <v>32.227272727272727</v>
          </cell>
          <cell r="N121">
            <v>0.58595041322314056</v>
          </cell>
        </row>
        <row r="122">
          <cell r="A122" t="str">
            <v>3287 САЛЯМИ ИТАЛЬЯНСКАЯ с/к в/у ОСТАНКИНО</v>
          </cell>
          <cell r="D122" t="str">
            <v>00-00000651</v>
          </cell>
          <cell r="F122">
            <v>96.855999999999995</v>
          </cell>
          <cell r="G122">
            <v>96.855999999999995</v>
          </cell>
          <cell r="H122">
            <v>8.7859999999999996</v>
          </cell>
          <cell r="I122">
            <v>8.7859999999999996</v>
          </cell>
          <cell r="J122">
            <v>50.018999999999998</v>
          </cell>
          <cell r="K122">
            <v>50.018999999999998</v>
          </cell>
          <cell r="L122">
            <v>2.2735909090909092</v>
          </cell>
          <cell r="M122">
            <v>2.2735909090909092</v>
          </cell>
          <cell r="N122">
            <v>0.51642644750970512</v>
          </cell>
        </row>
        <row r="123">
          <cell r="A123" t="str">
            <v>3323 Сыр Российский цилиндр 1/4 пленка ЮКМП м.д.ж. 50%  ОСТАНКИНО</v>
          </cell>
          <cell r="D123" t="str">
            <v>00-ko011401</v>
          </cell>
          <cell r="F123">
            <v>248.19900000000001</v>
          </cell>
          <cell r="G123">
            <v>248.19900000000001</v>
          </cell>
          <cell r="H123">
            <v>4.63</v>
          </cell>
          <cell r="I123">
            <v>4.63</v>
          </cell>
          <cell r="J123">
            <v>17.54</v>
          </cell>
          <cell r="K123">
            <v>17.54</v>
          </cell>
          <cell r="L123">
            <v>0.79727272727272724</v>
          </cell>
          <cell r="M123">
            <v>0.79727272727272724</v>
          </cell>
          <cell r="N123">
            <v>7.066910019782513E-2</v>
          </cell>
        </row>
        <row r="124">
          <cell r="A124" t="str">
            <v>3986 Ароматная с/к в/у 1/250 ОСТАНКИНО</v>
          </cell>
          <cell r="D124" t="str">
            <v>00-00000744</v>
          </cell>
          <cell r="F124">
            <v>359.5</v>
          </cell>
          <cell r="G124">
            <v>1438</v>
          </cell>
          <cell r="H124">
            <v>6.75</v>
          </cell>
          <cell r="I124">
            <v>27</v>
          </cell>
          <cell r="J124">
            <v>161</v>
          </cell>
          <cell r="K124">
            <v>644</v>
          </cell>
          <cell r="L124">
            <v>7.3181818181818183</v>
          </cell>
          <cell r="M124">
            <v>29.272727272727273</v>
          </cell>
          <cell r="N124">
            <v>0.4478442280945758</v>
          </cell>
        </row>
        <row r="125">
          <cell r="A125" t="str">
            <v>4063 МЯСНАЯ Папа может вар п/о_Л   ОСТАНКИНО</v>
          </cell>
          <cell r="D125" t="str">
            <v>00-00006364</v>
          </cell>
          <cell r="F125">
            <v>1131.3119999999999</v>
          </cell>
          <cell r="G125">
            <v>1131.3119999999999</v>
          </cell>
          <cell r="H125">
            <v>15.082000000000001</v>
          </cell>
          <cell r="I125">
            <v>15.082000000000001</v>
          </cell>
          <cell r="J125">
            <v>720.81799999999998</v>
          </cell>
          <cell r="K125">
            <v>720.81799999999998</v>
          </cell>
          <cell r="L125">
            <v>32.764454545454548</v>
          </cell>
          <cell r="M125">
            <v>32.764454545454548</v>
          </cell>
          <cell r="N125">
            <v>0.63715226215226217</v>
          </cell>
        </row>
        <row r="126">
          <cell r="A126" t="str">
            <v>4117 ЭКСТРА Папа может с/к в/у_Л   ОСТАНКИНО</v>
          </cell>
          <cell r="D126" t="str">
            <v>00-00006375</v>
          </cell>
          <cell r="F126">
            <v>139.67599999999999</v>
          </cell>
          <cell r="G126">
            <v>139.67599999999999</v>
          </cell>
          <cell r="H126">
            <v>2.4820000000000002</v>
          </cell>
          <cell r="I126">
            <v>2.4820000000000002</v>
          </cell>
          <cell r="J126">
            <v>94.504000000000005</v>
          </cell>
          <cell r="K126">
            <v>94.504000000000005</v>
          </cell>
          <cell r="L126">
            <v>4.2956363636363637</v>
          </cell>
          <cell r="M126">
            <v>4.2956363636363637</v>
          </cell>
          <cell r="N126">
            <v>0.67659440419256001</v>
          </cell>
        </row>
        <row r="127">
          <cell r="A127" t="str">
            <v>4421577 Спред растительно-сливочный "Сливочный вкус" 82,5% 180гр  Останкино</v>
          </cell>
          <cell r="D127" t="str">
            <v>00-ko010979</v>
          </cell>
          <cell r="F127">
            <v>86.94</v>
          </cell>
          <cell r="G127">
            <v>483</v>
          </cell>
          <cell r="H127">
            <v>20.88</v>
          </cell>
          <cell r="I127">
            <v>116</v>
          </cell>
          <cell r="J127">
            <v>44.46</v>
          </cell>
          <cell r="K127">
            <v>247</v>
          </cell>
          <cell r="L127">
            <v>2.020909090909091</v>
          </cell>
          <cell r="M127">
            <v>11.227272727272727</v>
          </cell>
          <cell r="N127">
            <v>0.51138716356107661</v>
          </cell>
        </row>
        <row r="128">
          <cell r="A128" t="str">
            <v>4421584 Спред растительно-сливочный "Сливочный вкус" 72,5% 180гр  Останкино</v>
          </cell>
          <cell r="D128" t="str">
            <v>00-ko010980</v>
          </cell>
          <cell r="F128">
            <v>3.42</v>
          </cell>
          <cell r="G128">
            <v>19</v>
          </cell>
          <cell r="H128">
            <v>0.36</v>
          </cell>
          <cell r="I128">
            <v>2</v>
          </cell>
          <cell r="J128">
            <v>0.36</v>
          </cell>
          <cell r="K128">
            <v>2</v>
          </cell>
          <cell r="L128">
            <v>1.6363636363636361E-2</v>
          </cell>
          <cell r="M128">
            <v>9.0909090909090912E-2</v>
          </cell>
          <cell r="N128">
            <v>0.10526315789473684</v>
          </cell>
        </row>
        <row r="129">
          <cell r="A129" t="str">
            <v>4574 Мясная со шпиком Папа может вар п/о ОСТАНКИНО</v>
          </cell>
          <cell r="D129" t="str">
            <v>00-00000698</v>
          </cell>
          <cell r="F129">
            <v>127.583</v>
          </cell>
          <cell r="G129">
            <v>127.583</v>
          </cell>
          <cell r="H129">
            <v>3.2530000000000001</v>
          </cell>
          <cell r="I129">
            <v>3.2530000000000001</v>
          </cell>
          <cell r="J129">
            <v>81.715000000000003</v>
          </cell>
          <cell r="K129">
            <v>81.715000000000003</v>
          </cell>
          <cell r="L129">
            <v>3.7143181818181819</v>
          </cell>
          <cell r="M129">
            <v>3.7143181818181819</v>
          </cell>
          <cell r="N129">
            <v>0.64048501759638832</v>
          </cell>
        </row>
        <row r="130">
          <cell r="A130" t="str">
            <v>4813 ФИЛЕЙНАЯ Папа может вар п/о_Л   ОСТАНКИНО</v>
          </cell>
          <cell r="D130" t="str">
            <v>00-00006365</v>
          </cell>
          <cell r="F130">
            <v>1184.422</v>
          </cell>
          <cell r="G130">
            <v>1184.422</v>
          </cell>
          <cell r="H130">
            <v>10.72</v>
          </cell>
          <cell r="I130">
            <v>10.72</v>
          </cell>
          <cell r="J130">
            <v>856.529</v>
          </cell>
          <cell r="K130">
            <v>856.529</v>
          </cell>
          <cell r="L130">
            <v>38.933136363636365</v>
          </cell>
          <cell r="M130">
            <v>38.933136363636365</v>
          </cell>
          <cell r="N130">
            <v>0.72316201488996323</v>
          </cell>
        </row>
        <row r="131">
          <cell r="A131" t="str">
            <v>4931  Сыр полутвердый "Купеческий" с ароматом топленого молока, с м.д.ж. 50% ОСТАНКИНО</v>
          </cell>
          <cell r="D131" t="str">
            <v>00-ko011689</v>
          </cell>
          <cell r="F131">
            <v>34.823999999999998</v>
          </cell>
          <cell r="G131">
            <v>34.823999999999998</v>
          </cell>
          <cell r="J131">
            <v>3.2559999999999998</v>
          </cell>
          <cell r="K131">
            <v>3.2559999999999998</v>
          </cell>
          <cell r="L131">
            <v>0.14799999999999999</v>
          </cell>
          <cell r="M131">
            <v>0.14799999999999999</v>
          </cell>
          <cell r="N131">
            <v>9.3498736503560761E-2</v>
          </cell>
        </row>
        <row r="132">
          <cell r="A132" t="str">
            <v>495  Колбаса Сочинка по-европейски с сочной грудинкой 0,3кг ТМ Стародворье  ПОКОМ</v>
          </cell>
          <cell r="D132" t="str">
            <v>00-ko010043</v>
          </cell>
          <cell r="F132">
            <v>90.3</v>
          </cell>
          <cell r="G132">
            <v>301</v>
          </cell>
          <cell r="H132">
            <v>8.6999999999999993</v>
          </cell>
          <cell r="I132">
            <v>29</v>
          </cell>
          <cell r="J132">
            <v>18</v>
          </cell>
          <cell r="K132">
            <v>60</v>
          </cell>
          <cell r="L132">
            <v>0.81818181818181823</v>
          </cell>
          <cell r="M132">
            <v>2.7272727272727271</v>
          </cell>
          <cell r="N132">
            <v>0.19933554817275748</v>
          </cell>
        </row>
        <row r="133">
          <cell r="A133" t="str">
            <v>496  Колбаса Сочинка по-фински с сочным окроком 0,3кг ТМ Стародворье  ПОКОМ</v>
          </cell>
          <cell r="D133" t="str">
            <v>00-ko010044</v>
          </cell>
          <cell r="F133">
            <v>-8.6999999999999993</v>
          </cell>
          <cell r="G133">
            <v>-29</v>
          </cell>
          <cell r="H133">
            <v>13.8</v>
          </cell>
          <cell r="I133">
            <v>46</v>
          </cell>
          <cell r="J133">
            <v>-3</v>
          </cell>
          <cell r="K133">
            <v>-10</v>
          </cell>
          <cell r="L133">
            <v>-0.13636363636363635</v>
          </cell>
          <cell r="M133">
            <v>-0.45454545454545453</v>
          </cell>
          <cell r="N133">
            <v>0.34482758620689657</v>
          </cell>
        </row>
        <row r="134">
          <cell r="A134" t="str">
            <v>4993 САЛЯМИ ИТАЛЬЯНСКАЯ с/к в/у 1/250*8_120c ОСТАНКИНО</v>
          </cell>
          <cell r="D134" t="str">
            <v>00-00000753</v>
          </cell>
          <cell r="F134">
            <v>246</v>
          </cell>
          <cell r="G134">
            <v>984</v>
          </cell>
          <cell r="H134">
            <v>1.25</v>
          </cell>
          <cell r="I134">
            <v>5</v>
          </cell>
          <cell r="J134">
            <v>167</v>
          </cell>
          <cell r="K134">
            <v>668</v>
          </cell>
          <cell r="L134">
            <v>7.5909090909090908</v>
          </cell>
          <cell r="M134">
            <v>30.363636363636363</v>
          </cell>
          <cell r="N134">
            <v>0.67886178861788615</v>
          </cell>
        </row>
        <row r="135">
          <cell r="A135" t="str">
            <v>503 Колбаса Филейская со шпиком ТМ Вязанка в оболочке полиамид.ПОКОМ</v>
          </cell>
          <cell r="D135" t="str">
            <v>00-ko010042</v>
          </cell>
          <cell r="F135">
            <v>65.835999999999999</v>
          </cell>
          <cell r="G135">
            <v>65.835999999999999</v>
          </cell>
          <cell r="J135">
            <v>29.334</v>
          </cell>
          <cell r="K135">
            <v>29.334</v>
          </cell>
          <cell r="L135">
            <v>1.3333636363636363</v>
          </cell>
          <cell r="M135">
            <v>1.3333636363636363</v>
          </cell>
          <cell r="N135">
            <v>0.44556169876663226</v>
          </cell>
        </row>
        <row r="136">
          <cell r="A136" t="str">
            <v>515  Колбаса Сервелат Мясорубский Делюкс 0,3кг ТМ Стародворье  ПОКОМ</v>
          </cell>
          <cell r="D136" t="str">
            <v>00-ko010491</v>
          </cell>
          <cell r="F136">
            <v>47.7</v>
          </cell>
          <cell r="G136">
            <v>159</v>
          </cell>
          <cell r="H136">
            <v>3.9</v>
          </cell>
          <cell r="I136">
            <v>13</v>
          </cell>
          <cell r="J136">
            <v>10.5</v>
          </cell>
          <cell r="K136">
            <v>35</v>
          </cell>
          <cell r="L136">
            <v>0.47727272727272729</v>
          </cell>
          <cell r="M136">
            <v>1.5909090909090908</v>
          </cell>
          <cell r="N136">
            <v>0.22012578616352199</v>
          </cell>
        </row>
        <row r="137">
          <cell r="A137" t="str">
            <v>519  Грудинка 0,12 кг нарезка ТМ Стародворье  ПОКОМ</v>
          </cell>
          <cell r="D137" t="str">
            <v>00-ko010568</v>
          </cell>
          <cell r="F137">
            <v>18.36</v>
          </cell>
          <cell r="G137">
            <v>153</v>
          </cell>
          <cell r="H137">
            <v>0.96</v>
          </cell>
          <cell r="I137">
            <v>8</v>
          </cell>
          <cell r="J137">
            <v>4.5599999999999996</v>
          </cell>
          <cell r="K137">
            <v>38</v>
          </cell>
          <cell r="L137">
            <v>0.20727272727272725</v>
          </cell>
          <cell r="M137">
            <v>1.7272727272727273</v>
          </cell>
          <cell r="N137">
            <v>0.2483660130718954</v>
          </cell>
        </row>
        <row r="138">
          <cell r="A138" t="str">
            <v>5452 ВЕТЧ.МЯСНАЯ Папа может п/о    ОСТАНКИНО</v>
          </cell>
          <cell r="D138" t="str">
            <v>00-00005378</v>
          </cell>
          <cell r="F138">
            <v>369.55200000000002</v>
          </cell>
          <cell r="G138">
            <v>369.55200000000002</v>
          </cell>
          <cell r="H138">
            <v>8.0960000000000001</v>
          </cell>
          <cell r="I138">
            <v>8.0960000000000001</v>
          </cell>
          <cell r="J138">
            <v>277.32900000000001</v>
          </cell>
          <cell r="K138">
            <v>277.32900000000001</v>
          </cell>
          <cell r="L138">
            <v>12.605863636363637</v>
          </cell>
          <cell r="M138">
            <v>12.605863636363637</v>
          </cell>
          <cell r="N138">
            <v>0.75044648655669566</v>
          </cell>
        </row>
        <row r="139">
          <cell r="A139" t="str">
            <v>5483 ЭКСТРА Папа может с/к в/у 1/250 8шт.   ОСТАНКИНО</v>
          </cell>
          <cell r="D139" t="str">
            <v>00-00005436</v>
          </cell>
          <cell r="F139">
            <v>391</v>
          </cell>
          <cell r="G139">
            <v>1564</v>
          </cell>
          <cell r="H139">
            <v>1.75</v>
          </cell>
          <cell r="I139">
            <v>7</v>
          </cell>
          <cell r="J139">
            <v>193.25</v>
          </cell>
          <cell r="K139">
            <v>773</v>
          </cell>
          <cell r="L139">
            <v>8.7840909090909083</v>
          </cell>
          <cell r="M139">
            <v>35.136363636363633</v>
          </cell>
          <cell r="N139">
            <v>0.49424552429667518</v>
          </cell>
        </row>
        <row r="140">
          <cell r="A140" t="str">
            <v>5495 ВЕТЧ.С ИНДЕЙКОЙ Папа может п/о 400*6  Останкино</v>
          </cell>
          <cell r="D140" t="str">
            <v>00-ko009672</v>
          </cell>
          <cell r="F140">
            <v>275.60000000000002</v>
          </cell>
          <cell r="G140">
            <v>689</v>
          </cell>
          <cell r="H140">
            <v>2.8</v>
          </cell>
          <cell r="I140">
            <v>7</v>
          </cell>
          <cell r="J140">
            <v>130.80000000000001</v>
          </cell>
          <cell r="K140">
            <v>327</v>
          </cell>
          <cell r="L140">
            <v>5.9454545454545462</v>
          </cell>
          <cell r="M140">
            <v>14.863636363636363</v>
          </cell>
          <cell r="N140">
            <v>0.47460087082728591</v>
          </cell>
        </row>
        <row r="141">
          <cell r="A141" t="str">
            <v>5544 Сервелат Финский в/к в/у_45с НОВАЯ ОСТАНКИНО</v>
          </cell>
          <cell r="D141" t="str">
            <v>00-00005653</v>
          </cell>
          <cell r="F141">
            <v>833.52200000000005</v>
          </cell>
          <cell r="G141">
            <v>833.52200000000005</v>
          </cell>
          <cell r="H141">
            <v>17.684999999999999</v>
          </cell>
          <cell r="I141">
            <v>17.684999999999999</v>
          </cell>
          <cell r="J141">
            <v>385.97699999999998</v>
          </cell>
          <cell r="K141">
            <v>385.97699999999998</v>
          </cell>
          <cell r="L141">
            <v>17.544409090909088</v>
          </cell>
          <cell r="M141">
            <v>17.544409090909088</v>
          </cell>
          <cell r="N141">
            <v>0.46306756150407541</v>
          </cell>
        </row>
        <row r="142">
          <cell r="A142" t="str">
            <v>5579 БЛИНЧ.КРУГЛЫЕ С САД.ЯБЛОК.пл.1/420 зам. ОСТАНКИНО</v>
          </cell>
          <cell r="D142" t="str">
            <v>00-00005671</v>
          </cell>
          <cell r="F142">
            <v>-0.84</v>
          </cell>
          <cell r="G142">
            <v>-2</v>
          </cell>
          <cell r="H142">
            <v>0.84</v>
          </cell>
          <cell r="I142">
            <v>2</v>
          </cell>
          <cell r="J142">
            <v>-0.84</v>
          </cell>
          <cell r="K142">
            <v>-2</v>
          </cell>
          <cell r="L142">
            <v>-3.8181818181818178E-2</v>
          </cell>
          <cell r="M142">
            <v>-9.0909090909090912E-2</v>
          </cell>
          <cell r="N142">
            <v>1</v>
          </cell>
        </row>
        <row r="143">
          <cell r="A143" t="str">
            <v>5708 ПОСОЛЬСКАЯ Папа может с/к в/у ОСТАНКИНО</v>
          </cell>
          <cell r="D143" t="str">
            <v>00-00005867</v>
          </cell>
          <cell r="F143">
            <v>105.831</v>
          </cell>
          <cell r="G143">
            <v>105.831</v>
          </cell>
          <cell r="H143">
            <v>0.499</v>
          </cell>
          <cell r="I143">
            <v>0.499</v>
          </cell>
          <cell r="J143">
            <v>71.116</v>
          </cell>
          <cell r="K143">
            <v>71.116</v>
          </cell>
          <cell r="L143">
            <v>3.2325454545454546</v>
          </cell>
          <cell r="M143">
            <v>3.2325454545454546</v>
          </cell>
          <cell r="N143">
            <v>0.67197701996579451</v>
          </cell>
        </row>
        <row r="144">
          <cell r="A144" t="str">
            <v>5754 БЛИНЧ.КРУГЛЫЕ С МЯСОМ 4,5кг зам. ПМ ОСТАНКИНО</v>
          </cell>
          <cell r="D144" t="str">
            <v>00-ko011529</v>
          </cell>
          <cell r="F144">
            <v>22.923999999999999</v>
          </cell>
          <cell r="G144">
            <v>22.923999999999999</v>
          </cell>
          <cell r="J144">
            <v>4.5999999999999996</v>
          </cell>
          <cell r="K144">
            <v>4.5999999999999996</v>
          </cell>
          <cell r="L144">
            <v>0.20909090909090908</v>
          </cell>
          <cell r="M144">
            <v>0.20909090909090908</v>
          </cell>
          <cell r="N144">
            <v>0.2006630605478974</v>
          </cell>
        </row>
        <row r="145">
          <cell r="A145" t="str">
            <v>5755 БЛИНЧ.КРУГЛЫЕ С ТВОРОГОМ 4,5кг зам. ПМ ОСТАНКИНО</v>
          </cell>
          <cell r="D145" t="str">
            <v>00-ko011530</v>
          </cell>
          <cell r="F145">
            <v>23.91</v>
          </cell>
          <cell r="G145">
            <v>23.91</v>
          </cell>
          <cell r="J145">
            <v>4.5519999999999996</v>
          </cell>
          <cell r="K145">
            <v>4.5519999999999996</v>
          </cell>
          <cell r="L145">
            <v>0.2069090909090909</v>
          </cell>
          <cell r="M145">
            <v>0.2069090909090909</v>
          </cell>
          <cell r="N145">
            <v>0.19038059389376827</v>
          </cell>
        </row>
        <row r="146">
          <cell r="A146" t="str">
            <v>5819 Сосиски Папа может 400г Мясные  ОСТАНКИНО</v>
          </cell>
          <cell r="D146" t="str">
            <v>00-00009307</v>
          </cell>
          <cell r="F146">
            <v>12</v>
          </cell>
          <cell r="G146">
            <v>30</v>
          </cell>
          <cell r="H146">
            <v>2.4</v>
          </cell>
          <cell r="I146">
            <v>6</v>
          </cell>
          <cell r="J146">
            <v>12.4</v>
          </cell>
          <cell r="K146">
            <v>31</v>
          </cell>
          <cell r="L146">
            <v>0.5636363636363636</v>
          </cell>
          <cell r="M146">
            <v>1.4090909090909092</v>
          </cell>
          <cell r="N146">
            <v>1.0333333333333334</v>
          </cell>
        </row>
        <row r="147">
          <cell r="A147" t="str">
            <v>5851 ЭКСТРА Папа может вар п/о   ОСТАНКИНО</v>
          </cell>
          <cell r="D147" t="str">
            <v>00-00006074</v>
          </cell>
          <cell r="F147">
            <v>630.90099999999995</v>
          </cell>
          <cell r="G147">
            <v>630.90099999999995</v>
          </cell>
          <cell r="H147">
            <v>9.7439999999999998</v>
          </cell>
          <cell r="I147">
            <v>9.7439999999999998</v>
          </cell>
          <cell r="J147">
            <v>348.29399999999998</v>
          </cell>
          <cell r="K147">
            <v>348.29399999999998</v>
          </cell>
          <cell r="L147">
            <v>15.831545454545454</v>
          </cell>
          <cell r="M147">
            <v>15.831545454545454</v>
          </cell>
          <cell r="N147">
            <v>0.55205808835300629</v>
          </cell>
        </row>
        <row r="148">
          <cell r="A148" t="str">
            <v>5897 БЛИНЧ.КРУГЛЫЕ С ГРУШЕЙ пл.1/420 зам.   ОСТАНКИНО</v>
          </cell>
          <cell r="D148" t="str">
            <v>00-00006237</v>
          </cell>
          <cell r="F148">
            <v>1.68</v>
          </cell>
          <cell r="G148">
            <v>4</v>
          </cell>
          <cell r="H148">
            <v>1.26</v>
          </cell>
          <cell r="I148">
            <v>3</v>
          </cell>
          <cell r="J148">
            <v>1.26</v>
          </cell>
          <cell r="K148">
            <v>3</v>
          </cell>
          <cell r="L148">
            <v>5.7272727272727274E-2</v>
          </cell>
          <cell r="M148">
            <v>0.13636363636363635</v>
          </cell>
          <cell r="N148">
            <v>0.75</v>
          </cell>
        </row>
        <row r="149">
          <cell r="A149" t="str">
            <v>5931 ОХОТНИЧЬЯ Папа может с/к в/у 1/220 8шт.   ОСТАНКИНО</v>
          </cell>
          <cell r="D149" t="str">
            <v>00-00006294</v>
          </cell>
          <cell r="F149">
            <v>392.92</v>
          </cell>
          <cell r="G149">
            <v>1786</v>
          </cell>
          <cell r="H149">
            <v>0.88</v>
          </cell>
          <cell r="I149">
            <v>4</v>
          </cell>
          <cell r="J149">
            <v>207.46</v>
          </cell>
          <cell r="K149">
            <v>943</v>
          </cell>
          <cell r="L149">
            <v>9.43</v>
          </cell>
          <cell r="M149">
            <v>42.863636363636367</v>
          </cell>
          <cell r="N149">
            <v>0.52799552071668532</v>
          </cell>
        </row>
        <row r="150">
          <cell r="A150" t="str">
            <v>6008 САЛО СОЛЕНОЕ С ЧЕРНЫМ ПЕРЦЕМ мл/к в/у ОСТАНКИНО</v>
          </cell>
          <cell r="D150" t="str">
            <v>00-ko011702</v>
          </cell>
          <cell r="F150">
            <v>43.628</v>
          </cell>
          <cell r="G150">
            <v>43.628</v>
          </cell>
          <cell r="H150">
            <v>2.1520000000000001</v>
          </cell>
          <cell r="I150">
            <v>2.1520000000000001</v>
          </cell>
          <cell r="J150">
            <v>3.28</v>
          </cell>
          <cell r="K150">
            <v>3.28</v>
          </cell>
          <cell r="L150">
            <v>0.14909090909090908</v>
          </cell>
          <cell r="M150">
            <v>0.14909090909090908</v>
          </cell>
          <cell r="N150">
            <v>7.5181076372971486E-2</v>
          </cell>
        </row>
        <row r="151">
          <cell r="A151" t="str">
            <v>6025 ВЕТЧ.ФИРМЕННАЯ С ИНДЕЙКОЙ п/о   ОСТАНКИНО</v>
          </cell>
          <cell r="D151" t="str">
            <v>00-00006417</v>
          </cell>
          <cell r="F151">
            <v>12.07</v>
          </cell>
          <cell r="G151">
            <v>12.07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</row>
        <row r="152">
          <cell r="A152" t="str">
            <v>6148 БЛИНЧ.КРУГЛЫЕ С ВЕТЧ.И СЫР. ПМ 1/300 зам. ОСТАНКИНО</v>
          </cell>
          <cell r="D152" t="str">
            <v>00-ko011526</v>
          </cell>
          <cell r="F152">
            <v>77.7</v>
          </cell>
          <cell r="G152">
            <v>259</v>
          </cell>
          <cell r="H152">
            <v>1.2</v>
          </cell>
          <cell r="I152">
            <v>4</v>
          </cell>
          <cell r="J152">
            <v>12.6</v>
          </cell>
          <cell r="K152">
            <v>42</v>
          </cell>
          <cell r="L152">
            <v>0.57272727272727275</v>
          </cell>
          <cell r="M152">
            <v>1.9090909090909092</v>
          </cell>
          <cell r="N152">
            <v>0.16216216216216214</v>
          </cell>
        </row>
        <row r="153">
          <cell r="A153" t="str">
            <v>6149 БЛИНЧ.КРУГЛЫЕ С ПЕЧЕНЬЮ ПМ 1/300 зам. ОСТАНКИНО</v>
          </cell>
          <cell r="D153" t="str">
            <v>00-ko011527</v>
          </cell>
          <cell r="F153">
            <v>62.7</v>
          </cell>
          <cell r="G153">
            <v>209</v>
          </cell>
          <cell r="J153">
            <v>18.3</v>
          </cell>
          <cell r="K153">
            <v>61</v>
          </cell>
          <cell r="L153">
            <v>0.8318181818181819</v>
          </cell>
          <cell r="M153">
            <v>2.7727272727272729</v>
          </cell>
          <cell r="N153">
            <v>0.291866028708134</v>
          </cell>
        </row>
        <row r="154">
          <cell r="A154" t="str">
            <v>6168 Блинчики с мясом пл. 1/350 зам. ОСТАНКИНО</v>
          </cell>
          <cell r="D154" t="str">
            <v>00-ko011525</v>
          </cell>
          <cell r="F154">
            <v>131.6</v>
          </cell>
          <cell r="G154">
            <v>376</v>
          </cell>
          <cell r="H154">
            <v>0.7</v>
          </cell>
          <cell r="I154">
            <v>2</v>
          </cell>
          <cell r="J154">
            <v>25.55</v>
          </cell>
          <cell r="K154">
            <v>73</v>
          </cell>
          <cell r="L154">
            <v>1.1613636363636364</v>
          </cell>
          <cell r="M154">
            <v>3.3181818181818183</v>
          </cell>
          <cell r="N154">
            <v>0.19414893617021278</v>
          </cell>
        </row>
        <row r="155">
          <cell r="A155" t="str">
            <v>6202 БЛИНЧ.КРУГЛЫЕ С ТВОРОГОМ ПМ 1/300 зам. ОСТАНКИНО</v>
          </cell>
          <cell r="D155" t="str">
            <v>00-ko011528</v>
          </cell>
          <cell r="F155">
            <v>48.3</v>
          </cell>
          <cell r="G155">
            <v>161</v>
          </cell>
          <cell r="J155">
            <v>11.4</v>
          </cell>
          <cell r="K155">
            <v>38</v>
          </cell>
          <cell r="L155">
            <v>0.51818181818181819</v>
          </cell>
          <cell r="M155">
            <v>1.7272727272727273</v>
          </cell>
          <cell r="N155">
            <v>0.23602484472049692</v>
          </cell>
        </row>
        <row r="156">
          <cell r="A156" t="str">
            <v>6208 ДЫМОВИЦА ИЗ ЛОПАТКИ ПМ к/в с/н в/у 1/150  Останкино</v>
          </cell>
          <cell r="D156" t="str">
            <v>00-ko010377</v>
          </cell>
          <cell r="F156">
            <v>1.5</v>
          </cell>
          <cell r="G156">
            <v>10</v>
          </cell>
          <cell r="J156">
            <v>1.5</v>
          </cell>
          <cell r="K156">
            <v>10</v>
          </cell>
          <cell r="L156">
            <v>6.8181818181818177E-2</v>
          </cell>
          <cell r="M156">
            <v>0.45454545454545453</v>
          </cell>
          <cell r="N156">
            <v>1</v>
          </cell>
        </row>
        <row r="157">
          <cell r="A157" t="str">
            <v>6209 Блинчики с куриным мясом пл. 1/350 зам. ОСТАНКИНО</v>
          </cell>
          <cell r="D157" t="str">
            <v>00-ko011524</v>
          </cell>
          <cell r="F157">
            <v>136.5</v>
          </cell>
          <cell r="G157">
            <v>390</v>
          </cell>
          <cell r="H157">
            <v>0.7</v>
          </cell>
          <cell r="I157">
            <v>2</v>
          </cell>
          <cell r="J157">
            <v>35</v>
          </cell>
          <cell r="K157">
            <v>100</v>
          </cell>
          <cell r="L157">
            <v>1.5909090909090908</v>
          </cell>
          <cell r="M157">
            <v>4.5454545454545459</v>
          </cell>
          <cell r="N157">
            <v>0.25641025641025639</v>
          </cell>
        </row>
        <row r="158">
          <cell r="A158" t="str">
            <v>6220 ГОВЯЖЬЯ папа может вар п/о  Останкино</v>
          </cell>
          <cell r="D158" t="str">
            <v>00-ko009211</v>
          </cell>
          <cell r="F158">
            <v>206.36500000000001</v>
          </cell>
          <cell r="G158">
            <v>206.36500000000001</v>
          </cell>
          <cell r="H158">
            <v>6.7949999999999999</v>
          </cell>
          <cell r="I158">
            <v>6.7949999999999999</v>
          </cell>
          <cell r="J158">
            <v>126.17700000000001</v>
          </cell>
          <cell r="K158">
            <v>126.17700000000001</v>
          </cell>
          <cell r="L158">
            <v>5.7353181818181822</v>
          </cell>
          <cell r="M158">
            <v>5.7353181818181822</v>
          </cell>
          <cell r="N158">
            <v>0.61142635621350516</v>
          </cell>
        </row>
        <row r="159">
          <cell r="A159" t="str">
            <v>6221 НЕОПОЛИТАНСКИЙ ДУЭТ с/к с/н мгс 1/90  Останкино</v>
          </cell>
          <cell r="D159" t="str">
            <v>00-ko010380</v>
          </cell>
          <cell r="F159">
            <v>72.81</v>
          </cell>
          <cell r="G159">
            <v>809</v>
          </cell>
          <cell r="H159">
            <v>0.54</v>
          </cell>
          <cell r="I159">
            <v>6</v>
          </cell>
          <cell r="J159">
            <v>31.5</v>
          </cell>
          <cell r="K159">
            <v>350</v>
          </cell>
          <cell r="L159">
            <v>1.4318181818181819</v>
          </cell>
          <cell r="M159">
            <v>15.909090909090908</v>
          </cell>
          <cell r="N159">
            <v>0.43263288009888751</v>
          </cell>
        </row>
        <row r="160">
          <cell r="A160" t="str">
            <v>6222 ИТАЛЬЯНСКОЕ АССОРТИ с/в с/н мгс 1/90 ОСТАНКИНО</v>
          </cell>
          <cell r="D160" t="str">
            <v>00-ko010780</v>
          </cell>
          <cell r="F160">
            <v>0.18</v>
          </cell>
          <cell r="G160">
            <v>2</v>
          </cell>
          <cell r="J160">
            <v>0.18</v>
          </cell>
          <cell r="K160">
            <v>2</v>
          </cell>
          <cell r="L160">
            <v>8.1818181818181807E-3</v>
          </cell>
          <cell r="M160">
            <v>9.0909090909090912E-2</v>
          </cell>
          <cell r="N160">
            <v>1</v>
          </cell>
        </row>
        <row r="161">
          <cell r="A161" t="str">
            <v>6228 МЯСНОЕ АССОРТИ к/з с/н мгс 1/90 10шт  Останкино</v>
          </cell>
          <cell r="D161" t="str">
            <v>00-ko009215</v>
          </cell>
          <cell r="F161">
            <v>13.05</v>
          </cell>
          <cell r="G161">
            <v>145</v>
          </cell>
          <cell r="H161">
            <v>1.44</v>
          </cell>
          <cell r="I161">
            <v>16</v>
          </cell>
          <cell r="J161">
            <v>7.2</v>
          </cell>
          <cell r="K161">
            <v>80</v>
          </cell>
          <cell r="L161">
            <v>0.32727272727272727</v>
          </cell>
          <cell r="M161">
            <v>3.6363636363636362</v>
          </cell>
          <cell r="N161">
            <v>0.55172413793103448</v>
          </cell>
        </row>
        <row r="162">
          <cell r="A162" t="str">
            <v>6279 КОРЕЙКА ПО-ОСТ.к/в в/с с/н в/у 1/150_45с  Останкино</v>
          </cell>
          <cell r="D162" t="str">
            <v>00-ko010967</v>
          </cell>
          <cell r="F162">
            <v>4.6500000000000004</v>
          </cell>
          <cell r="G162">
            <v>31</v>
          </cell>
          <cell r="J162">
            <v>4.3499999999999996</v>
          </cell>
          <cell r="K162">
            <v>29</v>
          </cell>
          <cell r="L162">
            <v>0.19772727272727272</v>
          </cell>
          <cell r="M162">
            <v>1.3181818181818181</v>
          </cell>
          <cell r="N162">
            <v>0.93548387096774177</v>
          </cell>
        </row>
        <row r="163">
          <cell r="A163" t="str">
            <v>6303 Мясные Папа может сос п/о мгс 1,5*3  Останкино</v>
          </cell>
          <cell r="D163" t="str">
            <v>00-00009145</v>
          </cell>
          <cell r="F163">
            <v>1968.2950000000001</v>
          </cell>
          <cell r="G163">
            <v>1968.2950000000001</v>
          </cell>
          <cell r="H163">
            <v>2.5</v>
          </cell>
          <cell r="I163">
            <v>2.5</v>
          </cell>
          <cell r="J163">
            <v>386.96300000000002</v>
          </cell>
          <cell r="K163">
            <v>386.96300000000002</v>
          </cell>
          <cell r="L163">
            <v>17.589227272727275</v>
          </cell>
          <cell r="M163">
            <v>17.589227272727275</v>
          </cell>
          <cell r="N163">
            <v>0.19659807091924739</v>
          </cell>
        </row>
        <row r="164">
          <cell r="A164" t="str">
            <v>6325 ДОКТОРСКАЯ ПРЕМИУМ вар п/о 0.4кг 8шт.  ОСТАНКИНО</v>
          </cell>
          <cell r="D164" t="str">
            <v>00-00007305</v>
          </cell>
          <cell r="F164">
            <v>209.6</v>
          </cell>
          <cell r="G164">
            <v>524</v>
          </cell>
          <cell r="J164">
            <v>118.4</v>
          </cell>
          <cell r="K164">
            <v>296</v>
          </cell>
          <cell r="L164">
            <v>5.3818181818181818</v>
          </cell>
          <cell r="M164">
            <v>13.454545454545455</v>
          </cell>
          <cell r="N164">
            <v>0.56488549618320616</v>
          </cell>
        </row>
        <row r="165">
          <cell r="A165" t="str">
            <v>6333 МЯСНАЯ Папа может вар п/о 0.4кг 8шт.  ОСТАНКИНО</v>
          </cell>
          <cell r="D165" t="str">
            <v>00-00007020</v>
          </cell>
          <cell r="F165">
            <v>953.6</v>
          </cell>
          <cell r="G165">
            <v>2384</v>
          </cell>
          <cell r="H165">
            <v>9.6</v>
          </cell>
          <cell r="I165">
            <v>24</v>
          </cell>
          <cell r="J165">
            <v>540.79999999999995</v>
          </cell>
          <cell r="K165">
            <v>1352</v>
          </cell>
          <cell r="L165">
            <v>24.581818181818178</v>
          </cell>
          <cell r="M165">
            <v>61.454545454545453</v>
          </cell>
          <cell r="N165">
            <v>0.56711409395973145</v>
          </cell>
        </row>
        <row r="166">
          <cell r="A166" t="str">
            <v>6353 ЭКСТРА Папа может вар п/о 0.4кг 8шт.  ОСТАНКИНО</v>
          </cell>
          <cell r="D166" t="str">
            <v>00-00007022</v>
          </cell>
          <cell r="F166">
            <v>-3.6</v>
          </cell>
          <cell r="G166">
            <v>-9</v>
          </cell>
          <cell r="H166">
            <v>3.6</v>
          </cell>
          <cell r="I166">
            <v>9</v>
          </cell>
          <cell r="J166">
            <v>-0.8</v>
          </cell>
          <cell r="K166">
            <v>-2</v>
          </cell>
          <cell r="L166">
            <v>-3.6363636363636369E-2</v>
          </cell>
          <cell r="M166">
            <v>-9.0909090909090912E-2</v>
          </cell>
          <cell r="N166">
            <v>0.22222222222222224</v>
          </cell>
        </row>
        <row r="167">
          <cell r="A167" t="str">
            <v>6392 ФИЛЕЙНАЯ Папа может вар п/о 0,4кг  ОСТАНКИНО</v>
          </cell>
          <cell r="D167" t="str">
            <v>00-00008829</v>
          </cell>
          <cell r="F167">
            <v>759.6</v>
          </cell>
          <cell r="G167">
            <v>1899</v>
          </cell>
          <cell r="H167">
            <v>9.6</v>
          </cell>
          <cell r="I167">
            <v>24</v>
          </cell>
          <cell r="J167">
            <v>466</v>
          </cell>
          <cell r="K167">
            <v>1165</v>
          </cell>
          <cell r="L167">
            <v>21.181818181818183</v>
          </cell>
          <cell r="M167">
            <v>52.954545454545453</v>
          </cell>
          <cell r="N167">
            <v>0.61348077935755663</v>
          </cell>
        </row>
        <row r="168">
          <cell r="A168" t="str">
            <v>6411 ВЕТЧ.РУБЛЕНАЯ ПМ в/у срез 0.3кг 6шт.  ОСТАНКИНО</v>
          </cell>
          <cell r="D168" t="str">
            <v>00-ko011752</v>
          </cell>
          <cell r="F168">
            <v>33.6</v>
          </cell>
          <cell r="G168">
            <v>112</v>
          </cell>
          <cell r="H168">
            <v>0.6</v>
          </cell>
          <cell r="I168">
            <v>2</v>
          </cell>
          <cell r="J168">
            <v>7.8</v>
          </cell>
          <cell r="K168">
            <v>26</v>
          </cell>
          <cell r="L168">
            <v>0.35454545454545455</v>
          </cell>
          <cell r="M168">
            <v>1.1818181818181819</v>
          </cell>
          <cell r="N168">
            <v>0.23214285714285712</v>
          </cell>
        </row>
        <row r="169">
          <cell r="A169" t="str">
            <v>6459 СЕРВЕЛАТ ШВЕЙЦАРСК. в/к с/н в/у 1/100*10  Останкино</v>
          </cell>
          <cell r="D169" t="str">
            <v>00-ko010965</v>
          </cell>
          <cell r="F169">
            <v>-0.3</v>
          </cell>
          <cell r="G169">
            <v>-3</v>
          </cell>
          <cell r="H169">
            <v>0.3</v>
          </cell>
          <cell r="I169">
            <v>3</v>
          </cell>
          <cell r="J169">
            <v>-0.3</v>
          </cell>
          <cell r="K169">
            <v>-3</v>
          </cell>
          <cell r="L169">
            <v>-1.3636363636363636E-2</v>
          </cell>
          <cell r="M169">
            <v>-0.13636363636363635</v>
          </cell>
          <cell r="N169">
            <v>1</v>
          </cell>
        </row>
        <row r="170">
          <cell r="A170" t="str">
            <v>6470 ВЕТЧ.МРАМОРНАЯ в/у_45с  ОСТАНКИНО</v>
          </cell>
          <cell r="D170" t="str">
            <v>00-ko010639</v>
          </cell>
          <cell r="F170">
            <v>141.21600000000001</v>
          </cell>
          <cell r="G170">
            <v>141.21600000000001</v>
          </cell>
          <cell r="J170">
            <v>141.21600000000001</v>
          </cell>
          <cell r="K170">
            <v>141.21600000000001</v>
          </cell>
          <cell r="L170">
            <v>6.4189090909090911</v>
          </cell>
          <cell r="M170">
            <v>6.4189090909090911</v>
          </cell>
          <cell r="N170">
            <v>1</v>
          </cell>
        </row>
        <row r="171">
          <cell r="A171" t="str">
            <v>6475 Сосиски Папа может 400г С сыром  ОСТАНКИНО</v>
          </cell>
          <cell r="D171" t="str">
            <v>00-00009308</v>
          </cell>
          <cell r="F171">
            <v>42</v>
          </cell>
          <cell r="G171">
            <v>105</v>
          </cell>
          <cell r="H171">
            <v>6</v>
          </cell>
          <cell r="I171">
            <v>15</v>
          </cell>
          <cell r="J171">
            <v>46</v>
          </cell>
          <cell r="K171">
            <v>115</v>
          </cell>
          <cell r="L171">
            <v>2.0909090909090908</v>
          </cell>
          <cell r="M171">
            <v>5.2272727272727275</v>
          </cell>
          <cell r="N171">
            <v>1.0952380952380953</v>
          </cell>
        </row>
        <row r="172">
          <cell r="A172" t="str">
            <v>6495 ВЕТЧ.МРАМОРНАЯ в/у срез 0,3кг 6шт_45с  Останкино</v>
          </cell>
          <cell r="D172" t="str">
            <v>00-ko009959</v>
          </cell>
          <cell r="F172">
            <v>126.9</v>
          </cell>
          <cell r="G172">
            <v>423</v>
          </cell>
          <cell r="H172">
            <v>18</v>
          </cell>
          <cell r="I172">
            <v>60</v>
          </cell>
          <cell r="J172">
            <v>63.3</v>
          </cell>
          <cell r="K172">
            <v>211</v>
          </cell>
          <cell r="L172">
            <v>2.877272727272727</v>
          </cell>
          <cell r="M172">
            <v>9.5909090909090917</v>
          </cell>
          <cell r="N172">
            <v>0.49881796690307323</v>
          </cell>
        </row>
        <row r="173">
          <cell r="A173" t="str">
            <v>6498 МОЛОЧНАЯ Папа может вар п/о  ОСТАНКИНО</v>
          </cell>
          <cell r="D173" t="str">
            <v>00-00008386</v>
          </cell>
          <cell r="F173">
            <v>818.81899999999996</v>
          </cell>
          <cell r="G173">
            <v>818.81899999999996</v>
          </cell>
          <cell r="H173">
            <v>2.2360000000000002</v>
          </cell>
          <cell r="I173">
            <v>2.2360000000000002</v>
          </cell>
          <cell r="J173">
            <v>623.87199999999996</v>
          </cell>
          <cell r="K173">
            <v>623.87199999999996</v>
          </cell>
          <cell r="L173">
            <v>28.357818181818178</v>
          </cell>
          <cell r="M173">
            <v>28.357818181818178</v>
          </cell>
          <cell r="N173">
            <v>0.76191685830446043</v>
          </cell>
        </row>
        <row r="174">
          <cell r="A174" t="str">
            <v>6527 ШПИКАЧКИ СОЧНЫЕ ПМ сар б/о мгс 1*3 45с ОСТАНКИНО</v>
          </cell>
          <cell r="D174" t="str">
            <v>00-00008387</v>
          </cell>
          <cell r="F174">
            <v>282.22500000000002</v>
          </cell>
          <cell r="G174">
            <v>282.22500000000002</v>
          </cell>
          <cell r="H174">
            <v>10.129</v>
          </cell>
          <cell r="I174">
            <v>10.129</v>
          </cell>
          <cell r="J174">
            <v>32.082999999999998</v>
          </cell>
          <cell r="K174">
            <v>32.082999999999998</v>
          </cell>
          <cell r="L174">
            <v>1.4583181818181818</v>
          </cell>
          <cell r="M174">
            <v>1.4583181818181818</v>
          </cell>
          <cell r="N174">
            <v>0.11367880237399236</v>
          </cell>
        </row>
        <row r="175">
          <cell r="A175" t="str">
            <v>6550 МЯСНЫЕ Папа может сар б/о мгс 1*3 О 45с  Останкино</v>
          </cell>
          <cell r="D175" t="str">
            <v>00-ko009350</v>
          </cell>
          <cell r="F175">
            <v>407.47500000000002</v>
          </cell>
          <cell r="G175">
            <v>407.47500000000002</v>
          </cell>
          <cell r="H175">
            <v>14.218</v>
          </cell>
          <cell r="I175">
            <v>14.218</v>
          </cell>
          <cell r="J175">
            <v>162.488</v>
          </cell>
          <cell r="K175">
            <v>162.488</v>
          </cell>
          <cell r="L175">
            <v>7.3858181818181814</v>
          </cell>
          <cell r="M175">
            <v>7.3858181818181814</v>
          </cell>
          <cell r="N175">
            <v>0.39876802257807226</v>
          </cell>
        </row>
        <row r="176">
          <cell r="A176" t="str">
            <v>6608 С ГОВЯДИНОЙ ОРИГИН. сар б/о мгс 1*3_45с  ОСТАНКИНО</v>
          </cell>
          <cell r="D176" t="str">
            <v>00-00008873</v>
          </cell>
          <cell r="F176">
            <v>205.89500000000001</v>
          </cell>
          <cell r="G176">
            <v>205.89500000000001</v>
          </cell>
          <cell r="H176">
            <v>16.920000000000002</v>
          </cell>
          <cell r="I176">
            <v>16.920000000000002</v>
          </cell>
          <cell r="J176">
            <v>30.308</v>
          </cell>
          <cell r="K176">
            <v>30.308</v>
          </cell>
          <cell r="L176">
            <v>1.3776363636363635</v>
          </cell>
          <cell r="M176">
            <v>1.3776363636363635</v>
          </cell>
          <cell r="N176">
            <v>0.14720124335219406</v>
          </cell>
        </row>
        <row r="177">
          <cell r="A177" t="str">
            <v>6616 МОЛОЧНЫЕ КЛАССИЧЕСКИЕ сос п/о в/у 0,3 кг  Останкино</v>
          </cell>
          <cell r="D177" t="str">
            <v>00-ko010530</v>
          </cell>
          <cell r="F177">
            <v>356.4</v>
          </cell>
          <cell r="G177">
            <v>1188</v>
          </cell>
          <cell r="H177">
            <v>5.0999999999999996</v>
          </cell>
          <cell r="I177">
            <v>17</v>
          </cell>
          <cell r="J177">
            <v>103.5</v>
          </cell>
          <cell r="K177">
            <v>345</v>
          </cell>
          <cell r="L177">
            <v>4.7045454545454541</v>
          </cell>
          <cell r="M177">
            <v>15.681818181818182</v>
          </cell>
          <cell r="N177">
            <v>0.29040404040404044</v>
          </cell>
        </row>
        <row r="178">
          <cell r="A178" t="str">
            <v>6620 РЕБРЫШКИ к/в в/у_30с  Останкино</v>
          </cell>
          <cell r="D178" t="str">
            <v>00-ko010603</v>
          </cell>
          <cell r="F178">
            <v>103.95399999999999</v>
          </cell>
          <cell r="G178">
            <v>103.95399999999999</v>
          </cell>
          <cell r="H178">
            <v>1.0860000000000001</v>
          </cell>
          <cell r="I178">
            <v>1.0860000000000001</v>
          </cell>
          <cell r="J178">
            <v>0</v>
          </cell>
          <cell r="K178">
            <v>0</v>
          </cell>
          <cell r="L178">
            <v>0</v>
          </cell>
          <cell r="M178">
            <v>0</v>
          </cell>
          <cell r="N178">
            <v>0</v>
          </cell>
        </row>
        <row r="179">
          <cell r="A179" t="str">
            <v>6661 СОЧНЫЙ ГРИЛЬ ПМ сос п/о мгс 1,5*4_Маяк Останкино</v>
          </cell>
          <cell r="D179" t="str">
            <v>00-00009144</v>
          </cell>
          <cell r="F179">
            <v>354.72800000000001</v>
          </cell>
          <cell r="G179">
            <v>354.72800000000001</v>
          </cell>
          <cell r="H179">
            <v>2.948</v>
          </cell>
          <cell r="I179">
            <v>2.948</v>
          </cell>
          <cell r="J179">
            <v>142.422</v>
          </cell>
          <cell r="K179">
            <v>142.422</v>
          </cell>
          <cell r="L179">
            <v>6.473727272727273</v>
          </cell>
          <cell r="M179">
            <v>6.473727272727273</v>
          </cell>
          <cell r="N179">
            <v>0.40149635777271597</v>
          </cell>
        </row>
        <row r="180">
          <cell r="A180" t="str">
            <v>6697 СЕРВЕЛАТ ФИНСКИЙ ПМ в/к в/у 0,35кг 8шт  ОСТАНКИНО</v>
          </cell>
          <cell r="D180" t="str">
            <v>00-00008789</v>
          </cell>
          <cell r="F180">
            <v>1049.3</v>
          </cell>
          <cell r="G180">
            <v>2998</v>
          </cell>
          <cell r="H180">
            <v>16.8</v>
          </cell>
          <cell r="I180">
            <v>48</v>
          </cell>
          <cell r="J180">
            <v>625.79999999999995</v>
          </cell>
          <cell r="K180">
            <v>1788</v>
          </cell>
          <cell r="L180">
            <v>28.445454545454542</v>
          </cell>
          <cell r="M180">
            <v>81.272727272727266</v>
          </cell>
          <cell r="N180">
            <v>0.59639759839893258</v>
          </cell>
        </row>
        <row r="181">
          <cell r="A181" t="str">
            <v>6713 СОЧНЫЙ ГРИЛЬ ПМ сос п/о мгс 0,41кг 8 шт.  ОСТАНКИНО</v>
          </cell>
          <cell r="D181" t="str">
            <v>00-00009132</v>
          </cell>
          <cell r="F181">
            <v>185.73</v>
          </cell>
          <cell r="G181">
            <v>453</v>
          </cell>
          <cell r="H181">
            <v>31.98</v>
          </cell>
          <cell r="I181">
            <v>78</v>
          </cell>
          <cell r="J181">
            <v>112.75</v>
          </cell>
          <cell r="K181">
            <v>275</v>
          </cell>
          <cell r="L181">
            <v>5.125</v>
          </cell>
          <cell r="M181">
            <v>12.5</v>
          </cell>
          <cell r="N181">
            <v>0.60706401766004414</v>
          </cell>
        </row>
        <row r="182">
          <cell r="A182" t="str">
            <v>6724 МОЛОЧНЫЕ ПМ сос п/о мгс 0,41кг 10шт  Останкино</v>
          </cell>
          <cell r="D182" t="str">
            <v>00-ko010964</v>
          </cell>
          <cell r="F182">
            <v>440.34</v>
          </cell>
          <cell r="G182">
            <v>1074</v>
          </cell>
          <cell r="H182">
            <v>3.69</v>
          </cell>
          <cell r="I182">
            <v>9</v>
          </cell>
          <cell r="J182">
            <v>184.91</v>
          </cell>
          <cell r="K182">
            <v>451</v>
          </cell>
          <cell r="L182">
            <v>8.4049999999999994</v>
          </cell>
          <cell r="M182">
            <v>20.5</v>
          </cell>
          <cell r="N182">
            <v>0.41992551210428308</v>
          </cell>
        </row>
        <row r="183">
          <cell r="A183" t="str">
            <v>6765 РУБЛЕНЫЕ сос ц/о мгс 0,36кг 6шт  Останкино</v>
          </cell>
          <cell r="D183" t="str">
            <v>00-ko009677</v>
          </cell>
          <cell r="F183">
            <v>43.92</v>
          </cell>
          <cell r="G183">
            <v>122</v>
          </cell>
          <cell r="J183">
            <v>3.6</v>
          </cell>
          <cell r="K183">
            <v>10</v>
          </cell>
          <cell r="L183">
            <v>0.16363636363636364</v>
          </cell>
          <cell r="M183">
            <v>0.45454545454545453</v>
          </cell>
          <cell r="N183">
            <v>8.1967213114754092E-2</v>
          </cell>
        </row>
        <row r="184">
          <cell r="A184" t="str">
            <v>6787 СЕРВЕЛАТ КРЕМЛЕВСКИЙ в/к в/у 0,33кг 8шт  Останкино</v>
          </cell>
          <cell r="D184" t="str">
            <v>00-ko009922</v>
          </cell>
          <cell r="F184">
            <v>97.35</v>
          </cell>
          <cell r="G184">
            <v>295</v>
          </cell>
          <cell r="H184">
            <v>1.98</v>
          </cell>
          <cell r="I184">
            <v>6</v>
          </cell>
          <cell r="J184">
            <v>37.619999999999997</v>
          </cell>
          <cell r="K184">
            <v>114</v>
          </cell>
          <cell r="L184">
            <v>1.71</v>
          </cell>
          <cell r="M184">
            <v>5.1818181818181817</v>
          </cell>
          <cell r="N184">
            <v>0.38644067796610171</v>
          </cell>
        </row>
        <row r="185">
          <cell r="A185" t="str">
            <v>6793 БАЛЫКОВАЯ в/к в/у 0,33кг 8шт  Останкино</v>
          </cell>
          <cell r="D185" t="str">
            <v>00-ko009562</v>
          </cell>
          <cell r="F185">
            <v>-5.61</v>
          </cell>
          <cell r="G185">
            <v>-17</v>
          </cell>
          <cell r="H185">
            <v>5.61</v>
          </cell>
          <cell r="I185">
            <v>17</v>
          </cell>
          <cell r="J185">
            <v>0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</row>
        <row r="186">
          <cell r="A186" t="str">
            <v>6797 С ИНДЕЙКОЙ Папа может вар п/о 0,4кг 8шт. ОСТАНКИНО</v>
          </cell>
          <cell r="D186" t="str">
            <v>00-ko011300</v>
          </cell>
          <cell r="F186">
            <v>296.8</v>
          </cell>
          <cell r="G186">
            <v>742</v>
          </cell>
          <cell r="H186">
            <v>2.4</v>
          </cell>
          <cell r="I186">
            <v>6</v>
          </cell>
          <cell r="J186">
            <v>149.19999999999999</v>
          </cell>
          <cell r="K186">
            <v>373</v>
          </cell>
          <cell r="L186">
            <v>6.7818181818181813</v>
          </cell>
          <cell r="M186">
            <v>16.954545454545453</v>
          </cell>
          <cell r="N186">
            <v>0.50269541778975735</v>
          </cell>
        </row>
        <row r="187">
          <cell r="A187" t="str">
            <v>6807 СЕРВЕЛАТ ЕВРОПЕЙСКИЙ в/к в/у 0,33кг 8шт  Останкино</v>
          </cell>
          <cell r="D187" t="str">
            <v>00-ko009568</v>
          </cell>
          <cell r="F187">
            <v>8.91</v>
          </cell>
          <cell r="G187">
            <v>27</v>
          </cell>
          <cell r="H187">
            <v>0.66</v>
          </cell>
          <cell r="I187">
            <v>2</v>
          </cell>
          <cell r="J187">
            <v>0.33</v>
          </cell>
          <cell r="K187">
            <v>1</v>
          </cell>
          <cell r="L187">
            <v>1.5000000000000001E-2</v>
          </cell>
          <cell r="M187">
            <v>4.5454545454545456E-2</v>
          </cell>
          <cell r="N187">
            <v>3.7037037037037035E-2</v>
          </cell>
        </row>
        <row r="188">
          <cell r="A188" t="str">
            <v>6819 БЛИНЧ.КРУГЛЫЕ С САД.ЯБЛОК. пл. 1/300 зам. ОСТАНКИНО</v>
          </cell>
          <cell r="D188" t="str">
            <v>00-ko011532</v>
          </cell>
          <cell r="F188">
            <v>0.3</v>
          </cell>
          <cell r="G188">
            <v>1</v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  <cell r="N188">
            <v>0</v>
          </cell>
        </row>
        <row r="189">
          <cell r="A189" t="str">
            <v>6829  МОЛОЧНЫЕ КЛАССИЧЕСКИЕ сос п/о мгс 2*4 С  Останккино</v>
          </cell>
          <cell r="D189" t="str">
            <v>00-ko009595</v>
          </cell>
          <cell r="F189">
            <v>1228.729</v>
          </cell>
          <cell r="G189">
            <v>1228.729</v>
          </cell>
          <cell r="H189">
            <v>12.765000000000001</v>
          </cell>
          <cell r="I189">
            <v>12.765000000000001</v>
          </cell>
          <cell r="J189">
            <v>155.59700000000001</v>
          </cell>
          <cell r="K189">
            <v>155.59700000000001</v>
          </cell>
          <cell r="L189">
            <v>7.0725909090909092</v>
          </cell>
          <cell r="M189">
            <v>7.0725909090909092</v>
          </cell>
          <cell r="N189">
            <v>0.12663247957849127</v>
          </cell>
        </row>
        <row r="190">
          <cell r="A190" t="str">
            <v>6834 ПОСОЛЬСКАЯ с/к с/н в/у 1/100 10шт  Останкино</v>
          </cell>
          <cell r="D190" t="str">
            <v>00-ko009682</v>
          </cell>
          <cell r="F190">
            <v>-0.2</v>
          </cell>
          <cell r="G190">
            <v>-2</v>
          </cell>
          <cell r="H190">
            <v>0.2</v>
          </cell>
          <cell r="I190">
            <v>2</v>
          </cell>
          <cell r="J190">
            <v>-0.2</v>
          </cell>
          <cell r="K190">
            <v>-2</v>
          </cell>
          <cell r="L190">
            <v>-9.0909090909090922E-3</v>
          </cell>
          <cell r="M190">
            <v>-9.0909090909090912E-2</v>
          </cell>
          <cell r="N190">
            <v>1</v>
          </cell>
        </row>
        <row r="191">
          <cell r="A191" t="str">
            <v>6837 ФИЛЕЙНЫЕ Папа Может сос ц/о мгс 0,4кг  Останкино</v>
          </cell>
          <cell r="D191" t="str">
            <v>00-ko010963</v>
          </cell>
          <cell r="F191">
            <v>55.6</v>
          </cell>
          <cell r="G191">
            <v>139</v>
          </cell>
          <cell r="H191">
            <v>6.8</v>
          </cell>
          <cell r="I191">
            <v>17</v>
          </cell>
          <cell r="J191">
            <v>57.2</v>
          </cell>
          <cell r="K191">
            <v>143</v>
          </cell>
          <cell r="L191">
            <v>2.6</v>
          </cell>
          <cell r="M191">
            <v>6.5</v>
          </cell>
          <cell r="N191">
            <v>1.0287769784172662</v>
          </cell>
        </row>
        <row r="192">
          <cell r="A192" t="str">
            <v>6866 ВЕТЧ.НЕЖНАЯ Коровино п/о_Маяк  Останкино</v>
          </cell>
          <cell r="D192" t="str">
            <v>00-ko009992</v>
          </cell>
          <cell r="F192">
            <v>225.91399999999999</v>
          </cell>
          <cell r="G192">
            <v>225.91399999999999</v>
          </cell>
          <cell r="H192">
            <v>0.08</v>
          </cell>
          <cell r="I192">
            <v>0.08</v>
          </cell>
          <cell r="J192">
            <v>81.828999999999994</v>
          </cell>
          <cell r="K192">
            <v>81.828999999999994</v>
          </cell>
          <cell r="L192">
            <v>3.7194999999999996</v>
          </cell>
          <cell r="M192">
            <v>3.7194999999999996</v>
          </cell>
          <cell r="N192">
            <v>0.36221305452517327</v>
          </cell>
        </row>
        <row r="193">
          <cell r="A193" t="str">
            <v>6925 ВЕТЧ.КЛАССИЧЕСКАЯ в/у 0,6кг 8шт. ОСТАНКИНО</v>
          </cell>
          <cell r="D193" t="str">
            <v>00-ko011662</v>
          </cell>
          <cell r="F193">
            <v>102</v>
          </cell>
          <cell r="G193">
            <v>170</v>
          </cell>
          <cell r="H193">
            <v>8.4</v>
          </cell>
          <cell r="I193">
            <v>14</v>
          </cell>
          <cell r="J193">
            <v>40.799999999999997</v>
          </cell>
          <cell r="K193">
            <v>68</v>
          </cell>
          <cell r="L193">
            <v>1.8545454545454545</v>
          </cell>
          <cell r="M193">
            <v>3.0909090909090908</v>
          </cell>
          <cell r="N193">
            <v>0.39999999999999997</v>
          </cell>
        </row>
        <row r="194">
          <cell r="A194" t="str">
            <v>6929 КАРБОНАД ДОМАШНИЙ ПМ к/в кр/к в/у  ОСТАНКИНО</v>
          </cell>
          <cell r="D194" t="str">
            <v>00-ko011780</v>
          </cell>
          <cell r="F194">
            <v>1.716</v>
          </cell>
          <cell r="G194">
            <v>1.716</v>
          </cell>
          <cell r="J194">
            <v>0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</row>
        <row r="195">
          <cell r="A195" t="str">
            <v>6937 САЛЯМИ Папа может с/к в/у 1/250 8шт  Останкино</v>
          </cell>
          <cell r="D195" t="str">
            <v>00-ko010384</v>
          </cell>
          <cell r="F195">
            <v>4.25</v>
          </cell>
          <cell r="G195">
            <v>17</v>
          </cell>
          <cell r="J195">
            <v>4.25</v>
          </cell>
          <cell r="K195">
            <v>17</v>
          </cell>
          <cell r="L195">
            <v>0.19318181818181818</v>
          </cell>
          <cell r="M195">
            <v>0.77272727272727271</v>
          </cell>
          <cell r="N195">
            <v>1</v>
          </cell>
        </row>
        <row r="196">
          <cell r="A196" t="str">
            <v>6948249 Майонезный соус провансаль 824,5гр деликатес.с массовой долей жирн.25% Коровино Останкино</v>
          </cell>
          <cell r="D196" t="str">
            <v>00-ko011307</v>
          </cell>
          <cell r="F196">
            <v>5.7679999999999998</v>
          </cell>
          <cell r="G196">
            <v>7</v>
          </cell>
          <cell r="H196">
            <v>0.82399999999999995</v>
          </cell>
          <cell r="I196">
            <v>1</v>
          </cell>
          <cell r="J196">
            <v>6.5919999999999996</v>
          </cell>
          <cell r="K196">
            <v>8</v>
          </cell>
          <cell r="L196">
            <v>0.29963636363636365</v>
          </cell>
          <cell r="M196">
            <v>0.36363636363636365</v>
          </cell>
          <cell r="N196">
            <v>1.1428571428571428</v>
          </cell>
        </row>
        <row r="197">
          <cell r="A197" t="str">
            <v>6948256 Майонез провансаль классич.оливковый Папа может 372гр с массовой долей жирн. 67% Останкино</v>
          </cell>
          <cell r="D197" t="str">
            <v>00-ko011305</v>
          </cell>
          <cell r="F197">
            <v>164.42400000000001</v>
          </cell>
          <cell r="G197">
            <v>442</v>
          </cell>
          <cell r="H197">
            <v>0.74399999999999999</v>
          </cell>
          <cell r="I197">
            <v>2</v>
          </cell>
          <cell r="J197">
            <v>68.819999999999993</v>
          </cell>
          <cell r="K197">
            <v>185</v>
          </cell>
          <cell r="L197">
            <v>3.128181818181818</v>
          </cell>
          <cell r="M197">
            <v>8.4090909090909083</v>
          </cell>
          <cell r="N197">
            <v>0.41855203619909498</v>
          </cell>
        </row>
        <row r="198">
          <cell r="A198" t="str">
            <v>6948263 Майонез провансаль классич.оливковый Папа может 744гр с массовой долей жирн. 67% Останкино</v>
          </cell>
          <cell r="D198" t="str">
            <v>00-ko011306</v>
          </cell>
          <cell r="F198">
            <v>211.29599999999999</v>
          </cell>
          <cell r="G198">
            <v>284</v>
          </cell>
          <cell r="H198">
            <v>8.9280000000000008</v>
          </cell>
          <cell r="I198">
            <v>12</v>
          </cell>
          <cell r="J198">
            <v>66.215999999999994</v>
          </cell>
          <cell r="K198">
            <v>89</v>
          </cell>
          <cell r="L198">
            <v>3.0098181818181815</v>
          </cell>
          <cell r="M198">
            <v>4.0454545454545459</v>
          </cell>
          <cell r="N198">
            <v>0.31338028169014082</v>
          </cell>
        </row>
        <row r="199">
          <cell r="A199" t="str">
            <v>6948270 Майонез провансаль классич.Папа может 372гр с массовой долей жирн. 67% Останкино</v>
          </cell>
          <cell r="D199" t="str">
            <v>00-ko011303</v>
          </cell>
          <cell r="F199">
            <v>203.48400000000001</v>
          </cell>
          <cell r="G199">
            <v>547</v>
          </cell>
          <cell r="J199">
            <v>67.703999999999994</v>
          </cell>
          <cell r="K199">
            <v>182</v>
          </cell>
          <cell r="L199">
            <v>3.077454545454545</v>
          </cell>
          <cell r="M199">
            <v>8.2727272727272734</v>
          </cell>
          <cell r="N199">
            <v>0.33272394881170014</v>
          </cell>
        </row>
        <row r="200">
          <cell r="A200" t="str">
            <v>6948287 Майонез провансаль классич.Папа может 744гр с массовой долей жирн. 67% Останкино</v>
          </cell>
          <cell r="D200" t="str">
            <v>00-ko011304</v>
          </cell>
          <cell r="F200">
            <v>541.63199999999995</v>
          </cell>
          <cell r="G200">
            <v>728</v>
          </cell>
          <cell r="H200">
            <v>5.2080000000000002</v>
          </cell>
          <cell r="I200">
            <v>7</v>
          </cell>
          <cell r="J200">
            <v>118.29600000000001</v>
          </cell>
          <cell r="K200">
            <v>159</v>
          </cell>
          <cell r="L200">
            <v>5.3770909090909091</v>
          </cell>
          <cell r="M200">
            <v>7.2272727272727275</v>
          </cell>
          <cell r="N200">
            <v>0.21840659340659344</v>
          </cell>
        </row>
        <row r="201">
          <cell r="A201" t="str">
            <v>6967 БУРГУНДИЯ Папа может с/к в/у 1/250 8шт  Останкино</v>
          </cell>
          <cell r="D201" t="str">
            <v>00-ko010379</v>
          </cell>
          <cell r="F201">
            <v>147</v>
          </cell>
          <cell r="G201">
            <v>588</v>
          </cell>
          <cell r="H201">
            <v>2</v>
          </cell>
          <cell r="I201">
            <v>8</v>
          </cell>
          <cell r="J201">
            <v>83.5</v>
          </cell>
          <cell r="K201">
            <v>334</v>
          </cell>
          <cell r="L201">
            <v>3.7954545454545454</v>
          </cell>
          <cell r="M201">
            <v>15.181818181818182</v>
          </cell>
          <cell r="N201">
            <v>0.56802721088435371</v>
          </cell>
        </row>
        <row r="202">
          <cell r="A202" t="str">
            <v>7001 КЛАССИЧЕСКИЕ Папа может сар б/о мгс 1*3  Останкино</v>
          </cell>
          <cell r="D202" t="str">
            <v>00-ko010285</v>
          </cell>
          <cell r="F202">
            <v>66.478999999999999</v>
          </cell>
          <cell r="G202">
            <v>66.478999999999999</v>
          </cell>
          <cell r="H202">
            <v>5.2320000000000002</v>
          </cell>
          <cell r="I202">
            <v>5.2320000000000002</v>
          </cell>
          <cell r="J202">
            <v>10.608000000000001</v>
          </cell>
          <cell r="K202">
            <v>10.608000000000001</v>
          </cell>
          <cell r="L202">
            <v>0.48218181818181821</v>
          </cell>
          <cell r="M202">
            <v>0.48218181818181821</v>
          </cell>
          <cell r="N202">
            <v>0.15956918726214295</v>
          </cell>
        </row>
        <row r="203">
          <cell r="A203" t="str">
            <v>7040 С ИНДЕЙКОЙ ПМ сос ц/о в/у 1/270 8шт.  ОСТАНКИНО</v>
          </cell>
          <cell r="D203" t="str">
            <v>00-ko011749</v>
          </cell>
          <cell r="F203">
            <v>94.5</v>
          </cell>
          <cell r="G203">
            <v>350</v>
          </cell>
          <cell r="H203">
            <v>0.81</v>
          </cell>
          <cell r="I203">
            <v>3</v>
          </cell>
          <cell r="J203">
            <v>0.54</v>
          </cell>
          <cell r="K203">
            <v>2</v>
          </cell>
          <cell r="L203">
            <v>2.4545454545454547E-2</v>
          </cell>
          <cell r="M203">
            <v>9.0909090909090912E-2</v>
          </cell>
          <cell r="N203">
            <v>5.7142857142857143E-3</v>
          </cell>
        </row>
        <row r="204">
          <cell r="A204" t="str">
            <v>7059 ШПИКАЧКИ СОЧНЫЕ С БЕК. п/о мгс 0,3кг 60с ОСТАНКИНО</v>
          </cell>
          <cell r="D204" t="str">
            <v>00-ko011609</v>
          </cell>
          <cell r="F204">
            <v>142.80000000000001</v>
          </cell>
          <cell r="G204">
            <v>476</v>
          </cell>
          <cell r="H204">
            <v>0.3</v>
          </cell>
          <cell r="I204">
            <v>1</v>
          </cell>
          <cell r="J204">
            <v>28.2</v>
          </cell>
          <cell r="K204">
            <v>94</v>
          </cell>
          <cell r="L204">
            <v>1.2818181818181817</v>
          </cell>
          <cell r="M204">
            <v>4.2727272727272725</v>
          </cell>
          <cell r="N204">
            <v>0.19747899159663865</v>
          </cell>
        </row>
        <row r="205">
          <cell r="A205" t="str">
            <v>7066 СОЧНЫЕ ПМ сос п/о мгс 0,41кг 10шт 50с  Останкино</v>
          </cell>
          <cell r="D205" t="str">
            <v>00-ko010284</v>
          </cell>
          <cell r="F205">
            <v>1604.33</v>
          </cell>
          <cell r="G205">
            <v>3913</v>
          </cell>
          <cell r="H205">
            <v>4.0999999999999996</v>
          </cell>
          <cell r="I205">
            <v>10</v>
          </cell>
          <cell r="J205">
            <v>717.91</v>
          </cell>
          <cell r="K205">
            <v>1751</v>
          </cell>
          <cell r="L205">
            <v>32.632272727272728</v>
          </cell>
          <cell r="M205">
            <v>79.590909090909093</v>
          </cell>
          <cell r="N205">
            <v>0.44748274980833119</v>
          </cell>
        </row>
        <row r="206">
          <cell r="A206" t="str">
            <v>7070 СОЧНЫЕ ПМ сос п/о 1,5*4_А_50с  Останкино</v>
          </cell>
          <cell r="D206" t="str">
            <v>00-ko010282</v>
          </cell>
          <cell r="F206">
            <v>1072.1679999999999</v>
          </cell>
          <cell r="G206">
            <v>1072.1679999999999</v>
          </cell>
          <cell r="H206">
            <v>0.9</v>
          </cell>
          <cell r="I206">
            <v>0.9</v>
          </cell>
          <cell r="J206">
            <v>544.98</v>
          </cell>
          <cell r="K206">
            <v>544.98</v>
          </cell>
          <cell r="L206">
            <v>24.771818181818183</v>
          </cell>
          <cell r="M206">
            <v>24.771818181818183</v>
          </cell>
          <cell r="N206">
            <v>0.50829720715410276</v>
          </cell>
        </row>
        <row r="207">
          <cell r="A207" t="str">
            <v>7073 МОЛОЧ.ПРЕМИУМ ПМ сос п/о в/у 1/350_50с  Останкино</v>
          </cell>
          <cell r="D207" t="str">
            <v>00-ko010301</v>
          </cell>
          <cell r="F207">
            <v>300.64999999999998</v>
          </cell>
          <cell r="G207">
            <v>859</v>
          </cell>
          <cell r="H207">
            <v>4.55</v>
          </cell>
          <cell r="I207">
            <v>13</v>
          </cell>
          <cell r="J207">
            <v>189</v>
          </cell>
          <cell r="K207">
            <v>540</v>
          </cell>
          <cell r="L207">
            <v>8.5909090909090917</v>
          </cell>
          <cell r="M207">
            <v>24.545454545454547</v>
          </cell>
          <cell r="N207">
            <v>0.62863795110593723</v>
          </cell>
        </row>
        <row r="208">
          <cell r="A208" t="str">
            <v>7075 МОЛОЧ.ПРЕМИУМ ПМ сос п/о мгс 1,5*4_О_50с  Останкино</v>
          </cell>
          <cell r="D208" t="str">
            <v>00-ko010300</v>
          </cell>
          <cell r="F208">
            <v>66.784999999999997</v>
          </cell>
          <cell r="G208">
            <v>66.784999999999997</v>
          </cell>
          <cell r="H208">
            <v>4.6319999999999997</v>
          </cell>
          <cell r="I208">
            <v>4.6319999999999997</v>
          </cell>
          <cell r="J208">
            <v>0</v>
          </cell>
          <cell r="K208">
            <v>0</v>
          </cell>
          <cell r="L208">
            <v>0</v>
          </cell>
          <cell r="M208">
            <v>0</v>
          </cell>
          <cell r="N208">
            <v>0</v>
          </cell>
        </row>
        <row r="209">
          <cell r="A209" t="str">
            <v>7080 СЛИВОЧНЫЕ ПМ сос п/о мгс 0,41кг 10шт 50с  Останкино</v>
          </cell>
          <cell r="D209" t="str">
            <v>00-ko010283</v>
          </cell>
          <cell r="F209">
            <v>1335.78</v>
          </cell>
          <cell r="G209">
            <v>3258</v>
          </cell>
          <cell r="H209">
            <v>8.1999999999999993</v>
          </cell>
          <cell r="I209">
            <v>20</v>
          </cell>
          <cell r="J209">
            <v>658.46</v>
          </cell>
          <cell r="K209">
            <v>1606</v>
          </cell>
          <cell r="L209">
            <v>29.930000000000003</v>
          </cell>
          <cell r="M209">
            <v>73</v>
          </cell>
          <cell r="N209">
            <v>0.49294045426642114</v>
          </cell>
        </row>
        <row r="210">
          <cell r="A210" t="str">
            <v>7083 СЛИВОЧНЫЕ ПМ сос п/о мгс 1.5*4_А_50с  ОСТАНКИНО</v>
          </cell>
          <cell r="D210" t="str">
            <v>00-ko011523</v>
          </cell>
          <cell r="F210">
            <v>363.47500000000002</v>
          </cell>
          <cell r="G210">
            <v>363.47500000000002</v>
          </cell>
          <cell r="H210">
            <v>4.6509999999999998</v>
          </cell>
          <cell r="I210">
            <v>4.6509999999999998</v>
          </cell>
          <cell r="J210">
            <v>18.675999999999998</v>
          </cell>
          <cell r="K210">
            <v>18.675999999999998</v>
          </cell>
          <cell r="L210">
            <v>0.84890909090909084</v>
          </cell>
          <cell r="M210">
            <v>0.84890909090909084</v>
          </cell>
          <cell r="N210">
            <v>5.13818006740491E-2</v>
          </cell>
        </row>
        <row r="211">
          <cell r="A211" t="str">
            <v>7090 СВИНИНА ПО-ДОМ.к/в мл/к в/у 0,3кг_50с  Останкино</v>
          </cell>
          <cell r="D211" t="str">
            <v>00-ko010286</v>
          </cell>
          <cell r="F211">
            <v>255.9</v>
          </cell>
          <cell r="G211">
            <v>853</v>
          </cell>
          <cell r="H211">
            <v>5.7</v>
          </cell>
          <cell r="I211">
            <v>19</v>
          </cell>
          <cell r="J211">
            <v>154.80000000000001</v>
          </cell>
          <cell r="K211">
            <v>516</v>
          </cell>
          <cell r="L211">
            <v>7.036363636363637</v>
          </cell>
          <cell r="M211">
            <v>23.454545454545453</v>
          </cell>
          <cell r="N211">
            <v>0.60492379835873389</v>
          </cell>
        </row>
        <row r="212">
          <cell r="A212" t="str">
            <v>7103 БЕКОН Останкино с/к с/н в/у 1/180_50с  Останкино</v>
          </cell>
          <cell r="D212" t="str">
            <v>00-ko010254</v>
          </cell>
          <cell r="F212">
            <v>139.5</v>
          </cell>
          <cell r="G212">
            <v>775</v>
          </cell>
          <cell r="H212">
            <v>3.78</v>
          </cell>
          <cell r="I212">
            <v>21</v>
          </cell>
          <cell r="J212">
            <v>96.48</v>
          </cell>
          <cell r="K212">
            <v>536</v>
          </cell>
          <cell r="L212">
            <v>4.3854545454545457</v>
          </cell>
          <cell r="M212">
            <v>24.363636363636363</v>
          </cell>
          <cell r="N212">
            <v>0.69161290322580649</v>
          </cell>
        </row>
        <row r="213">
          <cell r="A213" t="str">
            <v>7147 САЛЬЧИЧОН Останкино с/к в/у 1/220 8 шт  Останкино</v>
          </cell>
          <cell r="D213" t="str">
            <v>00-ko010673</v>
          </cell>
          <cell r="F213">
            <v>-0.22</v>
          </cell>
          <cell r="G213">
            <v>-1</v>
          </cell>
          <cell r="H213">
            <v>0.22</v>
          </cell>
          <cell r="I213">
            <v>1</v>
          </cell>
          <cell r="J213">
            <v>-0.22</v>
          </cell>
          <cell r="K213">
            <v>-1</v>
          </cell>
          <cell r="L213">
            <v>-0.01</v>
          </cell>
          <cell r="M213">
            <v>-4.5454545454545456E-2</v>
          </cell>
          <cell r="N213">
            <v>1</v>
          </cell>
        </row>
        <row r="214">
          <cell r="A214" t="str">
            <v>7154 СЕРВЕЛАТ ЗЕРНИСТЫЙ ПМ в/к в/у 0,35кг_50с  Останкино</v>
          </cell>
          <cell r="D214" t="str">
            <v>00-ko010401</v>
          </cell>
          <cell r="F214">
            <v>931</v>
          </cell>
          <cell r="G214">
            <v>2660</v>
          </cell>
          <cell r="H214">
            <v>6.65</v>
          </cell>
          <cell r="I214">
            <v>19</v>
          </cell>
          <cell r="J214">
            <v>576.45000000000005</v>
          </cell>
          <cell r="K214">
            <v>1647</v>
          </cell>
          <cell r="L214">
            <v>26.202272727272728</v>
          </cell>
          <cell r="M214">
            <v>74.86363636363636</v>
          </cell>
          <cell r="N214">
            <v>0.61917293233082715</v>
          </cell>
        </row>
        <row r="215">
          <cell r="A215" t="str">
            <v>7157 СЕРВЕЛАТ ЗЕРНИСТЫЙ ПМ в/к в/у_50с  Останкино</v>
          </cell>
          <cell r="D215" t="str">
            <v>00-ko010432</v>
          </cell>
          <cell r="F215">
            <v>770.79200000000003</v>
          </cell>
          <cell r="G215">
            <v>770.79200000000003</v>
          </cell>
          <cell r="H215">
            <v>21.422999999999998</v>
          </cell>
          <cell r="I215">
            <v>21.422999999999998</v>
          </cell>
          <cell r="J215">
            <v>384.20600000000002</v>
          </cell>
          <cell r="K215">
            <v>384.20600000000002</v>
          </cell>
          <cell r="L215">
            <v>17.463909090909091</v>
          </cell>
          <cell r="M215">
            <v>17.463909090909091</v>
          </cell>
          <cell r="N215">
            <v>0.49845613343158723</v>
          </cell>
        </row>
        <row r="216">
          <cell r="A216" t="str">
            <v>7166 СЕРВЕЛАТ ОХОТНИЧИЙ ПМ в/к в/у_50с  Останкино</v>
          </cell>
          <cell r="D216" t="str">
            <v>00-ko010400</v>
          </cell>
          <cell r="F216">
            <v>1284.5899999999999</v>
          </cell>
          <cell r="G216">
            <v>1284.5899999999999</v>
          </cell>
          <cell r="H216">
            <v>20.274000000000001</v>
          </cell>
          <cell r="I216">
            <v>20.274000000000001</v>
          </cell>
          <cell r="J216">
            <v>628.21</v>
          </cell>
          <cell r="K216">
            <v>628.21</v>
          </cell>
          <cell r="L216">
            <v>28.555000000000003</v>
          </cell>
          <cell r="M216">
            <v>28.555000000000003</v>
          </cell>
          <cell r="N216">
            <v>0.48903541207700518</v>
          </cell>
        </row>
        <row r="217">
          <cell r="A217" t="str">
            <v>7169 СЕРВЕЛАТ ОХОТНИЧИЙ ПМ в/к в/у 0,35кг_50с  Останкино</v>
          </cell>
          <cell r="D217" t="str">
            <v>00-ko010399</v>
          </cell>
          <cell r="F217">
            <v>1142.4000000000001</v>
          </cell>
          <cell r="G217">
            <v>3264</v>
          </cell>
          <cell r="H217">
            <v>15.4</v>
          </cell>
          <cell r="I217">
            <v>44</v>
          </cell>
          <cell r="J217">
            <v>626.15</v>
          </cell>
          <cell r="K217">
            <v>1789</v>
          </cell>
          <cell r="L217">
            <v>28.461363636363636</v>
          </cell>
          <cell r="M217">
            <v>81.318181818181813</v>
          </cell>
          <cell r="N217">
            <v>0.54810049019607832</v>
          </cell>
        </row>
        <row r="218">
          <cell r="A218" t="str">
            <v>7177 ЧЕСНОЧНАЯ ПМ п/к в/у 0,35кг 8шт_50с  Останкино</v>
          </cell>
          <cell r="D218" t="str">
            <v>00-ko010429</v>
          </cell>
          <cell r="F218">
            <v>52.85</v>
          </cell>
          <cell r="G218">
            <v>151</v>
          </cell>
          <cell r="H218">
            <v>0.7</v>
          </cell>
          <cell r="I218">
            <v>2</v>
          </cell>
          <cell r="J218">
            <v>31.5</v>
          </cell>
          <cell r="K218">
            <v>90</v>
          </cell>
          <cell r="L218">
            <v>1.4318181818181819</v>
          </cell>
          <cell r="M218">
            <v>4.0909090909090908</v>
          </cell>
          <cell r="N218">
            <v>0.5960264900662251</v>
          </cell>
        </row>
        <row r="219">
          <cell r="A219" t="str">
            <v>7187 ГРУДИНКА ПРЕМИУМ к/в мл/к в/у 0,3кг_50с  Останкино</v>
          </cell>
          <cell r="D219" t="str">
            <v>00-ko010604</v>
          </cell>
          <cell r="F219">
            <v>215.7</v>
          </cell>
          <cell r="G219">
            <v>719</v>
          </cell>
          <cell r="H219">
            <v>2.7</v>
          </cell>
          <cell r="I219">
            <v>9</v>
          </cell>
          <cell r="J219">
            <v>97.8</v>
          </cell>
          <cell r="K219">
            <v>326</v>
          </cell>
          <cell r="L219">
            <v>4.4454545454545453</v>
          </cell>
          <cell r="M219">
            <v>14.818181818181818</v>
          </cell>
          <cell r="N219">
            <v>0.4534075104311544</v>
          </cell>
        </row>
        <row r="220">
          <cell r="A220" t="str">
            <v>7216 СОЧНЫЕ СО СЛ.МАСЛ.ПМ пельм пл.0.7кг зам. ОСТАНКИНО</v>
          </cell>
          <cell r="D220" t="str">
            <v>00-ko011673</v>
          </cell>
          <cell r="F220">
            <v>152.6</v>
          </cell>
          <cell r="G220">
            <v>218</v>
          </cell>
          <cell r="J220">
            <v>23.8</v>
          </cell>
          <cell r="K220">
            <v>34</v>
          </cell>
          <cell r="L220">
            <v>1.0818181818181818</v>
          </cell>
          <cell r="M220">
            <v>1.5454545454545454</v>
          </cell>
          <cell r="N220">
            <v>0.15596330275229359</v>
          </cell>
        </row>
        <row r="221">
          <cell r="A221" t="str">
            <v>7231 КЛАССИЧЕСКАЯ ПМ вар п/о 0,3кг 8 шт_209к  Останкино</v>
          </cell>
          <cell r="D221" t="str">
            <v>00-ko010962</v>
          </cell>
          <cell r="F221">
            <v>49.2</v>
          </cell>
          <cell r="G221">
            <v>164</v>
          </cell>
          <cell r="H221">
            <v>1.5</v>
          </cell>
          <cell r="I221">
            <v>5</v>
          </cell>
          <cell r="J221">
            <v>10.199999999999999</v>
          </cell>
          <cell r="K221">
            <v>34</v>
          </cell>
          <cell r="L221">
            <v>0.46363636363636362</v>
          </cell>
          <cell r="M221">
            <v>1.5454545454545454</v>
          </cell>
          <cell r="N221">
            <v>0.20731707317073167</v>
          </cell>
        </row>
        <row r="222">
          <cell r="A222" t="str">
            <v>7232 БОЯNСКАЯ ПМ п/к в/у 0,28кг 8шт_209к  Останкино</v>
          </cell>
          <cell r="D222" t="str">
            <v>00-ko010557</v>
          </cell>
          <cell r="F222">
            <v>428.4</v>
          </cell>
          <cell r="G222">
            <v>1530</v>
          </cell>
          <cell r="H222">
            <v>8.68</v>
          </cell>
          <cell r="I222">
            <v>31</v>
          </cell>
          <cell r="J222">
            <v>237.44</v>
          </cell>
          <cell r="K222">
            <v>848</v>
          </cell>
          <cell r="L222">
            <v>10.792727272727273</v>
          </cell>
          <cell r="M222">
            <v>38.545454545454547</v>
          </cell>
          <cell r="N222">
            <v>0.55424836601307192</v>
          </cell>
        </row>
        <row r="223">
          <cell r="A223" t="str">
            <v>7236 СЕРВЕЛАТ КАРЕЛЬСКИЙ в/к в/у 0,28кг_209к  Останкино</v>
          </cell>
          <cell r="D223" t="str">
            <v>00-ko010598</v>
          </cell>
          <cell r="F223">
            <v>528.64</v>
          </cell>
          <cell r="G223">
            <v>1888</v>
          </cell>
          <cell r="H223">
            <v>5.6</v>
          </cell>
          <cell r="I223">
            <v>20</v>
          </cell>
          <cell r="J223">
            <v>346.08</v>
          </cell>
          <cell r="K223">
            <v>1236</v>
          </cell>
          <cell r="L223">
            <v>15.730909090909091</v>
          </cell>
          <cell r="M223">
            <v>56.18181818181818</v>
          </cell>
          <cell r="N223">
            <v>0.65466101694915257</v>
          </cell>
        </row>
        <row r="224">
          <cell r="A224" t="str">
            <v>7237 СЕРВЕЛАТ ШВАРЦЕР ПМ в/к в/у 0,28кг_209к  Останкино</v>
          </cell>
          <cell r="D224" t="str">
            <v>00-ko010558</v>
          </cell>
          <cell r="F224">
            <v>-2.8</v>
          </cell>
          <cell r="G224">
            <v>-10</v>
          </cell>
          <cell r="H224">
            <v>2.8</v>
          </cell>
          <cell r="I224">
            <v>10</v>
          </cell>
          <cell r="J224">
            <v>-1.96</v>
          </cell>
          <cell r="K224">
            <v>-7</v>
          </cell>
          <cell r="L224">
            <v>-8.9090909090909096E-2</v>
          </cell>
          <cell r="M224">
            <v>-0.31818181818181818</v>
          </cell>
          <cell r="N224">
            <v>0.70000000000000007</v>
          </cell>
        </row>
        <row r="225">
          <cell r="A225" t="str">
            <v>7238 СЕРВЕЛАТ ОРЕХОВЫЙ в/к в/у 0,31кг_209к  Останкино</v>
          </cell>
          <cell r="D225" t="str">
            <v>00-ko010569</v>
          </cell>
          <cell r="F225">
            <v>0.62</v>
          </cell>
          <cell r="G225">
            <v>2</v>
          </cell>
          <cell r="J225">
            <v>0.62</v>
          </cell>
          <cell r="K225">
            <v>2</v>
          </cell>
          <cell r="L225">
            <v>2.8181818181818183E-2</v>
          </cell>
          <cell r="M225">
            <v>9.0909090909090912E-2</v>
          </cell>
          <cell r="N225">
            <v>1</v>
          </cell>
        </row>
        <row r="226">
          <cell r="A226" t="str">
            <v>7241 САЛЯМИ Папа может п/к в/у 0,28кг ОСТАНКИНО</v>
          </cell>
          <cell r="D226" t="str">
            <v>00-ko010555</v>
          </cell>
          <cell r="F226">
            <v>450.8</v>
          </cell>
          <cell r="G226">
            <v>1610</v>
          </cell>
          <cell r="H226">
            <v>5.32</v>
          </cell>
          <cell r="I226">
            <v>19</v>
          </cell>
          <cell r="J226">
            <v>295.68</v>
          </cell>
          <cell r="K226">
            <v>1056</v>
          </cell>
          <cell r="L226">
            <v>13.44</v>
          </cell>
          <cell r="M226">
            <v>48</v>
          </cell>
          <cell r="N226">
            <v>0.65590062111801239</v>
          </cell>
        </row>
        <row r="227">
          <cell r="A227" t="str">
            <v>7255 МЯСНЫЕ С ГОВЯД.ПМ сос п/о мгс 0.4кг 6шт.  ОСТАНКИНО</v>
          </cell>
          <cell r="D227" t="str">
            <v>00-ko011229</v>
          </cell>
          <cell r="F227">
            <v>1274</v>
          </cell>
          <cell r="G227">
            <v>3185</v>
          </cell>
          <cell r="H227">
            <v>3.6</v>
          </cell>
          <cell r="I227">
            <v>9</v>
          </cell>
          <cell r="J227">
            <v>676.8</v>
          </cell>
          <cell r="K227">
            <v>1692</v>
          </cell>
          <cell r="L227">
            <v>30.763636363636362</v>
          </cell>
          <cell r="M227">
            <v>76.909090909090907</v>
          </cell>
          <cell r="N227">
            <v>0.53124018838304554</v>
          </cell>
        </row>
        <row r="228">
          <cell r="A228" t="str">
            <v>7284 ДЛЯ ДЕТЕЙ сос п/о мгс 0,33кг 6шт  Останкино</v>
          </cell>
          <cell r="D228" t="str">
            <v>00-ko010746</v>
          </cell>
          <cell r="F228">
            <v>1.98</v>
          </cell>
          <cell r="G228">
            <v>6</v>
          </cell>
          <cell r="J228">
            <v>0</v>
          </cell>
          <cell r="K228">
            <v>0</v>
          </cell>
          <cell r="L228">
            <v>0</v>
          </cell>
          <cell r="M228">
            <v>0</v>
          </cell>
          <cell r="N228">
            <v>0</v>
          </cell>
        </row>
        <row r="229">
          <cell r="A229" t="str">
            <v>7299 НАБОР ДЛЯ ПИЦЦЫ Папа Может с/к в/у  ОСТАНКИНО</v>
          </cell>
          <cell r="D229" t="str">
            <v>00-ko011223</v>
          </cell>
          <cell r="F229">
            <v>94.328000000000003</v>
          </cell>
          <cell r="G229">
            <v>94.328000000000003</v>
          </cell>
          <cell r="H229">
            <v>6.6589999999999998</v>
          </cell>
          <cell r="I229">
            <v>6.6589999999999998</v>
          </cell>
          <cell r="J229">
            <v>38.737000000000002</v>
          </cell>
          <cell r="K229">
            <v>38.737000000000002</v>
          </cell>
          <cell r="L229">
            <v>1.7607727272727274</v>
          </cell>
          <cell r="M229">
            <v>1.7607727272727274</v>
          </cell>
          <cell r="N229">
            <v>0.41066279365617847</v>
          </cell>
        </row>
        <row r="230">
          <cell r="A230" t="str">
            <v>7332 БОЯРСКАЯ ПМ п/к в/у 0,28кг ОСТАНКИНО</v>
          </cell>
          <cell r="D230" t="str">
            <v>00-ko011144</v>
          </cell>
          <cell r="F230">
            <v>20.72</v>
          </cell>
          <cell r="G230">
            <v>74</v>
          </cell>
          <cell r="J230">
            <v>1.96</v>
          </cell>
          <cell r="K230">
            <v>7</v>
          </cell>
          <cell r="L230">
            <v>8.9090909090909096E-2</v>
          </cell>
          <cell r="M230">
            <v>0.31818181818181818</v>
          </cell>
          <cell r="N230">
            <v>9.45945945945946E-2</v>
          </cell>
        </row>
        <row r="231">
          <cell r="A231" t="str">
            <v>7344 КОНСЕРВЫ МЯС.ГОВЯДИНА ТУШ. В/С 338г_ЧЗ  ОСТАНКИНО</v>
          </cell>
          <cell r="D231" t="str">
            <v>00-ko011803</v>
          </cell>
          <cell r="F231">
            <v>7.4359999999999999</v>
          </cell>
          <cell r="G231">
            <v>22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</row>
        <row r="232">
          <cell r="A232" t="str">
            <v>7345 КОНСЕРВЫ МЯС.СВИНИНА ТУШ. В/С 325г_ЧЗ  ОСТАНКИНО</v>
          </cell>
          <cell r="D232" t="str">
            <v>00-ko011804</v>
          </cell>
          <cell r="F232">
            <v>0.65</v>
          </cell>
          <cell r="G232">
            <v>2</v>
          </cell>
          <cell r="J232">
            <v>0</v>
          </cell>
          <cell r="K232">
            <v>0</v>
          </cell>
          <cell r="L232">
            <v>0</v>
          </cell>
          <cell r="M232">
            <v>0</v>
          </cell>
          <cell r="N232">
            <v>0</v>
          </cell>
        </row>
        <row r="233">
          <cell r="A233" t="str">
            <v>7371 БРЕСТСКИЕ сос п/о в/у 0,3кг 8шт. ОСТАНКИНО</v>
          </cell>
          <cell r="D233" t="str">
            <v>00-ko011660</v>
          </cell>
          <cell r="F233">
            <v>-0.9</v>
          </cell>
          <cell r="G233">
            <v>-3</v>
          </cell>
          <cell r="H233">
            <v>0.9</v>
          </cell>
          <cell r="I233">
            <v>3</v>
          </cell>
          <cell r="J233">
            <v>-0.9</v>
          </cell>
          <cell r="K233">
            <v>-3</v>
          </cell>
          <cell r="L233">
            <v>-4.0909090909090909E-2</v>
          </cell>
          <cell r="M233">
            <v>-0.13636363636363635</v>
          </cell>
          <cell r="N233">
            <v>1</v>
          </cell>
        </row>
        <row r="234">
          <cell r="A234" t="str">
            <v>7382  САЛЯМИ МЕЛКОЗЕРНЕНАЯ с/к в/у1/120 8шт.  ОСТАНКИНО</v>
          </cell>
          <cell r="D234" t="str">
            <v>00-ko011257</v>
          </cell>
          <cell r="F234">
            <v>173.76</v>
          </cell>
          <cell r="G234">
            <v>1448</v>
          </cell>
          <cell r="H234">
            <v>0.48</v>
          </cell>
          <cell r="I234">
            <v>4</v>
          </cell>
          <cell r="J234">
            <v>95.52</v>
          </cell>
          <cell r="K234">
            <v>796</v>
          </cell>
          <cell r="L234">
            <v>4.3418181818181818</v>
          </cell>
          <cell r="M234">
            <v>36.18181818181818</v>
          </cell>
          <cell r="N234">
            <v>0.54972375690607733</v>
          </cell>
        </row>
        <row r="235">
          <cell r="A235" t="str">
            <v>7386 БАРСЕЛОНА ПМ с/к в/у 1/150  ОСТАНКИНО</v>
          </cell>
          <cell r="D235" t="str">
            <v>00-ko011738</v>
          </cell>
          <cell r="F235">
            <v>17.850000000000001</v>
          </cell>
          <cell r="G235">
            <v>119</v>
          </cell>
          <cell r="J235">
            <v>11.7</v>
          </cell>
          <cell r="K235">
            <v>78</v>
          </cell>
          <cell r="L235">
            <v>0.53181818181818175</v>
          </cell>
          <cell r="M235">
            <v>3.5454545454545454</v>
          </cell>
          <cell r="N235">
            <v>0.65546218487394947</v>
          </cell>
        </row>
        <row r="236">
          <cell r="A236" t="str">
            <v>7456 САЛЯМИ ФИНСКАЯ Папа может с/к в/у 1/150  ОСТАНКИНО</v>
          </cell>
          <cell r="D236" t="str">
            <v>00-ko011802</v>
          </cell>
          <cell r="F236">
            <v>5.85</v>
          </cell>
          <cell r="G236">
            <v>39</v>
          </cell>
          <cell r="J236">
            <v>0.9</v>
          </cell>
          <cell r="K236">
            <v>6</v>
          </cell>
          <cell r="L236">
            <v>4.0909090909090909E-2</v>
          </cell>
          <cell r="M236">
            <v>0.27272727272727271</v>
          </cell>
          <cell r="N236">
            <v>0.15384615384615385</v>
          </cell>
        </row>
        <row r="237">
          <cell r="A237" t="str">
            <v>7461 ДЛЯ ДЕТЕЙ Папа Может сос п/о мгс 0,33кг ОСТАНКИНО</v>
          </cell>
          <cell r="D237" t="str">
            <v>00-ko011659</v>
          </cell>
          <cell r="F237">
            <v>217.8</v>
          </cell>
          <cell r="G237">
            <v>660</v>
          </cell>
          <cell r="H237">
            <v>12.87</v>
          </cell>
          <cell r="I237">
            <v>39</v>
          </cell>
          <cell r="J237">
            <v>88.77</v>
          </cell>
          <cell r="K237">
            <v>269</v>
          </cell>
          <cell r="L237">
            <v>4.0350000000000001</v>
          </cell>
          <cell r="M237">
            <v>12.227272727272727</v>
          </cell>
          <cell r="N237">
            <v>0.40757575757575754</v>
          </cell>
        </row>
        <row r="238">
          <cell r="A238" t="str">
            <v>7485 РИЕТ МЯСНОЙ С ГРИБАМИ ПМ п/о 1/150  ОСТАНКИНО</v>
          </cell>
          <cell r="D238" t="str">
            <v>00-ko011759</v>
          </cell>
          <cell r="F238">
            <v>44.4</v>
          </cell>
          <cell r="G238">
            <v>296</v>
          </cell>
          <cell r="J238">
            <v>13.95</v>
          </cell>
          <cell r="K238">
            <v>93</v>
          </cell>
          <cell r="L238">
            <v>0.63409090909090904</v>
          </cell>
          <cell r="M238">
            <v>4.2272727272727275</v>
          </cell>
          <cell r="N238">
            <v>0.3141891891891892</v>
          </cell>
        </row>
        <row r="239">
          <cell r="A239" t="str">
            <v>7489 СЫРРРВЕЛАТ Папа Может в/к в/у 0,28кг 8шт. ОСТАНКИНО</v>
          </cell>
          <cell r="D239" t="str">
            <v>00-ko011701</v>
          </cell>
          <cell r="F239">
            <v>-1.4</v>
          </cell>
          <cell r="G239">
            <v>-5</v>
          </cell>
          <cell r="H239">
            <v>1.4</v>
          </cell>
          <cell r="I239">
            <v>5</v>
          </cell>
          <cell r="J239">
            <v>0</v>
          </cell>
          <cell r="K239">
            <v>0</v>
          </cell>
          <cell r="L239">
            <v>0</v>
          </cell>
          <cell r="M239">
            <v>0</v>
          </cell>
          <cell r="N239">
            <v>0</v>
          </cell>
        </row>
        <row r="240">
          <cell r="A240" t="str">
            <v>7513 ВОСКРЕСЕНСКАЯ ВЯЛЕНАЯ в/к в/у срез 1/260  ОСТАНКИНО</v>
          </cell>
          <cell r="D240" t="str">
            <v>00-ko011758</v>
          </cell>
          <cell r="F240">
            <v>46.02</v>
          </cell>
          <cell r="G240">
            <v>177</v>
          </cell>
          <cell r="J240">
            <v>23.66</v>
          </cell>
          <cell r="K240">
            <v>91</v>
          </cell>
          <cell r="L240">
            <v>1.0754545454545454</v>
          </cell>
          <cell r="M240">
            <v>4.1363636363636367</v>
          </cell>
          <cell r="N240">
            <v>0.51412429378531066</v>
          </cell>
        </row>
        <row r="241">
          <cell r="A241" t="str">
            <v>7516 НОВОМОСКОВСКАЯ в/к в/у срез 0.31кг  ОСТАНКИНО</v>
          </cell>
          <cell r="D241" t="str">
            <v>00-ko011757</v>
          </cell>
          <cell r="F241">
            <v>57.97</v>
          </cell>
          <cell r="G241">
            <v>187</v>
          </cell>
          <cell r="J241">
            <v>27.28</v>
          </cell>
          <cell r="K241">
            <v>88</v>
          </cell>
          <cell r="L241">
            <v>1.24</v>
          </cell>
          <cell r="M241">
            <v>4</v>
          </cell>
          <cell r="N241">
            <v>0.4705882352941177</v>
          </cell>
        </row>
        <row r="242">
          <cell r="A242" t="str">
            <v>7523 ГОВЯЖЬЯ Папа Может вар п/о 0,4кг 6шт. ОСТАНКИНО</v>
          </cell>
          <cell r="D242" t="str">
            <v>00-ko011656</v>
          </cell>
          <cell r="F242">
            <v>412</v>
          </cell>
          <cell r="G242">
            <v>1030</v>
          </cell>
          <cell r="J242">
            <v>281.60000000000002</v>
          </cell>
          <cell r="K242">
            <v>704</v>
          </cell>
          <cell r="L242">
            <v>12.8</v>
          </cell>
          <cell r="M242">
            <v>32</v>
          </cell>
          <cell r="N242">
            <v>0.68349514563106806</v>
          </cell>
        </row>
        <row r="243">
          <cell r="A243" t="str">
            <v>7539 ДОКТОРСКАЯ ГОСТ вар п/о 0,35кг ОСТАНКИНО</v>
          </cell>
          <cell r="D243" t="str">
            <v>00-ko011655</v>
          </cell>
          <cell r="F243">
            <v>28</v>
          </cell>
          <cell r="G243">
            <v>80</v>
          </cell>
          <cell r="J243">
            <v>14</v>
          </cell>
          <cell r="K243">
            <v>40</v>
          </cell>
          <cell r="L243">
            <v>0.63636363636363635</v>
          </cell>
          <cell r="M243">
            <v>1.8181818181818181</v>
          </cell>
          <cell r="N243">
            <v>0.5</v>
          </cell>
        </row>
        <row r="244">
          <cell r="A244" t="str">
            <v>7562 КРАКОВСКАЯ ГОСТ Останкино п/к н/о мгс  ОСТАНКИНО</v>
          </cell>
          <cell r="D244" t="str">
            <v>00-ko011756</v>
          </cell>
          <cell r="F244">
            <v>109.10899999999999</v>
          </cell>
          <cell r="G244">
            <v>109.10899999999999</v>
          </cell>
          <cell r="H244">
            <v>1.0760000000000001</v>
          </cell>
          <cell r="I244">
            <v>1.0760000000000001</v>
          </cell>
          <cell r="J244">
            <v>48.720999999999997</v>
          </cell>
          <cell r="K244">
            <v>48.720999999999997</v>
          </cell>
          <cell r="L244">
            <v>2.2145909090909091</v>
          </cell>
          <cell r="M244">
            <v>2.2145909090909091</v>
          </cell>
          <cell r="N244">
            <v>0.4465351162598869</v>
          </cell>
        </row>
        <row r="245">
          <cell r="A245" t="str">
            <v>7564 Балыковая в/к в/у Останкино Вес  ОСТАНКИНО</v>
          </cell>
          <cell r="D245" t="str">
            <v>00-ko011684</v>
          </cell>
          <cell r="F245">
            <v>200.40299999999999</v>
          </cell>
          <cell r="G245">
            <v>200.40299999999999</v>
          </cell>
          <cell r="J245">
            <v>81.525999999999996</v>
          </cell>
          <cell r="K245">
            <v>81.525999999999996</v>
          </cell>
          <cell r="L245">
            <v>3.7057272727272728</v>
          </cell>
          <cell r="M245">
            <v>3.7057272727272728</v>
          </cell>
          <cell r="N245">
            <v>0.40681027729125813</v>
          </cell>
        </row>
        <row r="246">
          <cell r="A246" t="str">
            <v>7601 ДЛЯ ДЕТЕЙ Папа может сос п/о мгс 0.264кг  ОСТАНКИНО</v>
          </cell>
          <cell r="D246" t="str">
            <v>00-ko011753</v>
          </cell>
          <cell r="F246">
            <v>6.8639999999999999</v>
          </cell>
          <cell r="G246">
            <v>26</v>
          </cell>
          <cell r="J246">
            <v>2.9039999999999999</v>
          </cell>
          <cell r="K246">
            <v>11</v>
          </cell>
          <cell r="L246">
            <v>0.13200000000000001</v>
          </cell>
          <cell r="M246">
            <v>0.5</v>
          </cell>
          <cell r="N246">
            <v>0.42307692307692307</v>
          </cell>
        </row>
        <row r="247">
          <cell r="A247" t="str">
            <v>7603 БАЛЫКОВАЯ в/к в/у 0.33кг 8шт. ОСТАНКИНО</v>
          </cell>
          <cell r="D247" t="str">
            <v>00-ko011685</v>
          </cell>
          <cell r="F247">
            <v>31.02</v>
          </cell>
          <cell r="G247">
            <v>94</v>
          </cell>
          <cell r="H247">
            <v>5.61</v>
          </cell>
          <cell r="I247">
            <v>17</v>
          </cell>
          <cell r="J247">
            <v>21.78</v>
          </cell>
          <cell r="K247">
            <v>66</v>
          </cell>
          <cell r="L247">
            <v>0.9900000000000001</v>
          </cell>
          <cell r="M247">
            <v>3</v>
          </cell>
          <cell r="N247">
            <v>0.7021276595744681</v>
          </cell>
        </row>
        <row r="248">
          <cell r="A248" t="str">
            <v>7608 СЕРВЕЛАТ ШВЕЙЦАРСК.в/к с/н в/у 1/100_Л11  ОСТАНКИНО</v>
          </cell>
          <cell r="D248" t="str">
            <v>00-ko011721</v>
          </cell>
          <cell r="F248">
            <v>1.1000000000000001</v>
          </cell>
          <cell r="G248">
            <v>11</v>
          </cell>
          <cell r="H248">
            <v>0.1</v>
          </cell>
          <cell r="I248">
            <v>1</v>
          </cell>
          <cell r="J248">
            <v>1</v>
          </cell>
          <cell r="K248">
            <v>10</v>
          </cell>
          <cell r="L248">
            <v>4.5454545454545456E-2</v>
          </cell>
          <cell r="M248">
            <v>0.45454545454545453</v>
          </cell>
          <cell r="N248">
            <v>0.90909090909090906</v>
          </cell>
        </row>
        <row r="249">
          <cell r="A249" t="str">
            <v>7612 БАЛЫК с/к с/н в/у 1/100 10шт_  ОСТАНКИНО</v>
          </cell>
          <cell r="D249" t="str">
            <v>00-ko011719</v>
          </cell>
          <cell r="F249">
            <v>11.8</v>
          </cell>
          <cell r="G249">
            <v>118</v>
          </cell>
          <cell r="J249">
            <v>6.1</v>
          </cell>
          <cell r="K249">
            <v>61</v>
          </cell>
          <cell r="L249">
            <v>0.27727272727272728</v>
          </cell>
          <cell r="M249">
            <v>2.7727272727272729</v>
          </cell>
          <cell r="N249">
            <v>0.51694915254237284</v>
          </cell>
        </row>
        <row r="250">
          <cell r="A250" t="str">
            <v>7613 АРОМАТНАЯ с/к с/н в/у 1/100 10шт_Л10  ОСТАНКИНО</v>
          </cell>
          <cell r="D250" t="str">
            <v>00-ko011737</v>
          </cell>
          <cell r="F250">
            <v>65.400000000000006</v>
          </cell>
          <cell r="G250">
            <v>654</v>
          </cell>
          <cell r="H250">
            <v>1</v>
          </cell>
          <cell r="I250">
            <v>10</v>
          </cell>
          <cell r="J250">
            <v>16.100000000000001</v>
          </cell>
          <cell r="K250">
            <v>161</v>
          </cell>
          <cell r="L250">
            <v>0.73181818181818192</v>
          </cell>
          <cell r="M250">
            <v>7.3181818181818183</v>
          </cell>
          <cell r="N250">
            <v>0.24617737003058104</v>
          </cell>
        </row>
        <row r="251">
          <cell r="A251" t="str">
            <v>7616 ЭКСТРА Папа может с/к с/н в/у 1/100_  ОСТАНКИНО</v>
          </cell>
          <cell r="D251" t="str">
            <v>00-ko011720</v>
          </cell>
          <cell r="F251">
            <v>76</v>
          </cell>
          <cell r="G251">
            <v>760</v>
          </cell>
          <cell r="H251">
            <v>1.1000000000000001</v>
          </cell>
          <cell r="I251">
            <v>11</v>
          </cell>
          <cell r="J251">
            <v>38.4</v>
          </cell>
          <cell r="K251">
            <v>384</v>
          </cell>
          <cell r="L251">
            <v>1.7454545454545454</v>
          </cell>
          <cell r="M251">
            <v>17.454545454545453</v>
          </cell>
          <cell r="N251">
            <v>0.50526315789473686</v>
          </cell>
        </row>
        <row r="252">
          <cell r="A252" t="str">
            <v>7626 БРАУНШВЕЙГСКАЯ с/к с/н мгс 1/100_Л10  ОСТАНКИНО</v>
          </cell>
          <cell r="D252" t="str">
            <v>00-ko011771</v>
          </cell>
          <cell r="F252">
            <v>0.3</v>
          </cell>
          <cell r="G252">
            <v>3</v>
          </cell>
          <cell r="J252">
            <v>0</v>
          </cell>
          <cell r="K252">
            <v>0</v>
          </cell>
          <cell r="L252">
            <v>0</v>
          </cell>
          <cell r="M252">
            <v>0</v>
          </cell>
          <cell r="N252">
            <v>0</v>
          </cell>
        </row>
        <row r="253">
          <cell r="A253" t="str">
            <v>7632 ЭКСТРА Папа может вар п/о 0.4кг 8шт_195к  ОСТАНКИНО</v>
          </cell>
          <cell r="D253" t="str">
            <v>00-ko011715</v>
          </cell>
          <cell r="F253">
            <v>563.20000000000005</v>
          </cell>
          <cell r="G253">
            <v>1408</v>
          </cell>
          <cell r="H253">
            <v>2</v>
          </cell>
          <cell r="I253">
            <v>5</v>
          </cell>
          <cell r="J253">
            <v>193.2</v>
          </cell>
          <cell r="K253">
            <v>483</v>
          </cell>
          <cell r="L253">
            <v>8.7818181818181813</v>
          </cell>
          <cell r="M253">
            <v>21.954545454545453</v>
          </cell>
          <cell r="N253">
            <v>0.34303977272727271</v>
          </cell>
        </row>
        <row r="254">
          <cell r="A254" t="str">
            <v>7647 ХОЧУ ВЕТЧ.ИЗ СВ.ОТРУБА с/н мгс 1/100_Л11  ОСТАНКИНО</v>
          </cell>
          <cell r="D254" t="str">
            <v>00-ko011750</v>
          </cell>
          <cell r="F254">
            <v>15.1</v>
          </cell>
          <cell r="G254">
            <v>151</v>
          </cell>
          <cell r="H254">
            <v>2.2000000000000002</v>
          </cell>
          <cell r="I254">
            <v>22</v>
          </cell>
          <cell r="J254">
            <v>4.5999999999999996</v>
          </cell>
          <cell r="K254">
            <v>46</v>
          </cell>
          <cell r="L254">
            <v>0.20909090909090908</v>
          </cell>
          <cell r="M254">
            <v>2.0909090909090908</v>
          </cell>
          <cell r="N254">
            <v>0.30463576158940397</v>
          </cell>
        </row>
        <row r="255">
          <cell r="A255" t="str">
            <v>7651 ХОЧУ ВЕТЧ.МРАМОР. ПМ с/н мгс 1/100_Л11  ОСТАНКИНО</v>
          </cell>
          <cell r="D255" t="str">
            <v>00-ko011751</v>
          </cell>
          <cell r="F255">
            <v>16.600000000000001</v>
          </cell>
          <cell r="G255">
            <v>166</v>
          </cell>
          <cell r="H255">
            <v>0.9</v>
          </cell>
          <cell r="I255">
            <v>9</v>
          </cell>
          <cell r="J255">
            <v>5.0999999999999996</v>
          </cell>
          <cell r="K255">
            <v>51</v>
          </cell>
          <cell r="L255">
            <v>0.23181818181818181</v>
          </cell>
          <cell r="M255">
            <v>2.3181818181818183</v>
          </cell>
          <cell r="N255">
            <v>0.30722891566265054</v>
          </cell>
        </row>
        <row r="256">
          <cell r="A256" t="str">
            <v>7710 КРАКОВСКАЯ ГОСТ п/к н/о мгс 0.3кг  ОСТАНКИНО</v>
          </cell>
          <cell r="D256" t="str">
            <v>00-ko011800</v>
          </cell>
          <cell r="F256">
            <v>0.9</v>
          </cell>
          <cell r="G256">
            <v>3</v>
          </cell>
          <cell r="J256">
            <v>0.9</v>
          </cell>
          <cell r="K256">
            <v>3</v>
          </cell>
          <cell r="L256">
            <v>4.0909090909090909E-2</v>
          </cell>
          <cell r="M256">
            <v>0.13636363636363635</v>
          </cell>
          <cell r="N256">
            <v>1</v>
          </cell>
        </row>
        <row r="257">
          <cell r="A257" t="str">
            <v>9988421 Творожный Сыр 60 % С маринованными огурчиками и укропом  Останкино</v>
          </cell>
          <cell r="D257" t="str">
            <v>00-ko009363</v>
          </cell>
          <cell r="F257">
            <v>8.1199999999999992</v>
          </cell>
          <cell r="G257">
            <v>58</v>
          </cell>
          <cell r="H257">
            <v>1.68</v>
          </cell>
          <cell r="I257">
            <v>12</v>
          </cell>
          <cell r="J257">
            <v>0.42</v>
          </cell>
          <cell r="K257">
            <v>3</v>
          </cell>
          <cell r="L257">
            <v>1.9090909090909089E-2</v>
          </cell>
          <cell r="M257">
            <v>0.13636363636363635</v>
          </cell>
          <cell r="N257">
            <v>5.1724137931034489E-2</v>
          </cell>
        </row>
        <row r="258">
          <cell r="A258" t="str">
            <v>9988438 Плавленый Сыр 45% "С ветчиной" СТМ"ПапаМожет" 180гр  Останкино</v>
          </cell>
          <cell r="D258" t="str">
            <v>00-ko009361</v>
          </cell>
          <cell r="F258">
            <v>14.22</v>
          </cell>
          <cell r="G258">
            <v>79</v>
          </cell>
          <cell r="J258">
            <v>2.16</v>
          </cell>
          <cell r="K258">
            <v>12</v>
          </cell>
          <cell r="L258">
            <v>9.818181818181819E-2</v>
          </cell>
          <cell r="M258">
            <v>0.54545454545454541</v>
          </cell>
          <cell r="N258">
            <v>0.15189873417721519</v>
          </cell>
        </row>
        <row r="259">
          <cell r="A259" t="str">
            <v>9988445 Плавленый Сыр 45%"С грибами" СТМ"ПапаМожет" 180 гр  Останкино</v>
          </cell>
          <cell r="D259" t="str">
            <v>00-ko009362</v>
          </cell>
          <cell r="F259">
            <v>38.159999999999997</v>
          </cell>
          <cell r="G259">
            <v>212</v>
          </cell>
          <cell r="H259">
            <v>0.9</v>
          </cell>
          <cell r="I259">
            <v>5</v>
          </cell>
          <cell r="J259">
            <v>5.4</v>
          </cell>
          <cell r="K259">
            <v>30</v>
          </cell>
          <cell r="L259">
            <v>0.24545454545454548</v>
          </cell>
          <cell r="M259">
            <v>1.3636363636363635</v>
          </cell>
          <cell r="N259">
            <v>0.14150943396226418</v>
          </cell>
        </row>
        <row r="260">
          <cell r="A260" t="str">
            <v>Cыр Перлини 40% 100гр (8шт)  Останкино</v>
          </cell>
          <cell r="D260" t="str">
            <v>00-ko010565</v>
          </cell>
          <cell r="F260">
            <v>-0.1</v>
          </cell>
          <cell r="G260">
            <v>-1</v>
          </cell>
          <cell r="H260">
            <v>0.1</v>
          </cell>
          <cell r="I260">
            <v>1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</row>
        <row r="261">
          <cell r="A261" t="str">
            <v>Cыр Перлини со вкусом Васаби 40% 100гр (8шт)  Останкино</v>
          </cell>
          <cell r="D261" t="str">
            <v>00-ko010567</v>
          </cell>
          <cell r="F261">
            <v>3.2</v>
          </cell>
          <cell r="G261">
            <v>32</v>
          </cell>
          <cell r="H261">
            <v>1.9</v>
          </cell>
          <cell r="I261">
            <v>19</v>
          </cell>
          <cell r="J261">
            <v>-0.4</v>
          </cell>
          <cell r="K261">
            <v>-4</v>
          </cell>
          <cell r="L261">
            <v>-1.8181818181818184E-2</v>
          </cell>
          <cell r="M261">
            <v>-0.18181818181818182</v>
          </cell>
          <cell r="N261">
            <v>0</v>
          </cell>
        </row>
        <row r="262">
          <cell r="A262" t="str">
            <v>БОНУС_ 334  Паштет Любительский ТМ Стародворье ламистер 0,1 кг  ПОКОМ</v>
          </cell>
          <cell r="D262" t="str">
            <v>00-ko011784</v>
          </cell>
          <cell r="F262">
            <v>14.9</v>
          </cell>
          <cell r="G262">
            <v>149</v>
          </cell>
          <cell r="J262">
            <v>3</v>
          </cell>
          <cell r="K262">
            <v>30</v>
          </cell>
          <cell r="L262">
            <v>0.13636363636363635</v>
          </cell>
          <cell r="M262">
            <v>1.3636363636363635</v>
          </cell>
          <cell r="N262">
            <v>0.20134228187919462</v>
          </cell>
        </row>
        <row r="263">
          <cell r="A263" t="str">
            <v>БОНУС_615  Гречка по-купечески с говядиной и овощами 0,325кг ТМ Стародворье  ПОКОМ</v>
          </cell>
          <cell r="D263" t="str">
            <v>00-ko011755</v>
          </cell>
          <cell r="F263">
            <v>25.35</v>
          </cell>
          <cell r="G263">
            <v>78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</row>
        <row r="264">
          <cell r="A264" t="str">
            <v>БОНУС_Готовые чебупели сочные с мясом ТМ Горячая штучка флоу-пак 0,24 кг  ПОКОМ</v>
          </cell>
          <cell r="D264" t="str">
            <v>00-ko011279</v>
          </cell>
          <cell r="F264">
            <v>60</v>
          </cell>
          <cell r="G264">
            <v>250</v>
          </cell>
          <cell r="J264">
            <v>28.56</v>
          </cell>
          <cell r="K264">
            <v>119</v>
          </cell>
          <cell r="L264">
            <v>1.2981818181818181</v>
          </cell>
          <cell r="M264">
            <v>5.4090909090909092</v>
          </cell>
          <cell r="N264">
            <v>0.47599999999999998</v>
          </cell>
        </row>
        <row r="265">
          <cell r="A265" t="str">
            <v>БОНУС_Наггетсы Нагетосы Сочная курочка ТМ Горячая штучка 0,25 кг зам  ПОКОМ</v>
          </cell>
          <cell r="D265" t="str">
            <v>00-ko011760</v>
          </cell>
          <cell r="F265">
            <v>29.5</v>
          </cell>
          <cell r="G265">
            <v>118</v>
          </cell>
          <cell r="J265">
            <v>15.5</v>
          </cell>
          <cell r="K265">
            <v>62</v>
          </cell>
          <cell r="L265">
            <v>0.70454545454545459</v>
          </cell>
          <cell r="M265">
            <v>2.8181818181818183</v>
          </cell>
          <cell r="N265">
            <v>0.52542372881355937</v>
          </cell>
        </row>
        <row r="266">
          <cell r="A266" t="str">
            <v>БОНУС_Пирожки с мясом 3,7кг ВЕС ТМ Зареченские  ПОКОМ</v>
          </cell>
          <cell r="D266" t="str">
            <v>00-ko011385</v>
          </cell>
          <cell r="F266">
            <v>3.7</v>
          </cell>
          <cell r="G266">
            <v>3.7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</row>
        <row r="267">
          <cell r="A267" t="str">
            <v>Бульмени хрустящие с мясом ТМ Горячая штучка ТС Бульмени ГШ сфера 0,22 кг  Поком</v>
          </cell>
          <cell r="D267" t="str">
            <v>00-ko010601</v>
          </cell>
          <cell r="F267">
            <v>24.2</v>
          </cell>
          <cell r="G267">
            <v>110</v>
          </cell>
          <cell r="J267">
            <v>4.84</v>
          </cell>
          <cell r="K267">
            <v>22</v>
          </cell>
          <cell r="L267">
            <v>0.22</v>
          </cell>
          <cell r="M267">
            <v>1</v>
          </cell>
          <cell r="N267">
            <v>0.2</v>
          </cell>
        </row>
        <row r="268">
          <cell r="A268" t="str">
            <v>Готовые бельмеши сочные с мясом ТМ Горячая штучка 0,3кг зам  ПОКОМ</v>
          </cell>
          <cell r="D268" t="str">
            <v>00-00000996</v>
          </cell>
          <cell r="F268">
            <v>132.6</v>
          </cell>
          <cell r="G268">
            <v>442</v>
          </cell>
          <cell r="J268">
            <v>44.1</v>
          </cell>
          <cell r="K268">
            <v>147</v>
          </cell>
          <cell r="L268">
            <v>2.0045454545454544</v>
          </cell>
          <cell r="M268">
            <v>6.6818181818181817</v>
          </cell>
          <cell r="N268">
            <v>0.33257918552036203</v>
          </cell>
        </row>
        <row r="269">
          <cell r="A269" t="str">
            <v>Готовые хотстеры ТМ Горячая штучка ТС Хотстеры флоу-пак 0,25 кг.  ПОКОМ</v>
          </cell>
          <cell r="D269" t="str">
            <v>00-ko011786</v>
          </cell>
          <cell r="F269">
            <v>8.75</v>
          </cell>
          <cell r="G269">
            <v>35</v>
          </cell>
          <cell r="J269">
            <v>0.75</v>
          </cell>
          <cell r="K269">
            <v>3</v>
          </cell>
          <cell r="L269">
            <v>3.4090909090909088E-2</v>
          </cell>
          <cell r="M269">
            <v>0.13636363636363635</v>
          </cell>
          <cell r="N269">
            <v>8.5714285714285715E-2</v>
          </cell>
        </row>
        <row r="270">
          <cell r="A270" t="str">
            <v>Готовые чебуманы с говядиной ТМ горячая штучка 0,28 кг.  Поком</v>
          </cell>
          <cell r="D270" t="str">
            <v>00-ko010311</v>
          </cell>
          <cell r="F270">
            <v>348.04</v>
          </cell>
          <cell r="G270">
            <v>1243</v>
          </cell>
          <cell r="J270">
            <v>84.84</v>
          </cell>
          <cell r="K270">
            <v>303</v>
          </cell>
          <cell r="L270">
            <v>3.8563636363636364</v>
          </cell>
          <cell r="M270">
            <v>13.772727272727273</v>
          </cell>
          <cell r="N270">
            <v>0.24376508447304907</v>
          </cell>
        </row>
        <row r="271">
          <cell r="A271" t="str">
            <v>Готовые чебупели острые с мясом ТМ Горячая штучка флоу-пак 0,24 кг  Поком</v>
          </cell>
          <cell r="D271" t="str">
            <v>00-ko010683</v>
          </cell>
          <cell r="F271">
            <v>378.24</v>
          </cell>
          <cell r="G271">
            <v>1576</v>
          </cell>
          <cell r="J271">
            <v>160.08000000000001</v>
          </cell>
          <cell r="K271">
            <v>667</v>
          </cell>
          <cell r="L271">
            <v>7.2763636363636373</v>
          </cell>
          <cell r="M271">
            <v>30.318181818181817</v>
          </cell>
          <cell r="N271">
            <v>0.42322335025380714</v>
          </cell>
        </row>
        <row r="272">
          <cell r="A272" t="str">
            <v>Готовые чебупели с ветчиной и сыром 0,24 кг НОВАЯ ТМ Горячая штучка  ПОКОМ</v>
          </cell>
          <cell r="D272" t="str">
            <v>00-ko011788</v>
          </cell>
          <cell r="F272">
            <v>9.84</v>
          </cell>
          <cell r="G272">
            <v>41</v>
          </cell>
          <cell r="J272">
            <v>3.36</v>
          </cell>
          <cell r="K272">
            <v>14</v>
          </cell>
          <cell r="L272">
            <v>0.15272727272727271</v>
          </cell>
          <cell r="M272">
            <v>0.63636363636363635</v>
          </cell>
          <cell r="N272">
            <v>0.34146341463414631</v>
          </cell>
        </row>
        <row r="273">
          <cell r="A273" t="str">
            <v>Готовые чебупели с ветчиной и сыром ТМ Горячая штучка флоу-пак 0,24 кг.  ПОКОМ</v>
          </cell>
          <cell r="D273" t="str">
            <v>00-ko010823</v>
          </cell>
          <cell r="F273">
            <v>436.56</v>
          </cell>
          <cell r="G273">
            <v>1819</v>
          </cell>
          <cell r="J273">
            <v>251.76</v>
          </cell>
          <cell r="K273">
            <v>1049</v>
          </cell>
          <cell r="L273">
            <v>11.443636363636363</v>
          </cell>
          <cell r="M273">
            <v>47.68181818181818</v>
          </cell>
          <cell r="N273">
            <v>0.57669048927982403</v>
          </cell>
        </row>
        <row r="274">
          <cell r="A274" t="str">
            <v>Готовые чебупели с мясом ТМ Горячая штучка 0,24 кг  ПОКОМ</v>
          </cell>
          <cell r="D274" t="str">
            <v>00-ko010809</v>
          </cell>
          <cell r="F274">
            <v>187.2</v>
          </cell>
          <cell r="G274">
            <v>780</v>
          </cell>
          <cell r="H274">
            <v>1.68</v>
          </cell>
          <cell r="I274">
            <v>7</v>
          </cell>
          <cell r="J274">
            <v>103.68</v>
          </cell>
          <cell r="K274">
            <v>432</v>
          </cell>
          <cell r="L274">
            <v>4.7127272727272729</v>
          </cell>
          <cell r="M274">
            <v>19.636363636363637</v>
          </cell>
          <cell r="N274">
            <v>0.55384615384615388</v>
          </cell>
        </row>
        <row r="275">
          <cell r="A275" t="str">
            <v>Готовые чебупели сочные с мясом 0,48 кг НОВАЯ ТМ Горячая штучка флоу-пак МЕГАпачка  ПОКОМ</v>
          </cell>
          <cell r="D275" t="str">
            <v>00-ko011790</v>
          </cell>
          <cell r="F275">
            <v>9.1199999999999992</v>
          </cell>
          <cell r="G275">
            <v>19</v>
          </cell>
          <cell r="H275">
            <v>1.44</v>
          </cell>
          <cell r="I275">
            <v>3</v>
          </cell>
          <cell r="J275">
            <v>1.92</v>
          </cell>
          <cell r="K275">
            <v>4</v>
          </cell>
          <cell r="L275">
            <v>8.7272727272727266E-2</v>
          </cell>
          <cell r="M275">
            <v>0.18181818181818182</v>
          </cell>
          <cell r="N275">
            <v>0.2105263157894737</v>
          </cell>
        </row>
        <row r="276">
          <cell r="A276" t="str">
            <v>Готовые чебупели сочные с мясом ТМ Горячая штучка флоу-пак 0,24 кг  ПОКОМ</v>
          </cell>
          <cell r="D276" t="str">
            <v>00-ko010785</v>
          </cell>
          <cell r="F276">
            <v>389.76</v>
          </cell>
          <cell r="G276">
            <v>1624</v>
          </cell>
          <cell r="H276">
            <v>3.84</v>
          </cell>
          <cell r="I276">
            <v>16</v>
          </cell>
          <cell r="J276">
            <v>203.04</v>
          </cell>
          <cell r="K276">
            <v>846</v>
          </cell>
          <cell r="L276">
            <v>9.2290909090909086</v>
          </cell>
          <cell r="M276">
            <v>38.454545454545453</v>
          </cell>
          <cell r="N276">
            <v>0.52093596059113301</v>
          </cell>
        </row>
        <row r="277">
          <cell r="A277" t="str">
            <v>Готовые чебупели сочные с мясом ТМ Горячая штучка флоу-пак 0,48 кг XXL  Поком</v>
          </cell>
          <cell r="D277" t="str">
            <v>00-ko010599</v>
          </cell>
          <cell r="F277">
            <v>167.04</v>
          </cell>
          <cell r="G277">
            <v>348</v>
          </cell>
          <cell r="J277">
            <v>103.68</v>
          </cell>
          <cell r="K277">
            <v>216</v>
          </cell>
          <cell r="L277">
            <v>4.7127272727272729</v>
          </cell>
          <cell r="M277">
            <v>9.8181818181818183</v>
          </cell>
          <cell r="N277">
            <v>0.62068965517241381</v>
          </cell>
        </row>
        <row r="278">
          <cell r="A278" t="str">
            <v>Готовые чебуреки с мясом ТМ Горячая штучка 0,09 кг флоу-пак ПОКОМ</v>
          </cell>
          <cell r="D278" t="str">
            <v>00-00005599</v>
          </cell>
          <cell r="F278">
            <v>60.12</v>
          </cell>
          <cell r="G278">
            <v>668</v>
          </cell>
          <cell r="J278">
            <v>47.79</v>
          </cell>
          <cell r="K278">
            <v>531</v>
          </cell>
          <cell r="L278">
            <v>2.1722727272727274</v>
          </cell>
          <cell r="M278">
            <v>24.136363636363637</v>
          </cell>
          <cell r="N278">
            <v>0.79491017964071853</v>
          </cell>
        </row>
        <row r="279">
          <cell r="A279" t="str">
            <v>Готовые чебуреки со свининой и говядиной ТМ Горячая штучка ТС Базовый ассортимент 0,36 кг  ПОКОМ</v>
          </cell>
          <cell r="D279" t="str">
            <v>00-00008520</v>
          </cell>
          <cell r="F279">
            <v>116.64</v>
          </cell>
          <cell r="G279">
            <v>324</v>
          </cell>
          <cell r="J279">
            <v>57.96</v>
          </cell>
          <cell r="K279">
            <v>161</v>
          </cell>
          <cell r="L279">
            <v>2.6345454545454547</v>
          </cell>
          <cell r="M279">
            <v>7.3181818181818183</v>
          </cell>
          <cell r="N279">
            <v>0.49691358024691357</v>
          </cell>
        </row>
        <row r="280">
          <cell r="A280" t="str">
            <v>Жареные вареники с картофелем и беконом ТМ Стародворье 0,2 кг  ПОКОМ</v>
          </cell>
          <cell r="D280" t="str">
            <v>00-ko011549</v>
          </cell>
          <cell r="F280">
            <v>35.6</v>
          </cell>
          <cell r="G280">
            <v>178</v>
          </cell>
          <cell r="J280">
            <v>14</v>
          </cell>
          <cell r="K280">
            <v>70</v>
          </cell>
          <cell r="L280">
            <v>0.63636363636363635</v>
          </cell>
          <cell r="M280">
            <v>3.1818181818181817</v>
          </cell>
          <cell r="N280">
            <v>0.3932584269662921</v>
          </cell>
        </row>
        <row r="281">
          <cell r="A281" t="str">
            <v>Круггетсы с сырным соусом ТМ Горячая штучка ТС Круггетсы флоу-пак 0,2 кг  ПОКОМ</v>
          </cell>
          <cell r="D281" t="str">
            <v>00-ko010824</v>
          </cell>
          <cell r="F281">
            <v>225.4</v>
          </cell>
          <cell r="G281">
            <v>1127</v>
          </cell>
          <cell r="J281">
            <v>159.19999999999999</v>
          </cell>
          <cell r="K281">
            <v>796</v>
          </cell>
          <cell r="L281">
            <v>7.2363636363636354</v>
          </cell>
          <cell r="M281">
            <v>36.18181818181818</v>
          </cell>
          <cell r="N281">
            <v>0.70629991126885527</v>
          </cell>
        </row>
        <row r="282">
          <cell r="A282" t="str">
            <v>Круггетсы сочные ТМ Горячая штучка ТС Круггетсы флоу-пак  0,2 кг.  ПОКОМ</v>
          </cell>
          <cell r="D282" t="str">
            <v>00-ko010825</v>
          </cell>
          <cell r="F282">
            <v>160.19999999999999</v>
          </cell>
          <cell r="G282">
            <v>801</v>
          </cell>
          <cell r="J282">
            <v>118.8</v>
          </cell>
          <cell r="K282">
            <v>594</v>
          </cell>
          <cell r="L282">
            <v>5.3999999999999995</v>
          </cell>
          <cell r="M282">
            <v>27</v>
          </cell>
          <cell r="N282">
            <v>0.7415730337078652</v>
          </cell>
        </row>
        <row r="283">
          <cell r="A283" t="str">
            <v>Масло "Папа может" 82,5% 180гр  Останкино</v>
          </cell>
          <cell r="D283" t="str">
            <v>00-ko009727</v>
          </cell>
          <cell r="F283">
            <v>254.34</v>
          </cell>
          <cell r="G283">
            <v>1413</v>
          </cell>
          <cell r="H283">
            <v>3.06</v>
          </cell>
          <cell r="I283">
            <v>17</v>
          </cell>
          <cell r="J283">
            <v>37.08</v>
          </cell>
          <cell r="K283">
            <v>206</v>
          </cell>
          <cell r="L283">
            <v>1.6854545454545453</v>
          </cell>
          <cell r="M283">
            <v>9.3636363636363633</v>
          </cell>
          <cell r="N283">
            <v>0.14578910120311395</v>
          </cell>
        </row>
        <row r="284">
          <cell r="A284" t="str">
            <v>Масло сливочное 72,5 % 180 гр.(10 шт) СЛАВЯНА  Останкино</v>
          </cell>
          <cell r="D284" t="str">
            <v>00-ko009671</v>
          </cell>
          <cell r="F284">
            <v>137.88</v>
          </cell>
          <cell r="G284">
            <v>766</v>
          </cell>
          <cell r="H284">
            <v>8.82</v>
          </cell>
          <cell r="I284">
            <v>49</v>
          </cell>
          <cell r="J284">
            <v>15.66</v>
          </cell>
          <cell r="K284">
            <v>87</v>
          </cell>
          <cell r="L284">
            <v>0.71181818181818179</v>
          </cell>
          <cell r="M284">
            <v>3.9545454545454546</v>
          </cell>
          <cell r="N284">
            <v>0.11357702349869452</v>
          </cell>
        </row>
        <row r="285">
          <cell r="A285" t="str">
            <v>Мини-сосиски в ароматном тесте ВЕС ТМ Зареченские продукты  ПОКОМ</v>
          </cell>
          <cell r="D285" t="str">
            <v>00-ko011774</v>
          </cell>
          <cell r="F285">
            <v>22.8</v>
          </cell>
          <cell r="G285">
            <v>22.8</v>
          </cell>
          <cell r="J285">
            <v>19.8</v>
          </cell>
          <cell r="K285">
            <v>19.8</v>
          </cell>
          <cell r="L285">
            <v>0.9</v>
          </cell>
          <cell r="M285">
            <v>0.9</v>
          </cell>
          <cell r="N285">
            <v>0.86842105263157898</v>
          </cell>
        </row>
        <row r="286">
          <cell r="A286" t="str">
            <v>Мини-сосиски в тесте 5кг ВЕС ТМ Зареченские  ПОКОМ</v>
          </cell>
          <cell r="D286" t="str">
            <v>00-ko011470</v>
          </cell>
          <cell r="F286">
            <v>200</v>
          </cell>
          <cell r="G286">
            <v>200</v>
          </cell>
          <cell r="J286">
            <v>110</v>
          </cell>
          <cell r="K286">
            <v>110</v>
          </cell>
          <cell r="L286">
            <v>5</v>
          </cell>
          <cell r="M286">
            <v>5</v>
          </cell>
          <cell r="N286">
            <v>0.55000000000000004</v>
          </cell>
        </row>
        <row r="287">
          <cell r="A287" t="str">
            <v>Мини-шарики с курочкой и сыром ТМ Зареченские ВЕС ПОКОМ</v>
          </cell>
          <cell r="D287" t="str">
            <v>00-ko009757</v>
          </cell>
          <cell r="F287">
            <v>162</v>
          </cell>
          <cell r="G287">
            <v>162</v>
          </cell>
          <cell r="J287">
            <v>69</v>
          </cell>
          <cell r="K287">
            <v>69</v>
          </cell>
          <cell r="L287">
            <v>3.1363636363636362</v>
          </cell>
          <cell r="M287">
            <v>3.1363636363636362</v>
          </cell>
          <cell r="N287">
            <v>0.42592592592592593</v>
          </cell>
        </row>
        <row r="288">
          <cell r="A288" t="str">
            <v>Наггетсы из печи 0,25кг ТМ Вязанка замор.  ПОКОМ</v>
          </cell>
          <cell r="D288" t="str">
            <v>00-00006147</v>
          </cell>
          <cell r="F288">
            <v>389</v>
          </cell>
          <cell r="G288">
            <v>1556</v>
          </cell>
          <cell r="J288">
            <v>141.75</v>
          </cell>
          <cell r="K288">
            <v>567</v>
          </cell>
          <cell r="L288">
            <v>6.4431818181818183</v>
          </cell>
          <cell r="M288">
            <v>25.772727272727273</v>
          </cell>
          <cell r="N288">
            <v>0.36439588688946017</v>
          </cell>
        </row>
        <row r="289">
          <cell r="A289" t="str">
            <v>Наггетсы Нагетосы Сочная курочка со сметаной и зеленью ТМ Горячая штучка флоу-пак 0,25 кг  Поком</v>
          </cell>
          <cell r="D289" t="str">
            <v>00-ko010740</v>
          </cell>
          <cell r="F289">
            <v>165</v>
          </cell>
          <cell r="G289">
            <v>660</v>
          </cell>
          <cell r="J289">
            <v>95.75</v>
          </cell>
          <cell r="K289">
            <v>383</v>
          </cell>
          <cell r="L289">
            <v>4.3522727272727275</v>
          </cell>
          <cell r="M289">
            <v>17.40909090909091</v>
          </cell>
          <cell r="N289">
            <v>0.58030303030303032</v>
          </cell>
        </row>
        <row r="290">
          <cell r="A290" t="str">
            <v>Наггетсы Нагетосы Сочная курочка ТМ Горячая штучка 0,25 кг зам  ПОКОМ</v>
          </cell>
          <cell r="D290" t="str">
            <v>00-00006204</v>
          </cell>
          <cell r="F290">
            <v>504.25</v>
          </cell>
          <cell r="G290">
            <v>2017</v>
          </cell>
          <cell r="H290">
            <v>1.5</v>
          </cell>
          <cell r="I290">
            <v>6</v>
          </cell>
          <cell r="J290">
            <v>288</v>
          </cell>
          <cell r="K290">
            <v>1152</v>
          </cell>
          <cell r="L290">
            <v>13.090909090909092</v>
          </cell>
          <cell r="M290">
            <v>52.363636363636367</v>
          </cell>
          <cell r="N290">
            <v>0.57114526524541398</v>
          </cell>
        </row>
        <row r="291">
          <cell r="A291" t="str">
            <v>Наггетсы с индейкой 0,25кг ТМ Вязанка ТС Из печи Сливушки ПОКОМ</v>
          </cell>
          <cell r="D291" t="str">
            <v>00-ko009536</v>
          </cell>
          <cell r="F291">
            <v>329.5</v>
          </cell>
          <cell r="G291">
            <v>1318</v>
          </cell>
          <cell r="J291">
            <v>169</v>
          </cell>
          <cell r="K291">
            <v>676</v>
          </cell>
          <cell r="L291">
            <v>7.6818181818181817</v>
          </cell>
          <cell r="M291">
            <v>30.727272727272727</v>
          </cell>
          <cell r="N291">
            <v>0.51289833080424885</v>
          </cell>
        </row>
        <row r="292">
          <cell r="A292" t="str">
            <v>Наггетсы с куриным филе и сыром ТМ Вязанка ТС Из печи Сливушки 0,25 кг.  Поком</v>
          </cell>
          <cell r="D292" t="str">
            <v>00-ko009301</v>
          </cell>
          <cell r="F292">
            <v>230.25</v>
          </cell>
          <cell r="G292">
            <v>921</v>
          </cell>
          <cell r="J292">
            <v>131.75</v>
          </cell>
          <cell r="K292">
            <v>527</v>
          </cell>
          <cell r="L292">
            <v>5.9886363636363633</v>
          </cell>
          <cell r="M292">
            <v>23.954545454545453</v>
          </cell>
          <cell r="N292">
            <v>0.57220412595005432</v>
          </cell>
        </row>
        <row r="293">
          <cell r="A293" t="str">
            <v>Наггетсы Хрустящие ТМ Зареченские ТС Зареченские продукты. Поком</v>
          </cell>
          <cell r="D293" t="str">
            <v>00-00009290</v>
          </cell>
          <cell r="F293">
            <v>396</v>
          </cell>
          <cell r="G293">
            <v>396</v>
          </cell>
          <cell r="J293">
            <v>114</v>
          </cell>
          <cell r="K293">
            <v>114</v>
          </cell>
          <cell r="L293">
            <v>5.1818181818181817</v>
          </cell>
          <cell r="M293">
            <v>5.1818181818181817</v>
          </cell>
          <cell r="N293">
            <v>0.2878787878787879</v>
          </cell>
        </row>
        <row r="294">
          <cell r="A294" t="str">
            <v>Наггетсы Хрустящие ТМ Стародворье с сочной курочкой 0,23 кг  ПОКОМ</v>
          </cell>
          <cell r="D294" t="str">
            <v>00-ko010776</v>
          </cell>
          <cell r="F294">
            <v>75.44</v>
          </cell>
          <cell r="G294">
            <v>328</v>
          </cell>
          <cell r="J294">
            <v>37.26</v>
          </cell>
          <cell r="K294">
            <v>162</v>
          </cell>
          <cell r="L294">
            <v>1.6936363636363636</v>
          </cell>
          <cell r="M294">
            <v>7.3636363636363633</v>
          </cell>
          <cell r="N294">
            <v>0.49390243902439024</v>
          </cell>
        </row>
        <row r="295">
          <cell r="A295" t="str">
            <v>Пекерсы с индейкой в сливочном соусе ТМ Горячая штучка 0,25 кг зам  ПОКОМ</v>
          </cell>
          <cell r="D295" t="str">
            <v>00-00005722</v>
          </cell>
          <cell r="F295">
            <v>145</v>
          </cell>
          <cell r="G295">
            <v>580</v>
          </cell>
          <cell r="J295">
            <v>96.75</v>
          </cell>
          <cell r="K295">
            <v>387</v>
          </cell>
          <cell r="L295">
            <v>4.3977272727272725</v>
          </cell>
          <cell r="M295">
            <v>17.59090909090909</v>
          </cell>
          <cell r="N295">
            <v>0.66724137931034477</v>
          </cell>
        </row>
        <row r="296">
          <cell r="A296" t="str">
            <v>Пельмени Grandmeni с говядиной и свининой ТМ Горячаяштучка флоу-па классическая форма 0,7 кг.  Поком</v>
          </cell>
          <cell r="D296" t="str">
            <v>00-ko010309</v>
          </cell>
          <cell r="F296">
            <v>212.8</v>
          </cell>
          <cell r="G296">
            <v>304</v>
          </cell>
          <cell r="J296">
            <v>113.4</v>
          </cell>
          <cell r="K296">
            <v>162</v>
          </cell>
          <cell r="L296">
            <v>5.1545454545454552</v>
          </cell>
          <cell r="M296">
            <v>7.3636363636363633</v>
          </cell>
          <cell r="N296">
            <v>0.53289473684210531</v>
          </cell>
        </row>
        <row r="297">
          <cell r="A297" t="str">
            <v>Пельмени Grandmeni с говядиной ТМ Горячаяштучка флоу-пак сфера 0,7 кг.  Поком</v>
          </cell>
          <cell r="D297" t="str">
            <v>00-ko010308</v>
          </cell>
          <cell r="F297">
            <v>345.8</v>
          </cell>
          <cell r="G297">
            <v>494</v>
          </cell>
          <cell r="J297">
            <v>179.9</v>
          </cell>
          <cell r="K297">
            <v>257</v>
          </cell>
          <cell r="L297">
            <v>8.1772727272727277</v>
          </cell>
          <cell r="M297">
            <v>11.681818181818182</v>
          </cell>
          <cell r="N297">
            <v>0.52024291497975705</v>
          </cell>
        </row>
        <row r="298">
          <cell r="A298" t="str">
            <v>Пельмени Grandmeni со сливочным маслом  ТМ Горячая штучка флоу-пак сфера 0,7 кг.  Поком</v>
          </cell>
          <cell r="D298" t="str">
            <v>00-ko010310</v>
          </cell>
          <cell r="F298">
            <v>36.4</v>
          </cell>
          <cell r="G298">
            <v>52</v>
          </cell>
          <cell r="H298">
            <v>3.5</v>
          </cell>
          <cell r="I298">
            <v>5</v>
          </cell>
          <cell r="J298">
            <v>19.600000000000001</v>
          </cell>
          <cell r="K298">
            <v>28</v>
          </cell>
          <cell r="L298">
            <v>0.89090909090909098</v>
          </cell>
          <cell r="M298">
            <v>1.2727272727272727</v>
          </cell>
          <cell r="N298">
            <v>0.53846153846153855</v>
          </cell>
        </row>
        <row r="299">
          <cell r="A299" t="str">
            <v>Пельмени Бигбули #МЕГАВКУСИЩЕ с сочной грудинкой  ТМ Горячая штучка  флоу-пак сфера 0,7 кг.  Поком</v>
          </cell>
          <cell r="D299" t="str">
            <v>00-ko009913</v>
          </cell>
          <cell r="F299">
            <v>881.3</v>
          </cell>
          <cell r="G299">
            <v>1259</v>
          </cell>
          <cell r="H299">
            <v>2.8</v>
          </cell>
          <cell r="I299">
            <v>4</v>
          </cell>
          <cell r="J299">
            <v>462.7</v>
          </cell>
          <cell r="K299">
            <v>661</v>
          </cell>
          <cell r="L299">
            <v>21.031818181818181</v>
          </cell>
          <cell r="M299">
            <v>30.045454545454547</v>
          </cell>
          <cell r="N299">
            <v>0.52501985702938847</v>
          </cell>
        </row>
        <row r="300">
          <cell r="A300" t="str">
            <v>Пельмени Бигбули с мясом ТМ Горячая штучка БУЛЬМЕНИ ТС Бигбули ГШ  флоу-пак сфера 0,7.   Поком</v>
          </cell>
          <cell r="D300" t="str">
            <v>00-ko010165</v>
          </cell>
          <cell r="F300">
            <v>585.9</v>
          </cell>
          <cell r="G300">
            <v>837</v>
          </cell>
          <cell r="J300">
            <v>385.7</v>
          </cell>
          <cell r="K300">
            <v>551</v>
          </cell>
          <cell r="L300">
            <v>17.531818181818181</v>
          </cell>
          <cell r="M300">
            <v>25.045454545454547</v>
          </cell>
          <cell r="N300">
            <v>0.65830346475507762</v>
          </cell>
        </row>
        <row r="301">
          <cell r="A301" t="str">
            <v>Пельмени Бигбули со сливочным маслом  ТС Бигбули ГШ#МЕГАМАСЛИЩЕ флоу-пак сфера 0,7.  Поком</v>
          </cell>
          <cell r="D301" t="str">
            <v>00-ko010164</v>
          </cell>
          <cell r="F301">
            <v>931.7</v>
          </cell>
          <cell r="G301">
            <v>1331</v>
          </cell>
          <cell r="H301">
            <v>23.1</v>
          </cell>
          <cell r="I301">
            <v>33</v>
          </cell>
          <cell r="J301">
            <v>501.2</v>
          </cell>
          <cell r="K301">
            <v>716</v>
          </cell>
          <cell r="L301">
            <v>22.781818181818181</v>
          </cell>
          <cell r="M301">
            <v>32.545454545454547</v>
          </cell>
          <cell r="N301">
            <v>0.5379413974455296</v>
          </cell>
        </row>
        <row r="302">
          <cell r="A302" t="str">
            <v>Пельмени Бульмени мини с мясом и оливковым маслом  ТС Бульмени ГШ флоу-пак сфера 0,7кг  Поком</v>
          </cell>
          <cell r="D302" t="str">
            <v>00-ko010600</v>
          </cell>
          <cell r="F302">
            <v>366.8</v>
          </cell>
          <cell r="G302">
            <v>524</v>
          </cell>
          <cell r="H302">
            <v>3.5</v>
          </cell>
          <cell r="I302">
            <v>5</v>
          </cell>
          <cell r="J302">
            <v>144.19999999999999</v>
          </cell>
          <cell r="K302">
            <v>206</v>
          </cell>
          <cell r="L302">
            <v>6.5545454545454538</v>
          </cell>
          <cell r="M302">
            <v>9.3636363636363633</v>
          </cell>
          <cell r="N302">
            <v>0.39312977099236635</v>
          </cell>
        </row>
        <row r="303">
          <cell r="A303" t="str">
            <v>Пельмени Бульмени с говядиной и свининой Наваристые Горячая штучка ВЕС  ПОКОМ</v>
          </cell>
          <cell r="D303" t="str">
            <v>00-00006393</v>
          </cell>
          <cell r="F303">
            <v>2425</v>
          </cell>
          <cell r="G303">
            <v>2425</v>
          </cell>
          <cell r="J303">
            <v>1890</v>
          </cell>
          <cell r="K303">
            <v>1890</v>
          </cell>
          <cell r="L303">
            <v>85.909090909090907</v>
          </cell>
          <cell r="M303">
            <v>85.909090909090907</v>
          </cell>
          <cell r="N303">
            <v>0.77938144329896908</v>
          </cell>
        </row>
        <row r="304">
          <cell r="A304" t="str">
            <v>Пельмени Бульмени с говядиной и свининой ТМ Горячая штучка  флоу-пак сфера 0,4 кг  Поком</v>
          </cell>
          <cell r="D304" t="str">
            <v>00-ko009907</v>
          </cell>
          <cell r="F304">
            <v>182.8</v>
          </cell>
          <cell r="G304">
            <v>457</v>
          </cell>
          <cell r="H304">
            <v>3.2</v>
          </cell>
          <cell r="I304">
            <v>8</v>
          </cell>
          <cell r="J304">
            <v>89.2</v>
          </cell>
          <cell r="K304">
            <v>223</v>
          </cell>
          <cell r="L304">
            <v>4.0545454545454547</v>
          </cell>
          <cell r="M304">
            <v>10.136363636363637</v>
          </cell>
          <cell r="N304">
            <v>0.48796498905908092</v>
          </cell>
        </row>
        <row r="305">
          <cell r="A305" t="str">
            <v>Пельмени Бульмени с говядиной и свининой ТМ Горячая штучка БУЛЬМЕНИ  флоу-пак сфера 0,7 кг.  Поком</v>
          </cell>
          <cell r="D305" t="str">
            <v>00-ko009908</v>
          </cell>
          <cell r="F305">
            <v>1971.9</v>
          </cell>
          <cell r="G305">
            <v>2817</v>
          </cell>
          <cell r="H305">
            <v>3.5</v>
          </cell>
          <cell r="I305">
            <v>5</v>
          </cell>
          <cell r="J305">
            <v>1202.5999999999999</v>
          </cell>
          <cell r="K305">
            <v>1718</v>
          </cell>
          <cell r="L305">
            <v>54.663636363636357</v>
          </cell>
          <cell r="M305">
            <v>78.090909090909093</v>
          </cell>
          <cell r="N305">
            <v>0.60986865459708905</v>
          </cell>
        </row>
        <row r="306">
          <cell r="A306" t="str">
            <v>Пельмени Бульмени со сливочным маслом ТМ Горячая штучка  флоу-пак сфера 0,4 кг .  Поком</v>
          </cell>
          <cell r="D306" t="str">
            <v>00-ko009909</v>
          </cell>
          <cell r="F306">
            <v>784.4</v>
          </cell>
          <cell r="G306">
            <v>1961</v>
          </cell>
          <cell r="H306">
            <v>2.8</v>
          </cell>
          <cell r="I306">
            <v>7</v>
          </cell>
          <cell r="J306">
            <v>349.2</v>
          </cell>
          <cell r="K306">
            <v>873</v>
          </cell>
          <cell r="L306">
            <v>15.872727272727273</v>
          </cell>
          <cell r="M306">
            <v>39.68181818181818</v>
          </cell>
          <cell r="N306">
            <v>0.44518103008669047</v>
          </cell>
        </row>
        <row r="307">
          <cell r="A307" t="str">
            <v>Пельмени Бульмени со сливочным маслом ТМ Горячая штучка флоу-пак сфера 0,7 кг .  Поком</v>
          </cell>
          <cell r="D307" t="str">
            <v>00-ko009910</v>
          </cell>
          <cell r="F307">
            <v>2564.8000000000002</v>
          </cell>
          <cell r="G307">
            <v>3664</v>
          </cell>
          <cell r="J307">
            <v>1205.4000000000001</v>
          </cell>
          <cell r="K307">
            <v>1722</v>
          </cell>
          <cell r="L307">
            <v>54.790909090909096</v>
          </cell>
          <cell r="M307">
            <v>78.272727272727266</v>
          </cell>
          <cell r="N307">
            <v>0.46997816593886466</v>
          </cell>
        </row>
        <row r="308">
          <cell r="A308" t="str">
            <v>Пельмени Домашние со сливочным маслом ТМ Зареченские  продукты флоу-пак сфера 0,7 кг.  Поком</v>
          </cell>
          <cell r="D308" t="str">
            <v>00-ko009737</v>
          </cell>
          <cell r="F308">
            <v>431.2</v>
          </cell>
          <cell r="G308">
            <v>616</v>
          </cell>
          <cell r="J308">
            <v>14</v>
          </cell>
          <cell r="K308">
            <v>20</v>
          </cell>
          <cell r="L308">
            <v>0.63636363636363635</v>
          </cell>
          <cell r="M308">
            <v>0.90909090909090906</v>
          </cell>
          <cell r="N308">
            <v>3.2467532467532471E-2</v>
          </cell>
        </row>
        <row r="309">
          <cell r="A309" t="str">
            <v>Пельмени Медвежье ушко Премиум Мясные ТМ Медвежье ушко классическая форма флоу-пак 0,8 кг. ПОКОМ</v>
          </cell>
          <cell r="D309" t="str">
            <v>00-ko011722</v>
          </cell>
          <cell r="F309">
            <v>191.2</v>
          </cell>
          <cell r="G309">
            <v>239</v>
          </cell>
          <cell r="J309">
            <v>48</v>
          </cell>
          <cell r="K309">
            <v>60</v>
          </cell>
          <cell r="L309">
            <v>2.1818181818181817</v>
          </cell>
          <cell r="M309">
            <v>2.7272727272727271</v>
          </cell>
          <cell r="N309">
            <v>0.2510460251046025</v>
          </cell>
        </row>
        <row r="310">
          <cell r="A310" t="str">
            <v>Пельмени Мясные с говядиной ТМ Стародворье сфера флоу-пак 1 кг  ПОКОМ</v>
          </cell>
          <cell r="D310" t="str">
            <v>00-ko010777</v>
          </cell>
          <cell r="F310">
            <v>713</v>
          </cell>
          <cell r="G310">
            <v>713</v>
          </cell>
          <cell r="H310">
            <v>6</v>
          </cell>
          <cell r="I310">
            <v>6</v>
          </cell>
          <cell r="J310">
            <v>331</v>
          </cell>
          <cell r="K310">
            <v>331</v>
          </cell>
          <cell r="L310">
            <v>15.045454545454545</v>
          </cell>
          <cell r="M310">
            <v>15.045454545454545</v>
          </cell>
          <cell r="N310">
            <v>0.46423562412342217</v>
          </cell>
        </row>
        <row r="311">
          <cell r="A311" t="str">
            <v>Пельмени Отборные из свинины и говядины 0,9 кг ТМ Стародворье ТС Медвежье ушко  ПОКОМ</v>
          </cell>
          <cell r="D311" t="str">
            <v>00-00005724</v>
          </cell>
          <cell r="F311">
            <v>259.2</v>
          </cell>
          <cell r="G311">
            <v>288</v>
          </cell>
          <cell r="J311">
            <v>81.900000000000006</v>
          </cell>
          <cell r="K311">
            <v>91</v>
          </cell>
          <cell r="L311">
            <v>3.7227272727272731</v>
          </cell>
          <cell r="M311">
            <v>4.1363636363636367</v>
          </cell>
          <cell r="N311">
            <v>0.31597222222222227</v>
          </cell>
        </row>
        <row r="312">
          <cell r="A312" t="str">
            <v>Пельмени Отборные с говядиной 0,9 кг НОВА ТМ Стародворье ТС Медвежье ушко  ПОКОМ</v>
          </cell>
          <cell r="D312" t="str">
            <v>00-00006296</v>
          </cell>
          <cell r="F312">
            <v>157.5</v>
          </cell>
          <cell r="G312">
            <v>175</v>
          </cell>
          <cell r="H312">
            <v>1.8</v>
          </cell>
          <cell r="I312">
            <v>2</v>
          </cell>
          <cell r="J312">
            <v>40.5</v>
          </cell>
          <cell r="K312">
            <v>45</v>
          </cell>
          <cell r="L312">
            <v>1.8409090909090908</v>
          </cell>
          <cell r="M312">
            <v>2.0454545454545454</v>
          </cell>
          <cell r="N312">
            <v>0.25714285714285712</v>
          </cell>
        </row>
        <row r="313">
          <cell r="A313" t="str">
            <v>Пельмени С говядиной и свининой, ВЕС, ТМ Славница сфера пуговки  ПОКОМ</v>
          </cell>
          <cell r="D313" t="str">
            <v>00-00005600</v>
          </cell>
          <cell r="F313">
            <v>825</v>
          </cell>
          <cell r="G313">
            <v>825</v>
          </cell>
          <cell r="J313">
            <v>195</v>
          </cell>
          <cell r="K313">
            <v>195</v>
          </cell>
          <cell r="L313">
            <v>8.8636363636363633</v>
          </cell>
          <cell r="M313">
            <v>8.8636363636363633</v>
          </cell>
          <cell r="N313">
            <v>0.23636363636363636</v>
          </cell>
        </row>
        <row r="314">
          <cell r="A314" t="str">
            <v>Пельмени Со свининой и говядиной ТМ Особый рецепт Любимая ложка 1,0 кг  ПОКОМ</v>
          </cell>
          <cell r="D314" t="str">
            <v>00-00006247</v>
          </cell>
          <cell r="F314">
            <v>223</v>
          </cell>
          <cell r="G314">
            <v>223</v>
          </cell>
          <cell r="J314">
            <v>38</v>
          </cell>
          <cell r="K314">
            <v>38</v>
          </cell>
          <cell r="L314">
            <v>1.7272727272727273</v>
          </cell>
          <cell r="M314">
            <v>1.7272727272727273</v>
          </cell>
          <cell r="N314">
            <v>0.17040358744394618</v>
          </cell>
        </row>
        <row r="315">
          <cell r="A315" t="str">
            <v>Пирожки с мясом 3,7кг ВЕС ТМ Зареченские  ПОКОМ</v>
          </cell>
          <cell r="D315" t="str">
            <v>00-ko009753</v>
          </cell>
          <cell r="F315">
            <v>14.8</v>
          </cell>
          <cell r="G315">
            <v>14.8</v>
          </cell>
          <cell r="J315">
            <v>7.4</v>
          </cell>
          <cell r="K315">
            <v>7.4</v>
          </cell>
          <cell r="L315">
            <v>0.33636363636363636</v>
          </cell>
          <cell r="M315">
            <v>0.33636363636363636</v>
          </cell>
          <cell r="N315">
            <v>0.5</v>
          </cell>
        </row>
        <row r="316">
          <cell r="A316" t="str">
            <v>Плавленый продукт с Сыром колбасный копченый 40% СТМ "Коровино" 400гр  Останкино</v>
          </cell>
          <cell r="D316" t="str">
            <v>00-ko009522</v>
          </cell>
          <cell r="H316">
            <v>0.4</v>
          </cell>
          <cell r="I316">
            <v>1</v>
          </cell>
          <cell r="J316">
            <v>-0.4</v>
          </cell>
          <cell r="K316">
            <v>-1</v>
          </cell>
          <cell r="L316">
            <v>-1.8181818181818184E-2</v>
          </cell>
          <cell r="M316">
            <v>-4.5454545454545456E-2</v>
          </cell>
          <cell r="N316" t="e">
            <v>#DIV/0!</v>
          </cell>
        </row>
        <row r="317">
          <cell r="A317" t="str">
            <v>Плавленый сыр "Шоколадный" 30% 180гр Папа Может Останкино</v>
          </cell>
          <cell r="D317" t="str">
            <v>00-ko011445</v>
          </cell>
          <cell r="F317">
            <v>7.38</v>
          </cell>
          <cell r="G317">
            <v>41</v>
          </cell>
          <cell r="J317">
            <v>0.9</v>
          </cell>
          <cell r="K317">
            <v>5</v>
          </cell>
          <cell r="L317">
            <v>4.0909090909090909E-2</v>
          </cell>
          <cell r="M317">
            <v>0.22727272727272727</v>
          </cell>
          <cell r="N317">
            <v>0.12195121951219513</v>
          </cell>
        </row>
        <row r="318">
          <cell r="A318" t="str">
            <v>Плавленый Сыр колбасный копченый 40% СТМ"ПапаМожет"400гр  Останкино</v>
          </cell>
          <cell r="D318" t="str">
            <v>00-ko009521</v>
          </cell>
          <cell r="F318">
            <v>7.2</v>
          </cell>
          <cell r="G318">
            <v>18</v>
          </cell>
          <cell r="J318">
            <v>1.6</v>
          </cell>
          <cell r="K318">
            <v>4</v>
          </cell>
          <cell r="L318">
            <v>7.2727272727272738E-2</v>
          </cell>
          <cell r="M318">
            <v>0.18181818181818182</v>
          </cell>
          <cell r="N318">
            <v>0.22222222222222224</v>
          </cell>
        </row>
        <row r="319">
          <cell r="A319" t="str">
            <v>Продукт По-Росийски Классический с ЗМЖ 50% ВЕС Коровино Останкино</v>
          </cell>
          <cell r="D319" t="str">
            <v>00-ko011450</v>
          </cell>
          <cell r="F319">
            <v>-1.8080000000000001</v>
          </cell>
          <cell r="G319">
            <v>-1.8080000000000001</v>
          </cell>
          <cell r="H319">
            <v>1.8080000000000001</v>
          </cell>
          <cell r="I319">
            <v>1.8080000000000001</v>
          </cell>
          <cell r="J319">
            <v>0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</row>
        <row r="320">
          <cell r="A320" t="str">
            <v>Сыр "Пармезан" 40% кусок 180 гр  ОСТАНКИНО</v>
          </cell>
          <cell r="D320" t="str">
            <v>00-00008903</v>
          </cell>
          <cell r="F320">
            <v>1.08</v>
          </cell>
          <cell r="G320">
            <v>6</v>
          </cell>
          <cell r="H320">
            <v>1.26</v>
          </cell>
          <cell r="I320">
            <v>7</v>
          </cell>
          <cell r="J320">
            <v>1.26</v>
          </cell>
          <cell r="K320">
            <v>7</v>
          </cell>
          <cell r="L320">
            <v>5.7272727272727274E-2</v>
          </cell>
          <cell r="M320">
            <v>0.31818181818181818</v>
          </cell>
          <cell r="N320">
            <v>1.1666666666666665</v>
          </cell>
        </row>
        <row r="321">
          <cell r="A321" t="str">
            <v>Сыр Боккончини копченый 40% 100 гр.  ОСТАНКИНО</v>
          </cell>
          <cell r="D321" t="str">
            <v>00-00008885</v>
          </cell>
          <cell r="F321">
            <v>25.4</v>
          </cell>
          <cell r="G321">
            <v>254</v>
          </cell>
          <cell r="H321">
            <v>0.4</v>
          </cell>
          <cell r="I321">
            <v>4</v>
          </cell>
          <cell r="J321">
            <v>12.1</v>
          </cell>
          <cell r="K321">
            <v>121</v>
          </cell>
          <cell r="L321">
            <v>0.54999999999999993</v>
          </cell>
          <cell r="M321">
            <v>5.5</v>
          </cell>
          <cell r="N321">
            <v>0.4763779527559055</v>
          </cell>
        </row>
        <row r="322">
          <cell r="A322" t="str">
            <v>Сыр Косичка сырная 45% 100г/8шт Папа Может Останкино</v>
          </cell>
          <cell r="D322" t="str">
            <v>00-ko011451</v>
          </cell>
          <cell r="F322">
            <v>59.3</v>
          </cell>
          <cell r="G322">
            <v>593</v>
          </cell>
          <cell r="H322">
            <v>2.6</v>
          </cell>
          <cell r="I322">
            <v>26</v>
          </cell>
          <cell r="J322">
            <v>21.9</v>
          </cell>
          <cell r="K322">
            <v>219</v>
          </cell>
          <cell r="L322">
            <v>0.99545454545454537</v>
          </cell>
          <cell r="M322">
            <v>9.954545454545455</v>
          </cell>
          <cell r="N322">
            <v>0.36930860033726814</v>
          </cell>
        </row>
        <row r="323">
          <cell r="A323" t="str">
            <v>Сыр Косичка сырная копченая 43% 100г/8шт Папа Может Останкино</v>
          </cell>
          <cell r="D323" t="str">
            <v>00-ko011446</v>
          </cell>
          <cell r="F323">
            <v>42.9</v>
          </cell>
          <cell r="G323">
            <v>429</v>
          </cell>
          <cell r="H323">
            <v>1.2</v>
          </cell>
          <cell r="I323">
            <v>12</v>
          </cell>
          <cell r="J323">
            <v>16.399999999999999</v>
          </cell>
          <cell r="K323">
            <v>164</v>
          </cell>
          <cell r="L323">
            <v>0.74545454545454537</v>
          </cell>
          <cell r="M323">
            <v>7.4545454545454541</v>
          </cell>
          <cell r="N323">
            <v>0.38228438228438227</v>
          </cell>
        </row>
        <row r="324">
          <cell r="A324" t="str">
            <v>Сыр ПАПА МОЖЕТ "Гауда Голд" 45 % 180 гр (10шт) Останкино</v>
          </cell>
          <cell r="D324" t="str">
            <v>00-ko009386</v>
          </cell>
          <cell r="F324">
            <v>-1.98</v>
          </cell>
          <cell r="G324">
            <v>-11</v>
          </cell>
          <cell r="H324">
            <v>2.52</v>
          </cell>
          <cell r="I324">
            <v>14</v>
          </cell>
          <cell r="J324">
            <v>-0.18</v>
          </cell>
          <cell r="K324">
            <v>-1</v>
          </cell>
          <cell r="L324">
            <v>-8.1818181818181807E-3</v>
          </cell>
          <cell r="M324">
            <v>-4.5454545454545456E-2</v>
          </cell>
          <cell r="N324">
            <v>9.0909090909090912E-2</v>
          </cell>
        </row>
        <row r="325">
          <cell r="A325" t="str">
            <v>Сыр ПАПА МОЖЕТ "Голландский традиционный" 45% 180 гр (10шт)  Останкино</v>
          </cell>
          <cell r="D325" t="str">
            <v>00-ko009387</v>
          </cell>
          <cell r="F325">
            <v>131.04</v>
          </cell>
          <cell r="G325">
            <v>728</v>
          </cell>
          <cell r="H325">
            <v>3.6</v>
          </cell>
          <cell r="I325">
            <v>20</v>
          </cell>
          <cell r="J325">
            <v>28.98</v>
          </cell>
          <cell r="K325">
            <v>161</v>
          </cell>
          <cell r="L325">
            <v>1.3172727272727274</v>
          </cell>
          <cell r="M325">
            <v>7.3181818181818183</v>
          </cell>
          <cell r="N325">
            <v>0.22115384615384617</v>
          </cell>
        </row>
        <row r="326">
          <cell r="A326" t="str">
            <v>Сыр ПАПА МОЖЕТ "Папин завтрак"  45% 180 г  Останкино</v>
          </cell>
          <cell r="D326" t="str">
            <v>00-ko009687</v>
          </cell>
          <cell r="F326">
            <v>23.04</v>
          </cell>
          <cell r="G326">
            <v>128</v>
          </cell>
          <cell r="H326">
            <v>3.78</v>
          </cell>
          <cell r="I326">
            <v>21</v>
          </cell>
          <cell r="J326">
            <v>2.16</v>
          </cell>
          <cell r="K326">
            <v>12</v>
          </cell>
          <cell r="L326">
            <v>9.818181818181819E-2</v>
          </cell>
          <cell r="M326">
            <v>0.54545454545454541</v>
          </cell>
          <cell r="N326">
            <v>9.3750000000000014E-2</v>
          </cell>
        </row>
        <row r="327">
          <cell r="A327" t="str">
            <v>Сыр ПАПА МОЖЕТ "Российский традиционный"45 % 180 г Останкино</v>
          </cell>
          <cell r="D327" t="str">
            <v>00-ko009434</v>
          </cell>
          <cell r="F327">
            <v>203.22</v>
          </cell>
          <cell r="G327">
            <v>1129</v>
          </cell>
          <cell r="H327">
            <v>5.76</v>
          </cell>
          <cell r="I327">
            <v>32</v>
          </cell>
          <cell r="J327">
            <v>25.38</v>
          </cell>
          <cell r="K327">
            <v>141</v>
          </cell>
          <cell r="L327">
            <v>1.1536363636363636</v>
          </cell>
          <cell r="M327">
            <v>6.4090909090909092</v>
          </cell>
          <cell r="N327">
            <v>0.12488928255093003</v>
          </cell>
        </row>
        <row r="328">
          <cell r="A328" t="str">
            <v>Сыр ПАПА МОЖЕТ "Тильзитер" фасованный массовая доля жира в сухом веществе 45%, 180г  Останкино</v>
          </cell>
          <cell r="D328" t="str">
            <v>00-ko009520</v>
          </cell>
          <cell r="F328">
            <v>73.08</v>
          </cell>
          <cell r="G328">
            <v>406</v>
          </cell>
          <cell r="H328">
            <v>3.24</v>
          </cell>
          <cell r="I328">
            <v>18</v>
          </cell>
          <cell r="J328">
            <v>13.86</v>
          </cell>
          <cell r="K328">
            <v>77</v>
          </cell>
          <cell r="L328">
            <v>0.63</v>
          </cell>
          <cell r="M328">
            <v>3.5</v>
          </cell>
          <cell r="N328">
            <v>0.18965517241379309</v>
          </cell>
        </row>
        <row r="329">
          <cell r="A329" t="str">
            <v>Сыр плавленный Сливочный ж.45% 180г ТМ Папа может (16шт)  Останкино</v>
          </cell>
          <cell r="D329" t="str">
            <v>00-ko009626</v>
          </cell>
          <cell r="F329">
            <v>66.06</v>
          </cell>
          <cell r="G329">
            <v>367</v>
          </cell>
          <cell r="H329">
            <v>0.9</v>
          </cell>
          <cell r="I329">
            <v>5</v>
          </cell>
          <cell r="J329">
            <v>7.92</v>
          </cell>
          <cell r="K329">
            <v>44</v>
          </cell>
          <cell r="L329">
            <v>0.36</v>
          </cell>
          <cell r="M329">
            <v>2</v>
          </cell>
          <cell r="N329">
            <v>0.11989100817438691</v>
          </cell>
        </row>
        <row r="330">
          <cell r="A330" t="str">
            <v>Сыр полутвердый "Гауда" с массовой долей жира в пересчете на сухое вещество 45%,   Останкино</v>
          </cell>
          <cell r="D330" t="str">
            <v>00-ko009875</v>
          </cell>
          <cell r="F330">
            <v>25.74</v>
          </cell>
          <cell r="G330">
            <v>25.74</v>
          </cell>
          <cell r="H330">
            <v>3.2160000000000002</v>
          </cell>
          <cell r="I330">
            <v>3.2160000000000002</v>
          </cell>
          <cell r="J330">
            <v>10.11</v>
          </cell>
          <cell r="K330">
            <v>10.11</v>
          </cell>
          <cell r="L330">
            <v>0.45954545454545453</v>
          </cell>
          <cell r="M330">
            <v>0.45954545454545453</v>
          </cell>
          <cell r="N330">
            <v>0.3927738927738928</v>
          </cell>
        </row>
        <row r="331">
          <cell r="A331" t="str">
            <v>Сыр полутвердый "Голландский" с массовой долей жира в пересчете на сухое  Останкино</v>
          </cell>
          <cell r="D331" t="str">
            <v>00-ko009874</v>
          </cell>
          <cell r="F331">
            <v>97.31</v>
          </cell>
          <cell r="G331">
            <v>97.31</v>
          </cell>
          <cell r="J331">
            <v>46.445999999999998</v>
          </cell>
          <cell r="K331">
            <v>46.445999999999998</v>
          </cell>
          <cell r="L331">
            <v>2.111181818181818</v>
          </cell>
          <cell r="M331">
            <v>2.111181818181818</v>
          </cell>
          <cell r="N331">
            <v>0.47729935258452366</v>
          </cell>
        </row>
        <row r="332">
          <cell r="A332" t="str">
            <v>Сыр полутвердый "Российский" с массовой долей жира 50%  Останкино</v>
          </cell>
          <cell r="D332" t="str">
            <v>00-ko009385</v>
          </cell>
          <cell r="F332">
            <v>11.044</v>
          </cell>
          <cell r="G332">
            <v>11.044</v>
          </cell>
          <cell r="J332">
            <v>11.044</v>
          </cell>
          <cell r="K332">
            <v>11.044</v>
          </cell>
          <cell r="L332">
            <v>0.502</v>
          </cell>
          <cell r="M332">
            <v>0.502</v>
          </cell>
          <cell r="N332">
            <v>1</v>
          </cell>
        </row>
        <row r="333">
          <cell r="A333" t="str">
            <v>Сыр полутвердый "Сметанковый", с масс долей жира в пересчете на сухое вещес50%, брус  Останкино</v>
          </cell>
          <cell r="D333" t="str">
            <v>00-ko009524</v>
          </cell>
          <cell r="F333">
            <v>237.47200000000001</v>
          </cell>
          <cell r="G333">
            <v>237.47200000000001</v>
          </cell>
          <cell r="H333">
            <v>1.62</v>
          </cell>
          <cell r="I333">
            <v>1.62</v>
          </cell>
          <cell r="J333">
            <v>87.372</v>
          </cell>
          <cell r="K333">
            <v>87.372</v>
          </cell>
          <cell r="L333">
            <v>3.9714545454545456</v>
          </cell>
          <cell r="M333">
            <v>3.9714545454545456</v>
          </cell>
          <cell r="N333">
            <v>0.36792548174100526</v>
          </cell>
        </row>
        <row r="334">
          <cell r="A334" t="str">
            <v>Сыр полутвердый "Тильзитер" с массовой долей жира в пересчете на сухое вещество 45%. 1/5  Останкино</v>
          </cell>
          <cell r="D334" t="str">
            <v>00-ko009526</v>
          </cell>
          <cell r="F334">
            <v>22.216000000000001</v>
          </cell>
          <cell r="G334">
            <v>22.216000000000001</v>
          </cell>
          <cell r="J334">
            <v>6.04</v>
          </cell>
          <cell r="K334">
            <v>6.04</v>
          </cell>
          <cell r="L334">
            <v>0.27454545454545454</v>
          </cell>
          <cell r="M334">
            <v>0.27454545454545454</v>
          </cell>
          <cell r="N334">
            <v>0.2718761253150882</v>
          </cell>
        </row>
        <row r="335">
          <cell r="A335" t="str">
            <v>Сыр рассольный жирный Чечил 45% 100 гр  ОСТАНКИНО</v>
          </cell>
          <cell r="D335" t="str">
            <v>00-00008886</v>
          </cell>
          <cell r="F335">
            <v>67.099999999999994</v>
          </cell>
          <cell r="G335">
            <v>671</v>
          </cell>
          <cell r="H335">
            <v>2.7</v>
          </cell>
          <cell r="I335">
            <v>27</v>
          </cell>
          <cell r="J335">
            <v>23.9</v>
          </cell>
          <cell r="K335">
            <v>239</v>
          </cell>
          <cell r="L335">
            <v>1.0863636363636362</v>
          </cell>
          <cell r="M335">
            <v>10.863636363636363</v>
          </cell>
          <cell r="N335">
            <v>0.35618479880774961</v>
          </cell>
        </row>
        <row r="336">
          <cell r="A336" t="str">
            <v>Сыр рассольный жирный Чечил копченый 43% 100 гр  Останкино</v>
          </cell>
          <cell r="D336" t="str">
            <v>00-00009171</v>
          </cell>
          <cell r="F336">
            <v>74</v>
          </cell>
          <cell r="G336">
            <v>740</v>
          </cell>
          <cell r="H336">
            <v>1.6</v>
          </cell>
          <cell r="I336">
            <v>16</v>
          </cell>
          <cell r="J336">
            <v>28.8</v>
          </cell>
          <cell r="K336">
            <v>288</v>
          </cell>
          <cell r="L336">
            <v>1.3090909090909091</v>
          </cell>
          <cell r="M336">
            <v>13.090909090909092</v>
          </cell>
          <cell r="N336">
            <v>0.38918918918918921</v>
          </cell>
        </row>
        <row r="337">
          <cell r="A337" t="str">
            <v>Сыр Скаморца свежий 100 гр.  ОСТАНКИНО</v>
          </cell>
          <cell r="D337" t="str">
            <v>00-00008887</v>
          </cell>
          <cell r="F337">
            <v>1.8</v>
          </cell>
          <cell r="G337">
            <v>18</v>
          </cell>
          <cell r="H337">
            <v>0.7</v>
          </cell>
          <cell r="I337">
            <v>7</v>
          </cell>
          <cell r="J337">
            <v>0.5</v>
          </cell>
          <cell r="K337">
            <v>5</v>
          </cell>
          <cell r="L337">
            <v>2.2727272727272728E-2</v>
          </cell>
          <cell r="M337">
            <v>0.22727272727272727</v>
          </cell>
          <cell r="N337">
            <v>0.27777777777777779</v>
          </cell>
        </row>
        <row r="338">
          <cell r="A338" t="str">
            <v>Сыр Творожный с зеленью 60% Папа может 140 гр.  Останкино</v>
          </cell>
          <cell r="D338" t="str">
            <v>00-ko009290</v>
          </cell>
          <cell r="F338">
            <v>12.04</v>
          </cell>
          <cell r="G338">
            <v>86</v>
          </cell>
          <cell r="H338">
            <v>0.14000000000000001</v>
          </cell>
          <cell r="I338">
            <v>1</v>
          </cell>
          <cell r="J338">
            <v>1.82</v>
          </cell>
          <cell r="K338">
            <v>13</v>
          </cell>
          <cell r="L338">
            <v>8.2727272727272733E-2</v>
          </cell>
          <cell r="M338">
            <v>0.59090909090909094</v>
          </cell>
          <cell r="N338">
            <v>0.15116279069767444</v>
          </cell>
        </row>
        <row r="339">
          <cell r="A339" t="str">
            <v>Сыр творожный Сливочный 140 гр.  Останкино</v>
          </cell>
          <cell r="D339" t="str">
            <v>00-ko009053</v>
          </cell>
          <cell r="F339">
            <v>20.72</v>
          </cell>
          <cell r="G339">
            <v>148</v>
          </cell>
          <cell r="H339">
            <v>1.1200000000000001</v>
          </cell>
          <cell r="I339">
            <v>8</v>
          </cell>
          <cell r="J339">
            <v>2.38</v>
          </cell>
          <cell r="K339">
            <v>17</v>
          </cell>
          <cell r="L339">
            <v>0.10818181818181817</v>
          </cell>
          <cell r="M339">
            <v>0.77272727272727271</v>
          </cell>
          <cell r="N339">
            <v>0.11486486486486487</v>
          </cell>
        </row>
        <row r="340">
          <cell r="A340" t="str">
            <v>Сыч/Прод Коровино Российский 50% 200г НОВАЯ СЗМЖ  ОСТАНКИНО</v>
          </cell>
          <cell r="D340" t="str">
            <v>00-00008341</v>
          </cell>
          <cell r="F340">
            <v>19.600000000000001</v>
          </cell>
          <cell r="G340">
            <v>98</v>
          </cell>
          <cell r="H340">
            <v>0.2</v>
          </cell>
          <cell r="I340">
            <v>1</v>
          </cell>
          <cell r="J340">
            <v>0.8</v>
          </cell>
          <cell r="K340">
            <v>4</v>
          </cell>
          <cell r="L340">
            <v>3.6363636363636369E-2</v>
          </cell>
          <cell r="M340">
            <v>0.18181818181818182</v>
          </cell>
          <cell r="N340">
            <v>4.0816326530612242E-2</v>
          </cell>
        </row>
        <row r="341">
          <cell r="A341" t="str">
            <v>Сыч/Прод Коровино Российский Оригин 50% ВЕС НОВАЯ (3,5 кг)  ОСТАНКИНО</v>
          </cell>
          <cell r="D341" t="str">
            <v>00-00008340</v>
          </cell>
          <cell r="F341">
            <v>39.72</v>
          </cell>
          <cell r="G341">
            <v>39.72</v>
          </cell>
          <cell r="J341">
            <v>17.059999999999999</v>
          </cell>
          <cell r="K341">
            <v>17.059999999999999</v>
          </cell>
          <cell r="L341">
            <v>0.7754545454545454</v>
          </cell>
          <cell r="M341">
            <v>0.7754545454545454</v>
          </cell>
          <cell r="N341">
            <v>0.42950654582074521</v>
          </cell>
        </row>
        <row r="342">
          <cell r="A342" t="str">
            <v>Сыч/Прод Коровино Тильзитер 50% 200г НОВАЯ СЗМЖ  ОСТАНКИНО</v>
          </cell>
          <cell r="D342" t="str">
            <v>00-00008339</v>
          </cell>
          <cell r="F342">
            <v>18.2</v>
          </cell>
          <cell r="G342">
            <v>91</v>
          </cell>
          <cell r="H342">
            <v>0.2</v>
          </cell>
          <cell r="I342">
            <v>1</v>
          </cell>
          <cell r="J342">
            <v>1.4</v>
          </cell>
          <cell r="K342">
            <v>7</v>
          </cell>
          <cell r="L342">
            <v>6.363636363636363E-2</v>
          </cell>
          <cell r="M342">
            <v>0.31818181818181818</v>
          </cell>
          <cell r="N342">
            <v>7.6923076923076927E-2</v>
          </cell>
        </row>
        <row r="343">
          <cell r="A343" t="str">
            <v>Сыч/Прод Коровино Тильзитер 50% 200г СЗМЖ  ОСТАНКИНО</v>
          </cell>
          <cell r="D343" t="str">
            <v>00-00007918</v>
          </cell>
          <cell r="F343">
            <v>3.8</v>
          </cell>
          <cell r="G343">
            <v>19</v>
          </cell>
          <cell r="J343">
            <v>0</v>
          </cell>
          <cell r="K343">
            <v>0</v>
          </cell>
          <cell r="L343">
            <v>0</v>
          </cell>
          <cell r="M343">
            <v>0</v>
          </cell>
          <cell r="N343">
            <v>0</v>
          </cell>
        </row>
        <row r="344">
          <cell r="A344" t="str">
            <v>Сыч/Прод Коровино Тильзитер Оригин 50% ВЕС (5 кг брус) СЗМЖ  ОСТАНКИНО</v>
          </cell>
          <cell r="D344" t="str">
            <v>00-00007917</v>
          </cell>
          <cell r="F344">
            <v>3.6240000000000001</v>
          </cell>
          <cell r="G344">
            <v>3.6240000000000001</v>
          </cell>
          <cell r="J344">
            <v>0</v>
          </cell>
          <cell r="K344">
            <v>0</v>
          </cell>
          <cell r="L344">
            <v>0</v>
          </cell>
          <cell r="M344">
            <v>0</v>
          </cell>
          <cell r="N344">
            <v>0</v>
          </cell>
        </row>
        <row r="345">
          <cell r="A345" t="str">
            <v>Сыч/Прод Коровино Тильзитер Оригин 50% ВЕС НОВАЯ (5 кг брус) СЗМЖ  ОСТАНКИНО</v>
          </cell>
          <cell r="D345" t="str">
            <v>00-00008338</v>
          </cell>
          <cell r="F345">
            <v>159.73400000000001</v>
          </cell>
          <cell r="G345">
            <v>159.73400000000001</v>
          </cell>
          <cell r="H345">
            <v>4.26</v>
          </cell>
          <cell r="I345">
            <v>4.26</v>
          </cell>
          <cell r="J345">
            <v>21.097999999999999</v>
          </cell>
          <cell r="K345">
            <v>21.097999999999999</v>
          </cell>
          <cell r="L345">
            <v>0.95899999999999996</v>
          </cell>
          <cell r="M345">
            <v>0.95899999999999996</v>
          </cell>
          <cell r="N345">
            <v>0.1320820864687543</v>
          </cell>
        </row>
        <row r="346">
          <cell r="A346" t="str">
            <v>Хотстеры Васаби-чили ТМ Горячая штучка ТС Хотстеры 0,23кг жареные ПОКОМ</v>
          </cell>
          <cell r="D346" t="str">
            <v>00-ko011462</v>
          </cell>
          <cell r="F346">
            <v>35.19</v>
          </cell>
          <cell r="G346">
            <v>153</v>
          </cell>
          <cell r="J346">
            <v>30.59</v>
          </cell>
          <cell r="K346">
            <v>133</v>
          </cell>
          <cell r="L346">
            <v>1.3904545454545454</v>
          </cell>
          <cell r="M346">
            <v>6.0454545454545459</v>
          </cell>
          <cell r="N346">
            <v>0.86928104575163401</v>
          </cell>
        </row>
        <row r="347">
          <cell r="A347" t="str">
            <v>Хотстеры с сыром ТМ Горячая штучка ТС Хотстеры 0,25кг.  Поком</v>
          </cell>
          <cell r="D347" t="str">
            <v>00-ko009756</v>
          </cell>
          <cell r="F347">
            <v>273.5</v>
          </cell>
          <cell r="G347">
            <v>1094</v>
          </cell>
          <cell r="J347">
            <v>181.25</v>
          </cell>
          <cell r="K347">
            <v>725</v>
          </cell>
          <cell r="L347">
            <v>8.2386363636363633</v>
          </cell>
          <cell r="M347">
            <v>32.954545454545453</v>
          </cell>
          <cell r="N347">
            <v>0.66270566727605118</v>
          </cell>
        </row>
        <row r="348">
          <cell r="A348" t="str">
            <v>Хотстеры ТМ Горячая штучка ТС Хотстеры 0,25 кг зам  ПОКОМ</v>
          </cell>
          <cell r="D348" t="str">
            <v>00-00001002</v>
          </cell>
          <cell r="F348">
            <v>494.25</v>
          </cell>
          <cell r="G348">
            <v>1977</v>
          </cell>
          <cell r="H348">
            <v>15</v>
          </cell>
          <cell r="I348">
            <v>60</v>
          </cell>
          <cell r="J348">
            <v>288</v>
          </cell>
          <cell r="K348">
            <v>1152</v>
          </cell>
          <cell r="L348">
            <v>13.090909090909092</v>
          </cell>
          <cell r="M348">
            <v>52.363636363636367</v>
          </cell>
          <cell r="N348">
            <v>0.58270106221547802</v>
          </cell>
        </row>
        <row r="349">
          <cell r="A349" t="str">
            <v>Хрустипай апельсин имбирь ТМ Горячая штучка 0,18 кг  ПОКОМ</v>
          </cell>
          <cell r="D349" t="str">
            <v>00-ko011543</v>
          </cell>
          <cell r="F349">
            <v>5.4</v>
          </cell>
          <cell r="G349">
            <v>30</v>
          </cell>
          <cell r="J349">
            <v>4.1399999999999997</v>
          </cell>
          <cell r="K349">
            <v>23</v>
          </cell>
          <cell r="L349">
            <v>0.18818181818181817</v>
          </cell>
          <cell r="M349">
            <v>1.0454545454545454</v>
          </cell>
          <cell r="N349">
            <v>0.76666666666666661</v>
          </cell>
        </row>
        <row r="350">
          <cell r="A350" t="str">
            <v>Хрустипай манго маракуйя ТМ Горячая штучка 0,18 кг  ПОКОМ</v>
          </cell>
          <cell r="D350" t="str">
            <v>00-ko011544</v>
          </cell>
          <cell r="F350">
            <v>3.42</v>
          </cell>
          <cell r="G350">
            <v>19</v>
          </cell>
          <cell r="J350">
            <v>1.98</v>
          </cell>
          <cell r="K350">
            <v>11</v>
          </cell>
          <cell r="L350">
            <v>0.09</v>
          </cell>
          <cell r="M350">
            <v>0.5</v>
          </cell>
          <cell r="N350">
            <v>0.57894736842105265</v>
          </cell>
        </row>
        <row r="351">
          <cell r="A351" t="str">
            <v>Хрустипай манго чили ТМ Горячая штучка 0,18кг с начинкой ПОКОМ</v>
          </cell>
          <cell r="D351" t="str">
            <v>00-ko011567</v>
          </cell>
          <cell r="F351">
            <v>3.42</v>
          </cell>
          <cell r="G351">
            <v>19</v>
          </cell>
          <cell r="J351">
            <v>2.16</v>
          </cell>
          <cell r="K351">
            <v>12</v>
          </cell>
          <cell r="L351">
            <v>9.818181818181819E-2</v>
          </cell>
          <cell r="M351">
            <v>0.54545454545454541</v>
          </cell>
          <cell r="N351">
            <v>0.63157894736842113</v>
          </cell>
        </row>
        <row r="352">
          <cell r="A352" t="str">
            <v>Хрустящие крылышки острые к пиву ТМ Горячая штучка 0,3кг зам  ПОКОМ</v>
          </cell>
          <cell r="D352" t="str">
            <v>00-00000998</v>
          </cell>
          <cell r="F352">
            <v>454.5</v>
          </cell>
          <cell r="G352">
            <v>1515</v>
          </cell>
          <cell r="J352">
            <v>135</v>
          </cell>
          <cell r="K352">
            <v>450</v>
          </cell>
          <cell r="L352">
            <v>6.1363636363636367</v>
          </cell>
          <cell r="M352">
            <v>20.454545454545453</v>
          </cell>
          <cell r="N352">
            <v>0.29702970297029702</v>
          </cell>
        </row>
        <row r="353">
          <cell r="A353" t="str">
            <v>Хрустящие крылышки ТМ Горячая штучка 0,3 кг зам  ПОКОМ</v>
          </cell>
          <cell r="D353" t="str">
            <v>00-00000997</v>
          </cell>
          <cell r="F353">
            <v>515.70000000000005</v>
          </cell>
          <cell r="G353">
            <v>1719</v>
          </cell>
          <cell r="J353">
            <v>180.9</v>
          </cell>
          <cell r="K353">
            <v>603</v>
          </cell>
          <cell r="L353">
            <v>8.2227272727272727</v>
          </cell>
          <cell r="M353">
            <v>27.40909090909091</v>
          </cell>
          <cell r="N353">
            <v>0.35078534031413611</v>
          </cell>
        </row>
        <row r="354">
          <cell r="A354" t="str">
            <v>Чебупели Курочка гриль Базовый ассортимент Фикс.вес 0,3 Пакет Горячая штучка  Поком</v>
          </cell>
          <cell r="D354" t="str">
            <v>00-ko009099</v>
          </cell>
          <cell r="F354">
            <v>214.5</v>
          </cell>
          <cell r="G354">
            <v>715</v>
          </cell>
          <cell r="H354">
            <v>0.3</v>
          </cell>
          <cell r="I354">
            <v>1</v>
          </cell>
          <cell r="J354">
            <v>162</v>
          </cell>
          <cell r="K354">
            <v>540</v>
          </cell>
          <cell r="L354">
            <v>7.3636363636363633</v>
          </cell>
          <cell r="M354">
            <v>24.545454545454547</v>
          </cell>
          <cell r="N354">
            <v>0.75524475524475521</v>
          </cell>
        </row>
        <row r="355">
          <cell r="A355" t="str">
            <v>Чебупели со вкусом Фо бо ТМ Горячая штучка 0,22 кг  ПОКОМ</v>
          </cell>
          <cell r="D355" t="str">
            <v>00-ko011552</v>
          </cell>
          <cell r="F355">
            <v>58.08</v>
          </cell>
          <cell r="G355">
            <v>264</v>
          </cell>
          <cell r="J355">
            <v>15.18</v>
          </cell>
          <cell r="K355">
            <v>69</v>
          </cell>
          <cell r="L355">
            <v>0.69</v>
          </cell>
          <cell r="M355">
            <v>3.1363636363636362</v>
          </cell>
          <cell r="N355">
            <v>0.26136363636363635</v>
          </cell>
        </row>
        <row r="356">
          <cell r="A356" t="str">
            <v>Чебупицца курочка по-итальянски Горячая штучка 0,25 кг зам  ПОКОМ</v>
          </cell>
          <cell r="D356" t="str">
            <v>00-00001000</v>
          </cell>
          <cell r="F356">
            <v>715.25</v>
          </cell>
          <cell r="G356">
            <v>2861</v>
          </cell>
          <cell r="J356">
            <v>357.75</v>
          </cell>
          <cell r="K356">
            <v>1431</v>
          </cell>
          <cell r="L356">
            <v>16.261363636363637</v>
          </cell>
          <cell r="M356">
            <v>65.045454545454547</v>
          </cell>
          <cell r="N356">
            <v>0.50017476406850747</v>
          </cell>
        </row>
        <row r="357">
          <cell r="A357" t="str">
            <v>Чебупицца Пепперони ТМ Горячая штучка ТС Чебупицца 0.25кг зам  ПОКОМ</v>
          </cell>
          <cell r="D357" t="str">
            <v>00-00000999</v>
          </cell>
          <cell r="F357">
            <v>868.5</v>
          </cell>
          <cell r="G357">
            <v>3474</v>
          </cell>
          <cell r="J357">
            <v>508.25</v>
          </cell>
          <cell r="K357">
            <v>2033</v>
          </cell>
          <cell r="L357">
            <v>23.102272727272727</v>
          </cell>
          <cell r="M357">
            <v>92.409090909090907</v>
          </cell>
          <cell r="N357">
            <v>0.58520437535981573</v>
          </cell>
        </row>
        <row r="358">
          <cell r="A358" t="str">
            <v>Чебупицца со вкусом 4 сыра 0,2кг ТМ Горячая штучка ТС Foodgital  ПОКОМ</v>
          </cell>
          <cell r="D358" t="str">
            <v>00-ko010879</v>
          </cell>
          <cell r="F358">
            <v>72</v>
          </cell>
          <cell r="G358">
            <v>360</v>
          </cell>
          <cell r="J358">
            <v>32</v>
          </cell>
          <cell r="K358">
            <v>160</v>
          </cell>
          <cell r="L358">
            <v>1.4545454545454546</v>
          </cell>
          <cell r="M358">
            <v>7.2727272727272725</v>
          </cell>
          <cell r="N358">
            <v>0.44444444444444442</v>
          </cell>
        </row>
        <row r="359">
          <cell r="A359" t="str">
            <v>Чебупицца со вкусом Том ям ТМ Горячая штучка ТС Чебупицца 0,23кг жареные ПОКОМ</v>
          </cell>
          <cell r="D359" t="str">
            <v>00-ko011461</v>
          </cell>
          <cell r="F359">
            <v>107.64</v>
          </cell>
          <cell r="G359">
            <v>468</v>
          </cell>
          <cell r="J359">
            <v>69.459999999999994</v>
          </cell>
          <cell r="K359">
            <v>302</v>
          </cell>
          <cell r="L359">
            <v>3.1572727272727268</v>
          </cell>
          <cell r="M359">
            <v>13.727272727272727</v>
          </cell>
          <cell r="N359">
            <v>0.64529914529914523</v>
          </cell>
        </row>
        <row r="360">
          <cell r="A360" t="str">
            <v>Чебупицца со вкусом Утка по-пекински ТМ Горячая штучка ТС Чебупицца 0,23 кг.  ПОКОМ</v>
          </cell>
          <cell r="D360" t="str">
            <v>00-ko011772</v>
          </cell>
          <cell r="F360">
            <v>109.94</v>
          </cell>
          <cell r="G360">
            <v>478</v>
          </cell>
          <cell r="J360">
            <v>32.659999999999997</v>
          </cell>
          <cell r="K360">
            <v>142</v>
          </cell>
          <cell r="L360">
            <v>1.4845454545454544</v>
          </cell>
          <cell r="M360">
            <v>6.4545454545454541</v>
          </cell>
          <cell r="N360">
            <v>0.29707112970711297</v>
          </cell>
        </row>
        <row r="361">
          <cell r="A361" t="str">
            <v>Чебуреки Мясные вес 2,7 кг ТМ Зареченские ТС Зареченские продукты   Поком</v>
          </cell>
          <cell r="D361" t="str">
            <v>00-ko009121</v>
          </cell>
          <cell r="F361">
            <v>135</v>
          </cell>
          <cell r="G361">
            <v>135</v>
          </cell>
          <cell r="J361">
            <v>16.2</v>
          </cell>
          <cell r="K361">
            <v>16.2</v>
          </cell>
          <cell r="L361">
            <v>0.73636363636363633</v>
          </cell>
          <cell r="M361">
            <v>0.73636363636363633</v>
          </cell>
          <cell r="N361">
            <v>0.12</v>
          </cell>
        </row>
        <row r="362">
          <cell r="A362" t="str">
            <v>Чебуреки сочные ТМ Зареченские ТС Зареченские продукты.  Поком</v>
          </cell>
          <cell r="D362" t="str">
            <v>00-00009291</v>
          </cell>
          <cell r="F362">
            <v>1170</v>
          </cell>
          <cell r="G362">
            <v>1170</v>
          </cell>
          <cell r="J362">
            <v>150</v>
          </cell>
          <cell r="K362">
            <v>150</v>
          </cell>
          <cell r="L362">
            <v>6.8181818181818183</v>
          </cell>
          <cell r="M362">
            <v>6.8181818181818183</v>
          </cell>
          <cell r="N362">
            <v>0.12820512820512819</v>
          </cell>
        </row>
        <row r="363">
          <cell r="A363" t="str">
            <v>Итого</v>
          </cell>
          <cell r="F363">
            <v>123290.1501</v>
          </cell>
          <cell r="G363">
            <v>218821.122</v>
          </cell>
          <cell r="H363">
            <v>1934.8620000000001</v>
          </cell>
          <cell r="I363">
            <v>3783.9279999999999</v>
          </cell>
          <cell r="J363">
            <v>50464.2071</v>
          </cell>
          <cell r="K363">
            <v>94524.365999999995</v>
          </cell>
          <cell r="L363">
            <v>2293.8275954545456</v>
          </cell>
          <cell r="M363">
            <v>4296.5620909090903</v>
          </cell>
          <cell r="N363">
            <v>0.40931256113378678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1:Q198"/>
  <sheetViews>
    <sheetView zoomScale="90" zoomScaleNormal="90" workbookViewId="0">
      <pane ySplit="9" topLeftCell="A10" activePane="bottomLeft" state="frozen"/>
      <selection pane="bottomLeft" activeCell="M201" sqref="M201"/>
    </sheetView>
  </sheetViews>
  <sheetFormatPr defaultColWidth="10.44140625" defaultRowHeight="13" outlineLevelRow="2"/>
  <cols>
    <col min="1" max="1" width="10.44140625" style="1" customWidth="1"/>
    <col min="2" max="2" width="4.109375" style="1" customWidth="1"/>
    <col min="3" max="3" width="6.77734375" style="1" customWidth="1"/>
    <col min="4" max="4" width="48.44140625" style="1" customWidth="1"/>
    <col min="5" max="5" width="14.6640625" style="1" customWidth="1"/>
    <col min="6" max="6" width="11.44140625" style="1" customWidth="1"/>
    <col min="7" max="7" width="7.109375" style="1" customWidth="1"/>
    <col min="8" max="9" width="14" style="1" customWidth="1"/>
    <col min="11" max="14" width="10.44140625" style="14"/>
    <col min="15" max="16" width="18.109375" style="17" customWidth="1"/>
    <col min="17" max="17" width="36.6640625" bestFit="1" customWidth="1"/>
  </cols>
  <sheetData>
    <row r="1" spans="1:16" s="1" customFormat="1">
      <c r="K1" s="13"/>
      <c r="L1" s="13"/>
      <c r="M1" s="13"/>
      <c r="N1" s="13"/>
      <c r="O1" s="17"/>
      <c r="P1" s="17"/>
    </row>
    <row r="2" spans="1:16" ht="23">
      <c r="A2" s="2" t="s">
        <v>0</v>
      </c>
      <c r="B2" s="2"/>
      <c r="C2" s="2"/>
      <c r="D2" s="2"/>
    </row>
    <row r="3" spans="1:16" s="1" customFormat="1">
      <c r="K3" s="13"/>
      <c r="L3" s="13"/>
      <c r="M3" s="13"/>
      <c r="N3" s="13"/>
      <c r="O3" s="17"/>
      <c r="P3" s="17"/>
    </row>
    <row r="4" spans="1:16" outlineLevel="1">
      <c r="A4" s="3" t="s">
        <v>1</v>
      </c>
      <c r="B4" s="3"/>
      <c r="C4" s="3" t="s">
        <v>2</v>
      </c>
      <c r="D4" s="3"/>
      <c r="E4" s="3"/>
    </row>
    <row r="5" spans="1:16" outlineLevel="1">
      <c r="C5" s="3" t="s">
        <v>3</v>
      </c>
      <c r="D5" s="3"/>
      <c r="E5" s="3"/>
      <c r="M5" s="31" t="s">
        <v>396</v>
      </c>
      <c r="N5" s="32"/>
    </row>
    <row r="6" spans="1:16" outlineLevel="1">
      <c r="A6" s="3" t="s">
        <v>4</v>
      </c>
      <c r="B6" s="3"/>
      <c r="C6" s="28" t="s">
        <v>5</v>
      </c>
      <c r="D6" s="28"/>
      <c r="E6" s="28"/>
      <c r="F6" s="28"/>
      <c r="G6" s="28"/>
      <c r="H6" s="28"/>
      <c r="K6" s="15" t="s">
        <v>394</v>
      </c>
      <c r="L6" s="15" t="s">
        <v>393</v>
      </c>
      <c r="M6" s="14">
        <v>5</v>
      </c>
      <c r="N6" s="14">
        <f>M6</f>
        <v>5</v>
      </c>
      <c r="O6" s="33" t="s">
        <v>397</v>
      </c>
      <c r="P6" s="33"/>
    </row>
    <row r="7" spans="1:16" s="1" customFormat="1">
      <c r="K7" s="15"/>
      <c r="L7" s="15"/>
      <c r="M7" s="16" t="s">
        <v>392</v>
      </c>
      <c r="N7" s="14" t="str">
        <f t="shared" ref="N7:N8" si="0">M7</f>
        <v>дня</v>
      </c>
      <c r="O7" s="17" t="s">
        <v>398</v>
      </c>
      <c r="P7" s="17" t="s">
        <v>399</v>
      </c>
    </row>
    <row r="8" spans="1:16" ht="25">
      <c r="A8" s="29" t="s">
        <v>6</v>
      </c>
      <c r="B8" s="29"/>
      <c r="C8" s="29"/>
      <c r="D8" s="29" t="s">
        <v>7</v>
      </c>
      <c r="E8" s="29"/>
      <c r="F8" s="29"/>
      <c r="G8" s="4" t="s">
        <v>8</v>
      </c>
      <c r="H8" s="4" t="s">
        <v>9</v>
      </c>
      <c r="I8" s="4" t="s">
        <v>10</v>
      </c>
      <c r="M8" s="15" t="s">
        <v>395</v>
      </c>
      <c r="N8" s="14" t="str">
        <f t="shared" si="0"/>
        <v>продаж</v>
      </c>
    </row>
    <row r="9" spans="1:16" ht="25">
      <c r="A9" s="29" t="s">
        <v>6</v>
      </c>
      <c r="B9" s="29"/>
      <c r="C9" s="29"/>
      <c r="D9" s="29" t="s">
        <v>7</v>
      </c>
      <c r="E9" s="29"/>
      <c r="F9" s="29"/>
      <c r="G9" s="4" t="s">
        <v>8</v>
      </c>
      <c r="H9" s="4" t="s">
        <v>11</v>
      </c>
      <c r="I9" s="4" t="s">
        <v>11</v>
      </c>
      <c r="M9" s="15" t="s">
        <v>12</v>
      </c>
      <c r="N9" s="15" t="s">
        <v>13</v>
      </c>
      <c r="O9" s="17">
        <f>SUM(O10:O198)</f>
        <v>4398.2377500000002</v>
      </c>
    </row>
    <row r="10" spans="1:16">
      <c r="A10" s="24" t="s">
        <v>14</v>
      </c>
      <c r="B10" s="24"/>
      <c r="C10" s="24"/>
      <c r="D10" s="24" t="s">
        <v>15</v>
      </c>
      <c r="E10" s="24"/>
      <c r="F10" s="24"/>
      <c r="G10" s="5"/>
      <c r="H10" s="6"/>
      <c r="I10" s="7"/>
      <c r="J10" s="12"/>
    </row>
    <row r="11" spans="1:16" outlineLevel="1">
      <c r="A11" s="24" t="s">
        <v>16</v>
      </c>
      <c r="B11" s="24"/>
      <c r="C11" s="24"/>
      <c r="D11" s="25" t="s">
        <v>17</v>
      </c>
      <c r="E11" s="25"/>
      <c r="F11" s="25"/>
      <c r="G11" s="5"/>
      <c r="H11" s="7"/>
      <c r="I11" s="7"/>
      <c r="J11" s="12"/>
    </row>
    <row r="12" spans="1:16" outlineLevel="2">
      <c r="A12" s="26" t="s">
        <v>18</v>
      </c>
      <c r="B12" s="26"/>
      <c r="C12" s="26"/>
      <c r="D12" s="27" t="s">
        <v>19</v>
      </c>
      <c r="E12" s="27"/>
      <c r="F12" s="27"/>
      <c r="G12" s="8" t="s">
        <v>12</v>
      </c>
      <c r="H12" s="9">
        <v>67.266999999999996</v>
      </c>
      <c r="I12" s="9">
        <v>67.266999999999996</v>
      </c>
      <c r="J12" s="12">
        <f>IF(IFERROR(VLOOKUP(D12,[1]TDSheet!$A:$N,14,0),0)&gt;1,1,IFERROR(VLOOKUP(D12,[1]TDSheet!$A:$N,14,0),0))</f>
        <v>0.46202786786351779</v>
      </c>
      <c r="K12" s="14">
        <f>IFERROR(VLOOKUP(D12,[1]TDSheet!$A:$M,12,0),0)</f>
        <v>22.03681818181818</v>
      </c>
      <c r="L12" s="14">
        <f>IFERROR(VLOOKUP(D12,[1]TDSheet!$A:$M,13,0),0)</f>
        <v>22.03681818181818</v>
      </c>
      <c r="M12" s="14">
        <f t="shared" ref="M12:M21" si="1">IF(K12*$M$6&lt;0,0,K12*$M$6)</f>
        <v>110.1840909090909</v>
      </c>
      <c r="N12" s="14">
        <f t="shared" ref="N12:N21" si="2">IF(L12*$N$6&lt;0,0,L12*$N$6)</f>
        <v>110.1840909090909</v>
      </c>
      <c r="O12" s="17">
        <f t="shared" ref="O12:O21" si="3">IF(M12&gt;H12,H12,M12)</f>
        <v>67.266999999999996</v>
      </c>
      <c r="P12" s="17">
        <f t="shared" ref="P12:P21" si="4">IF(N12&gt;I12,I12,N12)</f>
        <v>67.266999999999996</v>
      </c>
    </row>
    <row r="13" spans="1:16" outlineLevel="2">
      <c r="A13" s="26" t="s">
        <v>20</v>
      </c>
      <c r="B13" s="26"/>
      <c r="C13" s="26"/>
      <c r="D13" s="27" t="s">
        <v>21</v>
      </c>
      <c r="E13" s="27"/>
      <c r="F13" s="27"/>
      <c r="G13" s="8" t="s">
        <v>12</v>
      </c>
      <c r="H13" s="9">
        <v>462.62900000000002</v>
      </c>
      <c r="I13" s="9">
        <v>462.62900000000002</v>
      </c>
      <c r="J13" s="12">
        <f>IF(IFERROR(VLOOKUP(D13,[1]TDSheet!$A:$N,14,0),0)&gt;1,1,IFERROR(VLOOKUP(D13,[1]TDSheet!$A:$N,14,0),0))</f>
        <v>0.32572204943399224</v>
      </c>
      <c r="K13" s="14">
        <f>IFERROR(VLOOKUP(D13,[1]TDSheet!$A:$M,12,0),0)</f>
        <v>30.599454545454545</v>
      </c>
      <c r="L13" s="14">
        <f>IFERROR(VLOOKUP(D13,[1]TDSheet!$A:$M,13,0),0)</f>
        <v>30.599454545454545</v>
      </c>
      <c r="M13" s="14">
        <f t="shared" si="1"/>
        <v>152.99727272727273</v>
      </c>
      <c r="N13" s="14">
        <f t="shared" si="2"/>
        <v>152.99727272727273</v>
      </c>
      <c r="O13" s="17">
        <f t="shared" si="3"/>
        <v>152.99727272727273</v>
      </c>
      <c r="P13" s="17">
        <f t="shared" si="4"/>
        <v>152.99727272727273</v>
      </c>
    </row>
    <row r="14" spans="1:16" outlineLevel="2">
      <c r="A14" s="26" t="s">
        <v>22</v>
      </c>
      <c r="B14" s="26"/>
      <c r="C14" s="26"/>
      <c r="D14" s="27" t="s">
        <v>23</v>
      </c>
      <c r="E14" s="27"/>
      <c r="F14" s="27"/>
      <c r="G14" s="8" t="s">
        <v>12</v>
      </c>
      <c r="H14" s="9">
        <v>547.89099999999996</v>
      </c>
      <c r="I14" s="9">
        <v>547.89099999999996</v>
      </c>
      <c r="J14" s="12">
        <f>IF(IFERROR(VLOOKUP(D14,[1]TDSheet!$A:$N,14,0),0)&gt;1,1,IFERROR(VLOOKUP(D14,[1]TDSheet!$A:$N,14,0),0))</f>
        <v>0.32367738324874568</v>
      </c>
      <c r="K14" s="14">
        <f>IFERROR(VLOOKUP(D14,[1]TDSheet!$A:$M,12,0),0)</f>
        <v>30.600636363636365</v>
      </c>
      <c r="L14" s="14">
        <f>IFERROR(VLOOKUP(D14,[1]TDSheet!$A:$M,13,0),0)</f>
        <v>30.600636363636365</v>
      </c>
      <c r="M14" s="14">
        <f t="shared" si="1"/>
        <v>153.00318181818182</v>
      </c>
      <c r="N14" s="14">
        <f t="shared" si="2"/>
        <v>153.00318181818182</v>
      </c>
      <c r="O14" s="17">
        <f t="shared" si="3"/>
        <v>153.00318181818182</v>
      </c>
      <c r="P14" s="17">
        <f t="shared" si="4"/>
        <v>153.00318181818182</v>
      </c>
    </row>
    <row r="15" spans="1:16" outlineLevel="2">
      <c r="A15" s="26" t="s">
        <v>24</v>
      </c>
      <c r="B15" s="26"/>
      <c r="C15" s="26"/>
      <c r="D15" s="27" t="s">
        <v>25</v>
      </c>
      <c r="E15" s="27"/>
      <c r="F15" s="27"/>
      <c r="G15" s="8" t="s">
        <v>12</v>
      </c>
      <c r="H15" s="9">
        <v>67.456999999999994</v>
      </c>
      <c r="I15" s="9">
        <v>67.456999999999994</v>
      </c>
      <c r="J15" s="12">
        <f>IF(IFERROR(VLOOKUP(D15,[1]TDSheet!$A:$N,14,0),0)&gt;1,1,IFERROR(VLOOKUP(D15,[1]TDSheet!$A:$N,14,0),0))</f>
        <v>0.47706066042948408</v>
      </c>
      <c r="K15" s="14">
        <f>IFERROR(VLOOKUP(D15,[1]TDSheet!$A:$M,12,0),0)</f>
        <v>6.9857727272727281</v>
      </c>
      <c r="L15" s="14">
        <f>IFERROR(VLOOKUP(D15,[1]TDSheet!$A:$M,13,0),0)</f>
        <v>6.9857727272727281</v>
      </c>
      <c r="M15" s="14">
        <f t="shared" si="1"/>
        <v>34.928863636363644</v>
      </c>
      <c r="N15" s="14">
        <f t="shared" si="2"/>
        <v>34.928863636363644</v>
      </c>
      <c r="O15" s="17">
        <f t="shared" si="3"/>
        <v>34.928863636363644</v>
      </c>
      <c r="P15" s="17">
        <f t="shared" si="4"/>
        <v>34.928863636363644</v>
      </c>
    </row>
    <row r="16" spans="1:16" outlineLevel="2">
      <c r="A16" s="26" t="s">
        <v>26</v>
      </c>
      <c r="B16" s="26"/>
      <c r="C16" s="26"/>
      <c r="D16" s="27" t="s">
        <v>27</v>
      </c>
      <c r="E16" s="27"/>
      <c r="F16" s="27"/>
      <c r="G16" s="8" t="s">
        <v>12</v>
      </c>
      <c r="H16" s="9">
        <v>28.701000000000001</v>
      </c>
      <c r="I16" s="9">
        <v>28.701000000000001</v>
      </c>
      <c r="J16" s="12">
        <f>IF(IFERROR(VLOOKUP(D16,[1]TDSheet!$A:$N,14,0),0)&gt;1,1,IFERROR(VLOOKUP(D16,[1]TDSheet!$A:$N,14,0),0))</f>
        <v>0.58062718822116932</v>
      </c>
      <c r="K16" s="14">
        <f>IFERROR(VLOOKUP(D16,[1]TDSheet!$A:$M,12,0),0)</f>
        <v>7.3421363636363628</v>
      </c>
      <c r="L16" s="14">
        <f>IFERROR(VLOOKUP(D16,[1]TDSheet!$A:$M,13,0),0)</f>
        <v>7.3421363636363628</v>
      </c>
      <c r="M16" s="14">
        <f t="shared" si="1"/>
        <v>36.710681818181811</v>
      </c>
      <c r="N16" s="14">
        <f t="shared" si="2"/>
        <v>36.710681818181811</v>
      </c>
      <c r="O16" s="17">
        <f t="shared" si="3"/>
        <v>28.701000000000001</v>
      </c>
      <c r="P16" s="17">
        <f t="shared" si="4"/>
        <v>28.701000000000001</v>
      </c>
    </row>
    <row r="17" spans="1:16" outlineLevel="2">
      <c r="A17" s="26" t="s">
        <v>28</v>
      </c>
      <c r="B17" s="26"/>
      <c r="C17" s="26"/>
      <c r="D17" s="27" t="s">
        <v>29</v>
      </c>
      <c r="E17" s="27"/>
      <c r="F17" s="27"/>
      <c r="G17" s="8" t="s">
        <v>12</v>
      </c>
      <c r="H17" s="9">
        <v>23.388999999999999</v>
      </c>
      <c r="I17" s="9">
        <v>23.388999999999999</v>
      </c>
      <c r="J17" s="12">
        <f>IF(IFERROR(VLOOKUP(D17,[1]TDSheet!$A:$N,14,0),0)&gt;1,1,IFERROR(VLOOKUP(D17,[1]TDSheet!$A:$N,14,0),0))</f>
        <v>0.61477012866019376</v>
      </c>
      <c r="K17" s="14">
        <f>IFERROR(VLOOKUP(D17,[1]TDSheet!$A:$M,12,0),0)</f>
        <v>7.2585909090909091</v>
      </c>
      <c r="L17" s="14">
        <f>IFERROR(VLOOKUP(D17,[1]TDSheet!$A:$M,13,0),0)</f>
        <v>7.2585909090909091</v>
      </c>
      <c r="M17" s="14">
        <f t="shared" si="1"/>
        <v>36.292954545454549</v>
      </c>
      <c r="N17" s="14">
        <f t="shared" si="2"/>
        <v>36.292954545454549</v>
      </c>
      <c r="O17" s="17">
        <f t="shared" si="3"/>
        <v>23.388999999999999</v>
      </c>
      <c r="P17" s="17">
        <f t="shared" si="4"/>
        <v>23.388999999999999</v>
      </c>
    </row>
    <row r="18" spans="1:16" outlineLevel="2">
      <c r="A18" s="26" t="s">
        <v>30</v>
      </c>
      <c r="B18" s="26"/>
      <c r="C18" s="26"/>
      <c r="D18" s="27" t="s">
        <v>31</v>
      </c>
      <c r="E18" s="27"/>
      <c r="F18" s="27"/>
      <c r="G18" s="8" t="s">
        <v>12</v>
      </c>
      <c r="H18" s="9">
        <v>161.49700000000001</v>
      </c>
      <c r="I18" s="9">
        <v>161.49700000000001</v>
      </c>
      <c r="J18" s="12">
        <f>IF(IFERROR(VLOOKUP(D18,[1]TDSheet!$A:$N,14,0),0)&gt;1,1,IFERROR(VLOOKUP(D18,[1]TDSheet!$A:$N,14,0),0))</f>
        <v>0.58253094910591474</v>
      </c>
      <c r="K18" s="14">
        <f>IFERROR(VLOOKUP(D18,[1]TDSheet!$A:$M,12,0),0)</f>
        <v>12.551</v>
      </c>
      <c r="L18" s="14">
        <f>IFERROR(VLOOKUP(D18,[1]TDSheet!$A:$M,13,0),0)</f>
        <v>12.551</v>
      </c>
      <c r="M18" s="14">
        <f t="shared" si="1"/>
        <v>62.755000000000003</v>
      </c>
      <c r="N18" s="14">
        <f t="shared" si="2"/>
        <v>62.755000000000003</v>
      </c>
      <c r="O18" s="17">
        <f t="shared" si="3"/>
        <v>62.755000000000003</v>
      </c>
      <c r="P18" s="17">
        <f t="shared" si="4"/>
        <v>62.755000000000003</v>
      </c>
    </row>
    <row r="19" spans="1:16" outlineLevel="2">
      <c r="A19" s="26" t="s">
        <v>32</v>
      </c>
      <c r="B19" s="26"/>
      <c r="C19" s="26"/>
      <c r="D19" s="27" t="s">
        <v>33</v>
      </c>
      <c r="E19" s="27"/>
      <c r="F19" s="27"/>
      <c r="G19" s="8" t="s">
        <v>12</v>
      </c>
      <c r="H19" s="9">
        <v>36.779000000000003</v>
      </c>
      <c r="I19" s="9">
        <v>36.779000000000003</v>
      </c>
      <c r="J19" s="12">
        <f>IF(IFERROR(VLOOKUP(D19,[1]TDSheet!$A:$N,14,0),0)&gt;1,1,IFERROR(VLOOKUP(D19,[1]TDSheet!$A:$N,14,0),0))</f>
        <v>0.26073559040809074</v>
      </c>
      <c r="K19" s="14">
        <f>IFERROR(VLOOKUP(D19,[1]TDSheet!$A:$M,12,0),0)</f>
        <v>1.8</v>
      </c>
      <c r="L19" s="14">
        <f>IFERROR(VLOOKUP(D19,[1]TDSheet!$A:$M,13,0),0)</f>
        <v>1.8</v>
      </c>
      <c r="M19" s="14">
        <f t="shared" si="1"/>
        <v>9</v>
      </c>
      <c r="N19" s="14">
        <f t="shared" si="2"/>
        <v>9</v>
      </c>
      <c r="O19" s="17">
        <f t="shared" si="3"/>
        <v>9</v>
      </c>
      <c r="P19" s="17">
        <f t="shared" si="4"/>
        <v>9</v>
      </c>
    </row>
    <row r="20" spans="1:16" outlineLevel="2">
      <c r="A20" s="26" t="s">
        <v>34</v>
      </c>
      <c r="B20" s="26"/>
      <c r="C20" s="26"/>
      <c r="D20" s="27" t="s">
        <v>35</v>
      </c>
      <c r="E20" s="27"/>
      <c r="F20" s="27"/>
      <c r="G20" s="8" t="s">
        <v>12</v>
      </c>
      <c r="H20" s="9">
        <v>97.472999999999999</v>
      </c>
      <c r="I20" s="9">
        <v>97.472999999999999</v>
      </c>
      <c r="J20" s="12">
        <f>IF(IFERROR(VLOOKUP(D20,[1]TDSheet!$A:$N,14,0),0)&gt;1,1,IFERROR(VLOOKUP(D20,[1]TDSheet!$A:$N,14,0),0))</f>
        <v>0.10233475877166946</v>
      </c>
      <c r="K20" s="14">
        <f>IFERROR(VLOOKUP(D20,[1]TDSheet!$A:$M,12,0),0)</f>
        <v>1.9590454545454543</v>
      </c>
      <c r="L20" s="14">
        <f>IFERROR(VLOOKUP(D20,[1]TDSheet!$A:$M,13,0),0)</f>
        <v>1.9590454545454543</v>
      </c>
      <c r="M20" s="14">
        <f t="shared" si="1"/>
        <v>9.7952272727272707</v>
      </c>
      <c r="N20" s="14">
        <f t="shared" si="2"/>
        <v>9.7952272727272707</v>
      </c>
      <c r="O20" s="17">
        <v>0</v>
      </c>
      <c r="P20" s="17">
        <v>0</v>
      </c>
    </row>
    <row r="21" spans="1:16" outlineLevel="2">
      <c r="A21" s="26" t="s">
        <v>36</v>
      </c>
      <c r="B21" s="26"/>
      <c r="C21" s="26"/>
      <c r="D21" s="27" t="s">
        <v>37</v>
      </c>
      <c r="E21" s="27"/>
      <c r="F21" s="27"/>
      <c r="G21" s="8" t="s">
        <v>12</v>
      </c>
      <c r="H21" s="9">
        <v>4.1059999999999999</v>
      </c>
      <c r="I21" s="9">
        <v>4.1059999999999999</v>
      </c>
      <c r="J21" s="12">
        <f>IF(IFERROR(VLOOKUP(D21,[1]TDSheet!$A:$N,14,0),0)&gt;1,1,IFERROR(VLOOKUP(D21,[1]TDSheet!$A:$N,14,0),0))</f>
        <v>0.79172689869898805</v>
      </c>
      <c r="K21" s="14">
        <f>IFERROR(VLOOKUP(D21,[1]TDSheet!$A:$M,12,0),0)</f>
        <v>0.32363636363636367</v>
      </c>
      <c r="L21" s="14">
        <f>IFERROR(VLOOKUP(D21,[1]TDSheet!$A:$M,13,0),0)</f>
        <v>0.32363636363636367</v>
      </c>
      <c r="M21" s="14">
        <f t="shared" si="1"/>
        <v>1.6181818181818184</v>
      </c>
      <c r="N21" s="14">
        <f t="shared" si="2"/>
        <v>1.6181818181818184</v>
      </c>
      <c r="O21" s="17">
        <f t="shared" si="3"/>
        <v>1.6181818181818184</v>
      </c>
      <c r="P21" s="17">
        <f t="shared" si="4"/>
        <v>1.6181818181818184</v>
      </c>
    </row>
    <row r="22" spans="1:16" outlineLevel="2">
      <c r="A22" s="26" t="s">
        <v>38</v>
      </c>
      <c r="B22" s="26"/>
      <c r="C22" s="26"/>
      <c r="D22" s="27" t="s">
        <v>39</v>
      </c>
      <c r="E22" s="27"/>
      <c r="F22" s="27"/>
      <c r="G22" s="8" t="s">
        <v>12</v>
      </c>
      <c r="H22" s="9">
        <v>-38.189</v>
      </c>
      <c r="I22" s="9">
        <v>-38.189</v>
      </c>
      <c r="J22" s="12">
        <f>IF(IFERROR(VLOOKUP(D22,[1]TDSheet!$A:$N,14,0),0)&gt;1,1,IFERROR(VLOOKUP(D22,[1]TDSheet!$A:$N,14,0),0))</f>
        <v>0.27955591296966448</v>
      </c>
      <c r="K22" s="14">
        <f>IFERROR(VLOOKUP(D22,[1]TDSheet!$A:$M,12,0),0)</f>
        <v>2.8442272727272728</v>
      </c>
      <c r="L22" s="14">
        <f>IFERROR(VLOOKUP(D22,[1]TDSheet!$A:$M,13,0),0)</f>
        <v>2.8442272727272728</v>
      </c>
      <c r="M22" s="14">
        <f t="shared" ref="M22:M85" si="5">IF(K22*$M$6&lt;0,0,K22*$M$6)</f>
        <v>14.221136363636365</v>
      </c>
      <c r="N22" s="14">
        <f t="shared" ref="N22:N85" si="6">IF(L22*$N$6&lt;0,0,L22*$N$6)</f>
        <v>14.221136363636365</v>
      </c>
      <c r="O22" s="17">
        <v>0</v>
      </c>
      <c r="P22" s="17">
        <v>0</v>
      </c>
    </row>
    <row r="23" spans="1:16" outlineLevel="2">
      <c r="A23" s="26" t="s">
        <v>40</v>
      </c>
      <c r="B23" s="26"/>
      <c r="C23" s="26"/>
      <c r="D23" s="27" t="s">
        <v>41</v>
      </c>
      <c r="E23" s="27"/>
      <c r="F23" s="27"/>
      <c r="G23" s="8" t="s">
        <v>12</v>
      </c>
      <c r="H23" s="9">
        <v>0.46800000000000003</v>
      </c>
      <c r="I23" s="9">
        <v>0.46800000000000003</v>
      </c>
      <c r="J23" s="12">
        <f>IF(IFERROR(VLOOKUP(D23,[1]TDSheet!$A:$N,14,0),0)&gt;1,1,IFERROR(VLOOKUP(D23,[1]TDSheet!$A:$N,14,0),0))</f>
        <v>0.1738879904830945</v>
      </c>
      <c r="K23" s="14">
        <f>IFERROR(VLOOKUP(D23,[1]TDSheet!$A:$M,12,0),0)</f>
        <v>0.85045454545454546</v>
      </c>
      <c r="L23" s="14">
        <f>IFERROR(VLOOKUP(D23,[1]TDSheet!$A:$M,13,0),0)</f>
        <v>0.85045454545454546</v>
      </c>
      <c r="M23" s="14">
        <f t="shared" si="5"/>
        <v>4.252272727272727</v>
      </c>
      <c r="N23" s="14">
        <f t="shared" si="6"/>
        <v>4.252272727272727</v>
      </c>
      <c r="O23" s="17">
        <f t="shared" ref="O23:O85" si="7">IF(M23&gt;H23,H23,M23)</f>
        <v>0.46800000000000003</v>
      </c>
      <c r="P23" s="17">
        <f t="shared" ref="P23:P85" si="8">IF(N23&gt;I23,I23,N23)</f>
        <v>0.46800000000000003</v>
      </c>
    </row>
    <row r="24" spans="1:16" outlineLevel="2">
      <c r="A24" s="26" t="s">
        <v>42</v>
      </c>
      <c r="B24" s="26"/>
      <c r="C24" s="26"/>
      <c r="D24" s="27" t="s">
        <v>43</v>
      </c>
      <c r="E24" s="27"/>
      <c r="F24" s="27"/>
      <c r="G24" s="8" t="s">
        <v>12</v>
      </c>
      <c r="H24" s="9">
        <v>12.14</v>
      </c>
      <c r="I24" s="9">
        <v>12.14</v>
      </c>
      <c r="J24" s="12">
        <f>IF(IFERROR(VLOOKUP(D24,[1]TDSheet!$A:$N,14,0),0)&gt;1,1,IFERROR(VLOOKUP(D24,[1]TDSheet!$A:$N,14,0),0))</f>
        <v>0.44556169876663226</v>
      </c>
      <c r="K24" s="14">
        <f>IFERROR(VLOOKUP(D24,[1]TDSheet!$A:$M,12,0),0)</f>
        <v>1.3333636363636363</v>
      </c>
      <c r="L24" s="14">
        <f>IFERROR(VLOOKUP(D24,[1]TDSheet!$A:$M,13,0),0)</f>
        <v>1.3333636363636363</v>
      </c>
      <c r="M24" s="14">
        <f t="shared" si="5"/>
        <v>6.6668181818181811</v>
      </c>
      <c r="N24" s="14">
        <f t="shared" si="6"/>
        <v>6.6668181818181811</v>
      </c>
      <c r="O24" s="17">
        <f t="shared" si="7"/>
        <v>6.6668181818181811</v>
      </c>
      <c r="P24" s="17">
        <f t="shared" si="8"/>
        <v>6.6668181818181811</v>
      </c>
    </row>
    <row r="25" spans="1:16" outlineLevel="1">
      <c r="A25" s="24" t="s">
        <v>44</v>
      </c>
      <c r="B25" s="24"/>
      <c r="C25" s="24"/>
      <c r="D25" s="25" t="s">
        <v>45</v>
      </c>
      <c r="E25" s="25"/>
      <c r="F25" s="25"/>
      <c r="G25" s="5"/>
      <c r="H25" s="7"/>
      <c r="I25" s="11"/>
      <c r="J25" s="12"/>
    </row>
    <row r="26" spans="1:16" outlineLevel="2">
      <c r="A26" s="26" t="s">
        <v>46</v>
      </c>
      <c r="B26" s="26"/>
      <c r="C26" s="26"/>
      <c r="D26" s="27" t="s">
        <v>47</v>
      </c>
      <c r="E26" s="27"/>
      <c r="F26" s="27"/>
      <c r="G26" s="8" t="s">
        <v>13</v>
      </c>
      <c r="H26" s="9">
        <v>281.85500000000002</v>
      </c>
      <c r="I26" s="9">
        <v>126.83499999999999</v>
      </c>
      <c r="J26" s="12">
        <f>IF(IFERROR(VLOOKUP(D26,[1]TDSheet!$A:$N,14,0),0)&gt;1,1,IFERROR(VLOOKUP(D26,[1]TDSheet!$A:$N,14,0),0))</f>
        <v>0.5691321063152659</v>
      </c>
      <c r="K26" s="14">
        <f>IFERROR(VLOOKUP(D26,[1]TDSheet!$A:$M,12,0),0)</f>
        <v>12.59055</v>
      </c>
      <c r="L26" s="14">
        <f>IFERROR(VLOOKUP(D26,[1]TDSheet!$A:$M,13,0),0)</f>
        <v>27.978999999999999</v>
      </c>
      <c r="M26" s="14">
        <f t="shared" si="5"/>
        <v>62.952750000000002</v>
      </c>
      <c r="N26" s="14">
        <f t="shared" si="6"/>
        <v>139.89499999999998</v>
      </c>
      <c r="O26" s="17">
        <f t="shared" si="7"/>
        <v>62.952750000000002</v>
      </c>
      <c r="P26" s="17">
        <f t="shared" si="8"/>
        <v>126.83499999999999</v>
      </c>
    </row>
    <row r="27" spans="1:16" outlineLevel="2">
      <c r="A27" s="26" t="s">
        <v>48</v>
      </c>
      <c r="B27" s="26"/>
      <c r="C27" s="26"/>
      <c r="D27" s="27" t="s">
        <v>49</v>
      </c>
      <c r="E27" s="27"/>
      <c r="F27" s="27"/>
      <c r="G27" s="8" t="s">
        <v>13</v>
      </c>
      <c r="H27" s="10">
        <v>1324</v>
      </c>
      <c r="I27" s="9">
        <v>595.79999999999995</v>
      </c>
      <c r="J27" s="12">
        <f>IF(IFERROR(VLOOKUP(D27,[1]TDSheet!$A:$N,14,0),0)&gt;1,1,IFERROR(VLOOKUP(D27,[1]TDSheet!$A:$N,14,0),0))</f>
        <v>0.50801924619085803</v>
      </c>
      <c r="K27" s="14">
        <f>IFERROR(VLOOKUP(D27,[1]TDSheet!$A:$M,12,0),0)</f>
        <v>25.915909090909089</v>
      </c>
      <c r="L27" s="14">
        <f>IFERROR(VLOOKUP(D27,[1]TDSheet!$A:$M,13,0),0)</f>
        <v>57.590909090909093</v>
      </c>
      <c r="M27" s="14">
        <f t="shared" si="5"/>
        <v>129.57954545454544</v>
      </c>
      <c r="N27" s="14">
        <f t="shared" si="6"/>
        <v>287.9545454545455</v>
      </c>
      <c r="O27" s="17">
        <f t="shared" si="7"/>
        <v>129.57954545454544</v>
      </c>
      <c r="P27" s="17">
        <f t="shared" si="8"/>
        <v>287.9545454545455</v>
      </c>
    </row>
    <row r="28" spans="1:16" outlineLevel="2">
      <c r="A28" s="26" t="s">
        <v>50</v>
      </c>
      <c r="B28" s="26"/>
      <c r="C28" s="26"/>
      <c r="D28" s="27" t="s">
        <v>51</v>
      </c>
      <c r="E28" s="27"/>
      <c r="F28" s="27"/>
      <c r="G28" s="8" t="s">
        <v>13</v>
      </c>
      <c r="H28" s="9">
        <v>180</v>
      </c>
      <c r="I28" s="9">
        <v>81</v>
      </c>
      <c r="J28" s="12">
        <f>IF(IFERROR(VLOOKUP(D28,[1]TDSheet!$A:$N,14,0),0)&gt;1,1,IFERROR(VLOOKUP(D28,[1]TDSheet!$A:$N,14,0),0))</f>
        <v>0.58559256390395031</v>
      </c>
      <c r="K28" s="14">
        <f>IFERROR(VLOOKUP(D28,[1]TDSheet!$A:$M,12,0),0)</f>
        <v>15.463636363636363</v>
      </c>
      <c r="L28" s="14">
        <f>IFERROR(VLOOKUP(D28,[1]TDSheet!$A:$M,13,0),0)</f>
        <v>34.363636363636367</v>
      </c>
      <c r="M28" s="14">
        <f t="shared" si="5"/>
        <v>77.318181818181813</v>
      </c>
      <c r="N28" s="14">
        <f t="shared" si="6"/>
        <v>171.81818181818184</v>
      </c>
      <c r="O28" s="17">
        <f t="shared" si="7"/>
        <v>77.318181818181813</v>
      </c>
      <c r="P28" s="17">
        <f t="shared" si="8"/>
        <v>81</v>
      </c>
    </row>
    <row r="29" spans="1:16" outlineLevel="2">
      <c r="A29" s="26" t="s">
        <v>52</v>
      </c>
      <c r="B29" s="26"/>
      <c r="C29" s="26"/>
      <c r="D29" s="27" t="s">
        <v>53</v>
      </c>
      <c r="E29" s="27"/>
      <c r="F29" s="27"/>
      <c r="G29" s="8" t="s">
        <v>13</v>
      </c>
      <c r="H29" s="9">
        <v>1</v>
      </c>
      <c r="I29" s="9">
        <v>0.375</v>
      </c>
      <c r="J29" s="12">
        <f>IF(IFERROR(VLOOKUP(D29,[1]TDSheet!$A:$N,14,0),0)&gt;1,1,IFERROR(VLOOKUP(D29,[1]TDSheet!$A:$N,14,0),0))</f>
        <v>0.33333333333333331</v>
      </c>
      <c r="K29" s="14">
        <f>IFERROR(VLOOKUP(D29,[1]TDSheet!$A:$M,12,0),0)</f>
        <v>3.4090909090909088E-2</v>
      </c>
      <c r="L29" s="14">
        <f>IFERROR(VLOOKUP(D29,[1]TDSheet!$A:$M,13,0),0)</f>
        <v>9.0909090909090912E-2</v>
      </c>
      <c r="M29" s="14">
        <f t="shared" si="5"/>
        <v>0.17045454545454544</v>
      </c>
      <c r="N29" s="14">
        <f t="shared" si="6"/>
        <v>0.45454545454545459</v>
      </c>
      <c r="O29" s="17">
        <f t="shared" si="7"/>
        <v>0.17045454545454544</v>
      </c>
      <c r="P29" s="17">
        <f t="shared" si="8"/>
        <v>0.375</v>
      </c>
    </row>
    <row r="30" spans="1:16" outlineLevel="2">
      <c r="A30" s="26" t="s">
        <v>54</v>
      </c>
      <c r="B30" s="26"/>
      <c r="C30" s="26"/>
      <c r="D30" s="27" t="s">
        <v>55</v>
      </c>
      <c r="E30" s="27"/>
      <c r="F30" s="27"/>
      <c r="G30" s="8" t="s">
        <v>13</v>
      </c>
      <c r="H30" s="9">
        <v>31</v>
      </c>
      <c r="I30" s="9">
        <v>13.95</v>
      </c>
      <c r="J30" s="12">
        <f>IF(IFERROR(VLOOKUP(D30,[1]TDSheet!$A:$N,14,0),0)&gt;1,1,IFERROR(VLOOKUP(D30,[1]TDSheet!$A:$N,14,0),0))</f>
        <v>0.52950558213716115</v>
      </c>
      <c r="K30" s="14">
        <f>IFERROR(VLOOKUP(D30,[1]TDSheet!$A:$M,12,0),0)</f>
        <v>6.790909090909091</v>
      </c>
      <c r="L30" s="14">
        <f>IFERROR(VLOOKUP(D30,[1]TDSheet!$A:$M,13,0),0)</f>
        <v>15.090909090909092</v>
      </c>
      <c r="M30" s="14">
        <f t="shared" si="5"/>
        <v>33.954545454545453</v>
      </c>
      <c r="N30" s="14">
        <f t="shared" si="6"/>
        <v>75.454545454545453</v>
      </c>
      <c r="O30" s="17">
        <f t="shared" si="7"/>
        <v>31</v>
      </c>
      <c r="P30" s="17">
        <f t="shared" si="8"/>
        <v>13.95</v>
      </c>
    </row>
    <row r="31" spans="1:16" outlineLevel="2">
      <c r="A31" s="26" t="s">
        <v>56</v>
      </c>
      <c r="B31" s="26"/>
      <c r="C31" s="26"/>
      <c r="D31" s="27" t="s">
        <v>57</v>
      </c>
      <c r="E31" s="27"/>
      <c r="F31" s="27"/>
      <c r="G31" s="8" t="s">
        <v>13</v>
      </c>
      <c r="H31" s="9">
        <v>251</v>
      </c>
      <c r="I31" s="9">
        <v>112.95</v>
      </c>
      <c r="J31" s="12">
        <f>IF(IFERROR(VLOOKUP(D31,[1]TDSheet!$A:$N,14,0),0)&gt;1,1,IFERROR(VLOOKUP(D31,[1]TDSheet!$A:$N,14,0),0))</f>
        <v>0.59173126614987082</v>
      </c>
      <c r="K31" s="14">
        <f>IFERROR(VLOOKUP(D31,[1]TDSheet!$A:$M,12,0),0)</f>
        <v>9.3681818181818173</v>
      </c>
      <c r="L31" s="14">
        <f>IFERROR(VLOOKUP(D31,[1]TDSheet!$A:$M,13,0),0)</f>
        <v>20.818181818181817</v>
      </c>
      <c r="M31" s="14">
        <f t="shared" si="5"/>
        <v>46.840909090909086</v>
      </c>
      <c r="N31" s="14">
        <f t="shared" si="6"/>
        <v>104.09090909090908</v>
      </c>
      <c r="O31" s="17">
        <f t="shared" si="7"/>
        <v>46.840909090909086</v>
      </c>
      <c r="P31" s="17">
        <f t="shared" si="8"/>
        <v>104.09090909090908</v>
      </c>
    </row>
    <row r="32" spans="1:16" outlineLevel="2">
      <c r="A32" s="26" t="s">
        <v>58</v>
      </c>
      <c r="B32" s="26"/>
      <c r="C32" s="26"/>
      <c r="D32" s="27" t="s">
        <v>59</v>
      </c>
      <c r="E32" s="27"/>
      <c r="F32" s="27"/>
      <c r="G32" s="8" t="s">
        <v>13</v>
      </c>
      <c r="H32" s="9">
        <v>4</v>
      </c>
      <c r="I32" s="9">
        <v>1.6</v>
      </c>
      <c r="J32" s="12">
        <f>IF(IFERROR(VLOOKUP(D32,[1]TDSheet!$A:$N,14,0),0)&gt;1,1,IFERROR(VLOOKUP(D32,[1]TDSheet!$A:$N,14,0),0))</f>
        <v>0.1111111111111111</v>
      </c>
      <c r="K32" s="14">
        <f>IFERROR(VLOOKUP(D32,[1]TDSheet!$A:$M,12,0),0)</f>
        <v>0.10909090909090909</v>
      </c>
      <c r="L32" s="14">
        <f>IFERROR(VLOOKUP(D32,[1]TDSheet!$A:$M,13,0),0)</f>
        <v>0.27272727272727271</v>
      </c>
      <c r="M32" s="14">
        <f t="shared" si="5"/>
        <v>0.54545454545454541</v>
      </c>
      <c r="N32" s="14">
        <f t="shared" si="6"/>
        <v>1.3636363636363635</v>
      </c>
      <c r="O32" s="17">
        <v>0</v>
      </c>
      <c r="P32" s="17">
        <v>0</v>
      </c>
    </row>
    <row r="33" spans="1:16" outlineLevel="2">
      <c r="A33" s="26" t="s">
        <v>60</v>
      </c>
      <c r="B33" s="26"/>
      <c r="C33" s="26"/>
      <c r="D33" s="27" t="s">
        <v>61</v>
      </c>
      <c r="E33" s="27"/>
      <c r="F33" s="27"/>
      <c r="G33" s="8" t="s">
        <v>13</v>
      </c>
      <c r="H33" s="9">
        <v>59</v>
      </c>
      <c r="I33" s="9">
        <v>23.6</v>
      </c>
      <c r="J33" s="12">
        <f>IF(IFERROR(VLOOKUP(D33,[1]TDSheet!$A:$N,14,0),0)&gt;1,1,IFERROR(VLOOKUP(D33,[1]TDSheet!$A:$N,14,0),0))</f>
        <v>0.29090909090909089</v>
      </c>
      <c r="K33" s="14">
        <f>IFERROR(VLOOKUP(D33,[1]TDSheet!$A:$M,12,0),0)</f>
        <v>2.6181818181818182</v>
      </c>
      <c r="L33" s="14">
        <f>IFERROR(VLOOKUP(D33,[1]TDSheet!$A:$M,13,0),0)</f>
        <v>6.5454545454545459</v>
      </c>
      <c r="M33" s="14">
        <f t="shared" si="5"/>
        <v>13.09090909090909</v>
      </c>
      <c r="N33" s="14">
        <f t="shared" si="6"/>
        <v>32.727272727272727</v>
      </c>
      <c r="O33" s="17">
        <f t="shared" si="7"/>
        <v>13.09090909090909</v>
      </c>
      <c r="P33" s="17">
        <f t="shared" si="8"/>
        <v>23.6</v>
      </c>
    </row>
    <row r="34" spans="1:16" outlineLevel="2">
      <c r="A34" s="26" t="s">
        <v>62</v>
      </c>
      <c r="B34" s="26"/>
      <c r="C34" s="26"/>
      <c r="D34" s="27" t="s">
        <v>63</v>
      </c>
      <c r="E34" s="27"/>
      <c r="F34" s="27"/>
      <c r="G34" s="8" t="s">
        <v>13</v>
      </c>
      <c r="H34" s="9">
        <v>-17</v>
      </c>
      <c r="I34" s="9">
        <v>-5.61</v>
      </c>
      <c r="J34" s="12">
        <f>IF(IFERROR(VLOOKUP(D34,[1]TDSheet!$A:$N,14,0),0)&gt;1,1,IFERROR(VLOOKUP(D34,[1]TDSheet!$A:$N,14,0),0))</f>
        <v>0.33741496598639453</v>
      </c>
      <c r="K34" s="14">
        <f>IFERROR(VLOOKUP(D34,[1]TDSheet!$A:$M,12,0),0)</f>
        <v>3.72</v>
      </c>
      <c r="L34" s="14">
        <f>IFERROR(VLOOKUP(D34,[1]TDSheet!$A:$M,13,0),0)</f>
        <v>11.272727272727273</v>
      </c>
      <c r="M34" s="14">
        <f t="shared" si="5"/>
        <v>18.600000000000001</v>
      </c>
      <c r="N34" s="14">
        <f t="shared" si="6"/>
        <v>56.363636363636367</v>
      </c>
      <c r="O34" s="17">
        <v>0</v>
      </c>
      <c r="P34" s="17">
        <v>0</v>
      </c>
    </row>
    <row r="35" spans="1:16" outlineLevel="2">
      <c r="A35" s="26" t="s">
        <v>64</v>
      </c>
      <c r="B35" s="26"/>
      <c r="C35" s="26"/>
      <c r="D35" s="27" t="s">
        <v>65</v>
      </c>
      <c r="E35" s="27"/>
      <c r="F35" s="27"/>
      <c r="G35" s="8" t="s">
        <v>13</v>
      </c>
      <c r="H35" s="9">
        <v>7</v>
      </c>
      <c r="I35" s="9">
        <v>2.59</v>
      </c>
      <c r="J35" s="12">
        <f>IF(IFERROR(VLOOKUP(D35,[1]TDSheet!$A:$N,14,0),0)&gt;1,1,IFERROR(VLOOKUP(D35,[1]TDSheet!$A:$N,14,0),0))</f>
        <v>0.44444444444444442</v>
      </c>
      <c r="K35" s="14">
        <f>IFERROR(VLOOKUP(D35,[1]TDSheet!$A:$M,12,0),0)</f>
        <v>0.13454545454545455</v>
      </c>
      <c r="L35" s="14">
        <f>IFERROR(VLOOKUP(D35,[1]TDSheet!$A:$M,13,0),0)</f>
        <v>0.36363636363636365</v>
      </c>
      <c r="M35" s="14">
        <f t="shared" si="5"/>
        <v>0.67272727272727273</v>
      </c>
      <c r="N35" s="14">
        <f t="shared" si="6"/>
        <v>1.8181818181818183</v>
      </c>
      <c r="O35" s="17">
        <f t="shared" si="7"/>
        <v>0.67272727272727273</v>
      </c>
      <c r="P35" s="17">
        <f t="shared" si="8"/>
        <v>1.8181818181818183</v>
      </c>
    </row>
    <row r="36" spans="1:16" outlineLevel="2">
      <c r="A36" s="26" t="s">
        <v>66</v>
      </c>
      <c r="B36" s="26"/>
      <c r="C36" s="26"/>
      <c r="D36" s="27" t="s">
        <v>67</v>
      </c>
      <c r="E36" s="27"/>
      <c r="F36" s="27"/>
      <c r="G36" s="8" t="s">
        <v>13</v>
      </c>
      <c r="H36" s="9">
        <v>-11</v>
      </c>
      <c r="I36" s="9">
        <v>-3.63</v>
      </c>
      <c r="J36" s="12">
        <f>IF(IFERROR(VLOOKUP(D36,[1]TDSheet!$A:$N,14,0),0)&gt;1,1,IFERROR(VLOOKUP(D36,[1]TDSheet!$A:$N,14,0),0))</f>
        <v>0.34061135371179041</v>
      </c>
      <c r="K36" s="14">
        <f>IFERROR(VLOOKUP(D36,[1]TDSheet!$A:$M,12,0),0)</f>
        <v>1.17</v>
      </c>
      <c r="L36" s="14">
        <f>IFERROR(VLOOKUP(D36,[1]TDSheet!$A:$M,13,0),0)</f>
        <v>3.5454545454545454</v>
      </c>
      <c r="M36" s="14">
        <f t="shared" si="5"/>
        <v>5.85</v>
      </c>
      <c r="N36" s="14">
        <f t="shared" si="6"/>
        <v>17.727272727272727</v>
      </c>
      <c r="O36" s="17">
        <v>0</v>
      </c>
      <c r="P36" s="17">
        <v>0</v>
      </c>
    </row>
    <row r="37" spans="1:16" outlineLevel="2">
      <c r="A37" s="26" t="s">
        <v>68</v>
      </c>
      <c r="B37" s="26"/>
      <c r="C37" s="26"/>
      <c r="D37" s="27" t="s">
        <v>69</v>
      </c>
      <c r="E37" s="27"/>
      <c r="F37" s="27"/>
      <c r="G37" s="8" t="s">
        <v>13</v>
      </c>
      <c r="H37" s="9">
        <v>17</v>
      </c>
      <c r="I37" s="9">
        <v>6.8</v>
      </c>
      <c r="J37" s="12">
        <f>IF(IFERROR(VLOOKUP(D37,[1]TDSheet!$A:$N,14,0),0)&gt;1,1,IFERROR(VLOOKUP(D37,[1]TDSheet!$A:$N,14,0),0))</f>
        <v>0.11764705882352942</v>
      </c>
      <c r="K37" s="14">
        <f>IFERROR(VLOOKUP(D37,[1]TDSheet!$A:$M,12,0),0)</f>
        <v>0.4</v>
      </c>
      <c r="L37" s="14">
        <f>IFERROR(VLOOKUP(D37,[1]TDSheet!$A:$M,13,0),0)</f>
        <v>1</v>
      </c>
      <c r="M37" s="14">
        <f t="shared" si="5"/>
        <v>2</v>
      </c>
      <c r="N37" s="14">
        <f t="shared" si="6"/>
        <v>5</v>
      </c>
      <c r="O37" s="17">
        <v>0</v>
      </c>
      <c r="P37" s="17">
        <v>0</v>
      </c>
    </row>
    <row r="38" spans="1:16" outlineLevel="2">
      <c r="A38" s="26" t="s">
        <v>70</v>
      </c>
      <c r="B38" s="26"/>
      <c r="C38" s="26"/>
      <c r="D38" s="27" t="s">
        <v>71</v>
      </c>
      <c r="E38" s="27"/>
      <c r="F38" s="27"/>
      <c r="G38" s="8" t="s">
        <v>13</v>
      </c>
      <c r="H38" s="9">
        <v>51</v>
      </c>
      <c r="I38" s="9">
        <v>5.61</v>
      </c>
      <c r="J38" s="12">
        <f>IF(IFERROR(VLOOKUP(D38,[1]TDSheet!$A:$N,14,0),0)&gt;1,1,IFERROR(VLOOKUP(D38,[1]TDSheet!$A:$N,14,0),0))</f>
        <v>0.58823529411764708</v>
      </c>
      <c r="K38" s="14">
        <f>IFERROR(VLOOKUP(D38,[1]TDSheet!$A:$M,12,0),0)</f>
        <v>0.1</v>
      </c>
      <c r="L38" s="14">
        <f>IFERROR(VLOOKUP(D38,[1]TDSheet!$A:$M,13,0),0)</f>
        <v>0.90909090909090906</v>
      </c>
      <c r="M38" s="14">
        <f t="shared" si="5"/>
        <v>0.5</v>
      </c>
      <c r="N38" s="14">
        <f t="shared" si="6"/>
        <v>4.545454545454545</v>
      </c>
      <c r="O38" s="17">
        <f t="shared" si="7"/>
        <v>0.5</v>
      </c>
      <c r="P38" s="17">
        <f t="shared" si="8"/>
        <v>4.545454545454545</v>
      </c>
    </row>
    <row r="39" spans="1:16" outlineLevel="2">
      <c r="A39" s="26" t="s">
        <v>72</v>
      </c>
      <c r="B39" s="26"/>
      <c r="C39" s="26"/>
      <c r="D39" s="27" t="s">
        <v>73</v>
      </c>
      <c r="E39" s="27"/>
      <c r="F39" s="27"/>
      <c r="G39" s="8" t="s">
        <v>13</v>
      </c>
      <c r="H39" s="9">
        <v>58</v>
      </c>
      <c r="I39" s="9">
        <v>9.86</v>
      </c>
      <c r="J39" s="12">
        <f>IF(IFERROR(VLOOKUP(D39,[1]TDSheet!$A:$N,14,0),0)&gt;1,1,IFERROR(VLOOKUP(D39,[1]TDSheet!$A:$N,14,0),0))</f>
        <v>0.76666666666666672</v>
      </c>
      <c r="K39" s="14">
        <f>IFERROR(VLOOKUP(D39,[1]TDSheet!$A:$M,12,0),0)</f>
        <v>0.17772727272727273</v>
      </c>
      <c r="L39" s="14">
        <f>IFERROR(VLOOKUP(D39,[1]TDSheet!$A:$M,13,0),0)</f>
        <v>1.0454545454545454</v>
      </c>
      <c r="M39" s="14">
        <f t="shared" si="5"/>
        <v>0.88863636363636367</v>
      </c>
      <c r="N39" s="14">
        <f t="shared" si="6"/>
        <v>5.2272727272727266</v>
      </c>
      <c r="O39" s="17">
        <f t="shared" si="7"/>
        <v>0.88863636363636367</v>
      </c>
      <c r="P39" s="17">
        <f t="shared" si="8"/>
        <v>5.2272727272727266</v>
      </c>
    </row>
    <row r="40" spans="1:16" outlineLevel="2">
      <c r="A40" s="26" t="s">
        <v>74</v>
      </c>
      <c r="B40" s="26"/>
      <c r="C40" s="26"/>
      <c r="D40" s="27" t="s">
        <v>75</v>
      </c>
      <c r="E40" s="27"/>
      <c r="F40" s="27"/>
      <c r="G40" s="8" t="s">
        <v>13</v>
      </c>
      <c r="H40" s="9">
        <v>4</v>
      </c>
      <c r="I40" s="9">
        <v>1.1200000000000001</v>
      </c>
      <c r="J40" s="12">
        <f>IF(IFERROR(VLOOKUP(D40,[1]TDSheet!$A:$N,14,0),0)&gt;1,1,IFERROR(VLOOKUP(D40,[1]TDSheet!$A:$N,14,0),0))</f>
        <v>0.5485714285714286</v>
      </c>
      <c r="K40" s="14">
        <f>IFERROR(VLOOKUP(D40,[1]TDSheet!$A:$M,12,0),0)</f>
        <v>1.2218181818181817</v>
      </c>
      <c r="L40" s="14">
        <f>IFERROR(VLOOKUP(D40,[1]TDSheet!$A:$M,13,0),0)</f>
        <v>4.3636363636363633</v>
      </c>
      <c r="M40" s="14">
        <f t="shared" si="5"/>
        <v>6.1090909090909085</v>
      </c>
      <c r="N40" s="14">
        <f t="shared" si="6"/>
        <v>21.818181818181817</v>
      </c>
      <c r="O40" s="17">
        <f t="shared" si="7"/>
        <v>4</v>
      </c>
      <c r="P40" s="17">
        <f t="shared" si="8"/>
        <v>1.1200000000000001</v>
      </c>
    </row>
    <row r="41" spans="1:16" outlineLevel="2">
      <c r="A41" s="26" t="s">
        <v>76</v>
      </c>
      <c r="B41" s="26"/>
      <c r="C41" s="26"/>
      <c r="D41" s="27" t="s">
        <v>77</v>
      </c>
      <c r="E41" s="27"/>
      <c r="F41" s="27"/>
      <c r="G41" s="8" t="s">
        <v>13</v>
      </c>
      <c r="H41" s="9">
        <v>-7</v>
      </c>
      <c r="I41" s="9">
        <v>-1.96</v>
      </c>
      <c r="J41" s="12">
        <f>IF(IFERROR(VLOOKUP(D41,[1]TDSheet!$A:$N,14,0),0)&gt;1,1,IFERROR(VLOOKUP(D41,[1]TDSheet!$A:$N,14,0),0))</f>
        <v>0.53846153846153855</v>
      </c>
      <c r="K41" s="14">
        <f>IFERROR(VLOOKUP(D41,[1]TDSheet!$A:$M,12,0),0)</f>
        <v>0.80181818181818187</v>
      </c>
      <c r="L41" s="14">
        <f>IFERROR(VLOOKUP(D41,[1]TDSheet!$A:$M,13,0),0)</f>
        <v>2.8636363636363638</v>
      </c>
      <c r="M41" s="14">
        <f t="shared" si="5"/>
        <v>4.0090909090909097</v>
      </c>
      <c r="N41" s="14">
        <f t="shared" si="6"/>
        <v>14.318181818181818</v>
      </c>
      <c r="O41" s="17">
        <v>0</v>
      </c>
      <c r="P41" s="17">
        <v>0</v>
      </c>
    </row>
    <row r="42" spans="1:16" outlineLevel="2">
      <c r="A42" s="26" t="s">
        <v>78</v>
      </c>
      <c r="B42" s="26"/>
      <c r="C42" s="26"/>
      <c r="D42" s="27" t="s">
        <v>79</v>
      </c>
      <c r="E42" s="27"/>
      <c r="F42" s="27"/>
      <c r="G42" s="8" t="s">
        <v>13</v>
      </c>
      <c r="H42" s="9">
        <v>82</v>
      </c>
      <c r="I42" s="9">
        <v>7.38</v>
      </c>
      <c r="J42" s="12">
        <f>IF(IFERROR(VLOOKUP(D42,[1]TDSheet!$A:$N,14,0),0)&gt;1,1,IFERROR(VLOOKUP(D42,[1]TDSheet!$A:$N,14,0),0))</f>
        <v>0.1297071129707113</v>
      </c>
      <c r="K42" s="14">
        <f>IFERROR(VLOOKUP(D42,[1]TDSheet!$A:$M,12,0),0)</f>
        <v>0.12681818181818183</v>
      </c>
      <c r="L42" s="14">
        <f>IFERROR(VLOOKUP(D42,[1]TDSheet!$A:$M,13,0),0)</f>
        <v>1.4090909090909092</v>
      </c>
      <c r="M42" s="14">
        <f t="shared" si="5"/>
        <v>0.63409090909090915</v>
      </c>
      <c r="N42" s="14">
        <f t="shared" si="6"/>
        <v>7.0454545454545459</v>
      </c>
      <c r="O42" s="17">
        <v>0</v>
      </c>
      <c r="P42" s="17">
        <v>0</v>
      </c>
    </row>
    <row r="43" spans="1:16" outlineLevel="2">
      <c r="A43" s="26" t="s">
        <v>80</v>
      </c>
      <c r="B43" s="26"/>
      <c r="C43" s="26"/>
      <c r="D43" s="27" t="s">
        <v>81</v>
      </c>
      <c r="E43" s="27"/>
      <c r="F43" s="27"/>
      <c r="G43" s="8" t="s">
        <v>13</v>
      </c>
      <c r="H43" s="9">
        <v>90</v>
      </c>
      <c r="I43" s="9">
        <v>8.1</v>
      </c>
      <c r="J43" s="12">
        <f>IF(IFERROR(VLOOKUP(D43,[1]TDSheet!$A:$N,14,0),0)&gt;1,1,IFERROR(VLOOKUP(D43,[1]TDSheet!$A:$N,14,0),0))</f>
        <v>7.9787234042553196E-2</v>
      </c>
      <c r="K43" s="14">
        <f>IFERROR(VLOOKUP(D43,[1]TDSheet!$A:$M,12,0),0)</f>
        <v>6.136363636363637E-2</v>
      </c>
      <c r="L43" s="14">
        <f>IFERROR(VLOOKUP(D43,[1]TDSheet!$A:$M,13,0),0)</f>
        <v>0.68181818181818177</v>
      </c>
      <c r="M43" s="14">
        <f t="shared" si="5"/>
        <v>0.30681818181818188</v>
      </c>
      <c r="N43" s="14">
        <f t="shared" si="6"/>
        <v>3.4090909090909087</v>
      </c>
      <c r="O43" s="17">
        <v>0</v>
      </c>
      <c r="P43" s="17">
        <v>0</v>
      </c>
    </row>
    <row r="44" spans="1:16" outlineLevel="2">
      <c r="A44" s="26" t="s">
        <v>82</v>
      </c>
      <c r="B44" s="26"/>
      <c r="C44" s="26"/>
      <c r="D44" s="27" t="s">
        <v>83</v>
      </c>
      <c r="E44" s="27"/>
      <c r="F44" s="27"/>
      <c r="G44" s="8" t="s">
        <v>13</v>
      </c>
      <c r="H44" s="9">
        <v>89</v>
      </c>
      <c r="I44" s="9">
        <v>8.01</v>
      </c>
      <c r="J44" s="12">
        <f>IF(IFERROR(VLOOKUP(D44,[1]TDSheet!$A:$N,14,0),0)&gt;1,1,IFERROR(VLOOKUP(D44,[1]TDSheet!$A:$N,14,0),0))</f>
        <v>8.7804878048780496E-2</v>
      </c>
      <c r="K44" s="14">
        <f>IFERROR(VLOOKUP(D44,[1]TDSheet!$A:$M,12,0),0)</f>
        <v>7.3636363636363639E-2</v>
      </c>
      <c r="L44" s="14">
        <f>IFERROR(VLOOKUP(D44,[1]TDSheet!$A:$M,13,0),0)</f>
        <v>0.81818181818181823</v>
      </c>
      <c r="M44" s="14">
        <f t="shared" si="5"/>
        <v>0.36818181818181817</v>
      </c>
      <c r="N44" s="14">
        <f t="shared" si="6"/>
        <v>4.0909090909090908</v>
      </c>
      <c r="O44" s="17">
        <v>0</v>
      </c>
      <c r="P44" s="17">
        <v>0</v>
      </c>
    </row>
    <row r="45" spans="1:16" outlineLevel="1">
      <c r="A45" s="24" t="s">
        <v>84</v>
      </c>
      <c r="B45" s="24"/>
      <c r="C45" s="24"/>
      <c r="D45" s="25" t="s">
        <v>85</v>
      </c>
      <c r="E45" s="25"/>
      <c r="F45" s="25"/>
      <c r="G45" s="5"/>
      <c r="H45" s="11"/>
      <c r="I45" s="11"/>
      <c r="J45" s="12"/>
    </row>
    <row r="46" spans="1:16" outlineLevel="2">
      <c r="A46" s="26" t="s">
        <v>86</v>
      </c>
      <c r="B46" s="26"/>
      <c r="C46" s="26"/>
      <c r="D46" s="27" t="s">
        <v>87</v>
      </c>
      <c r="E46" s="27"/>
      <c r="F46" s="27"/>
      <c r="G46" s="8" t="s">
        <v>12</v>
      </c>
      <c r="H46" s="9">
        <v>3.7</v>
      </c>
      <c r="I46" s="9">
        <v>3.7</v>
      </c>
      <c r="J46" s="12">
        <f>IF(IFERROR(VLOOKUP(D46,[1]TDSheet!$A:$N,14,0),0)&gt;1,1,IFERROR(VLOOKUP(D46,[1]TDSheet!$A:$N,14,0),0))</f>
        <v>0</v>
      </c>
      <c r="K46" s="14">
        <f>IFERROR(VLOOKUP(D46,[1]TDSheet!$A:$M,12,0),0)</f>
        <v>0</v>
      </c>
      <c r="L46" s="14">
        <f>IFERROR(VLOOKUP(D46,[1]TDSheet!$A:$M,13,0),0)</f>
        <v>0</v>
      </c>
      <c r="M46" s="14">
        <f t="shared" si="5"/>
        <v>0</v>
      </c>
      <c r="N46" s="14">
        <f t="shared" si="6"/>
        <v>0</v>
      </c>
      <c r="O46" s="17">
        <v>0</v>
      </c>
      <c r="P46" s="17">
        <v>0</v>
      </c>
    </row>
    <row r="47" spans="1:16" outlineLevel="2">
      <c r="A47" s="26" t="s">
        <v>88</v>
      </c>
      <c r="B47" s="26"/>
      <c r="C47" s="26"/>
      <c r="D47" s="27" t="s">
        <v>89</v>
      </c>
      <c r="E47" s="27"/>
      <c r="F47" s="27"/>
      <c r="G47" s="8" t="s">
        <v>12</v>
      </c>
      <c r="H47" s="9">
        <v>132.6</v>
      </c>
      <c r="I47" s="9">
        <v>132.6</v>
      </c>
      <c r="J47" s="12">
        <f>IF(IFERROR(VLOOKUP(D47,[1]TDSheet!$A:$N,14,0),0)&gt;1,1,IFERROR(VLOOKUP(D47,[1]TDSheet!$A:$N,14,0),0))</f>
        <v>0.86842105263157898</v>
      </c>
      <c r="K47" s="14">
        <f>IFERROR(VLOOKUP(D47,[1]TDSheet!$A:$M,12,0),0)</f>
        <v>0.9</v>
      </c>
      <c r="L47" s="14">
        <f>IFERROR(VLOOKUP(D47,[1]TDSheet!$A:$M,13,0),0)</f>
        <v>0.9</v>
      </c>
      <c r="M47" s="14">
        <f t="shared" si="5"/>
        <v>4.5</v>
      </c>
      <c r="N47" s="14">
        <f t="shared" si="6"/>
        <v>4.5</v>
      </c>
      <c r="O47" s="17">
        <f t="shared" si="7"/>
        <v>4.5</v>
      </c>
      <c r="P47" s="17">
        <f t="shared" si="8"/>
        <v>4.5</v>
      </c>
    </row>
    <row r="48" spans="1:16" outlineLevel="2">
      <c r="A48" s="26" t="s">
        <v>90</v>
      </c>
      <c r="B48" s="26"/>
      <c r="C48" s="26"/>
      <c r="D48" s="27" t="s">
        <v>91</v>
      </c>
      <c r="E48" s="27"/>
      <c r="F48" s="27"/>
      <c r="G48" s="8" t="s">
        <v>12</v>
      </c>
      <c r="H48" s="9">
        <v>5</v>
      </c>
      <c r="I48" s="9">
        <v>5</v>
      </c>
      <c r="J48" s="12">
        <f>IF(IFERROR(VLOOKUP(D48,[1]TDSheet!$A:$N,14,0),0)&gt;1,1,IFERROR(VLOOKUP(D48,[1]TDSheet!$A:$N,14,0),0))</f>
        <v>0.55000000000000004</v>
      </c>
      <c r="K48" s="14">
        <f>IFERROR(VLOOKUP(D48,[1]TDSheet!$A:$M,12,0),0)</f>
        <v>5</v>
      </c>
      <c r="L48" s="14">
        <f>IFERROR(VLOOKUP(D48,[1]TDSheet!$A:$M,13,0),0)</f>
        <v>5</v>
      </c>
      <c r="M48" s="14">
        <f t="shared" si="5"/>
        <v>25</v>
      </c>
      <c r="N48" s="14">
        <f t="shared" si="6"/>
        <v>25</v>
      </c>
      <c r="O48" s="17">
        <f t="shared" si="7"/>
        <v>5</v>
      </c>
      <c r="P48" s="17">
        <f t="shared" si="8"/>
        <v>5</v>
      </c>
    </row>
    <row r="49" spans="1:16" outlineLevel="2">
      <c r="A49" s="26" t="s">
        <v>92</v>
      </c>
      <c r="B49" s="26"/>
      <c r="C49" s="26"/>
      <c r="D49" s="27" t="s">
        <v>93</v>
      </c>
      <c r="E49" s="27"/>
      <c r="F49" s="27"/>
      <c r="G49" s="8" t="s">
        <v>12</v>
      </c>
      <c r="H49" s="9">
        <v>48</v>
      </c>
      <c r="I49" s="9">
        <v>48</v>
      </c>
      <c r="J49" s="12">
        <f>IF(IFERROR(VLOOKUP(D49,[1]TDSheet!$A:$N,14,0),0)&gt;1,1,IFERROR(VLOOKUP(D49,[1]TDSheet!$A:$N,14,0),0))</f>
        <v>0.42592592592592593</v>
      </c>
      <c r="K49" s="14">
        <f>IFERROR(VLOOKUP(D49,[1]TDSheet!$A:$M,12,0),0)</f>
        <v>3.1363636363636362</v>
      </c>
      <c r="L49" s="14">
        <f>IFERROR(VLOOKUP(D49,[1]TDSheet!$A:$M,13,0),0)</f>
        <v>3.1363636363636362</v>
      </c>
      <c r="M49" s="14">
        <f t="shared" si="5"/>
        <v>15.681818181818182</v>
      </c>
      <c r="N49" s="14">
        <f t="shared" si="6"/>
        <v>15.681818181818182</v>
      </c>
      <c r="O49" s="17">
        <f t="shared" si="7"/>
        <v>15.681818181818182</v>
      </c>
      <c r="P49" s="17">
        <f t="shared" si="8"/>
        <v>15.681818181818182</v>
      </c>
    </row>
    <row r="50" spans="1:16" outlineLevel="2">
      <c r="A50" s="26" t="s">
        <v>94</v>
      </c>
      <c r="B50" s="26"/>
      <c r="C50" s="26"/>
      <c r="D50" s="27" t="s">
        <v>95</v>
      </c>
      <c r="E50" s="27"/>
      <c r="F50" s="27"/>
      <c r="G50" s="8" t="s">
        <v>12</v>
      </c>
      <c r="H50" s="9">
        <v>258</v>
      </c>
      <c r="I50" s="9">
        <v>258</v>
      </c>
      <c r="J50" s="12">
        <f>IF(IFERROR(VLOOKUP(D50,[1]TDSheet!$A:$N,14,0),0)&gt;1,1,IFERROR(VLOOKUP(D50,[1]TDSheet!$A:$N,14,0),0))</f>
        <v>0.2878787878787879</v>
      </c>
      <c r="K50" s="14">
        <f>IFERROR(VLOOKUP(D50,[1]TDSheet!$A:$M,12,0),0)</f>
        <v>5.1818181818181817</v>
      </c>
      <c r="L50" s="14">
        <f>IFERROR(VLOOKUP(D50,[1]TDSheet!$A:$M,13,0),0)</f>
        <v>5.1818181818181817</v>
      </c>
      <c r="M50" s="14">
        <f t="shared" si="5"/>
        <v>25.909090909090907</v>
      </c>
      <c r="N50" s="14">
        <f t="shared" si="6"/>
        <v>25.909090909090907</v>
      </c>
      <c r="O50" s="17">
        <f t="shared" si="7"/>
        <v>25.909090909090907</v>
      </c>
      <c r="P50" s="17">
        <f t="shared" si="8"/>
        <v>25.909090909090907</v>
      </c>
    </row>
    <row r="51" spans="1:16" outlineLevel="2">
      <c r="A51" s="26" t="s">
        <v>96</v>
      </c>
      <c r="B51" s="26"/>
      <c r="C51" s="26"/>
      <c r="D51" s="27" t="s">
        <v>97</v>
      </c>
      <c r="E51" s="27"/>
      <c r="F51" s="27"/>
      <c r="G51" s="8" t="s">
        <v>12</v>
      </c>
      <c r="H51" s="9">
        <v>40.700000000000003</v>
      </c>
      <c r="I51" s="9">
        <v>40.700000000000003</v>
      </c>
      <c r="J51" s="12">
        <f>IF(IFERROR(VLOOKUP(D51,[1]TDSheet!$A:$N,14,0),0)&gt;1,1,IFERROR(VLOOKUP(D51,[1]TDSheet!$A:$N,14,0),0))</f>
        <v>0.5</v>
      </c>
      <c r="K51" s="14">
        <f>IFERROR(VLOOKUP(D51,[1]TDSheet!$A:$M,12,0),0)</f>
        <v>0.33636363636363636</v>
      </c>
      <c r="L51" s="14">
        <f>IFERROR(VLOOKUP(D51,[1]TDSheet!$A:$M,13,0),0)</f>
        <v>0.33636363636363636</v>
      </c>
      <c r="M51" s="14">
        <f t="shared" si="5"/>
        <v>1.6818181818181819</v>
      </c>
      <c r="N51" s="14">
        <f t="shared" si="6"/>
        <v>1.6818181818181819</v>
      </c>
      <c r="O51" s="17">
        <f t="shared" si="7"/>
        <v>1.6818181818181819</v>
      </c>
      <c r="P51" s="17">
        <f t="shared" si="8"/>
        <v>1.6818181818181819</v>
      </c>
    </row>
    <row r="52" spans="1:16" outlineLevel="2">
      <c r="A52" s="26" t="s">
        <v>98</v>
      </c>
      <c r="B52" s="26"/>
      <c r="C52" s="26"/>
      <c r="D52" s="27" t="s">
        <v>99</v>
      </c>
      <c r="E52" s="27"/>
      <c r="F52" s="27"/>
      <c r="G52" s="8" t="s">
        <v>12</v>
      </c>
      <c r="H52" s="9">
        <v>62.1</v>
      </c>
      <c r="I52" s="9">
        <v>62.1</v>
      </c>
      <c r="J52" s="12">
        <f>IF(IFERROR(VLOOKUP(D52,[1]TDSheet!$A:$N,14,0),0)&gt;1,1,IFERROR(VLOOKUP(D52,[1]TDSheet!$A:$N,14,0),0))</f>
        <v>0.12</v>
      </c>
      <c r="K52" s="14">
        <f>IFERROR(VLOOKUP(D52,[1]TDSheet!$A:$M,12,0),0)</f>
        <v>0.73636363636363633</v>
      </c>
      <c r="L52" s="14">
        <f>IFERROR(VLOOKUP(D52,[1]TDSheet!$A:$M,13,0),0)</f>
        <v>0.73636363636363633</v>
      </c>
      <c r="M52" s="14">
        <f t="shared" si="5"/>
        <v>3.6818181818181817</v>
      </c>
      <c r="N52" s="14">
        <f t="shared" si="6"/>
        <v>3.6818181818181817</v>
      </c>
      <c r="O52" s="17">
        <v>0</v>
      </c>
      <c r="P52" s="17">
        <v>0</v>
      </c>
    </row>
    <row r="53" spans="1:16" outlineLevel="2">
      <c r="A53" s="26" t="s">
        <v>100</v>
      </c>
      <c r="B53" s="26"/>
      <c r="C53" s="26"/>
      <c r="D53" s="27" t="s">
        <v>101</v>
      </c>
      <c r="E53" s="27"/>
      <c r="F53" s="27"/>
      <c r="G53" s="8" t="s">
        <v>12</v>
      </c>
      <c r="H53" s="9">
        <v>245</v>
      </c>
      <c r="I53" s="9">
        <v>245</v>
      </c>
      <c r="J53" s="12">
        <f>IF(IFERROR(VLOOKUP(D53,[1]TDSheet!$A:$N,14,0),0)&gt;1,1,IFERROR(VLOOKUP(D53,[1]TDSheet!$A:$N,14,0),0))</f>
        <v>0.12820512820512819</v>
      </c>
      <c r="K53" s="14">
        <f>IFERROR(VLOOKUP(D53,[1]TDSheet!$A:$M,12,0),0)</f>
        <v>6.8181818181818183</v>
      </c>
      <c r="L53" s="14">
        <f>IFERROR(VLOOKUP(D53,[1]TDSheet!$A:$M,13,0),0)</f>
        <v>6.8181818181818183</v>
      </c>
      <c r="M53" s="14">
        <f t="shared" si="5"/>
        <v>34.090909090909093</v>
      </c>
      <c r="N53" s="14">
        <f t="shared" si="6"/>
        <v>34.090909090909093</v>
      </c>
      <c r="O53" s="17">
        <v>0</v>
      </c>
      <c r="P53" s="17">
        <v>0</v>
      </c>
    </row>
    <row r="54" spans="1:16" outlineLevel="1">
      <c r="A54" s="24" t="s">
        <v>102</v>
      </c>
      <c r="B54" s="24"/>
      <c r="C54" s="24"/>
      <c r="D54" s="25" t="s">
        <v>103</v>
      </c>
      <c r="E54" s="25"/>
      <c r="F54" s="25"/>
      <c r="G54" s="5"/>
      <c r="H54" s="11"/>
      <c r="I54" s="11"/>
      <c r="J54" s="12"/>
    </row>
    <row r="55" spans="1:16" outlineLevel="2">
      <c r="A55" s="26" t="s">
        <v>104</v>
      </c>
      <c r="B55" s="26"/>
      <c r="C55" s="26"/>
      <c r="D55" s="27" t="s">
        <v>105</v>
      </c>
      <c r="E55" s="27"/>
      <c r="F55" s="27"/>
      <c r="G55" s="8" t="s">
        <v>13</v>
      </c>
      <c r="H55" s="9">
        <v>1</v>
      </c>
      <c r="I55" s="9">
        <v>0.7</v>
      </c>
      <c r="J55" s="12">
        <f>IF(IFERROR(VLOOKUP(D55,[1]TDSheet!$A:$N,14,0),0)&gt;1,1,IFERROR(VLOOKUP(D55,[1]TDSheet!$A:$N,14,0),0))</f>
        <v>3.2467532467532471E-2</v>
      </c>
      <c r="K55" s="14">
        <f>IFERROR(VLOOKUP(D55,[1]TDSheet!$A:$M,12,0),0)</f>
        <v>0.63636363636363635</v>
      </c>
      <c r="L55" s="14">
        <f>IFERROR(VLOOKUP(D55,[1]TDSheet!$A:$M,13,0),0)</f>
        <v>0.90909090909090906</v>
      </c>
      <c r="M55" s="14">
        <f t="shared" si="5"/>
        <v>3.1818181818181817</v>
      </c>
      <c r="N55" s="14">
        <f t="shared" si="6"/>
        <v>4.545454545454545</v>
      </c>
      <c r="O55" s="17">
        <v>0</v>
      </c>
      <c r="P55" s="17">
        <v>0</v>
      </c>
    </row>
    <row r="56" spans="1:16" outlineLevel="1">
      <c r="A56" s="24" t="s">
        <v>106</v>
      </c>
      <c r="B56" s="24"/>
      <c r="C56" s="24"/>
      <c r="D56" s="25" t="s">
        <v>107</v>
      </c>
      <c r="E56" s="25"/>
      <c r="F56" s="25"/>
      <c r="G56" s="5"/>
      <c r="H56" s="11"/>
      <c r="I56" s="11"/>
      <c r="J56" s="12"/>
    </row>
    <row r="57" spans="1:16" outlineLevel="2">
      <c r="A57" s="26" t="s">
        <v>108</v>
      </c>
      <c r="B57" s="26"/>
      <c r="C57" s="26"/>
      <c r="D57" s="27" t="s">
        <v>109</v>
      </c>
      <c r="E57" s="27"/>
      <c r="F57" s="27"/>
      <c r="G57" s="8" t="s">
        <v>12</v>
      </c>
      <c r="H57" s="9">
        <v>0.434</v>
      </c>
      <c r="I57" s="9">
        <v>0.434</v>
      </c>
      <c r="J57" s="12">
        <f>IF(IFERROR(VLOOKUP(D57,[1]TDSheet!$A:$N,14,0),0)&gt;1,1,IFERROR(VLOOKUP(D57,[1]TDSheet!$A:$N,14,0),0))</f>
        <v>0</v>
      </c>
      <c r="K57" s="14">
        <f>IFERROR(VLOOKUP(D57,[1]TDSheet!$A:$M,12,0),0)</f>
        <v>0</v>
      </c>
      <c r="L57" s="14">
        <f>IFERROR(VLOOKUP(D57,[1]TDSheet!$A:$M,13,0),0)</f>
        <v>0</v>
      </c>
      <c r="M57" s="14">
        <f t="shared" si="5"/>
        <v>0</v>
      </c>
      <c r="N57" s="14">
        <f t="shared" si="6"/>
        <v>0</v>
      </c>
      <c r="O57" s="17">
        <v>0</v>
      </c>
      <c r="P57" s="17">
        <v>0</v>
      </c>
    </row>
    <row r="58" spans="1:16" outlineLevel="1">
      <c r="A58" s="24" t="s">
        <v>110</v>
      </c>
      <c r="B58" s="24"/>
      <c r="C58" s="24"/>
      <c r="D58" s="25" t="s">
        <v>111</v>
      </c>
      <c r="E58" s="25"/>
      <c r="F58" s="25"/>
      <c r="G58" s="5"/>
      <c r="H58" s="7"/>
      <c r="I58" s="7"/>
      <c r="J58" s="12"/>
    </row>
    <row r="59" spans="1:16" outlineLevel="2">
      <c r="A59" s="26" t="s">
        <v>112</v>
      </c>
      <c r="B59" s="26"/>
      <c r="C59" s="26"/>
      <c r="D59" s="27" t="s">
        <v>113</v>
      </c>
      <c r="E59" s="27"/>
      <c r="F59" s="27"/>
      <c r="G59" s="8" t="s">
        <v>12</v>
      </c>
      <c r="H59" s="9">
        <v>172.04400000000001</v>
      </c>
      <c r="I59" s="9">
        <v>172.04400000000001</v>
      </c>
      <c r="J59" s="12">
        <f>IF(IFERROR(VLOOKUP(D59,[1]TDSheet!$A:$N,14,0),0)&gt;1,1,IFERROR(VLOOKUP(D59,[1]TDSheet!$A:$N,14,0),0))</f>
        <v>0.58502912326368495</v>
      </c>
      <c r="K59" s="14">
        <f>IFERROR(VLOOKUP(D59,[1]TDSheet!$A:$M,12,0),0)</f>
        <v>50.93686363636364</v>
      </c>
      <c r="L59" s="14">
        <f>IFERROR(VLOOKUP(D59,[1]TDSheet!$A:$M,13,0),0)</f>
        <v>50.93686363636364</v>
      </c>
      <c r="M59" s="14">
        <f t="shared" si="5"/>
        <v>254.68431818181818</v>
      </c>
      <c r="N59" s="14">
        <f t="shared" si="6"/>
        <v>254.68431818181818</v>
      </c>
      <c r="O59" s="17">
        <f t="shared" si="7"/>
        <v>172.04400000000001</v>
      </c>
      <c r="P59" s="17">
        <f t="shared" si="8"/>
        <v>172.04400000000001</v>
      </c>
    </row>
    <row r="60" spans="1:16" outlineLevel="2">
      <c r="A60" s="26" t="s">
        <v>114</v>
      </c>
      <c r="B60" s="26"/>
      <c r="C60" s="26"/>
      <c r="D60" s="27" t="s">
        <v>115</v>
      </c>
      <c r="E60" s="27"/>
      <c r="F60" s="27"/>
      <c r="G60" s="8" t="s">
        <v>12</v>
      </c>
      <c r="H60" s="9">
        <v>301.327</v>
      </c>
      <c r="I60" s="9">
        <v>301.327</v>
      </c>
      <c r="J60" s="12">
        <f>IF(IFERROR(VLOOKUP(D60,[1]TDSheet!$A:$N,14,0),0)&gt;1,1,IFERROR(VLOOKUP(D60,[1]TDSheet!$A:$N,14,0),0))</f>
        <v>0.30351914918401945</v>
      </c>
      <c r="K60" s="14">
        <f>IFERROR(VLOOKUP(D60,[1]TDSheet!$A:$M,12,0),0)</f>
        <v>128.85668181818184</v>
      </c>
      <c r="L60" s="14">
        <f>IFERROR(VLOOKUP(D60,[1]TDSheet!$A:$M,13,0),0)</f>
        <v>128.85668181818184</v>
      </c>
      <c r="M60" s="14">
        <f t="shared" si="5"/>
        <v>644.28340909090923</v>
      </c>
      <c r="N60" s="14">
        <f t="shared" si="6"/>
        <v>644.28340909090923</v>
      </c>
      <c r="O60" s="17">
        <f t="shared" si="7"/>
        <v>301.327</v>
      </c>
      <c r="P60" s="17">
        <f t="shared" si="8"/>
        <v>301.327</v>
      </c>
    </row>
    <row r="61" spans="1:16" outlineLevel="2">
      <c r="A61" s="26" t="s">
        <v>116</v>
      </c>
      <c r="B61" s="26"/>
      <c r="C61" s="26"/>
      <c r="D61" s="27" t="s">
        <v>117</v>
      </c>
      <c r="E61" s="27"/>
      <c r="F61" s="27"/>
      <c r="G61" s="8" t="s">
        <v>12</v>
      </c>
      <c r="H61" s="9">
        <v>16.456</v>
      </c>
      <c r="I61" s="9">
        <v>16.456</v>
      </c>
      <c r="J61" s="12">
        <f>IF(IFERROR(VLOOKUP(D61,[1]TDSheet!$A:$N,14,0),0)&gt;1,1,IFERROR(VLOOKUP(D61,[1]TDSheet!$A:$N,14,0),0))</f>
        <v>0.75592650491466251</v>
      </c>
      <c r="K61" s="14">
        <f>IFERROR(VLOOKUP(D61,[1]TDSheet!$A:$M,12,0),0)</f>
        <v>9.6271363636363638</v>
      </c>
      <c r="L61" s="14">
        <f>IFERROR(VLOOKUP(D61,[1]TDSheet!$A:$M,13,0),0)</f>
        <v>9.6271363636363638</v>
      </c>
      <c r="M61" s="14">
        <f t="shared" si="5"/>
        <v>48.135681818181823</v>
      </c>
      <c r="N61" s="14">
        <f t="shared" si="6"/>
        <v>48.135681818181823</v>
      </c>
      <c r="O61" s="17">
        <f t="shared" si="7"/>
        <v>16.456</v>
      </c>
      <c r="P61" s="17">
        <f t="shared" si="8"/>
        <v>16.456</v>
      </c>
    </row>
    <row r="62" spans="1:16" outlineLevel="2">
      <c r="A62" s="26" t="s">
        <v>118</v>
      </c>
      <c r="B62" s="26"/>
      <c r="C62" s="26"/>
      <c r="D62" s="27" t="s">
        <v>119</v>
      </c>
      <c r="E62" s="27"/>
      <c r="F62" s="27"/>
      <c r="G62" s="8" t="s">
        <v>12</v>
      </c>
      <c r="H62" s="9">
        <v>-5.032</v>
      </c>
      <c r="I62" s="9">
        <v>-5.032</v>
      </c>
      <c r="J62" s="12">
        <f>IF(IFERROR(VLOOKUP(D62,[1]TDSheet!$A:$N,14,0),0)&gt;1,1,IFERROR(VLOOKUP(D62,[1]TDSheet!$A:$N,14,0),0))</f>
        <v>0</v>
      </c>
      <c r="K62" s="14">
        <f>IFERROR(VLOOKUP(D62,[1]TDSheet!$A:$M,12,0),0)</f>
        <v>0</v>
      </c>
      <c r="L62" s="14">
        <f>IFERROR(VLOOKUP(D62,[1]TDSheet!$A:$M,13,0),0)</f>
        <v>0</v>
      </c>
      <c r="M62" s="14">
        <f t="shared" si="5"/>
        <v>0</v>
      </c>
      <c r="N62" s="14">
        <f t="shared" si="6"/>
        <v>0</v>
      </c>
      <c r="O62" s="17">
        <v>0</v>
      </c>
      <c r="P62" s="17">
        <v>0</v>
      </c>
    </row>
    <row r="63" spans="1:16" outlineLevel="2">
      <c r="A63" s="26" t="s">
        <v>120</v>
      </c>
      <c r="B63" s="26"/>
      <c r="C63" s="26"/>
      <c r="D63" s="27" t="s">
        <v>121</v>
      </c>
      <c r="E63" s="27"/>
      <c r="F63" s="27"/>
      <c r="G63" s="8" t="s">
        <v>12</v>
      </c>
      <c r="H63" s="9">
        <v>5.6020000000000003</v>
      </c>
      <c r="I63" s="9">
        <v>5.6020000000000003</v>
      </c>
      <c r="J63" s="12">
        <f>IF(IFERROR(VLOOKUP(D63,[1]TDSheet!$A:$N,14,0),0)&gt;1,1,IFERROR(VLOOKUP(D63,[1]TDSheet!$A:$N,14,0),0))</f>
        <v>0.75835293721331087</v>
      </c>
      <c r="K63" s="14">
        <f>IFERROR(VLOOKUP(D63,[1]TDSheet!$A:$M,12,0),0)</f>
        <v>6.1395909090909093</v>
      </c>
      <c r="L63" s="14">
        <f>IFERROR(VLOOKUP(D63,[1]TDSheet!$A:$M,13,0),0)</f>
        <v>6.1395909090909093</v>
      </c>
      <c r="M63" s="14">
        <f t="shared" si="5"/>
        <v>30.697954545454547</v>
      </c>
      <c r="N63" s="14">
        <f t="shared" si="6"/>
        <v>30.697954545454547</v>
      </c>
      <c r="O63" s="17">
        <f t="shared" si="7"/>
        <v>5.6020000000000003</v>
      </c>
      <c r="P63" s="17">
        <f t="shared" si="8"/>
        <v>5.6020000000000003</v>
      </c>
    </row>
    <row r="64" spans="1:16" outlineLevel="2">
      <c r="A64" s="26" t="s">
        <v>122</v>
      </c>
      <c r="B64" s="26"/>
      <c r="C64" s="26"/>
      <c r="D64" s="27" t="s">
        <v>123</v>
      </c>
      <c r="E64" s="27"/>
      <c r="F64" s="27"/>
      <c r="G64" s="8" t="s">
        <v>12</v>
      </c>
      <c r="H64" s="9">
        <v>62.988</v>
      </c>
      <c r="I64" s="9">
        <v>62.988</v>
      </c>
      <c r="J64" s="12">
        <f>IF(IFERROR(VLOOKUP(D64,[1]TDSheet!$A:$N,14,0),0)&gt;1,1,IFERROR(VLOOKUP(D64,[1]TDSheet!$A:$N,14,0),0))</f>
        <v>9.1908716820161884E-2</v>
      </c>
      <c r="K64" s="14">
        <f>IFERROR(VLOOKUP(D64,[1]TDSheet!$A:$M,12,0),0)</f>
        <v>0.55431818181818182</v>
      </c>
      <c r="L64" s="14">
        <f>IFERROR(VLOOKUP(D64,[1]TDSheet!$A:$M,13,0),0)</f>
        <v>0.55431818181818182</v>
      </c>
      <c r="M64" s="14">
        <f t="shared" si="5"/>
        <v>2.771590909090909</v>
      </c>
      <c r="N64" s="14">
        <f t="shared" si="6"/>
        <v>2.771590909090909</v>
      </c>
      <c r="O64" s="17">
        <v>0</v>
      </c>
      <c r="P64" s="17">
        <v>0</v>
      </c>
    </row>
    <row r="65" spans="1:16" outlineLevel="2">
      <c r="A65" s="26" t="s">
        <v>124</v>
      </c>
      <c r="B65" s="26"/>
      <c r="C65" s="26"/>
      <c r="D65" s="27" t="s">
        <v>125</v>
      </c>
      <c r="E65" s="27"/>
      <c r="F65" s="27"/>
      <c r="G65" s="8" t="s">
        <v>12</v>
      </c>
      <c r="H65" s="9">
        <v>240.68199999999999</v>
      </c>
      <c r="I65" s="9">
        <v>240.68199999999999</v>
      </c>
      <c r="J65" s="12">
        <f>IF(IFERROR(VLOOKUP(D65,[1]TDSheet!$A:$N,14,0),0)&gt;1,1,IFERROR(VLOOKUP(D65,[1]TDSheet!$A:$N,14,0),0))</f>
        <v>0.59738759995230462</v>
      </c>
      <c r="K65" s="14">
        <f>IFERROR(VLOOKUP(D65,[1]TDSheet!$A:$M,12,0),0)</f>
        <v>37.575272727272726</v>
      </c>
      <c r="L65" s="14">
        <f>IFERROR(VLOOKUP(D65,[1]TDSheet!$A:$M,13,0),0)</f>
        <v>37.575272727272726</v>
      </c>
      <c r="M65" s="14">
        <f t="shared" si="5"/>
        <v>187.87636363636364</v>
      </c>
      <c r="N65" s="14">
        <f t="shared" si="6"/>
        <v>187.87636363636364</v>
      </c>
      <c r="O65" s="17">
        <f t="shared" si="7"/>
        <v>187.87636363636364</v>
      </c>
      <c r="P65" s="17">
        <f t="shared" si="8"/>
        <v>187.87636363636364</v>
      </c>
    </row>
    <row r="66" spans="1:16" outlineLevel="2">
      <c r="A66" s="26" t="s">
        <v>126</v>
      </c>
      <c r="B66" s="26"/>
      <c r="C66" s="26"/>
      <c r="D66" s="27" t="s">
        <v>127</v>
      </c>
      <c r="E66" s="27"/>
      <c r="F66" s="27"/>
      <c r="G66" s="8" t="s">
        <v>12</v>
      </c>
      <c r="H66" s="9">
        <v>24.841999999999999</v>
      </c>
      <c r="I66" s="9">
        <v>24.841999999999999</v>
      </c>
      <c r="J66" s="12">
        <f>IF(IFERROR(VLOOKUP(D66,[1]TDSheet!$A:$N,14,0),0)&gt;1,1,IFERROR(VLOOKUP(D66,[1]TDSheet!$A:$N,14,0),0))</f>
        <v>0.76135911551094049</v>
      </c>
      <c r="K66" s="14">
        <f>IFERROR(VLOOKUP(D66,[1]TDSheet!$A:$M,12,0),0)</f>
        <v>14.962090909090909</v>
      </c>
      <c r="L66" s="14">
        <f>IFERROR(VLOOKUP(D66,[1]TDSheet!$A:$M,13,0),0)</f>
        <v>14.962090909090909</v>
      </c>
      <c r="M66" s="14">
        <f t="shared" si="5"/>
        <v>74.810454545454547</v>
      </c>
      <c r="N66" s="14">
        <f t="shared" si="6"/>
        <v>74.810454545454547</v>
      </c>
      <c r="O66" s="17">
        <f t="shared" si="7"/>
        <v>24.841999999999999</v>
      </c>
      <c r="P66" s="17">
        <f t="shared" si="8"/>
        <v>24.841999999999999</v>
      </c>
    </row>
    <row r="67" spans="1:16" outlineLevel="2">
      <c r="A67" s="26" t="s">
        <v>128</v>
      </c>
      <c r="B67" s="26"/>
      <c r="C67" s="26"/>
      <c r="D67" s="27" t="s">
        <v>129</v>
      </c>
      <c r="E67" s="27"/>
      <c r="F67" s="27"/>
      <c r="G67" s="8" t="s">
        <v>12</v>
      </c>
      <c r="H67" s="9">
        <v>2.2080000000000002</v>
      </c>
      <c r="I67" s="9">
        <v>2.2080000000000002</v>
      </c>
      <c r="J67" s="12">
        <f>IF(IFERROR(VLOOKUP(D67,[1]TDSheet!$A:$N,14,0),0)&gt;1,1,IFERROR(VLOOKUP(D67,[1]TDSheet!$A:$N,14,0),0))</f>
        <v>0.70595718015309139</v>
      </c>
      <c r="K67" s="14">
        <f>IFERROR(VLOOKUP(D67,[1]TDSheet!$A:$M,12,0),0)</f>
        <v>18.793318181818179</v>
      </c>
      <c r="L67" s="14">
        <f>IFERROR(VLOOKUP(D67,[1]TDSheet!$A:$M,13,0),0)</f>
        <v>18.793318181818179</v>
      </c>
      <c r="M67" s="14">
        <f t="shared" si="5"/>
        <v>93.966590909090897</v>
      </c>
      <c r="N67" s="14">
        <f t="shared" si="6"/>
        <v>93.966590909090897</v>
      </c>
      <c r="O67" s="17">
        <f t="shared" si="7"/>
        <v>2.2080000000000002</v>
      </c>
      <c r="P67" s="17">
        <f t="shared" si="8"/>
        <v>2.2080000000000002</v>
      </c>
    </row>
    <row r="68" spans="1:16" outlineLevel="2">
      <c r="A68" s="26" t="s">
        <v>130</v>
      </c>
      <c r="B68" s="26"/>
      <c r="C68" s="26"/>
      <c r="D68" s="27" t="s">
        <v>131</v>
      </c>
      <c r="E68" s="27"/>
      <c r="F68" s="27"/>
      <c r="G68" s="8" t="s">
        <v>12</v>
      </c>
      <c r="H68" s="9">
        <v>45.933</v>
      </c>
      <c r="I68" s="9">
        <v>45.933</v>
      </c>
      <c r="J68" s="12">
        <f>IF(IFERROR(VLOOKUP(D68,[1]TDSheet!$A:$N,14,0),0)&gt;1,1,IFERROR(VLOOKUP(D68,[1]TDSheet!$A:$N,14,0),0))</f>
        <v>8.7166397527391429E-2</v>
      </c>
      <c r="K68" s="14">
        <f>IFERROR(VLOOKUP(D68,[1]TDSheet!$A:$M,12,0),0)</f>
        <v>0.4563636363636363</v>
      </c>
      <c r="L68" s="14">
        <f>IFERROR(VLOOKUP(D68,[1]TDSheet!$A:$M,13,0),0)</f>
        <v>0.4563636363636363</v>
      </c>
      <c r="M68" s="14">
        <f t="shared" si="5"/>
        <v>2.2818181818181813</v>
      </c>
      <c r="N68" s="14">
        <f t="shared" si="6"/>
        <v>2.2818181818181813</v>
      </c>
      <c r="O68" s="17">
        <v>0</v>
      </c>
      <c r="P68" s="17">
        <v>0</v>
      </c>
    </row>
    <row r="69" spans="1:16" outlineLevel="2">
      <c r="A69" s="26" t="s">
        <v>132</v>
      </c>
      <c r="B69" s="26"/>
      <c r="C69" s="26"/>
      <c r="D69" s="27" t="s">
        <v>133</v>
      </c>
      <c r="E69" s="27"/>
      <c r="F69" s="27"/>
      <c r="G69" s="8" t="s">
        <v>12</v>
      </c>
      <c r="H69" s="9">
        <v>96.608999999999995</v>
      </c>
      <c r="I69" s="9">
        <v>96.608999999999995</v>
      </c>
      <c r="J69" s="12">
        <f>IF(IFERROR(VLOOKUP(D69,[1]TDSheet!$A:$N,14,0),0)&gt;1,1,IFERROR(VLOOKUP(D69,[1]TDSheet!$A:$N,14,0),0))</f>
        <v>0.66351246697428412</v>
      </c>
      <c r="K69" s="14">
        <f>IFERROR(VLOOKUP(D69,[1]TDSheet!$A:$M,12,0),0)</f>
        <v>24.22309090909091</v>
      </c>
      <c r="L69" s="14">
        <f>IFERROR(VLOOKUP(D69,[1]TDSheet!$A:$M,13,0),0)</f>
        <v>24.22309090909091</v>
      </c>
      <c r="M69" s="14">
        <f t="shared" si="5"/>
        <v>121.11545454545455</v>
      </c>
      <c r="N69" s="14">
        <f t="shared" si="6"/>
        <v>121.11545454545455</v>
      </c>
      <c r="O69" s="17">
        <f t="shared" si="7"/>
        <v>96.608999999999995</v>
      </c>
      <c r="P69" s="17">
        <f t="shared" si="8"/>
        <v>96.608999999999995</v>
      </c>
    </row>
    <row r="70" spans="1:16" outlineLevel="2">
      <c r="A70" s="26" t="s">
        <v>134</v>
      </c>
      <c r="B70" s="26"/>
      <c r="C70" s="26"/>
      <c r="D70" s="27" t="s">
        <v>135</v>
      </c>
      <c r="E70" s="27"/>
      <c r="F70" s="27"/>
      <c r="G70" s="8" t="s">
        <v>12</v>
      </c>
      <c r="H70" s="9">
        <v>119.295</v>
      </c>
      <c r="I70" s="9">
        <v>119.295</v>
      </c>
      <c r="J70" s="12">
        <f>IF(IFERROR(VLOOKUP(D70,[1]TDSheet!$A:$N,14,0),0)&gt;1,1,IFERROR(VLOOKUP(D70,[1]TDSheet!$A:$N,14,0),0))</f>
        <v>0.24420362586250699</v>
      </c>
      <c r="K70" s="14">
        <f>IFERROR(VLOOKUP(D70,[1]TDSheet!$A:$M,12,0),0)</f>
        <v>4.4126818181818175</v>
      </c>
      <c r="L70" s="14">
        <f>IFERROR(VLOOKUP(D70,[1]TDSheet!$A:$M,13,0),0)</f>
        <v>4.4126818181818175</v>
      </c>
      <c r="M70" s="14">
        <f t="shared" si="5"/>
        <v>22.063409090909087</v>
      </c>
      <c r="N70" s="14">
        <f t="shared" si="6"/>
        <v>22.063409090909087</v>
      </c>
      <c r="O70" s="17">
        <f t="shared" si="7"/>
        <v>22.063409090909087</v>
      </c>
      <c r="P70" s="17">
        <f t="shared" si="8"/>
        <v>22.063409090909087</v>
      </c>
    </row>
    <row r="71" spans="1:16" outlineLevel="2">
      <c r="A71" s="26" t="s">
        <v>136</v>
      </c>
      <c r="B71" s="26"/>
      <c r="C71" s="26"/>
      <c r="D71" s="27" t="s">
        <v>137</v>
      </c>
      <c r="E71" s="27"/>
      <c r="F71" s="27"/>
      <c r="G71" s="8" t="s">
        <v>12</v>
      </c>
      <c r="H71" s="9">
        <v>1.149</v>
      </c>
      <c r="I71" s="9">
        <v>1.149</v>
      </c>
      <c r="J71" s="12">
        <f>IF(IFERROR(VLOOKUP(D71,[1]TDSheet!$A:$N,14,0),0)&gt;1,1,IFERROR(VLOOKUP(D71,[1]TDSheet!$A:$N,14,0),0))</f>
        <v>0</v>
      </c>
      <c r="K71" s="14">
        <f>IFERROR(VLOOKUP(D71,[1]TDSheet!$A:$M,12,0),0)</f>
        <v>-4.7363636363636365E-2</v>
      </c>
      <c r="L71" s="14">
        <f>IFERROR(VLOOKUP(D71,[1]TDSheet!$A:$M,13,0),0)</f>
        <v>-4.7363636363636365E-2</v>
      </c>
      <c r="M71" s="14">
        <f t="shared" si="5"/>
        <v>0</v>
      </c>
      <c r="N71" s="14">
        <f t="shared" si="6"/>
        <v>0</v>
      </c>
      <c r="O71" s="17">
        <v>0</v>
      </c>
      <c r="P71" s="17">
        <v>0</v>
      </c>
    </row>
    <row r="72" spans="1:16" outlineLevel="2">
      <c r="A72" s="26" t="s">
        <v>138</v>
      </c>
      <c r="B72" s="26"/>
      <c r="C72" s="26"/>
      <c r="D72" s="27" t="s">
        <v>139</v>
      </c>
      <c r="E72" s="27"/>
      <c r="F72" s="27"/>
      <c r="G72" s="8" t="s">
        <v>12</v>
      </c>
      <c r="H72" s="9">
        <v>19.067</v>
      </c>
      <c r="I72" s="9">
        <v>19.067</v>
      </c>
      <c r="J72" s="12">
        <f>IF(IFERROR(VLOOKUP(D72,[1]TDSheet!$A:$N,14,0),0)&gt;1,1,IFERROR(VLOOKUP(D72,[1]TDSheet!$A:$N,14,0),0))</f>
        <v>0.1203076949631347</v>
      </c>
      <c r="K72" s="14">
        <f>IFERROR(VLOOKUP(D72,[1]TDSheet!$A:$M,12,0),0)</f>
        <v>3.8019090909090907</v>
      </c>
      <c r="L72" s="14">
        <f>IFERROR(VLOOKUP(D72,[1]TDSheet!$A:$M,13,0),0)</f>
        <v>3.8019090909090907</v>
      </c>
      <c r="M72" s="14">
        <f t="shared" si="5"/>
        <v>19.009545454545453</v>
      </c>
      <c r="N72" s="14">
        <f t="shared" si="6"/>
        <v>19.009545454545453</v>
      </c>
      <c r="O72" s="17">
        <v>0</v>
      </c>
      <c r="P72" s="17">
        <v>0</v>
      </c>
    </row>
    <row r="73" spans="1:16" outlineLevel="2">
      <c r="A73" s="26" t="s">
        <v>140</v>
      </c>
      <c r="B73" s="26"/>
      <c r="C73" s="26"/>
      <c r="D73" s="27" t="s">
        <v>141</v>
      </c>
      <c r="E73" s="27"/>
      <c r="F73" s="27"/>
      <c r="G73" s="8" t="s">
        <v>12</v>
      </c>
      <c r="H73" s="9">
        <v>-0.36799999999999999</v>
      </c>
      <c r="I73" s="9">
        <v>-0.36799999999999999</v>
      </c>
      <c r="J73" s="12">
        <f>IF(IFERROR(VLOOKUP(D73,[1]TDSheet!$A:$N,14,0),0)&gt;1,1,IFERROR(VLOOKUP(D73,[1]TDSheet!$A:$N,14,0),0))</f>
        <v>0.28649843951070153</v>
      </c>
      <c r="K73" s="14">
        <f>IFERROR(VLOOKUP(D73,[1]TDSheet!$A:$M,12,0),0)</f>
        <v>17.608454545454546</v>
      </c>
      <c r="L73" s="14">
        <f>IFERROR(VLOOKUP(D73,[1]TDSheet!$A:$M,13,0),0)</f>
        <v>17.608454545454546</v>
      </c>
      <c r="M73" s="14">
        <f t="shared" si="5"/>
        <v>88.042272727272731</v>
      </c>
      <c r="N73" s="14">
        <f t="shared" si="6"/>
        <v>88.042272727272731</v>
      </c>
      <c r="O73" s="17">
        <v>0</v>
      </c>
      <c r="P73" s="17">
        <v>0</v>
      </c>
    </row>
    <row r="74" spans="1:16" outlineLevel="2">
      <c r="A74" s="26" t="s">
        <v>142</v>
      </c>
      <c r="B74" s="26"/>
      <c r="C74" s="26"/>
      <c r="D74" s="27" t="s">
        <v>143</v>
      </c>
      <c r="E74" s="27"/>
      <c r="F74" s="27"/>
      <c r="G74" s="8" t="s">
        <v>12</v>
      </c>
      <c r="H74" s="9">
        <v>4.3479999999999999</v>
      </c>
      <c r="I74" s="9">
        <v>4.3479999999999999</v>
      </c>
      <c r="J74" s="12">
        <f>IF(IFERROR(VLOOKUP(D74,[1]TDSheet!$A:$N,14,0),0)&gt;1,1,IFERROR(VLOOKUP(D74,[1]TDSheet!$A:$N,14,0),0))</f>
        <v>0.48870617580488707</v>
      </c>
      <c r="K74" s="14">
        <f>IFERROR(VLOOKUP(D74,[1]TDSheet!$A:$M,12,0),0)</f>
        <v>0.96181818181818179</v>
      </c>
      <c r="L74" s="14">
        <f>IFERROR(VLOOKUP(D74,[1]TDSheet!$A:$M,13,0),0)</f>
        <v>0.96181818181818179</v>
      </c>
      <c r="M74" s="14">
        <f t="shared" si="5"/>
        <v>4.8090909090909086</v>
      </c>
      <c r="N74" s="14">
        <f t="shared" si="6"/>
        <v>4.8090909090909086</v>
      </c>
      <c r="O74" s="17">
        <f t="shared" si="7"/>
        <v>4.3479999999999999</v>
      </c>
      <c r="P74" s="17">
        <f t="shared" si="8"/>
        <v>4.3479999999999999</v>
      </c>
    </row>
    <row r="75" spans="1:16" outlineLevel="2">
      <c r="A75" s="26" t="s">
        <v>144</v>
      </c>
      <c r="B75" s="26"/>
      <c r="C75" s="26"/>
      <c r="D75" s="27" t="s">
        <v>145</v>
      </c>
      <c r="E75" s="27"/>
      <c r="F75" s="27"/>
      <c r="G75" s="8" t="s">
        <v>12</v>
      </c>
      <c r="H75" s="9">
        <v>56.988999999999997</v>
      </c>
      <c r="I75" s="9">
        <v>56.988999999999997</v>
      </c>
      <c r="J75" s="12">
        <f>IF(IFERROR(VLOOKUP(D75,[1]TDSheet!$A:$N,14,0),0)&gt;1,1,IFERROR(VLOOKUP(D75,[1]TDSheet!$A:$N,14,0),0))</f>
        <v>2.091109158477698E-2</v>
      </c>
      <c r="K75" s="14">
        <f>IFERROR(VLOOKUP(D75,[1]TDSheet!$A:$M,12,0),0)</f>
        <v>0.23581818181818182</v>
      </c>
      <c r="L75" s="14">
        <f>IFERROR(VLOOKUP(D75,[1]TDSheet!$A:$M,13,0),0)</f>
        <v>0.23581818181818182</v>
      </c>
      <c r="M75" s="14">
        <f t="shared" si="5"/>
        <v>1.1790909090909092</v>
      </c>
      <c r="N75" s="14">
        <f t="shared" si="6"/>
        <v>1.1790909090909092</v>
      </c>
      <c r="O75" s="17">
        <v>0</v>
      </c>
      <c r="P75" s="17">
        <v>0</v>
      </c>
    </row>
    <row r="76" spans="1:16" outlineLevel="2">
      <c r="A76" s="26" t="s">
        <v>146</v>
      </c>
      <c r="B76" s="26"/>
      <c r="C76" s="26"/>
      <c r="D76" s="27" t="s">
        <v>147</v>
      </c>
      <c r="E76" s="27"/>
      <c r="F76" s="27"/>
      <c r="G76" s="8" t="s">
        <v>12</v>
      </c>
      <c r="H76" s="9">
        <v>3.2759999999999998</v>
      </c>
      <c r="I76" s="9">
        <v>3.2759999999999998</v>
      </c>
      <c r="J76" s="12">
        <f>IF(IFERROR(VLOOKUP(D76,[1]TDSheet!$A:$N,14,0),0)&gt;1,1,IFERROR(VLOOKUP(D76,[1]TDSheet!$A:$N,14,0),0))</f>
        <v>0.15311973581066429</v>
      </c>
      <c r="K76" s="14">
        <f>IFERROR(VLOOKUP(D76,[1]TDSheet!$A:$M,12,0),0)</f>
        <v>2.0865</v>
      </c>
      <c r="L76" s="14">
        <f>IFERROR(VLOOKUP(D76,[1]TDSheet!$A:$M,13,0),0)</f>
        <v>2.0865</v>
      </c>
      <c r="M76" s="14">
        <f t="shared" si="5"/>
        <v>10.432500000000001</v>
      </c>
      <c r="N76" s="14">
        <f t="shared" si="6"/>
        <v>10.432500000000001</v>
      </c>
      <c r="O76" s="17">
        <f t="shared" si="7"/>
        <v>3.2759999999999998</v>
      </c>
      <c r="P76" s="17">
        <f t="shared" si="8"/>
        <v>3.2759999999999998</v>
      </c>
    </row>
    <row r="77" spans="1:16" outlineLevel="2">
      <c r="A77" s="26" t="s">
        <v>148</v>
      </c>
      <c r="B77" s="26"/>
      <c r="C77" s="26"/>
      <c r="D77" s="27" t="s">
        <v>149</v>
      </c>
      <c r="E77" s="27"/>
      <c r="F77" s="27"/>
      <c r="G77" s="8" t="s">
        <v>12</v>
      </c>
      <c r="H77" s="9">
        <v>-2.7559999999999998</v>
      </c>
      <c r="I77" s="9">
        <v>-2.7559999999999998</v>
      </c>
      <c r="J77" s="12">
        <f>IF(IFERROR(VLOOKUP(D77,[1]TDSheet!$A:$N,14,0),0)&gt;1,1,IFERROR(VLOOKUP(D77,[1]TDSheet!$A:$N,14,0),0))</f>
        <v>1</v>
      </c>
      <c r="K77" s="14">
        <f>IFERROR(VLOOKUP(D77,[1]TDSheet!$A:$M,12,0),0)</f>
        <v>0.12527272727272726</v>
      </c>
      <c r="L77" s="14">
        <f>IFERROR(VLOOKUP(D77,[1]TDSheet!$A:$M,13,0),0)</f>
        <v>0.12527272727272726</v>
      </c>
      <c r="M77" s="14">
        <f t="shared" si="5"/>
        <v>0.62636363636363623</v>
      </c>
      <c r="N77" s="14">
        <f t="shared" si="6"/>
        <v>0.62636363636363623</v>
      </c>
      <c r="O77" s="17">
        <v>0</v>
      </c>
      <c r="P77" s="17">
        <v>0</v>
      </c>
    </row>
    <row r="78" spans="1:16" outlineLevel="2">
      <c r="A78" s="26" t="s">
        <v>150</v>
      </c>
      <c r="B78" s="26"/>
      <c r="C78" s="26"/>
      <c r="D78" s="27" t="s">
        <v>151</v>
      </c>
      <c r="E78" s="27"/>
      <c r="F78" s="27"/>
      <c r="G78" s="8" t="s">
        <v>12</v>
      </c>
      <c r="H78" s="9">
        <v>98.897999999999996</v>
      </c>
      <c r="I78" s="9">
        <v>98.897999999999996</v>
      </c>
      <c r="J78" s="12">
        <f>IF(IFERROR(VLOOKUP(D78,[1]TDSheet!$A:$N,14,0),0)&gt;1,1,IFERROR(VLOOKUP(D78,[1]TDSheet!$A:$N,14,0),0))</f>
        <v>7.0934121713922535E-2</v>
      </c>
      <c r="K78" s="14">
        <f>IFERROR(VLOOKUP(D78,[1]TDSheet!$A:$M,12,0),0)</f>
        <v>1.1211363636363636</v>
      </c>
      <c r="L78" s="14">
        <f>IFERROR(VLOOKUP(D78,[1]TDSheet!$A:$M,13,0),0)</f>
        <v>1.1211363636363636</v>
      </c>
      <c r="M78" s="14">
        <f t="shared" si="5"/>
        <v>5.605681818181818</v>
      </c>
      <c r="N78" s="14">
        <f t="shared" si="6"/>
        <v>5.605681818181818</v>
      </c>
      <c r="O78" s="17">
        <v>0</v>
      </c>
      <c r="P78" s="17">
        <v>0</v>
      </c>
    </row>
    <row r="79" spans="1:16" outlineLevel="2">
      <c r="A79" s="26" t="s">
        <v>152</v>
      </c>
      <c r="B79" s="26"/>
      <c r="C79" s="26"/>
      <c r="D79" s="27" t="s">
        <v>153</v>
      </c>
      <c r="E79" s="27"/>
      <c r="F79" s="27"/>
      <c r="G79" s="8" t="s">
        <v>12</v>
      </c>
      <c r="H79" s="9">
        <v>88.760999999999996</v>
      </c>
      <c r="I79" s="9">
        <v>88.760999999999996</v>
      </c>
      <c r="J79" s="12">
        <f>IF(IFERROR(VLOOKUP(D79,[1]TDSheet!$A:$N,14,0),0)&gt;1,1,IFERROR(VLOOKUP(D79,[1]TDSheet!$A:$N,14,0),0))</f>
        <v>7.3014024555520973E-2</v>
      </c>
      <c r="K79" s="14">
        <f>IFERROR(VLOOKUP(D79,[1]TDSheet!$A:$M,12,0),0)</f>
        <v>0.6611818181818182</v>
      </c>
      <c r="L79" s="14">
        <f>IFERROR(VLOOKUP(D79,[1]TDSheet!$A:$M,13,0),0)</f>
        <v>0.6611818181818182</v>
      </c>
      <c r="M79" s="14">
        <f t="shared" si="5"/>
        <v>3.3059090909090911</v>
      </c>
      <c r="N79" s="14">
        <f t="shared" si="6"/>
        <v>3.3059090909090911</v>
      </c>
      <c r="O79" s="17">
        <v>0</v>
      </c>
      <c r="P79" s="17">
        <v>0</v>
      </c>
    </row>
    <row r="80" spans="1:16" outlineLevel="2">
      <c r="A80" s="26" t="s">
        <v>154</v>
      </c>
      <c r="B80" s="26"/>
      <c r="C80" s="26"/>
      <c r="D80" s="27" t="s">
        <v>155</v>
      </c>
      <c r="E80" s="27"/>
      <c r="F80" s="27"/>
      <c r="G80" s="8" t="s">
        <v>12</v>
      </c>
      <c r="H80" s="9">
        <v>16.719000000000001</v>
      </c>
      <c r="I80" s="9">
        <v>16.719000000000001</v>
      </c>
      <c r="J80" s="12">
        <f>IF(IFERROR(VLOOKUP(D80,[1]TDSheet!$A:$N,14,0),0)&gt;1,1,IFERROR(VLOOKUP(D80,[1]TDSheet!$A:$N,14,0),0))</f>
        <v>0.18352771054037911</v>
      </c>
      <c r="K80" s="14">
        <f>IFERROR(VLOOKUP(D80,[1]TDSheet!$A:$M,12,0),0)</f>
        <v>1.3268636363636364</v>
      </c>
      <c r="L80" s="14">
        <f>IFERROR(VLOOKUP(D80,[1]TDSheet!$A:$M,13,0),0)</f>
        <v>1.3268636363636364</v>
      </c>
      <c r="M80" s="14">
        <f t="shared" si="5"/>
        <v>6.6343181818181822</v>
      </c>
      <c r="N80" s="14">
        <f t="shared" si="6"/>
        <v>6.6343181818181822</v>
      </c>
      <c r="O80" s="17">
        <f t="shared" si="7"/>
        <v>6.6343181818181822</v>
      </c>
      <c r="P80" s="17">
        <f t="shared" si="8"/>
        <v>6.6343181818181822</v>
      </c>
    </row>
    <row r="81" spans="1:17" outlineLevel="2">
      <c r="A81" s="26" t="s">
        <v>156</v>
      </c>
      <c r="B81" s="26"/>
      <c r="C81" s="26"/>
      <c r="D81" s="27" t="s">
        <v>157</v>
      </c>
      <c r="E81" s="27"/>
      <c r="F81" s="27"/>
      <c r="G81" s="8" t="s">
        <v>12</v>
      </c>
      <c r="H81" s="9">
        <v>-2.7429999999999999</v>
      </c>
      <c r="I81" s="9">
        <v>-2.7429999999999999</v>
      </c>
      <c r="J81" s="12">
        <f>IF(IFERROR(VLOOKUP(D81,[1]TDSheet!$A:$N,14,0),0)&gt;1,1,IFERROR(VLOOKUP(D81,[1]TDSheet!$A:$N,14,0),0))</f>
        <v>0.39275421057371884</v>
      </c>
      <c r="K81" s="14">
        <f>IFERROR(VLOOKUP(D81,[1]TDSheet!$A:$M,12,0),0)</f>
        <v>2.3785909090909092</v>
      </c>
      <c r="L81" s="14">
        <f>IFERROR(VLOOKUP(D81,[1]TDSheet!$A:$M,13,0),0)</f>
        <v>2.3785909090909092</v>
      </c>
      <c r="M81" s="14">
        <f t="shared" si="5"/>
        <v>11.892954545454547</v>
      </c>
      <c r="N81" s="14">
        <f t="shared" si="6"/>
        <v>11.892954545454547</v>
      </c>
      <c r="O81" s="17">
        <v>0</v>
      </c>
      <c r="P81" s="17">
        <v>0</v>
      </c>
    </row>
    <row r="82" spans="1:17" outlineLevel="2">
      <c r="A82" s="26" t="s">
        <v>158</v>
      </c>
      <c r="B82" s="26"/>
      <c r="C82" s="26"/>
      <c r="D82" s="27" t="s">
        <v>159</v>
      </c>
      <c r="E82" s="27"/>
      <c r="F82" s="27"/>
      <c r="G82" s="8" t="s">
        <v>12</v>
      </c>
      <c r="H82" s="9">
        <v>-21.355</v>
      </c>
      <c r="I82" s="9">
        <v>-21.355</v>
      </c>
      <c r="J82" s="12">
        <f>IF(IFERROR(VLOOKUP(D82,[1]TDSheet!$A:$N,14,0),0)&gt;1,1,IFERROR(VLOOKUP(D82,[1]TDSheet!$A:$N,14,0),0))</f>
        <v>0.1865257486180367</v>
      </c>
      <c r="K82" s="14">
        <f>IFERROR(VLOOKUP(D82,[1]TDSheet!$A:$M,12,0),0)</f>
        <v>3.8834999999999997</v>
      </c>
      <c r="L82" s="14">
        <f>IFERROR(VLOOKUP(D82,[1]TDSheet!$A:$M,13,0),0)</f>
        <v>3.8834999999999997</v>
      </c>
      <c r="M82" s="14">
        <f t="shared" si="5"/>
        <v>19.417499999999997</v>
      </c>
      <c r="N82" s="14">
        <f t="shared" si="6"/>
        <v>19.417499999999997</v>
      </c>
      <c r="O82" s="17">
        <v>0</v>
      </c>
      <c r="P82" s="17">
        <v>0</v>
      </c>
    </row>
    <row r="83" spans="1:17" outlineLevel="2">
      <c r="A83" s="26" t="s">
        <v>160</v>
      </c>
      <c r="B83" s="26"/>
      <c r="C83" s="26"/>
      <c r="D83" s="27" t="s">
        <v>161</v>
      </c>
      <c r="E83" s="27"/>
      <c r="F83" s="27"/>
      <c r="G83" s="8" t="s">
        <v>12</v>
      </c>
      <c r="H83" s="9">
        <v>17.835999999999999</v>
      </c>
      <c r="I83" s="9">
        <v>17.835999999999999</v>
      </c>
      <c r="J83" s="12">
        <f>IF(IFERROR(VLOOKUP(D83,[1]TDSheet!$A:$N,14,0),0)&gt;1,1,IFERROR(VLOOKUP(D83,[1]TDSheet!$A:$N,14,0),0))</f>
        <v>7.2181243414120133E-2</v>
      </c>
      <c r="K83" s="14">
        <f>IFERROR(VLOOKUP(D83,[1]TDSheet!$A:$M,12,0),0)</f>
        <v>1.6377727272727272</v>
      </c>
      <c r="L83" s="14">
        <f>IFERROR(VLOOKUP(D83,[1]TDSheet!$A:$M,13,0),0)</f>
        <v>1.6377727272727272</v>
      </c>
      <c r="M83" s="14">
        <f t="shared" si="5"/>
        <v>8.1888636363636351</v>
      </c>
      <c r="N83" s="14">
        <f t="shared" si="6"/>
        <v>8.1888636363636351</v>
      </c>
      <c r="O83" s="17">
        <v>0</v>
      </c>
      <c r="P83" s="17">
        <v>0</v>
      </c>
    </row>
    <row r="84" spans="1:17" outlineLevel="2">
      <c r="A84" s="26" t="s">
        <v>162</v>
      </c>
      <c r="B84" s="26"/>
      <c r="C84" s="26"/>
      <c r="D84" s="27" t="s">
        <v>163</v>
      </c>
      <c r="E84" s="27"/>
      <c r="F84" s="27"/>
      <c r="G84" s="8" t="s">
        <v>12</v>
      </c>
      <c r="H84" s="9">
        <v>-3.706</v>
      </c>
      <c r="I84" s="9">
        <v>-3.706</v>
      </c>
      <c r="J84" s="12">
        <f>IF(IFERROR(VLOOKUP(D84,[1]TDSheet!$A:$N,14,0),0)&gt;1,1,IFERROR(VLOOKUP(D84,[1]TDSheet!$A:$N,14,0),0))</f>
        <v>0.21497063661856583</v>
      </c>
      <c r="K84" s="14">
        <f>IFERROR(VLOOKUP(D84,[1]TDSheet!$A:$M,12,0),0)</f>
        <v>3.4392272727272726</v>
      </c>
      <c r="L84" s="14">
        <f>IFERROR(VLOOKUP(D84,[1]TDSheet!$A:$M,13,0),0)</f>
        <v>3.4392272727272726</v>
      </c>
      <c r="M84" s="14">
        <f t="shared" si="5"/>
        <v>17.196136363636363</v>
      </c>
      <c r="N84" s="14">
        <f t="shared" si="6"/>
        <v>17.196136363636363</v>
      </c>
      <c r="O84" s="17">
        <v>0</v>
      </c>
      <c r="P84" s="17">
        <v>0</v>
      </c>
    </row>
    <row r="85" spans="1:17" outlineLevel="2">
      <c r="A85" s="26" t="s">
        <v>164</v>
      </c>
      <c r="B85" s="26"/>
      <c r="C85" s="26"/>
      <c r="D85" s="27" t="s">
        <v>165</v>
      </c>
      <c r="E85" s="27"/>
      <c r="F85" s="27"/>
      <c r="G85" s="8" t="s">
        <v>12</v>
      </c>
      <c r="H85" s="9">
        <v>10.363</v>
      </c>
      <c r="I85" s="9">
        <v>10.363</v>
      </c>
      <c r="J85" s="12">
        <f>IF(IFERROR(VLOOKUP(D85,[1]TDSheet!$A:$N,14,0),0)&gt;1,1,IFERROR(VLOOKUP(D85,[1]TDSheet!$A:$N,14,0),0))</f>
        <v>0.2293321336973608</v>
      </c>
      <c r="K85" s="14">
        <f>IFERROR(VLOOKUP(D85,[1]TDSheet!$A:$M,12,0),0)</f>
        <v>2.0159545454545453</v>
      </c>
      <c r="L85" s="14">
        <f>IFERROR(VLOOKUP(D85,[1]TDSheet!$A:$M,13,0),0)</f>
        <v>2.0159545454545453</v>
      </c>
      <c r="M85" s="14">
        <f t="shared" si="5"/>
        <v>10.079772727272726</v>
      </c>
      <c r="N85" s="14">
        <f t="shared" si="6"/>
        <v>10.079772727272726</v>
      </c>
      <c r="O85" s="17">
        <f t="shared" si="7"/>
        <v>10.079772727272726</v>
      </c>
      <c r="P85" s="17">
        <f t="shared" si="8"/>
        <v>10.079772727272726</v>
      </c>
    </row>
    <row r="86" spans="1:17" outlineLevel="2">
      <c r="A86" s="26" t="s">
        <v>166</v>
      </c>
      <c r="B86" s="26"/>
      <c r="C86" s="26"/>
      <c r="D86" s="27" t="s">
        <v>167</v>
      </c>
      <c r="E86" s="27"/>
      <c r="F86" s="27"/>
      <c r="G86" s="8" t="s">
        <v>12</v>
      </c>
      <c r="H86" s="9">
        <v>3.806</v>
      </c>
      <c r="I86" s="9">
        <v>3.806</v>
      </c>
      <c r="J86" s="12">
        <f>IF(IFERROR(VLOOKUP(D86,[1]TDSheet!$A:$N,14,0),0)&gt;1,1,IFERROR(VLOOKUP(D86,[1]TDSheet!$A:$N,14,0),0))</f>
        <v>0.25822993542952138</v>
      </c>
      <c r="K86" s="14">
        <f>IFERROR(VLOOKUP(D86,[1]TDSheet!$A:$M,12,0),0)</f>
        <v>13.097363636363637</v>
      </c>
      <c r="L86" s="14">
        <f>IFERROR(VLOOKUP(D86,[1]TDSheet!$A:$M,13,0),0)</f>
        <v>13.097363636363637</v>
      </c>
      <c r="M86" s="14">
        <f t="shared" ref="M86:M149" si="9">IF(K86*$M$6&lt;0,0,K86*$M$6)</f>
        <v>65.48681818181818</v>
      </c>
      <c r="N86" s="14">
        <f t="shared" ref="N86:N149" si="10">IF(L86*$N$6&lt;0,0,L86*$N$6)</f>
        <v>65.48681818181818</v>
      </c>
      <c r="O86" s="17">
        <f t="shared" ref="O86:O148" si="11">IF(M86&gt;H86,H86,M86)</f>
        <v>3.806</v>
      </c>
      <c r="P86" s="17">
        <f t="shared" ref="P86:P148" si="12">IF(N86&gt;I86,I86,N86)</f>
        <v>3.806</v>
      </c>
    </row>
    <row r="87" spans="1:17" outlineLevel="2">
      <c r="A87" s="26" t="s">
        <v>168</v>
      </c>
      <c r="B87" s="26"/>
      <c r="C87" s="26"/>
      <c r="D87" s="27" t="s">
        <v>169</v>
      </c>
      <c r="E87" s="27"/>
      <c r="F87" s="27"/>
      <c r="G87" s="8" t="s">
        <v>12</v>
      </c>
      <c r="H87" s="9">
        <v>5.7990000000000004</v>
      </c>
      <c r="I87" s="9">
        <v>5.7990000000000004</v>
      </c>
      <c r="J87" s="12">
        <f>IF(IFERROR(VLOOKUP(D87,[1]TDSheet!$A:$N,14,0),0)&gt;1,1,IFERROR(VLOOKUP(D87,[1]TDSheet!$A:$N,14,0),0))</f>
        <v>0.30712434907297931</v>
      </c>
      <c r="K87" s="14">
        <f>IFERROR(VLOOKUP(D87,[1]TDSheet!$A:$M,12,0),0)</f>
        <v>6.6591818181818185</v>
      </c>
      <c r="L87" s="14">
        <f>IFERROR(VLOOKUP(D87,[1]TDSheet!$A:$M,13,0),0)</f>
        <v>6.6591818181818185</v>
      </c>
      <c r="M87" s="14">
        <f t="shared" si="9"/>
        <v>33.295909090909092</v>
      </c>
      <c r="N87" s="14">
        <f t="shared" si="10"/>
        <v>33.295909090909092</v>
      </c>
      <c r="O87" s="17">
        <f t="shared" si="11"/>
        <v>5.7990000000000004</v>
      </c>
      <c r="P87" s="17">
        <f t="shared" si="12"/>
        <v>5.7990000000000004</v>
      </c>
    </row>
    <row r="88" spans="1:17" outlineLevel="2">
      <c r="A88" s="26" t="s">
        <v>170</v>
      </c>
      <c r="B88" s="26"/>
      <c r="C88" s="26"/>
      <c r="D88" s="27" t="s">
        <v>171</v>
      </c>
      <c r="E88" s="27"/>
      <c r="F88" s="27"/>
      <c r="G88" s="8" t="s">
        <v>12</v>
      </c>
      <c r="H88" s="9">
        <v>92.123000000000005</v>
      </c>
      <c r="I88" s="9">
        <v>92.123000000000005</v>
      </c>
      <c r="J88" s="12">
        <f>IF(IFERROR(VLOOKUP(D88,[1]TDSheet!$A:$N,14,0),0)&gt;1,1,IFERROR(VLOOKUP(D88,[1]TDSheet!$A:$N,14,0),0))</f>
        <v>0.67209217724671544</v>
      </c>
      <c r="K88" s="14">
        <f>IFERROR(VLOOKUP(D88,[1]TDSheet!$A:$M,12,0),0)</f>
        <v>21.834136363636365</v>
      </c>
      <c r="L88" s="14">
        <f>IFERROR(VLOOKUP(D88,[1]TDSheet!$A:$M,13,0),0)</f>
        <v>21.834136363636365</v>
      </c>
      <c r="M88" s="14">
        <f t="shared" si="9"/>
        <v>109.17068181818182</v>
      </c>
      <c r="N88" s="14">
        <f t="shared" si="10"/>
        <v>109.17068181818182</v>
      </c>
      <c r="O88" s="17">
        <f t="shared" si="11"/>
        <v>92.123000000000005</v>
      </c>
      <c r="P88" s="17">
        <f t="shared" si="12"/>
        <v>92.123000000000005</v>
      </c>
    </row>
    <row r="89" spans="1:17" outlineLevel="2">
      <c r="A89" s="26" t="s">
        <v>172</v>
      </c>
      <c r="B89" s="26"/>
      <c r="C89" s="26"/>
      <c r="D89" s="27" t="s">
        <v>173</v>
      </c>
      <c r="E89" s="27"/>
      <c r="F89" s="27"/>
      <c r="G89" s="8" t="s">
        <v>12</v>
      </c>
      <c r="H89" s="9">
        <v>76.117000000000004</v>
      </c>
      <c r="I89" s="9">
        <v>76.117000000000004</v>
      </c>
      <c r="J89" s="12">
        <f>IF(IFERROR(VLOOKUP(D89,[1]TDSheet!$A:$N,14,0),0)&gt;1,1,IFERROR(VLOOKUP(D89,[1]TDSheet!$A:$N,14,0),0))</f>
        <v>0.21647221174909395</v>
      </c>
      <c r="K89" s="14">
        <f>IFERROR(VLOOKUP(D89,[1]TDSheet!$A:$M,12,0),0)</f>
        <v>66.496681818181813</v>
      </c>
      <c r="L89" s="14">
        <f>IFERROR(VLOOKUP(D89,[1]TDSheet!$A:$M,13,0),0)</f>
        <v>66.496681818181813</v>
      </c>
      <c r="M89" s="14">
        <f t="shared" si="9"/>
        <v>332.48340909090905</v>
      </c>
      <c r="N89" s="14">
        <f t="shared" si="10"/>
        <v>332.48340909090905</v>
      </c>
      <c r="O89" s="17">
        <f t="shared" si="11"/>
        <v>76.117000000000004</v>
      </c>
      <c r="P89" s="17">
        <f t="shared" si="12"/>
        <v>76.117000000000004</v>
      </c>
    </row>
    <row r="90" spans="1:17" outlineLevel="2">
      <c r="A90" s="26" t="s">
        <v>174</v>
      </c>
      <c r="B90" s="26"/>
      <c r="C90" s="26"/>
      <c r="D90" s="27" t="s">
        <v>175</v>
      </c>
      <c r="E90" s="27"/>
      <c r="F90" s="27"/>
      <c r="G90" s="8" t="s">
        <v>12</v>
      </c>
      <c r="H90" s="9">
        <v>526.86</v>
      </c>
      <c r="I90" s="9">
        <v>526.86</v>
      </c>
      <c r="J90" s="12">
        <f>IF(IFERROR(VLOOKUP(D90,[1]TDSheet!$A:$N,14,0),0)&gt;1,1,IFERROR(VLOOKUP(D90,[1]TDSheet!$A:$N,14,0),0))</f>
        <v>0.27084335278481431</v>
      </c>
      <c r="K90" s="14">
        <f>IFERROR(VLOOKUP(D90,[1]TDSheet!$A:$M,12,0),0)</f>
        <v>56.725727272727269</v>
      </c>
      <c r="L90" s="14">
        <f>IFERROR(VLOOKUP(D90,[1]TDSheet!$A:$M,13,0),0)</f>
        <v>56.725727272727269</v>
      </c>
      <c r="M90" s="14">
        <f t="shared" si="9"/>
        <v>283.62863636363636</v>
      </c>
      <c r="N90" s="14">
        <f t="shared" si="10"/>
        <v>283.62863636363636</v>
      </c>
      <c r="O90" s="17">
        <f t="shared" si="11"/>
        <v>283.62863636363636</v>
      </c>
      <c r="P90" s="17">
        <f t="shared" si="12"/>
        <v>283.62863636363636</v>
      </c>
    </row>
    <row r="91" spans="1:17" outlineLevel="2">
      <c r="A91" s="26" t="s">
        <v>176</v>
      </c>
      <c r="B91" s="26"/>
      <c r="C91" s="26"/>
      <c r="D91" s="30" t="s">
        <v>177</v>
      </c>
      <c r="E91" s="30"/>
      <c r="F91" s="30"/>
      <c r="G91" s="18" t="s">
        <v>12</v>
      </c>
      <c r="H91" s="19">
        <v>1273.989</v>
      </c>
      <c r="I91" s="19">
        <v>1273.989</v>
      </c>
      <c r="J91" s="20">
        <f>IF(IFERROR(VLOOKUP(D91,[1]TDSheet!$A:$N,14,0),0)&gt;1,1,IFERROR(VLOOKUP(D91,[1]TDSheet!$A:$N,14,0),0))</f>
        <v>0.33773273844595425</v>
      </c>
      <c r="K91" s="21">
        <f>IFERROR(VLOOKUP(D91,[1]TDSheet!$A:$M,12,0),0)</f>
        <v>96.506454545454531</v>
      </c>
      <c r="L91" s="21">
        <f>IFERROR(VLOOKUP(D91,[1]TDSheet!$A:$M,13,0),0)</f>
        <v>96.506454545454531</v>
      </c>
      <c r="M91" s="21">
        <f t="shared" si="9"/>
        <v>482.53227272727264</v>
      </c>
      <c r="N91" s="21">
        <f t="shared" si="10"/>
        <v>482.53227272727264</v>
      </c>
      <c r="O91" s="22">
        <v>0</v>
      </c>
      <c r="P91" s="22">
        <v>0</v>
      </c>
      <c r="Q91" t="s">
        <v>400</v>
      </c>
    </row>
    <row r="92" spans="1:17" outlineLevel="2">
      <c r="A92" s="26" t="s">
        <v>178</v>
      </c>
      <c r="B92" s="26"/>
      <c r="C92" s="26"/>
      <c r="D92" s="27" t="s">
        <v>179</v>
      </c>
      <c r="E92" s="27"/>
      <c r="F92" s="27"/>
      <c r="G92" s="8" t="s">
        <v>12</v>
      </c>
      <c r="H92" s="9">
        <v>5.4189999999999996</v>
      </c>
      <c r="I92" s="9">
        <v>5.4189999999999996</v>
      </c>
      <c r="J92" s="12">
        <f>IF(IFERROR(VLOOKUP(D92,[1]TDSheet!$A:$N,14,0),0)&gt;1,1,IFERROR(VLOOKUP(D92,[1]TDSheet!$A:$N,14,0),0))</f>
        <v>0.16113254501772536</v>
      </c>
      <c r="K92" s="14">
        <f>IFERROR(VLOOKUP(D92,[1]TDSheet!$A:$M,12,0),0)</f>
        <v>1.8718181818181818</v>
      </c>
      <c r="L92" s="14">
        <f>IFERROR(VLOOKUP(D92,[1]TDSheet!$A:$M,13,0),0)</f>
        <v>1.8718181818181818</v>
      </c>
      <c r="M92" s="14">
        <f t="shared" si="9"/>
        <v>9.3590909090909093</v>
      </c>
      <c r="N92" s="14">
        <f t="shared" si="10"/>
        <v>9.3590909090909093</v>
      </c>
      <c r="O92" s="17">
        <f t="shared" si="11"/>
        <v>5.4189999999999996</v>
      </c>
      <c r="P92" s="17">
        <f t="shared" si="12"/>
        <v>5.4189999999999996</v>
      </c>
    </row>
    <row r="93" spans="1:17" outlineLevel="2">
      <c r="A93" s="26" t="s">
        <v>180</v>
      </c>
      <c r="B93" s="26"/>
      <c r="C93" s="26"/>
      <c r="D93" s="27" t="s">
        <v>181</v>
      </c>
      <c r="E93" s="27"/>
      <c r="F93" s="27"/>
      <c r="G93" s="8" t="s">
        <v>12</v>
      </c>
      <c r="H93" s="9">
        <v>-6.5000000000000002E-2</v>
      </c>
      <c r="I93" s="9">
        <v>-6.5000000000000002E-2</v>
      </c>
      <c r="J93" s="12">
        <f>IF(IFERROR(VLOOKUP(D93,[1]TDSheet!$A:$N,14,0),0)&gt;1,1,IFERROR(VLOOKUP(D93,[1]TDSheet!$A:$N,14,0),0))</f>
        <v>0.16997943442066712</v>
      </c>
      <c r="K93" s="14">
        <f>IFERROR(VLOOKUP(D93,[1]TDSheet!$A:$M,12,0),0)</f>
        <v>1.4915</v>
      </c>
      <c r="L93" s="14">
        <f>IFERROR(VLOOKUP(D93,[1]TDSheet!$A:$M,13,0),0)</f>
        <v>1.4915</v>
      </c>
      <c r="M93" s="14">
        <f t="shared" si="9"/>
        <v>7.4575000000000005</v>
      </c>
      <c r="N93" s="14">
        <f t="shared" si="10"/>
        <v>7.4575000000000005</v>
      </c>
      <c r="O93" s="17">
        <v>0</v>
      </c>
      <c r="P93" s="17">
        <v>0</v>
      </c>
    </row>
    <row r="94" spans="1:17" outlineLevel="2">
      <c r="A94" s="26" t="s">
        <v>182</v>
      </c>
      <c r="B94" s="26"/>
      <c r="C94" s="26"/>
      <c r="D94" s="27" t="s">
        <v>183</v>
      </c>
      <c r="E94" s="27"/>
      <c r="F94" s="27"/>
      <c r="G94" s="8" t="s">
        <v>12</v>
      </c>
      <c r="H94" s="9">
        <v>2.5640000000000001</v>
      </c>
      <c r="I94" s="9">
        <v>2.5640000000000001</v>
      </c>
      <c r="J94" s="12">
        <f>IF(IFERROR(VLOOKUP(D94,[1]TDSheet!$A:$N,14,0),0)&gt;1,1,IFERROR(VLOOKUP(D94,[1]TDSheet!$A:$N,14,0),0))</f>
        <v>0.1059706887103732</v>
      </c>
      <c r="K94" s="14">
        <f>IFERROR(VLOOKUP(D94,[1]TDSheet!$A:$M,12,0),0)</f>
        <v>1.2394090909090909</v>
      </c>
      <c r="L94" s="14">
        <f>IFERROR(VLOOKUP(D94,[1]TDSheet!$A:$M,13,0),0)</f>
        <v>1.2394090909090909</v>
      </c>
      <c r="M94" s="14">
        <f t="shared" si="9"/>
        <v>6.1970454545454547</v>
      </c>
      <c r="N94" s="14">
        <f t="shared" si="10"/>
        <v>6.1970454545454547</v>
      </c>
      <c r="O94" s="17">
        <v>0</v>
      </c>
      <c r="P94" s="17">
        <v>0</v>
      </c>
    </row>
    <row r="95" spans="1:17" outlineLevel="2">
      <c r="A95" s="26" t="s">
        <v>184</v>
      </c>
      <c r="B95" s="26"/>
      <c r="C95" s="26"/>
      <c r="D95" s="27" t="s">
        <v>185</v>
      </c>
      <c r="E95" s="27"/>
      <c r="F95" s="27"/>
      <c r="G95" s="8" t="s">
        <v>12</v>
      </c>
      <c r="H95" s="9">
        <v>50.72</v>
      </c>
      <c r="I95" s="9">
        <v>50.72</v>
      </c>
      <c r="J95" s="12">
        <f>IF(IFERROR(VLOOKUP(D95,[1]TDSheet!$A:$N,14,0),0)&gt;1,1,IFERROR(VLOOKUP(D95,[1]TDSheet!$A:$N,14,0),0))</f>
        <v>0.27723544580852094</v>
      </c>
      <c r="K95" s="14">
        <f>IFERROR(VLOOKUP(D95,[1]TDSheet!$A:$M,12,0),0)</f>
        <v>4.3296363636363635</v>
      </c>
      <c r="L95" s="14">
        <f>IFERROR(VLOOKUP(D95,[1]TDSheet!$A:$M,13,0),0)</f>
        <v>4.3296363636363635</v>
      </c>
      <c r="M95" s="14">
        <f t="shared" si="9"/>
        <v>21.648181818181818</v>
      </c>
      <c r="N95" s="14">
        <f t="shared" si="10"/>
        <v>21.648181818181818</v>
      </c>
      <c r="O95" s="17">
        <f t="shared" si="11"/>
        <v>21.648181818181818</v>
      </c>
      <c r="P95" s="17">
        <f t="shared" si="12"/>
        <v>21.648181818181818</v>
      </c>
    </row>
    <row r="96" spans="1:17" outlineLevel="2">
      <c r="A96" s="26" t="s">
        <v>186</v>
      </c>
      <c r="B96" s="26"/>
      <c r="C96" s="26"/>
      <c r="D96" s="27" t="s">
        <v>187</v>
      </c>
      <c r="E96" s="27"/>
      <c r="F96" s="27"/>
      <c r="G96" s="8" t="s">
        <v>12</v>
      </c>
      <c r="H96" s="9">
        <v>26.719000000000001</v>
      </c>
      <c r="I96" s="9">
        <v>26.719000000000001</v>
      </c>
      <c r="J96" s="12">
        <f>IF(IFERROR(VLOOKUP(D96,[1]TDSheet!$A:$N,14,0),0)&gt;1,1,IFERROR(VLOOKUP(D96,[1]TDSheet!$A:$N,14,0),0))</f>
        <v>0.43169986561334323</v>
      </c>
      <c r="K96" s="14">
        <f>IFERROR(VLOOKUP(D96,[1]TDSheet!$A:$M,12,0),0)</f>
        <v>12.499045454545454</v>
      </c>
      <c r="L96" s="14">
        <f>IFERROR(VLOOKUP(D96,[1]TDSheet!$A:$M,13,0),0)</f>
        <v>12.499045454545454</v>
      </c>
      <c r="M96" s="14">
        <f t="shared" si="9"/>
        <v>62.49522727272727</v>
      </c>
      <c r="N96" s="14">
        <f t="shared" si="10"/>
        <v>62.49522727272727</v>
      </c>
      <c r="O96" s="17">
        <f t="shared" si="11"/>
        <v>26.719000000000001</v>
      </c>
      <c r="P96" s="17">
        <f t="shared" si="12"/>
        <v>26.719000000000001</v>
      </c>
    </row>
    <row r="97" spans="1:17" outlineLevel="2">
      <c r="A97" s="26" t="s">
        <v>188</v>
      </c>
      <c r="B97" s="26"/>
      <c r="C97" s="26"/>
      <c r="D97" s="27" t="s">
        <v>189</v>
      </c>
      <c r="E97" s="27"/>
      <c r="F97" s="27"/>
      <c r="G97" s="8" t="s">
        <v>12</v>
      </c>
      <c r="H97" s="9">
        <v>1.0900000000000001</v>
      </c>
      <c r="I97" s="9">
        <v>1.0900000000000001</v>
      </c>
      <c r="J97" s="12">
        <f>IF(IFERROR(VLOOKUP(D97,[1]TDSheet!$A:$N,14,0),0)&gt;1,1,IFERROR(VLOOKUP(D97,[1]TDSheet!$A:$N,14,0),0))</f>
        <v>0.28714645965189872</v>
      </c>
      <c r="K97" s="14">
        <f>IFERROR(VLOOKUP(D97,[1]TDSheet!$A:$M,12,0),0)</f>
        <v>2.1117272727272725</v>
      </c>
      <c r="L97" s="14">
        <f>IFERROR(VLOOKUP(D97,[1]TDSheet!$A:$M,13,0),0)</f>
        <v>2.1117272727272725</v>
      </c>
      <c r="M97" s="14">
        <f t="shared" si="9"/>
        <v>10.558636363636362</v>
      </c>
      <c r="N97" s="14">
        <f t="shared" si="10"/>
        <v>10.558636363636362</v>
      </c>
      <c r="O97" s="17">
        <f t="shared" si="11"/>
        <v>1.0900000000000001</v>
      </c>
      <c r="P97" s="17">
        <f t="shared" si="12"/>
        <v>1.0900000000000001</v>
      </c>
    </row>
    <row r="98" spans="1:17" outlineLevel="2">
      <c r="A98" s="26" t="s">
        <v>190</v>
      </c>
      <c r="B98" s="26"/>
      <c r="C98" s="26"/>
      <c r="D98" s="30" t="s">
        <v>191</v>
      </c>
      <c r="E98" s="30"/>
      <c r="F98" s="30"/>
      <c r="G98" s="18" t="s">
        <v>12</v>
      </c>
      <c r="H98" s="23">
        <v>548.10599999999999</v>
      </c>
      <c r="I98" s="23">
        <v>548.10599999999999</v>
      </c>
      <c r="J98" s="20">
        <f>IF(IFERROR(VLOOKUP(D98,[1]TDSheet!$A:$N,14,0),0)&gt;1,1,IFERROR(VLOOKUP(D98,[1]TDSheet!$A:$N,14,0),0))</f>
        <v>0.31664985578029059</v>
      </c>
      <c r="K98" s="21">
        <f>IFERROR(VLOOKUP(D98,[1]TDSheet!$A:$M,12,0),0)</f>
        <v>36.601772727272731</v>
      </c>
      <c r="L98" s="21">
        <f>IFERROR(VLOOKUP(D98,[1]TDSheet!$A:$M,13,0),0)</f>
        <v>36.601772727272731</v>
      </c>
      <c r="M98" s="21">
        <f t="shared" si="9"/>
        <v>183.00886363636366</v>
      </c>
      <c r="N98" s="21">
        <f t="shared" si="10"/>
        <v>183.00886363636366</v>
      </c>
      <c r="O98" s="22">
        <v>0</v>
      </c>
      <c r="P98" s="22">
        <v>0</v>
      </c>
      <c r="Q98" t="s">
        <v>400</v>
      </c>
    </row>
    <row r="99" spans="1:17" outlineLevel="1">
      <c r="A99" s="24" t="s">
        <v>192</v>
      </c>
      <c r="B99" s="24"/>
      <c r="C99" s="24"/>
      <c r="D99" s="25" t="s">
        <v>193</v>
      </c>
      <c r="E99" s="25"/>
      <c r="F99" s="25"/>
      <c r="G99" s="5"/>
      <c r="H99" s="7"/>
      <c r="I99" s="7"/>
      <c r="J99" s="12"/>
    </row>
    <row r="100" spans="1:17" outlineLevel="2">
      <c r="A100" s="26" t="s">
        <v>194</v>
      </c>
      <c r="B100" s="26"/>
      <c r="C100" s="26"/>
      <c r="D100" s="27" t="s">
        <v>195</v>
      </c>
      <c r="E100" s="27"/>
      <c r="F100" s="27"/>
      <c r="G100" s="8" t="s">
        <v>13</v>
      </c>
      <c r="H100" s="9">
        <v>115</v>
      </c>
      <c r="I100" s="9">
        <v>19.55</v>
      </c>
      <c r="J100" s="12">
        <f>IF(IFERROR(VLOOKUP(D100,[1]TDSheet!$A:$N,14,0),0)&gt;1,1,IFERROR(VLOOKUP(D100,[1]TDSheet!$A:$N,14,0),0))</f>
        <v>0.38589211618257263</v>
      </c>
      <c r="K100" s="14">
        <f>IFERROR(VLOOKUP(D100,[1]TDSheet!$A:$M,12,0),0)</f>
        <v>0.71863636363636363</v>
      </c>
      <c r="L100" s="14">
        <f>IFERROR(VLOOKUP(D100,[1]TDSheet!$A:$M,13,0),0)</f>
        <v>4.2272727272727275</v>
      </c>
      <c r="M100" s="14">
        <f t="shared" si="9"/>
        <v>3.5931818181818183</v>
      </c>
      <c r="N100" s="14">
        <f t="shared" si="10"/>
        <v>21.136363636363637</v>
      </c>
      <c r="O100" s="17">
        <f t="shared" si="11"/>
        <v>3.5931818181818183</v>
      </c>
      <c r="P100" s="17">
        <f t="shared" si="12"/>
        <v>19.55</v>
      </c>
    </row>
    <row r="101" spans="1:17" outlineLevel="2">
      <c r="A101" s="26" t="s">
        <v>196</v>
      </c>
      <c r="B101" s="26"/>
      <c r="C101" s="26"/>
      <c r="D101" s="27" t="s">
        <v>197</v>
      </c>
      <c r="E101" s="27"/>
      <c r="F101" s="27"/>
      <c r="G101" s="8" t="s">
        <v>13</v>
      </c>
      <c r="H101" s="9">
        <v>6</v>
      </c>
      <c r="I101" s="9">
        <v>1.8</v>
      </c>
      <c r="J101" s="12">
        <f>IF(IFERROR(VLOOKUP(D101,[1]TDSheet!$A:$N,14,0),0)&gt;1,1,IFERROR(VLOOKUP(D101,[1]TDSheet!$A:$N,14,0),0))</f>
        <v>0.18324607329842932</v>
      </c>
      <c r="K101" s="14">
        <f>IFERROR(VLOOKUP(D101,[1]TDSheet!$A:$M,12,0),0)</f>
        <v>0.47727272727272729</v>
      </c>
      <c r="L101" s="14">
        <f>IFERROR(VLOOKUP(D101,[1]TDSheet!$A:$M,13,0),0)</f>
        <v>1.5909090909090908</v>
      </c>
      <c r="M101" s="14">
        <f t="shared" si="9"/>
        <v>2.3863636363636367</v>
      </c>
      <c r="N101" s="14">
        <f t="shared" si="10"/>
        <v>7.9545454545454541</v>
      </c>
      <c r="O101" s="17">
        <f t="shared" si="11"/>
        <v>2.3863636363636367</v>
      </c>
      <c r="P101" s="17">
        <f t="shared" si="12"/>
        <v>1.8</v>
      </c>
    </row>
    <row r="102" spans="1:17" outlineLevel="2">
      <c r="A102" s="26" t="s">
        <v>198</v>
      </c>
      <c r="B102" s="26"/>
      <c r="C102" s="26"/>
      <c r="D102" s="27" t="s">
        <v>199</v>
      </c>
      <c r="E102" s="27"/>
      <c r="F102" s="27"/>
      <c r="G102" s="8" t="s">
        <v>13</v>
      </c>
      <c r="H102" s="9">
        <v>342</v>
      </c>
      <c r="I102" s="9">
        <v>58.14</v>
      </c>
      <c r="J102" s="12">
        <f>IF(IFERROR(VLOOKUP(D102,[1]TDSheet!$A:$N,14,0),0)&gt;1,1,IFERROR(VLOOKUP(D102,[1]TDSheet!$A:$N,14,0),0))</f>
        <v>0.29949238578680204</v>
      </c>
      <c r="K102" s="14">
        <f>IFERROR(VLOOKUP(D102,[1]TDSheet!$A:$M,12,0),0)</f>
        <v>2.2795454545454543</v>
      </c>
      <c r="L102" s="14">
        <f>IFERROR(VLOOKUP(D102,[1]TDSheet!$A:$M,13,0),0)</f>
        <v>13.409090909090908</v>
      </c>
      <c r="M102" s="14">
        <f t="shared" si="9"/>
        <v>11.397727272727272</v>
      </c>
      <c r="N102" s="14">
        <f t="shared" si="10"/>
        <v>67.045454545454547</v>
      </c>
      <c r="O102" s="17">
        <f t="shared" si="11"/>
        <v>11.397727272727272</v>
      </c>
      <c r="P102" s="17">
        <f t="shared" si="12"/>
        <v>58.14</v>
      </c>
    </row>
    <row r="103" spans="1:17" outlineLevel="2">
      <c r="A103" s="26" t="s">
        <v>200</v>
      </c>
      <c r="B103" s="26"/>
      <c r="C103" s="26"/>
      <c r="D103" s="27" t="s">
        <v>201</v>
      </c>
      <c r="E103" s="27"/>
      <c r="F103" s="27"/>
      <c r="G103" s="8" t="s">
        <v>13</v>
      </c>
      <c r="H103" s="9">
        <v>442.505</v>
      </c>
      <c r="I103" s="9">
        <v>177.00200000000001</v>
      </c>
      <c r="J103" s="12">
        <f>IF(IFERROR(VLOOKUP(D103,[1]TDSheet!$A:$N,14,0),0)&gt;1,1,IFERROR(VLOOKUP(D103,[1]TDSheet!$A:$N,14,0),0))</f>
        <v>0.44251386321626618</v>
      </c>
      <c r="K103" s="14">
        <f>IFERROR(VLOOKUP(D103,[1]TDSheet!$A:$M,12,0),0)</f>
        <v>21.763636363636365</v>
      </c>
      <c r="L103" s="14">
        <f>IFERROR(VLOOKUP(D103,[1]TDSheet!$A:$M,13,0),0)</f>
        <v>54.409090909090907</v>
      </c>
      <c r="M103" s="14">
        <f t="shared" si="9"/>
        <v>108.81818181818183</v>
      </c>
      <c r="N103" s="14">
        <f t="shared" si="10"/>
        <v>272.0454545454545</v>
      </c>
      <c r="O103" s="17">
        <f t="shared" si="11"/>
        <v>108.81818181818183</v>
      </c>
      <c r="P103" s="17">
        <f t="shared" si="12"/>
        <v>177.00200000000001</v>
      </c>
    </row>
    <row r="104" spans="1:17" outlineLevel="2">
      <c r="A104" s="26" t="s">
        <v>202</v>
      </c>
      <c r="B104" s="26"/>
      <c r="C104" s="26"/>
      <c r="D104" s="27" t="s">
        <v>203</v>
      </c>
      <c r="E104" s="27"/>
      <c r="F104" s="27"/>
      <c r="G104" s="8" t="s">
        <v>13</v>
      </c>
      <c r="H104" s="9">
        <v>-61</v>
      </c>
      <c r="I104" s="9">
        <v>-24.4</v>
      </c>
      <c r="J104" s="12">
        <f>IF(IFERROR(VLOOKUP(D104,[1]TDSheet!$A:$N,14,0),0)&gt;1,1,IFERROR(VLOOKUP(D104,[1]TDSheet!$A:$N,14,0),0))</f>
        <v>0.63117870722433456</v>
      </c>
      <c r="K104" s="14">
        <f>IFERROR(VLOOKUP(D104,[1]TDSheet!$A:$M,12,0),0)</f>
        <v>9.0545454545454547</v>
      </c>
      <c r="L104" s="14">
        <f>IFERROR(VLOOKUP(D104,[1]TDSheet!$A:$M,13,0),0)</f>
        <v>22.636363636363637</v>
      </c>
      <c r="M104" s="14">
        <f t="shared" si="9"/>
        <v>45.272727272727273</v>
      </c>
      <c r="N104" s="14">
        <f t="shared" si="10"/>
        <v>113.18181818181819</v>
      </c>
      <c r="O104" s="17">
        <v>0</v>
      </c>
      <c r="P104" s="17">
        <v>0</v>
      </c>
    </row>
    <row r="105" spans="1:17" outlineLevel="2">
      <c r="A105" s="26" t="s">
        <v>204</v>
      </c>
      <c r="B105" s="26"/>
      <c r="C105" s="26"/>
      <c r="D105" s="27" t="s">
        <v>205</v>
      </c>
      <c r="E105" s="27"/>
      <c r="F105" s="27"/>
      <c r="G105" s="8" t="s">
        <v>13</v>
      </c>
      <c r="H105" s="9">
        <v>4</v>
      </c>
      <c r="I105" s="9">
        <v>1.6</v>
      </c>
      <c r="J105" s="12">
        <f>IF(IFERROR(VLOOKUP(D105,[1]TDSheet!$A:$N,14,0),0)&gt;1,1,IFERROR(VLOOKUP(D105,[1]TDSheet!$A:$N,14,0),0))</f>
        <v>0.24418604651162792</v>
      </c>
      <c r="K105" s="14">
        <f>IFERROR(VLOOKUP(D105,[1]TDSheet!$A:$M,12,0),0)</f>
        <v>0.38181818181818183</v>
      </c>
      <c r="L105" s="14">
        <f>IFERROR(VLOOKUP(D105,[1]TDSheet!$A:$M,13,0),0)</f>
        <v>0.95454545454545459</v>
      </c>
      <c r="M105" s="14">
        <f t="shared" si="9"/>
        <v>1.9090909090909092</v>
      </c>
      <c r="N105" s="14">
        <f t="shared" si="10"/>
        <v>4.7727272727272734</v>
      </c>
      <c r="O105" s="17">
        <f t="shared" si="11"/>
        <v>1.9090909090909092</v>
      </c>
      <c r="P105" s="17">
        <f t="shared" si="12"/>
        <v>1.6</v>
      </c>
    </row>
    <row r="106" spans="1:17" outlineLevel="2">
      <c r="A106" s="26" t="s">
        <v>206</v>
      </c>
      <c r="B106" s="26"/>
      <c r="C106" s="26"/>
      <c r="D106" s="27" t="s">
        <v>207</v>
      </c>
      <c r="E106" s="27"/>
      <c r="F106" s="27"/>
      <c r="G106" s="8" t="s">
        <v>13</v>
      </c>
      <c r="H106" s="9">
        <v>440</v>
      </c>
      <c r="I106" s="9">
        <v>44</v>
      </c>
      <c r="J106" s="12">
        <f>IF(IFERROR(VLOOKUP(D106,[1]TDSheet!$A:$N,14,0),0)&gt;1,1,IFERROR(VLOOKUP(D106,[1]TDSheet!$A:$N,14,0),0))</f>
        <v>0.17713365539452497</v>
      </c>
      <c r="K106" s="14">
        <f>IFERROR(VLOOKUP(D106,[1]TDSheet!$A:$M,12,0),0)</f>
        <v>0.5</v>
      </c>
      <c r="L106" s="14">
        <f>IFERROR(VLOOKUP(D106,[1]TDSheet!$A:$M,13,0),0)</f>
        <v>5</v>
      </c>
      <c r="M106" s="14">
        <f t="shared" si="9"/>
        <v>2.5</v>
      </c>
      <c r="N106" s="14">
        <f t="shared" si="10"/>
        <v>25</v>
      </c>
      <c r="O106" s="17">
        <f t="shared" si="11"/>
        <v>2.5</v>
      </c>
      <c r="P106" s="17">
        <f t="shared" si="12"/>
        <v>25</v>
      </c>
    </row>
    <row r="107" spans="1:17" outlineLevel="2">
      <c r="A107" s="26" t="s">
        <v>208</v>
      </c>
      <c r="B107" s="26"/>
      <c r="C107" s="26"/>
      <c r="D107" s="27" t="s">
        <v>209</v>
      </c>
      <c r="E107" s="27"/>
      <c r="F107" s="27"/>
      <c r="G107" s="8" t="s">
        <v>13</v>
      </c>
      <c r="H107" s="9">
        <v>1</v>
      </c>
      <c r="I107" s="9">
        <v>0.35</v>
      </c>
      <c r="J107" s="12">
        <f>IF(IFERROR(VLOOKUP(D107,[1]TDSheet!$A:$N,14,0),0)&gt;1,1,IFERROR(VLOOKUP(D107,[1]TDSheet!$A:$N,14,0),0))</f>
        <v>0</v>
      </c>
      <c r="K107" s="14">
        <f>IFERROR(VLOOKUP(D107,[1]TDSheet!$A:$M,12,0),0)</f>
        <v>-4.7727272727272729E-2</v>
      </c>
      <c r="L107" s="14">
        <f>IFERROR(VLOOKUP(D107,[1]TDSheet!$A:$M,13,0),0)</f>
        <v>-0.13636363636363635</v>
      </c>
      <c r="M107" s="14">
        <f t="shared" si="9"/>
        <v>0</v>
      </c>
      <c r="N107" s="14">
        <f t="shared" si="10"/>
        <v>0</v>
      </c>
      <c r="O107" s="17">
        <v>0</v>
      </c>
      <c r="P107" s="17">
        <v>0</v>
      </c>
    </row>
    <row r="108" spans="1:17" outlineLevel="2">
      <c r="A108" s="26" t="s">
        <v>210</v>
      </c>
      <c r="B108" s="26"/>
      <c r="C108" s="26"/>
      <c r="D108" s="27" t="s">
        <v>211</v>
      </c>
      <c r="E108" s="27"/>
      <c r="F108" s="27"/>
      <c r="G108" s="8" t="s">
        <v>13</v>
      </c>
      <c r="H108" s="9">
        <v>50</v>
      </c>
      <c r="I108" s="9">
        <v>20</v>
      </c>
      <c r="J108" s="12">
        <f>IF(IFERROR(VLOOKUP(D108,[1]TDSheet!$A:$N,14,0),0)&gt;1,1,IFERROR(VLOOKUP(D108,[1]TDSheet!$A:$N,14,0),0))</f>
        <v>0.49825783972125437</v>
      </c>
      <c r="K108" s="14">
        <f>IFERROR(VLOOKUP(D108,[1]TDSheet!$A:$M,12,0),0)</f>
        <v>2.6</v>
      </c>
      <c r="L108" s="14">
        <f>IFERROR(VLOOKUP(D108,[1]TDSheet!$A:$M,13,0),0)</f>
        <v>6.5</v>
      </c>
      <c r="M108" s="14">
        <f t="shared" si="9"/>
        <v>13</v>
      </c>
      <c r="N108" s="14">
        <f t="shared" si="10"/>
        <v>32.5</v>
      </c>
      <c r="O108" s="17">
        <f t="shared" si="11"/>
        <v>13</v>
      </c>
      <c r="P108" s="17">
        <f t="shared" si="12"/>
        <v>20</v>
      </c>
    </row>
    <row r="109" spans="1:17" outlineLevel="2">
      <c r="A109" s="26" t="s">
        <v>212</v>
      </c>
      <c r="B109" s="26"/>
      <c r="C109" s="26"/>
      <c r="D109" s="27" t="s">
        <v>213</v>
      </c>
      <c r="E109" s="27"/>
      <c r="F109" s="27"/>
      <c r="G109" s="8" t="s">
        <v>13</v>
      </c>
      <c r="H109" s="9">
        <v>105</v>
      </c>
      <c r="I109" s="9">
        <v>42</v>
      </c>
      <c r="J109" s="12">
        <f>IF(IFERROR(VLOOKUP(D109,[1]TDSheet!$A:$N,14,0),0)&gt;1,1,IFERROR(VLOOKUP(D109,[1]TDSheet!$A:$N,14,0),0))</f>
        <v>0.58163265306122458</v>
      </c>
      <c r="K109" s="14">
        <f>IFERROR(VLOOKUP(D109,[1]TDSheet!$A:$M,12,0),0)</f>
        <v>6.2181818181818187</v>
      </c>
      <c r="L109" s="14">
        <f>IFERROR(VLOOKUP(D109,[1]TDSheet!$A:$M,13,0),0)</f>
        <v>15.545454545454545</v>
      </c>
      <c r="M109" s="14">
        <f t="shared" si="9"/>
        <v>31.090909090909093</v>
      </c>
      <c r="N109" s="14">
        <f t="shared" si="10"/>
        <v>77.72727272727272</v>
      </c>
      <c r="O109" s="17">
        <f t="shared" si="11"/>
        <v>31.090909090909093</v>
      </c>
      <c r="P109" s="17">
        <f t="shared" si="12"/>
        <v>42</v>
      </c>
    </row>
    <row r="110" spans="1:17" outlineLevel="2">
      <c r="A110" s="26" t="s">
        <v>214</v>
      </c>
      <c r="B110" s="26"/>
      <c r="C110" s="26"/>
      <c r="D110" s="27" t="s">
        <v>215</v>
      </c>
      <c r="E110" s="27"/>
      <c r="F110" s="27"/>
      <c r="G110" s="8" t="s">
        <v>13</v>
      </c>
      <c r="H110" s="9">
        <v>-10</v>
      </c>
      <c r="I110" s="9">
        <v>-3.5</v>
      </c>
      <c r="J110" s="12">
        <f>IF(IFERROR(VLOOKUP(D110,[1]TDSheet!$A:$N,14,0),0)&gt;1,1,IFERROR(VLOOKUP(D110,[1]TDSheet!$A:$N,14,0),0))</f>
        <v>0.26755852842809363</v>
      </c>
      <c r="K110" s="14">
        <f>IFERROR(VLOOKUP(D110,[1]TDSheet!$A:$M,12,0),0)</f>
        <v>2.5454545454545454</v>
      </c>
      <c r="L110" s="14">
        <f>IFERROR(VLOOKUP(D110,[1]TDSheet!$A:$M,13,0),0)</f>
        <v>7.2727272727272725</v>
      </c>
      <c r="M110" s="14">
        <f t="shared" si="9"/>
        <v>12.727272727272727</v>
      </c>
      <c r="N110" s="14">
        <f t="shared" si="10"/>
        <v>36.36363636363636</v>
      </c>
      <c r="O110" s="17">
        <v>0</v>
      </c>
      <c r="P110" s="17">
        <v>0</v>
      </c>
    </row>
    <row r="111" spans="1:17" outlineLevel="2">
      <c r="A111" s="26" t="s">
        <v>216</v>
      </c>
      <c r="B111" s="26"/>
      <c r="C111" s="26"/>
      <c r="D111" s="27" t="s">
        <v>217</v>
      </c>
      <c r="E111" s="27"/>
      <c r="F111" s="27"/>
      <c r="G111" s="8" t="s">
        <v>13</v>
      </c>
      <c r="H111" s="9">
        <v>6</v>
      </c>
      <c r="I111" s="9">
        <v>2.4</v>
      </c>
      <c r="J111" s="12">
        <f>IF(IFERROR(VLOOKUP(D111,[1]TDSheet!$A:$N,14,0),0)&gt;1,1,IFERROR(VLOOKUP(D111,[1]TDSheet!$A:$N,14,0),0))</f>
        <v>0.38158929976396538</v>
      </c>
      <c r="K111" s="14">
        <f>IFERROR(VLOOKUP(D111,[1]TDSheet!$A:$M,12,0),0)</f>
        <v>8.8181818181818183</v>
      </c>
      <c r="L111" s="14">
        <f>IFERROR(VLOOKUP(D111,[1]TDSheet!$A:$M,13,0),0)</f>
        <v>22.045454545454547</v>
      </c>
      <c r="M111" s="14">
        <f t="shared" si="9"/>
        <v>44.090909090909093</v>
      </c>
      <c r="N111" s="14">
        <f t="shared" si="10"/>
        <v>110.22727272727273</v>
      </c>
      <c r="O111" s="17">
        <f t="shared" si="11"/>
        <v>6</v>
      </c>
      <c r="P111" s="17">
        <f t="shared" si="12"/>
        <v>2.4</v>
      </c>
    </row>
    <row r="112" spans="1:17" outlineLevel="2">
      <c r="A112" s="26" t="s">
        <v>218</v>
      </c>
      <c r="B112" s="26"/>
      <c r="C112" s="26"/>
      <c r="D112" s="27" t="s">
        <v>219</v>
      </c>
      <c r="E112" s="27"/>
      <c r="F112" s="27"/>
      <c r="G112" s="8" t="s">
        <v>13</v>
      </c>
      <c r="H112" s="9">
        <v>5</v>
      </c>
      <c r="I112" s="9">
        <v>2</v>
      </c>
      <c r="J112" s="12">
        <f>IF(IFERROR(VLOOKUP(D112,[1]TDSheet!$A:$N,14,0),0)&gt;1,1,IFERROR(VLOOKUP(D112,[1]TDSheet!$A:$N,14,0),0))</f>
        <v>0.14035087719298245</v>
      </c>
      <c r="K112" s="14">
        <f>IFERROR(VLOOKUP(D112,[1]TDSheet!$A:$M,12,0),0)</f>
        <v>0.29090909090909095</v>
      </c>
      <c r="L112" s="14">
        <f>IFERROR(VLOOKUP(D112,[1]TDSheet!$A:$M,13,0),0)</f>
        <v>0.72727272727272729</v>
      </c>
      <c r="M112" s="14">
        <f t="shared" si="9"/>
        <v>1.4545454545454548</v>
      </c>
      <c r="N112" s="14">
        <f t="shared" si="10"/>
        <v>3.6363636363636367</v>
      </c>
      <c r="O112" s="17">
        <v>0</v>
      </c>
      <c r="P112" s="17">
        <v>0</v>
      </c>
    </row>
    <row r="113" spans="1:16" outlineLevel="2">
      <c r="A113" s="26" t="s">
        <v>220</v>
      </c>
      <c r="B113" s="26"/>
      <c r="C113" s="26"/>
      <c r="D113" s="27" t="s">
        <v>221</v>
      </c>
      <c r="E113" s="27"/>
      <c r="F113" s="27"/>
      <c r="G113" s="8" t="s">
        <v>13</v>
      </c>
      <c r="H113" s="9">
        <v>15</v>
      </c>
      <c r="I113" s="9">
        <v>6</v>
      </c>
      <c r="J113" s="12">
        <f>IF(IFERROR(VLOOKUP(D113,[1]TDSheet!$A:$N,14,0),0)&gt;1,1,IFERROR(VLOOKUP(D113,[1]TDSheet!$A:$N,14,0),0))</f>
        <v>0</v>
      </c>
      <c r="K113" s="14">
        <f>IFERROR(VLOOKUP(D113,[1]TDSheet!$A:$M,12,0),0)</f>
        <v>-5.4545454545454543E-2</v>
      </c>
      <c r="L113" s="14">
        <f>IFERROR(VLOOKUP(D113,[1]TDSheet!$A:$M,13,0),0)</f>
        <v>-0.13636363636363635</v>
      </c>
      <c r="M113" s="14">
        <f t="shared" si="9"/>
        <v>0</v>
      </c>
      <c r="N113" s="14">
        <f t="shared" si="10"/>
        <v>0</v>
      </c>
      <c r="O113" s="17">
        <v>0</v>
      </c>
      <c r="P113" s="17">
        <v>0</v>
      </c>
    </row>
    <row r="114" spans="1:16" outlineLevel="2">
      <c r="A114" s="26" t="s">
        <v>222</v>
      </c>
      <c r="B114" s="26"/>
      <c r="C114" s="26"/>
      <c r="D114" s="27" t="s">
        <v>223</v>
      </c>
      <c r="E114" s="27"/>
      <c r="F114" s="27"/>
      <c r="G114" s="8" t="s">
        <v>13</v>
      </c>
      <c r="H114" s="9">
        <v>418</v>
      </c>
      <c r="I114" s="9">
        <v>41.8</v>
      </c>
      <c r="J114" s="12">
        <f>IF(IFERROR(VLOOKUP(D114,[1]TDSheet!$A:$N,14,0),0)&gt;1,1,IFERROR(VLOOKUP(D114,[1]TDSheet!$A:$N,14,0),0))</f>
        <v>0.19157894736842104</v>
      </c>
      <c r="K114" s="14">
        <f>IFERROR(VLOOKUP(D114,[1]TDSheet!$A:$M,12,0),0)</f>
        <v>0.41363636363636364</v>
      </c>
      <c r="L114" s="14">
        <f>IFERROR(VLOOKUP(D114,[1]TDSheet!$A:$M,13,0),0)</f>
        <v>4.1363636363636367</v>
      </c>
      <c r="M114" s="14">
        <f t="shared" si="9"/>
        <v>2.0681818181818183</v>
      </c>
      <c r="N114" s="14">
        <f t="shared" si="10"/>
        <v>20.681818181818183</v>
      </c>
      <c r="O114" s="17">
        <f t="shared" si="11"/>
        <v>2.0681818181818183</v>
      </c>
      <c r="P114" s="17">
        <f t="shared" si="12"/>
        <v>20.681818181818183</v>
      </c>
    </row>
    <row r="115" spans="1:16" outlineLevel="2">
      <c r="A115" s="26" t="s">
        <v>224</v>
      </c>
      <c r="B115" s="26"/>
      <c r="C115" s="26"/>
      <c r="D115" s="27" t="s">
        <v>225</v>
      </c>
      <c r="E115" s="27"/>
      <c r="F115" s="27"/>
      <c r="G115" s="8" t="s">
        <v>13</v>
      </c>
      <c r="H115" s="9">
        <v>565</v>
      </c>
      <c r="I115" s="9">
        <v>56.5</v>
      </c>
      <c r="J115" s="12">
        <f>IF(IFERROR(VLOOKUP(D115,[1]TDSheet!$A:$N,14,0),0)&gt;1,1,IFERROR(VLOOKUP(D115,[1]TDSheet!$A:$N,14,0),0))</f>
        <v>0.12770137524557956</v>
      </c>
      <c r="K115" s="14">
        <f>IFERROR(VLOOKUP(D115,[1]TDSheet!$A:$M,12,0),0)</f>
        <v>0.29545454545454547</v>
      </c>
      <c r="L115" s="14">
        <f>IFERROR(VLOOKUP(D115,[1]TDSheet!$A:$M,13,0),0)</f>
        <v>2.9545454545454546</v>
      </c>
      <c r="M115" s="14">
        <f t="shared" si="9"/>
        <v>1.4772727272727273</v>
      </c>
      <c r="N115" s="14">
        <f t="shared" si="10"/>
        <v>14.772727272727273</v>
      </c>
      <c r="O115" s="17">
        <v>0</v>
      </c>
      <c r="P115" s="17">
        <v>0</v>
      </c>
    </row>
    <row r="116" spans="1:16" outlineLevel="2">
      <c r="A116" s="26" t="s">
        <v>226</v>
      </c>
      <c r="B116" s="26"/>
      <c r="C116" s="26"/>
      <c r="D116" s="27" t="s">
        <v>227</v>
      </c>
      <c r="E116" s="27"/>
      <c r="F116" s="27"/>
      <c r="G116" s="8" t="s">
        <v>13</v>
      </c>
      <c r="H116" s="9">
        <v>65</v>
      </c>
      <c r="I116" s="9">
        <v>26</v>
      </c>
      <c r="J116" s="12">
        <f>IF(IFERROR(VLOOKUP(D116,[1]TDSheet!$A:$N,14,0),0)&gt;1,1,IFERROR(VLOOKUP(D116,[1]TDSheet!$A:$N,14,0),0))</f>
        <v>0.35735080058224161</v>
      </c>
      <c r="K116" s="14">
        <f>IFERROR(VLOOKUP(D116,[1]TDSheet!$A:$M,12,0),0)</f>
        <v>8.9272727272727277</v>
      </c>
      <c r="L116" s="14">
        <f>IFERROR(VLOOKUP(D116,[1]TDSheet!$A:$M,13,0),0)</f>
        <v>22.318181818181817</v>
      </c>
      <c r="M116" s="14">
        <f t="shared" si="9"/>
        <v>44.63636363636364</v>
      </c>
      <c r="N116" s="14">
        <f t="shared" si="10"/>
        <v>111.59090909090908</v>
      </c>
      <c r="O116" s="17">
        <f t="shared" si="11"/>
        <v>44.63636363636364</v>
      </c>
      <c r="P116" s="17">
        <f t="shared" si="12"/>
        <v>26</v>
      </c>
    </row>
    <row r="117" spans="1:16" outlineLevel="2">
      <c r="A117" s="26" t="s">
        <v>228</v>
      </c>
      <c r="B117" s="26"/>
      <c r="C117" s="26"/>
      <c r="D117" s="27" t="s">
        <v>229</v>
      </c>
      <c r="E117" s="27"/>
      <c r="F117" s="27"/>
      <c r="G117" s="8" t="s">
        <v>13</v>
      </c>
      <c r="H117" s="9">
        <v>30</v>
      </c>
      <c r="I117" s="9">
        <v>12</v>
      </c>
      <c r="J117" s="12">
        <f>IF(IFERROR(VLOOKUP(D117,[1]TDSheet!$A:$N,14,0),0)&gt;1,1,IFERROR(VLOOKUP(D117,[1]TDSheet!$A:$N,14,0),0))</f>
        <v>0.29808660624370598</v>
      </c>
      <c r="K117" s="14">
        <f>IFERROR(VLOOKUP(D117,[1]TDSheet!$A:$M,12,0),0)</f>
        <v>5.3818181818181818</v>
      </c>
      <c r="L117" s="14">
        <f>IFERROR(VLOOKUP(D117,[1]TDSheet!$A:$M,13,0),0)</f>
        <v>13.454545454545455</v>
      </c>
      <c r="M117" s="14">
        <f t="shared" si="9"/>
        <v>26.90909090909091</v>
      </c>
      <c r="N117" s="14">
        <f t="shared" si="10"/>
        <v>67.27272727272728</v>
      </c>
      <c r="O117" s="17">
        <f t="shared" si="11"/>
        <v>26.90909090909091</v>
      </c>
      <c r="P117" s="17">
        <f t="shared" si="12"/>
        <v>12</v>
      </c>
    </row>
    <row r="118" spans="1:16" outlineLevel="2">
      <c r="A118" s="26" t="s">
        <v>230</v>
      </c>
      <c r="B118" s="26"/>
      <c r="C118" s="26"/>
      <c r="D118" s="27" t="s">
        <v>231</v>
      </c>
      <c r="E118" s="27"/>
      <c r="F118" s="27"/>
      <c r="G118" s="8" t="s">
        <v>13</v>
      </c>
      <c r="H118" s="9">
        <v>346</v>
      </c>
      <c r="I118" s="9">
        <v>207.6</v>
      </c>
      <c r="J118" s="12">
        <f>IF(IFERROR(VLOOKUP(D118,[1]TDSheet!$A:$N,14,0),0)&gt;1,1,IFERROR(VLOOKUP(D118,[1]TDSheet!$A:$N,14,0),0))</f>
        <v>0.65653495440729481</v>
      </c>
      <c r="K118" s="14">
        <f>IFERROR(VLOOKUP(D118,[1]TDSheet!$A:$M,12,0),0)</f>
        <v>5.8909090909090907</v>
      </c>
      <c r="L118" s="14">
        <f>IFERROR(VLOOKUP(D118,[1]TDSheet!$A:$M,13,0),0)</f>
        <v>9.8181818181818183</v>
      </c>
      <c r="M118" s="14">
        <f t="shared" si="9"/>
        <v>29.454545454545453</v>
      </c>
      <c r="N118" s="14">
        <f t="shared" si="10"/>
        <v>49.090909090909093</v>
      </c>
      <c r="O118" s="17">
        <f t="shared" si="11"/>
        <v>29.454545454545453</v>
      </c>
      <c r="P118" s="17">
        <f t="shared" si="12"/>
        <v>49.090909090909093</v>
      </c>
    </row>
    <row r="119" spans="1:16" outlineLevel="2">
      <c r="A119" s="26" t="s">
        <v>232</v>
      </c>
      <c r="B119" s="26"/>
      <c r="C119" s="26"/>
      <c r="D119" s="27" t="s">
        <v>233</v>
      </c>
      <c r="E119" s="27"/>
      <c r="F119" s="27"/>
      <c r="G119" s="8" t="s">
        <v>13</v>
      </c>
      <c r="H119" s="9">
        <v>384</v>
      </c>
      <c r="I119" s="9">
        <v>230.4</v>
      </c>
      <c r="J119" s="12">
        <f>IF(IFERROR(VLOOKUP(D119,[1]TDSheet!$A:$N,14,0),0)&gt;1,1,IFERROR(VLOOKUP(D119,[1]TDSheet!$A:$N,14,0),0))</f>
        <v>0.72602739726027399</v>
      </c>
      <c r="K119" s="14">
        <f>IFERROR(VLOOKUP(D119,[1]TDSheet!$A:$M,12,0),0)</f>
        <v>11.563636363636364</v>
      </c>
      <c r="L119" s="14">
        <f>IFERROR(VLOOKUP(D119,[1]TDSheet!$A:$M,13,0),0)</f>
        <v>19.272727272727273</v>
      </c>
      <c r="M119" s="14">
        <f t="shared" si="9"/>
        <v>57.81818181818182</v>
      </c>
      <c r="N119" s="14">
        <f t="shared" si="10"/>
        <v>96.363636363636374</v>
      </c>
      <c r="O119" s="17">
        <f t="shared" si="11"/>
        <v>57.81818181818182</v>
      </c>
      <c r="P119" s="17">
        <f t="shared" si="12"/>
        <v>96.363636363636374</v>
      </c>
    </row>
    <row r="120" spans="1:16" outlineLevel="2">
      <c r="A120" s="26" t="s">
        <v>234</v>
      </c>
      <c r="B120" s="26"/>
      <c r="C120" s="26"/>
      <c r="D120" s="27" t="s">
        <v>235</v>
      </c>
      <c r="E120" s="27"/>
      <c r="F120" s="27"/>
      <c r="G120" s="8" t="s">
        <v>13</v>
      </c>
      <c r="H120" s="9">
        <v>-3</v>
      </c>
      <c r="I120" s="9">
        <v>-1.8</v>
      </c>
      <c r="J120" s="12">
        <f>IF(IFERROR(VLOOKUP(D120,[1]TDSheet!$A:$N,14,0),0)&gt;1,1,IFERROR(VLOOKUP(D120,[1]TDSheet!$A:$N,14,0),0))</f>
        <v>0</v>
      </c>
      <c r="K120" s="14">
        <f>IFERROR(VLOOKUP(D120,[1]TDSheet!$A:$M,12,0),0)</f>
        <v>0</v>
      </c>
      <c r="L120" s="14">
        <f>IFERROR(VLOOKUP(D120,[1]TDSheet!$A:$M,13,0),0)</f>
        <v>0</v>
      </c>
      <c r="M120" s="14">
        <f t="shared" si="9"/>
        <v>0</v>
      </c>
      <c r="N120" s="14">
        <f t="shared" si="10"/>
        <v>0</v>
      </c>
      <c r="O120" s="17">
        <v>0</v>
      </c>
      <c r="P120" s="17">
        <v>0</v>
      </c>
    </row>
    <row r="121" spans="1:16" outlineLevel="2">
      <c r="A121" s="26" t="s">
        <v>236</v>
      </c>
      <c r="B121" s="26"/>
      <c r="C121" s="26"/>
      <c r="D121" s="27" t="s">
        <v>237</v>
      </c>
      <c r="E121" s="27"/>
      <c r="F121" s="27"/>
      <c r="G121" s="8" t="s">
        <v>13</v>
      </c>
      <c r="H121" s="9">
        <v>88</v>
      </c>
      <c r="I121" s="9">
        <v>30.8</v>
      </c>
      <c r="J121" s="12">
        <f>IF(IFERROR(VLOOKUP(D121,[1]TDSheet!$A:$N,14,0),0)&gt;1,1,IFERROR(VLOOKUP(D121,[1]TDSheet!$A:$N,14,0),0))</f>
        <v>0.40031897926634769</v>
      </c>
      <c r="K121" s="14">
        <f>IFERROR(VLOOKUP(D121,[1]TDSheet!$A:$M,12,0),0)</f>
        <v>3.9931818181818177</v>
      </c>
      <c r="L121" s="14">
        <f>IFERROR(VLOOKUP(D121,[1]TDSheet!$A:$M,13,0),0)</f>
        <v>11.409090909090908</v>
      </c>
      <c r="M121" s="14">
        <f t="shared" si="9"/>
        <v>19.96590909090909</v>
      </c>
      <c r="N121" s="14">
        <f t="shared" si="10"/>
        <v>57.04545454545454</v>
      </c>
      <c r="O121" s="17">
        <f t="shared" si="11"/>
        <v>19.96590909090909</v>
      </c>
      <c r="P121" s="17">
        <f t="shared" si="12"/>
        <v>30.8</v>
      </c>
    </row>
    <row r="122" spans="1:16" outlineLevel="2">
      <c r="A122" s="26" t="s">
        <v>238</v>
      </c>
      <c r="B122" s="26"/>
      <c r="C122" s="26"/>
      <c r="D122" s="27" t="s">
        <v>239</v>
      </c>
      <c r="E122" s="27"/>
      <c r="F122" s="27"/>
      <c r="G122" s="8" t="s">
        <v>13</v>
      </c>
      <c r="H122" s="9">
        <v>180</v>
      </c>
      <c r="I122" s="9">
        <v>108</v>
      </c>
      <c r="J122" s="12">
        <f>IF(IFERROR(VLOOKUP(D122,[1]TDSheet!$A:$N,14,0),0)&gt;1,1,IFERROR(VLOOKUP(D122,[1]TDSheet!$A:$N,14,0),0))</f>
        <v>0.80392156862745101</v>
      </c>
      <c r="K122" s="14">
        <f>IFERROR(VLOOKUP(D122,[1]TDSheet!$A:$M,12,0),0)</f>
        <v>4.4727272727272727</v>
      </c>
      <c r="L122" s="14">
        <f>IFERROR(VLOOKUP(D122,[1]TDSheet!$A:$M,13,0),0)</f>
        <v>7.4545454545454541</v>
      </c>
      <c r="M122" s="14">
        <f t="shared" si="9"/>
        <v>22.363636363636363</v>
      </c>
      <c r="N122" s="14">
        <f t="shared" si="10"/>
        <v>37.272727272727273</v>
      </c>
      <c r="O122" s="17">
        <f t="shared" si="11"/>
        <v>22.363636363636363</v>
      </c>
      <c r="P122" s="17">
        <f t="shared" si="12"/>
        <v>37.272727272727273</v>
      </c>
    </row>
    <row r="123" spans="1:16" outlineLevel="2">
      <c r="A123" s="26" t="s">
        <v>240</v>
      </c>
      <c r="B123" s="26"/>
      <c r="C123" s="26"/>
      <c r="D123" s="27" t="s">
        <v>241</v>
      </c>
      <c r="E123" s="27"/>
      <c r="F123" s="27"/>
      <c r="G123" s="8" t="s">
        <v>13</v>
      </c>
      <c r="H123" s="9">
        <v>-2</v>
      </c>
      <c r="I123" s="9">
        <v>-0.7</v>
      </c>
      <c r="J123" s="12">
        <f>IF(IFERROR(VLOOKUP(D123,[1]TDSheet!$A:$N,14,0),0)&gt;1,1,IFERROR(VLOOKUP(D123,[1]TDSheet!$A:$N,14,0),0))</f>
        <v>0</v>
      </c>
      <c r="K123" s="14">
        <f>IFERROR(VLOOKUP(D123,[1]TDSheet!$A:$M,12,0),0)</f>
        <v>-3.1818181818181815E-2</v>
      </c>
      <c r="L123" s="14">
        <f>IFERROR(VLOOKUP(D123,[1]TDSheet!$A:$M,13,0),0)</f>
        <v>-9.0909090909090912E-2</v>
      </c>
      <c r="M123" s="14">
        <f t="shared" si="9"/>
        <v>0</v>
      </c>
      <c r="N123" s="14">
        <f t="shared" si="10"/>
        <v>0</v>
      </c>
      <c r="O123" s="17">
        <v>0</v>
      </c>
      <c r="P123" s="17">
        <v>0</v>
      </c>
    </row>
    <row r="124" spans="1:16" outlineLevel="2">
      <c r="A124" s="26" t="s">
        <v>242</v>
      </c>
      <c r="B124" s="26"/>
      <c r="C124" s="26"/>
      <c r="D124" s="27" t="s">
        <v>243</v>
      </c>
      <c r="E124" s="27"/>
      <c r="F124" s="27"/>
      <c r="G124" s="8" t="s">
        <v>13</v>
      </c>
      <c r="H124" s="9">
        <v>26</v>
      </c>
      <c r="I124" s="9">
        <v>9.1</v>
      </c>
      <c r="J124" s="12">
        <f>IF(IFERROR(VLOOKUP(D124,[1]TDSheet!$A:$N,14,0),0)&gt;1,1,IFERROR(VLOOKUP(D124,[1]TDSheet!$A:$N,14,0),0))</f>
        <v>0.53679653679653683</v>
      </c>
      <c r="K124" s="14">
        <f>IFERROR(VLOOKUP(D124,[1]TDSheet!$A:$M,12,0),0)</f>
        <v>1.9727272727272727</v>
      </c>
      <c r="L124" s="14">
        <f>IFERROR(VLOOKUP(D124,[1]TDSheet!$A:$M,13,0),0)</f>
        <v>5.6363636363636367</v>
      </c>
      <c r="M124" s="14">
        <f t="shared" si="9"/>
        <v>9.8636363636363633</v>
      </c>
      <c r="N124" s="14">
        <f t="shared" si="10"/>
        <v>28.181818181818183</v>
      </c>
      <c r="O124" s="17">
        <f t="shared" si="11"/>
        <v>9.8636363636363633</v>
      </c>
      <c r="P124" s="17">
        <f t="shared" si="12"/>
        <v>9.1</v>
      </c>
    </row>
    <row r="125" spans="1:16" outlineLevel="2">
      <c r="A125" s="26" t="s">
        <v>244</v>
      </c>
      <c r="B125" s="26"/>
      <c r="C125" s="26"/>
      <c r="D125" s="27" t="s">
        <v>245</v>
      </c>
      <c r="E125" s="27"/>
      <c r="F125" s="27"/>
      <c r="G125" s="8" t="s">
        <v>13</v>
      </c>
      <c r="H125" s="9">
        <v>-3</v>
      </c>
      <c r="I125" s="9">
        <v>-0.9</v>
      </c>
      <c r="J125" s="12">
        <f>IF(IFERROR(VLOOKUP(D125,[1]TDSheet!$A:$N,14,0),0)&gt;1,1,IFERROR(VLOOKUP(D125,[1]TDSheet!$A:$N,14,0),0))</f>
        <v>0</v>
      </c>
      <c r="K125" s="14">
        <f>IFERROR(VLOOKUP(D125,[1]TDSheet!$A:$M,12,0),0)</f>
        <v>1.3636363636363636E-2</v>
      </c>
      <c r="L125" s="14">
        <f>IFERROR(VLOOKUP(D125,[1]TDSheet!$A:$M,13,0),0)</f>
        <v>4.5454545454545456E-2</v>
      </c>
      <c r="M125" s="14">
        <f t="shared" si="9"/>
        <v>6.8181818181818177E-2</v>
      </c>
      <c r="N125" s="14">
        <f t="shared" si="10"/>
        <v>0.22727272727272729</v>
      </c>
      <c r="O125" s="17">
        <v>0</v>
      </c>
      <c r="P125" s="17">
        <v>0</v>
      </c>
    </row>
    <row r="126" spans="1:16" outlineLevel="2">
      <c r="A126" s="26" t="s">
        <v>246</v>
      </c>
      <c r="B126" s="26"/>
      <c r="C126" s="26"/>
      <c r="D126" s="27" t="s">
        <v>247</v>
      </c>
      <c r="E126" s="27"/>
      <c r="F126" s="27"/>
      <c r="G126" s="8" t="s">
        <v>13</v>
      </c>
      <c r="H126" s="9">
        <v>3</v>
      </c>
      <c r="I126" s="9">
        <v>0.21</v>
      </c>
      <c r="J126" s="12">
        <f>IF(IFERROR(VLOOKUP(D126,[1]TDSheet!$A:$N,14,0),0)&gt;1,1,IFERROR(VLOOKUP(D126,[1]TDSheet!$A:$N,14,0),0))</f>
        <v>0.21093749999999997</v>
      </c>
      <c r="K126" s="14">
        <f>IFERROR(VLOOKUP(D126,[1]TDSheet!$A:$M,12,0),0)</f>
        <v>0.17181818181818181</v>
      </c>
      <c r="L126" s="14">
        <f>IFERROR(VLOOKUP(D126,[1]TDSheet!$A:$M,13,0),0)</f>
        <v>2.4545454545454546</v>
      </c>
      <c r="M126" s="14">
        <f t="shared" si="9"/>
        <v>0.85909090909090913</v>
      </c>
      <c r="N126" s="14">
        <f t="shared" si="10"/>
        <v>12.272727272727273</v>
      </c>
      <c r="O126" s="17">
        <f t="shared" si="11"/>
        <v>0.85909090909090913</v>
      </c>
      <c r="P126" s="17">
        <f t="shared" si="12"/>
        <v>0.21</v>
      </c>
    </row>
    <row r="127" spans="1:16" outlineLevel="2">
      <c r="A127" s="26" t="s">
        <v>248</v>
      </c>
      <c r="B127" s="26"/>
      <c r="C127" s="26"/>
      <c r="D127" s="27" t="s">
        <v>249</v>
      </c>
      <c r="E127" s="27"/>
      <c r="F127" s="27"/>
      <c r="G127" s="8" t="s">
        <v>13</v>
      </c>
      <c r="H127" s="9">
        <v>23</v>
      </c>
      <c r="I127" s="9">
        <v>1.61</v>
      </c>
      <c r="J127" s="12">
        <f>IF(IFERROR(VLOOKUP(D127,[1]TDSheet!$A:$N,14,0),0)&gt;1,1,IFERROR(VLOOKUP(D127,[1]TDSheet!$A:$N,14,0),0))</f>
        <v>0.15116279069767444</v>
      </c>
      <c r="K127" s="14">
        <f>IFERROR(VLOOKUP(D127,[1]TDSheet!$A:$M,12,0),0)</f>
        <v>0.12409090909090909</v>
      </c>
      <c r="L127" s="14">
        <f>IFERROR(VLOOKUP(D127,[1]TDSheet!$A:$M,13,0),0)</f>
        <v>1.7727272727272727</v>
      </c>
      <c r="M127" s="14">
        <f t="shared" si="9"/>
        <v>0.62045454545454537</v>
      </c>
      <c r="N127" s="14">
        <f t="shared" si="10"/>
        <v>8.8636363636363633</v>
      </c>
      <c r="O127" s="17">
        <f t="shared" si="11"/>
        <v>0.62045454545454537</v>
      </c>
      <c r="P127" s="17">
        <f t="shared" si="12"/>
        <v>1.61</v>
      </c>
    </row>
    <row r="128" spans="1:16" outlineLevel="2">
      <c r="A128" s="26" t="s">
        <v>250</v>
      </c>
      <c r="B128" s="26"/>
      <c r="C128" s="26"/>
      <c r="D128" s="27" t="s">
        <v>251</v>
      </c>
      <c r="E128" s="27"/>
      <c r="F128" s="27"/>
      <c r="G128" s="8" t="s">
        <v>13</v>
      </c>
      <c r="H128" s="9">
        <v>43</v>
      </c>
      <c r="I128" s="9">
        <v>3.01</v>
      </c>
      <c r="J128" s="12">
        <f>IF(IFERROR(VLOOKUP(D128,[1]TDSheet!$A:$N,14,0),0)&gt;1,1,IFERROR(VLOOKUP(D128,[1]TDSheet!$A:$N,14,0),0))</f>
        <v>0.16589861751152074</v>
      </c>
      <c r="K128" s="14">
        <f>IFERROR(VLOOKUP(D128,[1]TDSheet!$A:$M,12,0),0)</f>
        <v>0.2290909090909091</v>
      </c>
      <c r="L128" s="14">
        <f>IFERROR(VLOOKUP(D128,[1]TDSheet!$A:$M,13,0),0)</f>
        <v>3.2727272727272729</v>
      </c>
      <c r="M128" s="14">
        <f t="shared" si="9"/>
        <v>1.1454545454545455</v>
      </c>
      <c r="N128" s="14">
        <f t="shared" si="10"/>
        <v>16.363636363636363</v>
      </c>
      <c r="O128" s="17">
        <f t="shared" si="11"/>
        <v>1.1454545454545455</v>
      </c>
      <c r="P128" s="17">
        <f t="shared" si="12"/>
        <v>3.01</v>
      </c>
    </row>
    <row r="129" spans="1:16" outlineLevel="2">
      <c r="A129" s="26" t="s">
        <v>252</v>
      </c>
      <c r="B129" s="26"/>
      <c r="C129" s="26"/>
      <c r="D129" s="27" t="s">
        <v>253</v>
      </c>
      <c r="E129" s="27"/>
      <c r="F129" s="27"/>
      <c r="G129" s="8" t="s">
        <v>13</v>
      </c>
      <c r="H129" s="9">
        <v>1</v>
      </c>
      <c r="I129" s="9">
        <v>0.05</v>
      </c>
      <c r="J129" s="12">
        <f>IF(IFERROR(VLOOKUP(D129,[1]TDSheet!$A:$N,14,0),0)&gt;1,1,IFERROR(VLOOKUP(D129,[1]TDSheet!$A:$N,14,0),0))</f>
        <v>0.53846153846153855</v>
      </c>
      <c r="K129" s="14">
        <f>IFERROR(VLOOKUP(D129,[1]TDSheet!$A:$M,12,0),0)</f>
        <v>4.7727272727272729E-2</v>
      </c>
      <c r="L129" s="14">
        <f>IFERROR(VLOOKUP(D129,[1]TDSheet!$A:$M,13,0),0)</f>
        <v>0.95454545454545459</v>
      </c>
      <c r="M129" s="14">
        <f t="shared" si="9"/>
        <v>0.23863636363636365</v>
      </c>
      <c r="N129" s="14">
        <f t="shared" si="10"/>
        <v>4.7727272727272734</v>
      </c>
      <c r="O129" s="17">
        <f t="shared" si="11"/>
        <v>0.23863636363636365</v>
      </c>
      <c r="P129" s="17">
        <f t="shared" si="12"/>
        <v>0.05</v>
      </c>
    </row>
    <row r="130" spans="1:16" outlineLevel="2">
      <c r="A130" s="26" t="s">
        <v>254</v>
      </c>
      <c r="B130" s="26"/>
      <c r="C130" s="26"/>
      <c r="D130" s="27" t="s">
        <v>255</v>
      </c>
      <c r="E130" s="27"/>
      <c r="F130" s="27"/>
      <c r="G130" s="8" t="s">
        <v>13</v>
      </c>
      <c r="H130" s="9">
        <v>1</v>
      </c>
      <c r="I130" s="9">
        <v>0.3</v>
      </c>
      <c r="J130" s="12">
        <f>IF(IFERROR(VLOOKUP(D130,[1]TDSheet!$A:$N,14,0),0)&gt;1,1,IFERROR(VLOOKUP(D130,[1]TDSheet!$A:$N,14,0),0))</f>
        <v>4.8192771084337352E-2</v>
      </c>
      <c r="K130" s="14">
        <f>IFERROR(VLOOKUP(D130,[1]TDSheet!$A:$M,12,0),0)</f>
        <v>5.4545454545454543E-2</v>
      </c>
      <c r="L130" s="14">
        <f>IFERROR(VLOOKUP(D130,[1]TDSheet!$A:$M,13,0),0)</f>
        <v>0.18181818181818182</v>
      </c>
      <c r="M130" s="14">
        <f t="shared" si="9"/>
        <v>0.27272727272727271</v>
      </c>
      <c r="N130" s="14">
        <f t="shared" si="10"/>
        <v>0.90909090909090917</v>
      </c>
      <c r="O130" s="17">
        <v>0</v>
      </c>
      <c r="P130" s="17">
        <v>0</v>
      </c>
    </row>
    <row r="131" spans="1:16" outlineLevel="2">
      <c r="A131" s="26" t="s">
        <v>256</v>
      </c>
      <c r="B131" s="26"/>
      <c r="C131" s="26"/>
      <c r="D131" s="27" t="s">
        <v>257</v>
      </c>
      <c r="E131" s="27"/>
      <c r="F131" s="27"/>
      <c r="G131" s="8" t="s">
        <v>13</v>
      </c>
      <c r="H131" s="9">
        <v>59</v>
      </c>
      <c r="I131" s="9">
        <v>4.72</v>
      </c>
      <c r="J131" s="12">
        <f>IF(IFERROR(VLOOKUP(D131,[1]TDSheet!$A:$N,14,0),0)&gt;1,1,IFERROR(VLOOKUP(D131,[1]TDSheet!$A:$N,14,0),0))</f>
        <v>0.43325526932084313</v>
      </c>
      <c r="K131" s="14">
        <f>IFERROR(VLOOKUP(D131,[1]TDSheet!$A:$M,12,0),0)</f>
        <v>0.67272727272727273</v>
      </c>
      <c r="L131" s="14">
        <f>IFERROR(VLOOKUP(D131,[1]TDSheet!$A:$M,13,0),0)</f>
        <v>8.4090909090909083</v>
      </c>
      <c r="M131" s="14">
        <f t="shared" si="9"/>
        <v>3.3636363636363638</v>
      </c>
      <c r="N131" s="14">
        <f t="shared" si="10"/>
        <v>42.04545454545454</v>
      </c>
      <c r="O131" s="17">
        <f t="shared" si="11"/>
        <v>3.3636363636363638</v>
      </c>
      <c r="P131" s="17">
        <f t="shared" si="12"/>
        <v>4.72</v>
      </c>
    </row>
    <row r="132" spans="1:16" outlineLevel="2">
      <c r="A132" s="26" t="s">
        <v>258</v>
      </c>
      <c r="B132" s="26"/>
      <c r="C132" s="26"/>
      <c r="D132" s="27" t="s">
        <v>259</v>
      </c>
      <c r="E132" s="27"/>
      <c r="F132" s="27"/>
      <c r="G132" s="8" t="s">
        <v>13</v>
      </c>
      <c r="H132" s="9">
        <v>52</v>
      </c>
      <c r="I132" s="9">
        <v>4.16</v>
      </c>
      <c r="J132" s="12">
        <f>IF(IFERROR(VLOOKUP(D132,[1]TDSheet!$A:$N,14,0),0)&gt;1,1,IFERROR(VLOOKUP(D132,[1]TDSheet!$A:$N,14,0),0))</f>
        <v>0.49848024316109418</v>
      </c>
      <c r="K132" s="14">
        <f>IFERROR(VLOOKUP(D132,[1]TDSheet!$A:$M,12,0),0)</f>
        <v>0.59636363636363632</v>
      </c>
      <c r="L132" s="14">
        <f>IFERROR(VLOOKUP(D132,[1]TDSheet!$A:$M,13,0),0)</f>
        <v>7.4545454545454541</v>
      </c>
      <c r="M132" s="14">
        <f t="shared" si="9"/>
        <v>2.9818181818181815</v>
      </c>
      <c r="N132" s="14">
        <f t="shared" si="10"/>
        <v>37.272727272727273</v>
      </c>
      <c r="O132" s="17">
        <f t="shared" si="11"/>
        <v>2.9818181818181815</v>
      </c>
      <c r="P132" s="17">
        <f t="shared" si="12"/>
        <v>4.16</v>
      </c>
    </row>
    <row r="133" spans="1:16" outlineLevel="2">
      <c r="A133" s="26" t="s">
        <v>260</v>
      </c>
      <c r="B133" s="26"/>
      <c r="C133" s="26"/>
      <c r="D133" s="27" t="s">
        <v>261</v>
      </c>
      <c r="E133" s="27"/>
      <c r="F133" s="27"/>
      <c r="G133" s="8" t="s">
        <v>13</v>
      </c>
      <c r="H133" s="9">
        <v>33</v>
      </c>
      <c r="I133" s="9">
        <v>8.25</v>
      </c>
      <c r="J133" s="12">
        <f>IF(IFERROR(VLOOKUP(D133,[1]TDSheet!$A:$N,14,0),0)&gt;1,1,IFERROR(VLOOKUP(D133,[1]TDSheet!$A:$N,14,0),0))</f>
        <v>3.2128514056224897E-2</v>
      </c>
      <c r="K133" s="14">
        <f>IFERROR(VLOOKUP(D133,[1]TDSheet!$A:$M,12,0),0)</f>
        <v>0.18181818181818182</v>
      </c>
      <c r="L133" s="14">
        <f>IFERROR(VLOOKUP(D133,[1]TDSheet!$A:$M,13,0),0)</f>
        <v>0.72727272727272729</v>
      </c>
      <c r="M133" s="14">
        <f t="shared" si="9"/>
        <v>0.90909090909090917</v>
      </c>
      <c r="N133" s="14">
        <f t="shared" si="10"/>
        <v>3.6363636363636367</v>
      </c>
      <c r="O133" s="17">
        <v>0</v>
      </c>
      <c r="P133" s="17">
        <v>0</v>
      </c>
    </row>
    <row r="134" spans="1:16" outlineLevel="2">
      <c r="A134" s="26" t="s">
        <v>262</v>
      </c>
      <c r="B134" s="26"/>
      <c r="C134" s="26"/>
      <c r="D134" s="27" t="s">
        <v>263</v>
      </c>
      <c r="E134" s="27"/>
      <c r="F134" s="27"/>
      <c r="G134" s="8" t="s">
        <v>13</v>
      </c>
      <c r="H134" s="9">
        <v>292</v>
      </c>
      <c r="I134" s="9">
        <v>94.9</v>
      </c>
      <c r="J134" s="12">
        <f>IF(IFERROR(VLOOKUP(D134,[1]TDSheet!$A:$N,14,0),0)&gt;1,1,IFERROR(VLOOKUP(D134,[1]TDSheet!$A:$N,14,0),0))</f>
        <v>9.0614886731391578E-2</v>
      </c>
      <c r="K134" s="14">
        <f>IFERROR(VLOOKUP(D134,[1]TDSheet!$A:$M,12,0),0)</f>
        <v>0.41363636363636364</v>
      </c>
      <c r="L134" s="14">
        <f>IFERROR(VLOOKUP(D134,[1]TDSheet!$A:$M,13,0),0)</f>
        <v>1.2727272727272727</v>
      </c>
      <c r="M134" s="14">
        <f t="shared" si="9"/>
        <v>2.0681818181818183</v>
      </c>
      <c r="N134" s="14">
        <f t="shared" si="10"/>
        <v>6.3636363636363633</v>
      </c>
      <c r="O134" s="17">
        <v>0</v>
      </c>
      <c r="P134" s="17">
        <v>0</v>
      </c>
    </row>
    <row r="135" spans="1:16" outlineLevel="2">
      <c r="A135" s="26" t="s">
        <v>264</v>
      </c>
      <c r="B135" s="26"/>
      <c r="C135" s="26"/>
      <c r="D135" s="27" t="s">
        <v>265</v>
      </c>
      <c r="E135" s="27"/>
      <c r="F135" s="27"/>
      <c r="G135" s="8" t="s">
        <v>13</v>
      </c>
      <c r="H135" s="9">
        <v>132</v>
      </c>
      <c r="I135" s="9">
        <v>33</v>
      </c>
      <c r="J135" s="12">
        <f>IF(IFERROR(VLOOKUP(D135,[1]TDSheet!$A:$N,14,0),0)&gt;1,1,IFERROR(VLOOKUP(D135,[1]TDSheet!$A:$N,14,0),0))</f>
        <v>2.8388278388278388E-2</v>
      </c>
      <c r="K135" s="14">
        <f>IFERROR(VLOOKUP(D135,[1]TDSheet!$A:$M,12,0),0)</f>
        <v>0.35227272727272729</v>
      </c>
      <c r="L135" s="14">
        <f>IFERROR(VLOOKUP(D135,[1]TDSheet!$A:$M,13,0),0)</f>
        <v>1.4090909090909092</v>
      </c>
      <c r="M135" s="14">
        <f t="shared" si="9"/>
        <v>1.7613636363636365</v>
      </c>
      <c r="N135" s="14">
        <f t="shared" si="10"/>
        <v>7.0454545454545459</v>
      </c>
      <c r="O135" s="17">
        <v>0</v>
      </c>
      <c r="P135" s="17">
        <v>0</v>
      </c>
    </row>
    <row r="136" spans="1:16" outlineLevel="2">
      <c r="A136" s="26" t="s">
        <v>266</v>
      </c>
      <c r="B136" s="26"/>
      <c r="C136" s="26"/>
      <c r="D136" s="27" t="s">
        <v>267</v>
      </c>
      <c r="E136" s="27"/>
      <c r="F136" s="27"/>
      <c r="G136" s="8" t="s">
        <v>13</v>
      </c>
      <c r="H136" s="9">
        <v>-13</v>
      </c>
      <c r="I136" s="9">
        <v>-3.9</v>
      </c>
      <c r="J136" s="12">
        <f>IF(IFERROR(VLOOKUP(D136,[1]TDSheet!$A:$N,14,0),0)&gt;1,1,IFERROR(VLOOKUP(D136,[1]TDSheet!$A:$N,14,0),0))</f>
        <v>0.19933554817275748</v>
      </c>
      <c r="K136" s="14">
        <f>IFERROR(VLOOKUP(D136,[1]TDSheet!$A:$M,12,0),0)</f>
        <v>0.81818181818181823</v>
      </c>
      <c r="L136" s="14">
        <f>IFERROR(VLOOKUP(D136,[1]TDSheet!$A:$M,13,0),0)</f>
        <v>2.7272727272727271</v>
      </c>
      <c r="M136" s="14">
        <f t="shared" si="9"/>
        <v>4.0909090909090908</v>
      </c>
      <c r="N136" s="14">
        <f t="shared" si="10"/>
        <v>13.636363636363635</v>
      </c>
      <c r="O136" s="17">
        <v>0</v>
      </c>
      <c r="P136" s="17">
        <v>0</v>
      </c>
    </row>
    <row r="137" spans="1:16" outlineLevel="2">
      <c r="A137" s="26" t="s">
        <v>268</v>
      </c>
      <c r="B137" s="26"/>
      <c r="C137" s="26"/>
      <c r="D137" s="27" t="s">
        <v>269</v>
      </c>
      <c r="E137" s="27"/>
      <c r="F137" s="27"/>
      <c r="G137" s="8" t="s">
        <v>13</v>
      </c>
      <c r="H137" s="9">
        <v>1</v>
      </c>
      <c r="I137" s="9">
        <v>0.3</v>
      </c>
      <c r="J137" s="12">
        <f>IF(IFERROR(VLOOKUP(D137,[1]TDSheet!$A:$N,14,0),0)&gt;1,1,IFERROR(VLOOKUP(D137,[1]TDSheet!$A:$N,14,0),0))</f>
        <v>0.34482758620689657</v>
      </c>
      <c r="K137" s="14">
        <f>IFERROR(VLOOKUP(D137,[1]TDSheet!$A:$M,12,0),0)</f>
        <v>-0.13636363636363635</v>
      </c>
      <c r="L137" s="14">
        <f>IFERROR(VLOOKUP(D137,[1]TDSheet!$A:$M,13,0),0)</f>
        <v>-0.45454545454545453</v>
      </c>
      <c r="M137" s="14">
        <f t="shared" si="9"/>
        <v>0</v>
      </c>
      <c r="N137" s="14">
        <f t="shared" si="10"/>
        <v>0</v>
      </c>
      <c r="O137" s="17">
        <f t="shared" si="11"/>
        <v>0</v>
      </c>
      <c r="P137" s="17">
        <f t="shared" si="12"/>
        <v>0</v>
      </c>
    </row>
    <row r="138" spans="1:16" outlineLevel="2">
      <c r="A138" s="26" t="s">
        <v>270</v>
      </c>
      <c r="B138" s="26"/>
      <c r="C138" s="26"/>
      <c r="D138" s="27" t="s">
        <v>271</v>
      </c>
      <c r="E138" s="27"/>
      <c r="F138" s="27"/>
      <c r="G138" s="8" t="s">
        <v>13</v>
      </c>
      <c r="H138" s="9">
        <v>-2</v>
      </c>
      <c r="I138" s="9">
        <v>-0.24</v>
      </c>
      <c r="J138" s="12">
        <f>IF(IFERROR(VLOOKUP(D138,[1]TDSheet!$A:$N,14,0),0)&gt;1,1,IFERROR(VLOOKUP(D138,[1]TDSheet!$A:$N,14,0),0))</f>
        <v>0.2483660130718954</v>
      </c>
      <c r="K138" s="14">
        <f>IFERROR(VLOOKUP(D138,[1]TDSheet!$A:$M,12,0),0)</f>
        <v>0.20727272727272725</v>
      </c>
      <c r="L138" s="14">
        <f>IFERROR(VLOOKUP(D138,[1]TDSheet!$A:$M,13,0),0)</f>
        <v>1.7272727272727273</v>
      </c>
      <c r="M138" s="14">
        <f t="shared" si="9"/>
        <v>1.0363636363636362</v>
      </c>
      <c r="N138" s="14">
        <f t="shared" si="10"/>
        <v>8.6363636363636367</v>
      </c>
      <c r="O138" s="17">
        <v>0</v>
      </c>
      <c r="P138" s="17">
        <v>0</v>
      </c>
    </row>
    <row r="139" spans="1:16" outlineLevel="2">
      <c r="A139" s="26" t="s">
        <v>272</v>
      </c>
      <c r="B139" s="26"/>
      <c r="C139" s="26"/>
      <c r="D139" s="27" t="s">
        <v>273</v>
      </c>
      <c r="E139" s="27"/>
      <c r="F139" s="27"/>
      <c r="G139" s="8" t="s">
        <v>13</v>
      </c>
      <c r="H139" s="9">
        <v>101</v>
      </c>
      <c r="I139" s="9">
        <v>10.1</v>
      </c>
      <c r="J139" s="12">
        <f>IF(IFERROR(VLOOKUP(D139,[1]TDSheet!$A:$N,14,0),0)&gt;1,1,IFERROR(VLOOKUP(D139,[1]TDSheet!$A:$N,14,0),0))</f>
        <v>0.20134228187919462</v>
      </c>
      <c r="K139" s="14">
        <f>IFERROR(VLOOKUP(D139,[1]TDSheet!$A:$M,12,0),0)</f>
        <v>0.13636363636363635</v>
      </c>
      <c r="L139" s="14">
        <f>IFERROR(VLOOKUP(D139,[1]TDSheet!$A:$M,13,0),0)</f>
        <v>1.3636363636363635</v>
      </c>
      <c r="M139" s="14">
        <f t="shared" si="9"/>
        <v>0.68181818181818177</v>
      </c>
      <c r="N139" s="14">
        <f t="shared" si="10"/>
        <v>6.8181818181818175</v>
      </c>
      <c r="O139" s="17">
        <f t="shared" si="11"/>
        <v>0.68181818181818177</v>
      </c>
      <c r="P139" s="17">
        <f t="shared" si="12"/>
        <v>6.8181818181818175</v>
      </c>
    </row>
    <row r="140" spans="1:16" outlineLevel="1">
      <c r="A140" s="24" t="s">
        <v>274</v>
      </c>
      <c r="B140" s="24"/>
      <c r="C140" s="24"/>
      <c r="D140" s="25" t="s">
        <v>275</v>
      </c>
      <c r="E140" s="25"/>
      <c r="F140" s="25"/>
      <c r="G140" s="5"/>
      <c r="H140" s="6"/>
      <c r="I140" s="7"/>
      <c r="J140" s="12"/>
    </row>
    <row r="141" spans="1:16" outlineLevel="2">
      <c r="A141" s="26" t="s">
        <v>276</v>
      </c>
      <c r="B141" s="26"/>
      <c r="C141" s="26"/>
      <c r="D141" s="27" t="s">
        <v>277</v>
      </c>
      <c r="E141" s="27"/>
      <c r="F141" s="27"/>
      <c r="G141" s="8" t="s">
        <v>13</v>
      </c>
      <c r="H141" s="9">
        <v>200</v>
      </c>
      <c r="I141" s="9">
        <v>48</v>
      </c>
      <c r="J141" s="12">
        <f>IF(IFERROR(VLOOKUP(D141,[1]TDSheet!$A:$N,14,0),0)&gt;1,1,IFERROR(VLOOKUP(D141,[1]TDSheet!$A:$N,14,0),0))</f>
        <v>0.47599999999999998</v>
      </c>
      <c r="K141" s="14">
        <f>IFERROR(VLOOKUP(D141,[1]TDSheet!$A:$M,12,0),0)</f>
        <v>1.2981818181818181</v>
      </c>
      <c r="L141" s="14">
        <f>IFERROR(VLOOKUP(D141,[1]TDSheet!$A:$M,13,0),0)</f>
        <v>5.4090909090909092</v>
      </c>
      <c r="M141" s="14">
        <f t="shared" si="9"/>
        <v>6.4909090909090903</v>
      </c>
      <c r="N141" s="14">
        <f t="shared" si="10"/>
        <v>27.045454545454547</v>
      </c>
      <c r="O141" s="17">
        <f t="shared" si="11"/>
        <v>6.4909090909090903</v>
      </c>
      <c r="P141" s="17">
        <f t="shared" si="12"/>
        <v>27.045454545454547</v>
      </c>
    </row>
    <row r="142" spans="1:16" outlineLevel="2">
      <c r="A142" s="26" t="s">
        <v>278</v>
      </c>
      <c r="B142" s="26"/>
      <c r="C142" s="26"/>
      <c r="D142" s="27" t="s">
        <v>279</v>
      </c>
      <c r="E142" s="27"/>
      <c r="F142" s="27"/>
      <c r="G142" s="8" t="s">
        <v>13</v>
      </c>
      <c r="H142" s="9">
        <v>53</v>
      </c>
      <c r="I142" s="9">
        <v>13.25</v>
      </c>
      <c r="J142" s="12">
        <f>IF(IFERROR(VLOOKUP(D142,[1]TDSheet!$A:$N,14,0),0)&gt;1,1,IFERROR(VLOOKUP(D142,[1]TDSheet!$A:$N,14,0),0))</f>
        <v>0.52542372881355937</v>
      </c>
      <c r="K142" s="14">
        <f>IFERROR(VLOOKUP(D142,[1]TDSheet!$A:$M,12,0),0)</f>
        <v>0.70454545454545459</v>
      </c>
      <c r="L142" s="14">
        <f>IFERROR(VLOOKUP(D142,[1]TDSheet!$A:$M,13,0),0)</f>
        <v>2.8181818181818183</v>
      </c>
      <c r="M142" s="14">
        <f t="shared" si="9"/>
        <v>3.5227272727272729</v>
      </c>
      <c r="N142" s="14">
        <f t="shared" si="10"/>
        <v>14.090909090909092</v>
      </c>
      <c r="O142" s="17">
        <f t="shared" si="11"/>
        <v>3.5227272727272729</v>
      </c>
      <c r="P142" s="17">
        <f t="shared" si="12"/>
        <v>13.25</v>
      </c>
    </row>
    <row r="143" spans="1:16" outlineLevel="2">
      <c r="A143" s="26" t="s">
        <v>280</v>
      </c>
      <c r="B143" s="26"/>
      <c r="C143" s="26"/>
      <c r="D143" s="27" t="s">
        <v>281</v>
      </c>
      <c r="E143" s="27"/>
      <c r="F143" s="27"/>
      <c r="G143" s="8" t="s">
        <v>13</v>
      </c>
      <c r="H143" s="9">
        <v>137</v>
      </c>
      <c r="I143" s="9">
        <v>30.14</v>
      </c>
      <c r="J143" s="12">
        <f>IF(IFERROR(VLOOKUP(D143,[1]TDSheet!$A:$N,14,0),0)&gt;1,1,IFERROR(VLOOKUP(D143,[1]TDSheet!$A:$N,14,0),0))</f>
        <v>0.2</v>
      </c>
      <c r="K143" s="14">
        <f>IFERROR(VLOOKUP(D143,[1]TDSheet!$A:$M,12,0),0)</f>
        <v>0.22</v>
      </c>
      <c r="L143" s="14">
        <f>IFERROR(VLOOKUP(D143,[1]TDSheet!$A:$M,13,0),0)</f>
        <v>1</v>
      </c>
      <c r="M143" s="14">
        <f t="shared" si="9"/>
        <v>1.1000000000000001</v>
      </c>
      <c r="N143" s="14">
        <f t="shared" si="10"/>
        <v>5</v>
      </c>
      <c r="O143" s="17">
        <f t="shared" si="11"/>
        <v>1.1000000000000001</v>
      </c>
      <c r="P143" s="17">
        <f t="shared" si="12"/>
        <v>5</v>
      </c>
    </row>
    <row r="144" spans="1:16" outlineLevel="2">
      <c r="A144" s="26" t="s">
        <v>282</v>
      </c>
      <c r="B144" s="26"/>
      <c r="C144" s="26"/>
      <c r="D144" s="27" t="s">
        <v>283</v>
      </c>
      <c r="E144" s="27"/>
      <c r="F144" s="27"/>
      <c r="G144" s="8" t="s">
        <v>13</v>
      </c>
      <c r="H144" s="9">
        <v>68</v>
      </c>
      <c r="I144" s="9">
        <v>20.399999999999999</v>
      </c>
      <c r="J144" s="12">
        <f>IF(IFERROR(VLOOKUP(D144,[1]TDSheet!$A:$N,14,0),0)&gt;1,1,IFERROR(VLOOKUP(D144,[1]TDSheet!$A:$N,14,0),0))</f>
        <v>0.33257918552036203</v>
      </c>
      <c r="K144" s="14">
        <f>IFERROR(VLOOKUP(D144,[1]TDSheet!$A:$M,12,0),0)</f>
        <v>2.0045454545454544</v>
      </c>
      <c r="L144" s="14">
        <f>IFERROR(VLOOKUP(D144,[1]TDSheet!$A:$M,13,0),0)</f>
        <v>6.6818181818181817</v>
      </c>
      <c r="M144" s="14">
        <f t="shared" si="9"/>
        <v>10.022727272727272</v>
      </c>
      <c r="N144" s="14">
        <f t="shared" si="10"/>
        <v>33.409090909090907</v>
      </c>
      <c r="O144" s="17">
        <f t="shared" si="11"/>
        <v>10.022727272727272</v>
      </c>
      <c r="P144" s="17">
        <f t="shared" si="12"/>
        <v>20.399999999999999</v>
      </c>
    </row>
    <row r="145" spans="1:16" outlineLevel="2">
      <c r="A145" s="26" t="s">
        <v>284</v>
      </c>
      <c r="B145" s="26"/>
      <c r="C145" s="26"/>
      <c r="D145" s="27" t="s">
        <v>285</v>
      </c>
      <c r="E145" s="27"/>
      <c r="F145" s="27"/>
      <c r="G145" s="8" t="s">
        <v>13</v>
      </c>
      <c r="H145" s="9">
        <v>790</v>
      </c>
      <c r="I145" s="9">
        <v>197.5</v>
      </c>
      <c r="J145" s="12">
        <f>IF(IFERROR(VLOOKUP(D145,[1]TDSheet!$A:$N,14,0),0)&gt;1,1,IFERROR(VLOOKUP(D145,[1]TDSheet!$A:$N,14,0),0))</f>
        <v>8.5714285714285715E-2</v>
      </c>
      <c r="K145" s="14">
        <f>IFERROR(VLOOKUP(D145,[1]TDSheet!$A:$M,12,0),0)</f>
        <v>3.4090909090909088E-2</v>
      </c>
      <c r="L145" s="14">
        <f>IFERROR(VLOOKUP(D145,[1]TDSheet!$A:$M,13,0),0)</f>
        <v>0.13636363636363635</v>
      </c>
      <c r="M145" s="14">
        <f t="shared" si="9"/>
        <v>0.17045454545454544</v>
      </c>
      <c r="N145" s="14">
        <f t="shared" si="10"/>
        <v>0.68181818181818177</v>
      </c>
      <c r="O145" s="17">
        <v>0</v>
      </c>
      <c r="P145" s="17">
        <v>0</v>
      </c>
    </row>
    <row r="146" spans="1:16" outlineLevel="2">
      <c r="A146" s="26" t="s">
        <v>286</v>
      </c>
      <c r="B146" s="26"/>
      <c r="C146" s="26"/>
      <c r="D146" s="27" t="s">
        <v>287</v>
      </c>
      <c r="E146" s="27"/>
      <c r="F146" s="27"/>
      <c r="G146" s="8" t="s">
        <v>13</v>
      </c>
      <c r="H146" s="9">
        <v>-10</v>
      </c>
      <c r="I146" s="9">
        <v>-2.8</v>
      </c>
      <c r="J146" s="12">
        <f>IF(IFERROR(VLOOKUP(D146,[1]TDSheet!$A:$N,14,0),0)&gt;1,1,IFERROR(VLOOKUP(D146,[1]TDSheet!$A:$N,14,0),0))</f>
        <v>0.24376508447304907</v>
      </c>
      <c r="K146" s="14">
        <f>IFERROR(VLOOKUP(D146,[1]TDSheet!$A:$M,12,0),0)</f>
        <v>3.8563636363636364</v>
      </c>
      <c r="L146" s="14">
        <f>IFERROR(VLOOKUP(D146,[1]TDSheet!$A:$M,13,0),0)</f>
        <v>13.772727272727273</v>
      </c>
      <c r="M146" s="14">
        <f t="shared" si="9"/>
        <v>19.281818181818181</v>
      </c>
      <c r="N146" s="14">
        <f t="shared" si="10"/>
        <v>68.863636363636374</v>
      </c>
      <c r="O146" s="17">
        <v>0</v>
      </c>
      <c r="P146" s="17">
        <v>0</v>
      </c>
    </row>
    <row r="147" spans="1:16" outlineLevel="2">
      <c r="A147" s="26" t="s">
        <v>288</v>
      </c>
      <c r="B147" s="26"/>
      <c r="C147" s="26"/>
      <c r="D147" s="27" t="s">
        <v>289</v>
      </c>
      <c r="E147" s="27"/>
      <c r="F147" s="27"/>
      <c r="G147" s="8" t="s">
        <v>13</v>
      </c>
      <c r="H147" s="9">
        <v>348</v>
      </c>
      <c r="I147" s="9">
        <v>83.52</v>
      </c>
      <c r="J147" s="12">
        <f>IF(IFERROR(VLOOKUP(D147,[1]TDSheet!$A:$N,14,0),0)&gt;1,1,IFERROR(VLOOKUP(D147,[1]TDSheet!$A:$N,14,0),0))</f>
        <v>0.42322335025380714</v>
      </c>
      <c r="K147" s="14">
        <f>IFERROR(VLOOKUP(D147,[1]TDSheet!$A:$M,12,0),0)</f>
        <v>7.2763636363636373</v>
      </c>
      <c r="L147" s="14">
        <f>IFERROR(VLOOKUP(D147,[1]TDSheet!$A:$M,13,0),0)</f>
        <v>30.318181818181817</v>
      </c>
      <c r="M147" s="14">
        <f t="shared" si="9"/>
        <v>36.38181818181819</v>
      </c>
      <c r="N147" s="14">
        <f t="shared" si="10"/>
        <v>151.59090909090909</v>
      </c>
      <c r="O147" s="17">
        <f t="shared" si="11"/>
        <v>36.38181818181819</v>
      </c>
      <c r="P147" s="17">
        <f t="shared" si="12"/>
        <v>83.52</v>
      </c>
    </row>
    <row r="148" spans="1:16" outlineLevel="2">
      <c r="A148" s="26" t="s">
        <v>290</v>
      </c>
      <c r="B148" s="26"/>
      <c r="C148" s="26"/>
      <c r="D148" s="27" t="s">
        <v>291</v>
      </c>
      <c r="E148" s="27"/>
      <c r="F148" s="27"/>
      <c r="G148" s="8" t="s">
        <v>13</v>
      </c>
      <c r="H148" s="9">
        <v>265</v>
      </c>
      <c r="I148" s="9">
        <v>63.6</v>
      </c>
      <c r="J148" s="12">
        <f>IF(IFERROR(VLOOKUP(D148,[1]TDSheet!$A:$N,14,0),0)&gt;1,1,IFERROR(VLOOKUP(D148,[1]TDSheet!$A:$N,14,0),0))</f>
        <v>0.34146341463414631</v>
      </c>
      <c r="K148" s="14">
        <f>IFERROR(VLOOKUP(D148,[1]TDSheet!$A:$M,12,0),0)</f>
        <v>0.15272727272727271</v>
      </c>
      <c r="L148" s="14">
        <f>IFERROR(VLOOKUP(D148,[1]TDSheet!$A:$M,13,0),0)</f>
        <v>0.63636363636363635</v>
      </c>
      <c r="M148" s="14">
        <f t="shared" si="9"/>
        <v>0.76363636363636356</v>
      </c>
      <c r="N148" s="14">
        <f t="shared" si="10"/>
        <v>3.1818181818181817</v>
      </c>
      <c r="O148" s="17">
        <f t="shared" si="11"/>
        <v>0.76363636363636356</v>
      </c>
      <c r="P148" s="17">
        <f t="shared" si="12"/>
        <v>3.1818181818181817</v>
      </c>
    </row>
    <row r="149" spans="1:16" outlineLevel="2">
      <c r="A149" s="26" t="s">
        <v>292</v>
      </c>
      <c r="B149" s="26"/>
      <c r="C149" s="26"/>
      <c r="D149" s="27" t="s">
        <v>293</v>
      </c>
      <c r="E149" s="27"/>
      <c r="F149" s="27"/>
      <c r="G149" s="8" t="s">
        <v>13</v>
      </c>
      <c r="H149" s="9">
        <v>-84</v>
      </c>
      <c r="I149" s="9">
        <v>-20.16</v>
      </c>
      <c r="J149" s="12">
        <f>IF(IFERROR(VLOOKUP(D149,[1]TDSheet!$A:$N,14,0),0)&gt;1,1,IFERROR(VLOOKUP(D149,[1]TDSheet!$A:$N,14,0),0))</f>
        <v>0.57669048927982403</v>
      </c>
      <c r="K149" s="14">
        <f>IFERROR(VLOOKUP(D149,[1]TDSheet!$A:$M,12,0),0)</f>
        <v>11.443636363636363</v>
      </c>
      <c r="L149" s="14">
        <f>IFERROR(VLOOKUP(D149,[1]TDSheet!$A:$M,13,0),0)</f>
        <v>47.68181818181818</v>
      </c>
      <c r="M149" s="14">
        <f t="shared" si="9"/>
        <v>57.218181818181819</v>
      </c>
      <c r="N149" s="14">
        <f t="shared" si="10"/>
        <v>238.40909090909091</v>
      </c>
      <c r="O149" s="17">
        <v>0</v>
      </c>
      <c r="P149" s="17">
        <v>0</v>
      </c>
    </row>
    <row r="150" spans="1:16" outlineLevel="2">
      <c r="A150" s="26" t="s">
        <v>294</v>
      </c>
      <c r="B150" s="26"/>
      <c r="C150" s="26"/>
      <c r="D150" s="27" t="s">
        <v>295</v>
      </c>
      <c r="E150" s="27"/>
      <c r="F150" s="27"/>
      <c r="G150" s="8" t="s">
        <v>13</v>
      </c>
      <c r="H150" s="9">
        <v>273</v>
      </c>
      <c r="I150" s="9">
        <v>65.52</v>
      </c>
      <c r="J150" s="12">
        <f>IF(IFERROR(VLOOKUP(D150,[1]TDSheet!$A:$N,14,0),0)&gt;1,1,IFERROR(VLOOKUP(D150,[1]TDSheet!$A:$N,14,0),0))</f>
        <v>0.55384615384615388</v>
      </c>
      <c r="K150" s="14">
        <f>IFERROR(VLOOKUP(D150,[1]TDSheet!$A:$M,12,0),0)</f>
        <v>4.7127272727272729</v>
      </c>
      <c r="L150" s="14">
        <f>IFERROR(VLOOKUP(D150,[1]TDSheet!$A:$M,13,0),0)</f>
        <v>19.636363636363637</v>
      </c>
      <c r="M150" s="14">
        <f t="shared" ref="M150:M198" si="13">IF(K150*$M$6&lt;0,0,K150*$M$6)</f>
        <v>23.563636363636363</v>
      </c>
      <c r="N150" s="14">
        <f t="shared" ref="N150:N198" si="14">IF(L150*$N$6&lt;0,0,L150*$N$6)</f>
        <v>98.181818181818187</v>
      </c>
      <c r="O150" s="17">
        <f t="shared" ref="O150:O196" si="15">IF(M150&gt;H150,H150,M150)</f>
        <v>23.563636363636363</v>
      </c>
      <c r="P150" s="17">
        <f t="shared" ref="P150:P196" si="16">IF(N150&gt;I150,I150,N150)</f>
        <v>65.52</v>
      </c>
    </row>
    <row r="151" spans="1:16" outlineLevel="2">
      <c r="A151" s="26" t="s">
        <v>296</v>
      </c>
      <c r="B151" s="26"/>
      <c r="C151" s="26"/>
      <c r="D151" s="27" t="s">
        <v>297</v>
      </c>
      <c r="E151" s="27"/>
      <c r="F151" s="27"/>
      <c r="G151" s="8" t="s">
        <v>13</v>
      </c>
      <c r="H151" s="9">
        <v>86</v>
      </c>
      <c r="I151" s="9">
        <v>41.28</v>
      </c>
      <c r="J151" s="12">
        <f>IF(IFERROR(VLOOKUP(D151,[1]TDSheet!$A:$N,14,0),0)&gt;1,1,IFERROR(VLOOKUP(D151,[1]TDSheet!$A:$N,14,0),0))</f>
        <v>0.2105263157894737</v>
      </c>
      <c r="K151" s="14">
        <f>IFERROR(VLOOKUP(D151,[1]TDSheet!$A:$M,12,0),0)</f>
        <v>8.7272727272727266E-2</v>
      </c>
      <c r="L151" s="14">
        <f>IFERROR(VLOOKUP(D151,[1]TDSheet!$A:$M,13,0),0)</f>
        <v>0.18181818181818182</v>
      </c>
      <c r="M151" s="14">
        <f t="shared" si="13"/>
        <v>0.43636363636363634</v>
      </c>
      <c r="N151" s="14">
        <f t="shared" si="14"/>
        <v>0.90909090909090917</v>
      </c>
      <c r="O151" s="17">
        <f t="shared" si="15"/>
        <v>0.43636363636363634</v>
      </c>
      <c r="P151" s="17">
        <f t="shared" si="16"/>
        <v>0.90909090909090917</v>
      </c>
    </row>
    <row r="152" spans="1:16" outlineLevel="2">
      <c r="A152" s="26" t="s">
        <v>298</v>
      </c>
      <c r="B152" s="26"/>
      <c r="C152" s="26"/>
      <c r="D152" s="27" t="s">
        <v>299</v>
      </c>
      <c r="E152" s="27"/>
      <c r="F152" s="27"/>
      <c r="G152" s="8" t="s">
        <v>13</v>
      </c>
      <c r="H152" s="9">
        <v>439</v>
      </c>
      <c r="I152" s="9">
        <v>105.36</v>
      </c>
      <c r="J152" s="12">
        <f>IF(IFERROR(VLOOKUP(D152,[1]TDSheet!$A:$N,14,0),0)&gt;1,1,IFERROR(VLOOKUP(D152,[1]TDSheet!$A:$N,14,0),0))</f>
        <v>0.52093596059113301</v>
      </c>
      <c r="K152" s="14">
        <f>IFERROR(VLOOKUP(D152,[1]TDSheet!$A:$M,12,0),0)</f>
        <v>9.2290909090909086</v>
      </c>
      <c r="L152" s="14">
        <f>IFERROR(VLOOKUP(D152,[1]TDSheet!$A:$M,13,0),0)</f>
        <v>38.454545454545453</v>
      </c>
      <c r="M152" s="14">
        <f t="shared" si="13"/>
        <v>46.145454545454541</v>
      </c>
      <c r="N152" s="14">
        <f t="shared" si="14"/>
        <v>192.27272727272725</v>
      </c>
      <c r="O152" s="17">
        <f t="shared" si="15"/>
        <v>46.145454545454541</v>
      </c>
      <c r="P152" s="17">
        <f t="shared" si="16"/>
        <v>105.36</v>
      </c>
    </row>
    <row r="153" spans="1:16" outlineLevel="2">
      <c r="A153" s="26" t="s">
        <v>300</v>
      </c>
      <c r="B153" s="26"/>
      <c r="C153" s="26"/>
      <c r="D153" s="27" t="s">
        <v>301</v>
      </c>
      <c r="E153" s="27"/>
      <c r="F153" s="27"/>
      <c r="G153" s="8" t="s">
        <v>13</v>
      </c>
      <c r="H153" s="9">
        <v>1</v>
      </c>
      <c r="I153" s="9">
        <v>0.48</v>
      </c>
      <c r="J153" s="12">
        <f>IF(IFERROR(VLOOKUP(D153,[1]TDSheet!$A:$N,14,0),0)&gt;1,1,IFERROR(VLOOKUP(D153,[1]TDSheet!$A:$N,14,0),0))</f>
        <v>0.62068965517241381</v>
      </c>
      <c r="K153" s="14">
        <f>IFERROR(VLOOKUP(D153,[1]TDSheet!$A:$M,12,0),0)</f>
        <v>4.7127272727272729</v>
      </c>
      <c r="L153" s="14">
        <f>IFERROR(VLOOKUP(D153,[1]TDSheet!$A:$M,13,0),0)</f>
        <v>9.8181818181818183</v>
      </c>
      <c r="M153" s="14">
        <f t="shared" si="13"/>
        <v>23.563636363636363</v>
      </c>
      <c r="N153" s="14">
        <f t="shared" si="14"/>
        <v>49.090909090909093</v>
      </c>
      <c r="O153" s="17">
        <f t="shared" si="15"/>
        <v>1</v>
      </c>
      <c r="P153" s="17">
        <f t="shared" si="16"/>
        <v>0.48</v>
      </c>
    </row>
    <row r="154" spans="1:16" outlineLevel="2">
      <c r="A154" s="26" t="s">
        <v>302</v>
      </c>
      <c r="B154" s="26"/>
      <c r="C154" s="26"/>
      <c r="D154" s="27" t="s">
        <v>303</v>
      </c>
      <c r="E154" s="27"/>
      <c r="F154" s="27"/>
      <c r="G154" s="8" t="s">
        <v>13</v>
      </c>
      <c r="H154" s="9">
        <v>384</v>
      </c>
      <c r="I154" s="9">
        <v>34.56</v>
      </c>
      <c r="J154" s="12">
        <f>IF(IFERROR(VLOOKUP(D154,[1]TDSheet!$A:$N,14,0),0)&gt;1,1,IFERROR(VLOOKUP(D154,[1]TDSheet!$A:$N,14,0),0))</f>
        <v>0.79491017964071853</v>
      </c>
      <c r="K154" s="14">
        <f>IFERROR(VLOOKUP(D154,[1]TDSheet!$A:$M,12,0),0)</f>
        <v>2.1722727272727274</v>
      </c>
      <c r="L154" s="14">
        <f>IFERROR(VLOOKUP(D154,[1]TDSheet!$A:$M,13,0),0)</f>
        <v>24.136363636363637</v>
      </c>
      <c r="M154" s="14">
        <f t="shared" si="13"/>
        <v>10.861363636363636</v>
      </c>
      <c r="N154" s="14">
        <f t="shared" si="14"/>
        <v>120.68181818181819</v>
      </c>
      <c r="O154" s="17">
        <f t="shared" si="15"/>
        <v>10.861363636363636</v>
      </c>
      <c r="P154" s="17">
        <f t="shared" si="16"/>
        <v>34.56</v>
      </c>
    </row>
    <row r="155" spans="1:16" outlineLevel="2">
      <c r="A155" s="26" t="s">
        <v>304</v>
      </c>
      <c r="B155" s="26"/>
      <c r="C155" s="26"/>
      <c r="D155" s="27" t="s">
        <v>305</v>
      </c>
      <c r="E155" s="27"/>
      <c r="F155" s="27"/>
      <c r="G155" s="8" t="s">
        <v>13</v>
      </c>
      <c r="H155" s="9">
        <v>79</v>
      </c>
      <c r="I155" s="9">
        <v>28.44</v>
      </c>
      <c r="J155" s="12">
        <f>IF(IFERROR(VLOOKUP(D155,[1]TDSheet!$A:$N,14,0),0)&gt;1,1,IFERROR(VLOOKUP(D155,[1]TDSheet!$A:$N,14,0),0))</f>
        <v>0.49691358024691357</v>
      </c>
      <c r="K155" s="14">
        <f>IFERROR(VLOOKUP(D155,[1]TDSheet!$A:$M,12,0),0)</f>
        <v>2.6345454545454547</v>
      </c>
      <c r="L155" s="14">
        <f>IFERROR(VLOOKUP(D155,[1]TDSheet!$A:$M,13,0),0)</f>
        <v>7.3181818181818183</v>
      </c>
      <c r="M155" s="14">
        <f t="shared" si="13"/>
        <v>13.172727272727274</v>
      </c>
      <c r="N155" s="14">
        <f t="shared" si="14"/>
        <v>36.590909090909093</v>
      </c>
      <c r="O155" s="17">
        <f t="shared" si="15"/>
        <v>13.172727272727274</v>
      </c>
      <c r="P155" s="17">
        <f t="shared" si="16"/>
        <v>28.44</v>
      </c>
    </row>
    <row r="156" spans="1:16" outlineLevel="2">
      <c r="A156" s="26" t="s">
        <v>306</v>
      </c>
      <c r="B156" s="26"/>
      <c r="C156" s="26"/>
      <c r="D156" s="27" t="s">
        <v>307</v>
      </c>
      <c r="E156" s="27"/>
      <c r="F156" s="27"/>
      <c r="G156" s="8" t="s">
        <v>13</v>
      </c>
      <c r="H156" s="9">
        <v>56</v>
      </c>
      <c r="I156" s="9">
        <v>11.2</v>
      </c>
      <c r="J156" s="12">
        <f>IF(IFERROR(VLOOKUP(D156,[1]TDSheet!$A:$N,14,0),0)&gt;1,1,IFERROR(VLOOKUP(D156,[1]TDSheet!$A:$N,14,0),0))</f>
        <v>0</v>
      </c>
      <c r="K156" s="14">
        <f>IFERROR(VLOOKUP(D156,[1]TDSheet!$A:$M,12,0),0)</f>
        <v>0</v>
      </c>
      <c r="L156" s="14">
        <f>IFERROR(VLOOKUP(D156,[1]TDSheet!$A:$M,13,0),0)</f>
        <v>0</v>
      </c>
      <c r="M156" s="14">
        <f t="shared" si="13"/>
        <v>0</v>
      </c>
      <c r="N156" s="14">
        <f t="shared" si="14"/>
        <v>0</v>
      </c>
      <c r="O156" s="17">
        <v>0</v>
      </c>
      <c r="P156" s="17">
        <v>0</v>
      </c>
    </row>
    <row r="157" spans="1:16" outlineLevel="2">
      <c r="A157" s="26" t="s">
        <v>308</v>
      </c>
      <c r="B157" s="26"/>
      <c r="C157" s="26"/>
      <c r="D157" s="27" t="s">
        <v>309</v>
      </c>
      <c r="E157" s="27"/>
      <c r="F157" s="27"/>
      <c r="G157" s="8" t="s">
        <v>13</v>
      </c>
      <c r="H157" s="9">
        <v>158</v>
      </c>
      <c r="I157" s="9">
        <v>31.6</v>
      </c>
      <c r="J157" s="12">
        <f>IF(IFERROR(VLOOKUP(D157,[1]TDSheet!$A:$N,14,0),0)&gt;1,1,IFERROR(VLOOKUP(D157,[1]TDSheet!$A:$N,14,0),0))</f>
        <v>0.3932584269662921</v>
      </c>
      <c r="K157" s="14">
        <f>IFERROR(VLOOKUP(D157,[1]TDSheet!$A:$M,12,0),0)</f>
        <v>0.63636363636363635</v>
      </c>
      <c r="L157" s="14">
        <f>IFERROR(VLOOKUP(D157,[1]TDSheet!$A:$M,13,0),0)</f>
        <v>3.1818181818181817</v>
      </c>
      <c r="M157" s="14">
        <f t="shared" si="13"/>
        <v>3.1818181818181817</v>
      </c>
      <c r="N157" s="14">
        <f t="shared" si="14"/>
        <v>15.909090909090908</v>
      </c>
      <c r="O157" s="17">
        <f t="shared" si="15"/>
        <v>3.1818181818181817</v>
      </c>
      <c r="P157" s="17">
        <f t="shared" si="16"/>
        <v>15.909090909090908</v>
      </c>
    </row>
    <row r="158" spans="1:16" outlineLevel="2">
      <c r="A158" s="26" t="s">
        <v>310</v>
      </c>
      <c r="B158" s="26"/>
      <c r="C158" s="26"/>
      <c r="D158" s="27" t="s">
        <v>311</v>
      </c>
      <c r="E158" s="27"/>
      <c r="F158" s="27"/>
      <c r="G158" s="8" t="s">
        <v>13</v>
      </c>
      <c r="H158" s="9">
        <v>233</v>
      </c>
      <c r="I158" s="9">
        <v>46.6</v>
      </c>
      <c r="J158" s="12">
        <f>IF(IFERROR(VLOOKUP(D158,[1]TDSheet!$A:$N,14,0),0)&gt;1,1,IFERROR(VLOOKUP(D158,[1]TDSheet!$A:$N,14,0),0))</f>
        <v>0.70629991126885527</v>
      </c>
      <c r="K158" s="14">
        <f>IFERROR(VLOOKUP(D158,[1]TDSheet!$A:$M,12,0),0)</f>
        <v>7.2363636363636354</v>
      </c>
      <c r="L158" s="14">
        <f>IFERROR(VLOOKUP(D158,[1]TDSheet!$A:$M,13,0),0)</f>
        <v>36.18181818181818</v>
      </c>
      <c r="M158" s="14">
        <f t="shared" si="13"/>
        <v>36.18181818181818</v>
      </c>
      <c r="N158" s="14">
        <f t="shared" si="14"/>
        <v>180.90909090909091</v>
      </c>
      <c r="O158" s="17">
        <f t="shared" si="15"/>
        <v>36.18181818181818</v>
      </c>
      <c r="P158" s="17">
        <f t="shared" si="16"/>
        <v>46.6</v>
      </c>
    </row>
    <row r="159" spans="1:16" outlineLevel="2">
      <c r="A159" s="26" t="s">
        <v>312</v>
      </c>
      <c r="B159" s="26"/>
      <c r="C159" s="26"/>
      <c r="D159" s="27" t="s">
        <v>313</v>
      </c>
      <c r="E159" s="27"/>
      <c r="F159" s="27"/>
      <c r="G159" s="8" t="s">
        <v>13</v>
      </c>
      <c r="H159" s="9">
        <v>299</v>
      </c>
      <c r="I159" s="9">
        <v>59.8</v>
      </c>
      <c r="J159" s="12">
        <f>IF(IFERROR(VLOOKUP(D159,[1]TDSheet!$A:$N,14,0),0)&gt;1,1,IFERROR(VLOOKUP(D159,[1]TDSheet!$A:$N,14,0),0))</f>
        <v>0.7415730337078652</v>
      </c>
      <c r="K159" s="14">
        <f>IFERROR(VLOOKUP(D159,[1]TDSheet!$A:$M,12,0),0)</f>
        <v>5.3999999999999995</v>
      </c>
      <c r="L159" s="14">
        <f>IFERROR(VLOOKUP(D159,[1]TDSheet!$A:$M,13,0),0)</f>
        <v>27</v>
      </c>
      <c r="M159" s="14">
        <f t="shared" si="13"/>
        <v>26.999999999999996</v>
      </c>
      <c r="N159" s="14">
        <f t="shared" si="14"/>
        <v>135</v>
      </c>
      <c r="O159" s="17">
        <f t="shared" si="15"/>
        <v>26.999999999999996</v>
      </c>
      <c r="P159" s="17">
        <f t="shared" si="16"/>
        <v>59.8</v>
      </c>
    </row>
    <row r="160" spans="1:16" outlineLevel="2">
      <c r="A160" s="26" t="s">
        <v>314</v>
      </c>
      <c r="B160" s="26"/>
      <c r="C160" s="26"/>
      <c r="D160" s="27" t="s">
        <v>315</v>
      </c>
      <c r="E160" s="27"/>
      <c r="F160" s="27"/>
      <c r="G160" s="8" t="s">
        <v>13</v>
      </c>
      <c r="H160" s="9">
        <v>428</v>
      </c>
      <c r="I160" s="9">
        <v>107</v>
      </c>
      <c r="J160" s="12">
        <f>IF(IFERROR(VLOOKUP(D160,[1]TDSheet!$A:$N,14,0),0)&gt;1,1,IFERROR(VLOOKUP(D160,[1]TDSheet!$A:$N,14,0),0))</f>
        <v>0.36439588688946017</v>
      </c>
      <c r="K160" s="14">
        <f>IFERROR(VLOOKUP(D160,[1]TDSheet!$A:$M,12,0),0)</f>
        <v>6.4431818181818183</v>
      </c>
      <c r="L160" s="14">
        <f>IFERROR(VLOOKUP(D160,[1]TDSheet!$A:$M,13,0),0)</f>
        <v>25.772727272727273</v>
      </c>
      <c r="M160" s="14">
        <f t="shared" si="13"/>
        <v>32.215909090909093</v>
      </c>
      <c r="N160" s="14">
        <f t="shared" si="14"/>
        <v>128.86363636363637</v>
      </c>
      <c r="O160" s="17">
        <f t="shared" si="15"/>
        <v>32.215909090909093</v>
      </c>
      <c r="P160" s="17">
        <f t="shared" si="16"/>
        <v>107</v>
      </c>
    </row>
    <row r="161" spans="1:16" outlineLevel="2">
      <c r="A161" s="26" t="s">
        <v>316</v>
      </c>
      <c r="B161" s="26"/>
      <c r="C161" s="26"/>
      <c r="D161" s="27" t="s">
        <v>317</v>
      </c>
      <c r="E161" s="27"/>
      <c r="F161" s="27"/>
      <c r="G161" s="8" t="s">
        <v>13</v>
      </c>
      <c r="H161" s="9">
        <v>303</v>
      </c>
      <c r="I161" s="9">
        <v>75.75</v>
      </c>
      <c r="J161" s="12">
        <f>IF(IFERROR(VLOOKUP(D161,[1]TDSheet!$A:$N,14,0),0)&gt;1,1,IFERROR(VLOOKUP(D161,[1]TDSheet!$A:$N,14,0),0))</f>
        <v>0.57114526524541398</v>
      </c>
      <c r="K161" s="14">
        <f>IFERROR(VLOOKUP(D161,[1]TDSheet!$A:$M,12,0),0)</f>
        <v>13.090909090909092</v>
      </c>
      <c r="L161" s="14">
        <f>IFERROR(VLOOKUP(D161,[1]TDSheet!$A:$M,13,0),0)</f>
        <v>52.363636363636367</v>
      </c>
      <c r="M161" s="14">
        <f t="shared" si="13"/>
        <v>65.454545454545453</v>
      </c>
      <c r="N161" s="14">
        <f t="shared" si="14"/>
        <v>261.81818181818181</v>
      </c>
      <c r="O161" s="17">
        <f t="shared" si="15"/>
        <v>65.454545454545453</v>
      </c>
      <c r="P161" s="17">
        <f t="shared" si="16"/>
        <v>75.75</v>
      </c>
    </row>
    <row r="162" spans="1:16" outlineLevel="2">
      <c r="A162" s="26" t="s">
        <v>318</v>
      </c>
      <c r="B162" s="26"/>
      <c r="C162" s="26"/>
      <c r="D162" s="27" t="s">
        <v>319</v>
      </c>
      <c r="E162" s="27"/>
      <c r="F162" s="27"/>
      <c r="G162" s="8" t="s">
        <v>13</v>
      </c>
      <c r="H162" s="9">
        <v>6</v>
      </c>
      <c r="I162" s="9">
        <v>1.5</v>
      </c>
      <c r="J162" s="12">
        <f>IF(IFERROR(VLOOKUP(D162,[1]TDSheet!$A:$N,14,0),0)&gt;1,1,IFERROR(VLOOKUP(D162,[1]TDSheet!$A:$N,14,0),0))</f>
        <v>0.51289833080424885</v>
      </c>
      <c r="K162" s="14">
        <f>IFERROR(VLOOKUP(D162,[1]TDSheet!$A:$M,12,0),0)</f>
        <v>7.6818181818181817</v>
      </c>
      <c r="L162" s="14">
        <f>IFERROR(VLOOKUP(D162,[1]TDSheet!$A:$M,13,0),0)</f>
        <v>30.727272727272727</v>
      </c>
      <c r="M162" s="14">
        <f t="shared" si="13"/>
        <v>38.409090909090907</v>
      </c>
      <c r="N162" s="14">
        <f t="shared" si="14"/>
        <v>153.63636363636363</v>
      </c>
      <c r="O162" s="17">
        <f t="shared" si="15"/>
        <v>6</v>
      </c>
      <c r="P162" s="17">
        <f t="shared" si="16"/>
        <v>1.5</v>
      </c>
    </row>
    <row r="163" spans="1:16" outlineLevel="2">
      <c r="A163" s="26" t="s">
        <v>320</v>
      </c>
      <c r="B163" s="26"/>
      <c r="C163" s="26"/>
      <c r="D163" s="27" t="s">
        <v>321</v>
      </c>
      <c r="E163" s="27"/>
      <c r="F163" s="27"/>
      <c r="G163" s="8" t="s">
        <v>13</v>
      </c>
      <c r="H163" s="9">
        <v>58</v>
      </c>
      <c r="I163" s="9">
        <v>14.5</v>
      </c>
      <c r="J163" s="12">
        <f>IF(IFERROR(VLOOKUP(D163,[1]TDSheet!$A:$N,14,0),0)&gt;1,1,IFERROR(VLOOKUP(D163,[1]TDSheet!$A:$N,14,0),0))</f>
        <v>0.57220412595005432</v>
      </c>
      <c r="K163" s="14">
        <f>IFERROR(VLOOKUP(D163,[1]TDSheet!$A:$M,12,0),0)</f>
        <v>5.9886363636363633</v>
      </c>
      <c r="L163" s="14">
        <f>IFERROR(VLOOKUP(D163,[1]TDSheet!$A:$M,13,0),0)</f>
        <v>23.954545454545453</v>
      </c>
      <c r="M163" s="14">
        <f t="shared" si="13"/>
        <v>29.943181818181817</v>
      </c>
      <c r="N163" s="14">
        <f t="shared" si="14"/>
        <v>119.77272727272727</v>
      </c>
      <c r="O163" s="17">
        <f t="shared" si="15"/>
        <v>29.943181818181817</v>
      </c>
      <c r="P163" s="17">
        <f t="shared" si="16"/>
        <v>14.5</v>
      </c>
    </row>
    <row r="164" spans="1:16" outlineLevel="2">
      <c r="A164" s="26" t="s">
        <v>322</v>
      </c>
      <c r="B164" s="26"/>
      <c r="C164" s="26"/>
      <c r="D164" s="27" t="s">
        <v>323</v>
      </c>
      <c r="E164" s="27"/>
      <c r="F164" s="27"/>
      <c r="G164" s="8" t="s">
        <v>13</v>
      </c>
      <c r="H164" s="9">
        <v>10</v>
      </c>
      <c r="I164" s="9">
        <v>2.2999999999999998</v>
      </c>
      <c r="J164" s="12">
        <f>IF(IFERROR(VLOOKUP(D164,[1]TDSheet!$A:$N,14,0),0)&gt;1,1,IFERROR(VLOOKUP(D164,[1]TDSheet!$A:$N,14,0),0))</f>
        <v>0.49390243902439024</v>
      </c>
      <c r="K164" s="14">
        <f>IFERROR(VLOOKUP(D164,[1]TDSheet!$A:$M,12,0),0)</f>
        <v>1.6936363636363636</v>
      </c>
      <c r="L164" s="14">
        <f>IFERROR(VLOOKUP(D164,[1]TDSheet!$A:$M,13,0),0)</f>
        <v>7.3636363636363633</v>
      </c>
      <c r="M164" s="14">
        <f t="shared" si="13"/>
        <v>8.4681818181818187</v>
      </c>
      <c r="N164" s="14">
        <f t="shared" si="14"/>
        <v>36.818181818181813</v>
      </c>
      <c r="O164" s="17">
        <f t="shared" si="15"/>
        <v>8.4681818181818187</v>
      </c>
      <c r="P164" s="17">
        <f t="shared" si="16"/>
        <v>2.2999999999999998</v>
      </c>
    </row>
    <row r="165" spans="1:16" outlineLevel="2">
      <c r="A165" s="26" t="s">
        <v>324</v>
      </c>
      <c r="B165" s="26"/>
      <c r="C165" s="26"/>
      <c r="D165" s="27" t="s">
        <v>325</v>
      </c>
      <c r="E165" s="27"/>
      <c r="F165" s="27"/>
      <c r="G165" s="8" t="s">
        <v>13</v>
      </c>
      <c r="H165" s="9">
        <v>70</v>
      </c>
      <c r="I165" s="9">
        <v>17.5</v>
      </c>
      <c r="J165" s="12">
        <f>IF(IFERROR(VLOOKUP(D165,[1]TDSheet!$A:$N,14,0),0)&gt;1,1,IFERROR(VLOOKUP(D165,[1]TDSheet!$A:$N,14,0),0))</f>
        <v>0.66724137931034477</v>
      </c>
      <c r="K165" s="14">
        <f>IFERROR(VLOOKUP(D165,[1]TDSheet!$A:$M,12,0),0)</f>
        <v>4.3977272727272725</v>
      </c>
      <c r="L165" s="14">
        <f>IFERROR(VLOOKUP(D165,[1]TDSheet!$A:$M,13,0),0)</f>
        <v>17.59090909090909</v>
      </c>
      <c r="M165" s="14">
        <f t="shared" si="13"/>
        <v>21.988636363636363</v>
      </c>
      <c r="N165" s="14">
        <f t="shared" si="14"/>
        <v>87.954545454545453</v>
      </c>
      <c r="O165" s="17">
        <f t="shared" si="15"/>
        <v>21.988636363636363</v>
      </c>
      <c r="P165" s="17">
        <f t="shared" si="16"/>
        <v>17.5</v>
      </c>
    </row>
    <row r="166" spans="1:16" outlineLevel="2">
      <c r="A166" s="26" t="s">
        <v>326</v>
      </c>
      <c r="B166" s="26"/>
      <c r="C166" s="26"/>
      <c r="D166" s="27" t="s">
        <v>327</v>
      </c>
      <c r="E166" s="27"/>
      <c r="F166" s="27"/>
      <c r="G166" s="8" t="s">
        <v>13</v>
      </c>
      <c r="H166" s="9">
        <v>-6</v>
      </c>
      <c r="I166" s="9">
        <v>-4.2</v>
      </c>
      <c r="J166" s="12">
        <f>IF(IFERROR(VLOOKUP(D166,[1]TDSheet!$A:$N,14,0),0)&gt;1,1,IFERROR(VLOOKUP(D166,[1]TDSheet!$A:$N,14,0),0))</f>
        <v>0.53289473684210531</v>
      </c>
      <c r="K166" s="14">
        <f>IFERROR(VLOOKUP(D166,[1]TDSheet!$A:$M,12,0),0)</f>
        <v>5.1545454545454552</v>
      </c>
      <c r="L166" s="14">
        <f>IFERROR(VLOOKUP(D166,[1]TDSheet!$A:$M,13,0),0)</f>
        <v>7.3636363636363633</v>
      </c>
      <c r="M166" s="14">
        <f t="shared" si="13"/>
        <v>25.772727272727277</v>
      </c>
      <c r="N166" s="14">
        <f t="shared" si="14"/>
        <v>36.818181818181813</v>
      </c>
      <c r="O166" s="17">
        <v>0</v>
      </c>
      <c r="P166" s="17">
        <v>0</v>
      </c>
    </row>
    <row r="167" spans="1:16" outlineLevel="2">
      <c r="A167" s="26" t="s">
        <v>328</v>
      </c>
      <c r="B167" s="26"/>
      <c r="C167" s="26"/>
      <c r="D167" s="27" t="s">
        <v>329</v>
      </c>
      <c r="E167" s="27"/>
      <c r="F167" s="27"/>
      <c r="G167" s="8" t="s">
        <v>13</v>
      </c>
      <c r="H167" s="9">
        <v>27</v>
      </c>
      <c r="I167" s="9">
        <v>18.899999999999999</v>
      </c>
      <c r="J167" s="12">
        <f>IF(IFERROR(VLOOKUP(D167,[1]TDSheet!$A:$N,14,0),0)&gt;1,1,IFERROR(VLOOKUP(D167,[1]TDSheet!$A:$N,14,0),0))</f>
        <v>0.52024291497975705</v>
      </c>
      <c r="K167" s="14">
        <f>IFERROR(VLOOKUP(D167,[1]TDSheet!$A:$M,12,0),0)</f>
        <v>8.1772727272727277</v>
      </c>
      <c r="L167" s="14">
        <f>IFERROR(VLOOKUP(D167,[1]TDSheet!$A:$M,13,0),0)</f>
        <v>11.681818181818182</v>
      </c>
      <c r="M167" s="14">
        <f t="shared" si="13"/>
        <v>40.88636363636364</v>
      </c>
      <c r="N167" s="14">
        <f t="shared" si="14"/>
        <v>58.409090909090907</v>
      </c>
      <c r="O167" s="17">
        <f t="shared" si="15"/>
        <v>27</v>
      </c>
      <c r="P167" s="17">
        <f t="shared" si="16"/>
        <v>18.899999999999999</v>
      </c>
    </row>
    <row r="168" spans="1:16" outlineLevel="2">
      <c r="A168" s="26" t="s">
        <v>330</v>
      </c>
      <c r="B168" s="26"/>
      <c r="C168" s="26"/>
      <c r="D168" s="27" t="s">
        <v>331</v>
      </c>
      <c r="E168" s="27"/>
      <c r="F168" s="27"/>
      <c r="G168" s="8" t="s">
        <v>13</v>
      </c>
      <c r="H168" s="9">
        <v>-2</v>
      </c>
      <c r="I168" s="9">
        <v>-1.4</v>
      </c>
      <c r="J168" s="12">
        <f>IF(IFERROR(VLOOKUP(D168,[1]TDSheet!$A:$N,14,0),0)&gt;1,1,IFERROR(VLOOKUP(D168,[1]TDSheet!$A:$N,14,0),0))</f>
        <v>0.53846153846153855</v>
      </c>
      <c r="K168" s="14">
        <f>IFERROR(VLOOKUP(D168,[1]TDSheet!$A:$M,12,0),0)</f>
        <v>0.89090909090909098</v>
      </c>
      <c r="L168" s="14">
        <f>IFERROR(VLOOKUP(D168,[1]TDSheet!$A:$M,13,0),0)</f>
        <v>1.2727272727272727</v>
      </c>
      <c r="M168" s="14">
        <f t="shared" si="13"/>
        <v>4.454545454545455</v>
      </c>
      <c r="N168" s="14">
        <f t="shared" si="14"/>
        <v>6.3636363636363633</v>
      </c>
      <c r="O168" s="17">
        <v>0</v>
      </c>
      <c r="P168" s="17">
        <v>0</v>
      </c>
    </row>
    <row r="169" spans="1:16" outlineLevel="2">
      <c r="A169" s="26" t="s">
        <v>332</v>
      </c>
      <c r="B169" s="26"/>
      <c r="C169" s="26"/>
      <c r="D169" s="27" t="s">
        <v>333</v>
      </c>
      <c r="E169" s="27"/>
      <c r="F169" s="27"/>
      <c r="G169" s="8" t="s">
        <v>13</v>
      </c>
      <c r="H169" s="9">
        <v>188</v>
      </c>
      <c r="I169" s="9">
        <v>131.6</v>
      </c>
      <c r="J169" s="12">
        <f>IF(IFERROR(VLOOKUP(D169,[1]TDSheet!$A:$N,14,0),0)&gt;1,1,IFERROR(VLOOKUP(D169,[1]TDSheet!$A:$N,14,0),0))</f>
        <v>0.52501985702938847</v>
      </c>
      <c r="K169" s="14">
        <f>IFERROR(VLOOKUP(D169,[1]TDSheet!$A:$M,12,0),0)</f>
        <v>21.031818181818181</v>
      </c>
      <c r="L169" s="14">
        <f>IFERROR(VLOOKUP(D169,[1]TDSheet!$A:$M,13,0),0)</f>
        <v>30.045454545454547</v>
      </c>
      <c r="M169" s="14">
        <f t="shared" si="13"/>
        <v>105.15909090909091</v>
      </c>
      <c r="N169" s="14">
        <f t="shared" si="14"/>
        <v>150.22727272727275</v>
      </c>
      <c r="O169" s="17">
        <f t="shared" si="15"/>
        <v>105.15909090909091</v>
      </c>
      <c r="P169" s="17">
        <f t="shared" si="16"/>
        <v>131.6</v>
      </c>
    </row>
    <row r="170" spans="1:16" outlineLevel="2">
      <c r="A170" s="26" t="s">
        <v>334</v>
      </c>
      <c r="B170" s="26"/>
      <c r="C170" s="26"/>
      <c r="D170" s="27" t="s">
        <v>335</v>
      </c>
      <c r="E170" s="27"/>
      <c r="F170" s="27"/>
      <c r="G170" s="8" t="s">
        <v>13</v>
      </c>
      <c r="H170" s="9">
        <v>36</v>
      </c>
      <c r="I170" s="9">
        <v>25.2</v>
      </c>
      <c r="J170" s="12">
        <f>IF(IFERROR(VLOOKUP(D170,[1]TDSheet!$A:$N,14,0),0)&gt;1,1,IFERROR(VLOOKUP(D170,[1]TDSheet!$A:$N,14,0),0))</f>
        <v>0.65830346475507762</v>
      </c>
      <c r="K170" s="14">
        <f>IFERROR(VLOOKUP(D170,[1]TDSheet!$A:$M,12,0),0)</f>
        <v>17.531818181818181</v>
      </c>
      <c r="L170" s="14">
        <f>IFERROR(VLOOKUP(D170,[1]TDSheet!$A:$M,13,0),0)</f>
        <v>25.045454545454547</v>
      </c>
      <c r="M170" s="14">
        <f t="shared" si="13"/>
        <v>87.659090909090907</v>
      </c>
      <c r="N170" s="14">
        <f t="shared" si="14"/>
        <v>125.22727272727273</v>
      </c>
      <c r="O170" s="17">
        <f t="shared" si="15"/>
        <v>36</v>
      </c>
      <c r="P170" s="17">
        <f t="shared" si="16"/>
        <v>25.2</v>
      </c>
    </row>
    <row r="171" spans="1:16" outlineLevel="2">
      <c r="A171" s="26" t="s">
        <v>336</v>
      </c>
      <c r="B171" s="26"/>
      <c r="C171" s="26"/>
      <c r="D171" s="27" t="s">
        <v>337</v>
      </c>
      <c r="E171" s="27"/>
      <c r="F171" s="27"/>
      <c r="G171" s="8" t="s">
        <v>13</v>
      </c>
      <c r="H171" s="9">
        <v>-19</v>
      </c>
      <c r="I171" s="9">
        <v>-13.3</v>
      </c>
      <c r="J171" s="12">
        <f>IF(IFERROR(VLOOKUP(D171,[1]TDSheet!$A:$N,14,0),0)&gt;1,1,IFERROR(VLOOKUP(D171,[1]TDSheet!$A:$N,14,0),0))</f>
        <v>0.5379413974455296</v>
      </c>
      <c r="K171" s="14">
        <f>IFERROR(VLOOKUP(D171,[1]TDSheet!$A:$M,12,0),0)</f>
        <v>22.781818181818181</v>
      </c>
      <c r="L171" s="14">
        <f>IFERROR(VLOOKUP(D171,[1]TDSheet!$A:$M,13,0),0)</f>
        <v>32.545454545454547</v>
      </c>
      <c r="M171" s="14">
        <f t="shared" si="13"/>
        <v>113.90909090909091</v>
      </c>
      <c r="N171" s="14">
        <f t="shared" si="14"/>
        <v>162.72727272727275</v>
      </c>
      <c r="O171" s="17">
        <v>0</v>
      </c>
      <c r="P171" s="17">
        <v>0</v>
      </c>
    </row>
    <row r="172" spans="1:16" outlineLevel="2">
      <c r="A172" s="26" t="s">
        <v>338</v>
      </c>
      <c r="B172" s="26"/>
      <c r="C172" s="26"/>
      <c r="D172" s="27" t="s">
        <v>339</v>
      </c>
      <c r="E172" s="27"/>
      <c r="F172" s="27"/>
      <c r="G172" s="8" t="s">
        <v>13</v>
      </c>
      <c r="H172" s="9">
        <v>22</v>
      </c>
      <c r="I172" s="9">
        <v>15.4</v>
      </c>
      <c r="J172" s="12">
        <f>IF(IFERROR(VLOOKUP(D172,[1]TDSheet!$A:$N,14,0),0)&gt;1,1,IFERROR(VLOOKUP(D172,[1]TDSheet!$A:$N,14,0),0))</f>
        <v>0.39312977099236635</v>
      </c>
      <c r="K172" s="14">
        <f>IFERROR(VLOOKUP(D172,[1]TDSheet!$A:$M,12,0),0)</f>
        <v>6.5545454545454538</v>
      </c>
      <c r="L172" s="14">
        <f>IFERROR(VLOOKUP(D172,[1]TDSheet!$A:$M,13,0),0)</f>
        <v>9.3636363636363633</v>
      </c>
      <c r="M172" s="14">
        <f t="shared" si="13"/>
        <v>32.772727272727266</v>
      </c>
      <c r="N172" s="14">
        <f t="shared" si="14"/>
        <v>46.818181818181813</v>
      </c>
      <c r="O172" s="17">
        <f t="shared" si="15"/>
        <v>22</v>
      </c>
      <c r="P172" s="17">
        <f t="shared" si="16"/>
        <v>15.4</v>
      </c>
    </row>
    <row r="173" spans="1:16" outlineLevel="2">
      <c r="A173" s="26" t="s">
        <v>340</v>
      </c>
      <c r="B173" s="26"/>
      <c r="C173" s="26"/>
      <c r="D173" s="27" t="s">
        <v>341</v>
      </c>
      <c r="E173" s="27"/>
      <c r="F173" s="27"/>
      <c r="G173" s="8" t="s">
        <v>12</v>
      </c>
      <c r="H173" s="9">
        <v>20</v>
      </c>
      <c r="I173" s="9">
        <v>20</v>
      </c>
      <c r="J173" s="12">
        <f>IF(IFERROR(VLOOKUP(D173,[1]TDSheet!$A:$N,14,0),0)&gt;1,1,IFERROR(VLOOKUP(D173,[1]TDSheet!$A:$N,14,0),0))</f>
        <v>0.77938144329896908</v>
      </c>
      <c r="K173" s="14">
        <f>IFERROR(VLOOKUP(D173,[1]TDSheet!$A:$M,12,0),0)</f>
        <v>85.909090909090907</v>
      </c>
      <c r="L173" s="14">
        <f>IFERROR(VLOOKUP(D173,[1]TDSheet!$A:$M,13,0),0)</f>
        <v>85.909090909090907</v>
      </c>
      <c r="M173" s="14">
        <f t="shared" si="13"/>
        <v>429.5454545454545</v>
      </c>
      <c r="N173" s="14">
        <f t="shared" si="14"/>
        <v>429.5454545454545</v>
      </c>
      <c r="O173" s="17">
        <f t="shared" si="15"/>
        <v>20</v>
      </c>
      <c r="P173" s="17">
        <f t="shared" si="16"/>
        <v>20</v>
      </c>
    </row>
    <row r="174" spans="1:16" outlineLevel="2">
      <c r="A174" s="26" t="s">
        <v>342</v>
      </c>
      <c r="B174" s="26"/>
      <c r="C174" s="26"/>
      <c r="D174" s="27" t="s">
        <v>343</v>
      </c>
      <c r="E174" s="27"/>
      <c r="F174" s="27"/>
      <c r="G174" s="8" t="s">
        <v>13</v>
      </c>
      <c r="H174" s="9">
        <v>19</v>
      </c>
      <c r="I174" s="9">
        <v>7.6</v>
      </c>
      <c r="J174" s="12">
        <f>IF(IFERROR(VLOOKUP(D174,[1]TDSheet!$A:$N,14,0),0)&gt;1,1,IFERROR(VLOOKUP(D174,[1]TDSheet!$A:$N,14,0),0))</f>
        <v>0.48796498905908092</v>
      </c>
      <c r="K174" s="14">
        <f>IFERROR(VLOOKUP(D174,[1]TDSheet!$A:$M,12,0),0)</f>
        <v>4.0545454545454547</v>
      </c>
      <c r="L174" s="14">
        <f>IFERROR(VLOOKUP(D174,[1]TDSheet!$A:$M,13,0),0)</f>
        <v>10.136363636363637</v>
      </c>
      <c r="M174" s="14">
        <f t="shared" si="13"/>
        <v>20.272727272727273</v>
      </c>
      <c r="N174" s="14">
        <f t="shared" si="14"/>
        <v>50.681818181818187</v>
      </c>
      <c r="O174" s="17">
        <f t="shared" si="15"/>
        <v>19</v>
      </c>
      <c r="P174" s="17">
        <f t="shared" si="16"/>
        <v>7.6</v>
      </c>
    </row>
    <row r="175" spans="1:16" outlineLevel="2">
      <c r="A175" s="26" t="s">
        <v>344</v>
      </c>
      <c r="B175" s="26"/>
      <c r="C175" s="26"/>
      <c r="D175" s="27" t="s">
        <v>345</v>
      </c>
      <c r="E175" s="27"/>
      <c r="F175" s="27"/>
      <c r="G175" s="8" t="s">
        <v>13</v>
      </c>
      <c r="H175" s="9">
        <v>511</v>
      </c>
      <c r="I175" s="9">
        <v>357.7</v>
      </c>
      <c r="J175" s="12">
        <f>IF(IFERROR(VLOOKUP(D175,[1]TDSheet!$A:$N,14,0),0)&gt;1,1,IFERROR(VLOOKUP(D175,[1]TDSheet!$A:$N,14,0),0))</f>
        <v>0.60986865459708905</v>
      </c>
      <c r="K175" s="14">
        <f>IFERROR(VLOOKUP(D175,[1]TDSheet!$A:$M,12,0),0)</f>
        <v>54.663636363636357</v>
      </c>
      <c r="L175" s="14">
        <f>IFERROR(VLOOKUP(D175,[1]TDSheet!$A:$M,13,0),0)</f>
        <v>78.090909090909093</v>
      </c>
      <c r="M175" s="14">
        <f t="shared" si="13"/>
        <v>273.31818181818176</v>
      </c>
      <c r="N175" s="14">
        <f t="shared" si="14"/>
        <v>390.4545454545455</v>
      </c>
      <c r="O175" s="17">
        <f t="shared" si="15"/>
        <v>273.31818181818176</v>
      </c>
      <c r="P175" s="17">
        <f t="shared" si="16"/>
        <v>357.7</v>
      </c>
    </row>
    <row r="176" spans="1:16" outlineLevel="2">
      <c r="A176" s="26" t="s">
        <v>346</v>
      </c>
      <c r="B176" s="26"/>
      <c r="C176" s="26"/>
      <c r="D176" s="27" t="s">
        <v>347</v>
      </c>
      <c r="E176" s="27"/>
      <c r="F176" s="27"/>
      <c r="G176" s="8" t="s">
        <v>13</v>
      </c>
      <c r="H176" s="9">
        <v>666</v>
      </c>
      <c r="I176" s="9">
        <v>266.39999999999998</v>
      </c>
      <c r="J176" s="12">
        <f>IF(IFERROR(VLOOKUP(D176,[1]TDSheet!$A:$N,14,0),0)&gt;1,1,IFERROR(VLOOKUP(D176,[1]TDSheet!$A:$N,14,0),0))</f>
        <v>0.44518103008669047</v>
      </c>
      <c r="K176" s="14">
        <f>IFERROR(VLOOKUP(D176,[1]TDSheet!$A:$M,12,0),0)</f>
        <v>15.872727272727273</v>
      </c>
      <c r="L176" s="14">
        <f>IFERROR(VLOOKUP(D176,[1]TDSheet!$A:$M,13,0),0)</f>
        <v>39.68181818181818</v>
      </c>
      <c r="M176" s="14">
        <f t="shared" si="13"/>
        <v>79.36363636363636</v>
      </c>
      <c r="N176" s="14">
        <f t="shared" si="14"/>
        <v>198.40909090909091</v>
      </c>
      <c r="O176" s="17">
        <f t="shared" si="15"/>
        <v>79.36363636363636</v>
      </c>
      <c r="P176" s="17">
        <f t="shared" si="16"/>
        <v>198.40909090909091</v>
      </c>
    </row>
    <row r="177" spans="1:16" outlineLevel="2">
      <c r="A177" s="26" t="s">
        <v>348</v>
      </c>
      <c r="B177" s="26"/>
      <c r="C177" s="26"/>
      <c r="D177" s="27" t="s">
        <v>349</v>
      </c>
      <c r="E177" s="27"/>
      <c r="F177" s="27"/>
      <c r="G177" s="8" t="s">
        <v>13</v>
      </c>
      <c r="H177" s="9">
        <v>325</v>
      </c>
      <c r="I177" s="9">
        <v>227.5</v>
      </c>
      <c r="J177" s="12">
        <f>IF(IFERROR(VLOOKUP(D177,[1]TDSheet!$A:$N,14,0),0)&gt;1,1,IFERROR(VLOOKUP(D177,[1]TDSheet!$A:$N,14,0),0))</f>
        <v>0.46997816593886466</v>
      </c>
      <c r="K177" s="14">
        <f>IFERROR(VLOOKUP(D177,[1]TDSheet!$A:$M,12,0),0)</f>
        <v>54.790909090909096</v>
      </c>
      <c r="L177" s="14">
        <f>IFERROR(VLOOKUP(D177,[1]TDSheet!$A:$M,13,0),0)</f>
        <v>78.272727272727266</v>
      </c>
      <c r="M177" s="14">
        <f t="shared" si="13"/>
        <v>273.9545454545455</v>
      </c>
      <c r="N177" s="14">
        <f t="shared" si="14"/>
        <v>391.36363636363632</v>
      </c>
      <c r="O177" s="17">
        <f t="shared" si="15"/>
        <v>273.9545454545455</v>
      </c>
      <c r="P177" s="17">
        <f t="shared" si="16"/>
        <v>227.5</v>
      </c>
    </row>
    <row r="178" spans="1:16" outlineLevel="2">
      <c r="A178" s="26" t="s">
        <v>350</v>
      </c>
      <c r="B178" s="26"/>
      <c r="C178" s="26"/>
      <c r="D178" s="27" t="s">
        <v>351</v>
      </c>
      <c r="E178" s="27"/>
      <c r="F178" s="27"/>
      <c r="G178" s="8" t="s">
        <v>13</v>
      </c>
      <c r="H178" s="9">
        <v>19</v>
      </c>
      <c r="I178" s="9">
        <v>15.2</v>
      </c>
      <c r="J178" s="12">
        <f>IF(IFERROR(VLOOKUP(D178,[1]TDSheet!$A:$N,14,0),0)&gt;1,1,IFERROR(VLOOKUP(D178,[1]TDSheet!$A:$N,14,0),0))</f>
        <v>0.2510460251046025</v>
      </c>
      <c r="K178" s="14">
        <f>IFERROR(VLOOKUP(D178,[1]TDSheet!$A:$M,12,0),0)</f>
        <v>2.1818181818181817</v>
      </c>
      <c r="L178" s="14">
        <f>IFERROR(VLOOKUP(D178,[1]TDSheet!$A:$M,13,0),0)</f>
        <v>2.7272727272727271</v>
      </c>
      <c r="M178" s="14">
        <f t="shared" si="13"/>
        <v>10.909090909090908</v>
      </c>
      <c r="N178" s="14">
        <f t="shared" si="14"/>
        <v>13.636363636363635</v>
      </c>
      <c r="O178" s="17">
        <f t="shared" si="15"/>
        <v>10.909090909090908</v>
      </c>
      <c r="P178" s="17">
        <f t="shared" si="16"/>
        <v>13.636363636363635</v>
      </c>
    </row>
    <row r="179" spans="1:16" outlineLevel="2">
      <c r="A179" s="26" t="s">
        <v>352</v>
      </c>
      <c r="B179" s="26"/>
      <c r="C179" s="26"/>
      <c r="D179" s="27" t="s">
        <v>353</v>
      </c>
      <c r="E179" s="27"/>
      <c r="F179" s="27"/>
      <c r="G179" s="8" t="s">
        <v>13</v>
      </c>
      <c r="H179" s="9">
        <v>10</v>
      </c>
      <c r="I179" s="9">
        <v>10</v>
      </c>
      <c r="J179" s="12">
        <f>IF(IFERROR(VLOOKUP(D179,[1]TDSheet!$A:$N,14,0),0)&gt;1,1,IFERROR(VLOOKUP(D179,[1]TDSheet!$A:$N,14,0),0))</f>
        <v>0.46423562412342217</v>
      </c>
      <c r="K179" s="14">
        <f>IFERROR(VLOOKUP(D179,[1]TDSheet!$A:$M,12,0),0)</f>
        <v>15.045454545454545</v>
      </c>
      <c r="L179" s="14">
        <f>IFERROR(VLOOKUP(D179,[1]TDSheet!$A:$M,13,0),0)</f>
        <v>15.045454545454545</v>
      </c>
      <c r="M179" s="14">
        <f t="shared" si="13"/>
        <v>75.22727272727272</v>
      </c>
      <c r="N179" s="14">
        <f t="shared" si="14"/>
        <v>75.22727272727272</v>
      </c>
      <c r="O179" s="17">
        <f t="shared" si="15"/>
        <v>10</v>
      </c>
      <c r="P179" s="17">
        <f t="shared" si="16"/>
        <v>10</v>
      </c>
    </row>
    <row r="180" spans="1:16" outlineLevel="2">
      <c r="A180" s="26" t="s">
        <v>354</v>
      </c>
      <c r="B180" s="26"/>
      <c r="C180" s="26"/>
      <c r="D180" s="27" t="s">
        <v>355</v>
      </c>
      <c r="E180" s="27"/>
      <c r="F180" s="27"/>
      <c r="G180" s="8" t="s">
        <v>13</v>
      </c>
      <c r="H180" s="9">
        <v>99</v>
      </c>
      <c r="I180" s="9">
        <v>89.1</v>
      </c>
      <c r="J180" s="12">
        <f>IF(IFERROR(VLOOKUP(D180,[1]TDSheet!$A:$N,14,0),0)&gt;1,1,IFERROR(VLOOKUP(D180,[1]TDSheet!$A:$N,14,0),0))</f>
        <v>0.31597222222222227</v>
      </c>
      <c r="K180" s="14">
        <f>IFERROR(VLOOKUP(D180,[1]TDSheet!$A:$M,12,0),0)</f>
        <v>3.7227272727272731</v>
      </c>
      <c r="L180" s="14">
        <f>IFERROR(VLOOKUP(D180,[1]TDSheet!$A:$M,13,0),0)</f>
        <v>4.1363636363636367</v>
      </c>
      <c r="M180" s="14">
        <f t="shared" si="13"/>
        <v>18.613636363636367</v>
      </c>
      <c r="N180" s="14">
        <f t="shared" si="14"/>
        <v>20.681818181818183</v>
      </c>
      <c r="O180" s="17">
        <f t="shared" si="15"/>
        <v>18.613636363636367</v>
      </c>
      <c r="P180" s="17">
        <f t="shared" si="16"/>
        <v>20.681818181818183</v>
      </c>
    </row>
    <row r="181" spans="1:16" outlineLevel="2">
      <c r="A181" s="26" t="s">
        <v>356</v>
      </c>
      <c r="B181" s="26"/>
      <c r="C181" s="26"/>
      <c r="D181" s="27" t="s">
        <v>357</v>
      </c>
      <c r="E181" s="27"/>
      <c r="F181" s="27"/>
      <c r="G181" s="8" t="s">
        <v>13</v>
      </c>
      <c r="H181" s="9">
        <v>92</v>
      </c>
      <c r="I181" s="9">
        <v>82.8</v>
      </c>
      <c r="J181" s="12">
        <f>IF(IFERROR(VLOOKUP(D181,[1]TDSheet!$A:$N,14,0),0)&gt;1,1,IFERROR(VLOOKUP(D181,[1]TDSheet!$A:$N,14,0),0))</f>
        <v>0.25714285714285712</v>
      </c>
      <c r="K181" s="14">
        <f>IFERROR(VLOOKUP(D181,[1]TDSheet!$A:$M,12,0),0)</f>
        <v>1.8409090909090908</v>
      </c>
      <c r="L181" s="14">
        <f>IFERROR(VLOOKUP(D181,[1]TDSheet!$A:$M,13,0),0)</f>
        <v>2.0454545454545454</v>
      </c>
      <c r="M181" s="14">
        <f t="shared" si="13"/>
        <v>9.2045454545454533</v>
      </c>
      <c r="N181" s="14">
        <f t="shared" si="14"/>
        <v>10.227272727272727</v>
      </c>
      <c r="O181" s="17">
        <f t="shared" si="15"/>
        <v>9.2045454545454533</v>
      </c>
      <c r="P181" s="17">
        <f t="shared" si="16"/>
        <v>10.227272727272727</v>
      </c>
    </row>
    <row r="182" spans="1:16" outlineLevel="2">
      <c r="A182" s="26" t="s">
        <v>358</v>
      </c>
      <c r="B182" s="26"/>
      <c r="C182" s="26"/>
      <c r="D182" s="27" t="s">
        <v>359</v>
      </c>
      <c r="E182" s="27"/>
      <c r="F182" s="27"/>
      <c r="G182" s="8" t="s">
        <v>12</v>
      </c>
      <c r="H182" s="9">
        <v>295</v>
      </c>
      <c r="I182" s="9">
        <v>295</v>
      </c>
      <c r="J182" s="12">
        <f>IF(IFERROR(VLOOKUP(D182,[1]TDSheet!$A:$N,14,0),0)&gt;1,1,IFERROR(VLOOKUP(D182,[1]TDSheet!$A:$N,14,0),0))</f>
        <v>0.23636363636363636</v>
      </c>
      <c r="K182" s="14">
        <f>IFERROR(VLOOKUP(D182,[1]TDSheet!$A:$M,12,0),0)</f>
        <v>8.8636363636363633</v>
      </c>
      <c r="L182" s="14">
        <f>IFERROR(VLOOKUP(D182,[1]TDSheet!$A:$M,13,0),0)</f>
        <v>8.8636363636363633</v>
      </c>
      <c r="M182" s="14">
        <f t="shared" si="13"/>
        <v>44.318181818181813</v>
      </c>
      <c r="N182" s="14">
        <f t="shared" si="14"/>
        <v>44.318181818181813</v>
      </c>
      <c r="O182" s="17">
        <f t="shared" si="15"/>
        <v>44.318181818181813</v>
      </c>
      <c r="P182" s="17">
        <f t="shared" si="16"/>
        <v>44.318181818181813</v>
      </c>
    </row>
    <row r="183" spans="1:16" outlineLevel="2">
      <c r="A183" s="26" t="s">
        <v>360</v>
      </c>
      <c r="B183" s="26"/>
      <c r="C183" s="26"/>
      <c r="D183" s="27" t="s">
        <v>361</v>
      </c>
      <c r="E183" s="27"/>
      <c r="F183" s="27"/>
      <c r="G183" s="8" t="s">
        <v>13</v>
      </c>
      <c r="H183" s="9">
        <v>2</v>
      </c>
      <c r="I183" s="9">
        <v>2</v>
      </c>
      <c r="J183" s="12">
        <f>IF(IFERROR(VLOOKUP(D183,[1]TDSheet!$A:$N,14,0),0)&gt;1,1,IFERROR(VLOOKUP(D183,[1]TDSheet!$A:$N,14,0),0))</f>
        <v>0.17040358744394618</v>
      </c>
      <c r="K183" s="14">
        <f>IFERROR(VLOOKUP(D183,[1]TDSheet!$A:$M,12,0),0)</f>
        <v>1.7272727272727273</v>
      </c>
      <c r="L183" s="14">
        <f>IFERROR(VLOOKUP(D183,[1]TDSheet!$A:$M,13,0),0)</f>
        <v>1.7272727272727273</v>
      </c>
      <c r="M183" s="14">
        <f t="shared" si="13"/>
        <v>8.6363636363636367</v>
      </c>
      <c r="N183" s="14">
        <f t="shared" si="14"/>
        <v>8.6363636363636367</v>
      </c>
      <c r="O183" s="17">
        <f t="shared" si="15"/>
        <v>2</v>
      </c>
      <c r="P183" s="17">
        <f t="shared" si="16"/>
        <v>2</v>
      </c>
    </row>
    <row r="184" spans="1:16" outlineLevel="2">
      <c r="A184" s="26" t="s">
        <v>362</v>
      </c>
      <c r="B184" s="26"/>
      <c r="C184" s="26"/>
      <c r="D184" s="27" t="s">
        <v>363</v>
      </c>
      <c r="E184" s="27"/>
      <c r="F184" s="27"/>
      <c r="G184" s="8" t="s">
        <v>13</v>
      </c>
      <c r="H184" s="9">
        <v>10</v>
      </c>
      <c r="I184" s="9">
        <v>2.2999999999999998</v>
      </c>
      <c r="J184" s="12">
        <f>IF(IFERROR(VLOOKUP(D184,[1]TDSheet!$A:$N,14,0),0)&gt;1,1,IFERROR(VLOOKUP(D184,[1]TDSheet!$A:$N,14,0),0))</f>
        <v>0.86928104575163401</v>
      </c>
      <c r="K184" s="14">
        <f>IFERROR(VLOOKUP(D184,[1]TDSheet!$A:$M,12,0),0)</f>
        <v>1.3904545454545454</v>
      </c>
      <c r="L184" s="14">
        <f>IFERROR(VLOOKUP(D184,[1]TDSheet!$A:$M,13,0),0)</f>
        <v>6.0454545454545459</v>
      </c>
      <c r="M184" s="14">
        <f t="shared" si="13"/>
        <v>6.9522727272727272</v>
      </c>
      <c r="N184" s="14">
        <f t="shared" si="14"/>
        <v>30.22727272727273</v>
      </c>
      <c r="O184" s="17">
        <f t="shared" si="15"/>
        <v>6.9522727272727272</v>
      </c>
      <c r="P184" s="17">
        <f t="shared" si="16"/>
        <v>2.2999999999999998</v>
      </c>
    </row>
    <row r="185" spans="1:16" outlineLevel="2">
      <c r="A185" s="26" t="s">
        <v>364</v>
      </c>
      <c r="B185" s="26"/>
      <c r="C185" s="26"/>
      <c r="D185" s="27" t="s">
        <v>365</v>
      </c>
      <c r="E185" s="27"/>
      <c r="F185" s="27"/>
      <c r="G185" s="8" t="s">
        <v>13</v>
      </c>
      <c r="H185" s="9">
        <v>-60</v>
      </c>
      <c r="I185" s="9">
        <v>-15</v>
      </c>
      <c r="J185" s="12">
        <f>IF(IFERROR(VLOOKUP(D185,[1]TDSheet!$A:$N,14,0),0)&gt;1,1,IFERROR(VLOOKUP(D185,[1]TDSheet!$A:$N,14,0),0))</f>
        <v>0.66270566727605118</v>
      </c>
      <c r="K185" s="14">
        <f>IFERROR(VLOOKUP(D185,[1]TDSheet!$A:$M,12,0),0)</f>
        <v>8.2386363636363633</v>
      </c>
      <c r="L185" s="14">
        <f>IFERROR(VLOOKUP(D185,[1]TDSheet!$A:$M,13,0),0)</f>
        <v>32.954545454545453</v>
      </c>
      <c r="M185" s="14">
        <f t="shared" si="13"/>
        <v>41.193181818181813</v>
      </c>
      <c r="N185" s="14">
        <f t="shared" si="14"/>
        <v>164.77272727272725</v>
      </c>
      <c r="O185" s="17">
        <v>0</v>
      </c>
      <c r="P185" s="17">
        <v>0</v>
      </c>
    </row>
    <row r="186" spans="1:16" outlineLevel="2">
      <c r="A186" s="26" t="s">
        <v>366</v>
      </c>
      <c r="B186" s="26"/>
      <c r="C186" s="26"/>
      <c r="D186" s="27" t="s">
        <v>367</v>
      </c>
      <c r="E186" s="27"/>
      <c r="F186" s="27"/>
      <c r="G186" s="8" t="s">
        <v>13</v>
      </c>
      <c r="H186" s="9">
        <v>8</v>
      </c>
      <c r="I186" s="9">
        <v>2</v>
      </c>
      <c r="J186" s="12">
        <f>IF(IFERROR(VLOOKUP(D186,[1]TDSheet!$A:$N,14,0),0)&gt;1,1,IFERROR(VLOOKUP(D186,[1]TDSheet!$A:$N,14,0),0))</f>
        <v>0.58270106221547802</v>
      </c>
      <c r="K186" s="14">
        <f>IFERROR(VLOOKUP(D186,[1]TDSheet!$A:$M,12,0),0)</f>
        <v>13.090909090909092</v>
      </c>
      <c r="L186" s="14">
        <f>IFERROR(VLOOKUP(D186,[1]TDSheet!$A:$M,13,0),0)</f>
        <v>52.363636363636367</v>
      </c>
      <c r="M186" s="14">
        <f t="shared" si="13"/>
        <v>65.454545454545453</v>
      </c>
      <c r="N186" s="14">
        <f t="shared" si="14"/>
        <v>261.81818181818181</v>
      </c>
      <c r="O186" s="17">
        <f t="shared" si="15"/>
        <v>8</v>
      </c>
      <c r="P186" s="17">
        <f t="shared" si="16"/>
        <v>2</v>
      </c>
    </row>
    <row r="187" spans="1:16" outlineLevel="2">
      <c r="A187" s="26" t="s">
        <v>368</v>
      </c>
      <c r="B187" s="26"/>
      <c r="C187" s="26"/>
      <c r="D187" s="27" t="s">
        <v>369</v>
      </c>
      <c r="E187" s="27"/>
      <c r="F187" s="27"/>
      <c r="G187" s="8" t="s">
        <v>13</v>
      </c>
      <c r="H187" s="9">
        <v>63</v>
      </c>
      <c r="I187" s="9">
        <v>11.34</v>
      </c>
      <c r="J187" s="12">
        <f>IF(IFERROR(VLOOKUP(D187,[1]TDSheet!$A:$N,14,0),0)&gt;1,1,IFERROR(VLOOKUP(D187,[1]TDSheet!$A:$N,14,0),0))</f>
        <v>0.76666666666666661</v>
      </c>
      <c r="K187" s="14">
        <f>IFERROR(VLOOKUP(D187,[1]TDSheet!$A:$M,12,0),0)</f>
        <v>0.18818181818181817</v>
      </c>
      <c r="L187" s="14">
        <f>IFERROR(VLOOKUP(D187,[1]TDSheet!$A:$M,13,0),0)</f>
        <v>1.0454545454545454</v>
      </c>
      <c r="M187" s="14">
        <f t="shared" si="13"/>
        <v>0.94090909090909092</v>
      </c>
      <c r="N187" s="14">
        <f t="shared" si="14"/>
        <v>5.2272727272727266</v>
      </c>
      <c r="O187" s="17">
        <f t="shared" si="15"/>
        <v>0.94090909090909092</v>
      </c>
      <c r="P187" s="17">
        <f t="shared" si="16"/>
        <v>5.2272727272727266</v>
      </c>
    </row>
    <row r="188" spans="1:16" outlineLevel="2">
      <c r="A188" s="26" t="s">
        <v>370</v>
      </c>
      <c r="B188" s="26"/>
      <c r="C188" s="26"/>
      <c r="D188" s="27" t="s">
        <v>371</v>
      </c>
      <c r="E188" s="27"/>
      <c r="F188" s="27"/>
      <c r="G188" s="8" t="s">
        <v>13</v>
      </c>
      <c r="H188" s="9">
        <v>30</v>
      </c>
      <c r="I188" s="9">
        <v>5.4</v>
      </c>
      <c r="J188" s="12">
        <f>IF(IFERROR(VLOOKUP(D188,[1]TDSheet!$A:$N,14,0),0)&gt;1,1,IFERROR(VLOOKUP(D188,[1]TDSheet!$A:$N,14,0),0))</f>
        <v>0.57894736842105265</v>
      </c>
      <c r="K188" s="14">
        <f>IFERROR(VLOOKUP(D188,[1]TDSheet!$A:$M,12,0),0)</f>
        <v>0.09</v>
      </c>
      <c r="L188" s="14">
        <f>IFERROR(VLOOKUP(D188,[1]TDSheet!$A:$M,13,0),0)</f>
        <v>0.5</v>
      </c>
      <c r="M188" s="14">
        <f t="shared" si="13"/>
        <v>0.44999999999999996</v>
      </c>
      <c r="N188" s="14">
        <f t="shared" si="14"/>
        <v>2.5</v>
      </c>
      <c r="O188" s="17">
        <f t="shared" si="15"/>
        <v>0.44999999999999996</v>
      </c>
      <c r="P188" s="17">
        <f t="shared" si="16"/>
        <v>2.5</v>
      </c>
    </row>
    <row r="189" spans="1:16" outlineLevel="2">
      <c r="A189" s="26" t="s">
        <v>372</v>
      </c>
      <c r="B189" s="26"/>
      <c r="C189" s="26"/>
      <c r="D189" s="27" t="s">
        <v>373</v>
      </c>
      <c r="E189" s="27"/>
      <c r="F189" s="27"/>
      <c r="G189" s="8" t="s">
        <v>13</v>
      </c>
      <c r="H189" s="9">
        <v>33</v>
      </c>
      <c r="I189" s="9">
        <v>5.94</v>
      </c>
      <c r="J189" s="12">
        <f>IF(IFERROR(VLOOKUP(D189,[1]TDSheet!$A:$N,14,0),0)&gt;1,1,IFERROR(VLOOKUP(D189,[1]TDSheet!$A:$N,14,0),0))</f>
        <v>0.63157894736842113</v>
      </c>
      <c r="K189" s="14">
        <f>IFERROR(VLOOKUP(D189,[1]TDSheet!$A:$M,12,0),0)</f>
        <v>9.818181818181819E-2</v>
      </c>
      <c r="L189" s="14">
        <f>IFERROR(VLOOKUP(D189,[1]TDSheet!$A:$M,13,0),0)</f>
        <v>0.54545454545454541</v>
      </c>
      <c r="M189" s="14">
        <f t="shared" si="13"/>
        <v>0.49090909090909096</v>
      </c>
      <c r="N189" s="14">
        <f t="shared" si="14"/>
        <v>2.7272727272727271</v>
      </c>
      <c r="O189" s="17">
        <f t="shared" si="15"/>
        <v>0.49090909090909096</v>
      </c>
      <c r="P189" s="17">
        <f t="shared" si="16"/>
        <v>2.7272727272727271</v>
      </c>
    </row>
    <row r="190" spans="1:16" outlineLevel="2">
      <c r="A190" s="26" t="s">
        <v>374</v>
      </c>
      <c r="B190" s="26"/>
      <c r="C190" s="26"/>
      <c r="D190" s="27" t="s">
        <v>375</v>
      </c>
      <c r="E190" s="27"/>
      <c r="F190" s="27"/>
      <c r="G190" s="8" t="s">
        <v>13</v>
      </c>
      <c r="H190" s="9">
        <v>478</v>
      </c>
      <c r="I190" s="9">
        <v>143.4</v>
      </c>
      <c r="J190" s="12">
        <f>IF(IFERROR(VLOOKUP(D190,[1]TDSheet!$A:$N,14,0),0)&gt;1,1,IFERROR(VLOOKUP(D190,[1]TDSheet!$A:$N,14,0),0))</f>
        <v>0.29702970297029702</v>
      </c>
      <c r="K190" s="14">
        <f>IFERROR(VLOOKUP(D190,[1]TDSheet!$A:$M,12,0),0)</f>
        <v>6.1363636363636367</v>
      </c>
      <c r="L190" s="14">
        <f>IFERROR(VLOOKUP(D190,[1]TDSheet!$A:$M,13,0),0)</f>
        <v>20.454545454545453</v>
      </c>
      <c r="M190" s="14">
        <f t="shared" si="13"/>
        <v>30.681818181818183</v>
      </c>
      <c r="N190" s="14">
        <f t="shared" si="14"/>
        <v>102.27272727272727</v>
      </c>
      <c r="O190" s="17">
        <f t="shared" si="15"/>
        <v>30.681818181818183</v>
      </c>
      <c r="P190" s="17">
        <f t="shared" si="16"/>
        <v>102.27272727272727</v>
      </c>
    </row>
    <row r="191" spans="1:16" outlineLevel="2">
      <c r="A191" s="26" t="s">
        <v>376</v>
      </c>
      <c r="B191" s="26"/>
      <c r="C191" s="26"/>
      <c r="D191" s="27" t="s">
        <v>377</v>
      </c>
      <c r="E191" s="27"/>
      <c r="F191" s="27"/>
      <c r="G191" s="8" t="s">
        <v>13</v>
      </c>
      <c r="H191" s="9">
        <v>66</v>
      </c>
      <c r="I191" s="9">
        <v>19.8</v>
      </c>
      <c r="J191" s="12">
        <f>IF(IFERROR(VLOOKUP(D191,[1]TDSheet!$A:$N,14,0),0)&gt;1,1,IFERROR(VLOOKUP(D191,[1]TDSheet!$A:$N,14,0),0))</f>
        <v>0.35078534031413611</v>
      </c>
      <c r="K191" s="14">
        <f>IFERROR(VLOOKUP(D191,[1]TDSheet!$A:$M,12,0),0)</f>
        <v>8.2227272727272727</v>
      </c>
      <c r="L191" s="14">
        <f>IFERROR(VLOOKUP(D191,[1]TDSheet!$A:$M,13,0),0)</f>
        <v>27.40909090909091</v>
      </c>
      <c r="M191" s="14">
        <f t="shared" si="13"/>
        <v>41.11363636363636</v>
      </c>
      <c r="N191" s="14">
        <f t="shared" si="14"/>
        <v>137.04545454545456</v>
      </c>
      <c r="O191" s="17">
        <f t="shared" si="15"/>
        <v>41.11363636363636</v>
      </c>
      <c r="P191" s="17">
        <f t="shared" si="16"/>
        <v>19.8</v>
      </c>
    </row>
    <row r="192" spans="1:16" outlineLevel="2">
      <c r="A192" s="26" t="s">
        <v>378</v>
      </c>
      <c r="B192" s="26"/>
      <c r="C192" s="26"/>
      <c r="D192" s="27" t="s">
        <v>379</v>
      </c>
      <c r="E192" s="27"/>
      <c r="F192" s="27"/>
      <c r="G192" s="8" t="s">
        <v>13</v>
      </c>
      <c r="H192" s="9">
        <v>368</v>
      </c>
      <c r="I192" s="9">
        <v>110.4</v>
      </c>
      <c r="J192" s="12">
        <f>IF(IFERROR(VLOOKUP(D192,[1]TDSheet!$A:$N,14,0),0)&gt;1,1,IFERROR(VLOOKUP(D192,[1]TDSheet!$A:$N,14,0),0))</f>
        <v>0.75524475524475521</v>
      </c>
      <c r="K192" s="14">
        <f>IFERROR(VLOOKUP(D192,[1]TDSheet!$A:$M,12,0),0)</f>
        <v>7.3636363636363633</v>
      </c>
      <c r="L192" s="14">
        <f>IFERROR(VLOOKUP(D192,[1]TDSheet!$A:$M,13,0),0)</f>
        <v>24.545454545454547</v>
      </c>
      <c r="M192" s="14">
        <f t="shared" si="13"/>
        <v>36.818181818181813</v>
      </c>
      <c r="N192" s="14">
        <f t="shared" si="14"/>
        <v>122.72727272727273</v>
      </c>
      <c r="O192" s="17">
        <f t="shared" si="15"/>
        <v>36.818181818181813</v>
      </c>
      <c r="P192" s="17">
        <f t="shared" si="16"/>
        <v>110.4</v>
      </c>
    </row>
    <row r="193" spans="1:16" outlineLevel="2">
      <c r="A193" s="26" t="s">
        <v>380</v>
      </c>
      <c r="B193" s="26"/>
      <c r="C193" s="26"/>
      <c r="D193" s="27" t="s">
        <v>381</v>
      </c>
      <c r="E193" s="27"/>
      <c r="F193" s="27"/>
      <c r="G193" s="8" t="s">
        <v>13</v>
      </c>
      <c r="H193" s="9">
        <v>-12</v>
      </c>
      <c r="I193" s="9">
        <v>-2.64</v>
      </c>
      <c r="J193" s="12">
        <f>IF(IFERROR(VLOOKUP(D193,[1]TDSheet!$A:$N,14,0),0)&gt;1,1,IFERROR(VLOOKUP(D193,[1]TDSheet!$A:$N,14,0),0))</f>
        <v>0.26136363636363635</v>
      </c>
      <c r="K193" s="14">
        <f>IFERROR(VLOOKUP(D193,[1]TDSheet!$A:$M,12,0),0)</f>
        <v>0.69</v>
      </c>
      <c r="L193" s="14">
        <f>IFERROR(VLOOKUP(D193,[1]TDSheet!$A:$M,13,0),0)</f>
        <v>3.1363636363636362</v>
      </c>
      <c r="M193" s="14">
        <f t="shared" si="13"/>
        <v>3.4499999999999997</v>
      </c>
      <c r="N193" s="14">
        <f t="shared" si="14"/>
        <v>15.681818181818182</v>
      </c>
      <c r="O193" s="17">
        <v>0</v>
      </c>
      <c r="P193" s="17">
        <v>0</v>
      </c>
    </row>
    <row r="194" spans="1:16" outlineLevel="2">
      <c r="A194" s="26" t="s">
        <v>382</v>
      </c>
      <c r="B194" s="26"/>
      <c r="C194" s="26"/>
      <c r="D194" s="27" t="s">
        <v>383</v>
      </c>
      <c r="E194" s="27"/>
      <c r="F194" s="27"/>
      <c r="G194" s="8" t="s">
        <v>13</v>
      </c>
      <c r="H194" s="9">
        <v>555</v>
      </c>
      <c r="I194" s="9">
        <v>138.75</v>
      </c>
      <c r="J194" s="12">
        <f>IF(IFERROR(VLOOKUP(D194,[1]TDSheet!$A:$N,14,0),0)&gt;1,1,IFERROR(VLOOKUP(D194,[1]TDSheet!$A:$N,14,0),0))</f>
        <v>0.50017476406850747</v>
      </c>
      <c r="K194" s="14">
        <f>IFERROR(VLOOKUP(D194,[1]TDSheet!$A:$M,12,0),0)</f>
        <v>16.261363636363637</v>
      </c>
      <c r="L194" s="14">
        <f>IFERROR(VLOOKUP(D194,[1]TDSheet!$A:$M,13,0),0)</f>
        <v>65.045454545454547</v>
      </c>
      <c r="M194" s="14">
        <f t="shared" si="13"/>
        <v>81.306818181818187</v>
      </c>
      <c r="N194" s="14">
        <f t="shared" si="14"/>
        <v>325.22727272727275</v>
      </c>
      <c r="O194" s="17">
        <f t="shared" si="15"/>
        <v>81.306818181818187</v>
      </c>
      <c r="P194" s="17">
        <f t="shared" si="16"/>
        <v>138.75</v>
      </c>
    </row>
    <row r="195" spans="1:16" outlineLevel="2">
      <c r="A195" s="26" t="s">
        <v>384</v>
      </c>
      <c r="B195" s="26"/>
      <c r="C195" s="26"/>
      <c r="D195" s="27" t="s">
        <v>385</v>
      </c>
      <c r="E195" s="27"/>
      <c r="F195" s="27"/>
      <c r="G195" s="8" t="s">
        <v>13</v>
      </c>
      <c r="H195" s="9">
        <v>920</v>
      </c>
      <c r="I195" s="9">
        <v>230</v>
      </c>
      <c r="J195" s="12">
        <f>IF(IFERROR(VLOOKUP(D195,[1]TDSheet!$A:$N,14,0),0)&gt;1,1,IFERROR(VLOOKUP(D195,[1]TDSheet!$A:$N,14,0),0))</f>
        <v>0.58520437535981573</v>
      </c>
      <c r="K195" s="14">
        <f>IFERROR(VLOOKUP(D195,[1]TDSheet!$A:$M,12,0),0)</f>
        <v>23.102272727272727</v>
      </c>
      <c r="L195" s="14">
        <f>IFERROR(VLOOKUP(D195,[1]TDSheet!$A:$M,13,0),0)</f>
        <v>92.409090909090907</v>
      </c>
      <c r="M195" s="14">
        <f t="shared" si="13"/>
        <v>115.51136363636363</v>
      </c>
      <c r="N195" s="14">
        <f t="shared" si="14"/>
        <v>462.0454545454545</v>
      </c>
      <c r="O195" s="17">
        <f t="shared" si="15"/>
        <v>115.51136363636363</v>
      </c>
      <c r="P195" s="17">
        <f t="shared" si="16"/>
        <v>230</v>
      </c>
    </row>
    <row r="196" spans="1:16" outlineLevel="2">
      <c r="A196" s="26" t="s">
        <v>386</v>
      </c>
      <c r="B196" s="26"/>
      <c r="C196" s="26"/>
      <c r="D196" s="27" t="s">
        <v>387</v>
      </c>
      <c r="E196" s="27"/>
      <c r="F196" s="27"/>
      <c r="G196" s="8" t="s">
        <v>13</v>
      </c>
      <c r="H196" s="9">
        <v>95</v>
      </c>
      <c r="I196" s="9">
        <v>19</v>
      </c>
      <c r="J196" s="12">
        <f>IF(IFERROR(VLOOKUP(D196,[1]TDSheet!$A:$N,14,0),0)&gt;1,1,IFERROR(VLOOKUP(D196,[1]TDSheet!$A:$N,14,0),0))</f>
        <v>0.44444444444444442</v>
      </c>
      <c r="K196" s="14">
        <f>IFERROR(VLOOKUP(D196,[1]TDSheet!$A:$M,12,0),0)</f>
        <v>1.4545454545454546</v>
      </c>
      <c r="L196" s="14">
        <f>IFERROR(VLOOKUP(D196,[1]TDSheet!$A:$M,13,0),0)</f>
        <v>7.2727272727272725</v>
      </c>
      <c r="M196" s="14">
        <f t="shared" si="13"/>
        <v>7.2727272727272734</v>
      </c>
      <c r="N196" s="14">
        <f t="shared" si="14"/>
        <v>36.36363636363636</v>
      </c>
      <c r="O196" s="17">
        <f t="shared" si="15"/>
        <v>7.2727272727272734</v>
      </c>
      <c r="P196" s="17">
        <f t="shared" si="16"/>
        <v>19</v>
      </c>
    </row>
    <row r="197" spans="1:16" outlineLevel="2">
      <c r="A197" s="26" t="s">
        <v>388</v>
      </c>
      <c r="B197" s="26"/>
      <c r="C197" s="26"/>
      <c r="D197" s="27" t="s">
        <v>389</v>
      </c>
      <c r="E197" s="27"/>
      <c r="F197" s="27"/>
      <c r="G197" s="8" t="s">
        <v>13</v>
      </c>
      <c r="H197" s="9">
        <v>-7</v>
      </c>
      <c r="I197" s="9">
        <v>-1.61</v>
      </c>
      <c r="J197" s="12">
        <f>IF(IFERROR(VLOOKUP(D197,[1]TDSheet!$A:$N,14,0),0)&gt;1,1,IFERROR(VLOOKUP(D197,[1]TDSheet!$A:$N,14,0),0))</f>
        <v>0.64529914529914523</v>
      </c>
      <c r="K197" s="14">
        <f>IFERROR(VLOOKUP(D197,[1]TDSheet!$A:$M,12,0),0)</f>
        <v>3.1572727272727268</v>
      </c>
      <c r="L197" s="14">
        <f>IFERROR(VLOOKUP(D197,[1]TDSheet!$A:$M,13,0),0)</f>
        <v>13.727272727272727</v>
      </c>
      <c r="M197" s="14">
        <f t="shared" si="13"/>
        <v>15.786363636363633</v>
      </c>
      <c r="N197" s="14">
        <f t="shared" si="14"/>
        <v>68.636363636363626</v>
      </c>
      <c r="O197" s="17">
        <v>0</v>
      </c>
      <c r="P197" s="17">
        <v>0</v>
      </c>
    </row>
    <row r="198" spans="1:16" outlineLevel="2">
      <c r="A198" s="26" t="s">
        <v>390</v>
      </c>
      <c r="B198" s="26"/>
      <c r="C198" s="26"/>
      <c r="D198" s="27" t="s">
        <v>391</v>
      </c>
      <c r="E198" s="27"/>
      <c r="F198" s="27"/>
      <c r="G198" s="8" t="s">
        <v>13</v>
      </c>
      <c r="H198" s="9">
        <v>-11</v>
      </c>
      <c r="I198" s="9">
        <v>-2.5299999999999998</v>
      </c>
      <c r="J198" s="12">
        <f>IF(IFERROR(VLOOKUP(D198,[1]TDSheet!$A:$N,14,0),0)&gt;1,1,IFERROR(VLOOKUP(D198,[1]TDSheet!$A:$N,14,0),0))</f>
        <v>0.29707112970711297</v>
      </c>
      <c r="K198" s="14">
        <f>IFERROR(VLOOKUP(D198,[1]TDSheet!$A:$M,12,0),0)</f>
        <v>1.4845454545454544</v>
      </c>
      <c r="L198" s="14">
        <f>IFERROR(VLOOKUP(D198,[1]TDSheet!$A:$M,13,0),0)</f>
        <v>6.4545454545454541</v>
      </c>
      <c r="M198" s="14">
        <f t="shared" si="13"/>
        <v>7.422727272727272</v>
      </c>
      <c r="N198" s="14">
        <f t="shared" si="14"/>
        <v>32.272727272727273</v>
      </c>
      <c r="O198" s="17">
        <v>0</v>
      </c>
      <c r="P198" s="17">
        <v>0</v>
      </c>
    </row>
  </sheetData>
  <autoFilter ref="A9:P198">
    <filterColumn colId="0" showButton="0"/>
    <filterColumn colId="1" showButton="0"/>
    <filterColumn colId="3" showButton="0"/>
    <filterColumn colId="4" showButton="0"/>
  </autoFilter>
  <mergeCells count="385">
    <mergeCell ref="M5:N5"/>
    <mergeCell ref="O6:P6"/>
    <mergeCell ref="A194:C194"/>
    <mergeCell ref="D194:F194"/>
    <mergeCell ref="A195:C195"/>
    <mergeCell ref="D195:F195"/>
    <mergeCell ref="A196:C196"/>
    <mergeCell ref="D196:F196"/>
    <mergeCell ref="A197:C197"/>
    <mergeCell ref="D197:F197"/>
    <mergeCell ref="A184:C184"/>
    <mergeCell ref="D184:F184"/>
    <mergeCell ref="A185:C185"/>
    <mergeCell ref="D185:F185"/>
    <mergeCell ref="A186:C186"/>
    <mergeCell ref="D186:F186"/>
    <mergeCell ref="A187:C187"/>
    <mergeCell ref="D187:F187"/>
    <mergeCell ref="A188:C188"/>
    <mergeCell ref="D188:F188"/>
    <mergeCell ref="A179:C179"/>
    <mergeCell ref="D179:F179"/>
    <mergeCell ref="A180:C180"/>
    <mergeCell ref="D180:F180"/>
    <mergeCell ref="A198:C198"/>
    <mergeCell ref="D198:F198"/>
    <mergeCell ref="A189:C189"/>
    <mergeCell ref="D189:F189"/>
    <mergeCell ref="A190:C190"/>
    <mergeCell ref="D190:F190"/>
    <mergeCell ref="A191:C191"/>
    <mergeCell ref="D191:F191"/>
    <mergeCell ref="A192:C192"/>
    <mergeCell ref="D192:F192"/>
    <mergeCell ref="A193:C193"/>
    <mergeCell ref="D193:F193"/>
    <mergeCell ref="A181:C181"/>
    <mergeCell ref="D181:F181"/>
    <mergeCell ref="A182:C182"/>
    <mergeCell ref="D182:F182"/>
    <mergeCell ref="A183:C183"/>
    <mergeCell ref="D183:F183"/>
    <mergeCell ref="A174:C174"/>
    <mergeCell ref="D174:F174"/>
    <mergeCell ref="A175:C175"/>
    <mergeCell ref="D175:F175"/>
    <mergeCell ref="A176:C176"/>
    <mergeCell ref="D176:F176"/>
    <mergeCell ref="A177:C177"/>
    <mergeCell ref="D177:F177"/>
    <mergeCell ref="A178:C178"/>
    <mergeCell ref="D178:F178"/>
    <mergeCell ref="A169:C169"/>
    <mergeCell ref="D169:F169"/>
    <mergeCell ref="A170:C170"/>
    <mergeCell ref="D170:F170"/>
    <mergeCell ref="A171:C171"/>
    <mergeCell ref="D171:F171"/>
    <mergeCell ref="A172:C172"/>
    <mergeCell ref="D172:F172"/>
    <mergeCell ref="A173:C173"/>
    <mergeCell ref="D173:F173"/>
    <mergeCell ref="A164:C164"/>
    <mergeCell ref="D164:F164"/>
    <mergeCell ref="A165:C165"/>
    <mergeCell ref="D165:F165"/>
    <mergeCell ref="A166:C166"/>
    <mergeCell ref="D166:F166"/>
    <mergeCell ref="A167:C167"/>
    <mergeCell ref="D167:F167"/>
    <mergeCell ref="A168:C168"/>
    <mergeCell ref="D168:F168"/>
    <mergeCell ref="A159:C159"/>
    <mergeCell ref="D159:F159"/>
    <mergeCell ref="A160:C160"/>
    <mergeCell ref="D160:F160"/>
    <mergeCell ref="A161:C161"/>
    <mergeCell ref="D161:F161"/>
    <mergeCell ref="A162:C162"/>
    <mergeCell ref="D162:F162"/>
    <mergeCell ref="A163:C163"/>
    <mergeCell ref="D163:F163"/>
    <mergeCell ref="A154:C154"/>
    <mergeCell ref="D154:F154"/>
    <mergeCell ref="A155:C155"/>
    <mergeCell ref="D155:F155"/>
    <mergeCell ref="A156:C156"/>
    <mergeCell ref="D156:F156"/>
    <mergeCell ref="A157:C157"/>
    <mergeCell ref="D157:F157"/>
    <mergeCell ref="A158:C158"/>
    <mergeCell ref="D158:F158"/>
    <mergeCell ref="A149:C149"/>
    <mergeCell ref="D149:F149"/>
    <mergeCell ref="A150:C150"/>
    <mergeCell ref="D150:F150"/>
    <mergeCell ref="A151:C151"/>
    <mergeCell ref="D151:F151"/>
    <mergeCell ref="A152:C152"/>
    <mergeCell ref="D152:F152"/>
    <mergeCell ref="A153:C153"/>
    <mergeCell ref="D153:F153"/>
    <mergeCell ref="A144:C144"/>
    <mergeCell ref="D144:F144"/>
    <mergeCell ref="A145:C145"/>
    <mergeCell ref="D145:F145"/>
    <mergeCell ref="A146:C146"/>
    <mergeCell ref="D146:F146"/>
    <mergeCell ref="A147:C147"/>
    <mergeCell ref="D147:F147"/>
    <mergeCell ref="A148:C148"/>
    <mergeCell ref="D148:F148"/>
    <mergeCell ref="A139:C139"/>
    <mergeCell ref="D139:F139"/>
    <mergeCell ref="A140:C140"/>
    <mergeCell ref="D140:F140"/>
    <mergeCell ref="A141:C141"/>
    <mergeCell ref="D141:F141"/>
    <mergeCell ref="A142:C142"/>
    <mergeCell ref="D142:F142"/>
    <mergeCell ref="A143:C143"/>
    <mergeCell ref="D143:F143"/>
    <mergeCell ref="A134:C134"/>
    <mergeCell ref="D134:F134"/>
    <mergeCell ref="A135:C135"/>
    <mergeCell ref="D135:F135"/>
    <mergeCell ref="A136:C136"/>
    <mergeCell ref="D136:F136"/>
    <mergeCell ref="A137:C137"/>
    <mergeCell ref="D137:F137"/>
    <mergeCell ref="A138:C138"/>
    <mergeCell ref="D138:F138"/>
    <mergeCell ref="A129:C129"/>
    <mergeCell ref="D129:F129"/>
    <mergeCell ref="A130:C130"/>
    <mergeCell ref="D130:F130"/>
    <mergeCell ref="A131:C131"/>
    <mergeCell ref="D131:F131"/>
    <mergeCell ref="A132:C132"/>
    <mergeCell ref="D132:F132"/>
    <mergeCell ref="A133:C133"/>
    <mergeCell ref="D133:F133"/>
    <mergeCell ref="A124:C124"/>
    <mergeCell ref="D124:F124"/>
    <mergeCell ref="A125:C125"/>
    <mergeCell ref="D125:F125"/>
    <mergeCell ref="A126:C126"/>
    <mergeCell ref="D126:F126"/>
    <mergeCell ref="A127:C127"/>
    <mergeCell ref="D127:F127"/>
    <mergeCell ref="A128:C128"/>
    <mergeCell ref="D128:F128"/>
    <mergeCell ref="A119:C119"/>
    <mergeCell ref="D119:F119"/>
    <mergeCell ref="A120:C120"/>
    <mergeCell ref="D120:F120"/>
    <mergeCell ref="A121:C121"/>
    <mergeCell ref="D121:F121"/>
    <mergeCell ref="A122:C122"/>
    <mergeCell ref="D122:F122"/>
    <mergeCell ref="A123:C123"/>
    <mergeCell ref="D123:F123"/>
    <mergeCell ref="A114:C114"/>
    <mergeCell ref="D114:F114"/>
    <mergeCell ref="A115:C115"/>
    <mergeCell ref="D115:F115"/>
    <mergeCell ref="A116:C116"/>
    <mergeCell ref="D116:F116"/>
    <mergeCell ref="A117:C117"/>
    <mergeCell ref="D117:F117"/>
    <mergeCell ref="A118:C118"/>
    <mergeCell ref="D118:F118"/>
    <mergeCell ref="A109:C109"/>
    <mergeCell ref="D109:F109"/>
    <mergeCell ref="A110:C110"/>
    <mergeCell ref="D110:F110"/>
    <mergeCell ref="A111:C111"/>
    <mergeCell ref="D111:F111"/>
    <mergeCell ref="A112:C112"/>
    <mergeCell ref="D112:F112"/>
    <mergeCell ref="A113:C113"/>
    <mergeCell ref="D113:F113"/>
    <mergeCell ref="A104:C104"/>
    <mergeCell ref="D104:F104"/>
    <mergeCell ref="A105:C105"/>
    <mergeCell ref="D105:F105"/>
    <mergeCell ref="A106:C106"/>
    <mergeCell ref="D106:F106"/>
    <mergeCell ref="A107:C107"/>
    <mergeCell ref="D107:F107"/>
    <mergeCell ref="A108:C108"/>
    <mergeCell ref="D108:F108"/>
    <mergeCell ref="A99:C99"/>
    <mergeCell ref="D99:F99"/>
    <mergeCell ref="A100:C100"/>
    <mergeCell ref="D100:F100"/>
    <mergeCell ref="A101:C101"/>
    <mergeCell ref="D101:F101"/>
    <mergeCell ref="A102:C102"/>
    <mergeCell ref="D102:F102"/>
    <mergeCell ref="A103:C103"/>
    <mergeCell ref="D103:F103"/>
    <mergeCell ref="A94:C94"/>
    <mergeCell ref="D94:F94"/>
    <mergeCell ref="A95:C95"/>
    <mergeCell ref="D95:F95"/>
    <mergeCell ref="A96:C96"/>
    <mergeCell ref="D96:F96"/>
    <mergeCell ref="A97:C97"/>
    <mergeCell ref="D97:F97"/>
    <mergeCell ref="A98:C98"/>
    <mergeCell ref="D98:F98"/>
    <mergeCell ref="A89:C89"/>
    <mergeCell ref="D89:F89"/>
    <mergeCell ref="A90:C90"/>
    <mergeCell ref="D90:F90"/>
    <mergeCell ref="A91:C91"/>
    <mergeCell ref="D91:F91"/>
    <mergeCell ref="A92:C92"/>
    <mergeCell ref="D92:F92"/>
    <mergeCell ref="A93:C93"/>
    <mergeCell ref="D93:F93"/>
    <mergeCell ref="A84:C84"/>
    <mergeCell ref="D84:F84"/>
    <mergeCell ref="A85:C85"/>
    <mergeCell ref="D85:F85"/>
    <mergeCell ref="A86:C86"/>
    <mergeCell ref="D86:F86"/>
    <mergeCell ref="A87:C87"/>
    <mergeCell ref="D87:F87"/>
    <mergeCell ref="A88:C88"/>
    <mergeCell ref="D88:F88"/>
    <mergeCell ref="A79:C79"/>
    <mergeCell ref="D79:F79"/>
    <mergeCell ref="A80:C80"/>
    <mergeCell ref="D80:F80"/>
    <mergeCell ref="A81:C81"/>
    <mergeCell ref="D81:F81"/>
    <mergeCell ref="A82:C82"/>
    <mergeCell ref="D82:F82"/>
    <mergeCell ref="A83:C83"/>
    <mergeCell ref="D83:F83"/>
    <mergeCell ref="A74:C74"/>
    <mergeCell ref="D74:F74"/>
    <mergeCell ref="A75:C75"/>
    <mergeCell ref="D75:F75"/>
    <mergeCell ref="A76:C76"/>
    <mergeCell ref="D76:F76"/>
    <mergeCell ref="A77:C77"/>
    <mergeCell ref="D77:F77"/>
    <mergeCell ref="A78:C78"/>
    <mergeCell ref="D78:F78"/>
    <mergeCell ref="A69:C69"/>
    <mergeCell ref="D69:F69"/>
    <mergeCell ref="A70:C70"/>
    <mergeCell ref="D70:F70"/>
    <mergeCell ref="A71:C71"/>
    <mergeCell ref="D71:F71"/>
    <mergeCell ref="A72:C72"/>
    <mergeCell ref="D72:F72"/>
    <mergeCell ref="A73:C73"/>
    <mergeCell ref="D73:F73"/>
    <mergeCell ref="A64:C64"/>
    <mergeCell ref="D64:F64"/>
    <mergeCell ref="A65:C65"/>
    <mergeCell ref="D65:F65"/>
    <mergeCell ref="A66:C66"/>
    <mergeCell ref="D66:F66"/>
    <mergeCell ref="A67:C67"/>
    <mergeCell ref="D67:F67"/>
    <mergeCell ref="A68:C68"/>
    <mergeCell ref="D68:F68"/>
    <mergeCell ref="A59:C59"/>
    <mergeCell ref="D59:F59"/>
    <mergeCell ref="A60:C60"/>
    <mergeCell ref="D60:F60"/>
    <mergeCell ref="A61:C61"/>
    <mergeCell ref="D61:F61"/>
    <mergeCell ref="A62:C62"/>
    <mergeCell ref="D62:F62"/>
    <mergeCell ref="A63:C63"/>
    <mergeCell ref="D63:F63"/>
    <mergeCell ref="A54:C54"/>
    <mergeCell ref="D54:F54"/>
    <mergeCell ref="A55:C55"/>
    <mergeCell ref="D55:F55"/>
    <mergeCell ref="A56:C56"/>
    <mergeCell ref="D56:F56"/>
    <mergeCell ref="A57:C57"/>
    <mergeCell ref="D57:F57"/>
    <mergeCell ref="A58:C58"/>
    <mergeCell ref="D58:F58"/>
    <mergeCell ref="A49:C49"/>
    <mergeCell ref="D49:F49"/>
    <mergeCell ref="A50:C50"/>
    <mergeCell ref="D50:F50"/>
    <mergeCell ref="A51:C51"/>
    <mergeCell ref="D51:F51"/>
    <mergeCell ref="A52:C52"/>
    <mergeCell ref="D52:F52"/>
    <mergeCell ref="A53:C53"/>
    <mergeCell ref="D53:F53"/>
    <mergeCell ref="A44:C44"/>
    <mergeCell ref="D44:F44"/>
    <mergeCell ref="A45:C45"/>
    <mergeCell ref="D45:F45"/>
    <mergeCell ref="A46:C46"/>
    <mergeCell ref="D46:F46"/>
    <mergeCell ref="A47:C47"/>
    <mergeCell ref="D47:F47"/>
    <mergeCell ref="A48:C48"/>
    <mergeCell ref="D48:F48"/>
    <mergeCell ref="A39:C39"/>
    <mergeCell ref="D39:F39"/>
    <mergeCell ref="A40:C40"/>
    <mergeCell ref="D40:F40"/>
    <mergeCell ref="A41:C41"/>
    <mergeCell ref="D41:F41"/>
    <mergeCell ref="A42:C42"/>
    <mergeCell ref="D42:F42"/>
    <mergeCell ref="A43:C43"/>
    <mergeCell ref="D43:F43"/>
    <mergeCell ref="A34:C34"/>
    <mergeCell ref="D34:F34"/>
    <mergeCell ref="A35:C35"/>
    <mergeCell ref="D35:F35"/>
    <mergeCell ref="A36:C36"/>
    <mergeCell ref="D36:F36"/>
    <mergeCell ref="A37:C37"/>
    <mergeCell ref="D37:F37"/>
    <mergeCell ref="A38:C38"/>
    <mergeCell ref="D38:F38"/>
    <mergeCell ref="A29:C29"/>
    <mergeCell ref="D29:F29"/>
    <mergeCell ref="A30:C30"/>
    <mergeCell ref="D30:F30"/>
    <mergeCell ref="A31:C31"/>
    <mergeCell ref="D31:F31"/>
    <mergeCell ref="A32:C32"/>
    <mergeCell ref="D32:F32"/>
    <mergeCell ref="A33:C33"/>
    <mergeCell ref="D33:F33"/>
    <mergeCell ref="A24:C24"/>
    <mergeCell ref="D24:F24"/>
    <mergeCell ref="A25:C25"/>
    <mergeCell ref="D25:F25"/>
    <mergeCell ref="A26:C26"/>
    <mergeCell ref="D26:F26"/>
    <mergeCell ref="A27:C27"/>
    <mergeCell ref="D27:F27"/>
    <mergeCell ref="A28:C28"/>
    <mergeCell ref="D28:F28"/>
    <mergeCell ref="A19:C19"/>
    <mergeCell ref="D19:F19"/>
    <mergeCell ref="A20:C20"/>
    <mergeCell ref="D20:F20"/>
    <mergeCell ref="A21:C21"/>
    <mergeCell ref="D21:F21"/>
    <mergeCell ref="A22:C22"/>
    <mergeCell ref="D22:F22"/>
    <mergeCell ref="A23:C23"/>
    <mergeCell ref="D23:F23"/>
    <mergeCell ref="A14:C14"/>
    <mergeCell ref="D14:F14"/>
    <mergeCell ref="A15:C15"/>
    <mergeCell ref="D15:F15"/>
    <mergeCell ref="A16:C16"/>
    <mergeCell ref="D16:F16"/>
    <mergeCell ref="A17:C17"/>
    <mergeCell ref="D17:F17"/>
    <mergeCell ref="A18:C18"/>
    <mergeCell ref="D18:F18"/>
    <mergeCell ref="A10:C10"/>
    <mergeCell ref="D10:F10"/>
    <mergeCell ref="A11:C11"/>
    <mergeCell ref="D11:F11"/>
    <mergeCell ref="A12:C12"/>
    <mergeCell ref="D12:F12"/>
    <mergeCell ref="A13:C13"/>
    <mergeCell ref="D13:F13"/>
    <mergeCell ref="C6:H6"/>
    <mergeCell ref="A8:C8"/>
    <mergeCell ref="D8:F8"/>
    <mergeCell ref="A9:C9"/>
    <mergeCell ref="D9:F9"/>
  </mergeCells>
  <pageMargins left="0.75" right="1" top="0.75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1"/>
  <sheetViews>
    <sheetView tabSelected="1" zoomScale="90" zoomScaleNormal="90" workbookViewId="0">
      <selection activeCell="C2" sqref="C2"/>
    </sheetView>
  </sheetViews>
  <sheetFormatPr defaultRowHeight="10"/>
  <cols>
    <col min="5" max="5" width="130.109375" customWidth="1"/>
    <col min="6" max="6" width="14.44140625" customWidth="1"/>
    <col min="8" max="8" width="11.44140625" bestFit="1" customWidth="1"/>
  </cols>
  <sheetData>
    <row r="1" spans="1:8" ht="14.5">
      <c r="A1" s="35" t="s">
        <v>401</v>
      </c>
      <c r="B1" s="34"/>
      <c r="C1" s="34"/>
      <c r="D1" s="34"/>
      <c r="E1" s="34"/>
      <c r="F1" s="34"/>
      <c r="G1" s="35" t="s">
        <v>402</v>
      </c>
      <c r="H1" s="35" t="s">
        <v>403</v>
      </c>
    </row>
    <row r="2" spans="1:8" ht="14.5">
      <c r="A2" s="34"/>
      <c r="B2" s="34"/>
      <c r="C2" s="34"/>
      <c r="D2" s="34"/>
      <c r="E2" s="36" t="s">
        <v>729</v>
      </c>
      <c r="F2" s="36"/>
      <c r="G2" s="34" t="s">
        <v>404</v>
      </c>
      <c r="H2" s="34" t="s">
        <v>405</v>
      </c>
    </row>
    <row r="3" spans="1:8" ht="14.5">
      <c r="A3" s="35" t="s">
        <v>406</v>
      </c>
      <c r="B3" s="35" t="s">
        <v>407</v>
      </c>
      <c r="C3" s="35" t="s">
        <v>408</v>
      </c>
      <c r="D3" s="35" t="s">
        <v>409</v>
      </c>
      <c r="E3" s="35" t="s">
        <v>410</v>
      </c>
      <c r="F3" s="35" t="s">
        <v>411</v>
      </c>
      <c r="G3" s="34" t="s">
        <v>412</v>
      </c>
      <c r="H3" s="34"/>
    </row>
    <row r="4" spans="1:8" ht="14.5">
      <c r="A4" s="34" t="s">
        <v>413</v>
      </c>
      <c r="B4" s="34" t="s">
        <v>414</v>
      </c>
      <c r="C4" s="34" t="s">
        <v>415</v>
      </c>
      <c r="D4" s="34" t="s">
        <v>416</v>
      </c>
      <c r="E4" s="34" t="s">
        <v>417</v>
      </c>
      <c r="F4" s="34" t="s">
        <v>418</v>
      </c>
      <c r="G4" s="37">
        <v>2</v>
      </c>
      <c r="H4" s="37">
        <v>2</v>
      </c>
    </row>
    <row r="5" spans="1:8" ht="14.5">
      <c r="A5" s="34"/>
      <c r="B5" s="34"/>
      <c r="C5" s="34"/>
      <c r="D5" s="34" t="s">
        <v>416</v>
      </c>
      <c r="E5" s="34" t="s">
        <v>419</v>
      </c>
      <c r="F5" s="34" t="s">
        <v>420</v>
      </c>
      <c r="G5" s="37">
        <v>17</v>
      </c>
      <c r="H5" s="37">
        <v>17</v>
      </c>
    </row>
    <row r="6" spans="1:8" ht="14.5">
      <c r="A6" s="34"/>
      <c r="B6" s="34"/>
      <c r="C6" s="34"/>
      <c r="D6" s="34" t="s">
        <v>416</v>
      </c>
      <c r="E6" s="34" t="s">
        <v>421</v>
      </c>
      <c r="F6" s="34" t="s">
        <v>422</v>
      </c>
      <c r="G6" s="37">
        <v>34</v>
      </c>
      <c r="H6" s="37">
        <v>34</v>
      </c>
    </row>
    <row r="7" spans="1:8" ht="14.5">
      <c r="A7" s="34"/>
      <c r="B7" s="34"/>
      <c r="C7" s="34"/>
      <c r="D7" s="34" t="s">
        <v>416</v>
      </c>
      <c r="E7" s="34" t="s">
        <v>423</v>
      </c>
      <c r="F7" s="34" t="s">
        <v>424</v>
      </c>
      <c r="G7" s="37">
        <v>62</v>
      </c>
      <c r="H7" s="37">
        <v>62</v>
      </c>
    </row>
    <row r="8" spans="1:8" ht="14.5">
      <c r="A8" s="34"/>
      <c r="B8" s="34"/>
      <c r="C8" s="34"/>
      <c r="D8" s="34" t="s">
        <v>416</v>
      </c>
      <c r="E8" s="34" t="s">
        <v>425</v>
      </c>
      <c r="F8" s="34" t="s">
        <v>426</v>
      </c>
      <c r="G8" s="37">
        <v>68</v>
      </c>
      <c r="H8" s="37">
        <v>68</v>
      </c>
    </row>
    <row r="9" spans="1:8" ht="14.5">
      <c r="A9" s="34"/>
      <c r="B9" s="34"/>
      <c r="C9" s="34"/>
      <c r="D9" s="34" t="s">
        <v>416</v>
      </c>
      <c r="E9" s="34" t="s">
        <v>427</v>
      </c>
      <c r="F9" s="34" t="s">
        <v>428</v>
      </c>
      <c r="G9" s="37">
        <v>55</v>
      </c>
      <c r="H9" s="37">
        <v>55</v>
      </c>
    </row>
    <row r="10" spans="1:8" ht="14.5">
      <c r="A10" s="34"/>
      <c r="B10" s="34"/>
      <c r="C10" s="34"/>
      <c r="D10" s="34" t="s">
        <v>416</v>
      </c>
      <c r="E10" s="34" t="s">
        <v>429</v>
      </c>
      <c r="F10" s="34" t="s">
        <v>430</v>
      </c>
      <c r="G10" s="37">
        <v>41</v>
      </c>
      <c r="H10" s="37">
        <v>41</v>
      </c>
    </row>
    <row r="11" spans="1:8" ht="14.5">
      <c r="A11" s="34"/>
      <c r="B11" s="34"/>
      <c r="C11" s="34"/>
      <c r="D11" s="34" t="s">
        <v>416</v>
      </c>
      <c r="E11" s="34" t="s">
        <v>431</v>
      </c>
      <c r="F11" s="34" t="s">
        <v>432</v>
      </c>
      <c r="G11" s="37">
        <v>255</v>
      </c>
      <c r="H11" s="37">
        <v>255</v>
      </c>
    </row>
    <row r="12" spans="1:8" ht="14.5">
      <c r="A12" s="34"/>
      <c r="B12" s="34"/>
      <c r="C12" s="34"/>
      <c r="D12" s="34" t="s">
        <v>416</v>
      </c>
      <c r="E12" s="34" t="s">
        <v>433</v>
      </c>
      <c r="F12" s="34" t="s">
        <v>434</v>
      </c>
      <c r="G12" s="37">
        <v>161</v>
      </c>
      <c r="H12" s="37">
        <v>161</v>
      </c>
    </row>
    <row r="13" spans="1:8" ht="14.5">
      <c r="A13" s="34"/>
      <c r="B13" s="34"/>
      <c r="C13" s="34"/>
      <c r="D13" s="34" t="s">
        <v>416</v>
      </c>
      <c r="E13" s="34" t="s">
        <v>435</v>
      </c>
      <c r="F13" s="34" t="s">
        <v>436</v>
      </c>
      <c r="G13" s="37">
        <v>200</v>
      </c>
      <c r="H13" s="37">
        <v>200</v>
      </c>
    </row>
    <row r="14" spans="1:8" ht="14.5">
      <c r="A14" s="34"/>
      <c r="B14" s="34"/>
      <c r="C14" s="34"/>
      <c r="D14" s="34" t="s">
        <v>416</v>
      </c>
      <c r="E14" s="34" t="s">
        <v>437</v>
      </c>
      <c r="F14" s="34" t="s">
        <v>438</v>
      </c>
      <c r="G14" s="37">
        <v>77</v>
      </c>
      <c r="H14" s="37">
        <v>77</v>
      </c>
    </row>
    <row r="15" spans="1:8" ht="14.5">
      <c r="A15" s="34"/>
      <c r="B15" s="34"/>
      <c r="C15" s="34"/>
      <c r="D15" s="34" t="s">
        <v>416</v>
      </c>
      <c r="E15" s="34" t="s">
        <v>439</v>
      </c>
      <c r="F15" s="34" t="s">
        <v>440</v>
      </c>
      <c r="G15" s="37">
        <v>266</v>
      </c>
      <c r="H15" s="37">
        <v>266</v>
      </c>
    </row>
    <row r="16" spans="1:8" ht="14.5">
      <c r="A16" s="34"/>
      <c r="B16" s="34"/>
      <c r="C16" s="34"/>
      <c r="D16" s="34" t="s">
        <v>416</v>
      </c>
      <c r="E16" s="34" t="s">
        <v>441</v>
      </c>
      <c r="F16" s="34" t="s">
        <v>442</v>
      </c>
      <c r="G16" s="37">
        <v>4</v>
      </c>
      <c r="H16" s="37">
        <v>4</v>
      </c>
    </row>
    <row r="17" spans="1:8" ht="14.5">
      <c r="A17" s="38"/>
      <c r="B17" s="38"/>
      <c r="C17" s="38"/>
      <c r="D17" s="34" t="s">
        <v>416</v>
      </c>
      <c r="E17" s="34" t="s">
        <v>443</v>
      </c>
      <c r="F17" s="34" t="s">
        <v>444</v>
      </c>
      <c r="G17" s="37">
        <v>52</v>
      </c>
      <c r="H17" s="37">
        <v>52</v>
      </c>
    </row>
    <row r="18" spans="1:8" ht="14.5">
      <c r="A18" s="38"/>
      <c r="B18" s="38"/>
      <c r="C18" s="38"/>
      <c r="D18" s="34" t="s">
        <v>416</v>
      </c>
      <c r="E18" s="34" t="s">
        <v>445</v>
      </c>
      <c r="F18" s="34" t="s">
        <v>446</v>
      </c>
      <c r="G18" s="37">
        <v>9</v>
      </c>
      <c r="H18" s="37">
        <v>9</v>
      </c>
    </row>
    <row r="19" spans="1:8" ht="14.5">
      <c r="A19" s="38"/>
      <c r="B19" s="38"/>
      <c r="C19" s="38"/>
      <c r="D19" s="34" t="s">
        <v>416</v>
      </c>
      <c r="E19" s="34" t="s">
        <v>447</v>
      </c>
      <c r="F19" s="34" t="s">
        <v>448</v>
      </c>
      <c r="G19" s="37">
        <v>25</v>
      </c>
      <c r="H19" s="37">
        <v>25</v>
      </c>
    </row>
    <row r="20" spans="1:8" ht="14.5">
      <c r="A20" s="38"/>
      <c r="B20" s="38"/>
      <c r="C20" s="38"/>
      <c r="D20" s="34" t="s">
        <v>416</v>
      </c>
      <c r="E20" s="34" t="s">
        <v>449</v>
      </c>
      <c r="F20" s="34" t="s">
        <v>450</v>
      </c>
      <c r="G20" s="37">
        <v>6</v>
      </c>
      <c r="H20" s="37">
        <v>6</v>
      </c>
    </row>
    <row r="21" spans="1:8" ht="14.5">
      <c r="A21" s="38"/>
      <c r="B21" s="38"/>
      <c r="C21" s="38"/>
      <c r="D21" s="34" t="s">
        <v>451</v>
      </c>
      <c r="E21" s="34"/>
      <c r="F21" s="34"/>
      <c r="G21" s="37">
        <v>1334</v>
      </c>
      <c r="H21" s="37">
        <v>1334</v>
      </c>
    </row>
    <row r="22" spans="1:8" ht="14.5">
      <c r="A22" s="38"/>
      <c r="B22" s="38"/>
      <c r="C22" s="38"/>
      <c r="D22" s="34" t="s">
        <v>452</v>
      </c>
      <c r="E22" s="34" t="s">
        <v>453</v>
      </c>
      <c r="F22" s="34" t="s">
        <v>454</v>
      </c>
      <c r="G22" s="37">
        <v>135</v>
      </c>
      <c r="H22" s="37">
        <v>135</v>
      </c>
    </row>
    <row r="23" spans="1:8" ht="14.5">
      <c r="A23" s="38"/>
      <c r="B23" s="38"/>
      <c r="C23" s="38"/>
      <c r="D23" s="34"/>
      <c r="E23" s="34" t="s">
        <v>455</v>
      </c>
      <c r="F23" s="34" t="s">
        <v>456</v>
      </c>
      <c r="G23" s="37">
        <v>40</v>
      </c>
      <c r="H23" s="37">
        <v>40</v>
      </c>
    </row>
    <row r="24" spans="1:8" ht="14.5">
      <c r="A24" s="38"/>
      <c r="B24" s="38"/>
      <c r="C24" s="38"/>
      <c r="D24" s="34"/>
      <c r="E24" s="34" t="s">
        <v>457</v>
      </c>
      <c r="F24" s="34" t="s">
        <v>458</v>
      </c>
      <c r="G24" s="37">
        <v>2.5</v>
      </c>
      <c r="H24" s="37">
        <v>2.5</v>
      </c>
    </row>
    <row r="25" spans="1:8" ht="14.5">
      <c r="A25" s="38"/>
      <c r="B25" s="38"/>
      <c r="C25" s="38"/>
      <c r="D25" s="34"/>
      <c r="E25" s="34" t="s">
        <v>459</v>
      </c>
      <c r="F25" s="34" t="s">
        <v>460</v>
      </c>
      <c r="G25" s="37">
        <v>455</v>
      </c>
      <c r="H25" s="37">
        <v>455</v>
      </c>
    </row>
    <row r="26" spans="1:8" ht="14.5">
      <c r="A26" s="38"/>
      <c r="B26" s="38"/>
      <c r="C26" s="38"/>
      <c r="D26" s="34"/>
      <c r="E26" s="34" t="s">
        <v>461</v>
      </c>
      <c r="F26" s="34" t="s">
        <v>462</v>
      </c>
      <c r="G26" s="37">
        <v>10</v>
      </c>
      <c r="H26" s="37">
        <v>10</v>
      </c>
    </row>
    <row r="27" spans="1:8" ht="14.5">
      <c r="A27" s="38"/>
      <c r="B27" s="38"/>
      <c r="C27" s="38"/>
      <c r="D27" s="34"/>
      <c r="E27" s="34" t="s">
        <v>463</v>
      </c>
      <c r="F27" s="34" t="s">
        <v>464</v>
      </c>
      <c r="G27" s="37">
        <v>7.8</v>
      </c>
      <c r="H27" s="37">
        <v>7.8</v>
      </c>
    </row>
    <row r="28" spans="1:8" ht="14.5">
      <c r="A28" s="38"/>
      <c r="B28" s="38"/>
      <c r="C28" s="38"/>
      <c r="D28" s="34"/>
      <c r="E28" s="34" t="s">
        <v>465</v>
      </c>
      <c r="F28" s="34" t="s">
        <v>466</v>
      </c>
      <c r="G28" s="37">
        <v>31.800000000000004</v>
      </c>
      <c r="H28" s="37">
        <v>31.800000000000004</v>
      </c>
    </row>
    <row r="29" spans="1:8" ht="14.5">
      <c r="A29" s="38"/>
      <c r="B29" s="38"/>
      <c r="C29" s="38"/>
      <c r="D29" s="34"/>
      <c r="E29" s="34" t="s">
        <v>467</v>
      </c>
      <c r="F29" s="34" t="s">
        <v>468</v>
      </c>
      <c r="G29" s="37">
        <v>8</v>
      </c>
      <c r="H29" s="37">
        <v>8</v>
      </c>
    </row>
    <row r="30" spans="1:8" ht="14.5">
      <c r="A30" s="38"/>
      <c r="B30" s="38"/>
      <c r="C30" s="38"/>
      <c r="D30" s="34"/>
      <c r="E30" s="34" t="s">
        <v>469</v>
      </c>
      <c r="F30" s="34" t="s">
        <v>470</v>
      </c>
      <c r="G30" s="37">
        <v>2.5</v>
      </c>
      <c r="H30" s="37">
        <v>2.5</v>
      </c>
    </row>
    <row r="31" spans="1:8" ht="14.5">
      <c r="A31" s="38"/>
      <c r="B31" s="38"/>
      <c r="C31" s="38"/>
      <c r="D31" s="34"/>
      <c r="E31" s="34" t="s">
        <v>471</v>
      </c>
      <c r="F31" s="34" t="s">
        <v>472</v>
      </c>
      <c r="G31" s="37">
        <v>105.30000000000001</v>
      </c>
      <c r="H31" s="37">
        <v>105.30000000000001</v>
      </c>
    </row>
    <row r="32" spans="1:8" ht="14.5">
      <c r="A32" s="38"/>
      <c r="B32" s="38"/>
      <c r="C32" s="38"/>
      <c r="D32" s="34"/>
      <c r="E32" s="34" t="s">
        <v>473</v>
      </c>
      <c r="F32" s="34" t="s">
        <v>474</v>
      </c>
      <c r="G32" s="37">
        <v>29.700000000000003</v>
      </c>
      <c r="H32" s="37">
        <v>29.700000000000003</v>
      </c>
    </row>
    <row r="33" spans="1:8" ht="14.5">
      <c r="A33" s="38"/>
      <c r="B33" s="38"/>
      <c r="C33" s="38"/>
      <c r="D33" s="38"/>
      <c r="E33" s="34" t="s">
        <v>475</v>
      </c>
      <c r="F33" s="34" t="s">
        <v>476</v>
      </c>
      <c r="G33" s="37">
        <v>57</v>
      </c>
      <c r="H33" s="37">
        <v>57</v>
      </c>
    </row>
    <row r="34" spans="1:8" ht="14.5">
      <c r="A34" s="38"/>
      <c r="B34" s="38"/>
      <c r="C34" s="38"/>
      <c r="D34" s="38"/>
      <c r="E34" s="34" t="s">
        <v>477</v>
      </c>
      <c r="F34" s="34" t="s">
        <v>478</v>
      </c>
      <c r="G34" s="37">
        <v>18.8</v>
      </c>
      <c r="H34" s="37">
        <v>18.8</v>
      </c>
    </row>
    <row r="35" spans="1:8" ht="14.5">
      <c r="A35" s="38"/>
      <c r="B35" s="38"/>
      <c r="C35" s="38"/>
      <c r="D35" s="38"/>
      <c r="E35" s="34" t="s">
        <v>479</v>
      </c>
      <c r="F35" s="34" t="s">
        <v>480</v>
      </c>
      <c r="G35" s="37">
        <v>60.5</v>
      </c>
      <c r="H35" s="37">
        <v>60.500000000000007</v>
      </c>
    </row>
    <row r="36" spans="1:8" ht="14.5">
      <c r="A36" s="38"/>
      <c r="B36" s="38"/>
      <c r="C36" s="38"/>
      <c r="D36" s="38"/>
      <c r="E36" s="34" t="s">
        <v>481</v>
      </c>
      <c r="F36" s="34" t="s">
        <v>482</v>
      </c>
      <c r="G36" s="37">
        <v>230</v>
      </c>
      <c r="H36" s="37">
        <v>230</v>
      </c>
    </row>
    <row r="37" spans="1:8" ht="14.5">
      <c r="A37" s="38"/>
      <c r="B37" s="38"/>
      <c r="C37" s="38"/>
      <c r="D37" s="38"/>
      <c r="E37" s="34" t="s">
        <v>483</v>
      </c>
      <c r="F37" s="34" t="s">
        <v>484</v>
      </c>
      <c r="G37" s="37">
        <v>10</v>
      </c>
      <c r="H37" s="37">
        <v>10</v>
      </c>
    </row>
    <row r="38" spans="1:8" ht="14.5">
      <c r="A38" s="38"/>
      <c r="B38" s="38"/>
      <c r="C38" s="38"/>
      <c r="D38" s="38"/>
      <c r="E38" s="34" t="s">
        <v>485</v>
      </c>
      <c r="F38" s="34" t="s">
        <v>486</v>
      </c>
      <c r="G38" s="37">
        <v>51.699999999999996</v>
      </c>
      <c r="H38" s="37">
        <v>51.699999999999996</v>
      </c>
    </row>
    <row r="39" spans="1:8" ht="14.5">
      <c r="A39" s="38"/>
      <c r="B39" s="38"/>
      <c r="C39" s="38"/>
      <c r="D39" s="38"/>
      <c r="E39" s="34" t="s">
        <v>487</v>
      </c>
      <c r="F39" s="34" t="s">
        <v>488</v>
      </c>
      <c r="G39" s="37">
        <v>95</v>
      </c>
      <c r="H39" s="37">
        <v>95</v>
      </c>
    </row>
    <row r="40" spans="1:8" ht="14.5">
      <c r="A40" s="38"/>
      <c r="B40" s="38"/>
      <c r="C40" s="38"/>
      <c r="D40" s="38"/>
      <c r="E40" s="34" t="s">
        <v>489</v>
      </c>
      <c r="F40" s="34" t="s">
        <v>490</v>
      </c>
      <c r="G40" s="37">
        <v>111.8</v>
      </c>
      <c r="H40" s="37">
        <v>111.79999999999998</v>
      </c>
    </row>
    <row r="41" spans="1:8" ht="14.5">
      <c r="A41" s="38"/>
      <c r="B41" s="38"/>
      <c r="C41" s="38"/>
      <c r="D41" s="38"/>
      <c r="E41" s="34" t="s">
        <v>491</v>
      </c>
      <c r="F41" s="34" t="s">
        <v>492</v>
      </c>
      <c r="G41" s="37">
        <v>93</v>
      </c>
      <c r="H41" s="37">
        <v>93</v>
      </c>
    </row>
    <row r="42" spans="1:8" ht="14.5">
      <c r="A42" s="38"/>
      <c r="B42" s="38"/>
      <c r="C42" s="38"/>
      <c r="D42" s="38"/>
      <c r="E42" s="34" t="s">
        <v>493</v>
      </c>
      <c r="F42" s="34" t="s">
        <v>494</v>
      </c>
      <c r="G42" s="37">
        <v>458</v>
      </c>
      <c r="H42" s="37">
        <v>458</v>
      </c>
    </row>
    <row r="43" spans="1:8" ht="14.5">
      <c r="A43" s="38"/>
      <c r="B43" s="38"/>
      <c r="C43" s="38"/>
      <c r="D43" s="38"/>
      <c r="E43" s="34" t="s">
        <v>495</v>
      </c>
      <c r="F43" s="34" t="s">
        <v>496</v>
      </c>
      <c r="G43" s="37">
        <v>10.3</v>
      </c>
      <c r="H43" s="37">
        <v>10.3</v>
      </c>
    </row>
    <row r="44" spans="1:8" ht="14.5">
      <c r="A44" s="38"/>
      <c r="B44" s="38"/>
      <c r="C44" s="38"/>
      <c r="D44" s="38"/>
      <c r="E44" s="34" t="s">
        <v>497</v>
      </c>
      <c r="F44" s="34" t="s">
        <v>498</v>
      </c>
      <c r="G44" s="37">
        <v>39</v>
      </c>
      <c r="H44" s="37">
        <v>39</v>
      </c>
    </row>
    <row r="45" spans="1:8" ht="14.5">
      <c r="A45" s="38"/>
      <c r="B45" s="38"/>
      <c r="C45" s="38"/>
      <c r="D45" s="38"/>
      <c r="E45" s="34" t="s">
        <v>499</v>
      </c>
      <c r="F45" s="34" t="s">
        <v>500</v>
      </c>
      <c r="G45" s="37">
        <v>2.6</v>
      </c>
      <c r="H45" s="37">
        <v>2.6</v>
      </c>
    </row>
    <row r="46" spans="1:8" ht="14.5">
      <c r="A46" s="38"/>
      <c r="B46" s="38"/>
      <c r="C46" s="38"/>
      <c r="D46" s="38"/>
      <c r="E46" s="34" t="s">
        <v>501</v>
      </c>
      <c r="F46" s="34" t="s">
        <v>502</v>
      </c>
      <c r="G46" s="37">
        <v>38.5</v>
      </c>
      <c r="H46" s="37">
        <v>38.5</v>
      </c>
    </row>
    <row r="47" spans="1:8" ht="14.5">
      <c r="A47" s="38"/>
      <c r="B47" s="38"/>
      <c r="C47" s="38"/>
      <c r="D47" s="38"/>
      <c r="E47" s="34" t="s">
        <v>503</v>
      </c>
      <c r="F47" s="34" t="s">
        <v>504</v>
      </c>
      <c r="G47" s="37">
        <v>3</v>
      </c>
      <c r="H47" s="37">
        <v>3</v>
      </c>
    </row>
    <row r="48" spans="1:8" ht="14.5">
      <c r="A48" s="38"/>
      <c r="B48" s="38"/>
      <c r="C48" s="38"/>
      <c r="D48" s="38"/>
      <c r="E48" s="34" t="s">
        <v>505</v>
      </c>
      <c r="F48" s="34" t="s">
        <v>506</v>
      </c>
      <c r="G48" s="37">
        <v>124</v>
      </c>
      <c r="H48" s="37">
        <v>124</v>
      </c>
    </row>
    <row r="49" spans="1:8" ht="14.5">
      <c r="A49" s="38"/>
      <c r="B49" s="38"/>
      <c r="C49" s="38"/>
      <c r="D49" s="38"/>
      <c r="E49" s="34" t="s">
        <v>507</v>
      </c>
      <c r="F49" s="34" t="s">
        <v>508</v>
      </c>
      <c r="G49" s="37">
        <v>44.999999999999993</v>
      </c>
      <c r="H49" s="37">
        <v>44.999999999999993</v>
      </c>
    </row>
    <row r="50" spans="1:8" ht="14.5">
      <c r="A50" s="38"/>
      <c r="B50" s="38"/>
      <c r="C50" s="38"/>
      <c r="D50" s="38"/>
      <c r="E50" s="34" t="s">
        <v>509</v>
      </c>
      <c r="F50" s="34" t="s">
        <v>510</v>
      </c>
      <c r="G50" s="37">
        <v>207.5</v>
      </c>
      <c r="H50" s="37">
        <v>207.5</v>
      </c>
    </row>
    <row r="51" spans="1:8" ht="14.5">
      <c r="A51" s="38"/>
      <c r="B51" s="38"/>
      <c r="C51" s="38"/>
      <c r="D51" s="38"/>
      <c r="E51" s="34" t="s">
        <v>511</v>
      </c>
      <c r="F51" s="34" t="s">
        <v>512</v>
      </c>
      <c r="G51" s="37">
        <v>9</v>
      </c>
      <c r="H51" s="37">
        <v>9</v>
      </c>
    </row>
    <row r="52" spans="1:8" ht="14.5">
      <c r="A52" s="38"/>
      <c r="B52" s="38"/>
      <c r="C52" s="38"/>
      <c r="D52" s="38"/>
      <c r="E52" s="34" t="s">
        <v>513</v>
      </c>
      <c r="F52" s="34" t="s">
        <v>514</v>
      </c>
      <c r="G52" s="37">
        <v>248.5</v>
      </c>
      <c r="H52" s="37">
        <v>248.5</v>
      </c>
    </row>
    <row r="53" spans="1:8" ht="14.5">
      <c r="A53" s="38"/>
      <c r="B53" s="38"/>
      <c r="C53" s="38"/>
      <c r="D53" s="38"/>
      <c r="E53" s="34" t="s">
        <v>515</v>
      </c>
      <c r="F53" s="34" t="s">
        <v>516</v>
      </c>
      <c r="G53" s="37">
        <v>1.3</v>
      </c>
      <c r="H53" s="37">
        <v>1.3</v>
      </c>
    </row>
    <row r="54" spans="1:8" ht="14.5">
      <c r="A54" s="38"/>
      <c r="B54" s="38"/>
      <c r="C54" s="38"/>
      <c r="D54" s="38"/>
      <c r="E54" s="34" t="s">
        <v>517</v>
      </c>
      <c r="F54" s="34" t="s">
        <v>518</v>
      </c>
      <c r="G54" s="37">
        <v>50.599999999999994</v>
      </c>
      <c r="H54" s="37">
        <v>50.599999999999994</v>
      </c>
    </row>
    <row r="55" spans="1:8" ht="14.5">
      <c r="A55" s="38"/>
      <c r="B55" s="38"/>
      <c r="C55" s="38"/>
      <c r="D55" s="38"/>
      <c r="E55" s="34" t="s">
        <v>519</v>
      </c>
      <c r="F55" s="34" t="s">
        <v>520</v>
      </c>
      <c r="G55" s="37">
        <v>43</v>
      </c>
      <c r="H55" s="37">
        <v>43</v>
      </c>
    </row>
    <row r="56" spans="1:8" ht="14.5">
      <c r="A56" s="38"/>
      <c r="B56" s="38"/>
      <c r="C56" s="38"/>
      <c r="D56" s="38"/>
      <c r="E56" s="34" t="s">
        <v>521</v>
      </c>
      <c r="F56" s="34" t="s">
        <v>522</v>
      </c>
      <c r="G56" s="37">
        <v>16</v>
      </c>
      <c r="H56" s="37">
        <v>16</v>
      </c>
    </row>
    <row r="57" spans="1:8" ht="14.5">
      <c r="A57" s="38"/>
      <c r="B57" s="38"/>
      <c r="C57" s="38"/>
      <c r="D57" s="38"/>
      <c r="E57" s="34" t="s">
        <v>523</v>
      </c>
      <c r="F57" s="34" t="s">
        <v>524</v>
      </c>
      <c r="G57" s="37">
        <v>4.8</v>
      </c>
      <c r="H57" s="37">
        <v>4.8</v>
      </c>
    </row>
    <row r="58" spans="1:8" ht="14.5">
      <c r="A58" s="38"/>
      <c r="B58" s="38"/>
      <c r="C58" s="38"/>
      <c r="D58" s="38"/>
      <c r="E58" s="34" t="s">
        <v>525</v>
      </c>
      <c r="F58" s="34" t="s">
        <v>526</v>
      </c>
      <c r="G58" s="37">
        <v>13</v>
      </c>
      <c r="H58" s="37">
        <v>13</v>
      </c>
    </row>
    <row r="59" spans="1:8" ht="14.5">
      <c r="A59" s="38"/>
      <c r="B59" s="38"/>
      <c r="C59" s="38"/>
      <c r="D59" s="38"/>
      <c r="E59" s="34" t="s">
        <v>527</v>
      </c>
      <c r="F59" s="34" t="s">
        <v>528</v>
      </c>
      <c r="G59" s="37">
        <v>18.599999999999998</v>
      </c>
      <c r="H59" s="37">
        <v>18.599999999999998</v>
      </c>
    </row>
    <row r="60" spans="1:8" ht="14.5">
      <c r="A60" s="38"/>
      <c r="B60" s="38"/>
      <c r="C60" s="38"/>
      <c r="D60" s="38"/>
      <c r="E60" s="34" t="s">
        <v>529</v>
      </c>
      <c r="F60" s="34" t="s">
        <v>530</v>
      </c>
      <c r="G60" s="37">
        <v>77</v>
      </c>
      <c r="H60" s="37">
        <v>77</v>
      </c>
    </row>
    <row r="61" spans="1:8" ht="14.5">
      <c r="A61" s="38"/>
      <c r="B61" s="38"/>
      <c r="C61" s="38"/>
      <c r="D61" s="38"/>
      <c r="E61" s="34" t="s">
        <v>531</v>
      </c>
      <c r="F61" s="34" t="s">
        <v>532</v>
      </c>
      <c r="G61" s="37">
        <v>1</v>
      </c>
      <c r="H61" s="37">
        <v>1</v>
      </c>
    </row>
    <row r="62" spans="1:8" ht="14.5">
      <c r="A62" s="38"/>
      <c r="B62" s="38"/>
      <c r="C62" s="38"/>
      <c r="D62" s="38"/>
      <c r="E62" s="34" t="s">
        <v>533</v>
      </c>
      <c r="F62" s="34" t="s">
        <v>534</v>
      </c>
      <c r="G62" s="37">
        <v>9.8000000000000007</v>
      </c>
      <c r="H62" s="37">
        <v>9.8000000000000007</v>
      </c>
    </row>
    <row r="63" spans="1:8" ht="14.5">
      <c r="A63" s="38"/>
      <c r="B63" s="38"/>
      <c r="C63" s="38"/>
      <c r="D63" s="38"/>
      <c r="E63" s="34" t="s">
        <v>535</v>
      </c>
      <c r="F63" s="34" t="s">
        <v>536</v>
      </c>
      <c r="G63" s="37">
        <v>55.6</v>
      </c>
      <c r="H63" s="37">
        <v>55.600000000000016</v>
      </c>
    </row>
    <row r="64" spans="1:8" ht="14.5">
      <c r="A64" s="38"/>
      <c r="B64" s="38"/>
      <c r="C64" s="38"/>
      <c r="D64" s="38"/>
      <c r="E64" s="34" t="s">
        <v>537</v>
      </c>
      <c r="F64" s="34" t="s">
        <v>538</v>
      </c>
      <c r="G64" s="37">
        <v>52.099999999999994</v>
      </c>
      <c r="H64" s="37">
        <v>52.099999999999994</v>
      </c>
    </row>
    <row r="65" spans="1:8" ht="14.5">
      <c r="A65" s="38"/>
      <c r="B65" s="38"/>
      <c r="C65" s="38"/>
      <c r="D65" s="38"/>
      <c r="E65" s="34" t="s">
        <v>539</v>
      </c>
      <c r="F65" s="34" t="s">
        <v>540</v>
      </c>
      <c r="G65" s="37">
        <v>5.6</v>
      </c>
      <c r="H65" s="37">
        <v>5.6</v>
      </c>
    </row>
    <row r="66" spans="1:8" ht="14.5">
      <c r="A66" s="38"/>
      <c r="B66" s="38"/>
      <c r="C66" s="38"/>
      <c r="D66" s="38"/>
      <c r="E66" s="34" t="s">
        <v>541</v>
      </c>
      <c r="F66" s="34" t="s">
        <v>542</v>
      </c>
      <c r="G66" s="37">
        <v>68.2</v>
      </c>
      <c r="H66" s="37">
        <v>68.2</v>
      </c>
    </row>
    <row r="67" spans="1:8" ht="14.5">
      <c r="A67" s="38"/>
      <c r="B67" s="38"/>
      <c r="C67" s="38"/>
      <c r="D67" s="38"/>
      <c r="E67" s="34" t="s">
        <v>543</v>
      </c>
      <c r="F67" s="34" t="s">
        <v>544</v>
      </c>
      <c r="G67" s="37">
        <v>8</v>
      </c>
      <c r="H67" s="37">
        <v>8</v>
      </c>
    </row>
    <row r="68" spans="1:8" ht="14.5">
      <c r="A68" s="38"/>
      <c r="B68" s="38"/>
      <c r="C68" s="38"/>
      <c r="D68" s="38"/>
      <c r="E68" s="34" t="s">
        <v>545</v>
      </c>
      <c r="F68" s="34" t="s">
        <v>546</v>
      </c>
      <c r="G68" s="37">
        <v>45.20000000000001</v>
      </c>
      <c r="H68" s="37">
        <v>45.20000000000001</v>
      </c>
    </row>
    <row r="69" spans="1:8" ht="14.5">
      <c r="A69" s="38"/>
      <c r="B69" s="38"/>
      <c r="C69" s="38"/>
      <c r="D69" s="38"/>
      <c r="E69" s="34" t="s">
        <v>547</v>
      </c>
      <c r="F69" s="34" t="s">
        <v>548</v>
      </c>
      <c r="G69" s="37">
        <v>72</v>
      </c>
      <c r="H69" s="37">
        <v>72</v>
      </c>
    </row>
    <row r="70" spans="1:8" ht="14.5">
      <c r="A70" s="38"/>
      <c r="B70" s="38"/>
      <c r="C70" s="38"/>
      <c r="D70" s="38"/>
      <c r="E70" s="34" t="s">
        <v>549</v>
      </c>
      <c r="F70" s="34" t="s">
        <v>550</v>
      </c>
      <c r="G70" s="37">
        <v>54</v>
      </c>
      <c r="H70" s="37">
        <v>54</v>
      </c>
    </row>
    <row r="71" spans="1:8" ht="14.5">
      <c r="A71" s="38"/>
      <c r="B71" s="38"/>
      <c r="C71" s="38"/>
      <c r="D71" s="38"/>
      <c r="E71" s="34" t="s">
        <v>551</v>
      </c>
      <c r="F71" s="34" t="s">
        <v>552</v>
      </c>
      <c r="G71" s="37">
        <v>10</v>
      </c>
      <c r="H71" s="37">
        <v>10</v>
      </c>
    </row>
    <row r="72" spans="1:8" ht="14.5">
      <c r="A72" s="38"/>
      <c r="B72" s="38"/>
      <c r="C72" s="38"/>
      <c r="D72" s="38"/>
      <c r="E72" s="34" t="s">
        <v>553</v>
      </c>
      <c r="F72" s="34" t="s">
        <v>554</v>
      </c>
      <c r="G72" s="37">
        <v>13.2</v>
      </c>
      <c r="H72" s="37">
        <v>13.2</v>
      </c>
    </row>
    <row r="73" spans="1:8" ht="14.5">
      <c r="A73" s="38"/>
      <c r="B73" s="38"/>
      <c r="C73" s="38"/>
      <c r="D73" s="38"/>
      <c r="E73" s="34" t="s">
        <v>555</v>
      </c>
      <c r="F73" s="34" t="s">
        <v>556</v>
      </c>
      <c r="G73" s="37">
        <v>77</v>
      </c>
      <c r="H73" s="37">
        <v>77</v>
      </c>
    </row>
    <row r="74" spans="1:8" ht="14.5">
      <c r="A74" s="38"/>
      <c r="B74" s="38"/>
      <c r="C74" s="38"/>
      <c r="D74" s="38"/>
      <c r="E74" s="34" t="s">
        <v>557</v>
      </c>
      <c r="F74" s="34" t="s">
        <v>558</v>
      </c>
      <c r="G74" s="37">
        <v>13.100000000000001</v>
      </c>
      <c r="H74" s="37">
        <v>13.100000000000001</v>
      </c>
    </row>
    <row r="75" spans="1:8" ht="14.5">
      <c r="A75" s="38"/>
      <c r="B75" s="38"/>
      <c r="C75" s="38"/>
      <c r="D75" s="38"/>
      <c r="E75" s="34" t="s">
        <v>559</v>
      </c>
      <c r="F75" s="34" t="s">
        <v>560</v>
      </c>
      <c r="G75" s="37">
        <v>26</v>
      </c>
      <c r="H75" s="37">
        <v>26</v>
      </c>
    </row>
    <row r="76" spans="1:8" ht="14.5">
      <c r="A76" s="38"/>
      <c r="B76" s="38"/>
      <c r="C76" s="38"/>
      <c r="D76" s="38"/>
      <c r="E76" s="34" t="s">
        <v>561</v>
      </c>
      <c r="F76" s="34" t="s">
        <v>562</v>
      </c>
      <c r="G76" s="37">
        <v>13.3</v>
      </c>
      <c r="H76" s="37">
        <v>13.3</v>
      </c>
    </row>
    <row r="77" spans="1:8" ht="14.5">
      <c r="A77" s="38"/>
      <c r="B77" s="38"/>
      <c r="C77" s="38"/>
      <c r="D77" s="38"/>
      <c r="E77" s="34" t="s">
        <v>563</v>
      </c>
      <c r="F77" s="34" t="s">
        <v>564</v>
      </c>
      <c r="G77" s="37">
        <v>22</v>
      </c>
      <c r="H77" s="37">
        <v>22</v>
      </c>
    </row>
    <row r="78" spans="1:8" ht="14.5">
      <c r="A78" s="38"/>
      <c r="B78" s="38"/>
      <c r="C78" s="38"/>
      <c r="D78" s="38"/>
      <c r="E78" s="34" t="s">
        <v>565</v>
      </c>
      <c r="F78" s="34" t="s">
        <v>566</v>
      </c>
      <c r="G78" s="37">
        <v>80</v>
      </c>
      <c r="H78" s="37">
        <v>80</v>
      </c>
    </row>
    <row r="79" spans="1:8" ht="14.5">
      <c r="A79" s="38"/>
      <c r="B79" s="38"/>
      <c r="C79" s="38"/>
      <c r="D79" s="38"/>
      <c r="E79" s="34" t="s">
        <v>567</v>
      </c>
      <c r="F79" s="34" t="s">
        <v>568</v>
      </c>
      <c r="G79" s="37">
        <v>16</v>
      </c>
      <c r="H79" s="37">
        <v>16</v>
      </c>
    </row>
    <row r="80" spans="1:8" ht="14.5">
      <c r="A80" s="38"/>
      <c r="B80" s="38"/>
      <c r="C80" s="38"/>
      <c r="D80" s="38"/>
      <c r="E80" s="34" t="s">
        <v>569</v>
      </c>
      <c r="F80" s="34" t="s">
        <v>570</v>
      </c>
      <c r="G80" s="37">
        <v>13</v>
      </c>
      <c r="H80" s="37">
        <v>13</v>
      </c>
    </row>
    <row r="81" spans="1:8" ht="14.5">
      <c r="A81" s="38"/>
      <c r="B81" s="38"/>
      <c r="C81" s="38"/>
      <c r="D81" s="38"/>
      <c r="E81" s="34" t="s">
        <v>571</v>
      </c>
      <c r="F81" s="34" t="s">
        <v>572</v>
      </c>
      <c r="G81" s="37">
        <v>96</v>
      </c>
      <c r="H81" s="37">
        <v>96</v>
      </c>
    </row>
    <row r="82" spans="1:8" ht="14.5">
      <c r="A82" s="38"/>
      <c r="B82" s="38"/>
      <c r="C82" s="38"/>
      <c r="D82" s="38"/>
      <c r="E82" s="34" t="s">
        <v>573</v>
      </c>
      <c r="F82" s="34" t="s">
        <v>574</v>
      </c>
      <c r="G82" s="37">
        <v>13.8</v>
      </c>
      <c r="H82" s="37">
        <v>13.8</v>
      </c>
    </row>
    <row r="83" spans="1:8" ht="14.5">
      <c r="A83" s="38"/>
      <c r="B83" s="38"/>
      <c r="C83" s="38"/>
      <c r="D83" s="38"/>
      <c r="E83" s="34" t="s">
        <v>575</v>
      </c>
      <c r="F83" s="34" t="s">
        <v>576</v>
      </c>
      <c r="G83" s="37">
        <v>38.6</v>
      </c>
      <c r="H83" s="37">
        <v>38.6</v>
      </c>
    </row>
    <row r="84" spans="1:8" ht="14.5">
      <c r="A84" s="38"/>
      <c r="B84" s="38"/>
      <c r="C84" s="38"/>
      <c r="D84" s="38"/>
      <c r="E84" s="34" t="s">
        <v>577</v>
      </c>
      <c r="F84" s="34" t="s">
        <v>578</v>
      </c>
      <c r="G84" s="37">
        <v>1</v>
      </c>
      <c r="H84" s="37">
        <v>1</v>
      </c>
    </row>
    <row r="85" spans="1:8" ht="14.5">
      <c r="A85" s="38"/>
      <c r="B85" s="38"/>
      <c r="C85" s="38"/>
      <c r="D85" s="38"/>
      <c r="E85" s="34" t="s">
        <v>579</v>
      </c>
      <c r="F85" s="34" t="s">
        <v>580</v>
      </c>
      <c r="G85" s="37">
        <v>15.899999999999999</v>
      </c>
      <c r="H85" s="37">
        <v>15.899999999999999</v>
      </c>
    </row>
    <row r="86" spans="1:8" ht="14.5">
      <c r="A86" s="38"/>
      <c r="B86" s="38"/>
      <c r="C86" s="38"/>
      <c r="D86" s="38"/>
      <c r="E86" s="34" t="s">
        <v>581</v>
      </c>
      <c r="F86" s="34" t="s">
        <v>582</v>
      </c>
      <c r="G86" s="37">
        <v>13</v>
      </c>
      <c r="H86" s="37">
        <v>13</v>
      </c>
    </row>
    <row r="87" spans="1:8" ht="14.5">
      <c r="A87" s="38"/>
      <c r="B87" s="38"/>
      <c r="C87" s="38"/>
      <c r="D87" s="38"/>
      <c r="E87" s="34" t="s">
        <v>583</v>
      </c>
      <c r="F87" s="34" t="s">
        <v>584</v>
      </c>
      <c r="G87" s="37">
        <v>17</v>
      </c>
      <c r="H87" s="37">
        <v>17</v>
      </c>
    </row>
    <row r="88" spans="1:8" ht="14.5">
      <c r="A88" s="38"/>
      <c r="B88" s="38"/>
      <c r="C88" s="38"/>
      <c r="D88" s="38"/>
      <c r="E88" s="34" t="s">
        <v>585</v>
      </c>
      <c r="F88" s="34" t="s">
        <v>586</v>
      </c>
      <c r="G88" s="37">
        <v>1.7599999999999998</v>
      </c>
      <c r="H88" s="37">
        <v>1.76</v>
      </c>
    </row>
    <row r="89" spans="1:8" ht="14.5">
      <c r="A89" s="38"/>
      <c r="B89" s="38"/>
      <c r="C89" s="38"/>
      <c r="D89" s="38"/>
      <c r="E89" s="34" t="s">
        <v>587</v>
      </c>
      <c r="F89" s="34" t="s">
        <v>588</v>
      </c>
      <c r="G89" s="37">
        <v>16</v>
      </c>
      <c r="H89" s="37">
        <v>16</v>
      </c>
    </row>
    <row r="90" spans="1:8" ht="14.5">
      <c r="A90" s="38"/>
      <c r="B90" s="38"/>
      <c r="C90" s="38"/>
      <c r="D90" s="38"/>
      <c r="E90" s="34" t="s">
        <v>589</v>
      </c>
      <c r="F90" s="34" t="s">
        <v>590</v>
      </c>
      <c r="G90" s="37">
        <v>1.06</v>
      </c>
      <c r="H90" s="37">
        <v>1.06</v>
      </c>
    </row>
    <row r="91" spans="1:8" ht="14.5">
      <c r="A91" s="38"/>
      <c r="B91" s="38"/>
      <c r="C91" s="38"/>
      <c r="D91" s="38"/>
      <c r="E91" s="34" t="s">
        <v>591</v>
      </c>
      <c r="F91" s="34" t="s">
        <v>592</v>
      </c>
      <c r="G91" s="37">
        <v>23</v>
      </c>
      <c r="H91" s="37">
        <v>23</v>
      </c>
    </row>
    <row r="92" spans="1:8" ht="14.5">
      <c r="A92" s="38"/>
      <c r="B92" s="38"/>
      <c r="C92" s="38"/>
      <c r="D92" s="38"/>
      <c r="E92" s="34" t="s">
        <v>593</v>
      </c>
      <c r="F92" s="34" t="s">
        <v>594</v>
      </c>
      <c r="G92" s="37">
        <v>39</v>
      </c>
      <c r="H92" s="37">
        <v>39</v>
      </c>
    </row>
    <row r="93" spans="1:8" ht="14.5">
      <c r="A93" s="38"/>
      <c r="B93" s="38"/>
      <c r="C93" s="38"/>
      <c r="D93" s="38"/>
      <c r="E93" s="34" t="s">
        <v>595</v>
      </c>
      <c r="F93" s="34" t="s">
        <v>596</v>
      </c>
      <c r="G93" s="37">
        <v>11</v>
      </c>
      <c r="H93" s="37">
        <v>11</v>
      </c>
    </row>
    <row r="94" spans="1:8" ht="14.5">
      <c r="A94" s="38"/>
      <c r="B94" s="38"/>
      <c r="C94" s="38"/>
      <c r="D94" s="38"/>
      <c r="E94" s="34" t="s">
        <v>597</v>
      </c>
      <c r="F94" s="34" t="s">
        <v>598</v>
      </c>
      <c r="G94" s="37">
        <v>17</v>
      </c>
      <c r="H94" s="37">
        <v>17</v>
      </c>
    </row>
    <row r="95" spans="1:8" ht="14.5">
      <c r="A95" s="38"/>
      <c r="B95" s="38"/>
      <c r="C95" s="38"/>
      <c r="D95" s="38"/>
      <c r="E95" s="34" t="s">
        <v>599</v>
      </c>
      <c r="F95" s="34" t="s">
        <v>600</v>
      </c>
      <c r="G95" s="37">
        <v>10</v>
      </c>
      <c r="H95" s="37">
        <v>10</v>
      </c>
    </row>
    <row r="96" spans="1:8" ht="14.5">
      <c r="A96" s="38"/>
      <c r="B96" s="38"/>
      <c r="C96" s="38"/>
      <c r="D96" s="38"/>
      <c r="E96" s="34" t="s">
        <v>601</v>
      </c>
      <c r="F96" s="34" t="s">
        <v>602</v>
      </c>
      <c r="G96" s="37">
        <v>2.6</v>
      </c>
      <c r="H96" s="37">
        <v>2.6</v>
      </c>
    </row>
    <row r="97" spans="1:8" ht="14.5">
      <c r="A97" s="38"/>
      <c r="B97" s="38"/>
      <c r="C97" s="38"/>
      <c r="D97" s="38"/>
      <c r="E97" s="34" t="s">
        <v>603</v>
      </c>
      <c r="F97" s="34" t="s">
        <v>604</v>
      </c>
      <c r="G97" s="37">
        <v>28</v>
      </c>
      <c r="H97" s="37">
        <v>28</v>
      </c>
    </row>
    <row r="98" spans="1:8" ht="14.5">
      <c r="A98" s="38"/>
      <c r="B98" s="38"/>
      <c r="C98" s="38"/>
      <c r="D98" s="38"/>
      <c r="E98" s="34" t="s">
        <v>605</v>
      </c>
      <c r="F98" s="34" t="s">
        <v>606</v>
      </c>
      <c r="G98" s="37">
        <v>1</v>
      </c>
      <c r="H98" s="37">
        <v>1</v>
      </c>
    </row>
    <row r="99" spans="1:8" ht="14.5">
      <c r="A99" s="38"/>
      <c r="B99" s="38"/>
      <c r="C99" s="38"/>
      <c r="D99" s="38"/>
      <c r="E99" s="34" t="s">
        <v>607</v>
      </c>
      <c r="F99" s="34" t="s">
        <v>608</v>
      </c>
      <c r="G99" s="37">
        <v>7</v>
      </c>
      <c r="H99" s="37">
        <v>7</v>
      </c>
    </row>
    <row r="100" spans="1:8" ht="14.5">
      <c r="A100" s="38"/>
      <c r="B100" s="38"/>
      <c r="C100" s="38"/>
      <c r="D100" s="38"/>
      <c r="E100" s="34" t="s">
        <v>609</v>
      </c>
      <c r="F100" s="34" t="s">
        <v>610</v>
      </c>
      <c r="G100" s="37">
        <v>14.5</v>
      </c>
      <c r="H100" s="37">
        <v>14.5</v>
      </c>
    </row>
    <row r="101" spans="1:8" ht="14.5">
      <c r="A101" s="38"/>
      <c r="B101" s="38"/>
      <c r="C101" s="38"/>
      <c r="D101" s="38"/>
      <c r="E101" s="34" t="s">
        <v>611</v>
      </c>
      <c r="F101" s="34" t="s">
        <v>612</v>
      </c>
      <c r="G101" s="37">
        <v>27.400000000000002</v>
      </c>
      <c r="H101" s="37">
        <v>27.400000000000002</v>
      </c>
    </row>
    <row r="102" spans="1:8" ht="14.5">
      <c r="A102" s="38"/>
      <c r="B102" s="38"/>
      <c r="C102" s="38"/>
      <c r="D102" s="38"/>
      <c r="E102" s="34" t="s">
        <v>613</v>
      </c>
      <c r="F102" s="34" t="s">
        <v>614</v>
      </c>
      <c r="G102" s="37">
        <v>6</v>
      </c>
      <c r="H102" s="37">
        <v>6</v>
      </c>
    </row>
    <row r="103" spans="1:8" ht="14.5">
      <c r="A103" s="38"/>
      <c r="B103" s="38"/>
      <c r="C103" s="38"/>
      <c r="D103" s="38"/>
      <c r="E103" s="34" t="s">
        <v>615</v>
      </c>
      <c r="F103" s="34" t="s">
        <v>616</v>
      </c>
      <c r="G103" s="37">
        <v>33</v>
      </c>
      <c r="H103" s="37">
        <v>33</v>
      </c>
    </row>
    <row r="104" spans="1:8" ht="14.5">
      <c r="A104" s="38"/>
      <c r="B104" s="38"/>
      <c r="C104" s="38"/>
      <c r="D104" s="38"/>
      <c r="E104" s="34" t="s">
        <v>617</v>
      </c>
      <c r="F104" s="34" t="s">
        <v>618</v>
      </c>
      <c r="G104" s="37">
        <v>68</v>
      </c>
      <c r="H104" s="37">
        <v>68</v>
      </c>
    </row>
    <row r="105" spans="1:8" ht="14.5">
      <c r="A105" s="38"/>
      <c r="B105" s="38"/>
      <c r="C105" s="38"/>
      <c r="D105" s="38"/>
      <c r="E105" s="34" t="s">
        <v>619</v>
      </c>
      <c r="F105" s="34" t="s">
        <v>620</v>
      </c>
      <c r="G105" s="37">
        <v>198.90000000000006</v>
      </c>
      <c r="H105" s="37">
        <v>198.90000000000006</v>
      </c>
    </row>
    <row r="106" spans="1:8" ht="14.5">
      <c r="A106" s="38"/>
      <c r="B106" s="38"/>
      <c r="C106" s="38"/>
      <c r="D106" s="38"/>
      <c r="E106" s="34" t="s">
        <v>621</v>
      </c>
      <c r="F106" s="34" t="s">
        <v>622</v>
      </c>
      <c r="G106" s="37">
        <v>278</v>
      </c>
      <c r="H106" s="37">
        <v>278</v>
      </c>
    </row>
    <row r="107" spans="1:8" ht="14.5">
      <c r="A107" s="38"/>
      <c r="B107" s="38"/>
      <c r="C107" s="38"/>
      <c r="D107" s="38"/>
      <c r="E107" s="34" t="s">
        <v>623</v>
      </c>
      <c r="F107" s="34" t="s">
        <v>624</v>
      </c>
      <c r="G107" s="37">
        <v>63.2</v>
      </c>
      <c r="H107" s="37">
        <v>63.2</v>
      </c>
    </row>
    <row r="108" spans="1:8" ht="14.5">
      <c r="A108" s="38"/>
      <c r="B108" s="38"/>
      <c r="C108" s="38"/>
      <c r="D108" s="38"/>
      <c r="E108" s="34" t="s">
        <v>625</v>
      </c>
      <c r="F108" s="34" t="s">
        <v>626</v>
      </c>
      <c r="G108" s="37">
        <v>383</v>
      </c>
      <c r="H108" s="37">
        <v>383</v>
      </c>
    </row>
    <row r="109" spans="1:8" ht="14.5">
      <c r="A109" s="38"/>
      <c r="B109" s="38"/>
      <c r="C109" s="38"/>
      <c r="D109" s="38"/>
      <c r="E109" s="34" t="s">
        <v>627</v>
      </c>
      <c r="F109" s="34" t="s">
        <v>628</v>
      </c>
      <c r="G109" s="37">
        <v>9.2000000000000011</v>
      </c>
      <c r="H109" s="37">
        <v>9.2000000000000011</v>
      </c>
    </row>
    <row r="110" spans="1:8" ht="14.5">
      <c r="A110" s="38"/>
      <c r="B110" s="38"/>
      <c r="C110" s="38"/>
      <c r="D110" s="38"/>
      <c r="E110" s="34" t="s">
        <v>629</v>
      </c>
      <c r="F110" s="34" t="s">
        <v>630</v>
      </c>
      <c r="G110" s="37">
        <v>64</v>
      </c>
      <c r="H110" s="37">
        <v>64</v>
      </c>
    </row>
    <row r="111" spans="1:8" ht="14.5">
      <c r="A111" s="38"/>
      <c r="B111" s="38"/>
      <c r="C111" s="38"/>
      <c r="D111" s="38"/>
      <c r="E111" s="34" t="s">
        <v>631</v>
      </c>
      <c r="F111" s="34" t="s">
        <v>632</v>
      </c>
      <c r="G111" s="37">
        <v>238.10000000000002</v>
      </c>
      <c r="H111" s="37">
        <v>238.10000000000005</v>
      </c>
    </row>
    <row r="112" spans="1:8" ht="14.5">
      <c r="A112" s="38"/>
      <c r="B112" s="38"/>
      <c r="C112" s="38"/>
      <c r="D112" s="38"/>
      <c r="E112" s="34" t="s">
        <v>633</v>
      </c>
      <c r="F112" s="34" t="s">
        <v>634</v>
      </c>
      <c r="G112" s="37">
        <v>40.83</v>
      </c>
      <c r="H112" s="37">
        <v>40.83</v>
      </c>
    </row>
    <row r="113" spans="1:8" ht="14.5">
      <c r="A113" s="38"/>
      <c r="B113" s="38"/>
      <c r="C113" s="38"/>
      <c r="D113" s="34"/>
      <c r="E113" s="34" t="s">
        <v>635</v>
      </c>
      <c r="F113" s="34" t="s">
        <v>636</v>
      </c>
      <c r="G113" s="37">
        <v>99</v>
      </c>
      <c r="H113" s="37">
        <v>99</v>
      </c>
    </row>
    <row r="114" spans="1:8" ht="14.5">
      <c r="A114" s="38"/>
      <c r="B114" s="38"/>
      <c r="C114" s="38"/>
      <c r="D114" s="34"/>
      <c r="E114" s="34" t="s">
        <v>637</v>
      </c>
      <c r="F114" s="34" t="s">
        <v>638</v>
      </c>
      <c r="G114" s="37">
        <v>49</v>
      </c>
      <c r="H114" s="37">
        <v>49</v>
      </c>
    </row>
    <row r="115" spans="1:8" ht="14.5">
      <c r="A115" s="38"/>
      <c r="B115" s="38"/>
      <c r="C115" s="38"/>
      <c r="D115" s="34"/>
      <c r="E115" s="34" t="s">
        <v>639</v>
      </c>
      <c r="F115" s="34" t="s">
        <v>640</v>
      </c>
      <c r="G115" s="37">
        <v>146</v>
      </c>
      <c r="H115" s="37">
        <v>146</v>
      </c>
    </row>
    <row r="116" spans="1:8" ht="14.5">
      <c r="A116" s="38"/>
      <c r="B116" s="38"/>
      <c r="C116" s="38"/>
      <c r="D116" s="34"/>
      <c r="E116" s="34" t="s">
        <v>641</v>
      </c>
      <c r="F116" s="34" t="s">
        <v>642</v>
      </c>
      <c r="G116" s="37">
        <v>643</v>
      </c>
      <c r="H116" s="37">
        <v>643</v>
      </c>
    </row>
    <row r="117" spans="1:8" ht="14.5">
      <c r="A117" s="38"/>
      <c r="B117" s="38"/>
      <c r="C117" s="38"/>
      <c r="D117" s="34"/>
      <c r="E117" s="34" t="s">
        <v>643</v>
      </c>
      <c r="F117" s="34" t="s">
        <v>644</v>
      </c>
      <c r="G117" s="37">
        <v>345</v>
      </c>
      <c r="H117" s="37">
        <v>345</v>
      </c>
    </row>
    <row r="118" spans="1:8" ht="14.5">
      <c r="A118" s="38"/>
      <c r="B118" s="38"/>
      <c r="C118" s="38"/>
      <c r="D118" s="34"/>
      <c r="E118" s="34" t="s">
        <v>645</v>
      </c>
      <c r="F118" s="34" t="s">
        <v>646</v>
      </c>
      <c r="G118" s="37">
        <v>84</v>
      </c>
      <c r="H118" s="37">
        <v>84</v>
      </c>
    </row>
    <row r="119" spans="1:8" ht="14.5">
      <c r="A119" s="38"/>
      <c r="B119" s="38"/>
      <c r="C119" s="38"/>
      <c r="D119" s="34"/>
      <c r="E119" s="34" t="s">
        <v>647</v>
      </c>
      <c r="F119" s="34" t="s">
        <v>648</v>
      </c>
      <c r="G119" s="37">
        <v>6.3</v>
      </c>
      <c r="H119" s="37">
        <v>6.3</v>
      </c>
    </row>
    <row r="120" spans="1:8" ht="14.5">
      <c r="A120" s="38"/>
      <c r="B120" s="38"/>
      <c r="C120" s="38"/>
      <c r="D120" s="34"/>
      <c r="E120" s="34" t="s">
        <v>649</v>
      </c>
      <c r="F120" s="34" t="s">
        <v>650</v>
      </c>
      <c r="G120" s="37">
        <v>94</v>
      </c>
      <c r="H120" s="37">
        <v>94</v>
      </c>
    </row>
    <row r="121" spans="1:8" ht="14.5">
      <c r="A121" s="38"/>
      <c r="B121" s="38"/>
      <c r="C121" s="38"/>
      <c r="D121" s="34"/>
      <c r="E121" s="34" t="s">
        <v>651</v>
      </c>
      <c r="F121" s="34" t="s">
        <v>652</v>
      </c>
      <c r="G121" s="37">
        <v>3.7299999999999995</v>
      </c>
      <c r="H121" s="37">
        <v>3.7299999999999995</v>
      </c>
    </row>
    <row r="122" spans="1:8" ht="14.5">
      <c r="A122" s="38"/>
      <c r="B122" s="38"/>
      <c r="C122" s="38"/>
      <c r="D122" s="34" t="s">
        <v>653</v>
      </c>
      <c r="E122" s="34"/>
      <c r="F122" s="34"/>
      <c r="G122" s="37">
        <v>6867.0800000000027</v>
      </c>
      <c r="H122" s="37">
        <v>6867.0800000000027</v>
      </c>
    </row>
    <row r="123" spans="1:8" ht="14.5">
      <c r="A123" s="38"/>
      <c r="B123" s="38"/>
      <c r="C123" s="38"/>
      <c r="D123" s="34" t="s">
        <v>654</v>
      </c>
      <c r="E123" s="34" t="s">
        <v>655</v>
      </c>
      <c r="F123" s="34" t="s">
        <v>656</v>
      </c>
      <c r="G123" s="37">
        <v>3</v>
      </c>
      <c r="H123" s="37">
        <v>3</v>
      </c>
    </row>
    <row r="124" spans="1:8" ht="14.5">
      <c r="A124" s="38"/>
      <c r="B124" s="38"/>
      <c r="C124" s="38"/>
      <c r="D124" s="34"/>
      <c r="E124" s="34" t="s">
        <v>657</v>
      </c>
      <c r="F124" s="34" t="s">
        <v>658</v>
      </c>
      <c r="G124" s="37">
        <v>14</v>
      </c>
      <c r="H124" s="37">
        <v>14</v>
      </c>
    </row>
    <row r="125" spans="1:8" ht="14.5">
      <c r="A125" s="38"/>
      <c r="B125" s="38"/>
      <c r="C125" s="38"/>
      <c r="D125" s="34"/>
      <c r="E125" s="34" t="s">
        <v>659</v>
      </c>
      <c r="F125" s="34" t="s">
        <v>660</v>
      </c>
      <c r="G125" s="37">
        <v>18</v>
      </c>
      <c r="H125" s="37">
        <v>18</v>
      </c>
    </row>
    <row r="126" spans="1:8" ht="14.5">
      <c r="A126" s="38"/>
      <c r="B126" s="38"/>
      <c r="C126" s="38"/>
      <c r="D126" s="34"/>
      <c r="E126" s="34" t="s">
        <v>661</v>
      </c>
      <c r="F126" s="34" t="s">
        <v>662</v>
      </c>
      <c r="G126" s="37">
        <v>45</v>
      </c>
      <c r="H126" s="37">
        <v>45</v>
      </c>
    </row>
    <row r="127" spans="1:8" ht="14.5">
      <c r="A127" s="38"/>
      <c r="B127" s="38"/>
      <c r="C127" s="38"/>
      <c r="D127" s="34"/>
      <c r="E127" s="34" t="s">
        <v>663</v>
      </c>
      <c r="F127" s="34" t="s">
        <v>664</v>
      </c>
      <c r="G127" s="37">
        <v>168</v>
      </c>
      <c r="H127" s="37">
        <v>168</v>
      </c>
    </row>
    <row r="128" spans="1:8" ht="14.5">
      <c r="A128" s="38"/>
      <c r="B128" s="38"/>
      <c r="C128" s="38"/>
      <c r="D128" s="34"/>
      <c r="E128" s="34" t="s">
        <v>665</v>
      </c>
      <c r="F128" s="34" t="s">
        <v>666</v>
      </c>
      <c r="G128" s="37">
        <v>34</v>
      </c>
      <c r="H128" s="37">
        <v>34</v>
      </c>
    </row>
    <row r="129" spans="1:8" ht="14.5">
      <c r="A129" s="38"/>
      <c r="B129" s="38"/>
      <c r="C129" s="38"/>
      <c r="D129" s="38"/>
      <c r="E129" s="34" t="s">
        <v>667</v>
      </c>
      <c r="F129" s="34" t="s">
        <v>668</v>
      </c>
      <c r="G129" s="37">
        <v>115</v>
      </c>
      <c r="H129" s="37">
        <v>115</v>
      </c>
    </row>
    <row r="130" spans="1:8" ht="14.5">
      <c r="A130" s="38"/>
      <c r="B130" s="38"/>
      <c r="C130" s="38"/>
      <c r="D130" s="38"/>
      <c r="E130" s="34" t="s">
        <v>669</v>
      </c>
      <c r="F130" s="34" t="s">
        <v>670</v>
      </c>
      <c r="G130" s="37">
        <v>31</v>
      </c>
      <c r="H130" s="37">
        <v>31</v>
      </c>
    </row>
    <row r="131" spans="1:8" ht="14.5">
      <c r="A131" s="38"/>
      <c r="B131" s="38"/>
      <c r="C131" s="38"/>
      <c r="D131" s="38"/>
      <c r="E131" s="34" t="s">
        <v>671</v>
      </c>
      <c r="F131" s="34" t="s">
        <v>672</v>
      </c>
      <c r="G131" s="37">
        <v>112</v>
      </c>
      <c r="H131" s="37">
        <v>112</v>
      </c>
    </row>
    <row r="132" spans="1:8" ht="14.5">
      <c r="A132" s="38"/>
      <c r="B132" s="38"/>
      <c r="C132" s="38"/>
      <c r="D132" s="38"/>
      <c r="E132" s="34" t="s">
        <v>673</v>
      </c>
      <c r="F132" s="34" t="s">
        <v>674</v>
      </c>
      <c r="G132" s="37">
        <v>36</v>
      </c>
      <c r="H132" s="37">
        <v>36</v>
      </c>
    </row>
    <row r="133" spans="1:8" ht="14.5">
      <c r="A133" s="38"/>
      <c r="B133" s="38"/>
      <c r="C133" s="38"/>
      <c r="D133" s="38"/>
      <c r="E133" s="34" t="s">
        <v>675</v>
      </c>
      <c r="F133" s="34" t="s">
        <v>676</v>
      </c>
      <c r="G133" s="37">
        <v>135</v>
      </c>
      <c r="H133" s="37">
        <v>135</v>
      </c>
    </row>
    <row r="134" spans="1:8" ht="14.5">
      <c r="A134" s="38"/>
      <c r="B134" s="38"/>
      <c r="C134" s="38"/>
      <c r="D134" s="38"/>
      <c r="E134" s="34" t="s">
        <v>677</v>
      </c>
      <c r="F134" s="34" t="s">
        <v>678</v>
      </c>
      <c r="G134" s="37">
        <v>36</v>
      </c>
      <c r="H134" s="37">
        <v>36</v>
      </c>
    </row>
    <row r="135" spans="1:8" ht="14.5">
      <c r="A135" s="38"/>
      <c r="B135" s="38"/>
      <c r="C135" s="38"/>
      <c r="D135" s="38"/>
      <c r="E135" s="34" t="s">
        <v>679</v>
      </c>
      <c r="F135" s="34" t="s">
        <v>680</v>
      </c>
      <c r="G135" s="37">
        <v>11</v>
      </c>
      <c r="H135" s="37">
        <v>11</v>
      </c>
    </row>
    <row r="136" spans="1:8" ht="14.5">
      <c r="A136" s="38"/>
      <c r="B136" s="38"/>
      <c r="C136" s="38"/>
      <c r="D136" s="38"/>
      <c r="E136" s="34" t="s">
        <v>681</v>
      </c>
      <c r="F136" s="34" t="s">
        <v>682</v>
      </c>
      <c r="G136" s="37">
        <v>5</v>
      </c>
      <c r="H136" s="37">
        <v>5</v>
      </c>
    </row>
    <row r="137" spans="1:8" ht="14.5">
      <c r="A137" s="38"/>
      <c r="B137" s="38"/>
      <c r="C137" s="38"/>
      <c r="D137" s="38"/>
      <c r="E137" s="34" t="s">
        <v>683</v>
      </c>
      <c r="F137" s="34" t="s">
        <v>684</v>
      </c>
      <c r="G137" s="37">
        <v>91</v>
      </c>
      <c r="H137" s="37">
        <v>91</v>
      </c>
    </row>
    <row r="138" spans="1:8" ht="14.5">
      <c r="A138" s="38"/>
      <c r="B138" s="38"/>
      <c r="C138" s="38"/>
      <c r="D138" s="38"/>
      <c r="E138" s="34" t="s">
        <v>685</v>
      </c>
      <c r="F138" s="34" t="s">
        <v>686</v>
      </c>
      <c r="G138" s="37">
        <v>56</v>
      </c>
      <c r="H138" s="37">
        <v>56</v>
      </c>
    </row>
    <row r="139" spans="1:8" ht="14.5">
      <c r="A139" s="38"/>
      <c r="B139" s="38"/>
      <c r="C139" s="38"/>
      <c r="D139" s="38"/>
      <c r="E139" s="34" t="s">
        <v>687</v>
      </c>
      <c r="F139" s="34" t="s">
        <v>688</v>
      </c>
      <c r="G139" s="37">
        <v>164</v>
      </c>
      <c r="H139" s="37">
        <v>164</v>
      </c>
    </row>
    <row r="140" spans="1:8" ht="14.5">
      <c r="A140" s="38"/>
      <c r="B140" s="38"/>
      <c r="C140" s="38"/>
      <c r="D140" s="38"/>
      <c r="E140" s="34" t="s">
        <v>689</v>
      </c>
      <c r="F140" s="34" t="s">
        <v>690</v>
      </c>
      <c r="G140" s="37">
        <v>106</v>
      </c>
      <c r="H140" s="37">
        <v>106</v>
      </c>
    </row>
    <row r="141" spans="1:8" ht="14.5">
      <c r="A141" s="38"/>
      <c r="B141" s="38"/>
      <c r="C141" s="38"/>
      <c r="D141" s="38"/>
      <c r="E141" s="34" t="s">
        <v>691</v>
      </c>
      <c r="F141" s="34" t="s">
        <v>692</v>
      </c>
      <c r="G141" s="37">
        <v>63</v>
      </c>
      <c r="H141" s="37">
        <v>63</v>
      </c>
    </row>
    <row r="142" spans="1:8" ht="14.5">
      <c r="A142" s="38"/>
      <c r="B142" s="38"/>
      <c r="C142" s="38"/>
      <c r="D142" s="38"/>
      <c r="E142" s="34" t="s">
        <v>693</v>
      </c>
      <c r="F142" s="34" t="s">
        <v>694</v>
      </c>
      <c r="G142" s="37">
        <v>6</v>
      </c>
      <c r="H142" s="37">
        <v>6</v>
      </c>
    </row>
    <row r="143" spans="1:8" ht="14.5">
      <c r="A143" s="38"/>
      <c r="B143" s="38"/>
      <c r="C143" s="38"/>
      <c r="D143" s="38"/>
      <c r="E143" s="34" t="s">
        <v>695</v>
      </c>
      <c r="F143" s="34" t="s">
        <v>696</v>
      </c>
      <c r="G143" s="37">
        <v>15</v>
      </c>
      <c r="H143" s="37">
        <v>15</v>
      </c>
    </row>
    <row r="144" spans="1:8" ht="14.5">
      <c r="A144" s="38"/>
      <c r="B144" s="38"/>
      <c r="C144" s="38"/>
      <c r="D144" s="38"/>
      <c r="E144" s="34" t="s">
        <v>697</v>
      </c>
      <c r="F144" s="34" t="s">
        <v>698</v>
      </c>
      <c r="G144" s="37">
        <v>68</v>
      </c>
      <c r="H144" s="37">
        <v>68</v>
      </c>
    </row>
    <row r="145" spans="1:8" ht="14.5">
      <c r="A145" s="38"/>
      <c r="B145" s="34"/>
      <c r="C145" s="34"/>
      <c r="D145" s="34"/>
      <c r="E145" s="34" t="s">
        <v>699</v>
      </c>
      <c r="F145" s="34" t="s">
        <v>700</v>
      </c>
      <c r="G145" s="37">
        <v>31</v>
      </c>
      <c r="H145" s="37">
        <v>31</v>
      </c>
    </row>
    <row r="146" spans="1:8" ht="14.5">
      <c r="A146" s="38"/>
      <c r="B146" s="34"/>
      <c r="C146" s="34"/>
      <c r="D146" s="34"/>
      <c r="E146" s="34" t="s">
        <v>701</v>
      </c>
      <c r="F146" s="34" t="s">
        <v>702</v>
      </c>
      <c r="G146" s="37">
        <v>113</v>
      </c>
      <c r="H146" s="37">
        <v>113</v>
      </c>
    </row>
    <row r="147" spans="1:8" ht="14.5">
      <c r="A147" s="38"/>
      <c r="B147" s="34"/>
      <c r="C147" s="34"/>
      <c r="D147" s="34"/>
      <c r="E147" s="34" t="s">
        <v>703</v>
      </c>
      <c r="F147" s="34" t="s">
        <v>704</v>
      </c>
      <c r="G147" s="37">
        <v>188</v>
      </c>
      <c r="H147" s="37">
        <v>188</v>
      </c>
    </row>
    <row r="148" spans="1:8" ht="14.5">
      <c r="A148" s="38"/>
      <c r="B148" s="34"/>
      <c r="C148" s="34"/>
      <c r="D148" s="34"/>
      <c r="E148" s="34" t="s">
        <v>705</v>
      </c>
      <c r="F148" s="34" t="s">
        <v>706</v>
      </c>
      <c r="G148" s="37">
        <v>3</v>
      </c>
      <c r="H148" s="37">
        <v>3</v>
      </c>
    </row>
    <row r="149" spans="1:8" ht="14.5">
      <c r="A149" s="38"/>
      <c r="B149" s="34"/>
      <c r="C149" s="34"/>
      <c r="D149" s="34"/>
      <c r="E149" s="34" t="s">
        <v>707</v>
      </c>
      <c r="F149" s="34" t="s">
        <v>708</v>
      </c>
      <c r="G149" s="37">
        <v>27</v>
      </c>
      <c r="H149" s="37">
        <v>27</v>
      </c>
    </row>
    <row r="150" spans="1:8" ht="14.5">
      <c r="A150" s="38"/>
      <c r="B150" s="34"/>
      <c r="C150" s="34"/>
      <c r="D150" s="34"/>
      <c r="E150" s="34" t="s">
        <v>709</v>
      </c>
      <c r="F150" s="34" t="s">
        <v>710</v>
      </c>
      <c r="G150" s="37">
        <v>66</v>
      </c>
      <c r="H150" s="37">
        <v>66</v>
      </c>
    </row>
    <row r="151" spans="1:8" ht="14.5">
      <c r="A151" s="38"/>
      <c r="B151" s="34"/>
      <c r="C151" s="34"/>
      <c r="D151" s="34"/>
      <c r="E151" s="34" t="s">
        <v>711</v>
      </c>
      <c r="F151" s="34" t="s">
        <v>712</v>
      </c>
      <c r="G151" s="37">
        <v>57</v>
      </c>
      <c r="H151" s="37">
        <v>57</v>
      </c>
    </row>
    <row r="152" spans="1:8" ht="14.5">
      <c r="A152" s="38"/>
      <c r="B152" s="34"/>
      <c r="C152" s="34"/>
      <c r="D152" s="34"/>
      <c r="E152" s="34" t="s">
        <v>713</v>
      </c>
      <c r="F152" s="34" t="s">
        <v>714</v>
      </c>
      <c r="G152" s="37">
        <v>196</v>
      </c>
      <c r="H152" s="37">
        <v>196</v>
      </c>
    </row>
    <row r="153" spans="1:8" ht="14.5">
      <c r="A153" s="38"/>
      <c r="B153" s="34"/>
      <c r="C153" s="34"/>
      <c r="D153" s="34"/>
      <c r="E153" s="34" t="s">
        <v>715</v>
      </c>
      <c r="F153" s="34" t="s">
        <v>716</v>
      </c>
      <c r="G153" s="37">
        <v>330</v>
      </c>
      <c r="H153" s="37">
        <v>330</v>
      </c>
    </row>
    <row r="154" spans="1:8" ht="14.5">
      <c r="A154" s="38"/>
      <c r="B154" s="34"/>
      <c r="C154" s="34"/>
      <c r="D154" s="34"/>
      <c r="E154" s="34" t="s">
        <v>717</v>
      </c>
      <c r="F154" s="34" t="s">
        <v>718</v>
      </c>
      <c r="G154" s="37">
        <v>23</v>
      </c>
      <c r="H154" s="37">
        <v>23</v>
      </c>
    </row>
    <row r="155" spans="1:8" ht="14.5">
      <c r="A155" s="38"/>
      <c r="B155" s="34"/>
      <c r="C155" s="34"/>
      <c r="D155" s="34"/>
      <c r="E155" s="34" t="s">
        <v>719</v>
      </c>
      <c r="F155" s="34" t="s">
        <v>720</v>
      </c>
      <c r="G155" s="37">
        <v>27</v>
      </c>
      <c r="H155" s="37">
        <v>27</v>
      </c>
    </row>
    <row r="156" spans="1:8" ht="14.5">
      <c r="A156" s="38"/>
      <c r="B156" s="34"/>
      <c r="C156" s="34"/>
      <c r="D156" s="34"/>
      <c r="E156" s="34" t="s">
        <v>721</v>
      </c>
      <c r="F156" s="34" t="s">
        <v>722</v>
      </c>
      <c r="G156" s="37">
        <v>2.7</v>
      </c>
      <c r="H156" s="37">
        <v>2.7</v>
      </c>
    </row>
    <row r="157" spans="1:8" ht="14.5">
      <c r="A157" s="38"/>
      <c r="B157" s="34"/>
      <c r="C157" s="34"/>
      <c r="D157" s="34"/>
      <c r="E157" s="34" t="s">
        <v>723</v>
      </c>
      <c r="F157" s="34" t="s">
        <v>724</v>
      </c>
      <c r="G157" s="37">
        <v>15</v>
      </c>
      <c r="H157" s="37">
        <v>15</v>
      </c>
    </row>
    <row r="158" spans="1:8" ht="14.5">
      <c r="A158" s="38"/>
      <c r="B158" s="34"/>
      <c r="C158" s="34"/>
      <c r="D158" s="34" t="s">
        <v>725</v>
      </c>
      <c r="E158" s="34"/>
      <c r="F158" s="34"/>
      <c r="G158" s="37">
        <v>2410.6999999999998</v>
      </c>
      <c r="H158" s="37">
        <v>2410.6999999999998</v>
      </c>
    </row>
    <row r="159" spans="1:8" ht="14.5">
      <c r="A159" s="38"/>
      <c r="B159" s="34"/>
      <c r="C159" s="34" t="s">
        <v>726</v>
      </c>
      <c r="D159" s="34"/>
      <c r="E159" s="34"/>
      <c r="F159" s="34"/>
      <c r="G159" s="37">
        <v>10611.779999999997</v>
      </c>
      <c r="H159" s="37">
        <v>10611.779999999997</v>
      </c>
    </row>
    <row r="160" spans="1:8" ht="14.5">
      <c r="A160" s="38"/>
      <c r="B160" s="34" t="s">
        <v>727</v>
      </c>
      <c r="C160" s="34"/>
      <c r="D160" s="34"/>
      <c r="E160" s="34"/>
      <c r="F160" s="34"/>
      <c r="G160" s="37">
        <v>10611.779999999997</v>
      </c>
      <c r="H160" s="37">
        <v>10611.779999999997</v>
      </c>
    </row>
    <row r="161" spans="1:8" ht="14.5">
      <c r="A161" s="34" t="s">
        <v>728</v>
      </c>
      <c r="B161" s="34"/>
      <c r="C161" s="34"/>
      <c r="D161" s="34"/>
      <c r="E161" s="34"/>
      <c r="F161" s="34"/>
      <c r="G161" s="37">
        <v>10611.779999999997</v>
      </c>
      <c r="H161" s="37">
        <v>10611.78</v>
      </c>
    </row>
  </sheetData>
  <mergeCells count="1">
    <mergeCell ref="E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TDSheet</vt:lpstr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Users</dc:creator>
  <cp:lastModifiedBy>Users</cp:lastModifiedBy>
  <dcterms:created xsi:type="dcterms:W3CDTF">2026-09-15T18:17:56Z</dcterms:created>
  <dcterms:modified xsi:type="dcterms:W3CDTF">2026-09-15T18:17:56Z</dcterms:modified>
</cp:coreProperties>
</file>