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ED8EF4-88B9-41D1-B999-A4A2DD1AC11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Z525" i="2"/>
  <c r="Y525" i="2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Y392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183" i="2" l="1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9" i="2"/>
  <c r="BN57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<sst xmlns="http://schemas.openxmlformats.org/spreadsheetml/2006/main" count="4274" uniqueCount="894">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</sst>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476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46279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876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4.1666666666666664E-2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18.518518518518519</v>
      </c>
      <c r="Y62" s="43">
        <f>IFERROR(Y55/H55,"0")+IFERROR(Y56/H56,"0")+IFERROR(Y57/H57,"0")+IFERROR(Y58/H58,"0")+IFERROR(Y59/H59,"0")+IFERROR(Y60/H60,"0")+IFERROR(Y61/H61,"0")</f>
        <v>19</v>
      </c>
      <c r="Z62" s="43">
        <f>IFERROR(IF(Z55="",0,Z55),"0")+IFERROR(IF(Z56="",0,Z56),"0")+IFERROR(IF(Z57="",0,Z57),"0")+IFERROR(IF(Z58="",0,Z58),"0")+IFERROR(IF(Z59="",0,Z59),"0")+IFERROR(IF(Z60="",0,Z60),"0")+IFERROR(IF(Z61="",0,Z61),"0")</f>
        <v>0.36062</v>
      </c>
      <c r="AA62" s="67"/>
      <c r="AB62" s="67"/>
      <c r="AC62" s="67"/>
    </row>
    <row r="63" spans="1:68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200</v>
      </c>
      <c r="Y63" s="43">
        <f>IFERROR(SUM(Y55:Y61),"0")</f>
        <v>205.20000000000002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70</v>
      </c>
      <c r="Y65" s="55">
        <f>IFERROR(IF(X65="",0,CEILING((X65/$H65),1)*$H65),"")</f>
        <v>75.600000000000009</v>
      </c>
      <c r="Z65" s="41">
        <f>IFERROR(IF(Y65=0,"",ROUNDUP(Y65/H65,0)*0.01898),"")</f>
        <v>0.13286000000000001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72.657407407407405</v>
      </c>
      <c r="BN65" s="78">
        <f>IFERROR(Y65*I65/H65,"0")</f>
        <v>78.47</v>
      </c>
      <c r="BO65" s="78">
        <f>IFERROR(1/J65*(X65/H65),"0")</f>
        <v>0.10127314814814814</v>
      </c>
      <c r="BP65" s="78">
        <f>IFERROR(1/J65*(Y65/H65),"0")</f>
        <v>0.109375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6.481481481481481</v>
      </c>
      <c r="Y69" s="43">
        <f>IFERROR(Y65/H65,"0")+IFERROR(Y66/H66,"0")+IFERROR(Y67/H67,"0")+IFERROR(Y68/H68,"0")</f>
        <v>7</v>
      </c>
      <c r="Z69" s="43">
        <f>IFERROR(IF(Z65="",0,Z65),"0")+IFERROR(IF(Z66="",0,Z66),"0")+IFERROR(IF(Z67="",0,Z67),"0")+IFERROR(IF(Z68="",0,Z68),"0")</f>
        <v>0.13286000000000001</v>
      </c>
      <c r="AA69" s="67"/>
      <c r="AB69" s="67"/>
      <c r="AC69" s="67"/>
    </row>
    <row r="70" spans="1:68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70</v>
      </c>
      <c r="Y70" s="43">
        <f>IFERROR(SUM(Y65:Y68),"0")</f>
        <v>75.600000000000009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113</v>
      </c>
      <c r="Y89" s="55">
        <f t="shared" si="5"/>
        <v>117</v>
      </c>
      <c r="Z89" s="41">
        <f>IFERROR(IF(Y89=0,"",ROUNDUP(Y89/H89,0)*0.00902),"")</f>
        <v>0.23452000000000001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117.77111111111111</v>
      </c>
      <c r="BN89" s="78">
        <f t="shared" si="7"/>
        <v>121.94</v>
      </c>
      <c r="BO89" s="78">
        <f t="shared" si="8"/>
        <v>0.19023569023569023</v>
      </c>
      <c r="BP89" s="78">
        <f t="shared" si="9"/>
        <v>0.19696969696969696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34.370370370370367</v>
      </c>
      <c r="Y91" s="43">
        <f>IFERROR(Y85/H85,"0")+IFERROR(Y86/H86,"0")+IFERROR(Y87/H87,"0")+IFERROR(Y88/H88,"0")+IFERROR(Y89/H89,"0")+IFERROR(Y90/H90,"0")</f>
        <v>36</v>
      </c>
      <c r="Z91" s="43">
        <f>IFERROR(IF(Z85="",0,Z85),"0")+IFERROR(IF(Z86="",0,Z86),"0")+IFERROR(IF(Z87="",0,Z87),"0")+IFERROR(IF(Z88="",0,Z88),"0")+IFERROR(IF(Z89="",0,Z89),"0")+IFERROR(IF(Z90="",0,Z90),"0")</f>
        <v>0.42432000000000003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213</v>
      </c>
      <c r="Y92" s="43">
        <f>IFERROR(SUM(Y85:Y90),"0")</f>
        <v>225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700</v>
      </c>
      <c r="Y94" s="55">
        <f>IFERROR(IF(X94="",0,CEILING((X94/$H94),1)*$H94),"")</f>
        <v>704.69999999999993</v>
      </c>
      <c r="Z94" s="41">
        <f>IFERROR(IF(Y94=0,"",ROUNDUP(Y94/H94,0)*0.01898),"")</f>
        <v>1.65126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742.69135802469134</v>
      </c>
      <c r="BN94" s="78">
        <f>IFERROR(Y94*I94/H94,"0")</f>
        <v>747.67799999999988</v>
      </c>
      <c r="BO94" s="78">
        <f>IFERROR(1/J94*(X94/H94),"0")</f>
        <v>1.3503086419753088</v>
      </c>
      <c r="BP94" s="78">
        <f>IFERROR(1/J94*(Y94/H94),"0")</f>
        <v>1.359375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86.41975308641976</v>
      </c>
      <c r="Y98" s="43">
        <f>IFERROR(Y94/H94,"0")+IFERROR(Y95/H95,"0")+IFERROR(Y96/H96,"0")+IFERROR(Y97/H97,"0")</f>
        <v>87</v>
      </c>
      <c r="Z98" s="43">
        <f>IFERROR(IF(Z94="",0,Z94),"0")+IFERROR(IF(Z95="",0,Z95),"0")+IFERROR(IF(Z96="",0,Z96),"0")+IFERROR(IF(Z97="",0,Z97),"0")</f>
        <v>1.65126</v>
      </c>
      <c r="AA98" s="67"/>
      <c r="AB98" s="67"/>
      <c r="AC98" s="67"/>
    </row>
    <row r="99" spans="1:68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700</v>
      </c>
      <c r="Y99" s="43">
        <f>IFERROR(SUM(Y94:Y97),"0")</f>
        <v>704.69999999999993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200</v>
      </c>
      <c r="Y102" s="55">
        <f t="shared" ref="Y102:Y107" si="10">IFERROR(IF(X102="",0,CEILING((X102/$H102),1)*$H102),"")</f>
        <v>205.20000000000002</v>
      </c>
      <c r="Z102" s="41">
        <f>IFERROR(IF(Y102=0,"",ROUNDUP(Y102/H102,0)*0.01898),"")</f>
        <v>0.36062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207.59259259259258</v>
      </c>
      <c r="BN102" s="78">
        <f t="shared" ref="BN102:BN107" si="12">IFERROR(Y102*I102/H102,"0")</f>
        <v>212.99</v>
      </c>
      <c r="BO102" s="78">
        <f t="shared" ref="BO102:BO107" si="13">IFERROR(1/J102*(X102/H102),"0")</f>
        <v>0.28935185185185186</v>
      </c>
      <c r="BP102" s="78">
        <f t="shared" ref="BP102:BP107" si="14">IFERROR(1/J102*(Y102/H102),"0")</f>
        <v>0.296875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90</v>
      </c>
      <c r="Y105" s="55">
        <f t="shared" si="10"/>
        <v>90</v>
      </c>
      <c r="Z105" s="41">
        <f>IFERROR(IF(Y105=0,"",ROUNDUP(Y105/H105,0)*0.00902),"")</f>
        <v>0.1804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93.800000000000011</v>
      </c>
      <c r="BN105" s="78">
        <f t="shared" si="12"/>
        <v>93.800000000000011</v>
      </c>
      <c r="BO105" s="78">
        <f t="shared" si="13"/>
        <v>0.15151515151515152</v>
      </c>
      <c r="BP105" s="78">
        <f t="shared" si="14"/>
        <v>0.15151515151515152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38.518518518518519</v>
      </c>
      <c r="Y108" s="43">
        <f>IFERROR(Y102/H102,"0")+IFERROR(Y103/H103,"0")+IFERROR(Y104/H104,"0")+IFERROR(Y105/H105,"0")+IFERROR(Y106/H106,"0")+IFERROR(Y107/H107,"0")</f>
        <v>39</v>
      </c>
      <c r="Z108" s="43">
        <f>IFERROR(IF(Z102="",0,Z102),"0")+IFERROR(IF(Z103="",0,Z103),"0")+IFERROR(IF(Z104="",0,Z104),"0")+IFERROR(IF(Z105="",0,Z105),"0")+IFERROR(IF(Z106="",0,Z106),"0")+IFERROR(IF(Z107="",0,Z107),"0")</f>
        <v>0.54102000000000006</v>
      </c>
      <c r="AA108" s="67"/>
      <c r="AB108" s="67"/>
      <c r="AC108" s="67"/>
    </row>
    <row r="109" spans="1:68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290</v>
      </c>
      <c r="Y109" s="43">
        <f>IFERROR(SUM(Y102:Y107),"0")</f>
        <v>295.20000000000005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32</v>
      </c>
      <c r="Y115" s="55">
        <f>IFERROR(IF(X115="",0,CEILING((X115/$H115),1)*$H115),"")</f>
        <v>33.6</v>
      </c>
      <c r="Z115" s="41">
        <f>IFERROR(IF(Y115=0,"",ROUNDUP(Y115/H115,0)*0.00651),"")</f>
        <v>9.1139999999999999E-2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34.400000000000006</v>
      </c>
      <c r="BN115" s="78">
        <f>IFERROR(Y115*I115/H115,"0")</f>
        <v>36.120000000000005</v>
      </c>
      <c r="BO115" s="78">
        <f>IFERROR(1/J115*(X115/H115),"0")</f>
        <v>7.3260073260073263E-2</v>
      </c>
      <c r="BP115" s="78">
        <f>IFERROR(1/J115*(Y115/H115),"0")</f>
        <v>7.6923076923076941E-2</v>
      </c>
    </row>
    <row r="116" spans="1:68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13.333333333333334</v>
      </c>
      <c r="Y116" s="43">
        <f>IFERROR(Y111/H111,"0")+IFERROR(Y112/H112,"0")+IFERROR(Y113/H113,"0")+IFERROR(Y114/H114,"0")+IFERROR(Y115/H115,"0")</f>
        <v>14.000000000000002</v>
      </c>
      <c r="Z116" s="43">
        <f>IFERROR(IF(Z111="",0,Z111),"0")+IFERROR(IF(Z112="",0,Z112),"0")+IFERROR(IF(Z113="",0,Z113),"0")+IFERROR(IF(Z114="",0,Z114),"0")+IFERROR(IF(Z115="",0,Z115),"0")</f>
        <v>9.1139999999999999E-2</v>
      </c>
      <c r="AA116" s="67"/>
      <c r="AB116" s="67"/>
      <c r="AC116" s="67"/>
    </row>
    <row r="117" spans="1:68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32</v>
      </c>
      <c r="Y117" s="43">
        <f>IFERROR(SUM(Y111:Y115),"0")</f>
        <v>33.6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2000</v>
      </c>
      <c r="Y119" s="55">
        <f>IFERROR(IF(X119="",0,CEILING((X119/$H119),1)*$H119),"")</f>
        <v>2000.6999999999998</v>
      </c>
      <c r="Z119" s="41">
        <f>IFERROR(IF(Y119=0,"",ROUNDUP(Y119/H119,0)*0.01898),"")</f>
        <v>4.6880600000000001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2120.4938271604938</v>
      </c>
      <c r="BN119" s="78">
        <f>IFERROR(Y119*I119/H119,"0")</f>
        <v>2121.2359999999999</v>
      </c>
      <c r="BO119" s="78">
        <f>IFERROR(1/J119*(X119/H119),"0")</f>
        <v>3.8580246913580249</v>
      </c>
      <c r="BP119" s="78">
        <f>IFERROR(1/J119*(Y119/H119),"0")</f>
        <v>3.859375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246.9135802469136</v>
      </c>
      <c r="Y123" s="43">
        <f>IFERROR(Y119/H119,"0")+IFERROR(Y120/H120,"0")+IFERROR(Y121/H121,"0")+IFERROR(Y122/H122,"0")</f>
        <v>247</v>
      </c>
      <c r="Z123" s="43">
        <f>IFERROR(IF(Z119="",0,Z119),"0")+IFERROR(IF(Z120="",0,Z120),"0")+IFERROR(IF(Z121="",0,Z121),"0")+IFERROR(IF(Z122="",0,Z122),"0")</f>
        <v>4.6880600000000001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2000</v>
      </c>
      <c r="Y124" s="43">
        <f>IFERROR(SUM(Y119:Y122),"0")</f>
        <v>2000.6999999999998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150</v>
      </c>
      <c r="Y172" s="55">
        <f t="shared" ref="Y172:Y183" si="21">IFERROR(IF(X172="",0,CEILING((X172/$H172),1)*$H172),"")</f>
        <v>150.5</v>
      </c>
      <c r="Z172" s="41">
        <f>IFERROR(IF(Y172=0,"",ROUNDUP(Y172/H172,0)*0.00902),"")</f>
        <v>0.38785999999999998</v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158.14285714285714</v>
      </c>
      <c r="BN172" s="78">
        <f t="shared" ref="BN172:BN183" si="23">IFERROR(Y172*I172/H172,"0")</f>
        <v>158.67000000000002</v>
      </c>
      <c r="BO172" s="78">
        <f t="shared" ref="BO172:BO183" si="24">IFERROR(1/J172*(X172/H172),"0")</f>
        <v>0.32467532467532467</v>
      </c>
      <c r="BP172" s="78">
        <f t="shared" ref="BP172:BP183" si="25">IFERROR(1/J172*(Y172/H172),"0")</f>
        <v>0.32575757575757575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42.857142857142854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43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0.38785999999999998</v>
      </c>
      <c r="AA184" s="67"/>
      <c r="AB184" s="67"/>
      <c r="AC184" s="67"/>
    </row>
    <row r="185" spans="1:68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150</v>
      </c>
      <c r="Y185" s="43">
        <f>IFERROR(SUM(Y172:Y183),"0")</f>
        <v>150.5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150</v>
      </c>
      <c r="Y218" s="55">
        <f t="shared" ref="Y218:Y232" si="32">IFERROR(IF(X218="",0,CEILING((X218/$H218),1)*$H218),"")</f>
        <v>151.20000000000002</v>
      </c>
      <c r="Z218" s="41">
        <f>IFERROR(IF(Y218=0,"",ROUNDUP(Y218/H218,0)*0.00902),"")</f>
        <v>0.32472000000000001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158.92857142857142</v>
      </c>
      <c r="BN218" s="78">
        <f t="shared" ref="BN218:BN232" si="34">IFERROR(Y218*I218/H218,"0")</f>
        <v>160.20000000000002</v>
      </c>
      <c r="BO218" s="78">
        <f t="shared" ref="BO218:BO232" si="35">IFERROR(1/J218*(X218/H218),"0")</f>
        <v>0.27056277056277056</v>
      </c>
      <c r="BP218" s="78">
        <f t="shared" ref="BP218:BP232" si="36">IFERROR(1/J218*(Y218/H218),"0")</f>
        <v>0.27272727272727271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35.714285714285715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36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0.32472000000000001</v>
      </c>
      <c r="AA233" s="67"/>
      <c r="AB233" s="67"/>
      <c r="AC233" s="67"/>
    </row>
    <row r="234" spans="1:68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150</v>
      </c>
      <c r="Y234" s="43">
        <f>IFERROR(SUM(Y218:Y232),"0")</f>
        <v>151.20000000000002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77</v>
      </c>
      <c r="Y260" s="55">
        <f>IFERROR(IF(X260="",0,CEILING((X260/$H260),1)*$H260),"")</f>
        <v>78.300000000000011</v>
      </c>
      <c r="Z260" s="41">
        <f>IFERROR(IF(Y260=0,"",ROUNDUP(Y260/H260,0)*0.00651),"")</f>
        <v>0.18879000000000001</v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82.133333333333326</v>
      </c>
      <c r="BN260" s="78">
        <f>IFERROR(Y260*I260/H260,"0")</f>
        <v>83.52</v>
      </c>
      <c r="BO260" s="78">
        <f>IFERROR(1/J260*(X260/H260),"0")</f>
        <v>0.15669515669515668</v>
      </c>
      <c r="BP260" s="78">
        <f>IFERROR(1/J260*(Y260/H260),"0")</f>
        <v>0.15934065934065939</v>
      </c>
    </row>
    <row r="261" spans="1:68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28.518518518518515</v>
      </c>
      <c r="Y261" s="43">
        <f>IFERROR(Y259/H259,"0")+IFERROR(Y260/H260,"0")</f>
        <v>29.000000000000004</v>
      </c>
      <c r="Z261" s="43">
        <f>IFERROR(IF(Z259="",0,Z259),"0")+IFERROR(IF(Z260="",0,Z260),"0")</f>
        <v>0.18879000000000001</v>
      </c>
      <c r="AA261" s="67"/>
      <c r="AB261" s="67"/>
      <c r="AC261" s="67"/>
    </row>
    <row r="262" spans="1:68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77</v>
      </c>
      <c r="Y262" s="43">
        <f>IFERROR(SUM(Y259:Y260),"0")</f>
        <v>78.300000000000011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si="43"/>
        <v>205.20000000000002</v>
      </c>
      <c r="Z270" s="41">
        <f>IFERROR(IF(Y270=0,"",ROUNDUP(Y270/H270,0)*0.00902),"")</f>
        <v>0.34276000000000001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207.03703703703701</v>
      </c>
      <c r="BN270" s="78">
        <f t="shared" si="45"/>
        <v>212.42</v>
      </c>
      <c r="BO270" s="78">
        <f t="shared" si="46"/>
        <v>0.28058361391694725</v>
      </c>
      <c r="BP270" s="78">
        <f t="shared" si="47"/>
        <v>0.2878787878787879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200</v>
      </c>
      <c r="Y271" s="55">
        <f t="shared" si="43"/>
        <v>205.20000000000002</v>
      </c>
      <c r="Z271" s="41">
        <f>IFERROR(IF(Y271=0,"",ROUNDUP(Y271/H271,0)*0.00902),"")</f>
        <v>0.34276000000000001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207.03703703703701</v>
      </c>
      <c r="BN271" s="78">
        <f t="shared" si="45"/>
        <v>212.42</v>
      </c>
      <c r="BO271" s="78">
        <f t="shared" si="46"/>
        <v>0.28058361391694725</v>
      </c>
      <c r="BP271" s="78">
        <f t="shared" si="47"/>
        <v>0.2878787878787879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200</v>
      </c>
      <c r="Y272" s="55">
        <f t="shared" si="43"/>
        <v>205.20000000000002</v>
      </c>
      <c r="Z272" s="41">
        <f>IFERROR(IF(Y272=0,"",ROUNDUP(Y272/H272,0)*0.00902),"")</f>
        <v>0.34276000000000001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207.03703703703701</v>
      </c>
      <c r="BN272" s="78">
        <f t="shared" si="45"/>
        <v>212.42</v>
      </c>
      <c r="BO272" s="78">
        <f t="shared" si="46"/>
        <v>0.28058361391694725</v>
      </c>
      <c r="BP272" s="78">
        <f t="shared" si="47"/>
        <v>0.2878787878787879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111.11111111111111</v>
      </c>
      <c r="Y277" s="43">
        <f>IFERROR(Y269/H269,"0")+IFERROR(Y270/H270,"0")+IFERROR(Y271/H271,"0")+IFERROR(Y272/H272,"0")+IFERROR(Y273/H273,"0")+IFERROR(Y274/H274,"0")+IFERROR(Y275/H275,"0")+IFERROR(Y276/H276,"0")</f>
        <v>114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1.0282800000000001</v>
      </c>
      <c r="AA277" s="67"/>
      <c r="AB277" s="67"/>
      <c r="AC277" s="67"/>
    </row>
    <row r="278" spans="1:68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600</v>
      </c>
      <c r="Y278" s="43">
        <f>IFERROR(SUM(Y269:Y276),"0")</f>
        <v>615.6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4</v>
      </c>
      <c r="Y319" s="55">
        <f>IFERROR(IF(X319="",0,CEILING((X319/$H319),1)*$H319),"")</f>
        <v>4.95</v>
      </c>
      <c r="Z319" s="41">
        <f>IFERROR(IF(Y319=0,"",ROUNDUP(Y319/H319,0)*0.0059),"")</f>
        <v>2.9499999999999998E-2</v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4.7676767676767673</v>
      </c>
      <c r="BN319" s="78">
        <f>IFERROR(Y319*I319/H319,"0")</f>
        <v>5.9</v>
      </c>
      <c r="BO319" s="78">
        <f>IFERROR(1/J319*(X319/H319),"0")</f>
        <v>1.8705574261129818E-2</v>
      </c>
      <c r="BP319" s="78">
        <f>IFERROR(1/J319*(Y319/H319),"0")</f>
        <v>2.3148148148148147E-2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4.0404040404040407</v>
      </c>
      <c r="Y322" s="43">
        <f>IFERROR(Y319/H319,"0")+IFERROR(Y320/H320,"0")+IFERROR(Y321/H321,"0")</f>
        <v>5</v>
      </c>
      <c r="Z322" s="43">
        <f>IFERROR(IF(Z319="",0,Z319),"0")+IFERROR(IF(Z320="",0,Z320),"0")+IFERROR(IF(Z321="",0,Z321),"0")</f>
        <v>2.9499999999999998E-2</v>
      </c>
      <c r="AA322" s="67"/>
      <c r="AB322" s="67"/>
      <c r="AC322" s="67"/>
    </row>
    <row r="323" spans="1:68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4</v>
      </c>
      <c r="Y323" s="43">
        <f>IFERROR(SUM(Y319:Y321),"0")</f>
        <v>4.95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150</v>
      </c>
      <c r="Y372" s="55">
        <f t="shared" ref="Y372:Y378" si="63">IFERROR(IF(X372="",0,CEILING((X372/$H372),1)*$H372),"")</f>
        <v>151.20000000000002</v>
      </c>
      <c r="Z372" s="41">
        <f>IFERROR(IF(Y372=0,"",ROUNDUP(Y372/H372,0)*0.00902),"")</f>
        <v>0.32472000000000001</v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158.92857142857142</v>
      </c>
      <c r="BN372" s="78">
        <f t="shared" ref="BN372:BN378" si="65">IFERROR(Y372*I372/H372,"0")</f>
        <v>160.20000000000002</v>
      </c>
      <c r="BO372" s="78">
        <f t="shared" ref="BO372:BO378" si="66">IFERROR(1/J372*(X372/H372),"0")</f>
        <v>0.27056277056277056</v>
      </c>
      <c r="BP372" s="78">
        <f t="shared" ref="BP372:BP378" si="67">IFERROR(1/J372*(Y372/H372),"0")</f>
        <v>0.27272727272727271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35.714285714285715</v>
      </c>
      <c r="Y379" s="43">
        <f>IFERROR(Y372/H372,"0")+IFERROR(Y373/H373,"0")+IFERROR(Y374/H374,"0")+IFERROR(Y375/H375,"0")+IFERROR(Y376/H376,"0")+IFERROR(Y377/H377,"0")+IFERROR(Y378/H378,"0")</f>
        <v>36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0.32472000000000001</v>
      </c>
      <c r="AA379" s="67"/>
      <c r="AB379" s="67"/>
      <c r="AC379" s="67"/>
    </row>
    <row r="380" spans="1:68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150</v>
      </c>
      <c r="Y380" s="43">
        <f>IFERROR(SUM(Y372:Y378),"0")</f>
        <v>151.20000000000002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17</v>
      </c>
      <c r="Y398" s="55">
        <f>IFERROR(IF(X398="",0,CEILING((X398/$H398),1)*$H398),"")</f>
        <v>17.849999999999998</v>
      </c>
      <c r="Z398" s="41">
        <f>IFERROR(IF(Y398=0,"",ROUNDUP(Y398/H398,0)*0.00651),"")</f>
        <v>4.5569999999999999E-2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19.200000000000003</v>
      </c>
      <c r="BN398" s="78">
        <f>IFERROR(Y398*I398/H398,"0")</f>
        <v>20.16</v>
      </c>
      <c r="BO398" s="78">
        <f>IFERROR(1/J398*(X398/H398),"0")</f>
        <v>3.6630036630036632E-2</v>
      </c>
      <c r="BP398" s="78">
        <f>IFERROR(1/J398*(Y398/H398),"0")</f>
        <v>3.8461538461538464E-2</v>
      </c>
    </row>
    <row r="399" spans="1:68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6.666666666666667</v>
      </c>
      <c r="Y399" s="43">
        <f>IFERROR(Y395/H395,"0")+IFERROR(Y396/H396,"0")+IFERROR(Y397/H397,"0")+IFERROR(Y398/H398,"0")</f>
        <v>7</v>
      </c>
      <c r="Z399" s="43">
        <f>IFERROR(IF(Z395="",0,Z395),"0")+IFERROR(IF(Z396="",0,Z396),"0")+IFERROR(IF(Z397="",0,Z397),"0")+IFERROR(IF(Z398="",0,Z398),"0")</f>
        <v>4.5569999999999999E-2</v>
      </c>
      <c r="AA399" s="67"/>
      <c r="AB399" s="67"/>
      <c r="AC399" s="67"/>
    </row>
    <row r="400" spans="1:68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17</v>
      </c>
      <c r="Y400" s="43">
        <f>IFERROR(SUM(Y395:Y398),"0")</f>
        <v>17.849999999999998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300</v>
      </c>
      <c r="Y429" s="55">
        <f t="shared" ref="Y429:Y436" si="68">IFERROR(IF(X429="",0,CEILING((X429/$H429),1)*$H429),"")</f>
        <v>300</v>
      </c>
      <c r="Z429" s="41">
        <f>IFERROR(IF(Y429=0,"",ROUNDUP(Y429/H429,0)*0.02175),"")</f>
        <v>0.43499999999999994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309.39999999999998</v>
      </c>
      <c r="BN429" s="78">
        <f t="shared" ref="BN429:BN436" si="70">IFERROR(Y429*I429/H429,"0")</f>
        <v>309.39999999999998</v>
      </c>
      <c r="BO429" s="78">
        <f t="shared" ref="BO429:BO436" si="71">IFERROR(1/J429*(X429/H429),"0")</f>
        <v>0.41666666666666663</v>
      </c>
      <c r="BP429" s="78">
        <f t="shared" ref="BP429:BP436" si="72">IFERROR(1/J429*(Y429/H429),"0")</f>
        <v>0.41666666666666663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2500</v>
      </c>
      <c r="Y430" s="55">
        <f t="shared" si="68"/>
        <v>2505</v>
      </c>
      <c r="Z430" s="41">
        <f>IFERROR(IF(Y430=0,"",ROUNDUP(Y430/H430,0)*0.02175),"")</f>
        <v>3.6322499999999995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2578.3333333333335</v>
      </c>
      <c r="BN430" s="78">
        <f t="shared" si="70"/>
        <v>2583.4899999999998</v>
      </c>
      <c r="BO430" s="78">
        <f t="shared" si="71"/>
        <v>3.4722222222222219</v>
      </c>
      <c r="BP430" s="78">
        <f t="shared" si="72"/>
        <v>3.4791666666666665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1000</v>
      </c>
      <c r="Y431" s="55">
        <f t="shared" si="68"/>
        <v>1005</v>
      </c>
      <c r="Z431" s="41">
        <f>IFERROR(IF(Y431=0,"",ROUNDUP(Y431/H431,0)*0.02175),"")</f>
        <v>1.4572499999999999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1031.3333333333333</v>
      </c>
      <c r="BN431" s="78">
        <f t="shared" si="70"/>
        <v>1036.49</v>
      </c>
      <c r="BO431" s="78">
        <f t="shared" si="71"/>
        <v>1.3888888888888888</v>
      </c>
      <c r="BP431" s="78">
        <f t="shared" si="72"/>
        <v>1.3958333333333333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2500</v>
      </c>
      <c r="Y432" s="55">
        <f t="shared" si="68"/>
        <v>2505</v>
      </c>
      <c r="Z432" s="41">
        <f>IFERROR(IF(Y432=0,"",ROUNDUP(Y432/H432,0)*0.02175),"")</f>
        <v>3.6322499999999995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2578.3333333333335</v>
      </c>
      <c r="BN432" s="78">
        <f t="shared" si="70"/>
        <v>2583.4899999999998</v>
      </c>
      <c r="BO432" s="78">
        <f t="shared" si="71"/>
        <v>3.4722222222222219</v>
      </c>
      <c r="BP432" s="78">
        <f t="shared" si="72"/>
        <v>3.4791666666666665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420</v>
      </c>
      <c r="Y437" s="43">
        <f>IFERROR(Y429/H429,"0")+IFERROR(Y430/H430,"0")+IFERROR(Y431/H431,"0")+IFERROR(Y432/H432,"0")+IFERROR(Y433/H433,"0")+IFERROR(Y434/H434,"0")+IFERROR(Y435/H435,"0")+IFERROR(Y436/H436,"0")</f>
        <v>421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9.1567499999999988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6300</v>
      </c>
      <c r="Y438" s="43">
        <f>IFERROR(SUM(Y429:Y436),"0")</f>
        <v>6315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3500</v>
      </c>
      <c r="Y440" s="55">
        <f>IFERROR(IF(X440="",0,CEILING((X440/$H440),1)*$H440),"")</f>
        <v>3510</v>
      </c>
      <c r="Z440" s="41">
        <f>IFERROR(IF(Y440=0,"",ROUNDUP(Y440/H440,0)*0.02175),"")</f>
        <v>5.0894999999999992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3609.6666666666665</v>
      </c>
      <c r="BN440" s="78">
        <f>IFERROR(Y440*I440/H440,"0")</f>
        <v>3619.9800000000005</v>
      </c>
      <c r="BO440" s="78">
        <f>IFERROR(1/J440*(X440/H440),"0")</f>
        <v>4.8611111111111107</v>
      </c>
      <c r="BP440" s="78">
        <f>IFERROR(1/J440*(Y440/H440),"0")</f>
        <v>4.875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233.33333333333334</v>
      </c>
      <c r="Y443" s="43">
        <f>IFERROR(Y440/H440,"0")+IFERROR(Y441/H441,"0")+IFERROR(Y442/H442,"0")</f>
        <v>234</v>
      </c>
      <c r="Z443" s="43">
        <f>IFERROR(IF(Z440="",0,Z440),"0")+IFERROR(IF(Z441="",0,Z441),"0")+IFERROR(IF(Z442="",0,Z442),"0")</f>
        <v>5.0894999999999992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3500</v>
      </c>
      <c r="Y444" s="43">
        <f>IFERROR(SUM(Y440:Y442),"0")</f>
        <v>3510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800</v>
      </c>
      <c r="Y467" s="55">
        <f>IFERROR(IF(X467="",0,CEILING((X467/$H467),1)*$H467),"")</f>
        <v>801</v>
      </c>
      <c r="Z467" s="41">
        <f>IFERROR(IF(Y467=0,"",ROUNDUP(Y467/H467,0)*0.01898),"")</f>
        <v>1.6892199999999999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843.91111111111104</v>
      </c>
      <c r="BN467" s="78">
        <f>IFERROR(Y467*I467/H467,"0")</f>
        <v>844.96599999999989</v>
      </c>
      <c r="BO467" s="78">
        <f>IFERROR(1/J467*(X467/H467),"0")</f>
        <v>1.3888888888888888</v>
      </c>
      <c r="BP467" s="78">
        <f>IFERROR(1/J467*(Y467/H467),"0")</f>
        <v>1.390625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88.888888888888886</v>
      </c>
      <c r="Y470" s="43">
        <f>IFERROR(Y467/H467,"0")+IFERROR(Y468/H468,"0")+IFERROR(Y469/H469,"0")</f>
        <v>89</v>
      </c>
      <c r="Z470" s="43">
        <f>IFERROR(IF(Z467="",0,Z467),"0")+IFERROR(IF(Z468="",0,Z468),"0")+IFERROR(IF(Z469="",0,Z469),"0")</f>
        <v>1.6892199999999999</v>
      </c>
      <c r="AA470" s="67"/>
      <c r="AB470" s="67"/>
      <c r="AC470" s="67"/>
    </row>
    <row r="471" spans="1:68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800</v>
      </c>
      <c r="Y471" s="43">
        <f>IFERROR(SUM(Y467:Y469),"0")</f>
        <v>801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500</v>
      </c>
      <c r="Y475" s="55">
        <f t="shared" ref="Y475:Y480" si="73">IFERROR(IF(X475="",0,CEILING((X475/$H475),1)*$H475),"")</f>
        <v>502.20000000000005</v>
      </c>
      <c r="Z475" s="41">
        <f>IFERROR(IF(Y475=0,"",ROUNDUP(Y475/H475,0)*0.00902),"")</f>
        <v>0.83886000000000005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517.59259259259261</v>
      </c>
      <c r="BN475" s="78">
        <f t="shared" ref="BN475:BN480" si="75">IFERROR(Y475*I475/H475,"0")</f>
        <v>519.87</v>
      </c>
      <c r="BO475" s="78">
        <f t="shared" ref="BO475:BO480" si="76">IFERROR(1/J475*(X475/H475),"0")</f>
        <v>0.70145903479236804</v>
      </c>
      <c r="BP475" s="78">
        <f t="shared" ref="BP475:BP480" si="77">IFERROR(1/J475*(Y475/H475),"0")</f>
        <v>0.70454545454545459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350</v>
      </c>
      <c r="Y476" s="55">
        <f t="shared" si="73"/>
        <v>351</v>
      </c>
      <c r="Z476" s="41">
        <f>IFERROR(IF(Y476=0,"",ROUNDUP(Y476/H476,0)*0.00902),"")</f>
        <v>0.58630000000000004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362.31481481481478</v>
      </c>
      <c r="BN476" s="78">
        <f t="shared" si="75"/>
        <v>363.34999999999997</v>
      </c>
      <c r="BO476" s="78">
        <f t="shared" si="76"/>
        <v>0.49102132435465767</v>
      </c>
      <c r="BP476" s="78">
        <f t="shared" si="77"/>
        <v>0.49242424242424243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157.40740740740739</v>
      </c>
      <c r="Y481" s="43">
        <f>IFERROR(Y475/H475,"0")+IFERROR(Y476/H476,"0")+IFERROR(Y477/H477,"0")+IFERROR(Y478/H478,"0")+IFERROR(Y479/H479,"0")+IFERROR(Y480/H480,"0")</f>
        <v>158</v>
      </c>
      <c r="Z481" s="43">
        <f>IFERROR(IF(Z475="",0,Z475),"0")+IFERROR(IF(Z476="",0,Z476),"0")+IFERROR(IF(Z477="",0,Z477),"0")+IFERROR(IF(Z478="",0,Z478),"0")+IFERROR(IF(Z479="",0,Z479),"0")+IFERROR(IF(Z480="",0,Z480),"0")</f>
        <v>1.42516</v>
      </c>
      <c r="AA481" s="67"/>
      <c r="AB481" s="67"/>
      <c r="AC481" s="67"/>
    </row>
    <row r="482" spans="1:68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850</v>
      </c>
      <c r="Y482" s="43">
        <f>IFERROR(SUM(Y475:Y480),"0")</f>
        <v>853.2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700</v>
      </c>
      <c r="Y494" s="55">
        <f>IFERROR(IF(X494="",0,CEILING((X494/$H494),1)*$H494),"")</f>
        <v>702</v>
      </c>
      <c r="Z494" s="41">
        <f>IFERROR(IF(Y494=0,"",ROUNDUP(Y494/H494,0)*0.00902),"")</f>
        <v>1.1726000000000001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724.62962962962956</v>
      </c>
      <c r="BN494" s="78">
        <f>IFERROR(Y494*I494/H494,"0")</f>
        <v>726.69999999999993</v>
      </c>
      <c r="BO494" s="78">
        <f>IFERROR(1/J494*(X494/H494),"0")</f>
        <v>0.98204264870931535</v>
      </c>
      <c r="BP494" s="78">
        <f>IFERROR(1/J494*(Y494/H494),"0")</f>
        <v>0.98484848484848486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129.62962962962962</v>
      </c>
      <c r="Y497" s="43">
        <f>IFERROR(Y494/H494,"0")+IFERROR(Y495/H495,"0")+IFERROR(Y496/H496,"0")</f>
        <v>130</v>
      </c>
      <c r="Z497" s="43">
        <f>IFERROR(IF(Z494="",0,Z494),"0")+IFERROR(IF(Z495="",0,Z495),"0")+IFERROR(IF(Z496="",0,Z496),"0")</f>
        <v>1.1726000000000001</v>
      </c>
      <c r="AA497" s="67"/>
      <c r="AB497" s="67"/>
      <c r="AC497" s="67"/>
    </row>
    <row r="498" spans="1:68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700</v>
      </c>
      <c r="Y498" s="43">
        <f>IFERROR(SUM(Y494:Y496),"0")</f>
        <v>702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78"/>
        <v>153.12</v>
      </c>
      <c r="Z504" s="41">
        <f t="shared" si="79"/>
        <v>0.34683999999999998</v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159.94318181818181</v>
      </c>
      <c r="BN504" s="78">
        <f t="shared" si="81"/>
        <v>163.26999999999998</v>
      </c>
      <c r="BO504" s="78">
        <f t="shared" si="82"/>
        <v>0.27316433566433568</v>
      </c>
      <c r="BP504" s="78">
        <f t="shared" si="83"/>
        <v>0.27884615384615385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600</v>
      </c>
      <c r="Y507" s="55">
        <f t="shared" si="78"/>
        <v>601.92000000000007</v>
      </c>
      <c r="Z507" s="41">
        <f t="shared" si="79"/>
        <v>1.36344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639.77272727272725</v>
      </c>
      <c r="BN507" s="78">
        <f t="shared" si="81"/>
        <v>641.82000000000005</v>
      </c>
      <c r="BO507" s="78">
        <f t="shared" si="82"/>
        <v>1.0926573426573427</v>
      </c>
      <c r="BP507" s="78">
        <f t="shared" si="83"/>
        <v>1.0961538461538463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142.04545454545453</v>
      </c>
      <c r="Y511" s="43">
        <f>IFERROR(Y502/H502,"0")+IFERROR(Y503/H503,"0")+IFERROR(Y504/H504,"0")+IFERROR(Y505/H505,"0")+IFERROR(Y506/H506,"0")+IFERROR(Y507/H507,"0")+IFERROR(Y508/H508,"0")+IFERROR(Y509/H509,"0")+IFERROR(Y510/H510,"0")</f>
        <v>143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1.71028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750</v>
      </c>
      <c r="Y512" s="43">
        <f>IFERROR(SUM(Y502:Y510),"0")</f>
        <v>755.04000000000008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400</v>
      </c>
      <c r="Y514" s="55">
        <f>IFERROR(IF(X514="",0,CEILING((X514/$H514),1)*$H514),"")</f>
        <v>401.28000000000003</v>
      </c>
      <c r="Z514" s="41">
        <f>IFERROR(IF(Y514=0,"",ROUNDUP(Y514/H514,0)*0.01196),"")</f>
        <v>0.90895999999999999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426.5151515151515</v>
      </c>
      <c r="BN514" s="78">
        <f>IFERROR(Y514*I514/H514,"0")</f>
        <v>427.88</v>
      </c>
      <c r="BO514" s="78">
        <f>IFERROR(1/J514*(X514/H514),"0")</f>
        <v>0.72843822843822836</v>
      </c>
      <c r="BP514" s="78">
        <f>IFERROR(1/J514*(Y514/H514),"0")</f>
        <v>0.73076923076923084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75.757575757575751</v>
      </c>
      <c r="Y517" s="43">
        <f>IFERROR(Y514/H514,"0")+IFERROR(Y515/H515,"0")+IFERROR(Y516/H516,"0")</f>
        <v>76</v>
      </c>
      <c r="Z517" s="43">
        <f>IFERROR(IF(Z514="",0,Z514),"0")+IFERROR(IF(Z515="",0,Z515),"0")+IFERROR(IF(Z516="",0,Z516),"0")</f>
        <v>0.90895999999999999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400</v>
      </c>
      <c r="Y518" s="43">
        <f>IFERROR(SUM(Y514:Y516),"0")</f>
        <v>401.28000000000003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280</v>
      </c>
      <c r="Y520" s="55">
        <f t="shared" ref="Y520:Y526" si="84">IFERROR(IF(X520="",0,CEILING((X520/$H520),1)*$H520),"")</f>
        <v>285.12</v>
      </c>
      <c r="Z520" s="41">
        <f>IFERROR(IF(Y520=0,"",ROUNDUP(Y520/H520,0)*0.01196),"")</f>
        <v>0.64583999999999997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298.56060606060601</v>
      </c>
      <c r="BN520" s="78">
        <f t="shared" ref="BN520:BN526" si="86">IFERROR(Y520*I520/H520,"0")</f>
        <v>304.02</v>
      </c>
      <c r="BO520" s="78">
        <f t="shared" ref="BO520:BO526" si="87">IFERROR(1/J520*(X520/H520),"0")</f>
        <v>0.50990675990675993</v>
      </c>
      <c r="BP520" s="78">
        <f t="shared" ref="BP520:BP526" si="88">IFERROR(1/J520*(Y520/H520),"0")</f>
        <v>0.51923076923076927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280</v>
      </c>
      <c r="Y521" s="55">
        <f t="shared" si="84"/>
        <v>285.12</v>
      </c>
      <c r="Z521" s="41">
        <f>IFERROR(IF(Y521=0,"",ROUNDUP(Y521/H521,0)*0.01196),"")</f>
        <v>0.64583999999999997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298.56060606060601</v>
      </c>
      <c r="BN521" s="78">
        <f t="shared" si="86"/>
        <v>304.02</v>
      </c>
      <c r="BO521" s="78">
        <f t="shared" si="87"/>
        <v>0.50990675990675993</v>
      </c>
      <c r="BP521" s="78">
        <f t="shared" si="88"/>
        <v>0.51923076923076927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200</v>
      </c>
      <c r="Y522" s="55">
        <f t="shared" si="84"/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213.25757575757575</v>
      </c>
      <c r="BN522" s="78">
        <f t="shared" si="86"/>
        <v>213.94</v>
      </c>
      <c r="BO522" s="78">
        <f t="shared" si="87"/>
        <v>0.36421911421911418</v>
      </c>
      <c r="BP522" s="78">
        <f t="shared" si="88"/>
        <v>0.36538461538461542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143.93939393939394</v>
      </c>
      <c r="Y527" s="43">
        <f>IFERROR(Y520/H520,"0")+IFERROR(Y521/H521,"0")+IFERROR(Y522/H522,"0")+IFERROR(Y523/H523,"0")+IFERROR(Y524/H524,"0")+IFERROR(Y525/H525,"0")+IFERROR(Y526/H526,"0")</f>
        <v>146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1.7461599999999999</v>
      </c>
      <c r="AA527" s="67"/>
      <c r="AB527" s="67"/>
      <c r="AC527" s="67"/>
    </row>
    <row r="528" spans="1:68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760</v>
      </c>
      <c r="Y528" s="43">
        <f>IFERROR(SUM(Y520:Y526),"0")</f>
        <v>770.88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300</v>
      </c>
      <c r="Y540" s="55">
        <f>IFERROR(IF(X540="",0,CEILING((X540/$H540),1)*$H540),"")</f>
        <v>302.40000000000003</v>
      </c>
      <c r="Z540" s="41">
        <f>IFERROR(IF(Y540=0,"",ROUNDUP(Y540/H540,0)*0.00902),"")</f>
        <v>0.64944000000000002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317.85714285714283</v>
      </c>
      <c r="BN540" s="78">
        <f>IFERROR(Y540*I540/H540,"0")</f>
        <v>320.40000000000003</v>
      </c>
      <c r="BO540" s="78">
        <f>IFERROR(1/J540*(X540/H540),"0")</f>
        <v>0.54112554112554112</v>
      </c>
      <c r="BP540" s="78">
        <f>IFERROR(1/J540*(Y540/H540),"0")</f>
        <v>0.54545454545454541</v>
      </c>
    </row>
    <row r="541" spans="1:68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71.428571428571431</v>
      </c>
      <c r="Y541" s="43">
        <f>IFERROR(Y540/H540,"0")</f>
        <v>72</v>
      </c>
      <c r="Z541" s="43">
        <f>IFERROR(IF(Z540="",0,Z540),"0")</f>
        <v>0.64944000000000002</v>
      </c>
      <c r="AA541" s="67"/>
      <c r="AB541" s="67"/>
      <c r="AC541" s="67"/>
    </row>
    <row r="542" spans="1:68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300</v>
      </c>
      <c r="Y542" s="43">
        <f>IFERROR(SUM(Y540:Y540),"0")</f>
        <v>302.40000000000003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19263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19379.600000000002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20073.479853294852</v>
      </c>
      <c r="Y559" s="43">
        <f>IFERROR(SUM(BN22:BN555),"0")</f>
        <v>20195.36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30</v>
      </c>
      <c r="Y560" s="44">
        <f>ROUNDUP(SUM(BP22:BP555),0)</f>
        <v>31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20823.479853294852</v>
      </c>
      <c r="Y561" s="43">
        <f>GrossWeightTotalR+PalletQtyTotalR*25</f>
        <v>20970.36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2194.7563732563731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2212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34.22231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259.20000000000005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280.8</v>
      </c>
      <c r="F568" s="52">
        <f>IFERROR(Y85*1,"0")+IFERROR(Y86*1,"0")+IFERROR(Y87*1,"0")+IFERROR(Y88*1,"0")+IFERROR(Y89*1,"0")+IFERROR(Y90*1,"0")+IFERROR(Y94*1,"0")+IFERROR(Y95*1,"0")+IFERROR(Y96*1,"0")+IFERROR(Y97*1,"0")</f>
        <v>929.69999999999993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2329.5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150.5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151.20000000000002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693.90000000000009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4.95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169.05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9825</v>
      </c>
      <c r="X568" s="52">
        <f>IFERROR(Y458*1,"0")+IFERROR(Y459*1,"0")+IFERROR(Y463*1,"0")+IFERROR(Y467*1,"0")+IFERROR(Y468*1,"0")+IFERROR(Y469*1,"0")</f>
        <v>801</v>
      </c>
      <c r="Y568" s="52">
        <f>IFERROR(Y475*1,"0")+IFERROR(Y476*1,"0")+IFERROR(Y477*1,"0")+IFERROR(Y478*1,"0")+IFERROR(Y479*1,"0")+IFERROR(Y480*1,"0")+IFERROR(Y484*1,"0")+IFERROR(Y485*1,"0")</f>
        <v>853.2</v>
      </c>
      <c r="Z568" s="52">
        <f>IFERROR(Y490*1,"0")+IFERROR(Y494*1,"0")+IFERROR(Y495*1,"0")+IFERROR(Y496*1,"0")</f>
        <v>702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1927.2</v>
      </c>
      <c r="AB568" s="52">
        <f>IFERROR(Y532*1,"0")+IFERROR(Y536*1,"0")+IFERROR(Y540*1,"0")+IFERROR(Y544*1,"0")+IFERROR(Y548*1,"0")+IFERROR(Y549*1,"0")</f>
        <v>302.40000000000003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11,11"/>
        <filter val="113,00"/>
        <filter val="129,63"/>
        <filter val="13,33"/>
        <filter val="142,05"/>
        <filter val="143,94"/>
        <filter val="150,00"/>
        <filter val="157,41"/>
        <filter val="17,00"/>
        <filter val="18,52"/>
        <filter val="19 263,00"/>
        <filter val="2 000,00"/>
        <filter val="2 194,76"/>
        <filter val="2 500,00"/>
        <filter val="20 073,48"/>
        <filter val="20 823,48"/>
        <filter val="200,00"/>
        <filter val="213,00"/>
        <filter val="23,15"/>
        <filter val="233,33"/>
        <filter val="246,91"/>
        <filter val="250,00"/>
        <filter val="28,52"/>
        <filter val="280,00"/>
        <filter val="290,00"/>
        <filter val="3 500,00"/>
        <filter val="30"/>
        <filter val="300,00"/>
        <filter val="32,00"/>
        <filter val="34,37"/>
        <filter val="35,71"/>
        <filter val="350,00"/>
        <filter val="38,52"/>
        <filter val="4,00"/>
        <filter val="4,04"/>
        <filter val="400,00"/>
        <filter val="42,86"/>
        <filter val="420,00"/>
        <filter val="500,00"/>
        <filter val="6 300,00"/>
        <filter val="6,48"/>
        <filter val="6,67"/>
        <filter val="600,00"/>
        <filter val="70,00"/>
        <filter val="700,00"/>
        <filter val="71,43"/>
        <filter val="75,76"/>
        <filter val="750,00"/>
        <filter val="760,00"/>
        <filter val="77,00"/>
        <filter val="800,00"/>
        <filter val="850,00"/>
        <filter val="86,42"/>
        <filter val="88,89"/>
        <filter val="9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