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C104E4D-4526-416F-9DD9-83958AC3B9A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P551" i="2"/>
  <c r="BO550" i="2"/>
  <c r="BM550" i="2"/>
  <c r="Y550" i="2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P534" i="2"/>
  <c r="X530" i="2"/>
  <c r="X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N524" i="2" s="1"/>
  <c r="P524" i="2"/>
  <c r="BO523" i="2"/>
  <c r="BM523" i="2"/>
  <c r="Y523" i="2"/>
  <c r="Z523" i="2" s="1"/>
  <c r="P523" i="2"/>
  <c r="BO522" i="2"/>
  <c r="BM522" i="2"/>
  <c r="Y522" i="2"/>
  <c r="P522" i="2"/>
  <c r="X520" i="2"/>
  <c r="X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Y520" i="2" s="1"/>
  <c r="P516" i="2"/>
  <c r="X514" i="2"/>
  <c r="X513" i="2"/>
  <c r="BO512" i="2"/>
  <c r="BM512" i="2"/>
  <c r="Y512" i="2"/>
  <c r="P512" i="2"/>
  <c r="BO511" i="2"/>
  <c r="BM511" i="2"/>
  <c r="Y511" i="2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N504" i="2" s="1"/>
  <c r="P504" i="2"/>
  <c r="X500" i="2"/>
  <c r="X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P487" i="2"/>
  <c r="BO486" i="2"/>
  <c r="BM486" i="2"/>
  <c r="Y486" i="2"/>
  <c r="Z486" i="2" s="1"/>
  <c r="P486" i="2"/>
  <c r="X484" i="2"/>
  <c r="X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P479" i="2"/>
  <c r="BO478" i="2"/>
  <c r="BM478" i="2"/>
  <c r="Y478" i="2"/>
  <c r="Z478" i="2" s="1"/>
  <c r="P478" i="2"/>
  <c r="BO477" i="2"/>
  <c r="BM477" i="2"/>
  <c r="Y477" i="2"/>
  <c r="Z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O465" i="2"/>
  <c r="BM465" i="2"/>
  <c r="Y465" i="2"/>
  <c r="Y466" i="2" s="1"/>
  <c r="P465" i="2"/>
  <c r="X463" i="2"/>
  <c r="X462" i="2"/>
  <c r="BO461" i="2"/>
  <c r="BM461" i="2"/>
  <c r="Y461" i="2"/>
  <c r="BN461" i="2" s="1"/>
  <c r="P461" i="2"/>
  <c r="BO460" i="2"/>
  <c r="BM460" i="2"/>
  <c r="Y460" i="2"/>
  <c r="BP460" i="2" s="1"/>
  <c r="P460" i="2"/>
  <c r="X457" i="2"/>
  <c r="X456" i="2"/>
  <c r="BO455" i="2"/>
  <c r="BM455" i="2"/>
  <c r="Y455" i="2"/>
  <c r="BP455" i="2" s="1"/>
  <c r="P455" i="2"/>
  <c r="BO454" i="2"/>
  <c r="BM454" i="2"/>
  <c r="Y454" i="2"/>
  <c r="P454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X440" i="2"/>
  <c r="X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P418" i="2"/>
  <c r="BO417" i="2"/>
  <c r="BM417" i="2"/>
  <c r="Y417" i="2"/>
  <c r="P417" i="2"/>
  <c r="X414" i="2"/>
  <c r="X413" i="2"/>
  <c r="BO412" i="2"/>
  <c r="BM412" i="2"/>
  <c r="Y412" i="2"/>
  <c r="Z412" i="2" s="1"/>
  <c r="P412" i="2"/>
  <c r="BO411" i="2"/>
  <c r="BM411" i="2"/>
  <c r="Y411" i="2"/>
  <c r="BN411" i="2" s="1"/>
  <c r="P411" i="2"/>
  <c r="BO410" i="2"/>
  <c r="BM410" i="2"/>
  <c r="Y410" i="2"/>
  <c r="Y414" i="2" s="1"/>
  <c r="P410" i="2"/>
  <c r="X408" i="2"/>
  <c r="X407" i="2"/>
  <c r="BO406" i="2"/>
  <c r="BM406" i="2"/>
  <c r="Y406" i="2"/>
  <c r="BP406" i="2" s="1"/>
  <c r="P406" i="2"/>
  <c r="BO405" i="2"/>
  <c r="BM405" i="2"/>
  <c r="Y405" i="2"/>
  <c r="P405" i="2"/>
  <c r="BO404" i="2"/>
  <c r="BM404" i="2"/>
  <c r="Y404" i="2"/>
  <c r="BP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P386" i="2"/>
  <c r="BO385" i="2"/>
  <c r="BM385" i="2"/>
  <c r="Y385" i="2"/>
  <c r="Z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P379" i="2"/>
  <c r="BO378" i="2"/>
  <c r="BM378" i="2"/>
  <c r="Y378" i="2"/>
  <c r="P378" i="2"/>
  <c r="BO377" i="2"/>
  <c r="BM377" i="2"/>
  <c r="Y377" i="2"/>
  <c r="P377" i="2"/>
  <c r="BO376" i="2"/>
  <c r="BM376" i="2"/>
  <c r="Y376" i="2"/>
  <c r="BP376" i="2" s="1"/>
  <c r="P376" i="2"/>
  <c r="BO375" i="2"/>
  <c r="BM375" i="2"/>
  <c r="Y375" i="2"/>
  <c r="Z375" i="2" s="1"/>
  <c r="P375" i="2"/>
  <c r="BO374" i="2"/>
  <c r="BM374" i="2"/>
  <c r="Y374" i="2"/>
  <c r="P374" i="2"/>
  <c r="X372" i="2"/>
  <c r="X371" i="2"/>
  <c r="BO370" i="2"/>
  <c r="BM370" i="2"/>
  <c r="Y370" i="2"/>
  <c r="Z370" i="2" s="1"/>
  <c r="P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P358" i="2"/>
  <c r="BO357" i="2"/>
  <c r="BM357" i="2"/>
  <c r="Y357" i="2"/>
  <c r="BN357" i="2" s="1"/>
  <c r="P357" i="2"/>
  <c r="X354" i="2"/>
  <c r="X353" i="2"/>
  <c r="BO352" i="2"/>
  <c r="BM352" i="2"/>
  <c r="Y352" i="2"/>
  <c r="P352" i="2"/>
  <c r="BO351" i="2"/>
  <c r="BM351" i="2"/>
  <c r="Y351" i="2"/>
  <c r="BN351" i="2" s="1"/>
  <c r="P351" i="2"/>
  <c r="X349" i="2"/>
  <c r="X348" i="2"/>
  <c r="BO347" i="2"/>
  <c r="BM347" i="2"/>
  <c r="Y347" i="2"/>
  <c r="P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Z344" i="2" s="1"/>
  <c r="P344" i="2"/>
  <c r="BO343" i="2"/>
  <c r="BM343" i="2"/>
  <c r="Y343" i="2"/>
  <c r="Z343" i="2" s="1"/>
  <c r="P343" i="2"/>
  <c r="X340" i="2"/>
  <c r="X339" i="2"/>
  <c r="BO338" i="2"/>
  <c r="BM338" i="2"/>
  <c r="Y338" i="2"/>
  <c r="P338" i="2"/>
  <c r="BO337" i="2"/>
  <c r="BM337" i="2"/>
  <c r="Y337" i="2"/>
  <c r="P337" i="2"/>
  <c r="BO336" i="2"/>
  <c r="BM336" i="2"/>
  <c r="Y336" i="2"/>
  <c r="Z336" i="2" s="1"/>
  <c r="P336" i="2"/>
  <c r="X333" i="2"/>
  <c r="X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X319" i="2"/>
  <c r="X318" i="2"/>
  <c r="BO317" i="2"/>
  <c r="BM317" i="2"/>
  <c r="Y317" i="2"/>
  <c r="P317" i="2"/>
  <c r="X315" i="2"/>
  <c r="X314" i="2"/>
  <c r="BO313" i="2"/>
  <c r="BM313" i="2"/>
  <c r="Y313" i="2"/>
  <c r="P313" i="2"/>
  <c r="X311" i="2"/>
  <c r="X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Z306" i="2" s="1"/>
  <c r="P306" i="2"/>
  <c r="BO305" i="2"/>
  <c r="BM305" i="2"/>
  <c r="Y305" i="2"/>
  <c r="BP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BO291" i="2"/>
  <c r="BM291" i="2"/>
  <c r="Y291" i="2"/>
  <c r="P291" i="2"/>
  <c r="BO290" i="2"/>
  <c r="BM290" i="2"/>
  <c r="Y290" i="2"/>
  <c r="Z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P282" i="2"/>
  <c r="X280" i="2"/>
  <c r="X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Z271" i="2" s="1"/>
  <c r="P271" i="2"/>
  <c r="X269" i="2"/>
  <c r="X268" i="2"/>
  <c r="BO267" i="2"/>
  <c r="BM267" i="2"/>
  <c r="Y267" i="2"/>
  <c r="BP267" i="2" s="1"/>
  <c r="P267" i="2"/>
  <c r="BO266" i="2"/>
  <c r="BM266" i="2"/>
  <c r="Y266" i="2"/>
  <c r="Z266" i="2" s="1"/>
  <c r="P266" i="2"/>
  <c r="X264" i="2"/>
  <c r="X263" i="2"/>
  <c r="BO262" i="2"/>
  <c r="BM262" i="2"/>
  <c r="Y262" i="2"/>
  <c r="P262" i="2"/>
  <c r="BO261" i="2"/>
  <c r="BM261" i="2"/>
  <c r="Y261" i="2"/>
  <c r="BN261" i="2" s="1"/>
  <c r="P261" i="2"/>
  <c r="X258" i="2"/>
  <c r="X257" i="2"/>
  <c r="BO256" i="2"/>
  <c r="BM256" i="2"/>
  <c r="Y256" i="2"/>
  <c r="P256" i="2"/>
  <c r="X254" i="2"/>
  <c r="X253" i="2"/>
  <c r="BO252" i="2"/>
  <c r="BM252" i="2"/>
  <c r="Y252" i="2"/>
  <c r="Z252" i="2" s="1"/>
  <c r="P252" i="2"/>
  <c r="BO251" i="2"/>
  <c r="BM251" i="2"/>
  <c r="Y251" i="2"/>
  <c r="P251" i="2"/>
  <c r="BO250" i="2"/>
  <c r="BM250" i="2"/>
  <c r="Y250" i="2"/>
  <c r="P250" i="2"/>
  <c r="X248" i="2"/>
  <c r="X247" i="2"/>
  <c r="BO246" i="2"/>
  <c r="BM246" i="2"/>
  <c r="Y246" i="2"/>
  <c r="Z246" i="2" s="1"/>
  <c r="P246" i="2"/>
  <c r="BO245" i="2"/>
  <c r="BM245" i="2"/>
  <c r="Y245" i="2"/>
  <c r="Z245" i="2" s="1"/>
  <c r="P245" i="2"/>
  <c r="BO244" i="2"/>
  <c r="BM244" i="2"/>
  <c r="Y244" i="2"/>
  <c r="P244" i="2"/>
  <c r="BO243" i="2"/>
  <c r="BM243" i="2"/>
  <c r="Y243" i="2"/>
  <c r="P243" i="2"/>
  <c r="BO242" i="2"/>
  <c r="BM242" i="2"/>
  <c r="Y242" i="2"/>
  <c r="Z242" i="2" s="1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P206" i="2"/>
  <c r="BO205" i="2"/>
  <c r="BM205" i="2"/>
  <c r="Y205" i="2"/>
  <c r="BN205" i="2" s="1"/>
  <c r="P205" i="2"/>
  <c r="X201" i="2"/>
  <c r="X200" i="2"/>
  <c r="BO199" i="2"/>
  <c r="BM199" i="2"/>
  <c r="Y199" i="2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X187" i="2"/>
  <c r="X186" i="2"/>
  <c r="BO185" i="2"/>
  <c r="BM185" i="2"/>
  <c r="Y185" i="2"/>
  <c r="P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P171" i="2"/>
  <c r="BO170" i="2"/>
  <c r="BM170" i="2"/>
  <c r="Y170" i="2"/>
  <c r="Y172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Z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Z150" i="2" s="1"/>
  <c r="P150" i="2"/>
  <c r="BO149" i="2"/>
  <c r="BM149" i="2"/>
  <c r="Y149" i="2"/>
  <c r="P149" i="2"/>
  <c r="X146" i="2"/>
  <c r="X145" i="2"/>
  <c r="BO144" i="2"/>
  <c r="BM144" i="2"/>
  <c r="Y144" i="2"/>
  <c r="BP144" i="2" s="1"/>
  <c r="P144" i="2"/>
  <c r="BO143" i="2"/>
  <c r="BM143" i="2"/>
  <c r="Y143" i="2"/>
  <c r="BN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BN134" i="2" s="1"/>
  <c r="P134" i="2"/>
  <c r="BO133" i="2"/>
  <c r="BM133" i="2"/>
  <c r="Y133" i="2"/>
  <c r="P133" i="2"/>
  <c r="X130" i="2"/>
  <c r="X129" i="2"/>
  <c r="BO128" i="2"/>
  <c r="BM128" i="2"/>
  <c r="Y128" i="2"/>
  <c r="BN128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P122" i="2"/>
  <c r="BO121" i="2"/>
  <c r="BM121" i="2"/>
  <c r="Y121" i="2"/>
  <c r="BN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P97" i="2"/>
  <c r="BO96" i="2"/>
  <c r="BM96" i="2"/>
  <c r="Y96" i="2"/>
  <c r="P96" i="2"/>
  <c r="BO95" i="2"/>
  <c r="BM95" i="2"/>
  <c r="Y95" i="2"/>
  <c r="BP95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BP81" i="2" s="1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Y75" i="2"/>
  <c r="Y77" i="2" s="1"/>
  <c r="P75" i="2"/>
  <c r="X73" i="2"/>
  <c r="X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Y72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BP47" i="2" s="1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Z81" i="2" l="1"/>
  <c r="BN81" i="2"/>
  <c r="Z297" i="2"/>
  <c r="Z39" i="2"/>
  <c r="Z224" i="2"/>
  <c r="Z376" i="2"/>
  <c r="BN376" i="2"/>
  <c r="Z61" i="2"/>
  <c r="Z134" i="2"/>
  <c r="Z138" i="2"/>
  <c r="BN138" i="2"/>
  <c r="Z330" i="2"/>
  <c r="BN330" i="2"/>
  <c r="Z71" i="2"/>
  <c r="BN71" i="2"/>
  <c r="Z104" i="2"/>
  <c r="BN104" i="2"/>
  <c r="Z105" i="2"/>
  <c r="Z190" i="2"/>
  <c r="Z240" i="2"/>
  <c r="Z286" i="2"/>
  <c r="Z307" i="2"/>
  <c r="Z346" i="2"/>
  <c r="BN346" i="2"/>
  <c r="Y360" i="2"/>
  <c r="Y483" i="2"/>
  <c r="C569" i="2"/>
  <c r="Z47" i="2"/>
  <c r="Z60" i="2"/>
  <c r="Z76" i="2"/>
  <c r="Z98" i="2"/>
  <c r="BN98" i="2"/>
  <c r="Z103" i="2"/>
  <c r="Z121" i="2"/>
  <c r="Z175" i="2"/>
  <c r="Z205" i="2"/>
  <c r="Z207" i="2"/>
  <c r="Z241" i="2"/>
  <c r="Y269" i="2"/>
  <c r="Z267" i="2"/>
  <c r="Z268" i="2" s="1"/>
  <c r="Y268" i="2"/>
  <c r="Z273" i="2"/>
  <c r="Z287" i="2"/>
  <c r="BN287" i="2"/>
  <c r="Z304" i="2"/>
  <c r="Z308" i="2"/>
  <c r="Z364" i="2"/>
  <c r="Z384" i="2"/>
  <c r="Z425" i="2"/>
  <c r="Z465" i="2"/>
  <c r="Z466" i="2" s="1"/>
  <c r="BN465" i="2"/>
  <c r="BP470" i="2"/>
  <c r="Z525" i="2"/>
  <c r="BN525" i="2"/>
  <c r="BP56" i="2"/>
  <c r="BN122" i="2"/>
  <c r="Z122" i="2"/>
  <c r="BP158" i="2"/>
  <c r="BN158" i="2"/>
  <c r="Z158" i="2"/>
  <c r="Z159" i="2" s="1"/>
  <c r="Y159" i="2"/>
  <c r="BP178" i="2"/>
  <c r="BN178" i="2"/>
  <c r="Z178" i="2"/>
  <c r="BP181" i="2"/>
  <c r="BN181" i="2"/>
  <c r="Z181" i="2"/>
  <c r="BN183" i="2"/>
  <c r="Z183" i="2"/>
  <c r="BP209" i="2"/>
  <c r="BN209" i="2"/>
  <c r="Z209" i="2"/>
  <c r="BP223" i="2"/>
  <c r="Z223" i="2"/>
  <c r="BP234" i="2"/>
  <c r="Z234" i="2"/>
  <c r="BP243" i="2"/>
  <c r="BN243" i="2"/>
  <c r="Z243" i="2"/>
  <c r="Y254" i="2"/>
  <c r="Z250" i="2"/>
  <c r="BN327" i="2"/>
  <c r="Z327" i="2"/>
  <c r="BN359" i="2"/>
  <c r="BP366" i="2"/>
  <c r="BN366" i="2"/>
  <c r="Z366" i="2"/>
  <c r="BP374" i="2"/>
  <c r="Z374" i="2"/>
  <c r="BN400" i="2"/>
  <c r="Z400" i="2"/>
  <c r="BP436" i="2"/>
  <c r="BN436" i="2"/>
  <c r="Z436" i="2"/>
  <c r="BN471" i="2"/>
  <c r="BP480" i="2"/>
  <c r="BN480" i="2"/>
  <c r="Z480" i="2"/>
  <c r="BP512" i="2"/>
  <c r="BN512" i="2"/>
  <c r="Z512" i="2"/>
  <c r="BN517" i="2"/>
  <c r="BP517" i="2"/>
  <c r="BN522" i="2"/>
  <c r="Z522" i="2"/>
  <c r="Z29" i="2"/>
  <c r="BN29" i="2"/>
  <c r="BP39" i="2"/>
  <c r="Z50" i="2"/>
  <c r="BN50" i="2"/>
  <c r="Z56" i="2"/>
  <c r="Z58" i="2"/>
  <c r="BP60" i="2"/>
  <c r="BP61" i="2"/>
  <c r="Z68" i="2"/>
  <c r="Z75" i="2"/>
  <c r="Z77" i="2" s="1"/>
  <c r="BP76" i="2"/>
  <c r="Z88" i="2"/>
  <c r="BN88" i="2"/>
  <c r="Z90" i="2"/>
  <c r="BN90" i="2"/>
  <c r="Z95" i="2"/>
  <c r="BP97" i="2"/>
  <c r="Z97" i="2"/>
  <c r="BN106" i="2"/>
  <c r="Z106" i="2"/>
  <c r="BP115" i="2"/>
  <c r="BN115" i="2"/>
  <c r="Z115" i="2"/>
  <c r="BN151" i="2"/>
  <c r="BP171" i="2"/>
  <c r="Z171" i="2"/>
  <c r="BP230" i="2"/>
  <c r="BN230" i="2"/>
  <c r="Z230" i="2"/>
  <c r="BN233" i="2"/>
  <c r="Z233" i="2"/>
  <c r="BP250" i="2"/>
  <c r="BP251" i="2"/>
  <c r="Z251" i="2"/>
  <c r="BN256" i="2"/>
  <c r="Z256" i="2"/>
  <c r="Z257" i="2" s="1"/>
  <c r="BP276" i="2"/>
  <c r="BN276" i="2"/>
  <c r="Z276" i="2"/>
  <c r="BN283" i="2"/>
  <c r="Z283" i="2"/>
  <c r="BN290" i="2"/>
  <c r="BN306" i="2"/>
  <c r="BN338" i="2"/>
  <c r="Z338" i="2"/>
  <c r="BN380" i="2"/>
  <c r="BP386" i="2"/>
  <c r="BN386" i="2"/>
  <c r="Z386" i="2"/>
  <c r="BP400" i="2"/>
  <c r="BP417" i="2"/>
  <c r="Z417" i="2"/>
  <c r="BN443" i="2"/>
  <c r="Z443" i="2"/>
  <c r="Y456" i="2"/>
  <c r="BP454" i="2"/>
  <c r="BP522" i="2"/>
  <c r="BN523" i="2"/>
  <c r="BP103" i="2"/>
  <c r="Y112" i="2"/>
  <c r="BN110" i="2"/>
  <c r="BN154" i="2"/>
  <c r="BN165" i="2"/>
  <c r="BP190" i="2"/>
  <c r="BN211" i="2"/>
  <c r="BN232" i="2"/>
  <c r="BP240" i="2"/>
  <c r="BN245" i="2"/>
  <c r="BN252" i="2"/>
  <c r="BP266" i="2"/>
  <c r="BN278" i="2"/>
  <c r="BP286" i="2"/>
  <c r="BP307" i="2"/>
  <c r="BN370" i="2"/>
  <c r="BN399" i="2"/>
  <c r="BN448" i="2"/>
  <c r="Y473" i="2"/>
  <c r="Y484" i="2"/>
  <c r="BP477" i="2"/>
  <c r="BN478" i="2"/>
  <c r="BN518" i="2"/>
  <c r="F10" i="2"/>
  <c r="BP109" i="2"/>
  <c r="BN109" i="2"/>
  <c r="H569" i="2"/>
  <c r="BN133" i="2"/>
  <c r="Z199" i="2"/>
  <c r="Z200" i="2" s="1"/>
  <c r="Y200" i="2"/>
  <c r="BN199" i="2"/>
  <c r="BP244" i="2"/>
  <c r="BN244" i="2"/>
  <c r="Z244" i="2"/>
  <c r="BP277" i="2"/>
  <c r="BN277" i="2"/>
  <c r="Z277" i="2"/>
  <c r="Z285" i="2"/>
  <c r="BN285" i="2"/>
  <c r="Z418" i="2"/>
  <c r="Z419" i="2" s="1"/>
  <c r="BN418" i="2"/>
  <c r="Y451" i="2"/>
  <c r="BP505" i="2"/>
  <c r="BN505" i="2"/>
  <c r="Z505" i="2"/>
  <c r="Y535" i="2"/>
  <c r="Y536" i="2"/>
  <c r="Z534" i="2"/>
  <c r="Z535" i="2" s="1"/>
  <c r="Y33" i="2"/>
  <c r="Z38" i="2"/>
  <c r="BP38" i="2"/>
  <c r="BN49" i="2"/>
  <c r="Z59" i="2"/>
  <c r="BP59" i="2"/>
  <c r="Z67" i="2"/>
  <c r="Z70" i="2"/>
  <c r="BP105" i="2"/>
  <c r="Z109" i="2"/>
  <c r="BN227" i="2"/>
  <c r="BP227" i="2"/>
  <c r="Z227" i="2"/>
  <c r="BP331" i="2"/>
  <c r="BN331" i="2"/>
  <c r="Z331" i="2"/>
  <c r="BN397" i="2"/>
  <c r="Z397" i="2"/>
  <c r="BN437" i="2"/>
  <c r="Z437" i="2"/>
  <c r="Y500" i="2"/>
  <c r="Z528" i="2"/>
  <c r="BN528" i="2"/>
  <c r="BP551" i="2"/>
  <c r="BN551" i="2"/>
  <c r="BP31" i="2"/>
  <c r="BP166" i="2"/>
  <c r="Z166" i="2"/>
  <c r="BN185" i="2"/>
  <c r="BP185" i="2"/>
  <c r="Z185" i="2"/>
  <c r="BP345" i="2"/>
  <c r="BN345" i="2"/>
  <c r="BP367" i="2"/>
  <c r="BN367" i="2"/>
  <c r="Z367" i="2"/>
  <c r="BN31" i="2"/>
  <c r="BP58" i="2"/>
  <c r="BP68" i="2"/>
  <c r="BP87" i="2"/>
  <c r="Z89" i="2"/>
  <c r="BN89" i="2"/>
  <c r="BP91" i="2"/>
  <c r="Z91" i="2"/>
  <c r="BN97" i="2"/>
  <c r="BP143" i="2"/>
  <c r="BN149" i="2"/>
  <c r="BP149" i="2"/>
  <c r="Z149" i="2"/>
  <c r="BN195" i="2"/>
  <c r="Z195" i="2"/>
  <c r="Z196" i="2" s="1"/>
  <c r="Y201" i="2"/>
  <c r="BN206" i="2"/>
  <c r="BP206" i="2"/>
  <c r="Z206" i="2"/>
  <c r="BP210" i="2"/>
  <c r="Z210" i="2"/>
  <c r="Y323" i="2"/>
  <c r="Y322" i="2"/>
  <c r="BN321" i="2"/>
  <c r="BP387" i="2"/>
  <c r="BN387" i="2"/>
  <c r="Z387" i="2"/>
  <c r="BN393" i="2"/>
  <c r="Z393" i="2"/>
  <c r="BP435" i="2"/>
  <c r="BN435" i="2"/>
  <c r="BN487" i="2"/>
  <c r="BP487" i="2"/>
  <c r="Z487" i="2"/>
  <c r="Z488" i="2" s="1"/>
  <c r="BN179" i="2"/>
  <c r="Z179" i="2"/>
  <c r="BP231" i="2"/>
  <c r="Z231" i="2"/>
  <c r="B569" i="2"/>
  <c r="BP49" i="2"/>
  <c r="Y65" i="2"/>
  <c r="BN67" i="2"/>
  <c r="Y78" i="2"/>
  <c r="BP82" i="2"/>
  <c r="Y92" i="2"/>
  <c r="BP133" i="2"/>
  <c r="BP179" i="2"/>
  <c r="BN182" i="2"/>
  <c r="BP182" i="2"/>
  <c r="Z182" i="2"/>
  <c r="BP199" i="2"/>
  <c r="BP285" i="2"/>
  <c r="Y294" i="2"/>
  <c r="Z309" i="2"/>
  <c r="BN309" i="2"/>
  <c r="BP377" i="2"/>
  <c r="BN377" i="2"/>
  <c r="Z377" i="2"/>
  <c r="Y389" i="2"/>
  <c r="BP418" i="2"/>
  <c r="Z454" i="2"/>
  <c r="Y457" i="2"/>
  <c r="BN454" i="2"/>
  <c r="X569" i="2"/>
  <c r="Z460" i="2"/>
  <c r="Y489" i="2"/>
  <c r="Z496" i="2"/>
  <c r="Y499" i="2"/>
  <c r="BN496" i="2"/>
  <c r="BP534" i="2"/>
  <c r="Y547" i="2"/>
  <c r="Y548" i="2"/>
  <c r="Z546" i="2"/>
  <c r="Z547" i="2" s="1"/>
  <c r="BP189" i="2"/>
  <c r="BP211" i="2"/>
  <c r="BP224" i="2"/>
  <c r="BP232" i="2"/>
  <c r="BN234" i="2"/>
  <c r="BN242" i="2"/>
  <c r="BN250" i="2"/>
  <c r="BN267" i="2"/>
  <c r="BP273" i="2"/>
  <c r="BN275" i="2"/>
  <c r="BN288" i="2"/>
  <c r="Y300" i="2"/>
  <c r="BP298" i="2"/>
  <c r="BP306" i="2"/>
  <c r="BN308" i="2"/>
  <c r="Y333" i="2"/>
  <c r="BP327" i="2"/>
  <c r="BN329" i="2"/>
  <c r="BP338" i="2"/>
  <c r="Y349" i="2"/>
  <c r="BP343" i="2"/>
  <c r="Y361" i="2"/>
  <c r="BN365" i="2"/>
  <c r="BN375" i="2"/>
  <c r="BN385" i="2"/>
  <c r="BP411" i="2"/>
  <c r="BN412" i="2"/>
  <c r="Y427" i="2"/>
  <c r="BN424" i="2"/>
  <c r="BP425" i="2"/>
  <c r="BP438" i="2"/>
  <c r="BP443" i="2"/>
  <c r="BP448" i="2"/>
  <c r="BN449" i="2"/>
  <c r="BN455" i="2"/>
  <c r="BP461" i="2"/>
  <c r="BN477" i="2"/>
  <c r="BP478" i="2"/>
  <c r="BN479" i="2"/>
  <c r="BP507" i="2"/>
  <c r="BN508" i="2"/>
  <c r="BP523" i="2"/>
  <c r="BN542" i="2"/>
  <c r="Y543" i="2"/>
  <c r="BP110" i="2"/>
  <c r="BP122" i="2"/>
  <c r="Z154" i="2"/>
  <c r="Y160" i="2"/>
  <c r="Z165" i="2"/>
  <c r="BN171" i="2"/>
  <c r="Z177" i="2"/>
  <c r="BN223" i="2"/>
  <c r="BP225" i="2"/>
  <c r="BP228" i="2"/>
  <c r="BP245" i="2"/>
  <c r="BP252" i="2"/>
  <c r="BN266" i="2"/>
  <c r="BP278" i="2"/>
  <c r="BP283" i="2"/>
  <c r="BN297" i="2"/>
  <c r="BP370" i="2"/>
  <c r="BP380" i="2"/>
  <c r="Y388" i="2"/>
  <c r="Y395" i="2"/>
  <c r="BP392" i="2"/>
  <c r="BP433" i="2"/>
  <c r="Y452" i="2"/>
  <c r="BP471" i="2"/>
  <c r="Y569" i="2"/>
  <c r="BP482" i="2"/>
  <c r="AA569" i="2"/>
  <c r="BP504" i="2"/>
  <c r="BP518" i="2"/>
  <c r="BP527" i="2"/>
  <c r="BP151" i="2"/>
  <c r="BP207" i="2"/>
  <c r="Y235" i="2"/>
  <c r="BP242" i="2"/>
  <c r="BP275" i="2"/>
  <c r="BP288" i="2"/>
  <c r="Y299" i="2"/>
  <c r="BP304" i="2"/>
  <c r="BP329" i="2"/>
  <c r="BP365" i="2"/>
  <c r="BP375" i="2"/>
  <c r="BP385" i="2"/>
  <c r="BP412" i="2"/>
  <c r="Y420" i="2"/>
  <c r="BN423" i="2"/>
  <c r="Z424" i="2"/>
  <c r="Y426" i="2"/>
  <c r="Z433" i="2"/>
  <c r="Z455" i="2"/>
  <c r="BP479" i="2"/>
  <c r="Y488" i="2"/>
  <c r="BP508" i="2"/>
  <c r="Y530" i="2"/>
  <c r="BP524" i="2"/>
  <c r="BP542" i="2"/>
  <c r="BP121" i="2"/>
  <c r="Y125" i="2"/>
  <c r="Y187" i="2"/>
  <c r="Y186" i="2"/>
  <c r="BP175" i="2"/>
  <c r="Y280" i="2"/>
  <c r="BN271" i="2"/>
  <c r="BP293" i="2"/>
  <c r="Z293" i="2"/>
  <c r="BP550" i="2"/>
  <c r="BN550" i="2"/>
  <c r="Z550" i="2"/>
  <c r="Y553" i="2"/>
  <c r="Y552" i="2"/>
  <c r="BN184" i="2"/>
  <c r="Z184" i="2"/>
  <c r="BN326" i="2"/>
  <c r="Z326" i="2"/>
  <c r="P569" i="2"/>
  <c r="Y332" i="2"/>
  <c r="BP369" i="2"/>
  <c r="BN369" i="2"/>
  <c r="Z369" i="2"/>
  <c r="Y382" i="2"/>
  <c r="BP405" i="2"/>
  <c r="Z405" i="2"/>
  <c r="Z108" i="2"/>
  <c r="Z124" i="2"/>
  <c r="BN153" i="2"/>
  <c r="Z153" i="2"/>
  <c r="BP153" i="2"/>
  <c r="Z170" i="2"/>
  <c r="Y197" i="2"/>
  <c r="BP195" i="2"/>
  <c r="Y340" i="2"/>
  <c r="BP336" i="2"/>
  <c r="Y339" i="2"/>
  <c r="BN336" i="2"/>
  <c r="Q569" i="2"/>
  <c r="X560" i="2"/>
  <c r="D569" i="2"/>
  <c r="Z96" i="2"/>
  <c r="BN96" i="2"/>
  <c r="Y318" i="2"/>
  <c r="BP317" i="2"/>
  <c r="BN317" i="2"/>
  <c r="Y319" i="2"/>
  <c r="BP352" i="2"/>
  <c r="BN352" i="2"/>
  <c r="BN405" i="2"/>
  <c r="Z30" i="2"/>
  <c r="Z111" i="2"/>
  <c r="Z116" i="2"/>
  <c r="BN22" i="2"/>
  <c r="BN27" i="2"/>
  <c r="BN37" i="2"/>
  <c r="BN40" i="2"/>
  <c r="Z40" i="2"/>
  <c r="Z69" i="2"/>
  <c r="Y100" i="2"/>
  <c r="BN108" i="2"/>
  <c r="BN124" i="2"/>
  <c r="BN150" i="2"/>
  <c r="BN170" i="2"/>
  <c r="BP184" i="2"/>
  <c r="Y193" i="2"/>
  <c r="BP205" i="2"/>
  <c r="Y212" i="2"/>
  <c r="K569" i="2"/>
  <c r="Z226" i="2"/>
  <c r="BN229" i="2"/>
  <c r="Z229" i="2"/>
  <c r="BN246" i="2"/>
  <c r="BP271" i="2"/>
  <c r="Z317" i="2"/>
  <c r="Z318" i="2" s="1"/>
  <c r="BP326" i="2"/>
  <c r="Z352" i="2"/>
  <c r="BP511" i="2"/>
  <c r="Z511" i="2"/>
  <c r="Z22" i="2"/>
  <c r="Y64" i="2"/>
  <c r="BN30" i="2"/>
  <c r="BN111" i="2"/>
  <c r="BP220" i="2"/>
  <c r="Z220" i="2"/>
  <c r="BP379" i="2"/>
  <c r="BN379" i="2"/>
  <c r="Z379" i="2"/>
  <c r="X561" i="2"/>
  <c r="BN208" i="2"/>
  <c r="Z208" i="2"/>
  <c r="BP22" i="2"/>
  <c r="BP27" i="2"/>
  <c r="BP37" i="2"/>
  <c r="BN69" i="2"/>
  <c r="BN82" i="2"/>
  <c r="BP96" i="2"/>
  <c r="Y113" i="2"/>
  <c r="G569" i="2"/>
  <c r="BP108" i="2"/>
  <c r="BP116" i="2"/>
  <c r="Z144" i="2"/>
  <c r="BP150" i="2"/>
  <c r="BP170" i="2"/>
  <c r="BN176" i="2"/>
  <c r="Z176" i="2"/>
  <c r="BP176" i="2"/>
  <c r="BN226" i="2"/>
  <c r="Y236" i="2"/>
  <c r="BP246" i="2"/>
  <c r="BP261" i="2"/>
  <c r="Z261" i="2"/>
  <c r="M569" i="2"/>
  <c r="BN272" i="2"/>
  <c r="Z272" i="2"/>
  <c r="BN303" i="2"/>
  <c r="Z303" i="2"/>
  <c r="Y311" i="2"/>
  <c r="O569" i="2"/>
  <c r="BN511" i="2"/>
  <c r="BN139" i="2"/>
  <c r="Y141" i="2"/>
  <c r="BN220" i="2"/>
  <c r="BN337" i="2"/>
  <c r="Z337" i="2"/>
  <c r="BP434" i="2"/>
  <c r="BN434" i="2"/>
  <c r="Z434" i="2"/>
  <c r="Y73" i="2"/>
  <c r="BN117" i="2"/>
  <c r="Z117" i="2"/>
  <c r="Y135" i="2"/>
  <c r="Y136" i="2"/>
  <c r="Z139" i="2"/>
  <c r="BN144" i="2"/>
  <c r="Y196" i="2"/>
  <c r="BP208" i="2"/>
  <c r="Y247" i="2"/>
  <c r="BN238" i="2"/>
  <c r="Y348" i="2"/>
  <c r="Y43" i="2"/>
  <c r="Y126" i="2"/>
  <c r="Z238" i="2"/>
  <c r="Y248" i="2"/>
  <c r="BP272" i="2"/>
  <c r="BP291" i="2"/>
  <c r="Z291" i="2"/>
  <c r="BP347" i="2"/>
  <c r="BN347" i="2"/>
  <c r="Z37" i="2"/>
  <c r="Z62" i="2"/>
  <c r="BP75" i="2"/>
  <c r="BN75" i="2"/>
  <c r="Z80" i="2"/>
  <c r="Z83" i="2" s="1"/>
  <c r="Y83" i="2"/>
  <c r="BP221" i="2"/>
  <c r="BN221" i="2"/>
  <c r="Z221" i="2"/>
  <c r="Y279" i="2"/>
  <c r="Y310" i="2"/>
  <c r="BP337" i="2"/>
  <c r="Z347" i="2"/>
  <c r="W569" i="2"/>
  <c r="Y440" i="2"/>
  <c r="BP431" i="2"/>
  <c r="Y439" i="2"/>
  <c r="Z431" i="2"/>
  <c r="BP262" i="2"/>
  <c r="BN262" i="2"/>
  <c r="Z262" i="2"/>
  <c r="BN291" i="2"/>
  <c r="BN344" i="2"/>
  <c r="Y446" i="2"/>
  <c r="BP444" i="2"/>
  <c r="BN444" i="2"/>
  <c r="Z444" i="2"/>
  <c r="Z48" i="2"/>
  <c r="Z57" i="2"/>
  <c r="BN80" i="2"/>
  <c r="Y84" i="2"/>
  <c r="Z180" i="2"/>
  <c r="Z191" i="2"/>
  <c r="Z192" i="2" s="1"/>
  <c r="Y213" i="2"/>
  <c r="BN431" i="2"/>
  <c r="Z23" i="2"/>
  <c r="Y51" i="2"/>
  <c r="BN62" i="2"/>
  <c r="BP106" i="2"/>
  <c r="Z128" i="2"/>
  <c r="Z129" i="2" s="1"/>
  <c r="H9" i="2"/>
  <c r="F9" i="2"/>
  <c r="X563" i="2"/>
  <c r="BP67" i="2"/>
  <c r="BN70" i="2"/>
  <c r="Y93" i="2"/>
  <c r="Y118" i="2"/>
  <c r="Z123" i="2"/>
  <c r="BP134" i="2"/>
  <c r="Y140" i="2"/>
  <c r="I569" i="2"/>
  <c r="Y155" i="2"/>
  <c r="BN177" i="2"/>
  <c r="BN282" i="2"/>
  <c r="Z282" i="2"/>
  <c r="Y295" i="2"/>
  <c r="BN313" i="2"/>
  <c r="Z313" i="2"/>
  <c r="Z314" i="2" s="1"/>
  <c r="Y315" i="2"/>
  <c r="Y314" i="2"/>
  <c r="BP344" i="2"/>
  <c r="Y540" i="2"/>
  <c r="Y539" i="2"/>
  <c r="BP538" i="2"/>
  <c r="BN538" i="2"/>
  <c r="Z538" i="2"/>
  <c r="Z539" i="2" s="1"/>
  <c r="BN28" i="2"/>
  <c r="Z28" i="2"/>
  <c r="Z41" i="2"/>
  <c r="BN41" i="2"/>
  <c r="BN239" i="2"/>
  <c r="Z239" i="2"/>
  <c r="Y130" i="2"/>
  <c r="BP128" i="2"/>
  <c r="J569" i="2"/>
  <c r="BN163" i="2"/>
  <c r="Y167" i="2"/>
  <c r="Y24" i="2"/>
  <c r="Y32" i="2"/>
  <c r="BN180" i="2"/>
  <c r="BN191" i="2"/>
  <c r="BP216" i="2"/>
  <c r="Y218" i="2"/>
  <c r="L569" i="2"/>
  <c r="Y217" i="2"/>
  <c r="A10" i="2"/>
  <c r="Y52" i="2"/>
  <c r="BN95" i="2"/>
  <c r="Y99" i="2"/>
  <c r="BN123" i="2"/>
  <c r="Z152" i="2"/>
  <c r="BP163" i="2"/>
  <c r="Z216" i="2"/>
  <c r="Z217" i="2" s="1"/>
  <c r="Z222" i="2"/>
  <c r="Z225" i="2"/>
  <c r="BP256" i="2"/>
  <c r="Y258" i="2"/>
  <c r="Y257" i="2"/>
  <c r="Y263" i="2"/>
  <c r="BP358" i="2"/>
  <c r="BN358" i="2"/>
  <c r="Z358" i="2"/>
  <c r="Y372" i="2"/>
  <c r="Y402" i="2"/>
  <c r="BP398" i="2"/>
  <c r="Y401" i="2"/>
  <c r="BN398" i="2"/>
  <c r="Z398" i="2"/>
  <c r="BP28" i="2"/>
  <c r="BN48" i="2"/>
  <c r="BN57" i="2"/>
  <c r="F569" i="2"/>
  <c r="BN107" i="2"/>
  <c r="Z107" i="2"/>
  <c r="X559" i="2"/>
  <c r="Z63" i="2"/>
  <c r="BN63" i="2"/>
  <c r="Y145" i="2"/>
  <c r="Y146" i="2"/>
  <c r="Y156" i="2"/>
  <c r="Y173" i="2"/>
  <c r="Y192" i="2"/>
  <c r="BP282" i="2"/>
  <c r="BP313" i="2"/>
  <c r="Y353" i="2"/>
  <c r="BP351" i="2"/>
  <c r="Z351" i="2"/>
  <c r="Y354" i="2"/>
  <c r="Z27" i="2"/>
  <c r="BN23" i="2"/>
  <c r="Y42" i="2"/>
  <c r="Y119" i="2"/>
  <c r="Y25" i="2"/>
  <c r="BN55" i="2"/>
  <c r="E569" i="2"/>
  <c r="BP55" i="2"/>
  <c r="BN87" i="2"/>
  <c r="BP107" i="2"/>
  <c r="Y129" i="2"/>
  <c r="Z143" i="2"/>
  <c r="BN152" i="2"/>
  <c r="Z164" i="2"/>
  <c r="BN164" i="2"/>
  <c r="Y168" i="2"/>
  <c r="BP183" i="2"/>
  <c r="BN216" i="2"/>
  <c r="BN222" i="2"/>
  <c r="Z228" i="2"/>
  <c r="BP239" i="2"/>
  <c r="Y264" i="2"/>
  <c r="BN289" i="2"/>
  <c r="Z289" i="2"/>
  <c r="Z569" i="2"/>
  <c r="Y494" i="2"/>
  <c r="Y493" i="2"/>
  <c r="BP492" i="2"/>
  <c r="BN492" i="2"/>
  <c r="Z492" i="2"/>
  <c r="Z493" i="2" s="1"/>
  <c r="BN47" i="2"/>
  <c r="Z133" i="2"/>
  <c r="BN189" i="2"/>
  <c r="BN343" i="2"/>
  <c r="Y408" i="2"/>
  <c r="Y467" i="2"/>
  <c r="Y514" i="2"/>
  <c r="BP290" i="2"/>
  <c r="Z298" i="2"/>
  <c r="Z299" i="2" s="1"/>
  <c r="Z321" i="2"/>
  <c r="Z322" i="2" s="1"/>
  <c r="Z357" i="2"/>
  <c r="BP359" i="2"/>
  <c r="Z368" i="2"/>
  <c r="Z378" i="2"/>
  <c r="Z410" i="2"/>
  <c r="Y462" i="2"/>
  <c r="Z469" i="2"/>
  <c r="Z481" i="2"/>
  <c r="Z506" i="2"/>
  <c r="Z516" i="2"/>
  <c r="Z526" i="2"/>
  <c r="BN368" i="2"/>
  <c r="Y371" i="2"/>
  <c r="BN378" i="2"/>
  <c r="Y381" i="2"/>
  <c r="BN410" i="2"/>
  <c r="Y413" i="2"/>
  <c r="BN469" i="2"/>
  <c r="Y472" i="2"/>
  <c r="BN481" i="2"/>
  <c r="BN506" i="2"/>
  <c r="BN516" i="2"/>
  <c r="Y519" i="2"/>
  <c r="BN526" i="2"/>
  <c r="Y529" i="2"/>
  <c r="Y253" i="2"/>
  <c r="Y419" i="2"/>
  <c r="Z449" i="2"/>
  <c r="Y463" i="2"/>
  <c r="BN486" i="2"/>
  <c r="Z497" i="2"/>
  <c r="Z509" i="2"/>
  <c r="Z556" i="2"/>
  <c r="Z557" i="2" s="1"/>
  <c r="R569" i="2"/>
  <c r="BP357" i="2"/>
  <c r="BP368" i="2"/>
  <c r="BP378" i="2"/>
  <c r="BP410" i="2"/>
  <c r="BP469" i="2"/>
  <c r="Z479" i="2"/>
  <c r="Z504" i="2"/>
  <c r="BP516" i="2"/>
  <c r="Z524" i="2"/>
  <c r="S569" i="2"/>
  <c r="BP486" i="2"/>
  <c r="BN497" i="2"/>
  <c r="BN509" i="2"/>
  <c r="Y544" i="2"/>
  <c r="BN556" i="2"/>
  <c r="T569" i="2"/>
  <c r="Z406" i="2"/>
  <c r="Z432" i="2"/>
  <c r="Z442" i="2"/>
  <c r="U569" i="2"/>
  <c r="BN391" i="2"/>
  <c r="Y394" i="2"/>
  <c r="Z411" i="2"/>
  <c r="BN460" i="2"/>
  <c r="Z470" i="2"/>
  <c r="Z482" i="2"/>
  <c r="Z507" i="2"/>
  <c r="Z517" i="2"/>
  <c r="Z527" i="2"/>
  <c r="BP556" i="2"/>
  <c r="V569" i="2"/>
  <c r="Z274" i="2"/>
  <c r="Z284" i="2"/>
  <c r="Z305" i="2"/>
  <c r="Z328" i="2"/>
  <c r="BN406" i="2"/>
  <c r="BN432" i="2"/>
  <c r="BN442" i="2"/>
  <c r="Y445" i="2"/>
  <c r="Z345" i="2"/>
  <c r="BP391" i="2"/>
  <c r="Z399" i="2"/>
  <c r="Z423" i="2"/>
  <c r="Z435" i="2"/>
  <c r="Z551" i="2"/>
  <c r="Y557" i="2"/>
  <c r="BN166" i="2"/>
  <c r="BN210" i="2"/>
  <c r="BN231" i="2"/>
  <c r="BN241" i="2"/>
  <c r="BN251" i="2"/>
  <c r="BN274" i="2"/>
  <c r="BN284" i="2"/>
  <c r="Z292" i="2"/>
  <c r="BN305" i="2"/>
  <c r="BN328" i="2"/>
  <c r="BN364" i="2"/>
  <c r="BN374" i="2"/>
  <c r="BN384" i="2"/>
  <c r="Z404" i="2"/>
  <c r="BN417" i="2"/>
  <c r="Z450" i="2"/>
  <c r="BP465" i="2"/>
  <c r="Z498" i="2"/>
  <c r="Z510" i="2"/>
  <c r="BN534" i="2"/>
  <c r="BN546" i="2"/>
  <c r="BN292" i="2"/>
  <c r="Z392" i="2"/>
  <c r="BN404" i="2"/>
  <c r="Y407" i="2"/>
  <c r="Z438" i="2"/>
  <c r="BN450" i="2"/>
  <c r="Z461" i="2"/>
  <c r="BN498" i="2"/>
  <c r="BN510" i="2"/>
  <c r="Y513" i="2"/>
  <c r="BP546" i="2"/>
  <c r="Y558" i="2"/>
  <c r="BP423" i="2"/>
  <c r="AB569" i="2"/>
  <c r="Z360" i="2" l="1"/>
  <c r="Z140" i="2"/>
  <c r="Z99" i="2"/>
  <c r="Z348" i="2"/>
  <c r="Z135" i="2"/>
  <c r="Z394" i="2"/>
  <c r="Z426" i="2"/>
  <c r="Z445" i="2"/>
  <c r="Z371" i="2"/>
  <c r="Z112" i="2"/>
  <c r="Z125" i="2"/>
  <c r="Z51" i="2"/>
  <c r="Z339" i="2"/>
  <c r="Z167" i="2"/>
  <c r="Z388" i="2"/>
  <c r="Z92" i="2"/>
  <c r="Z212" i="2"/>
  <c r="Z72" i="2"/>
  <c r="Z462" i="2"/>
  <c r="Z279" i="2"/>
  <c r="Z483" i="2"/>
  <c r="Z32" i="2"/>
  <c r="Z353" i="2"/>
  <c r="Z64" i="2"/>
  <c r="Z186" i="2"/>
  <c r="Z172" i="2"/>
  <c r="Z253" i="2"/>
  <c r="Z529" i="2"/>
  <c r="Z499" i="2"/>
  <c r="Z472" i="2"/>
  <c r="Z401" i="2"/>
  <c r="Z118" i="2"/>
  <c r="Z519" i="2"/>
  <c r="Z155" i="2"/>
  <c r="Z381" i="2"/>
  <c r="Z451" i="2"/>
  <c r="Z413" i="2"/>
  <c r="Z247" i="2"/>
  <c r="Z456" i="2"/>
  <c r="Y560" i="2"/>
  <c r="Z332" i="2"/>
  <c r="Z235" i="2"/>
  <c r="Z294" i="2"/>
  <c r="Z310" i="2"/>
  <c r="Z439" i="2"/>
  <c r="Y559" i="2"/>
  <c r="Z24" i="2"/>
  <c r="Z145" i="2"/>
  <c r="Z42" i="2"/>
  <c r="Z552" i="2"/>
  <c r="Y563" i="2"/>
  <c r="Z263" i="2"/>
  <c r="Z513" i="2"/>
  <c r="Z407" i="2"/>
  <c r="Y561" i="2"/>
  <c r="X562" i="2"/>
  <c r="Z564" i="2" l="1"/>
  <c r="Y562" i="2"/>
</calcChain>
</file>

<file path=xl/sharedStrings.xml><?xml version="1.0" encoding="utf-8"?>
<sst xmlns="http://schemas.openxmlformats.org/spreadsheetml/2006/main" count="4294" uniqueCount="897">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</sst>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/>
      <c r="I5" s="998"/>
      <c r="J5" s="998"/>
      <c r="K5" s="998"/>
      <c r="L5" s="998"/>
      <c r="M5" s="998"/>
      <c r="N5" s="72"/>
      <c r="P5" s="27" t="s">
        <v>4</v>
      </c>
      <c r="Q5" s="1000">
        <v>46296</v>
      </c>
      <c r="R5" s="1000"/>
      <c r="T5" s="1001" t="s">
        <v>3</v>
      </c>
      <c r="U5" s="1002"/>
      <c r="V5" s="1003" t="s">
        <v>873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 t="s">
        <v>880</v>
      </c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Четверг</v>
      </c>
      <c r="R6" s="1006"/>
      <c r="T6" s="1007" t="s">
        <v>5</v>
      </c>
      <c r="U6" s="1008"/>
      <c r="V6" s="1009" t="s">
        <v>70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 t="str">
        <f>IFERROR(VLOOKUP(DeliveryAddress,Table,3,0),1)</f>
        <v>3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58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0.41666666666666669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55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72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73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74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75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61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59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66</v>
      </c>
      <c r="L17" s="952" t="s">
        <v>64</v>
      </c>
      <c r="M17" s="952" t="s">
        <v>2</v>
      </c>
      <c r="N17" s="952" t="s">
        <v>63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56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60</v>
      </c>
      <c r="AB17" s="958" t="s">
        <v>19</v>
      </c>
      <c r="AC17" s="958" t="s">
        <v>65</v>
      </c>
      <c r="AD17" s="960" t="s">
        <v>57</v>
      </c>
      <c r="AE17" s="961"/>
      <c r="AF17" s="962"/>
      <c r="AG17" s="82"/>
      <c r="BD17" s="81" t="s">
        <v>62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hidden="1" customHeight="1" x14ac:dyDescent="0.2">
      <c r="A19" s="683" t="s">
        <v>76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hidden="1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hidden="1" customHeight="1" x14ac:dyDescent="0.25">
      <c r="A35" s="672" t="s">
        <v>104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3" t="s">
        <v>120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hidden="1" customHeight="1" x14ac:dyDescent="0.25">
      <c r="A45" s="672" t="s">
        <v>121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108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112.1</v>
      </c>
      <c r="BN47" s="78">
        <f>IFERROR(Y47*I47/H47,"0")</f>
        <v>112.1</v>
      </c>
      <c r="BO47" s="78">
        <f>IFERROR(1/J47*(X47/H47),"0")</f>
        <v>0.15625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40</v>
      </c>
      <c r="Y49" s="55">
        <f>IFERROR(IF(X49="",0,CEILING((X49/$H49),1)*$H49),"")</f>
        <v>40</v>
      </c>
      <c r="Z49" s="41">
        <f>IFERROR(IF(Y49=0,"",ROUNDUP(Y49/H49,0)*0.00902),"")</f>
        <v>9.0200000000000002E-2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41.900000000000006</v>
      </c>
      <c r="BN49" s="78">
        <f>IFERROR(Y49*I49/H49,"0")</f>
        <v>41.900000000000006</v>
      </c>
      <c r="BO49" s="78">
        <f>IFERROR(1/J49*(X49/H49),"0")</f>
        <v>7.575757575757576E-2</v>
      </c>
      <c r="BP49" s="78">
        <f>IFERROR(1/J49*(Y49/H49),"0")</f>
        <v>7.575757575757576E-2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20</v>
      </c>
      <c r="Y51" s="43">
        <f>IFERROR(Y47/H47,"0")+IFERROR(Y48/H48,"0")+IFERROR(Y49/H49,"0")+IFERROR(Y50/H50,"0")</f>
        <v>20</v>
      </c>
      <c r="Z51" s="43">
        <f>IFERROR(IF(Z47="",0,Z47),"0")+IFERROR(IF(Z48="",0,Z48),"0")+IFERROR(IF(Z49="",0,Z49),"0")+IFERROR(IF(Z50="",0,Z50),"0")</f>
        <v>0.28000000000000003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148</v>
      </c>
      <c r="Y52" s="43">
        <f>IFERROR(SUM(Y47:Y50),"0")</f>
        <v>148</v>
      </c>
      <c r="Z52" s="42"/>
      <c r="AA52" s="67"/>
      <c r="AB52" s="67"/>
      <c r="AC52" s="67"/>
    </row>
    <row r="53" spans="1:68" ht="16.5" hidden="1" customHeight="1" x14ac:dyDescent="0.25">
      <c r="A53" s="672" t="s">
        <v>137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6">
        <v>4680115881426</v>
      </c>
      <c r="E57" s="666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6">
        <v>4680115880283</v>
      </c>
      <c r="E58" s="666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149</v>
      </c>
      <c r="B59" s="63" t="s">
        <v>150</v>
      </c>
      <c r="C59" s="36">
        <v>4301011806</v>
      </c>
      <c r="D59" s="666">
        <v>4680115881525</v>
      </c>
      <c r="E59" s="666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40</v>
      </c>
      <c r="Y59" s="55">
        <f t="shared" si="0"/>
        <v>40</v>
      </c>
      <c r="Z59" s="41">
        <f>IFERROR(IF(Y59=0,"",ROUNDUP(Y59/H59,0)*0.00902),"")</f>
        <v>9.0200000000000002E-2</v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41.900000000000006</v>
      </c>
      <c r="BN59" s="78">
        <f t="shared" si="2"/>
        <v>41.900000000000006</v>
      </c>
      <c r="BO59" s="78">
        <f t="shared" si="3"/>
        <v>7.575757575757576E-2</v>
      </c>
      <c r="BP59" s="78">
        <f t="shared" si="4"/>
        <v>7.575757575757576E-2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6">
        <v>4680115881525</v>
      </c>
      <c r="E60" s="666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6">
        <v>4680115885899</v>
      </c>
      <c r="E61" s="666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8"/>
      <c r="R61" s="668"/>
      <c r="S61" s="668"/>
      <c r="T61" s="669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66">
        <v>4680115881419</v>
      </c>
      <c r="E62" s="666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8"/>
      <c r="R62" s="668"/>
      <c r="S62" s="668"/>
      <c r="T62" s="669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6">
        <v>4680115881419</v>
      </c>
      <c r="E63" s="666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8"/>
      <c r="R63" s="668"/>
      <c r="S63" s="668"/>
      <c r="T63" s="669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10</v>
      </c>
      <c r="Y64" s="43">
        <f>IFERROR(Y55/H55,"0")+IFERROR(Y56/H56,"0")+IFERROR(Y57/H57,"0")+IFERROR(Y58/H58,"0")+IFERROR(Y59/H59,"0")+IFERROR(Y60/H60,"0")+IFERROR(Y61/H61,"0")+IFERROR(Y62/H62,"0")+IFERROR(Y63/H63,"0")</f>
        <v>10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9.0200000000000002E-2</v>
      </c>
      <c r="AA64" s="67"/>
      <c r="AB64" s="67"/>
      <c r="AC64" s="67"/>
    </row>
    <row r="65" spans="1:68" x14ac:dyDescent="0.2">
      <c r="A65" s="656"/>
      <c r="B65" s="656"/>
      <c r="C65" s="656"/>
      <c r="D65" s="656"/>
      <c r="E65" s="656"/>
      <c r="F65" s="656"/>
      <c r="G65" s="656"/>
      <c r="H65" s="656"/>
      <c r="I65" s="656"/>
      <c r="J65" s="656"/>
      <c r="K65" s="656"/>
      <c r="L65" s="656"/>
      <c r="M65" s="656"/>
      <c r="N65" s="656"/>
      <c r="O65" s="657"/>
      <c r="P65" s="653" t="s">
        <v>40</v>
      </c>
      <c r="Q65" s="654"/>
      <c r="R65" s="654"/>
      <c r="S65" s="654"/>
      <c r="T65" s="654"/>
      <c r="U65" s="654"/>
      <c r="V65" s="655"/>
      <c r="W65" s="42" t="s">
        <v>0</v>
      </c>
      <c r="X65" s="43">
        <f>IFERROR(SUM(X55:X63),"0")</f>
        <v>40</v>
      </c>
      <c r="Y65" s="43">
        <f>IFERROR(SUM(Y55:Y63),"0")</f>
        <v>40</v>
      </c>
      <c r="Z65" s="42"/>
      <c r="AA65" s="67"/>
      <c r="AB65" s="67"/>
      <c r="AC65" s="67"/>
    </row>
    <row r="66" spans="1:68" ht="14.25" hidden="1" customHeight="1" x14ac:dyDescent="0.25">
      <c r="A66" s="665" t="s">
        <v>159</v>
      </c>
      <c r="B66" s="665"/>
      <c r="C66" s="665"/>
      <c r="D66" s="665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666">
        <v>4680115881440</v>
      </c>
      <c r="E67" s="666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108</v>
      </c>
      <c r="Y67" s="55">
        <f>IFERROR(IF(X67="",0,CEILING((X67/$H67),1)*$H67),"")</f>
        <v>108</v>
      </c>
      <c r="Z67" s="41">
        <f>IFERROR(IF(Y67=0,"",ROUNDUP(Y67/H67,0)*0.01898),"")</f>
        <v>0.1898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112.1</v>
      </c>
      <c r="BN67" s="78">
        <f>IFERROR(Y67*I67/H67,"0")</f>
        <v>112.1</v>
      </c>
      <c r="BO67" s="78">
        <f>IFERROR(1/J67*(X67/H67),"0")</f>
        <v>0.15625</v>
      </c>
      <c r="BP67" s="78">
        <f>IFERROR(1/J67*(Y67/H67),"0")</f>
        <v>0.15625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6">
        <v>4680115881440</v>
      </c>
      <c r="E68" s="666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8"/>
      <c r="R68" s="668"/>
      <c r="S68" s="668"/>
      <c r="T68" s="669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6">
        <v>4680115885950</v>
      </c>
      <c r="E69" s="666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8"/>
      <c r="R69" s="668"/>
      <c r="S69" s="668"/>
      <c r="T69" s="669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6">
        <v>4680115887688</v>
      </c>
      <c r="E70" s="666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2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8"/>
      <c r="R70" s="668"/>
      <c r="S70" s="668"/>
      <c r="T70" s="669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666">
        <v>4680115881433</v>
      </c>
      <c r="E71" s="666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25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27</v>
      </c>
      <c r="Y71" s="55">
        <f>IFERROR(IF(X71="",0,CEILING((X71/$H71),1)*$H71),"")</f>
        <v>27</v>
      </c>
      <c r="Z71" s="41">
        <f>IFERROR(IF(Y71=0,"",ROUNDUP(Y71/H71,0)*0.00651),"")</f>
        <v>6.5100000000000005E-2</v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28.799999999999994</v>
      </c>
      <c r="BN71" s="78">
        <f>IFERROR(Y71*I71/H71,"0")</f>
        <v>28.799999999999994</v>
      </c>
      <c r="BO71" s="78">
        <f>IFERROR(1/J71*(X71/H71),"0")</f>
        <v>5.4945054945054951E-2</v>
      </c>
      <c r="BP71" s="78">
        <f>IFERROR(1/J71*(Y71/H71),"0")</f>
        <v>5.4945054945054951E-2</v>
      </c>
    </row>
    <row r="72" spans="1:68" x14ac:dyDescent="0.2">
      <c r="A72" s="656"/>
      <c r="B72" s="656"/>
      <c r="C72" s="656"/>
      <c r="D72" s="656"/>
      <c r="E72" s="656"/>
      <c r="F72" s="656"/>
      <c r="G72" s="656"/>
      <c r="H72" s="656"/>
      <c r="I72" s="656"/>
      <c r="J72" s="656"/>
      <c r="K72" s="656"/>
      <c r="L72" s="656"/>
      <c r="M72" s="656"/>
      <c r="N72" s="656"/>
      <c r="O72" s="657"/>
      <c r="P72" s="653" t="s">
        <v>40</v>
      </c>
      <c r="Q72" s="654"/>
      <c r="R72" s="654"/>
      <c r="S72" s="654"/>
      <c r="T72" s="654"/>
      <c r="U72" s="654"/>
      <c r="V72" s="655"/>
      <c r="W72" s="42" t="s">
        <v>39</v>
      </c>
      <c r="X72" s="43">
        <f>IFERROR(X67/H67,"0")+IFERROR(X68/H68,"0")+IFERROR(X69/H69,"0")+IFERROR(X70/H70,"0")+IFERROR(X71/H71,"0")</f>
        <v>20</v>
      </c>
      <c r="Y72" s="43">
        <f>IFERROR(Y67/H67,"0")+IFERROR(Y68/H68,"0")+IFERROR(Y69/H69,"0")+IFERROR(Y70/H70,"0")+IFERROR(Y71/H71,"0")</f>
        <v>20</v>
      </c>
      <c r="Z72" s="43">
        <f>IFERROR(IF(Z67="",0,Z67),"0")+IFERROR(IF(Z68="",0,Z68),"0")+IFERROR(IF(Z69="",0,Z69),"0")+IFERROR(IF(Z70="",0,Z70),"0")+IFERROR(IF(Z71="",0,Z71),"0")</f>
        <v>0.25490000000000002</v>
      </c>
      <c r="AA72" s="67"/>
      <c r="AB72" s="67"/>
      <c r="AC72" s="67"/>
    </row>
    <row r="73" spans="1:68" x14ac:dyDescent="0.2">
      <c r="A73" s="656"/>
      <c r="B73" s="656"/>
      <c r="C73" s="656"/>
      <c r="D73" s="656"/>
      <c r="E73" s="656"/>
      <c r="F73" s="656"/>
      <c r="G73" s="656"/>
      <c r="H73" s="656"/>
      <c r="I73" s="656"/>
      <c r="J73" s="656"/>
      <c r="K73" s="656"/>
      <c r="L73" s="656"/>
      <c r="M73" s="656"/>
      <c r="N73" s="656"/>
      <c r="O73" s="657"/>
      <c r="P73" s="653" t="s">
        <v>40</v>
      </c>
      <c r="Q73" s="654"/>
      <c r="R73" s="654"/>
      <c r="S73" s="654"/>
      <c r="T73" s="654"/>
      <c r="U73" s="654"/>
      <c r="V73" s="655"/>
      <c r="W73" s="42" t="s">
        <v>0</v>
      </c>
      <c r="X73" s="43">
        <f>IFERROR(SUM(X67:X71),"0")</f>
        <v>135</v>
      </c>
      <c r="Y73" s="43">
        <f>IFERROR(SUM(Y67:Y71),"0")</f>
        <v>135</v>
      </c>
      <c r="Z73" s="42"/>
      <c r="AA73" s="67"/>
      <c r="AB73" s="67"/>
      <c r="AC73" s="67"/>
    </row>
    <row r="74" spans="1:68" ht="14.25" hidden="1" customHeight="1" x14ac:dyDescent="0.25">
      <c r="A74" s="665" t="s">
        <v>86</v>
      </c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65"/>
      <c r="P74" s="665"/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6">
        <v>4680115884311</v>
      </c>
      <c r="E75" s="666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8"/>
      <c r="R75" s="668"/>
      <c r="S75" s="668"/>
      <c r="T75" s="669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6">
        <v>4680115884403</v>
      </c>
      <c r="E76" s="666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8"/>
      <c r="R76" s="668"/>
      <c r="S76" s="668"/>
      <c r="T76" s="669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56"/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7"/>
      <c r="P77" s="653" t="s">
        <v>40</v>
      </c>
      <c r="Q77" s="654"/>
      <c r="R77" s="654"/>
      <c r="S77" s="654"/>
      <c r="T77" s="654"/>
      <c r="U77" s="654"/>
      <c r="V77" s="655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56"/>
      <c r="B78" s="656"/>
      <c r="C78" s="656"/>
      <c r="D78" s="656"/>
      <c r="E78" s="656"/>
      <c r="F78" s="656"/>
      <c r="G78" s="656"/>
      <c r="H78" s="656"/>
      <c r="I78" s="656"/>
      <c r="J78" s="656"/>
      <c r="K78" s="656"/>
      <c r="L78" s="656"/>
      <c r="M78" s="656"/>
      <c r="N78" s="656"/>
      <c r="O78" s="657"/>
      <c r="P78" s="653" t="s">
        <v>40</v>
      </c>
      <c r="Q78" s="654"/>
      <c r="R78" s="654"/>
      <c r="S78" s="654"/>
      <c r="T78" s="654"/>
      <c r="U78" s="654"/>
      <c r="V78" s="655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5" t="s">
        <v>178</v>
      </c>
      <c r="B79" s="665"/>
      <c r="C79" s="665"/>
      <c r="D79" s="665"/>
      <c r="E79" s="665"/>
      <c r="F79" s="665"/>
      <c r="G79" s="665"/>
      <c r="H79" s="665"/>
      <c r="I79" s="665"/>
      <c r="J79" s="665"/>
      <c r="K79" s="665"/>
      <c r="L79" s="665"/>
      <c r="M79" s="665"/>
      <c r="N79" s="665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666">
        <v>4680115881532</v>
      </c>
      <c r="E80" s="666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6">
        <v>4680115881532</v>
      </c>
      <c r="E81" s="666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1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8"/>
      <c r="R81" s="668"/>
      <c r="S81" s="668"/>
      <c r="T81" s="669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6">
        <v>4680115881464</v>
      </c>
      <c r="E82" s="666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56"/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7"/>
      <c r="P83" s="653" t="s">
        <v>40</v>
      </c>
      <c r="Q83" s="654"/>
      <c r="R83" s="654"/>
      <c r="S83" s="654"/>
      <c r="T83" s="654"/>
      <c r="U83" s="654"/>
      <c r="V83" s="655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56"/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7"/>
      <c r="P84" s="653" t="s">
        <v>40</v>
      </c>
      <c r="Q84" s="654"/>
      <c r="R84" s="654"/>
      <c r="S84" s="654"/>
      <c r="T84" s="654"/>
      <c r="U84" s="654"/>
      <c r="V84" s="655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72" t="s">
        <v>186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5"/>
      <c r="AB85" s="65"/>
      <c r="AC85" s="79"/>
    </row>
    <row r="86" spans="1:68" ht="14.25" hidden="1" customHeight="1" x14ac:dyDescent="0.25">
      <c r="A86" s="665" t="s">
        <v>122</v>
      </c>
      <c r="B86" s="665"/>
      <c r="C86" s="665"/>
      <c r="D86" s="665"/>
      <c r="E86" s="665"/>
      <c r="F86" s="665"/>
      <c r="G86" s="665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666">
        <v>4680115881327</v>
      </c>
      <c r="E87" s="666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54</v>
      </c>
      <c r="Y87" s="55">
        <f>IFERROR(IF(X87="",0,CEILING((X87/$H87),1)*$H87),"")</f>
        <v>54</v>
      </c>
      <c r="Z87" s="41">
        <f>IFERROR(IF(Y87=0,"",ROUNDUP(Y87/H87,0)*0.01898),"")</f>
        <v>9.4899999999999998E-2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56.05</v>
      </c>
      <c r="BN87" s="78">
        <f>IFERROR(Y87*I87/H87,"0")</f>
        <v>56.05</v>
      </c>
      <c r="BO87" s="78">
        <f>IFERROR(1/J87*(X87/H87),"0")</f>
        <v>7.8125E-2</v>
      </c>
      <c r="BP87" s="78">
        <f>IFERROR(1/J87*(Y87/H87),"0")</f>
        <v>7.8125E-2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4301012392</v>
      </c>
      <c r="D88" s="666">
        <v>4680115887732</v>
      </c>
      <c r="E88" s="666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9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666">
        <v>4680115881518</v>
      </c>
      <c r="E89" s="666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9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4301012252</v>
      </c>
      <c r="D90" s="666">
        <v>4680115881518</v>
      </c>
      <c r="E90" s="666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1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8"/>
      <c r="R90" s="668"/>
      <c r="S90" s="668"/>
      <c r="T90" s="669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4301012250</v>
      </c>
      <c r="D91" s="666">
        <v>4680115881303</v>
      </c>
      <c r="E91" s="666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8"/>
      <c r="R91" s="668"/>
      <c r="S91" s="668"/>
      <c r="T91" s="669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39</v>
      </c>
      <c r="X92" s="43">
        <f>IFERROR(X87/H87,"0")+IFERROR(X88/H88,"0")+IFERROR(X89/H89,"0")+IFERROR(X90/H90,"0")+IFERROR(X91/H91,"0")</f>
        <v>5</v>
      </c>
      <c r="Y92" s="43">
        <f>IFERROR(Y87/H87,"0")+IFERROR(Y88/H88,"0")+IFERROR(Y89/H89,"0")+IFERROR(Y90/H90,"0")+IFERROR(Y91/H91,"0")</f>
        <v>5</v>
      </c>
      <c r="Z92" s="43">
        <f>IFERROR(IF(Z87="",0,Z87),"0")+IFERROR(IF(Z88="",0,Z88),"0")+IFERROR(IF(Z89="",0,Z89),"0")+IFERROR(IF(Z90="",0,Z90),"0")+IFERROR(IF(Z91="",0,Z91),"0")</f>
        <v>9.4899999999999998E-2</v>
      </c>
      <c r="AA92" s="67"/>
      <c r="AB92" s="67"/>
      <c r="AC92" s="67"/>
    </row>
    <row r="93" spans="1:68" x14ac:dyDescent="0.2">
      <c r="A93" s="656"/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7"/>
      <c r="P93" s="653" t="s">
        <v>40</v>
      </c>
      <c r="Q93" s="654"/>
      <c r="R93" s="654"/>
      <c r="S93" s="654"/>
      <c r="T93" s="654"/>
      <c r="U93" s="654"/>
      <c r="V93" s="655"/>
      <c r="W93" s="42" t="s">
        <v>0</v>
      </c>
      <c r="X93" s="43">
        <f>IFERROR(SUM(X87:X91),"0")</f>
        <v>54</v>
      </c>
      <c r="Y93" s="43">
        <f>IFERROR(SUM(Y87:Y91),"0")</f>
        <v>54</v>
      </c>
      <c r="Z93" s="42"/>
      <c r="AA93" s="67"/>
      <c r="AB93" s="67"/>
      <c r="AC93" s="67"/>
    </row>
    <row r="94" spans="1:68" ht="14.25" hidden="1" customHeight="1" x14ac:dyDescent="0.25">
      <c r="A94" s="665" t="s">
        <v>86</v>
      </c>
      <c r="B94" s="665"/>
      <c r="C94" s="665"/>
      <c r="D94" s="665"/>
      <c r="E94" s="665"/>
      <c r="F94" s="665"/>
      <c r="G94" s="665"/>
      <c r="H94" s="665"/>
      <c r="I94" s="665"/>
      <c r="J94" s="665"/>
      <c r="K94" s="665"/>
      <c r="L94" s="665"/>
      <c r="M94" s="665"/>
      <c r="N94" s="665"/>
      <c r="O94" s="665"/>
      <c r="P94" s="665"/>
      <c r="Q94" s="665"/>
      <c r="R94" s="665"/>
      <c r="S94" s="665"/>
      <c r="T94" s="665"/>
      <c r="U94" s="665"/>
      <c r="V94" s="665"/>
      <c r="W94" s="665"/>
      <c r="X94" s="665"/>
      <c r="Y94" s="665"/>
      <c r="Z94" s="665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4301052101</v>
      </c>
      <c r="D95" s="666">
        <v>4607091386967</v>
      </c>
      <c r="E95" s="666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4301052090</v>
      </c>
      <c r="D96" s="666">
        <v>4680115884953</v>
      </c>
      <c r="E96" s="666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72" t="s">
        <v>209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hidden="1" customHeight="1" x14ac:dyDescent="0.25">
      <c r="A102" s="665" t="s">
        <v>122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210</v>
      </c>
      <c r="B104" s="63" t="s">
        <v>213</v>
      </c>
      <c r="C104" s="36">
        <v>4301012256</v>
      </c>
      <c r="D104" s="666">
        <v>4680115882133</v>
      </c>
      <c r="E104" s="666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4301012379</v>
      </c>
      <c r="D105" s="666">
        <v>4680115887718</v>
      </c>
      <c r="E105" s="666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666">
        <v>4680115880269</v>
      </c>
      <c r="E106" s="666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4301012253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4301012254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0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4301011462</v>
      </c>
      <c r="D109" s="666">
        <v>4680115881457</v>
      </c>
      <c r="E109" s="666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4301012255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0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4301012366</v>
      </c>
      <c r="D111" s="666">
        <v>4680115889477</v>
      </c>
      <c r="E111" s="666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89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8"/>
      <c r="R111" s="668"/>
      <c r="S111" s="668"/>
      <c r="T111" s="669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56"/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7"/>
      <c r="P113" s="653" t="s">
        <v>40</v>
      </c>
      <c r="Q113" s="654"/>
      <c r="R113" s="654"/>
      <c r="S113" s="654"/>
      <c r="T113" s="654"/>
      <c r="U113" s="654"/>
      <c r="V113" s="655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65" t="s">
        <v>159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666">
        <v>4680115881488</v>
      </c>
      <c r="E115" s="666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89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4301020393</v>
      </c>
      <c r="D116" s="666">
        <v>4680115882775</v>
      </c>
      <c r="E116" s="666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4301020392</v>
      </c>
      <c r="D117" s="666">
        <v>4680115880658</v>
      </c>
      <c r="E117" s="666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665" t="s">
        <v>86</v>
      </c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666">
        <v>4607091385168</v>
      </c>
      <c r="E121" s="666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8"/>
      <c r="R121" s="668"/>
      <c r="S121" s="668"/>
      <c r="T121" s="669"/>
      <c r="U121" s="39" t="s">
        <v>46</v>
      </c>
      <c r="V121" s="39" t="s">
        <v>46</v>
      </c>
      <c r="W121" s="40" t="s">
        <v>0</v>
      </c>
      <c r="X121" s="58">
        <v>81</v>
      </c>
      <c r="Y121" s="55">
        <f>IFERROR(IF(X121="",0,CEILING((X121/$H121),1)*$H121),"")</f>
        <v>81</v>
      </c>
      <c r="Z121" s="41">
        <f>IFERROR(IF(Y121=0,"",ROUNDUP(Y121/H121,0)*0.01898),"")</f>
        <v>0.1898</v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85.88</v>
      </c>
      <c r="BN121" s="78">
        <f>IFERROR(Y121*I121/H121,"0")</f>
        <v>85.88</v>
      </c>
      <c r="BO121" s="78">
        <f>IFERROR(1/J121*(X121/H121),"0")</f>
        <v>0.15625</v>
      </c>
      <c r="BP121" s="78">
        <f>IFERROR(1/J121*(Y121/H121),"0")</f>
        <v>0.15625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4301052087</v>
      </c>
      <c r="D122" s="666">
        <v>4607091383256</v>
      </c>
      <c r="E122" s="666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241</v>
      </c>
      <c r="B123" s="63" t="s">
        <v>242</v>
      </c>
      <c r="C123" s="36">
        <v>4301052086</v>
      </c>
      <c r="D123" s="666">
        <v>4607091385748</v>
      </c>
      <c r="E123" s="666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hidden="1" customHeight="1" x14ac:dyDescent="0.25">
      <c r="A124" s="63" t="s">
        <v>243</v>
      </c>
      <c r="B124" s="63" t="s">
        <v>244</v>
      </c>
      <c r="C124" s="36">
        <v>4301052085</v>
      </c>
      <c r="D124" s="666">
        <v>4680115884533</v>
      </c>
      <c r="E124" s="666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8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2" t="s">
        <v>39</v>
      </c>
      <c r="X125" s="43">
        <f>IFERROR(X121/H121,"0")+IFERROR(X122/H122,"0")+IFERROR(X123/H123,"0")+IFERROR(X124/H124,"0")</f>
        <v>10</v>
      </c>
      <c r="Y125" s="43">
        <f>IFERROR(Y121/H121,"0")+IFERROR(Y122/H122,"0")+IFERROR(Y123/H123,"0")+IFERROR(Y124/H124,"0")</f>
        <v>10</v>
      </c>
      <c r="Z125" s="43">
        <f>IFERROR(IF(Z121="",0,Z121),"0")+IFERROR(IF(Z122="",0,Z122),"0")+IFERROR(IF(Z123="",0,Z123),"0")+IFERROR(IF(Z124="",0,Z124),"0")</f>
        <v>0.1898</v>
      </c>
      <c r="AA125" s="67"/>
      <c r="AB125" s="67"/>
      <c r="AC125" s="67"/>
    </row>
    <row r="126" spans="1:68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0</v>
      </c>
      <c r="X126" s="43">
        <f>IFERROR(SUM(X121:X124),"0")</f>
        <v>81</v>
      </c>
      <c r="Y126" s="43">
        <f>IFERROR(SUM(Y121:Y124),"0")</f>
        <v>81</v>
      </c>
      <c r="Z126" s="42"/>
      <c r="AA126" s="67"/>
      <c r="AB126" s="67"/>
      <c r="AC126" s="67"/>
    </row>
    <row r="127" spans="1:68" ht="14.25" hidden="1" customHeight="1" x14ac:dyDescent="0.25">
      <c r="A127" s="665" t="s">
        <v>178</v>
      </c>
      <c r="B127" s="665"/>
      <c r="C127" s="665"/>
      <c r="D127" s="665"/>
      <c r="E127" s="665"/>
      <c r="F127" s="665"/>
      <c r="G127" s="665"/>
      <c r="H127" s="665"/>
      <c r="I127" s="665"/>
      <c r="J127" s="665"/>
      <c r="K127" s="665"/>
      <c r="L127" s="665"/>
      <c r="M127" s="665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6"/>
      <c r="AB127" s="66"/>
      <c r="AC127" s="80"/>
    </row>
    <row r="128" spans="1:68" ht="16.5" hidden="1" customHeight="1" x14ac:dyDescent="0.25">
      <c r="A128" s="63" t="s">
        <v>246</v>
      </c>
      <c r="B128" s="63" t="s">
        <v>247</v>
      </c>
      <c r="C128" s="36">
        <v>4301060525</v>
      </c>
      <c r="D128" s="666">
        <v>4680115880238</v>
      </c>
      <c r="E128" s="666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8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hidden="1" customHeight="1" x14ac:dyDescent="0.25">
      <c r="A131" s="672" t="s">
        <v>249</v>
      </c>
      <c r="B131" s="672"/>
      <c r="C131" s="672"/>
      <c r="D131" s="672"/>
      <c r="E131" s="672"/>
      <c r="F131" s="672"/>
      <c r="G131" s="672"/>
      <c r="H131" s="672"/>
      <c r="I131" s="672"/>
      <c r="J131" s="672"/>
      <c r="K131" s="672"/>
      <c r="L131" s="672"/>
      <c r="M131" s="672"/>
      <c r="N131" s="672"/>
      <c r="O131" s="672"/>
      <c r="P131" s="672"/>
      <c r="Q131" s="672"/>
      <c r="R131" s="672"/>
      <c r="S131" s="672"/>
      <c r="T131" s="672"/>
      <c r="U131" s="672"/>
      <c r="V131" s="672"/>
      <c r="W131" s="672"/>
      <c r="X131" s="672"/>
      <c r="Y131" s="672"/>
      <c r="Z131" s="672"/>
      <c r="AA131" s="65"/>
      <c r="AB131" s="65"/>
      <c r="AC131" s="79"/>
    </row>
    <row r="132" spans="1:68" ht="14.25" hidden="1" customHeight="1" x14ac:dyDescent="0.25">
      <c r="A132" s="665" t="s">
        <v>122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6"/>
      <c r="AB132" s="66"/>
      <c r="AC132" s="80"/>
    </row>
    <row r="133" spans="1:68" ht="27" hidden="1" customHeight="1" x14ac:dyDescent="0.25">
      <c r="A133" s="63" t="s">
        <v>250</v>
      </c>
      <c r="B133" s="63" t="s">
        <v>251</v>
      </c>
      <c r="C133" s="36">
        <v>4301011562</v>
      </c>
      <c r="D133" s="666">
        <v>4680115882577</v>
      </c>
      <c r="E133" s="666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250</v>
      </c>
      <c r="B134" s="63" t="s">
        <v>254</v>
      </c>
      <c r="C134" s="36">
        <v>4301011564</v>
      </c>
      <c r="D134" s="666">
        <v>4680115882577</v>
      </c>
      <c r="E134" s="666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8"/>
      <c r="R134" s="668"/>
      <c r="S134" s="668"/>
      <c r="T134" s="669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656"/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7"/>
      <c r="P136" s="653" t="s">
        <v>40</v>
      </c>
      <c r="Q136" s="654"/>
      <c r="R136" s="654"/>
      <c r="S136" s="654"/>
      <c r="T136" s="654"/>
      <c r="U136" s="654"/>
      <c r="V136" s="655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665" t="s">
        <v>77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hidden="1" customHeight="1" x14ac:dyDescent="0.25">
      <c r="A138" s="63" t="s">
        <v>255</v>
      </c>
      <c r="B138" s="63" t="s">
        <v>256</v>
      </c>
      <c r="C138" s="36">
        <v>4301031234</v>
      </c>
      <c r="D138" s="666">
        <v>4680115883444</v>
      </c>
      <c r="E138" s="666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8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255</v>
      </c>
      <c r="B139" s="63" t="s">
        <v>258</v>
      </c>
      <c r="C139" s="36">
        <v>4301031235</v>
      </c>
      <c r="D139" s="666">
        <v>4680115883444</v>
      </c>
      <c r="E139" s="666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5" t="s">
        <v>86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16.5" hidden="1" customHeight="1" x14ac:dyDescent="0.25">
      <c r="A143" s="63" t="s">
        <v>259</v>
      </c>
      <c r="B143" s="63" t="s">
        <v>260</v>
      </c>
      <c r="C143" s="36">
        <v>4301051476</v>
      </c>
      <c r="D143" s="666">
        <v>4680115882584</v>
      </c>
      <c r="E143" s="666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8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259</v>
      </c>
      <c r="B144" s="63" t="s">
        <v>261</v>
      </c>
      <c r="C144" s="36">
        <v>4301051477</v>
      </c>
      <c r="D144" s="666">
        <v>4680115882584</v>
      </c>
      <c r="E144" s="666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8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72" t="s">
        <v>262</v>
      </c>
      <c r="B147" s="672"/>
      <c r="C147" s="672"/>
      <c r="D147" s="672"/>
      <c r="E147" s="672"/>
      <c r="F147" s="672"/>
      <c r="G147" s="672"/>
      <c r="H147" s="672"/>
      <c r="I147" s="672"/>
      <c r="J147" s="672"/>
      <c r="K147" s="672"/>
      <c r="L147" s="672"/>
      <c r="M147" s="672"/>
      <c r="N147" s="672"/>
      <c r="O147" s="672"/>
      <c r="P147" s="672"/>
      <c r="Q147" s="672"/>
      <c r="R147" s="672"/>
      <c r="S147" s="672"/>
      <c r="T147" s="672"/>
      <c r="U147" s="672"/>
      <c r="V147" s="672"/>
      <c r="W147" s="672"/>
      <c r="X147" s="672"/>
      <c r="Y147" s="672"/>
      <c r="Z147" s="672"/>
      <c r="AA147" s="65"/>
      <c r="AB147" s="65"/>
      <c r="AC147" s="79"/>
    </row>
    <row r="148" spans="1:68" ht="14.25" hidden="1" customHeight="1" x14ac:dyDescent="0.25">
      <c r="A148" s="665" t="s">
        <v>86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6"/>
      <c r="AB148" s="66"/>
      <c r="AC148" s="80"/>
    </row>
    <row r="149" spans="1:68" ht="27" hidden="1" customHeight="1" x14ac:dyDescent="0.25">
      <c r="A149" s="63" t="s">
        <v>263</v>
      </c>
      <c r="B149" s="63" t="s">
        <v>264</v>
      </c>
      <c r="C149" s="36">
        <v>4301052254</v>
      </c>
      <c r="D149" s="666">
        <v>4680115888203</v>
      </c>
      <c r="E149" s="666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4301052172</v>
      </c>
      <c r="D150" s="666">
        <v>4680115888180</v>
      </c>
      <c r="E150" s="666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8"/>
      <c r="R150" s="668"/>
      <c r="S150" s="668"/>
      <c r="T150" s="669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266</v>
      </c>
      <c r="B151" s="63" t="s">
        <v>269</v>
      </c>
      <c r="C151" s="36">
        <v>4301052252</v>
      </c>
      <c r="D151" s="666">
        <v>4680115888180</v>
      </c>
      <c r="E151" s="666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8"/>
      <c r="R151" s="668"/>
      <c r="S151" s="668"/>
      <c r="T151" s="669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4301052253</v>
      </c>
      <c r="D152" s="666">
        <v>4680115888197</v>
      </c>
      <c r="E152" s="666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8"/>
      <c r="R152" s="668"/>
      <c r="S152" s="668"/>
      <c r="T152" s="669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666">
        <v>4680115888210</v>
      </c>
      <c r="E153" s="666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8"/>
      <c r="R153" s="668"/>
      <c r="S153" s="668"/>
      <c r="T153" s="669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273</v>
      </c>
      <c r="B154" s="63" t="s">
        <v>276</v>
      </c>
      <c r="C154" s="36">
        <v>4301052255</v>
      </c>
      <c r="D154" s="666">
        <v>4680115888210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56"/>
      <c r="B156" s="656"/>
      <c r="C156" s="656"/>
      <c r="D156" s="656"/>
      <c r="E156" s="656"/>
      <c r="F156" s="656"/>
      <c r="G156" s="656"/>
      <c r="H156" s="656"/>
      <c r="I156" s="656"/>
      <c r="J156" s="656"/>
      <c r="K156" s="656"/>
      <c r="L156" s="656"/>
      <c r="M156" s="656"/>
      <c r="N156" s="656"/>
      <c r="O156" s="657"/>
      <c r="P156" s="653" t="s">
        <v>40</v>
      </c>
      <c r="Q156" s="654"/>
      <c r="R156" s="654"/>
      <c r="S156" s="654"/>
      <c r="T156" s="654"/>
      <c r="U156" s="654"/>
      <c r="V156" s="655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65" t="s">
        <v>277</v>
      </c>
      <c r="B157" s="665"/>
      <c r="C157" s="665"/>
      <c r="D157" s="665"/>
      <c r="E157" s="665"/>
      <c r="F157" s="665"/>
      <c r="G157" s="665"/>
      <c r="H157" s="665"/>
      <c r="I157" s="665"/>
      <c r="J157" s="665"/>
      <c r="K157" s="665"/>
      <c r="L157" s="665"/>
      <c r="M157" s="665"/>
      <c r="N157" s="665"/>
      <c r="O157" s="665"/>
      <c r="P157" s="665"/>
      <c r="Q157" s="665"/>
      <c r="R157" s="665"/>
      <c r="S157" s="665"/>
      <c r="T157" s="665"/>
      <c r="U157" s="665"/>
      <c r="V157" s="665"/>
      <c r="W157" s="665"/>
      <c r="X157" s="665"/>
      <c r="Y157" s="665"/>
      <c r="Z157" s="665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4301032067</v>
      </c>
      <c r="D158" s="666">
        <v>4680115889132</v>
      </c>
      <c r="E158" s="666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7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56"/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7"/>
      <c r="P160" s="653" t="s">
        <v>40</v>
      </c>
      <c r="Q160" s="654"/>
      <c r="R160" s="654"/>
      <c r="S160" s="654"/>
      <c r="T160" s="654"/>
      <c r="U160" s="654"/>
      <c r="V160" s="655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72" t="s">
        <v>120</v>
      </c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72"/>
      <c r="P161" s="672"/>
      <c r="Q161" s="672"/>
      <c r="R161" s="672"/>
      <c r="S161" s="672"/>
      <c r="T161" s="672"/>
      <c r="U161" s="672"/>
      <c r="V161" s="672"/>
      <c r="W161" s="672"/>
      <c r="X161" s="672"/>
      <c r="Y161" s="672"/>
      <c r="Z161" s="672"/>
      <c r="AA161" s="65"/>
      <c r="AB161" s="65"/>
      <c r="AC161" s="79"/>
    </row>
    <row r="162" spans="1:68" ht="14.25" hidden="1" customHeight="1" x14ac:dyDescent="0.25">
      <c r="A162" s="665" t="s">
        <v>122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6"/>
      <c r="AB162" s="66"/>
      <c r="AC162" s="80"/>
    </row>
    <row r="163" spans="1:68" ht="27" hidden="1" customHeight="1" x14ac:dyDescent="0.25">
      <c r="A163" s="63" t="s">
        <v>284</v>
      </c>
      <c r="B163" s="63" t="s">
        <v>285</v>
      </c>
      <c r="C163" s="36">
        <v>4301012338</v>
      </c>
      <c r="D163" s="666">
        <v>4680115887374</v>
      </c>
      <c r="E163" s="666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8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8"/>
      <c r="R163" s="668"/>
      <c r="S163" s="668"/>
      <c r="T163" s="669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287</v>
      </c>
      <c r="B164" s="63" t="s">
        <v>288</v>
      </c>
      <c r="C164" s="36">
        <v>4301011705</v>
      </c>
      <c r="D164" s="666">
        <v>4607091384604</v>
      </c>
      <c r="E164" s="666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290</v>
      </c>
      <c r="C165" s="36">
        <v>4301012258</v>
      </c>
      <c r="D165" s="666">
        <v>4607091384604</v>
      </c>
      <c r="E165" s="666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8"/>
      <c r="R165" s="668"/>
      <c r="S165" s="668"/>
      <c r="T165" s="669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291</v>
      </c>
      <c r="B166" s="63" t="s">
        <v>292</v>
      </c>
      <c r="C166" s="36">
        <v>4301012344</v>
      </c>
      <c r="D166" s="666">
        <v>4680115888876</v>
      </c>
      <c r="E166" s="666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8"/>
      <c r="R166" s="668"/>
      <c r="S166" s="668"/>
      <c r="T166" s="669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5" t="s">
        <v>159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6"/>
      <c r="AB169" s="66"/>
      <c r="AC169" s="80"/>
    </row>
    <row r="170" spans="1:68" ht="16.5" hidden="1" customHeight="1" x14ac:dyDescent="0.25">
      <c r="A170" s="63" t="s">
        <v>294</v>
      </c>
      <c r="B170" s="63" t="s">
        <v>295</v>
      </c>
      <c r="C170" s="36">
        <v>4301020410</v>
      </c>
      <c r="D170" s="666">
        <v>4680115887695</v>
      </c>
      <c r="E170" s="666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4301020439</v>
      </c>
      <c r="D171" s="666">
        <v>4680115889491</v>
      </c>
      <c r="E171" s="666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5" t="s">
        <v>77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27" hidden="1" customHeight="1" x14ac:dyDescent="0.25">
      <c r="A175" s="63" t="s">
        <v>300</v>
      </c>
      <c r="B175" s="63" t="s">
        <v>301</v>
      </c>
      <c r="C175" s="36">
        <v>4301031496</v>
      </c>
      <c r="D175" s="666">
        <v>4680115887428</v>
      </c>
      <c r="E175" s="666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7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303</v>
      </c>
      <c r="B176" s="63" t="s">
        <v>304</v>
      </c>
      <c r="C176" s="36">
        <v>4301031509</v>
      </c>
      <c r="D176" s="666">
        <v>4680115889170</v>
      </c>
      <c r="E176" s="666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35</v>
      </c>
      <c r="Y176" s="55">
        <f t="shared" si="16"/>
        <v>35</v>
      </c>
      <c r="Z176" s="41">
        <f>IFERROR(IF(Y176=0,"",ROUNDUP(Y176/H176,0)*0.00902),"")</f>
        <v>9.0200000000000002E-2</v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37.65</v>
      </c>
      <c r="BN176" s="78">
        <f t="shared" si="18"/>
        <v>37.65</v>
      </c>
      <c r="BO176" s="78">
        <f t="shared" si="19"/>
        <v>7.575757575757576E-2</v>
      </c>
      <c r="BP176" s="78">
        <f t="shared" si="20"/>
        <v>7.575757575757576E-2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4301031522</v>
      </c>
      <c r="D177" s="666">
        <v>4680115887398</v>
      </c>
      <c r="E177" s="666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8"/>
      <c r="R177" s="668"/>
      <c r="S177" s="668"/>
      <c r="T177" s="669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4301031520</v>
      </c>
      <c r="D178" s="666">
        <v>4680115887336</v>
      </c>
      <c r="E178" s="666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8"/>
      <c r="R178" s="668"/>
      <c r="S178" s="668"/>
      <c r="T178" s="669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312</v>
      </c>
      <c r="B179" s="63" t="s">
        <v>313</v>
      </c>
      <c r="C179" s="36">
        <v>4301032049</v>
      </c>
      <c r="D179" s="666">
        <v>4680115887787</v>
      </c>
      <c r="E179" s="666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8"/>
      <c r="R179" s="668"/>
      <c r="S179" s="668"/>
      <c r="T179" s="669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hidden="1" customHeight="1" x14ac:dyDescent="0.25">
      <c r="A180" s="63" t="s">
        <v>312</v>
      </c>
      <c r="B180" s="63" t="s">
        <v>315</v>
      </c>
      <c r="C180" s="36">
        <v>4301031528</v>
      </c>
      <c r="D180" s="666">
        <v>4680115887787</v>
      </c>
      <c r="E180" s="666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316</v>
      </c>
      <c r="B181" s="63" t="s">
        <v>317</v>
      </c>
      <c r="C181" s="36">
        <v>4301031448</v>
      </c>
      <c r="D181" s="666">
        <v>4680115887503</v>
      </c>
      <c r="E181" s="666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318</v>
      </c>
      <c r="B182" s="63" t="s">
        <v>319</v>
      </c>
      <c r="C182" s="36">
        <v>4301031389</v>
      </c>
      <c r="D182" s="666">
        <v>4680115887763</v>
      </c>
      <c r="E182" s="666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4301031521</v>
      </c>
      <c r="D183" s="666">
        <v>4680115887480</v>
      </c>
      <c r="E183" s="666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7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4301031434</v>
      </c>
      <c r="D184" s="666">
        <v>4680115888067</v>
      </c>
      <c r="E184" s="666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7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4301031519</v>
      </c>
      <c r="D185" s="666">
        <v>4680115887435</v>
      </c>
      <c r="E185" s="666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9.0200000000000002E-2</v>
      </c>
      <c r="AA186" s="67"/>
      <c r="AB186" s="67"/>
      <c r="AC186" s="67"/>
    </row>
    <row r="187" spans="1:68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IFERROR(SUM(X175:X185),"0")</f>
        <v>35</v>
      </c>
      <c r="Y187" s="43">
        <f>IFERROR(SUM(Y175:Y185),"0")</f>
        <v>35</v>
      </c>
      <c r="Z187" s="42"/>
      <c r="AA187" s="67"/>
      <c r="AB187" s="67"/>
      <c r="AC187" s="67"/>
    </row>
    <row r="188" spans="1:68" ht="14.25" hidden="1" customHeight="1" x14ac:dyDescent="0.25">
      <c r="A188" s="665" t="s">
        <v>86</v>
      </c>
      <c r="B188" s="665"/>
      <c r="C188" s="665"/>
      <c r="D188" s="665"/>
      <c r="E188" s="665"/>
      <c r="F188" s="665"/>
      <c r="G188" s="665"/>
      <c r="H188" s="665"/>
      <c r="I188" s="665"/>
      <c r="J188" s="665"/>
      <c r="K188" s="665"/>
      <c r="L188" s="665"/>
      <c r="M188" s="665"/>
      <c r="N188" s="665"/>
      <c r="O188" s="665"/>
      <c r="P188" s="665"/>
      <c r="Q188" s="665"/>
      <c r="R188" s="665"/>
      <c r="S188" s="665"/>
      <c r="T188" s="665"/>
      <c r="U188" s="665"/>
      <c r="V188" s="665"/>
      <c r="W188" s="665"/>
      <c r="X188" s="665"/>
      <c r="Y188" s="665"/>
      <c r="Z188" s="665"/>
      <c r="AA188" s="66"/>
      <c r="AB188" s="66"/>
      <c r="AC188" s="80"/>
    </row>
    <row r="189" spans="1:68" ht="16.5" hidden="1" customHeight="1" x14ac:dyDescent="0.25">
      <c r="A189" s="63" t="s">
        <v>328</v>
      </c>
      <c r="B189" s="63" t="s">
        <v>329</v>
      </c>
      <c r="C189" s="36">
        <v>4301052193</v>
      </c>
      <c r="D189" s="666">
        <v>4680115888395</v>
      </c>
      <c r="E189" s="666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6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331</v>
      </c>
      <c r="B190" s="63" t="s">
        <v>332</v>
      </c>
      <c r="C190" s="36">
        <v>4301052191</v>
      </c>
      <c r="D190" s="666">
        <v>4680115888371</v>
      </c>
      <c r="E190" s="666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4301052064</v>
      </c>
      <c r="D191" s="666">
        <v>4680115887459</v>
      </c>
      <c r="E191" s="666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5" t="s">
        <v>277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hidden="1" customHeight="1" x14ac:dyDescent="0.25">
      <c r="A195" s="63" t="s">
        <v>337</v>
      </c>
      <c r="B195" s="63" t="s">
        <v>338</v>
      </c>
      <c r="C195" s="36">
        <v>4301032058</v>
      </c>
      <c r="D195" s="666">
        <v>4680115889026</v>
      </c>
      <c r="E195" s="666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56"/>
      <c r="B197" s="656"/>
      <c r="C197" s="656"/>
      <c r="D197" s="656"/>
      <c r="E197" s="656"/>
      <c r="F197" s="656"/>
      <c r="G197" s="656"/>
      <c r="H197" s="656"/>
      <c r="I197" s="656"/>
      <c r="J197" s="656"/>
      <c r="K197" s="656"/>
      <c r="L197" s="656"/>
      <c r="M197" s="656"/>
      <c r="N197" s="656"/>
      <c r="O197" s="657"/>
      <c r="P197" s="653" t="s">
        <v>40</v>
      </c>
      <c r="Q197" s="654"/>
      <c r="R197" s="654"/>
      <c r="S197" s="654"/>
      <c r="T197" s="654"/>
      <c r="U197" s="654"/>
      <c r="V197" s="655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65" t="s">
        <v>341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4301041009</v>
      </c>
      <c r="D199" s="666">
        <v>4680115889033</v>
      </c>
      <c r="E199" s="666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8"/>
      <c r="R199" s="668"/>
      <c r="S199" s="668"/>
      <c r="T199" s="669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56"/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7"/>
      <c r="P200" s="653" t="s">
        <v>40</v>
      </c>
      <c r="Q200" s="654"/>
      <c r="R200" s="654"/>
      <c r="S200" s="654"/>
      <c r="T200" s="654"/>
      <c r="U200" s="654"/>
      <c r="V200" s="655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56"/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7"/>
      <c r="P201" s="653" t="s">
        <v>40</v>
      </c>
      <c r="Q201" s="654"/>
      <c r="R201" s="654"/>
      <c r="S201" s="654"/>
      <c r="T201" s="654"/>
      <c r="U201" s="654"/>
      <c r="V201" s="655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83" t="s">
        <v>345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54"/>
      <c r="AB202" s="54"/>
      <c r="AC202" s="54"/>
    </row>
    <row r="203" spans="1:68" ht="16.5" hidden="1" customHeight="1" x14ac:dyDescent="0.25">
      <c r="A203" s="672" t="s">
        <v>346</v>
      </c>
      <c r="B203" s="672"/>
      <c r="C203" s="672"/>
      <c r="D203" s="672"/>
      <c r="E203" s="672"/>
      <c r="F203" s="672"/>
      <c r="G203" s="672"/>
      <c r="H203" s="672"/>
      <c r="I203" s="672"/>
      <c r="J203" s="672"/>
      <c r="K203" s="672"/>
      <c r="L203" s="672"/>
      <c r="M203" s="672"/>
      <c r="N203" s="672"/>
      <c r="O203" s="672"/>
      <c r="P203" s="672"/>
      <c r="Q203" s="672"/>
      <c r="R203" s="672"/>
      <c r="S203" s="672"/>
      <c r="T203" s="672"/>
      <c r="U203" s="672"/>
      <c r="V203" s="672"/>
      <c r="W203" s="672"/>
      <c r="X203" s="672"/>
      <c r="Y203" s="672"/>
      <c r="Z203" s="672"/>
      <c r="AA203" s="65"/>
      <c r="AB203" s="65"/>
      <c r="AC203" s="79"/>
    </row>
    <row r="204" spans="1:68" ht="14.25" hidden="1" customHeight="1" x14ac:dyDescent="0.25">
      <c r="A204" s="665" t="s">
        <v>122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hidden="1" customHeight="1" x14ac:dyDescent="0.25">
      <c r="A205" s="63" t="s">
        <v>347</v>
      </c>
      <c r="B205" s="63" t="s">
        <v>348</v>
      </c>
      <c r="C205" s="36">
        <v>4301011223</v>
      </c>
      <c r="D205" s="666">
        <v>4607091383423</v>
      </c>
      <c r="E205" s="666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hidden="1" customHeight="1" x14ac:dyDescent="0.25">
      <c r="A206" s="63" t="s">
        <v>349</v>
      </c>
      <c r="B206" s="63" t="s">
        <v>350</v>
      </c>
      <c r="C206" s="36">
        <v>4301012340</v>
      </c>
      <c r="D206" s="666">
        <v>4680115888760</v>
      </c>
      <c r="E206" s="666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8"/>
      <c r="R206" s="668"/>
      <c r="S206" s="668"/>
      <c r="T206" s="669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hidden="1" customHeight="1" x14ac:dyDescent="0.25">
      <c r="A207" s="63" t="s">
        <v>352</v>
      </c>
      <c r="B207" s="63" t="s">
        <v>353</v>
      </c>
      <c r="C207" s="36">
        <v>4301012341</v>
      </c>
      <c r="D207" s="666">
        <v>4680115888807</v>
      </c>
      <c r="E207" s="666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8"/>
      <c r="R207" s="668"/>
      <c r="S207" s="668"/>
      <c r="T207" s="669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4301012342</v>
      </c>
      <c r="D208" s="666">
        <v>4680115888852</v>
      </c>
      <c r="E208" s="666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8"/>
      <c r="R208" s="668"/>
      <c r="S208" s="668"/>
      <c r="T208" s="669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hidden="1" customHeight="1" x14ac:dyDescent="0.25">
      <c r="A209" s="63" t="s">
        <v>358</v>
      </c>
      <c r="B209" s="63" t="s">
        <v>359</v>
      </c>
      <c r="C209" s="36">
        <v>4301012370</v>
      </c>
      <c r="D209" s="666">
        <v>4680115886957</v>
      </c>
      <c r="E209" s="666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8"/>
      <c r="R209" s="668"/>
      <c r="S209" s="668"/>
      <c r="T209" s="669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4301012098</v>
      </c>
      <c r="D210" s="666">
        <v>4680115885660</v>
      </c>
      <c r="E210" s="666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8"/>
      <c r="R210" s="668"/>
      <c r="S210" s="668"/>
      <c r="T210" s="669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364</v>
      </c>
      <c r="B211" s="63" t="s">
        <v>365</v>
      </c>
      <c r="C211" s="36">
        <v>4301012369</v>
      </c>
      <c r="D211" s="666">
        <v>4680115886773</v>
      </c>
      <c r="E211" s="666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72" t="s">
        <v>367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5"/>
      <c r="AB214" s="65"/>
      <c r="AC214" s="79"/>
    </row>
    <row r="215" spans="1:68" ht="14.25" hidden="1" customHeight="1" x14ac:dyDescent="0.25">
      <c r="A215" s="665" t="s">
        <v>159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6"/>
      <c r="AB215" s="66"/>
      <c r="AC215" s="80"/>
    </row>
    <row r="216" spans="1:68" ht="27" hidden="1" customHeight="1" x14ac:dyDescent="0.25">
      <c r="A216" s="63" t="s">
        <v>368</v>
      </c>
      <c r="B216" s="63" t="s">
        <v>369</v>
      </c>
      <c r="C216" s="36">
        <v>4301020323</v>
      </c>
      <c r="D216" s="666">
        <v>4680115886223</v>
      </c>
      <c r="E216" s="666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56"/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7"/>
      <c r="P217" s="653" t="s">
        <v>40</v>
      </c>
      <c r="Q217" s="654"/>
      <c r="R217" s="654"/>
      <c r="S217" s="654"/>
      <c r="T217" s="654"/>
      <c r="U217" s="654"/>
      <c r="V217" s="655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65" t="s">
        <v>77</v>
      </c>
      <c r="B219" s="665"/>
      <c r="C219" s="665"/>
      <c r="D219" s="665"/>
      <c r="E219" s="665"/>
      <c r="F219" s="665"/>
      <c r="G219" s="665"/>
      <c r="H219" s="665"/>
      <c r="I219" s="665"/>
      <c r="J219" s="665"/>
      <c r="K219" s="665"/>
      <c r="L219" s="665"/>
      <c r="M219" s="665"/>
      <c r="N219" s="665"/>
      <c r="O219" s="665"/>
      <c r="P219" s="665"/>
      <c r="Q219" s="665"/>
      <c r="R219" s="665"/>
      <c r="S219" s="665"/>
      <c r="T219" s="665"/>
      <c r="U219" s="665"/>
      <c r="V219" s="665"/>
      <c r="W219" s="665"/>
      <c r="X219" s="665"/>
      <c r="Y219" s="665"/>
      <c r="Z219" s="665"/>
      <c r="AA219" s="66"/>
      <c r="AB219" s="66"/>
      <c r="AC219" s="80"/>
    </row>
    <row r="220" spans="1:68" ht="27" hidden="1" customHeight="1" x14ac:dyDescent="0.25">
      <c r="A220" s="63" t="s">
        <v>371</v>
      </c>
      <c r="B220" s="63" t="s">
        <v>372</v>
      </c>
      <c r="C220" s="36">
        <v>4301031191</v>
      </c>
      <c r="D220" s="666">
        <v>4680115880993</v>
      </c>
      <c r="E220" s="666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8"/>
      <c r="R220" s="668"/>
      <c r="S220" s="668"/>
      <c r="T220" s="669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4" si="27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0</v>
      </c>
      <c r="BN220" s="78">
        <f t="shared" ref="BN220:BN234" si="29">IFERROR(Y220*I220/H220,"0")</f>
        <v>0</v>
      </c>
      <c r="BO220" s="78">
        <f t="shared" ref="BO220:BO234" si="30">IFERROR(1/J220*(X220/H220),"0")</f>
        <v>0</v>
      </c>
      <c r="BP220" s="78">
        <f t="shared" ref="BP220:BP234" si="31">IFERROR(1/J220*(Y220/H220),"0")</f>
        <v>0</v>
      </c>
    </row>
    <row r="221" spans="1:68" ht="27" hidden="1" customHeight="1" x14ac:dyDescent="0.25">
      <c r="A221" s="63" t="s">
        <v>374</v>
      </c>
      <c r="B221" s="63" t="s">
        <v>375</v>
      </c>
      <c r="C221" s="36">
        <v>4301031204</v>
      </c>
      <c r="D221" s="666">
        <v>4680115881761</v>
      </c>
      <c r="E221" s="666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8"/>
      <c r="R221" s="668"/>
      <c r="S221" s="668"/>
      <c r="T221" s="669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4301031201</v>
      </c>
      <c r="D222" s="666">
        <v>4680115881563</v>
      </c>
      <c r="E222" s="666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37.5" hidden="1" customHeight="1" x14ac:dyDescent="0.25">
      <c r="A223" s="63" t="s">
        <v>380</v>
      </c>
      <c r="B223" s="63" t="s">
        <v>381</v>
      </c>
      <c r="C223" s="36">
        <v>4301031447</v>
      </c>
      <c r="D223" s="666">
        <v>4680115887565</v>
      </c>
      <c r="E223" s="666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8"/>
      <c r="R223" s="668"/>
      <c r="S223" s="668"/>
      <c r="T223" s="669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4301031199</v>
      </c>
      <c r="D224" s="666">
        <v>4680115880986</v>
      </c>
      <c r="E224" s="666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8"/>
      <c r="R224" s="668"/>
      <c r="S224" s="668"/>
      <c r="T224" s="669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4301031443</v>
      </c>
      <c r="D225" s="666">
        <v>4680115887213</v>
      </c>
      <c r="E225" s="666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8"/>
      <c r="R225" s="668"/>
      <c r="S225" s="668"/>
      <c r="T225" s="669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4301031205</v>
      </c>
      <c r="D226" s="666">
        <v>4680115881785</v>
      </c>
      <c r="E226" s="666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4301031499</v>
      </c>
      <c r="D227" s="666">
        <v>4680115888432</v>
      </c>
      <c r="E227" s="666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4301031427</v>
      </c>
      <c r="D228" s="666">
        <v>4680115888104</v>
      </c>
      <c r="E228" s="666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4301031503</v>
      </c>
      <c r="D229" s="666">
        <v>4680115886537</v>
      </c>
      <c r="E229" s="666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4301031279</v>
      </c>
      <c r="D230" s="666">
        <v>4680115887596</v>
      </c>
      <c r="E230" s="666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3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37.5" hidden="1" customHeight="1" x14ac:dyDescent="0.25">
      <c r="A231" s="63" t="s">
        <v>402</v>
      </c>
      <c r="B231" s="63" t="s">
        <v>403</v>
      </c>
      <c r="C231" s="36">
        <v>4301031530</v>
      </c>
      <c r="D231" s="666">
        <v>4680115881679</v>
      </c>
      <c r="E231" s="666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4301031158</v>
      </c>
      <c r="D232" s="666">
        <v>4680115880191</v>
      </c>
      <c r="E232" s="666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404</v>
      </c>
      <c r="B233" s="63" t="s">
        <v>406</v>
      </c>
      <c r="C233" s="36">
        <v>4301031531</v>
      </c>
      <c r="D233" s="666">
        <v>4680115880191</v>
      </c>
      <c r="E233" s="666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4301031245</v>
      </c>
      <c r="D234" s="666">
        <v>4680115883963</v>
      </c>
      <c r="E234" s="666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IFERROR(SUM(X220:X234),"0")</f>
        <v>0</v>
      </c>
      <c r="Y236" s="43">
        <f>IFERROR(SUM(Y220:Y234),"0")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5" t="s">
        <v>86</v>
      </c>
      <c r="B237" s="665"/>
      <c r="C237" s="665"/>
      <c r="D237" s="665"/>
      <c r="E237" s="665"/>
      <c r="F237" s="665"/>
      <c r="G237" s="665"/>
      <c r="H237" s="665"/>
      <c r="I237" s="665"/>
      <c r="J237" s="665"/>
      <c r="K237" s="665"/>
      <c r="L237" s="665"/>
      <c r="M237" s="665"/>
      <c r="N237" s="665"/>
      <c r="O237" s="665"/>
      <c r="P237" s="665"/>
      <c r="Q237" s="665"/>
      <c r="R237" s="665"/>
      <c r="S237" s="665"/>
      <c r="T237" s="665"/>
      <c r="U237" s="665"/>
      <c r="V237" s="665"/>
      <c r="W237" s="665"/>
      <c r="X237" s="665"/>
      <c r="Y237" s="665"/>
      <c r="Z237" s="665"/>
      <c r="AA237" s="66"/>
      <c r="AB237" s="66"/>
      <c r="AC237" s="80"/>
    </row>
    <row r="238" spans="1:68" ht="16.5" hidden="1" customHeight="1" x14ac:dyDescent="0.25">
      <c r="A238" s="63" t="s">
        <v>410</v>
      </c>
      <c r="B238" s="63" t="s">
        <v>411</v>
      </c>
      <c r="C238" s="36">
        <v>4301052209</v>
      </c>
      <c r="D238" s="666">
        <v>4680115888692</v>
      </c>
      <c r="E238" s="666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hidden="1" customHeight="1" x14ac:dyDescent="0.25">
      <c r="A239" s="63" t="s">
        <v>410</v>
      </c>
      <c r="B239" s="63" t="s">
        <v>413</v>
      </c>
      <c r="C239" s="36">
        <v>4301052279</v>
      </c>
      <c r="D239" s="666">
        <v>4680115888692</v>
      </c>
      <c r="E239" s="666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415</v>
      </c>
      <c r="B240" s="63" t="s">
        <v>416</v>
      </c>
      <c r="C240" s="36">
        <v>4301052213</v>
      </c>
      <c r="D240" s="666">
        <v>4680115888722</v>
      </c>
      <c r="E240" s="666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8"/>
      <c r="R240" s="668"/>
      <c r="S240" s="668"/>
      <c r="T240" s="669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415</v>
      </c>
      <c r="B241" s="63" t="s">
        <v>418</v>
      </c>
      <c r="C241" s="36">
        <v>4301052280</v>
      </c>
      <c r="D241" s="666">
        <v>4680115888722</v>
      </c>
      <c r="E241" s="666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3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8"/>
      <c r="R241" s="668"/>
      <c r="S241" s="668"/>
      <c r="T241" s="669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4301052177</v>
      </c>
      <c r="D242" s="666">
        <v>4680115888951</v>
      </c>
      <c r="E242" s="666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8"/>
      <c r="R242" s="668"/>
      <c r="S242" s="668"/>
      <c r="T242" s="669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4301052276</v>
      </c>
      <c r="D243" s="666">
        <v>4680115888951</v>
      </c>
      <c r="E243" s="666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424</v>
      </c>
      <c r="B244" s="63" t="s">
        <v>425</v>
      </c>
      <c r="C244" s="36">
        <v>4301052178</v>
      </c>
      <c r="D244" s="666">
        <v>4680115888975</v>
      </c>
      <c r="E244" s="666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427</v>
      </c>
      <c r="B245" s="63" t="s">
        <v>428</v>
      </c>
      <c r="C245" s="36">
        <v>4301052176</v>
      </c>
      <c r="D245" s="666">
        <v>4680115888982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427</v>
      </c>
      <c r="B246" s="63" t="s">
        <v>429</v>
      </c>
      <c r="C246" s="36">
        <v>4301052277</v>
      </c>
      <c r="D246" s="666">
        <v>4680115888982</v>
      </c>
      <c r="E246" s="666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idden="1" x14ac:dyDescent="0.2">
      <c r="A247" s="656"/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7"/>
      <c r="P247" s="653" t="s">
        <v>40</v>
      </c>
      <c r="Q247" s="654"/>
      <c r="R247" s="654"/>
      <c r="S247" s="654"/>
      <c r="T247" s="654"/>
      <c r="U247" s="654"/>
      <c r="V247" s="655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65" t="s">
        <v>277</v>
      </c>
      <c r="B249" s="665"/>
      <c r="C249" s="665"/>
      <c r="D249" s="665"/>
      <c r="E249" s="665"/>
      <c r="F249" s="665"/>
      <c r="G249" s="665"/>
      <c r="H249" s="665"/>
      <c r="I249" s="665"/>
      <c r="J249" s="665"/>
      <c r="K249" s="665"/>
      <c r="L249" s="665"/>
      <c r="M249" s="665"/>
      <c r="N249" s="665"/>
      <c r="O249" s="665"/>
      <c r="P249" s="665"/>
      <c r="Q249" s="665"/>
      <c r="R249" s="665"/>
      <c r="S249" s="665"/>
      <c r="T249" s="665"/>
      <c r="U249" s="665"/>
      <c r="V249" s="665"/>
      <c r="W249" s="665"/>
      <c r="X249" s="665"/>
      <c r="Y249" s="665"/>
      <c r="Z249" s="665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4301032053</v>
      </c>
      <c r="D250" s="666">
        <v>4680115886780</v>
      </c>
      <c r="E250" s="666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8"/>
      <c r="R250" s="668"/>
      <c r="S250" s="668"/>
      <c r="T250" s="669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433</v>
      </c>
      <c r="B251" s="63" t="s">
        <v>434</v>
      </c>
      <c r="C251" s="36">
        <v>4301032051</v>
      </c>
      <c r="D251" s="666">
        <v>4680115886742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2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436</v>
      </c>
      <c r="B252" s="63" t="s">
        <v>437</v>
      </c>
      <c r="C252" s="36">
        <v>4301032052</v>
      </c>
      <c r="D252" s="666">
        <v>4680115886766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665" t="s">
        <v>438</v>
      </c>
      <c r="B255" s="665"/>
      <c r="C255" s="665"/>
      <c r="D255" s="665"/>
      <c r="E255" s="665"/>
      <c r="F255" s="665"/>
      <c r="G255" s="665"/>
      <c r="H255" s="665"/>
      <c r="I255" s="665"/>
      <c r="J255" s="665"/>
      <c r="K255" s="665"/>
      <c r="L255" s="665"/>
      <c r="M255" s="665"/>
      <c r="N255" s="665"/>
      <c r="O255" s="665"/>
      <c r="P255" s="665"/>
      <c r="Q255" s="665"/>
      <c r="R255" s="665"/>
      <c r="S255" s="665"/>
      <c r="T255" s="665"/>
      <c r="U255" s="665"/>
      <c r="V255" s="665"/>
      <c r="W255" s="665"/>
      <c r="X255" s="665"/>
      <c r="Y255" s="665"/>
      <c r="Z255" s="665"/>
      <c r="AA255" s="66"/>
      <c r="AB255" s="66"/>
      <c r="AC255" s="80"/>
    </row>
    <row r="256" spans="1:68" ht="27" hidden="1" customHeight="1" x14ac:dyDescent="0.25">
      <c r="A256" s="63" t="s">
        <v>439</v>
      </c>
      <c r="B256" s="63" t="s">
        <v>440</v>
      </c>
      <c r="C256" s="36">
        <v>4301170013</v>
      </c>
      <c r="D256" s="666">
        <v>4680115886797</v>
      </c>
      <c r="E256" s="666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8"/>
      <c r="R256" s="668"/>
      <c r="S256" s="668"/>
      <c r="T256" s="669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672" t="s">
        <v>441</v>
      </c>
      <c r="B259" s="672"/>
      <c r="C259" s="672"/>
      <c r="D259" s="672"/>
      <c r="E259" s="672"/>
      <c r="F259" s="672"/>
      <c r="G259" s="672"/>
      <c r="H259" s="672"/>
      <c r="I259" s="672"/>
      <c r="J259" s="672"/>
      <c r="K259" s="672"/>
      <c r="L259" s="672"/>
      <c r="M259" s="672"/>
      <c r="N259" s="672"/>
      <c r="O259" s="672"/>
      <c r="P259" s="672"/>
      <c r="Q259" s="672"/>
      <c r="R259" s="672"/>
      <c r="S259" s="672"/>
      <c r="T259" s="672"/>
      <c r="U259" s="672"/>
      <c r="V259" s="672"/>
      <c r="W259" s="672"/>
      <c r="X259" s="672"/>
      <c r="Y259" s="672"/>
      <c r="Z259" s="672"/>
      <c r="AA259" s="65"/>
      <c r="AB259" s="65"/>
      <c r="AC259" s="79"/>
    </row>
    <row r="260" spans="1:68" ht="14.25" hidden="1" customHeight="1" x14ac:dyDescent="0.25">
      <c r="A260" s="665" t="s">
        <v>122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6"/>
      <c r="AB260" s="66"/>
      <c r="AC260" s="80"/>
    </row>
    <row r="261" spans="1:68" ht="27" hidden="1" customHeight="1" x14ac:dyDescent="0.25">
      <c r="A261" s="63" t="s">
        <v>442</v>
      </c>
      <c r="B261" s="63" t="s">
        <v>443</v>
      </c>
      <c r="C261" s="36">
        <v>4301011450</v>
      </c>
      <c r="D261" s="666">
        <v>4680115881402</v>
      </c>
      <c r="E261" s="666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8"/>
      <c r="R261" s="668"/>
      <c r="S261" s="668"/>
      <c r="T261" s="669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4301011768</v>
      </c>
      <c r="D262" s="666">
        <v>4680115881396</v>
      </c>
      <c r="E262" s="666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65" t="s">
        <v>159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6"/>
      <c r="AB265" s="66"/>
      <c r="AC265" s="80"/>
    </row>
    <row r="266" spans="1:68" ht="16.5" hidden="1" customHeight="1" x14ac:dyDescent="0.25">
      <c r="A266" s="63" t="s">
        <v>447</v>
      </c>
      <c r="B266" s="63" t="s">
        <v>448</v>
      </c>
      <c r="C266" s="36">
        <v>4301020261</v>
      </c>
      <c r="D266" s="666">
        <v>4680115882935</v>
      </c>
      <c r="E266" s="666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8"/>
      <c r="R266" s="668"/>
      <c r="S266" s="668"/>
      <c r="T266" s="669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450</v>
      </c>
      <c r="B267" s="63" t="s">
        <v>451</v>
      </c>
      <c r="C267" s="36">
        <v>4301020220</v>
      </c>
      <c r="D267" s="666">
        <v>4680115880764</v>
      </c>
      <c r="E267" s="666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65" t="s">
        <v>77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6"/>
      <c r="AB270" s="66"/>
      <c r="AC270" s="80"/>
    </row>
    <row r="271" spans="1:68" ht="27" hidden="1" customHeight="1" x14ac:dyDescent="0.25">
      <c r="A271" s="63" t="s">
        <v>452</v>
      </c>
      <c r="B271" s="63" t="s">
        <v>453</v>
      </c>
      <c r="C271" s="36">
        <v>4301031224</v>
      </c>
      <c r="D271" s="666">
        <v>4680115882683</v>
      </c>
      <c r="E271" s="666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8"/>
      <c r="R271" s="668"/>
      <c r="S271" s="668"/>
      <c r="T271" s="669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78" si="38">IFERROR(IF(X271="",0,CEILING((X271/$H271),1)*$H271),"")</f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0</v>
      </c>
      <c r="BN271" s="78">
        <f t="shared" ref="BN271:BN278" si="40">IFERROR(Y271*I271/H271,"0")</f>
        <v>0</v>
      </c>
      <c r="BO271" s="78">
        <f t="shared" ref="BO271:BO278" si="41">IFERROR(1/J271*(X271/H271),"0")</f>
        <v>0</v>
      </c>
      <c r="BP271" s="78">
        <f t="shared" ref="BP271:BP278" si="42">IFERROR(1/J271*(Y271/H271),"0")</f>
        <v>0</v>
      </c>
    </row>
    <row r="272" spans="1:68" ht="27" hidden="1" customHeight="1" x14ac:dyDescent="0.25">
      <c r="A272" s="63" t="s">
        <v>455</v>
      </c>
      <c r="B272" s="63" t="s">
        <v>456</v>
      </c>
      <c r="C272" s="36">
        <v>4301031230</v>
      </c>
      <c r="D272" s="666">
        <v>4680115882690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458</v>
      </c>
      <c r="B273" s="63" t="s">
        <v>459</v>
      </c>
      <c r="C273" s="36">
        <v>4301031220</v>
      </c>
      <c r="D273" s="666">
        <v>4680115882669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4301031221</v>
      </c>
      <c r="D274" s="666">
        <v>4680115882676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4301031223</v>
      </c>
      <c r="D275" s="666">
        <v>4680115884014</v>
      </c>
      <c r="E275" s="666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4301031222</v>
      </c>
      <c r="D276" s="666">
        <v>4680115884007</v>
      </c>
      <c r="E276" s="666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4301031229</v>
      </c>
      <c r="D277" s="666">
        <v>4680115884038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4301031225</v>
      </c>
      <c r="D278" s="666">
        <v>4680115884021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idden="1" x14ac:dyDescent="0.2">
      <c r="A279" s="656"/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7"/>
      <c r="P279" s="653" t="s">
        <v>40</v>
      </c>
      <c r="Q279" s="654"/>
      <c r="R279" s="654"/>
      <c r="S279" s="654"/>
      <c r="T279" s="654"/>
      <c r="U279" s="654"/>
      <c r="V279" s="655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0</v>
      </c>
      <c r="Y279" s="43">
        <f>IFERROR(Y271/H271,"0")+IFERROR(Y272/H272,"0")+IFERROR(Y273/H273,"0")+IFERROR(Y274/H274,"0")+IFERROR(Y275/H275,"0")+IFERROR(Y276/H276,"0")+IFERROR(Y277/H277,"0")+IFERROR(Y278/H278,"0")</f>
        <v>0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0</v>
      </c>
      <c r="X280" s="43">
        <f>IFERROR(SUM(X271:X278),"0")</f>
        <v>0</v>
      </c>
      <c r="Y280" s="43">
        <f>IFERROR(SUM(Y271:Y278),"0")</f>
        <v>0</v>
      </c>
      <c r="Z280" s="42"/>
      <c r="AA280" s="67"/>
      <c r="AB280" s="67"/>
      <c r="AC280" s="67"/>
    </row>
    <row r="281" spans="1:68" ht="14.25" hidden="1" customHeight="1" x14ac:dyDescent="0.25">
      <c r="A281" s="665" t="s">
        <v>86</v>
      </c>
      <c r="B281" s="665"/>
      <c r="C281" s="665"/>
      <c r="D281" s="665"/>
      <c r="E281" s="665"/>
      <c r="F281" s="665"/>
      <c r="G281" s="665"/>
      <c r="H281" s="665"/>
      <c r="I281" s="665"/>
      <c r="J281" s="665"/>
      <c r="K281" s="665"/>
      <c r="L281" s="665"/>
      <c r="M281" s="665"/>
      <c r="N281" s="665"/>
      <c r="O281" s="665"/>
      <c r="P281" s="665"/>
      <c r="Q281" s="665"/>
      <c r="R281" s="665"/>
      <c r="S281" s="665"/>
      <c r="T281" s="665"/>
      <c r="U281" s="665"/>
      <c r="V281" s="665"/>
      <c r="W281" s="665"/>
      <c r="X281" s="665"/>
      <c r="Y281" s="665"/>
      <c r="Z281" s="665"/>
      <c r="AA281" s="66"/>
      <c r="AB281" s="66"/>
      <c r="AC281" s="80"/>
    </row>
    <row r="282" spans="1:68" ht="27" hidden="1" customHeight="1" x14ac:dyDescent="0.25">
      <c r="A282" s="63" t="s">
        <v>472</v>
      </c>
      <c r="B282" s="63" t="s">
        <v>473</v>
      </c>
      <c r="C282" s="36">
        <v>4301051408</v>
      </c>
      <c r="D282" s="666">
        <v>4680115881594</v>
      </c>
      <c r="E282" s="666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8"/>
      <c r="R282" s="668"/>
      <c r="S282" s="668"/>
      <c r="T282" s="669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hidden="1" customHeight="1" x14ac:dyDescent="0.25">
      <c r="A283" s="63" t="s">
        <v>475</v>
      </c>
      <c r="B283" s="63" t="s">
        <v>476</v>
      </c>
      <c r="C283" s="36">
        <v>4301051411</v>
      </c>
      <c r="D283" s="666">
        <v>4680115881617</v>
      </c>
      <c r="E283" s="666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478</v>
      </c>
      <c r="B284" s="63" t="s">
        <v>479</v>
      </c>
      <c r="C284" s="36">
        <v>4301051656</v>
      </c>
      <c r="D284" s="666">
        <v>4680115880573</v>
      </c>
      <c r="E284" s="666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4301051407</v>
      </c>
      <c r="D285" s="666">
        <v>4680115882195</v>
      </c>
      <c r="E285" s="666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4301051752</v>
      </c>
      <c r="D286" s="666">
        <v>4680115882607</v>
      </c>
      <c r="E286" s="666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0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485</v>
      </c>
      <c r="B287" s="63" t="s">
        <v>486</v>
      </c>
      <c r="C287" s="36">
        <v>4301052143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1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4301051666</v>
      </c>
      <c r="D288" s="666">
        <v>4680115880092</v>
      </c>
      <c r="E288" s="666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4301052214</v>
      </c>
      <c r="D289" s="666">
        <v>4680115889064</v>
      </c>
      <c r="E289" s="666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4301051668</v>
      </c>
      <c r="D290" s="666">
        <v>4680115880221</v>
      </c>
      <c r="E290" s="666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494</v>
      </c>
      <c r="B291" s="63" t="s">
        <v>495</v>
      </c>
      <c r="C291" s="36">
        <v>4301051945</v>
      </c>
      <c r="D291" s="666">
        <v>4680115880504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4301051410</v>
      </c>
      <c r="D292" s="666">
        <v>4680115882164</v>
      </c>
      <c r="E292" s="666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4301052180</v>
      </c>
      <c r="D293" s="666">
        <v>4680115888340</v>
      </c>
      <c r="E293" s="666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665" t="s">
        <v>178</v>
      </c>
      <c r="B296" s="665"/>
      <c r="C296" s="665"/>
      <c r="D296" s="665"/>
      <c r="E296" s="665"/>
      <c r="F296" s="665"/>
      <c r="G296" s="665"/>
      <c r="H296" s="665"/>
      <c r="I296" s="665"/>
      <c r="J296" s="665"/>
      <c r="K296" s="665"/>
      <c r="L296" s="665"/>
      <c r="M296" s="665"/>
      <c r="N296" s="665"/>
      <c r="O296" s="665"/>
      <c r="P296" s="665"/>
      <c r="Q296" s="665"/>
      <c r="R296" s="665"/>
      <c r="S296" s="665"/>
      <c r="T296" s="665"/>
      <c r="U296" s="665"/>
      <c r="V296" s="665"/>
      <c r="W296" s="665"/>
      <c r="X296" s="665"/>
      <c r="Y296" s="665"/>
      <c r="Z296" s="665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4301060463</v>
      </c>
      <c r="D297" s="666">
        <v>4680115880818</v>
      </c>
      <c r="E297" s="666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8"/>
      <c r="R297" s="668"/>
      <c r="S297" s="668"/>
      <c r="T297" s="669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4301060389</v>
      </c>
      <c r="D298" s="666">
        <v>4680115880801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hidden="1" customHeight="1" x14ac:dyDescent="0.25">
      <c r="A301" s="672" t="s">
        <v>509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5"/>
      <c r="AB301" s="65"/>
      <c r="AC301" s="79"/>
    </row>
    <row r="302" spans="1:68" ht="14.25" hidden="1" customHeight="1" x14ac:dyDescent="0.25">
      <c r="A302" s="665" t="s">
        <v>122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6"/>
      <c r="AB302" s="66"/>
      <c r="AC302" s="80"/>
    </row>
    <row r="303" spans="1:68" ht="27" hidden="1" customHeight="1" x14ac:dyDescent="0.25">
      <c r="A303" s="63" t="s">
        <v>510</v>
      </c>
      <c r="B303" s="63" t="s">
        <v>511</v>
      </c>
      <c r="C303" s="36">
        <v>4301011826</v>
      </c>
      <c r="D303" s="666">
        <v>4680115884137</v>
      </c>
      <c r="E303" s="666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8"/>
      <c r="R303" s="668"/>
      <c r="S303" s="668"/>
      <c r="T303" s="669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hidden="1" customHeight="1" x14ac:dyDescent="0.25">
      <c r="A304" s="63" t="s">
        <v>513</v>
      </c>
      <c r="B304" s="63" t="s">
        <v>514</v>
      </c>
      <c r="C304" s="36">
        <v>4301011724</v>
      </c>
      <c r="D304" s="666">
        <v>4680115884236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hidden="1" customHeight="1" x14ac:dyDescent="0.25">
      <c r="A305" s="63" t="s">
        <v>516</v>
      </c>
      <c r="B305" s="63" t="s">
        <v>517</v>
      </c>
      <c r="C305" s="36">
        <v>4301011721</v>
      </c>
      <c r="D305" s="666">
        <v>4680115884175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4301011824</v>
      </c>
      <c r="D306" s="666">
        <v>4680115884144</v>
      </c>
      <c r="E306" s="666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520</v>
      </c>
      <c r="B307" s="63" t="s">
        <v>521</v>
      </c>
      <c r="C307" s="36">
        <v>4301012149</v>
      </c>
      <c r="D307" s="666">
        <v>4680115886551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4301012228</v>
      </c>
      <c r="D308" s="666">
        <v>4680115887282</v>
      </c>
      <c r="E308" s="666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4301011722</v>
      </c>
      <c r="D309" s="666">
        <v>4680115884205</v>
      </c>
      <c r="E309" s="666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5" t="s">
        <v>159</v>
      </c>
      <c r="B312" s="665"/>
      <c r="C312" s="665"/>
      <c r="D312" s="665"/>
      <c r="E312" s="665"/>
      <c r="F312" s="665"/>
      <c r="G312" s="665"/>
      <c r="H312" s="665"/>
      <c r="I312" s="665"/>
      <c r="J312" s="665"/>
      <c r="K312" s="665"/>
      <c r="L312" s="665"/>
      <c r="M312" s="665"/>
      <c r="N312" s="665"/>
      <c r="O312" s="665"/>
      <c r="P312" s="665"/>
      <c r="Q312" s="665"/>
      <c r="R312" s="665"/>
      <c r="S312" s="665"/>
      <c r="T312" s="665"/>
      <c r="U312" s="665"/>
      <c r="V312" s="665"/>
      <c r="W312" s="665"/>
      <c r="X312" s="665"/>
      <c r="Y312" s="665"/>
      <c r="Z312" s="665"/>
      <c r="AA312" s="66"/>
      <c r="AB312" s="66"/>
      <c r="AC312" s="80"/>
    </row>
    <row r="313" spans="1:68" ht="27" hidden="1" customHeight="1" x14ac:dyDescent="0.25">
      <c r="A313" s="63" t="s">
        <v>528</v>
      </c>
      <c r="B313" s="63" t="s">
        <v>529</v>
      </c>
      <c r="C313" s="36">
        <v>4301020377</v>
      </c>
      <c r="D313" s="666">
        <v>4680115885981</v>
      </c>
      <c r="E313" s="666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8"/>
      <c r="R313" s="668"/>
      <c r="S313" s="668"/>
      <c r="T313" s="669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5" t="s">
        <v>531</v>
      </c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65"/>
      <c r="P316" s="665"/>
      <c r="Q316" s="665"/>
      <c r="R316" s="665"/>
      <c r="S316" s="665"/>
      <c r="T316" s="665"/>
      <c r="U316" s="665"/>
      <c r="V316" s="665"/>
      <c r="W316" s="665"/>
      <c r="X316" s="665"/>
      <c r="Y316" s="665"/>
      <c r="Z316" s="665"/>
      <c r="AA316" s="66"/>
      <c r="AB316" s="66"/>
      <c r="AC316" s="80"/>
    </row>
    <row r="317" spans="1:68" ht="27" hidden="1" customHeight="1" x14ac:dyDescent="0.25">
      <c r="A317" s="63" t="s">
        <v>532</v>
      </c>
      <c r="B317" s="63" t="s">
        <v>533</v>
      </c>
      <c r="C317" s="36">
        <v>4301040362</v>
      </c>
      <c r="D317" s="666">
        <v>4680115886803</v>
      </c>
      <c r="E317" s="666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8"/>
      <c r="R317" s="668"/>
      <c r="S317" s="668"/>
      <c r="T317" s="669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665" t="s">
        <v>341</v>
      </c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65"/>
      <c r="P320" s="665"/>
      <c r="Q320" s="665"/>
      <c r="R320" s="665"/>
      <c r="S320" s="665"/>
      <c r="T320" s="665"/>
      <c r="U320" s="665"/>
      <c r="V320" s="665"/>
      <c r="W320" s="665"/>
      <c r="X320" s="665"/>
      <c r="Y320" s="665"/>
      <c r="Z320" s="665"/>
      <c r="AA320" s="66"/>
      <c r="AB320" s="66"/>
      <c r="AC320" s="80"/>
    </row>
    <row r="321" spans="1:68" ht="27" hidden="1" customHeight="1" x14ac:dyDescent="0.25">
      <c r="A321" s="63" t="s">
        <v>535</v>
      </c>
      <c r="B321" s="63" t="s">
        <v>536</v>
      </c>
      <c r="C321" s="36">
        <v>4301041008</v>
      </c>
      <c r="D321" s="666">
        <v>4680115886681</v>
      </c>
      <c r="E321" s="666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8"/>
      <c r="R321" s="668"/>
      <c r="S321" s="668"/>
      <c r="T321" s="669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56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53" t="s">
        <v>40</v>
      </c>
      <c r="Q322" s="654"/>
      <c r="R322" s="654"/>
      <c r="S322" s="654"/>
      <c r="T322" s="654"/>
      <c r="U322" s="654"/>
      <c r="V322" s="655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53" t="s">
        <v>40</v>
      </c>
      <c r="Q323" s="654"/>
      <c r="R323" s="654"/>
      <c r="S323" s="654"/>
      <c r="T323" s="654"/>
      <c r="U323" s="654"/>
      <c r="V323" s="655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72" t="s">
        <v>538</v>
      </c>
      <c r="B324" s="672"/>
      <c r="C324" s="672"/>
      <c r="D324" s="672"/>
      <c r="E324" s="672"/>
      <c r="F324" s="672"/>
      <c r="G324" s="672"/>
      <c r="H324" s="672"/>
      <c r="I324" s="672"/>
      <c r="J324" s="672"/>
      <c r="K324" s="672"/>
      <c r="L324" s="672"/>
      <c r="M324" s="672"/>
      <c r="N324" s="672"/>
      <c r="O324" s="672"/>
      <c r="P324" s="672"/>
      <c r="Q324" s="672"/>
      <c r="R324" s="672"/>
      <c r="S324" s="672"/>
      <c r="T324" s="672"/>
      <c r="U324" s="672"/>
      <c r="V324" s="672"/>
      <c r="W324" s="672"/>
      <c r="X324" s="672"/>
      <c r="Y324" s="672"/>
      <c r="Z324" s="672"/>
      <c r="AA324" s="65"/>
      <c r="AB324" s="65"/>
      <c r="AC324" s="79"/>
    </row>
    <row r="325" spans="1:68" ht="14.25" hidden="1" customHeight="1" x14ac:dyDescent="0.25">
      <c r="A325" s="665" t="s">
        <v>122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6"/>
      <c r="AB325" s="66"/>
      <c r="AC325" s="80"/>
    </row>
    <row r="326" spans="1:68" ht="27" hidden="1" customHeight="1" x14ac:dyDescent="0.25">
      <c r="A326" s="63" t="s">
        <v>539</v>
      </c>
      <c r="B326" s="63" t="s">
        <v>540</v>
      </c>
      <c r="C326" s="36">
        <v>4301012390</v>
      </c>
      <c r="D326" s="666">
        <v>4680115889637</v>
      </c>
      <c r="E326" s="666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8"/>
      <c r="R326" s="668"/>
      <c r="S326" s="668"/>
      <c r="T326" s="669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hidden="1" customHeight="1" x14ac:dyDescent="0.25">
      <c r="A327" s="63" t="s">
        <v>543</v>
      </c>
      <c r="B327" s="63" t="s">
        <v>544</v>
      </c>
      <c r="C327" s="36">
        <v>4301011855</v>
      </c>
      <c r="D327" s="666">
        <v>4680115885837</v>
      </c>
      <c r="E327" s="666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8"/>
      <c r="R327" s="668"/>
      <c r="S327" s="668"/>
      <c r="T327" s="669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hidden="1" customHeight="1" x14ac:dyDescent="0.25">
      <c r="A328" s="63" t="s">
        <v>546</v>
      </c>
      <c r="B328" s="63" t="s">
        <v>547</v>
      </c>
      <c r="C328" s="36">
        <v>4301012234</v>
      </c>
      <c r="D328" s="666">
        <v>4680115887237</v>
      </c>
      <c r="E328" s="666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8"/>
      <c r="R328" s="668"/>
      <c r="S328" s="668"/>
      <c r="T328" s="669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customHeight="1" x14ac:dyDescent="0.25">
      <c r="A329" s="63" t="s">
        <v>549</v>
      </c>
      <c r="B329" s="63" t="s">
        <v>550</v>
      </c>
      <c r="C329" s="36">
        <v>4301011850</v>
      </c>
      <c r="D329" s="666">
        <v>4680115885806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108</v>
      </c>
      <c r="Y329" s="55">
        <f t="shared" si="53"/>
        <v>108</v>
      </c>
      <c r="Z329" s="41">
        <f>IFERROR(IF(Y329=0,"",ROUNDUP(Y329/H329,0)*0.01898),"")</f>
        <v>0.1898</v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112.1</v>
      </c>
      <c r="BN329" s="78">
        <f t="shared" si="55"/>
        <v>112.1</v>
      </c>
      <c r="BO329" s="78">
        <f t="shared" si="56"/>
        <v>0.15625</v>
      </c>
      <c r="BP329" s="78">
        <f t="shared" si="57"/>
        <v>0.15625</v>
      </c>
    </row>
    <row r="330" spans="1:68" ht="27" hidden="1" customHeight="1" x14ac:dyDescent="0.25">
      <c r="A330" s="63" t="s">
        <v>552</v>
      </c>
      <c r="B330" s="63" t="s">
        <v>553</v>
      </c>
      <c r="C330" s="36">
        <v>4301011852</v>
      </c>
      <c r="D330" s="666">
        <v>4680115885844</v>
      </c>
      <c r="E330" s="666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hidden="1" customHeight="1" x14ac:dyDescent="0.25">
      <c r="A331" s="63" t="s">
        <v>555</v>
      </c>
      <c r="B331" s="63" t="s">
        <v>556</v>
      </c>
      <c r="C331" s="36">
        <v>4301011851</v>
      </c>
      <c r="D331" s="666">
        <v>4680115885820</v>
      </c>
      <c r="E331" s="666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53" t="s">
        <v>40</v>
      </c>
      <c r="Q332" s="654"/>
      <c r="R332" s="654"/>
      <c r="S332" s="654"/>
      <c r="T332" s="654"/>
      <c r="U332" s="654"/>
      <c r="V332" s="655"/>
      <c r="W332" s="42" t="s">
        <v>39</v>
      </c>
      <c r="X332" s="43">
        <f>IFERROR(X326/H326,"0")+IFERROR(X327/H327,"0")+IFERROR(X328/H328,"0")+IFERROR(X329/H329,"0")+IFERROR(X330/H330,"0")+IFERROR(X331/H331,"0")</f>
        <v>10</v>
      </c>
      <c r="Y332" s="43">
        <f>IFERROR(Y326/H326,"0")+IFERROR(Y327/H327,"0")+IFERROR(Y328/H328,"0")+IFERROR(Y329/H329,"0")+IFERROR(Y330/H330,"0")+IFERROR(Y331/H331,"0")</f>
        <v>10</v>
      </c>
      <c r="Z332" s="43">
        <f>IFERROR(IF(Z326="",0,Z326),"0")+IFERROR(IF(Z327="",0,Z327),"0")+IFERROR(IF(Z328="",0,Z328),"0")+IFERROR(IF(Z329="",0,Z329),"0")+IFERROR(IF(Z330="",0,Z330),"0")+IFERROR(IF(Z331="",0,Z331),"0")</f>
        <v>0.1898</v>
      </c>
      <c r="AA332" s="67"/>
      <c r="AB332" s="67"/>
      <c r="AC332" s="67"/>
    </row>
    <row r="333" spans="1:68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0</v>
      </c>
      <c r="X333" s="43">
        <f>IFERROR(SUM(X326:X331),"0")</f>
        <v>108</v>
      </c>
      <c r="Y333" s="43">
        <f>IFERROR(SUM(Y326:Y331),"0")</f>
        <v>108</v>
      </c>
      <c r="Z333" s="42"/>
      <c r="AA333" s="67"/>
      <c r="AB333" s="67"/>
      <c r="AC333" s="67"/>
    </row>
    <row r="334" spans="1:68" ht="16.5" hidden="1" customHeight="1" x14ac:dyDescent="0.25">
      <c r="A334" s="672" t="s">
        <v>558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5"/>
      <c r="AB334" s="65"/>
      <c r="AC334" s="79"/>
    </row>
    <row r="335" spans="1:68" ht="14.25" hidden="1" customHeight="1" x14ac:dyDescent="0.25">
      <c r="A335" s="665" t="s">
        <v>86</v>
      </c>
      <c r="B335" s="665"/>
      <c r="C335" s="665"/>
      <c r="D335" s="665"/>
      <c r="E335" s="665"/>
      <c r="F335" s="665"/>
      <c r="G335" s="665"/>
      <c r="H335" s="665"/>
      <c r="I335" s="665"/>
      <c r="J335" s="665"/>
      <c r="K335" s="665"/>
      <c r="L335" s="665"/>
      <c r="M335" s="665"/>
      <c r="N335" s="665"/>
      <c r="O335" s="665"/>
      <c r="P335" s="665"/>
      <c r="Q335" s="665"/>
      <c r="R335" s="665"/>
      <c r="S335" s="665"/>
      <c r="T335" s="665"/>
      <c r="U335" s="665"/>
      <c r="V335" s="665"/>
      <c r="W335" s="665"/>
      <c r="X335" s="665"/>
      <c r="Y335" s="665"/>
      <c r="Z335" s="665"/>
      <c r="AA335" s="66"/>
      <c r="AB335" s="66"/>
      <c r="AC335" s="80"/>
    </row>
    <row r="336" spans="1:68" ht="27" hidden="1" customHeight="1" x14ac:dyDescent="0.25">
      <c r="A336" s="63" t="s">
        <v>559</v>
      </c>
      <c r="B336" s="63" t="s">
        <v>560</v>
      </c>
      <c r="C336" s="36">
        <v>4301051893</v>
      </c>
      <c r="D336" s="666">
        <v>4680115886186</v>
      </c>
      <c r="E336" s="666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8"/>
      <c r="R336" s="668"/>
      <c r="S336" s="668"/>
      <c r="T336" s="669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562</v>
      </c>
      <c r="B337" s="63" t="s">
        <v>563</v>
      </c>
      <c r="C337" s="36">
        <v>4301051795</v>
      </c>
      <c r="D337" s="666">
        <v>4680115881228</v>
      </c>
      <c r="E337" s="666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8"/>
      <c r="R337" s="668"/>
      <c r="S337" s="668"/>
      <c r="T337" s="669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565</v>
      </c>
      <c r="B338" s="63" t="s">
        <v>566</v>
      </c>
      <c r="C338" s="36">
        <v>4301051388</v>
      </c>
      <c r="D338" s="666">
        <v>4680115881211</v>
      </c>
      <c r="E338" s="666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idden="1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53" t="s">
        <v>40</v>
      </c>
      <c r="Q339" s="654"/>
      <c r="R339" s="654"/>
      <c r="S339" s="654"/>
      <c r="T339" s="654"/>
      <c r="U339" s="654"/>
      <c r="V339" s="655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hidden="1" x14ac:dyDescent="0.2">
      <c r="A340" s="656"/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7"/>
      <c r="P340" s="653" t="s">
        <v>40</v>
      </c>
      <c r="Q340" s="654"/>
      <c r="R340" s="654"/>
      <c r="S340" s="654"/>
      <c r="T340" s="654"/>
      <c r="U340" s="654"/>
      <c r="V340" s="655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hidden="1" customHeight="1" x14ac:dyDescent="0.25">
      <c r="A341" s="672" t="s">
        <v>567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5"/>
      <c r="AB341" s="65"/>
      <c r="AC341" s="79"/>
    </row>
    <row r="342" spans="1:68" ht="14.25" hidden="1" customHeight="1" x14ac:dyDescent="0.25">
      <c r="A342" s="665" t="s">
        <v>77</v>
      </c>
      <c r="B342" s="665"/>
      <c r="C342" s="665"/>
      <c r="D342" s="665"/>
      <c r="E342" s="665"/>
      <c r="F342" s="665"/>
      <c r="G342" s="665"/>
      <c r="H342" s="665"/>
      <c r="I342" s="665"/>
      <c r="J342" s="665"/>
      <c r="K342" s="665"/>
      <c r="L342" s="665"/>
      <c r="M342" s="665"/>
      <c r="N342" s="665"/>
      <c r="O342" s="665"/>
      <c r="P342" s="665"/>
      <c r="Q342" s="665"/>
      <c r="R342" s="665"/>
      <c r="S342" s="665"/>
      <c r="T342" s="665"/>
      <c r="U342" s="665"/>
      <c r="V342" s="665"/>
      <c r="W342" s="665"/>
      <c r="X342" s="665"/>
      <c r="Y342" s="665"/>
      <c r="Z342" s="665"/>
      <c r="AA342" s="66"/>
      <c r="AB342" s="66"/>
      <c r="AC342" s="80"/>
    </row>
    <row r="343" spans="1:68" ht="27" hidden="1" customHeight="1" x14ac:dyDescent="0.25">
      <c r="A343" s="63" t="s">
        <v>568</v>
      </c>
      <c r="B343" s="63" t="s">
        <v>569</v>
      </c>
      <c r="C343" s="36">
        <v>4301031445</v>
      </c>
      <c r="D343" s="666">
        <v>4680115888319</v>
      </c>
      <c r="E343" s="666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8"/>
      <c r="R343" s="668"/>
      <c r="S343" s="668"/>
      <c r="T343" s="669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570</v>
      </c>
      <c r="B344" s="63" t="s">
        <v>571</v>
      </c>
      <c r="C344" s="36">
        <v>4301031502</v>
      </c>
      <c r="D344" s="666">
        <v>4680115884700</v>
      </c>
      <c r="E344" s="666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8"/>
      <c r="R344" s="668"/>
      <c r="S344" s="668"/>
      <c r="T344" s="669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573</v>
      </c>
      <c r="B345" s="63" t="s">
        <v>574</v>
      </c>
      <c r="C345" s="36">
        <v>4301031307</v>
      </c>
      <c r="D345" s="666">
        <v>4680115880344</v>
      </c>
      <c r="E345" s="666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4301031501</v>
      </c>
      <c r="D346" s="666">
        <v>4680115886919</v>
      </c>
      <c r="E346" s="666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4301031246</v>
      </c>
      <c r="D347" s="666">
        <v>4680115883970</v>
      </c>
      <c r="E347" s="666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665" t="s">
        <v>86</v>
      </c>
      <c r="B350" s="665"/>
      <c r="C350" s="665"/>
      <c r="D350" s="665"/>
      <c r="E350" s="665"/>
      <c r="F350" s="665"/>
      <c r="G350" s="665"/>
      <c r="H350" s="665"/>
      <c r="I350" s="665"/>
      <c r="J350" s="665"/>
      <c r="K350" s="665"/>
      <c r="L350" s="665"/>
      <c r="M350" s="665"/>
      <c r="N350" s="665"/>
      <c r="O350" s="665"/>
      <c r="P350" s="665"/>
      <c r="Q350" s="665"/>
      <c r="R350" s="665"/>
      <c r="S350" s="665"/>
      <c r="T350" s="665"/>
      <c r="U350" s="665"/>
      <c r="V350" s="665"/>
      <c r="W350" s="665"/>
      <c r="X350" s="665"/>
      <c r="Y350" s="665"/>
      <c r="Z350" s="665"/>
      <c r="AA350" s="66"/>
      <c r="AB350" s="66"/>
      <c r="AC350" s="80"/>
    </row>
    <row r="351" spans="1:68" ht="27" hidden="1" customHeight="1" x14ac:dyDescent="0.25">
      <c r="A351" s="63" t="s">
        <v>582</v>
      </c>
      <c r="B351" s="63" t="s">
        <v>583</v>
      </c>
      <c r="C351" s="36">
        <v>4301051782</v>
      </c>
      <c r="D351" s="666">
        <v>4680115884618</v>
      </c>
      <c r="E351" s="666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8"/>
      <c r="R351" s="668"/>
      <c r="S351" s="668"/>
      <c r="T351" s="669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585</v>
      </c>
      <c r="B352" s="63" t="s">
        <v>586</v>
      </c>
      <c r="C352" s="36">
        <v>4301052057</v>
      </c>
      <c r="D352" s="666">
        <v>4680115887114</v>
      </c>
      <c r="E352" s="666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8"/>
      <c r="R352" s="668"/>
      <c r="S352" s="668"/>
      <c r="T352" s="669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39</v>
      </c>
      <c r="X353" s="43">
        <f>IFERROR(X351/H351,"0")+IFERROR(X352/H352,"0")</f>
        <v>0</v>
      </c>
      <c r="Y353" s="43">
        <f>IFERROR(Y351/H351,"0")+IFERROR(Y352/H352,"0")</f>
        <v>0</v>
      </c>
      <c r="Z353" s="43">
        <f>IFERROR(IF(Z351="",0,Z351),"0")+IFERROR(IF(Z352="",0,Z352),"0")</f>
        <v>0</v>
      </c>
      <c r="AA353" s="67"/>
      <c r="AB353" s="67"/>
      <c r="AC353" s="67"/>
    </row>
    <row r="354" spans="1:68" hidden="1" x14ac:dyDescent="0.2">
      <c r="A354" s="656"/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7"/>
      <c r="P354" s="653" t="s">
        <v>40</v>
      </c>
      <c r="Q354" s="654"/>
      <c r="R354" s="654"/>
      <c r="S354" s="654"/>
      <c r="T354" s="654"/>
      <c r="U354" s="654"/>
      <c r="V354" s="655"/>
      <c r="W354" s="42" t="s">
        <v>0</v>
      </c>
      <c r="X354" s="43">
        <f>IFERROR(SUM(X351:X352),"0")</f>
        <v>0</v>
      </c>
      <c r="Y354" s="43">
        <f>IFERROR(SUM(Y351:Y352),"0")</f>
        <v>0</v>
      </c>
      <c r="Z354" s="42"/>
      <c r="AA354" s="67"/>
      <c r="AB354" s="67"/>
      <c r="AC354" s="67"/>
    </row>
    <row r="355" spans="1:68" ht="16.5" hidden="1" customHeight="1" x14ac:dyDescent="0.25">
      <c r="A355" s="672" t="s">
        <v>588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5"/>
      <c r="AB355" s="65"/>
      <c r="AC355" s="79"/>
    </row>
    <row r="356" spans="1:68" ht="14.25" hidden="1" customHeight="1" x14ac:dyDescent="0.25">
      <c r="A356" s="665" t="s">
        <v>122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6"/>
      <c r="AB356" s="66"/>
      <c r="AC356" s="80"/>
    </row>
    <row r="357" spans="1:68" ht="27" hidden="1" customHeight="1" x14ac:dyDescent="0.25">
      <c r="A357" s="63" t="s">
        <v>589</v>
      </c>
      <c r="B357" s="63" t="s">
        <v>590</v>
      </c>
      <c r="C357" s="36">
        <v>4301012324</v>
      </c>
      <c r="D357" s="666">
        <v>4680115887947</v>
      </c>
      <c r="E357" s="666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8"/>
      <c r="R357" s="668"/>
      <c r="S357" s="668"/>
      <c r="T357" s="669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591</v>
      </c>
      <c r="B358" s="63" t="s">
        <v>592</v>
      </c>
      <c r="C358" s="36">
        <v>4301012325</v>
      </c>
      <c r="D358" s="666">
        <v>4680115887978</v>
      </c>
      <c r="E358" s="666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8"/>
      <c r="R358" s="668"/>
      <c r="S358" s="668"/>
      <c r="T358" s="669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594</v>
      </c>
      <c r="B359" s="63" t="s">
        <v>595</v>
      </c>
      <c r="C359" s="36">
        <v>4301012327</v>
      </c>
      <c r="D359" s="666">
        <v>4680115887992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53" t="s">
        <v>40</v>
      </c>
      <c r="Q360" s="654"/>
      <c r="R360" s="654"/>
      <c r="S360" s="654"/>
      <c r="T360" s="654"/>
      <c r="U360" s="654"/>
      <c r="V360" s="655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656"/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7"/>
      <c r="P361" s="653" t="s">
        <v>40</v>
      </c>
      <c r="Q361" s="654"/>
      <c r="R361" s="654"/>
      <c r="S361" s="654"/>
      <c r="T361" s="654"/>
      <c r="U361" s="654"/>
      <c r="V361" s="655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72" t="s">
        <v>597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5"/>
      <c r="AB362" s="65"/>
      <c r="AC362" s="79"/>
    </row>
    <row r="363" spans="1:68" ht="14.25" hidden="1" customHeight="1" x14ac:dyDescent="0.25">
      <c r="A363" s="665" t="s">
        <v>122</v>
      </c>
      <c r="B363" s="665"/>
      <c r="C363" s="665"/>
      <c r="D363" s="665"/>
      <c r="E363" s="665"/>
      <c r="F363" s="665"/>
      <c r="G363" s="665"/>
      <c r="H363" s="665"/>
      <c r="I363" s="665"/>
      <c r="J363" s="665"/>
      <c r="K363" s="665"/>
      <c r="L363" s="665"/>
      <c r="M363" s="665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4301012400</v>
      </c>
      <c r="D364" s="666">
        <v>4680115889880</v>
      </c>
      <c r="E364" s="666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8"/>
      <c r="R364" s="668"/>
      <c r="S364" s="668"/>
      <c r="T364" s="669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customHeight="1" x14ac:dyDescent="0.25">
      <c r="A365" s="63" t="s">
        <v>600</v>
      </c>
      <c r="B365" s="63" t="s">
        <v>601</v>
      </c>
      <c r="C365" s="36">
        <v>4301012360</v>
      </c>
      <c r="D365" s="666">
        <v>4680115889293</v>
      </c>
      <c r="E365" s="666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8"/>
      <c r="R365" s="668"/>
      <c r="S365" s="668"/>
      <c r="T365" s="669"/>
      <c r="U365" s="39" t="s">
        <v>46</v>
      </c>
      <c r="V365" s="39" t="s">
        <v>46</v>
      </c>
      <c r="W365" s="40" t="s">
        <v>0</v>
      </c>
      <c r="X365" s="58">
        <v>691.2</v>
      </c>
      <c r="Y365" s="55">
        <f t="shared" si="58"/>
        <v>691.2</v>
      </c>
      <c r="Z365" s="41">
        <f>IFERROR(IF(Y365=0,"",ROUNDUP(Y365/H365,0)*0.01898),"")</f>
        <v>1.21472</v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717.44</v>
      </c>
      <c r="BN365" s="78">
        <f t="shared" si="60"/>
        <v>717.44</v>
      </c>
      <c r="BO365" s="78">
        <f t="shared" si="61"/>
        <v>1</v>
      </c>
      <c r="BP365" s="78">
        <f t="shared" si="62"/>
        <v>1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hidden="1" customHeight="1" x14ac:dyDescent="0.25">
      <c r="A367" s="63" t="s">
        <v>606</v>
      </c>
      <c r="B367" s="63" t="s">
        <v>607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customHeight="1" x14ac:dyDescent="0.25">
      <c r="A370" s="63" t="s">
        <v>614</v>
      </c>
      <c r="B370" s="63" t="s">
        <v>615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40</v>
      </c>
      <c r="Y370" s="55">
        <f t="shared" si="58"/>
        <v>40</v>
      </c>
      <c r="Z370" s="41">
        <f>IFERROR(IF(Y370=0,"",ROUNDUP(Y370/H370,0)*0.00902),"")</f>
        <v>9.0200000000000002E-2</v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41.900000000000006</v>
      </c>
      <c r="BN370" s="78">
        <f t="shared" si="60"/>
        <v>41.900000000000006</v>
      </c>
      <c r="BO370" s="78">
        <f t="shared" si="61"/>
        <v>7.575757575757576E-2</v>
      </c>
      <c r="BP370" s="78">
        <f t="shared" si="62"/>
        <v>7.575757575757576E-2</v>
      </c>
    </row>
    <row r="371" spans="1:68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IFERROR(X364/H364,"0")+IFERROR(X365/H365,"0")+IFERROR(X366/H366,"0")+IFERROR(X367/H367,"0")+IFERROR(X368/H368,"0")+IFERROR(X369/H369,"0")+IFERROR(X370/H370,"0")</f>
        <v>74</v>
      </c>
      <c r="Y371" s="43">
        <f>IFERROR(Y364/H364,"0")+IFERROR(Y365/H365,"0")+IFERROR(Y366/H366,"0")+IFERROR(Y367/H367,"0")+IFERROR(Y368/H368,"0")+IFERROR(Y369/H369,"0")+IFERROR(Y370/H370,"0")</f>
        <v>74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1.3049200000000001</v>
      </c>
      <c r="AA371" s="67"/>
      <c r="AB371" s="67"/>
      <c r="AC371" s="67"/>
    </row>
    <row r="372" spans="1:68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IFERROR(SUM(X364:X370),"0")</f>
        <v>731.2</v>
      </c>
      <c r="Y372" s="43">
        <f>IFERROR(SUM(Y364:Y370),"0")</f>
        <v>731.2</v>
      </c>
      <c r="Z372" s="42"/>
      <c r="AA372" s="67"/>
      <c r="AB372" s="67"/>
      <c r="AC372" s="67"/>
    </row>
    <row r="373" spans="1:68" ht="14.25" hidden="1" customHeight="1" x14ac:dyDescent="0.25">
      <c r="A373" s="665" t="s">
        <v>77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customHeight="1" x14ac:dyDescent="0.25">
      <c r="A374" s="63" t="s">
        <v>617</v>
      </c>
      <c r="B374" s="63" t="s">
        <v>618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42</v>
      </c>
      <c r="Y374" s="55">
        <f t="shared" ref="Y374:Y380" si="63">IFERROR(IF(X374="",0,CEILING((X374/$H374),1)*$H374),"")</f>
        <v>42</v>
      </c>
      <c r="Z374" s="41">
        <f>IFERROR(IF(Y374=0,"",ROUNDUP(Y374/H374,0)*0.00902),"")</f>
        <v>9.0200000000000002E-2</v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44.5</v>
      </c>
      <c r="BN374" s="78">
        <f t="shared" ref="BN374:BN380" si="65">IFERROR(Y374*I374/H374,"0")</f>
        <v>44.5</v>
      </c>
      <c r="BO374" s="78">
        <f t="shared" ref="BO374:BO380" si="66">IFERROR(1/J374*(X374/H374),"0")</f>
        <v>7.575757575757576E-2</v>
      </c>
      <c r="BP374" s="78">
        <f t="shared" ref="BP374:BP380" si="67">IFERROR(1/J374*(Y374/H374),"0")</f>
        <v>7.575757575757576E-2</v>
      </c>
    </row>
    <row r="375" spans="1:68" ht="27" customHeight="1" x14ac:dyDescent="0.25">
      <c r="A375" s="63" t="s">
        <v>620</v>
      </c>
      <c r="B375" s="63" t="s">
        <v>621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84</v>
      </c>
      <c r="Y375" s="55">
        <f t="shared" si="63"/>
        <v>84</v>
      </c>
      <c r="Z375" s="41">
        <f>IFERROR(IF(Y375=0,"",ROUNDUP(Y375/H375,0)*0.00902),"")</f>
        <v>0.1804</v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89</v>
      </c>
      <c r="BN375" s="78">
        <f t="shared" si="65"/>
        <v>89</v>
      </c>
      <c r="BO375" s="78">
        <f t="shared" si="66"/>
        <v>0.15151515151515152</v>
      </c>
      <c r="BP375" s="78">
        <f t="shared" si="67"/>
        <v>0.15151515151515152</v>
      </c>
    </row>
    <row r="376" spans="1:68" ht="27" hidden="1" customHeight="1" x14ac:dyDescent="0.25">
      <c r="A376" s="63" t="s">
        <v>623</v>
      </c>
      <c r="B376" s="63" t="s">
        <v>624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customHeight="1" x14ac:dyDescent="0.25">
      <c r="A377" s="63" t="s">
        <v>626</v>
      </c>
      <c r="B377" s="63" t="s">
        <v>627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10.5</v>
      </c>
      <c r="Y377" s="55">
        <f t="shared" si="63"/>
        <v>10.5</v>
      </c>
      <c r="Z377" s="41">
        <f>IFERROR(IF(Y377=0,"",ROUNDUP(Y377/H377,0)*0.00502),"")</f>
        <v>2.5100000000000001E-2</v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11.149999999999999</v>
      </c>
      <c r="BN377" s="78">
        <f t="shared" si="65"/>
        <v>11.149999999999999</v>
      </c>
      <c r="BO377" s="78">
        <f t="shared" si="66"/>
        <v>2.1367521367521368E-2</v>
      </c>
      <c r="BP377" s="78">
        <f t="shared" si="67"/>
        <v>2.1367521367521368E-2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35</v>
      </c>
      <c r="Y381" s="43">
        <f>IFERROR(Y374/H374,"0")+IFERROR(Y375/H375,"0")+IFERROR(Y376/H376,"0")+IFERROR(Y377/H377,"0")+IFERROR(Y378/H378,"0")+IFERROR(Y379/H379,"0")+IFERROR(Y380/H380,"0")</f>
        <v>35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0.29570000000000002</v>
      </c>
      <c r="AA381" s="67"/>
      <c r="AB381" s="67"/>
      <c r="AC381" s="67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136.5</v>
      </c>
      <c r="Y382" s="43">
        <f>IFERROR(SUM(Y374:Y380),"0")</f>
        <v>136.5</v>
      </c>
      <c r="Z382" s="42"/>
      <c r="AA382" s="67"/>
      <c r="AB382" s="67"/>
      <c r="AC382" s="67"/>
    </row>
    <row r="383" spans="1:68" ht="14.25" hidden="1" customHeight="1" x14ac:dyDescent="0.25">
      <c r="A383" s="665" t="s">
        <v>86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customHeight="1" x14ac:dyDescent="0.25">
      <c r="A384" s="63" t="s">
        <v>636</v>
      </c>
      <c r="B384" s="63" t="s">
        <v>637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1497.6</v>
      </c>
      <c r="Y384" s="55">
        <f>IFERROR(IF(X384="",0,CEILING((X384/$H384),1)*$H384),"")</f>
        <v>1497.6</v>
      </c>
      <c r="Z384" s="41">
        <f>IFERROR(IF(Y384=0,"",ROUNDUP(Y384/H384,0)*0.01898),"")</f>
        <v>3.6441600000000003</v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1591.296</v>
      </c>
      <c r="BN384" s="78">
        <f>IFERROR(Y384*I384/H384,"0")</f>
        <v>1591.296</v>
      </c>
      <c r="BO384" s="78">
        <f>IFERROR(1/J384*(X384/H384),"0")</f>
        <v>3</v>
      </c>
      <c r="BP384" s="78">
        <f>IFERROR(1/J384*(Y384/H384),"0")</f>
        <v>3</v>
      </c>
    </row>
    <row r="385" spans="1:68" ht="27" hidden="1" customHeight="1" x14ac:dyDescent="0.25">
      <c r="A385" s="63" t="s">
        <v>639</v>
      </c>
      <c r="B385" s="63" t="s">
        <v>640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18</v>
      </c>
      <c r="Y387" s="55">
        <f>IFERROR(IF(X387="",0,CEILING((X387/$H387),1)*$H387),"")</f>
        <v>18</v>
      </c>
      <c r="Z387" s="41">
        <f>IFERROR(IF(Y387=0,"",ROUNDUP(Y387/H387,0)*0.00651),"")</f>
        <v>3.9059999999999997E-2</v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19.475999999999999</v>
      </c>
      <c r="BN387" s="78">
        <f>IFERROR(Y387*I387/H387,"0")</f>
        <v>19.475999999999999</v>
      </c>
      <c r="BO387" s="78">
        <f>IFERROR(1/J387*(X387/H387),"0")</f>
        <v>3.2967032967032968E-2</v>
      </c>
      <c r="BP387" s="78">
        <f>IFERROR(1/J387*(Y387/H387),"0")</f>
        <v>3.2967032967032968E-2</v>
      </c>
    </row>
    <row r="388" spans="1:68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198</v>
      </c>
      <c r="Y388" s="43">
        <f>IFERROR(Y384/H384,"0")+IFERROR(Y385/H385,"0")+IFERROR(Y386/H386,"0")+IFERROR(Y387/H387,"0")</f>
        <v>198</v>
      </c>
      <c r="Z388" s="43">
        <f>IFERROR(IF(Z384="",0,Z384),"0")+IFERROR(IF(Z385="",0,Z385),"0")+IFERROR(IF(Z386="",0,Z386),"0")+IFERROR(IF(Z387="",0,Z387),"0")</f>
        <v>3.6832200000000004</v>
      </c>
      <c r="AA388" s="67"/>
      <c r="AB388" s="67"/>
      <c r="AC388" s="67"/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1515.6</v>
      </c>
      <c r="Y389" s="43">
        <f>IFERROR(SUM(Y384:Y387),"0")</f>
        <v>1515.6</v>
      </c>
      <c r="Z389" s="42"/>
      <c r="AA389" s="67"/>
      <c r="AB389" s="67"/>
      <c r="AC389" s="67"/>
    </row>
    <row r="390" spans="1:68" ht="14.25" hidden="1" customHeight="1" x14ac:dyDescent="0.25">
      <c r="A390" s="665" t="s">
        <v>178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hidden="1" customHeight="1" x14ac:dyDescent="0.25">
      <c r="A391" s="63" t="s">
        <v>647</v>
      </c>
      <c r="B391" s="63" t="s">
        <v>648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7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650</v>
      </c>
      <c r="B392" s="63" t="s">
        <v>651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195</v>
      </c>
      <c r="Y392" s="55">
        <f>IFERROR(IF(X392="",0,CEILING((X392/$H392),1)*$H392),"")</f>
        <v>195</v>
      </c>
      <c r="Z392" s="41">
        <f>IFERROR(IF(Y392=0,"",ROUNDUP(Y392/H392,0)*0.01898),"")</f>
        <v>0.47450000000000003</v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207.35000000000002</v>
      </c>
      <c r="BN392" s="78">
        <f>IFERROR(Y392*I392/H392,"0")</f>
        <v>207.35000000000002</v>
      </c>
      <c r="BO392" s="78">
        <f>IFERROR(1/J392*(X392/H392),"0")</f>
        <v>0.390625</v>
      </c>
      <c r="BP392" s="78">
        <f>IFERROR(1/J392*(Y392/H392),"0")</f>
        <v>0.390625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25</v>
      </c>
      <c r="Y394" s="43">
        <f>IFERROR(Y391/H391,"0")+IFERROR(Y392/H392,"0")+IFERROR(Y393/H393,"0")</f>
        <v>25</v>
      </c>
      <c r="Z394" s="43">
        <f>IFERROR(IF(Z391="",0,Z391),"0")+IFERROR(IF(Z392="",0,Z392),"0")+IFERROR(IF(Z393="",0,Z393),"0")</f>
        <v>0.47450000000000003</v>
      </c>
      <c r="AA394" s="67"/>
      <c r="AB394" s="67"/>
      <c r="AC394" s="67"/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195</v>
      </c>
      <c r="Y395" s="43">
        <f>IFERROR(SUM(Y391:Y393),"0")</f>
        <v>195</v>
      </c>
      <c r="Z395" s="42"/>
      <c r="AA395" s="67"/>
      <c r="AB395" s="67"/>
      <c r="AC395" s="67"/>
    </row>
    <row r="396" spans="1:68" ht="14.25" hidden="1" customHeight="1" x14ac:dyDescent="0.25">
      <c r="A396" s="665" t="s">
        <v>277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65" t="s">
        <v>665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hidden="1" customHeight="1" x14ac:dyDescent="0.25">
      <c r="A404" s="63" t="s">
        <v>666</v>
      </c>
      <c r="B404" s="63" t="s">
        <v>667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670</v>
      </c>
      <c r="B405" s="63" t="s">
        <v>671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672</v>
      </c>
      <c r="B406" s="63" t="s">
        <v>673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665" t="s">
        <v>674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hidden="1" customHeight="1" x14ac:dyDescent="0.25">
      <c r="A410" s="63" t="s">
        <v>675</v>
      </c>
      <c r="B410" s="63" t="s">
        <v>676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678</v>
      </c>
      <c r="B411" s="63" t="s">
        <v>679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681</v>
      </c>
      <c r="B412" s="63" t="s">
        <v>682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72" t="s">
        <v>683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hidden="1" customHeight="1" x14ac:dyDescent="0.25">
      <c r="A416" s="665" t="s">
        <v>86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hidden="1" customHeight="1" x14ac:dyDescent="0.25">
      <c r="A417" s="63" t="s">
        <v>684</v>
      </c>
      <c r="B417" s="63" t="s">
        <v>685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687</v>
      </c>
      <c r="B418" s="63" t="s">
        <v>688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672" t="s">
        <v>690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hidden="1" customHeight="1" x14ac:dyDescent="0.25">
      <c r="A422" s="665" t="s">
        <v>86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customHeight="1" x14ac:dyDescent="0.25">
      <c r="A423" s="63" t="s">
        <v>691</v>
      </c>
      <c r="B423" s="63" t="s">
        <v>692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81</v>
      </c>
      <c r="Y423" s="55">
        <f>IFERROR(IF(X423="",0,CEILING((X423/$H423),1)*$H423),"")</f>
        <v>81</v>
      </c>
      <c r="Z423" s="41">
        <f>IFERROR(IF(Y423=0,"",ROUNDUP(Y423/H423,0)*0.01898),"")</f>
        <v>0.1898</v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85.94</v>
      </c>
      <c r="BN423" s="78">
        <f>IFERROR(Y423*I423/H423,"0")</f>
        <v>85.94</v>
      </c>
      <c r="BO423" s="78">
        <f>IFERROR(1/J423*(X423/H423),"0")</f>
        <v>0.15625</v>
      </c>
      <c r="BP423" s="78">
        <f>IFERROR(1/J423*(Y423/H423),"0")</f>
        <v>0.15625</v>
      </c>
    </row>
    <row r="424" spans="1:68" ht="27" customHeight="1" x14ac:dyDescent="0.25">
      <c r="A424" s="63" t="s">
        <v>694</v>
      </c>
      <c r="B424" s="63" t="s">
        <v>695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12.6</v>
      </c>
      <c r="Y424" s="55">
        <f>IFERROR(IF(X424="",0,CEILING((X424/$H424),1)*$H424),"")</f>
        <v>12.600000000000001</v>
      </c>
      <c r="Z424" s="41">
        <f>IFERROR(IF(Y424=0,"",ROUNDUP(Y424/H424,0)*0.00651),"")</f>
        <v>3.9059999999999997E-2</v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14.111999999999998</v>
      </c>
      <c r="BN424" s="78">
        <f>IFERROR(Y424*I424/H424,"0")</f>
        <v>14.112</v>
      </c>
      <c r="BO424" s="78">
        <f>IFERROR(1/J424*(X424/H424),"0")</f>
        <v>3.2967032967032968E-2</v>
      </c>
      <c r="BP424" s="78">
        <f>IFERROR(1/J424*(Y424/H424),"0")</f>
        <v>3.2967032967032968E-2</v>
      </c>
    </row>
    <row r="425" spans="1:68" ht="27" customHeight="1" x14ac:dyDescent="0.25">
      <c r="A425" s="63" t="s">
        <v>697</v>
      </c>
      <c r="B425" s="63" t="s">
        <v>698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12.6</v>
      </c>
      <c r="Y425" s="55">
        <f>IFERROR(IF(X425="",0,CEILING((X425/$H425),1)*$H425),"")</f>
        <v>12.600000000000001</v>
      </c>
      <c r="Z425" s="41">
        <f>IFERROR(IF(Y425=0,"",ROUNDUP(Y425/H425,0)*0.00651),"")</f>
        <v>3.9059999999999997E-2</v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14.04</v>
      </c>
      <c r="BN425" s="78">
        <f>IFERROR(Y425*I425/H425,"0")</f>
        <v>14.040000000000001</v>
      </c>
      <c r="BO425" s="78">
        <f>IFERROR(1/J425*(X425/H425),"0")</f>
        <v>3.2967032967032968E-2</v>
      </c>
      <c r="BP425" s="78">
        <f>IFERROR(1/J425*(Y425/H425),"0")</f>
        <v>3.2967032967032968E-2</v>
      </c>
    </row>
    <row r="426" spans="1:68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22</v>
      </c>
      <c r="Y426" s="43">
        <f>IFERROR(Y423/H423,"0")+IFERROR(Y424/H424,"0")+IFERROR(Y425/H425,"0")</f>
        <v>22</v>
      </c>
      <c r="Z426" s="43">
        <f>IFERROR(IF(Z423="",0,Z423),"0")+IFERROR(IF(Z424="",0,Z424),"0")+IFERROR(IF(Z425="",0,Z425),"0")</f>
        <v>0.26791999999999999</v>
      </c>
      <c r="AA426" s="67"/>
      <c r="AB426" s="67"/>
      <c r="AC426" s="67"/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106.19999999999999</v>
      </c>
      <c r="Y427" s="43">
        <f>IFERROR(SUM(Y423:Y425),"0")</f>
        <v>106.19999999999999</v>
      </c>
      <c r="Z427" s="42"/>
      <c r="AA427" s="67"/>
      <c r="AB427" s="67"/>
      <c r="AC427" s="67"/>
    </row>
    <row r="428" spans="1:68" ht="27.75" hidden="1" customHeight="1" x14ac:dyDescent="0.2">
      <c r="A428" s="683" t="s">
        <v>700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hidden="1" customHeight="1" x14ac:dyDescent="0.25">
      <c r="A429" s="672" t="s">
        <v>701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hidden="1" customHeight="1" x14ac:dyDescent="0.25">
      <c r="A430" s="665" t="s">
        <v>122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8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0</v>
      </c>
      <c r="BN431" s="78">
        <f t="shared" ref="BN431:BN438" si="70">IFERROR(Y431*I431/H431,"0")</f>
        <v>0</v>
      </c>
      <c r="BO431" s="78">
        <f t="shared" ref="BO431:BO438" si="71">IFERROR(1/J431*(X431/H431),"0")</f>
        <v>0</v>
      </c>
      <c r="BP431" s="78">
        <f t="shared" ref="BP431:BP438" si="72">IFERROR(1/J431*(Y431/H431),"0")</f>
        <v>0</v>
      </c>
    </row>
    <row r="432" spans="1:68" ht="37.5" hidden="1" customHeight="1" x14ac:dyDescent="0.25">
      <c r="A432" s="63" t="s">
        <v>705</v>
      </c>
      <c r="B432" s="63" t="s">
        <v>706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711</v>
      </c>
      <c r="B434" s="63" t="s">
        <v>712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720</v>
      </c>
      <c r="Y434" s="55">
        <f t="shared" si="68"/>
        <v>720</v>
      </c>
      <c r="Z434" s="41">
        <f>IFERROR(IF(Y434=0,"",ROUNDUP(Y434/H434,0)*0.02175),"")</f>
        <v>1.044</v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742.56</v>
      </c>
      <c r="BN434" s="78">
        <f t="shared" si="70"/>
        <v>742.56</v>
      </c>
      <c r="BO434" s="78">
        <f t="shared" si="71"/>
        <v>1</v>
      </c>
      <c r="BP434" s="78">
        <f t="shared" si="72"/>
        <v>1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hidden="1" customHeight="1" x14ac:dyDescent="0.25">
      <c r="A438" s="63" t="s">
        <v>723</v>
      </c>
      <c r="B438" s="63" t="s">
        <v>724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48</v>
      </c>
      <c r="Y439" s="43">
        <f>IFERROR(Y431/H431,"0")+IFERROR(Y432/H432,"0")+IFERROR(Y433/H433,"0")+IFERROR(Y434/H434,"0")+IFERROR(Y435/H435,"0")+IFERROR(Y436/H436,"0")+IFERROR(Y437/H437,"0")+IFERROR(Y438/H438,"0")</f>
        <v>48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1.044</v>
      </c>
      <c r="AA439" s="67"/>
      <c r="AB439" s="67"/>
      <c r="AC439" s="67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720</v>
      </c>
      <c r="Y440" s="43">
        <f>IFERROR(SUM(Y431:Y438),"0")</f>
        <v>720</v>
      </c>
      <c r="Z440" s="42"/>
      <c r="AA440" s="67"/>
      <c r="AB440" s="67"/>
      <c r="AC440" s="67"/>
    </row>
    <row r="441" spans="1:68" ht="14.25" hidden="1" customHeight="1" x14ac:dyDescent="0.25">
      <c r="A441" s="665" t="s">
        <v>159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customHeight="1" x14ac:dyDescent="0.25">
      <c r="A442" s="63" t="s">
        <v>726</v>
      </c>
      <c r="B442" s="63" t="s">
        <v>727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1440</v>
      </c>
      <c r="Y442" s="55">
        <f>IFERROR(IF(X442="",0,CEILING((X442/$H442),1)*$H442),"")</f>
        <v>1440</v>
      </c>
      <c r="Z442" s="41">
        <f>IFERROR(IF(Y442=0,"",ROUNDUP(Y442/H442,0)*0.02175),"")</f>
        <v>2.0880000000000001</v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1485.12</v>
      </c>
      <c r="BN442" s="78">
        <f>IFERROR(Y442*I442/H442,"0")</f>
        <v>1485.12</v>
      </c>
      <c r="BO442" s="78">
        <f>IFERROR(1/J442*(X442/H442),"0")</f>
        <v>2</v>
      </c>
      <c r="BP442" s="78">
        <f>IFERROR(1/J442*(Y442/H442),"0")</f>
        <v>2</v>
      </c>
    </row>
    <row r="443" spans="1:68" ht="27" hidden="1" customHeight="1" x14ac:dyDescent="0.25">
      <c r="A443" s="63" t="s">
        <v>729</v>
      </c>
      <c r="B443" s="63" t="s">
        <v>730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732</v>
      </c>
      <c r="B444" s="63" t="s">
        <v>733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96</v>
      </c>
      <c r="Y445" s="43">
        <f>IFERROR(Y442/H442,"0")+IFERROR(Y443/H443,"0")+IFERROR(Y444/H444,"0")</f>
        <v>96</v>
      </c>
      <c r="Z445" s="43">
        <f>IFERROR(IF(Z442="",0,Z442),"0")+IFERROR(IF(Z443="",0,Z443),"0")+IFERROR(IF(Z444="",0,Z444),"0")</f>
        <v>2.0880000000000001</v>
      </c>
      <c r="AA445" s="67"/>
      <c r="AB445" s="67"/>
      <c r="AC445" s="67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1440</v>
      </c>
      <c r="Y446" s="43">
        <f>IFERROR(SUM(Y442:Y444),"0")</f>
        <v>1440</v>
      </c>
      <c r="Z446" s="42"/>
      <c r="AA446" s="67"/>
      <c r="AB446" s="67"/>
      <c r="AC446" s="67"/>
    </row>
    <row r="447" spans="1:68" ht="14.25" hidden="1" customHeight="1" x14ac:dyDescent="0.25">
      <c r="A447" s="665" t="s">
        <v>86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customHeight="1" x14ac:dyDescent="0.25">
      <c r="A448" s="63" t="s">
        <v>735</v>
      </c>
      <c r="B448" s="63" t="s">
        <v>736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90</v>
      </c>
      <c r="Y448" s="55">
        <f>IFERROR(IF(X448="",0,CEILING((X448/$H448),1)*$H448),"")</f>
        <v>90</v>
      </c>
      <c r="Z448" s="41">
        <f>IFERROR(IF(Y448=0,"",ROUNDUP(Y448/H448,0)*0.01898),"")</f>
        <v>0.1898</v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95</v>
      </c>
      <c r="BN448" s="78">
        <f>IFERROR(Y448*I448/H448,"0")</f>
        <v>95</v>
      </c>
      <c r="BO448" s="78">
        <f>IFERROR(1/J448*(X448/H448),"0")</f>
        <v>0.15625</v>
      </c>
      <c r="BP448" s="78">
        <f>IFERROR(1/J448*(Y448/H448),"0")</f>
        <v>0.15625</v>
      </c>
    </row>
    <row r="449" spans="1:68" ht="27" hidden="1" customHeight="1" x14ac:dyDescent="0.25">
      <c r="A449" s="63" t="s">
        <v>738</v>
      </c>
      <c r="B449" s="63" t="s">
        <v>739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741</v>
      </c>
      <c r="B450" s="63" t="s">
        <v>742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10</v>
      </c>
      <c r="Y451" s="43">
        <f>IFERROR(Y448/H448,"0")+IFERROR(Y449/H449,"0")+IFERROR(Y450/H450,"0")</f>
        <v>10</v>
      </c>
      <c r="Z451" s="43">
        <f>IFERROR(IF(Z448="",0,Z448),"0")+IFERROR(IF(Z449="",0,Z449),"0")+IFERROR(IF(Z450="",0,Z450),"0")</f>
        <v>0.1898</v>
      </c>
      <c r="AA451" s="67"/>
      <c r="AB451" s="67"/>
      <c r="AC451" s="67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90</v>
      </c>
      <c r="Y452" s="43">
        <f>IFERROR(SUM(Y448:Y450),"0")</f>
        <v>90</v>
      </c>
      <c r="Z452" s="42"/>
      <c r="AA452" s="67"/>
      <c r="AB452" s="67"/>
      <c r="AC452" s="67"/>
    </row>
    <row r="453" spans="1:68" ht="14.25" hidden="1" customHeight="1" x14ac:dyDescent="0.25">
      <c r="A453" s="665" t="s">
        <v>178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hidden="1" customHeight="1" x14ac:dyDescent="0.25">
      <c r="A454" s="63" t="s">
        <v>744</v>
      </c>
      <c r="B454" s="63" t="s">
        <v>745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747</v>
      </c>
      <c r="B455" s="63" t="s">
        <v>748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672" t="s">
        <v>750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hidden="1" customHeight="1" x14ac:dyDescent="0.25">
      <c r="A459" s="665" t="s">
        <v>122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hidden="1" customHeight="1" x14ac:dyDescent="0.25">
      <c r="A460" s="63" t="s">
        <v>751</v>
      </c>
      <c r="B460" s="63" t="s">
        <v>752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754</v>
      </c>
      <c r="B461" s="63" t="s">
        <v>755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5" t="s">
        <v>77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hidden="1" customHeight="1" x14ac:dyDescent="0.25">
      <c r="A465" s="63" t="s">
        <v>756</v>
      </c>
      <c r="B465" s="63" t="s">
        <v>757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65" t="s">
        <v>86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hidden="1" customHeight="1" x14ac:dyDescent="0.25">
      <c r="A469" s="63" t="s">
        <v>759</v>
      </c>
      <c r="B469" s="63" t="s">
        <v>760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762</v>
      </c>
      <c r="B470" s="63" t="s">
        <v>763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764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683" t="s">
        <v>766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hidden="1" customHeight="1" x14ac:dyDescent="0.25">
      <c r="A475" s="672" t="s">
        <v>767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hidden="1" customHeight="1" x14ac:dyDescent="0.25">
      <c r="A476" s="665" t="s">
        <v>77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hidden="1" customHeight="1" x14ac:dyDescent="0.25">
      <c r="A477" s="63" t="s">
        <v>768</v>
      </c>
      <c r="B477" s="63" t="s">
        <v>769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73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0</v>
      </c>
      <c r="BN477" s="78">
        <f t="shared" ref="BN477:BN482" si="75">IFERROR(Y477*I477/H477,"0")</f>
        <v>0</v>
      </c>
      <c r="BO477" s="78">
        <f t="shared" ref="BO477:BO482" si="76">IFERROR(1/J477*(X477/H477),"0")</f>
        <v>0</v>
      </c>
      <c r="BP477" s="78">
        <f t="shared" ref="BP477:BP482" si="77">IFERROR(1/J477*(Y477/H477),"0")</f>
        <v>0</v>
      </c>
    </row>
    <row r="478" spans="1:68" ht="27" hidden="1" customHeight="1" x14ac:dyDescent="0.25">
      <c r="A478" s="63" t="s">
        <v>771</v>
      </c>
      <c r="B478" s="63" t="s">
        <v>772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hidden="1" customHeight="1" x14ac:dyDescent="0.25">
      <c r="A482" s="63" t="s">
        <v>782</v>
      </c>
      <c r="B482" s="63" t="s">
        <v>783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665" t="s">
        <v>86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hidden="1" customHeight="1" x14ac:dyDescent="0.25">
      <c r="A486" s="63" t="s">
        <v>784</v>
      </c>
      <c r="B486" s="63" t="s">
        <v>785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787</v>
      </c>
      <c r="B487" s="63" t="s">
        <v>788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672" t="s">
        <v>790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hidden="1" customHeight="1" x14ac:dyDescent="0.25">
      <c r="A491" s="665" t="s">
        <v>159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hidden="1" customHeight="1" x14ac:dyDescent="0.25">
      <c r="A492" s="63" t="s">
        <v>791</v>
      </c>
      <c r="B492" s="63" t="s">
        <v>792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65" t="s">
        <v>77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hidden="1" customHeight="1" x14ac:dyDescent="0.25">
      <c r="A496" s="63" t="s">
        <v>794</v>
      </c>
      <c r="B496" s="63" t="s">
        <v>795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797</v>
      </c>
      <c r="B497" s="63" t="s">
        <v>798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683" t="s">
        <v>802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hidden="1" customHeight="1" x14ac:dyDescent="0.25">
      <c r="A502" s="672" t="s">
        <v>802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hidden="1" customHeight="1" x14ac:dyDescent="0.25">
      <c r="A503" s="665" t="s">
        <v>122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hidden="1" customHeight="1" x14ac:dyDescent="0.25">
      <c r="A504" s="63" t="s">
        <v>803</v>
      </c>
      <c r="B504" s="63" t="s">
        <v>804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hidden="1" customHeight="1" x14ac:dyDescent="0.25">
      <c r="A505" s="63" t="s">
        <v>805</v>
      </c>
      <c r="B505" s="63" t="s">
        <v>806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808</v>
      </c>
      <c r="B506" s="63" t="s">
        <v>809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105.6</v>
      </c>
      <c r="Y507" s="55">
        <f t="shared" si="78"/>
        <v>105.60000000000001</v>
      </c>
      <c r="Z507" s="41">
        <f t="shared" si="79"/>
        <v>0.2392</v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112.59999999999998</v>
      </c>
      <c r="BN507" s="78">
        <f t="shared" si="81"/>
        <v>112.6</v>
      </c>
      <c r="BO507" s="78">
        <f t="shared" si="82"/>
        <v>0.19230769230769229</v>
      </c>
      <c r="BP507" s="78">
        <f t="shared" si="83"/>
        <v>0.19230769230769232</v>
      </c>
    </row>
    <row r="508" spans="1:68" ht="16.5" hidden="1" customHeight="1" x14ac:dyDescent="0.25">
      <c r="A508" s="63" t="s">
        <v>814</v>
      </c>
      <c r="B508" s="63" t="s">
        <v>815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817</v>
      </c>
      <c r="B509" s="63" t="s">
        <v>818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52.8</v>
      </c>
      <c r="Y509" s="55">
        <f t="shared" si="78"/>
        <v>52.800000000000004</v>
      </c>
      <c r="Z509" s="41">
        <f t="shared" si="79"/>
        <v>0.1196</v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56.29999999999999</v>
      </c>
      <c r="BN509" s="78">
        <f t="shared" si="81"/>
        <v>56.3</v>
      </c>
      <c r="BO509" s="78">
        <f t="shared" si="82"/>
        <v>9.6153846153846145E-2</v>
      </c>
      <c r="BP509" s="78">
        <f t="shared" si="83"/>
        <v>9.6153846153846159E-2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29.999999999999993</v>
      </c>
      <c r="Y513" s="43">
        <f>IFERROR(Y504/H504,"0")+IFERROR(Y505/H505,"0")+IFERROR(Y506/H506,"0")+IFERROR(Y507/H507,"0")+IFERROR(Y508/H508,"0")+IFERROR(Y509/H509,"0")+IFERROR(Y510/H510,"0")+IFERROR(Y511/H511,"0")+IFERROR(Y512/H512,"0")</f>
        <v>30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0.35880000000000001</v>
      </c>
      <c r="AA513" s="67"/>
      <c r="AB513" s="67"/>
      <c r="AC513" s="67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158.39999999999998</v>
      </c>
      <c r="Y514" s="43">
        <f>IFERROR(SUM(Y504:Y512),"0")</f>
        <v>158.4</v>
      </c>
      <c r="Z514" s="42"/>
      <c r="AA514" s="67"/>
      <c r="AB514" s="67"/>
      <c r="AC514" s="67"/>
    </row>
    <row r="515" spans="1:68" ht="14.25" hidden="1" customHeight="1" x14ac:dyDescent="0.25">
      <c r="A515" s="665" t="s">
        <v>159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105.6</v>
      </c>
      <c r="Y516" s="55">
        <f>IFERROR(IF(X516="",0,CEILING((X516/$H516),1)*$H516),"")</f>
        <v>105.60000000000001</v>
      </c>
      <c r="Z516" s="41">
        <f>IFERROR(IF(Y516=0,"",ROUNDUP(Y516/H516,0)*0.01196),"")</f>
        <v>0.2392</v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112.59999999999998</v>
      </c>
      <c r="BN516" s="78">
        <f>IFERROR(Y516*I516/H516,"0")</f>
        <v>112.6</v>
      </c>
      <c r="BO516" s="78">
        <f>IFERROR(1/J516*(X516/H516),"0")</f>
        <v>0.19230769230769229</v>
      </c>
      <c r="BP516" s="78">
        <f>IFERROR(1/J516*(Y516/H516),"0")</f>
        <v>0.19230769230769232</v>
      </c>
    </row>
    <row r="517" spans="1:68" ht="16.5" hidden="1" customHeight="1" x14ac:dyDescent="0.25">
      <c r="A517" s="63" t="s">
        <v>829</v>
      </c>
      <c r="B517" s="63" t="s">
        <v>830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831</v>
      </c>
      <c r="B518" s="63" t="s">
        <v>832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19.999999999999996</v>
      </c>
      <c r="Y519" s="43">
        <f>IFERROR(Y516/H516,"0")+IFERROR(Y517/H517,"0")+IFERROR(Y518/H518,"0")</f>
        <v>20</v>
      </c>
      <c r="Z519" s="43">
        <f>IFERROR(IF(Z516="",0,Z516),"0")+IFERROR(IF(Z517="",0,Z517),"0")+IFERROR(IF(Z518="",0,Z518),"0")</f>
        <v>0.2392</v>
      </c>
      <c r="AA519" s="67"/>
      <c r="AB519" s="67"/>
      <c r="AC519" s="67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105.6</v>
      </c>
      <c r="Y520" s="43">
        <f>IFERROR(SUM(Y516:Y518),"0")</f>
        <v>105.60000000000001</v>
      </c>
      <c r="Z520" s="42"/>
      <c r="AA520" s="67"/>
      <c r="AB520" s="67"/>
      <c r="AC520" s="67"/>
    </row>
    <row r="521" spans="1:68" ht="14.25" hidden="1" customHeight="1" x14ac:dyDescent="0.25">
      <c r="A521" s="665" t="s">
        <v>77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hidden="1" customHeight="1" x14ac:dyDescent="0.25">
      <c r="A522" s="63" t="s">
        <v>833</v>
      </c>
      <c r="B522" s="63" t="s">
        <v>834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84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0</v>
      </c>
      <c r="BN522" s="78">
        <f t="shared" ref="BN522:BN528" si="86">IFERROR(Y522*I522/H522,"0")</f>
        <v>0</v>
      </c>
      <c r="BO522" s="78">
        <f t="shared" ref="BO522:BO528" si="87">IFERROR(1/J522*(X522/H522),"0")</f>
        <v>0</v>
      </c>
      <c r="BP522" s="78">
        <f t="shared" ref="BP522:BP528" si="88">IFERROR(1/J522*(Y522/H522),"0")</f>
        <v>0</v>
      </c>
    </row>
    <row r="523" spans="1:68" ht="27" customHeight="1" x14ac:dyDescent="0.25">
      <c r="A523" s="63" t="s">
        <v>836</v>
      </c>
      <c r="B523" s="63" t="s">
        <v>837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52.8</v>
      </c>
      <c r="Y523" s="55">
        <f t="shared" si="84"/>
        <v>52.800000000000004</v>
      </c>
      <c r="Z523" s="41">
        <f>IFERROR(IF(Y523=0,"",ROUNDUP(Y523/H523,0)*0.01196),"")</f>
        <v>0.1196</v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56.29999999999999</v>
      </c>
      <c r="BN523" s="78">
        <f t="shared" si="86"/>
        <v>56.3</v>
      </c>
      <c r="BO523" s="78">
        <f t="shared" si="87"/>
        <v>9.6153846153846145E-2</v>
      </c>
      <c r="BP523" s="78">
        <f t="shared" si="88"/>
        <v>9.6153846153846159E-2</v>
      </c>
    </row>
    <row r="524" spans="1:68" ht="27" customHeight="1" x14ac:dyDescent="0.25">
      <c r="A524" s="63" t="s">
        <v>839</v>
      </c>
      <c r="B524" s="63" t="s">
        <v>840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52.8</v>
      </c>
      <c r="Y524" s="55">
        <f t="shared" si="84"/>
        <v>52.800000000000004</v>
      </c>
      <c r="Z524" s="41">
        <f>IFERROR(IF(Y524=0,"",ROUNDUP(Y524/H524,0)*0.01196),"")</f>
        <v>0.1196</v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56.29999999999999</v>
      </c>
      <c r="BN524" s="78">
        <f t="shared" si="86"/>
        <v>56.3</v>
      </c>
      <c r="BO524" s="78">
        <f t="shared" si="87"/>
        <v>9.6153846153846145E-2</v>
      </c>
      <c r="BP524" s="78">
        <f t="shared" si="88"/>
        <v>9.6153846153846159E-2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844</v>
      </c>
      <c r="B527" s="63" t="s">
        <v>846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19.999999999999996</v>
      </c>
      <c r="Y529" s="43">
        <f>IFERROR(Y522/H522,"0")+IFERROR(Y523/H523,"0")+IFERROR(Y524/H524,"0")+IFERROR(Y525/H525,"0")+IFERROR(Y526/H526,"0")+IFERROR(Y527/H527,"0")+IFERROR(Y528/H528,"0")</f>
        <v>20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0.2392</v>
      </c>
      <c r="AA529" s="67"/>
      <c r="AB529" s="67"/>
      <c r="AC529" s="67"/>
    </row>
    <row r="530" spans="1:68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105.6</v>
      </c>
      <c r="Y530" s="43">
        <f>IFERROR(SUM(Y522:Y528),"0")</f>
        <v>105.60000000000001</v>
      </c>
      <c r="Z530" s="42"/>
      <c r="AA530" s="67"/>
      <c r="AB530" s="67"/>
      <c r="AC530" s="67"/>
    </row>
    <row r="531" spans="1:68" ht="27.75" hidden="1" customHeight="1" x14ac:dyDescent="0.2">
      <c r="A531" s="683" t="s">
        <v>849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hidden="1" customHeight="1" x14ac:dyDescent="0.25">
      <c r="A532" s="672" t="s">
        <v>849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hidden="1" customHeight="1" x14ac:dyDescent="0.25">
      <c r="A533" s="665" t="s">
        <v>122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hidden="1" customHeight="1" x14ac:dyDescent="0.25">
      <c r="A534" s="63" t="s">
        <v>850</v>
      </c>
      <c r="B534" s="63" t="s">
        <v>851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5" t="s">
        <v>159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hidden="1" customHeight="1" x14ac:dyDescent="0.25">
      <c r="A538" s="63" t="s">
        <v>853</v>
      </c>
      <c r="B538" s="63" t="s">
        <v>854</v>
      </c>
      <c r="C538" s="36">
        <v>4301020444</v>
      </c>
      <c r="D538" s="666">
        <v>4680115889781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5" t="s">
        <v>77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customHeight="1" x14ac:dyDescent="0.25">
      <c r="A542" s="63" t="s">
        <v>855</v>
      </c>
      <c r="B542" s="63" t="s">
        <v>856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63</v>
      </c>
      <c r="Y542" s="55">
        <f>IFERROR(IF(X542="",0,CEILING((X542/$H542),1)*$H542),"")</f>
        <v>63</v>
      </c>
      <c r="Z542" s="41">
        <f>IFERROR(IF(Y542=0,"",ROUNDUP(Y542/H542,0)*0.00902),"")</f>
        <v>0.1353</v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66.75</v>
      </c>
      <c r="BN542" s="78">
        <f>IFERROR(Y542*I542/H542,"0")</f>
        <v>66.75</v>
      </c>
      <c r="BO542" s="78">
        <f>IFERROR(1/J542*(X542/H542),"0")</f>
        <v>0.11363636363636365</v>
      </c>
      <c r="BP542" s="78">
        <f>IFERROR(1/J542*(Y542/H542),"0")</f>
        <v>0.11363636363636365</v>
      </c>
    </row>
    <row r="543" spans="1:68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15</v>
      </c>
      <c r="Y543" s="43">
        <f>IFERROR(Y542/H542,"0")</f>
        <v>15</v>
      </c>
      <c r="Z543" s="43">
        <f>IFERROR(IF(Z542="",0,Z542),"0")</f>
        <v>0.1353</v>
      </c>
      <c r="AA543" s="67"/>
      <c r="AB543" s="67"/>
      <c r="AC543" s="67"/>
    </row>
    <row r="544" spans="1:68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63</v>
      </c>
      <c r="Y544" s="43">
        <f>IFERROR(SUM(Y542:Y542),"0")</f>
        <v>63</v>
      </c>
      <c r="Z544" s="42"/>
      <c r="AA544" s="67"/>
      <c r="AB544" s="67"/>
      <c r="AC544" s="67"/>
    </row>
    <row r="545" spans="1:68" ht="14.25" hidden="1" customHeight="1" x14ac:dyDescent="0.25">
      <c r="A545" s="665" t="s">
        <v>86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hidden="1" customHeight="1" x14ac:dyDescent="0.25">
      <c r="A546" s="63" t="s">
        <v>858</v>
      </c>
      <c r="B546" s="63" t="s">
        <v>859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65" t="s">
        <v>178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hidden="1" customHeight="1" x14ac:dyDescent="0.25">
      <c r="A550" s="63" t="s">
        <v>861</v>
      </c>
      <c r="B550" s="63" t="s">
        <v>862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864</v>
      </c>
      <c r="B551" s="63" t="s">
        <v>865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672" t="s">
        <v>867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hidden="1" customHeight="1" x14ac:dyDescent="0.25">
      <c r="A555" s="665" t="s">
        <v>159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hidden="1" customHeight="1" x14ac:dyDescent="0.25">
      <c r="A556" s="63" t="s">
        <v>868</v>
      </c>
      <c r="B556" s="63" t="s">
        <v>869</v>
      </c>
      <c r="C556" s="36">
        <v>4301020441</v>
      </c>
      <c r="D556" s="666">
        <v>4680115889798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5968.1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5968.1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6248.2140000000018</v>
      </c>
      <c r="Y560" s="43">
        <f>IFERROR(SUM(BN22:BN556),"0")</f>
        <v>6248.2140000000018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10</v>
      </c>
      <c r="Y561" s="44">
        <f>ROUNDUP(SUM(BP22:BP556),0)</f>
        <v>10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6498.2140000000018</v>
      </c>
      <c r="Y562" s="43">
        <f>GrossWeightTotalR+PalletQtyTotalR*25</f>
        <v>6498.2140000000018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678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678</v>
      </c>
      <c r="Z563" s="42"/>
      <c r="AA563" s="67"/>
      <c r="AB563" s="67"/>
      <c r="AC563" s="67"/>
    </row>
    <row r="564" spans="1:32" ht="14.25" hidden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11.510360000000002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652" t="s">
        <v>120</v>
      </c>
      <c r="E566" s="652" t="s">
        <v>120</v>
      </c>
      <c r="F566" s="652" t="s">
        <v>120</v>
      </c>
      <c r="G566" s="652" t="s">
        <v>120</v>
      </c>
      <c r="H566" s="652" t="s">
        <v>120</v>
      </c>
      <c r="I566" s="652" t="s">
        <v>120</v>
      </c>
      <c r="J566" s="652" t="s">
        <v>120</v>
      </c>
      <c r="K566" s="652" t="s">
        <v>345</v>
      </c>
      <c r="L566" s="652" t="s">
        <v>345</v>
      </c>
      <c r="M566" s="652" t="s">
        <v>345</v>
      </c>
      <c r="N566" s="662"/>
      <c r="O566" s="652" t="s">
        <v>345</v>
      </c>
      <c r="P566" s="652" t="s">
        <v>345</v>
      </c>
      <c r="Q566" s="652" t="s">
        <v>345</v>
      </c>
      <c r="R566" s="652" t="s">
        <v>345</v>
      </c>
      <c r="S566" s="652" t="s">
        <v>345</v>
      </c>
      <c r="T566" s="652" t="s">
        <v>345</v>
      </c>
      <c r="U566" s="652" t="s">
        <v>345</v>
      </c>
      <c r="V566" s="652" t="s">
        <v>345</v>
      </c>
      <c r="W566" s="652" t="s">
        <v>700</v>
      </c>
      <c r="X566" s="652" t="s">
        <v>700</v>
      </c>
      <c r="Y566" s="652" t="s">
        <v>766</v>
      </c>
      <c r="Z566" s="652" t="s">
        <v>766</v>
      </c>
      <c r="AA566" s="85" t="s">
        <v>802</v>
      </c>
      <c r="AB566" s="652" t="s">
        <v>849</v>
      </c>
      <c r="AC566" s="652" t="s">
        <v>849</v>
      </c>
      <c r="AF566" s="1"/>
    </row>
    <row r="567" spans="1:32" ht="14.25" customHeight="1" thickTop="1" x14ac:dyDescent="0.2">
      <c r="A567" s="663" t="s">
        <v>10</v>
      </c>
      <c r="B567" s="652" t="s">
        <v>76</v>
      </c>
      <c r="C567" s="652" t="s">
        <v>104</v>
      </c>
      <c r="D567" s="652" t="s">
        <v>121</v>
      </c>
      <c r="E567" s="652" t="s">
        <v>137</v>
      </c>
      <c r="F567" s="652" t="s">
        <v>186</v>
      </c>
      <c r="G567" s="652" t="s">
        <v>209</v>
      </c>
      <c r="H567" s="652" t="s">
        <v>249</v>
      </c>
      <c r="I567" s="652" t="s">
        <v>262</v>
      </c>
      <c r="J567" s="652" t="s">
        <v>120</v>
      </c>
      <c r="K567" s="652" t="s">
        <v>346</v>
      </c>
      <c r="L567" s="652" t="s">
        <v>367</v>
      </c>
      <c r="M567" s="652" t="s">
        <v>441</v>
      </c>
      <c r="N567" s="1"/>
      <c r="O567" s="652" t="s">
        <v>509</v>
      </c>
      <c r="P567" s="652" t="s">
        <v>538</v>
      </c>
      <c r="Q567" s="652" t="s">
        <v>558</v>
      </c>
      <c r="R567" s="652" t="s">
        <v>567</v>
      </c>
      <c r="S567" s="652" t="s">
        <v>588</v>
      </c>
      <c r="T567" s="652" t="s">
        <v>597</v>
      </c>
      <c r="U567" s="652" t="s">
        <v>683</v>
      </c>
      <c r="V567" s="652" t="s">
        <v>690</v>
      </c>
      <c r="W567" s="652" t="s">
        <v>701</v>
      </c>
      <c r="X567" s="652" t="s">
        <v>750</v>
      </c>
      <c r="Y567" s="652" t="s">
        <v>767</v>
      </c>
      <c r="Z567" s="652" t="s">
        <v>790</v>
      </c>
      <c r="AA567" s="652" t="s">
        <v>802</v>
      </c>
      <c r="AB567" s="652" t="s">
        <v>849</v>
      </c>
      <c r="AC567" s="652" t="s">
        <v>867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148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175</v>
      </c>
      <c r="F569" s="52">
        <f>IFERROR(Y87*1,"0")+IFERROR(Y88*1,"0")+IFERROR(Y89*1,"0")+IFERROR(Y90*1,"0")+IFERROR(Y91*1,"0")+IFERROR(Y95*1,"0")+IFERROR(Y96*1,"0")+IFERROR(Y97*1,"0")+IFERROR(Y98*1,"0")</f>
        <v>54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81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35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0</v>
      </c>
      <c r="P569" s="52">
        <f>IFERROR(Y326*1,"0")+IFERROR(Y327*1,"0")+IFERROR(Y328*1,"0")+IFERROR(Y329*1,"0")+IFERROR(Y330*1,"0")+IFERROR(Y331*1,"0")</f>
        <v>108</v>
      </c>
      <c r="Q569" s="52">
        <f>IFERROR(Y336*1,"0")+IFERROR(Y337*1,"0")+IFERROR(Y338*1,"0")</f>
        <v>0</v>
      </c>
      <c r="R569" s="52">
        <f>IFERROR(Y343*1,"0")+IFERROR(Y344*1,"0")+IFERROR(Y345*1,"0")+IFERROR(Y346*1,"0")+IFERROR(Y347*1,"0")+IFERROR(Y351*1,"0")+IFERROR(Y352*1,"0")</f>
        <v>0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2578.3000000000002</v>
      </c>
      <c r="U569" s="52">
        <f>IFERROR(Y417*1,"0")+IFERROR(Y418*1,"0")</f>
        <v>0</v>
      </c>
      <c r="V569" s="52">
        <f>IFERROR(Y423*1,"0")+IFERROR(Y424*1,"0")+IFERROR(Y425*1,"0")</f>
        <v>106.19999999999999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2250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369.6</v>
      </c>
      <c r="AB569" s="52">
        <f>IFERROR(Y534*1,"0")+IFERROR(Y538*1,"0")+IFERROR(Y542*1,"0")+IFERROR(Y546*1,"0")+IFERROR(Y550*1,"0")+IFERROR(Y551*1,"0")</f>
        <v>63</v>
      </c>
      <c r="AC569" s="52">
        <f>IFERROR(Y556*1,"0")</f>
        <v>0</v>
      </c>
      <c r="AF569" s="1"/>
    </row>
  </sheetData>
  <sheetProtection algorithmName="SHA-512" hashValue="9H4ee0pe2hgw9vvsUX3V7UwM4kMsSGSkQ50Hdveh79JCO3x5Isi1ObxNiypX6AtXenR4PfJXlZyq9mabBZdgaQ==" saltValue="DMFzXd+U3OgliGtvA65iAw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 497,60"/>
        <filter val="1 515,60"/>
        <filter val="10"/>
        <filter val="10,00"/>
        <filter val="10,50"/>
        <filter val="105,60"/>
        <filter val="106,20"/>
        <filter val="108,00"/>
        <filter val="12,60"/>
        <filter val="135,00"/>
        <filter val="136,50"/>
        <filter val="148,00"/>
        <filter val="15,00"/>
        <filter val="158,40"/>
        <filter val="18,00"/>
        <filter val="195,00"/>
        <filter val="198,00"/>
        <filter val="20,00"/>
        <filter val="22,00"/>
        <filter val="25,00"/>
        <filter val="27,00"/>
        <filter val="30,00"/>
        <filter val="35,00"/>
        <filter val="40,00"/>
        <filter val="42,00"/>
        <filter val="48,00"/>
        <filter val="5 968,10"/>
        <filter val="5,00"/>
        <filter val="52,80"/>
        <filter val="54,00"/>
        <filter val="6 248,21"/>
        <filter val="6 498,21"/>
        <filter val="63,00"/>
        <filter val="678,00"/>
        <filter val="691,20"/>
        <filter val="720,00"/>
        <filter val="731,20"/>
        <filter val="74,00"/>
        <filter val="81,00"/>
        <filter val="84,00"/>
        <filter val="90,00"/>
        <filter val="96,0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10" spans="2:8" x14ac:dyDescent="0.2">
      <c r="B10" s="53" t="s">
        <v>883</v>
      </c>
      <c r="C10" s="53" t="s">
        <v>875</v>
      </c>
      <c r="D10" s="53" t="s">
        <v>46</v>
      </c>
      <c r="E10" s="53" t="s">
        <v>46</v>
      </c>
    </row>
    <row r="12" spans="2:8" x14ac:dyDescent="0.2">
      <c r="B12" s="53" t="s">
        <v>884</v>
      </c>
      <c r="C12" s="53" t="s">
        <v>878</v>
      </c>
      <c r="D12" s="53" t="s">
        <v>46</v>
      </c>
      <c r="E12" s="53" t="s">
        <v>46</v>
      </c>
    </row>
    <row r="14" spans="2:8" x14ac:dyDescent="0.2">
      <c r="B14" s="53" t="s">
        <v>885</v>
      </c>
      <c r="C14" s="53" t="s">
        <v>881</v>
      </c>
      <c r="D14" s="53" t="s">
        <v>46</v>
      </c>
      <c r="E14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896</v>
      </c>
      <c r="C26" s="53" t="s">
        <v>46</v>
      </c>
      <c r="D26" s="53" t="s">
        <v>46</v>
      </c>
      <c r="E26" s="53" t="s">
        <v>46</v>
      </c>
    </row>
  </sheetData>
  <sheetProtection algorithmName="SHA-512" hashValue="uVVx4/mOXuPS4gvK6/YMgHjAqX8FHp0b/3ViHHfn5jOk+oy1DRVrN6flxy90RZshuaT8fwKR0mKOwoxkO0b8gw==" saltValue="5gMZ5p5ZCyTDpJz6FjzmV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2026-09-30T06:59:00Z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