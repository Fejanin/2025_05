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3\Desktop\"/>
    </mc:Choice>
  </mc:AlternateContent>
  <xr:revisionPtr revIDLastSave="0" documentId="8_{7BB5BE17-BBA2-47A1-8173-3CFE91F9E18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Z457" i="2"/>
  <c r="Z458" i="2" s="1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P424" i="2"/>
  <c r="BP423" i="2"/>
  <c r="BO423" i="2"/>
  <c r="BN423" i="2"/>
  <c r="BM423" i="2"/>
  <c r="Z423" i="2"/>
  <c r="Y423" i="2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Y412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P391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Z367" i="2"/>
  <c r="Y367" i="2"/>
  <c r="BP367" i="2" s="1"/>
  <c r="P367" i="2"/>
  <c r="BO366" i="2"/>
  <c r="BM366" i="2"/>
  <c r="Y366" i="2"/>
  <c r="BN366" i="2" s="1"/>
  <c r="P366" i="2"/>
  <c r="BO365" i="2"/>
  <c r="BM365" i="2"/>
  <c r="Z365" i="2"/>
  <c r="Y365" i="2"/>
  <c r="P365" i="2"/>
  <c r="BO364" i="2"/>
  <c r="BM364" i="2"/>
  <c r="Y364" i="2"/>
  <c r="Z364" i="2" s="1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P343" i="2"/>
  <c r="BP342" i="2"/>
  <c r="BO342" i="2"/>
  <c r="BN342" i="2"/>
  <c r="BM342" i="2"/>
  <c r="Z342" i="2"/>
  <c r="Y342" i="2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Z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BP303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X267" i="2"/>
  <c r="X266" i="2"/>
  <c r="BO265" i="2"/>
  <c r="BM265" i="2"/>
  <c r="Z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Z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P230" i="2"/>
  <c r="BO230" i="2"/>
  <c r="BN230" i="2"/>
  <c r="BM230" i="2"/>
  <c r="Z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Z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Z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Y93" i="2" s="1"/>
  <c r="P89" i="2"/>
  <c r="BP88" i="2"/>
  <c r="BO88" i="2"/>
  <c r="BN88" i="2"/>
  <c r="BM88" i="2"/>
  <c r="Z88" i="2"/>
  <c r="Y88" i="2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P53" i="2"/>
  <c r="BO53" i="2"/>
  <c r="BN53" i="2"/>
  <c r="BM53" i="2"/>
  <c r="Z53" i="2"/>
  <c r="Y53" i="2"/>
  <c r="P53" i="2"/>
  <c r="BO52" i="2"/>
  <c r="BM52" i="2"/>
  <c r="Y52" i="2"/>
  <c r="Z52" i="2" s="1"/>
  <c r="P52" i="2"/>
  <c r="BO51" i="2"/>
  <c r="BM51" i="2"/>
  <c r="Y51" i="2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Y204" i="2" l="1"/>
  <c r="Y203" i="2"/>
  <c r="Y331" i="2"/>
  <c r="Z41" i="2"/>
  <c r="BN41" i="2"/>
  <c r="D561" i="2"/>
  <c r="Z62" i="2"/>
  <c r="Z91" i="2"/>
  <c r="Z116" i="2"/>
  <c r="Z135" i="2"/>
  <c r="Z181" i="2"/>
  <c r="Z232" i="2"/>
  <c r="Z282" i="2"/>
  <c r="Z306" i="2"/>
  <c r="Z346" i="2"/>
  <c r="Y370" i="2"/>
  <c r="Z366" i="2"/>
  <c r="Z377" i="2"/>
  <c r="Z415" i="2"/>
  <c r="Z428" i="2"/>
  <c r="W561" i="2"/>
  <c r="Z469" i="2"/>
  <c r="Z28" i="2"/>
  <c r="BN29" i="2"/>
  <c r="Z64" i="2"/>
  <c r="BN64" i="2"/>
  <c r="BN65" i="2"/>
  <c r="Z72" i="2"/>
  <c r="BN77" i="2"/>
  <c r="Z83" i="2"/>
  <c r="Z84" i="2" s="1"/>
  <c r="Y85" i="2"/>
  <c r="BP90" i="2"/>
  <c r="Z95" i="2"/>
  <c r="BP98" i="2"/>
  <c r="H561" i="2"/>
  <c r="BP132" i="2"/>
  <c r="Z139" i="2"/>
  <c r="BN140" i="2"/>
  <c r="Z141" i="2"/>
  <c r="Z142" i="2"/>
  <c r="BN142" i="2"/>
  <c r="Y143" i="2"/>
  <c r="Z149" i="2"/>
  <c r="BN156" i="2"/>
  <c r="Z161" i="2"/>
  <c r="Z162" i="2" s="1"/>
  <c r="Y163" i="2"/>
  <c r="Z178" i="2"/>
  <c r="Z184" i="2"/>
  <c r="Z198" i="2"/>
  <c r="BN202" i="2"/>
  <c r="Z208" i="2"/>
  <c r="Z211" i="2"/>
  <c r="BN211" i="2"/>
  <c r="Z225" i="2"/>
  <c r="Z226" i="2"/>
  <c r="BP234" i="2"/>
  <c r="BN235" i="2"/>
  <c r="Z240" i="2"/>
  <c r="BP244" i="2"/>
  <c r="Z249" i="2"/>
  <c r="BN260" i="2"/>
  <c r="Z275" i="2"/>
  <c r="Z283" i="2"/>
  <c r="BN290" i="2"/>
  <c r="Z304" i="2"/>
  <c r="Z307" i="2"/>
  <c r="BN307" i="2"/>
  <c r="Z311" i="2"/>
  <c r="Z312" i="2" s="1"/>
  <c r="Z329" i="2"/>
  <c r="Z330" i="2"/>
  <c r="Z337" i="2"/>
  <c r="Z344" i="2"/>
  <c r="Z347" i="2" s="1"/>
  <c r="BN344" i="2"/>
  <c r="Z363" i="2"/>
  <c r="Y369" i="2"/>
  <c r="BP365" i="2"/>
  <c r="BP366" i="2"/>
  <c r="Z383" i="2"/>
  <c r="BN383" i="2"/>
  <c r="BN384" i="2"/>
  <c r="BP441" i="2"/>
  <c r="BN453" i="2"/>
  <c r="Y531" i="2"/>
  <c r="BN30" i="2"/>
  <c r="BN52" i="2"/>
  <c r="BN54" i="2"/>
  <c r="BP83" i="2"/>
  <c r="BN121" i="2"/>
  <c r="BP141" i="2"/>
  <c r="BP161" i="2"/>
  <c r="BP225" i="2"/>
  <c r="BP226" i="2"/>
  <c r="BN231" i="2"/>
  <c r="BP240" i="2"/>
  <c r="BN241" i="2"/>
  <c r="BN264" i="2"/>
  <c r="BP283" i="2"/>
  <c r="BN284" i="2"/>
  <c r="BP304" i="2"/>
  <c r="BN305" i="2"/>
  <c r="BP329" i="2"/>
  <c r="BP363" i="2"/>
  <c r="BN364" i="2"/>
  <c r="BN375" i="2"/>
  <c r="Y387" i="2"/>
  <c r="BP385" i="2"/>
  <c r="BN396" i="2"/>
  <c r="Z427" i="2"/>
  <c r="BP428" i="2"/>
  <c r="BN429" i="2"/>
  <c r="Z441" i="2"/>
  <c r="BP457" i="2"/>
  <c r="Z478" i="2"/>
  <c r="BN478" i="2"/>
  <c r="BN479" i="2"/>
  <c r="BP484" i="2"/>
  <c r="BN489" i="2"/>
  <c r="Z503" i="2"/>
  <c r="BN503" i="2"/>
  <c r="BN504" i="2"/>
  <c r="Z538" i="2"/>
  <c r="Z539" i="2" s="1"/>
  <c r="BN515" i="2"/>
  <c r="Z501" i="2"/>
  <c r="BP501" i="2"/>
  <c r="BN470" i="2"/>
  <c r="Z434" i="2"/>
  <c r="BP434" i="2"/>
  <c r="Y437" i="2"/>
  <c r="Z425" i="2"/>
  <c r="BP426" i="2"/>
  <c r="Z416" i="2"/>
  <c r="BP416" i="2"/>
  <c r="BN417" i="2"/>
  <c r="Z409" i="2"/>
  <c r="BP408" i="2"/>
  <c r="Z408" i="2"/>
  <c r="Z411" i="2" s="1"/>
  <c r="Z372" i="2"/>
  <c r="Z327" i="2"/>
  <c r="BP327" i="2"/>
  <c r="BN328" i="2"/>
  <c r="Z295" i="2"/>
  <c r="BN295" i="2"/>
  <c r="Y298" i="2"/>
  <c r="Z272" i="2"/>
  <c r="Z273" i="2"/>
  <c r="BN273" i="2"/>
  <c r="Z269" i="2"/>
  <c r="BN269" i="2"/>
  <c r="BP187" i="2"/>
  <c r="Z187" i="2"/>
  <c r="Z185" i="2"/>
  <c r="BN185" i="2"/>
  <c r="BN120" i="2"/>
  <c r="X555" i="2"/>
  <c r="Z51" i="2"/>
  <c r="Y55" i="2"/>
  <c r="Y47" i="2"/>
  <c r="BN42" i="2"/>
  <c r="Z166" i="2"/>
  <c r="BN166" i="2"/>
  <c r="Y170" i="2"/>
  <c r="Y37" i="2"/>
  <c r="BP209" i="2"/>
  <c r="Z209" i="2"/>
  <c r="BN250" i="2"/>
  <c r="BP250" i="2"/>
  <c r="Z250" i="2"/>
  <c r="B561" i="2"/>
  <c r="X551" i="2"/>
  <c r="Y32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Z99" i="2" s="1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Z331" i="2" s="1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Z41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Z454" i="2" s="1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379" i="2" l="1"/>
  <c r="Z322" i="2"/>
  <c r="Z369" i="2"/>
  <c r="Z386" i="2"/>
  <c r="Z480" i="2"/>
  <c r="Z143" i="2"/>
  <c r="Z431" i="2"/>
  <c r="Z338" i="2"/>
  <c r="Z277" i="2"/>
  <c r="Z251" i="2"/>
  <c r="Z297" i="2"/>
  <c r="Z136" i="2"/>
  <c r="Z199" i="2"/>
  <c r="Z437" i="2"/>
  <c r="Z292" i="2"/>
  <c r="X554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Z464" i="2"/>
  <c r="Y554" i="2" l="1"/>
  <c r="Z556" i="2"/>
</calcChain>
</file>

<file path=xl/sharedStrings.xml><?xml version="1.0" encoding="utf-8"?>
<sst xmlns="http://schemas.openxmlformats.org/spreadsheetml/2006/main" count="4201" uniqueCount="895">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</sst>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topLeftCell="A454" zoomScaleNormal="100" zoomScaleSheetLayoutView="100" workbookViewId="0">
      <selection activeCell="Y42" sqref="Y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/>
      <c r="I5" s="643"/>
      <c r="J5" s="643"/>
      <c r="K5" s="643"/>
      <c r="L5" s="643"/>
      <c r="M5" s="643"/>
      <c r="N5" s="72"/>
      <c r="P5" s="27" t="s">
        <v>4</v>
      </c>
      <c r="Q5" s="645">
        <v>46233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1.92</v>
      </c>
      <c r="Y42" s="55">
        <f>IFERROR(IF(X42="",0,CEILING((X42/$H42),1)*$H42),"")</f>
        <v>1.92</v>
      </c>
      <c r="Z42" s="41">
        <f>IFERROR(IF(Y42=0,"",ROUNDUP(Y42/H42,0)*0.00651),"")</f>
        <v>6.5100000000000002E-3</v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2.1</v>
      </c>
      <c r="BN42" s="78">
        <f>IFERROR(Y42*I42/H42,"0")</f>
        <v>2.1</v>
      </c>
      <c r="BO42" s="78">
        <f>IFERROR(1/J42*(X42/H42),"0")</f>
        <v>5.4945054945054949E-3</v>
      </c>
      <c r="BP42" s="78">
        <f>IFERROR(1/J42*(Y42/H42),"0")</f>
        <v>5.4945054945054949E-3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1</v>
      </c>
      <c r="Y46" s="43">
        <f>IFERROR(Y41/H41,"0")+IFERROR(Y42/H42,"0")+IFERROR(Y43/H43,"0")+IFERROR(Y44/H44,"0")+IFERROR(Y45/H45,"0")</f>
        <v>1</v>
      </c>
      <c r="Z46" s="43">
        <f>IFERROR(IF(Z41="",0,Z41),"0")+IFERROR(IF(Z42="",0,Z42),"0")+IFERROR(IF(Z43="",0,Z43),"0")+IFERROR(IF(Z44="",0,Z44),"0")+IFERROR(IF(Z45="",0,Z45),"0")</f>
        <v>6.5100000000000002E-3</v>
      </c>
      <c r="AA46" s="67"/>
      <c r="AB46" s="67"/>
      <c r="AC46" s="67"/>
    </row>
    <row r="47" spans="1:68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1.92</v>
      </c>
      <c r="Y47" s="43">
        <f>IFERROR(SUM(Y41:Y45),"0")</f>
        <v>1.92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50</v>
      </c>
      <c r="Y51" s="55">
        <f>IFERROR(IF(X51="",0,CEILING((X51/$H51),1)*$H51),"")</f>
        <v>54</v>
      </c>
      <c r="Z51" s="41">
        <f>IFERROR(IF(Y51=0,"",ROUNDUP(Y51/H51,0)*0.01898),"")</f>
        <v>9.4899999999999998E-2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51.898148148148145</v>
      </c>
      <c r="BN51" s="78">
        <f>IFERROR(Y51*I51/H51,"0")</f>
        <v>56.05</v>
      </c>
      <c r="BO51" s="78">
        <f>IFERROR(1/J51*(X51/H51),"0")</f>
        <v>7.2337962962962965E-2</v>
      </c>
      <c r="BP51" s="78">
        <f>IFERROR(1/J51*(Y51/H51),"0")</f>
        <v>7.8125E-2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4.6296296296296298</v>
      </c>
      <c r="Y55" s="43">
        <f>IFERROR(Y51/H51,"0")+IFERROR(Y52/H52,"0")+IFERROR(Y53/H53,"0")+IFERROR(Y54/H54,"0")</f>
        <v>5</v>
      </c>
      <c r="Z55" s="43">
        <f>IFERROR(IF(Z51="",0,Z51),"0")+IFERROR(IF(Z52="",0,Z52),"0")+IFERROR(IF(Z53="",0,Z53),"0")+IFERROR(IF(Z54="",0,Z54),"0")</f>
        <v>9.4899999999999998E-2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50</v>
      </c>
      <c r="Y56" s="43">
        <f>IFERROR(SUM(Y51:Y54),"0")</f>
        <v>54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67.5</v>
      </c>
      <c r="Y66" s="55">
        <f t="shared" si="0"/>
        <v>67.5</v>
      </c>
      <c r="Z66" s="41">
        <f>IFERROR(IF(Y66=0,"",ROUNDUP(Y66/H66,0)*0.00902),"")</f>
        <v>0.1353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70.350000000000009</v>
      </c>
      <c r="BN66" s="78">
        <f t="shared" si="2"/>
        <v>70.350000000000009</v>
      </c>
      <c r="BO66" s="78">
        <f t="shared" si="3"/>
        <v>0.11363636363636365</v>
      </c>
      <c r="BP66" s="78">
        <f t="shared" si="4"/>
        <v>0.11363636363636365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15</v>
      </c>
      <c r="Y67" s="43">
        <f>IFERROR(Y59/H59,"0")+IFERROR(Y60/H60,"0")+IFERROR(Y61/H61,"0")+IFERROR(Y62/H62,"0")+IFERROR(Y63/H63,"0")+IFERROR(Y64/H64,"0")+IFERROR(Y65/H65,"0")+IFERROR(Y66/H66,"0")</f>
        <v>15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0.1353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67.5</v>
      </c>
      <c r="Y68" s="43">
        <f>IFERROR(SUM(Y59:Y66),"0")</f>
        <v>67.5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50</v>
      </c>
      <c r="Y70" s="55">
        <f>IFERROR(IF(X70="",0,CEILING((X70/$H70),1)*$H70),"")</f>
        <v>54</v>
      </c>
      <c r="Z70" s="41">
        <f>IFERROR(IF(Y70=0,"",ROUNDUP(Y70/H70,0)*0.01898),"")</f>
        <v>9.4899999999999998E-2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51.898148148148145</v>
      </c>
      <c r="BN70" s="78">
        <f>IFERROR(Y70*I70/H70,"0")</f>
        <v>56.05</v>
      </c>
      <c r="BO70" s="78">
        <f>IFERROR(1/J70*(X70/H70),"0")</f>
        <v>7.2337962962962965E-2</v>
      </c>
      <c r="BP70" s="78">
        <f>IFERROR(1/J70*(Y70/H70),"0")</f>
        <v>7.8125E-2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4.6296296296296298</v>
      </c>
      <c r="Y74" s="43">
        <f>IFERROR(Y70/H70,"0")+IFERROR(Y71/H71,"0")+IFERROR(Y72/H72,"0")+IFERROR(Y73/H73,"0")</f>
        <v>5</v>
      </c>
      <c r="Z74" s="43">
        <f>IFERROR(IF(Z70="",0,Z70),"0")+IFERROR(IF(Z71="",0,Z71),"0")+IFERROR(IF(Z72="",0,Z72),"0")+IFERROR(IF(Z73="",0,Z73),"0")</f>
        <v>9.4899999999999998E-2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50</v>
      </c>
      <c r="Y75" s="43">
        <f>IFERROR(SUM(Y70:Y73),"0")</f>
        <v>54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16</v>
      </c>
      <c r="Y95" s="55">
        <f>IFERROR(IF(X95="",0,CEILING((X95/$H95),1)*$H95),"")</f>
        <v>16.2</v>
      </c>
      <c r="Z95" s="41">
        <f>IFERROR(IF(Y95=0,"",ROUNDUP(Y95/H95,0)*0.01898),"")</f>
        <v>3.7960000000000001E-2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16.975802469135804</v>
      </c>
      <c r="BN95" s="78">
        <f>IFERROR(Y95*I95/H95,"0")</f>
        <v>17.187999999999999</v>
      </c>
      <c r="BO95" s="78">
        <f>IFERROR(1/J95*(X95/H95),"0")</f>
        <v>3.0864197530864199E-2</v>
      </c>
      <c r="BP95" s="78">
        <f>IFERROR(1/J95*(Y95/H95),"0")</f>
        <v>3.125E-2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1.9753086419753088</v>
      </c>
      <c r="Y99" s="43">
        <f>IFERROR(Y95/H95,"0")+IFERROR(Y96/H96,"0")+IFERROR(Y97/H97,"0")+IFERROR(Y98/H98,"0")</f>
        <v>2</v>
      </c>
      <c r="Z99" s="43">
        <f>IFERROR(IF(Z95="",0,Z95),"0")+IFERROR(IF(Z96="",0,Z96),"0")+IFERROR(IF(Z97="",0,Z97),"0")+IFERROR(IF(Z98="",0,Z98),"0")</f>
        <v>3.7960000000000001E-2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16</v>
      </c>
      <c r="Y100" s="43">
        <f>IFERROR(SUM(Y95:Y98),"0")</f>
        <v>16.2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20</v>
      </c>
      <c r="Y103" s="55">
        <f t="shared" ref="Y103:Y108" si="5">IFERROR(IF(X103="",0,CEILING((X103/$H103),1)*$H103),"")</f>
        <v>21.6</v>
      </c>
      <c r="Z103" s="41">
        <f>IFERROR(IF(Y103=0,"",ROUNDUP(Y103/H103,0)*0.01898),"")</f>
        <v>3.7960000000000001E-2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20.75925925925926</v>
      </c>
      <c r="BN103" s="78">
        <f t="shared" ref="BN103:BN108" si="7">IFERROR(Y103*I103/H103,"0")</f>
        <v>22.42</v>
      </c>
      <c r="BO103" s="78">
        <f t="shared" ref="BO103:BO108" si="8">IFERROR(1/J103*(X103/H103),"0")</f>
        <v>2.8935185185185182E-2</v>
      </c>
      <c r="BP103" s="78">
        <f t="shared" ref="BP103:BP108" si="9">IFERROR(1/J103*(Y103/H103),"0")</f>
        <v>3.125E-2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1.8518518518518516</v>
      </c>
      <c r="Y109" s="43">
        <f>IFERROR(Y103/H103,"0")+IFERROR(Y104/H104,"0")+IFERROR(Y105/H105,"0")+IFERROR(Y106/H106,"0")+IFERROR(Y107/H107,"0")+IFERROR(Y108/H108,"0")</f>
        <v>2</v>
      </c>
      <c r="Z109" s="43">
        <f>IFERROR(IF(Z103="",0,Z103),"0")+IFERROR(IF(Z104="",0,Z104),"0")+IFERROR(IF(Z105="",0,Z105),"0")+IFERROR(IF(Z106="",0,Z106),"0")+IFERROR(IF(Z107="",0,Z107),"0")+IFERROR(IF(Z108="",0,Z108),"0")</f>
        <v>3.7960000000000001E-2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20</v>
      </c>
      <c r="Y110" s="43">
        <f>IFERROR(SUM(Y103:Y108),"0")</f>
        <v>21.6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100</v>
      </c>
      <c r="Y120" s="55">
        <f>IFERROR(IF(X120="",0,CEILING((X120/$H120),1)*$H120),"")</f>
        <v>105.3</v>
      </c>
      <c r="Z120" s="41">
        <f>IFERROR(IF(Y120=0,"",ROUNDUP(Y120/H120,0)*0.01898),"")</f>
        <v>0.24674000000000001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106.0246913580247</v>
      </c>
      <c r="BN120" s="78">
        <f>IFERROR(Y120*I120/H120,"0")</f>
        <v>111.64399999999999</v>
      </c>
      <c r="BO120" s="78">
        <f>IFERROR(1/J120*(X120/H120),"0")</f>
        <v>0.19290123456790123</v>
      </c>
      <c r="BP120" s="78">
        <f>IFERROR(1/J120*(Y120/H120),"0")</f>
        <v>0.203125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5.4</v>
      </c>
      <c r="Y122" s="55">
        <f>IFERROR(IF(X122="",0,CEILING((X122/$H122),1)*$H122),"")</f>
        <v>5.4</v>
      </c>
      <c r="Z122" s="41">
        <f>IFERROR(IF(Y122=0,"",ROUNDUP(Y122/H122,0)*0.00651),"")</f>
        <v>1.302E-2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5.9039999999999999</v>
      </c>
      <c r="BN122" s="78">
        <f>IFERROR(Y122*I122/H122,"0")</f>
        <v>5.9039999999999999</v>
      </c>
      <c r="BO122" s="78">
        <f>IFERROR(1/J122*(X122/H122),"0")</f>
        <v>1.098901098901099E-2</v>
      </c>
      <c r="BP122" s="78">
        <f>IFERROR(1/J122*(Y122/H122),"0")</f>
        <v>1.098901098901099E-2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14.345679012345679</v>
      </c>
      <c r="Y124" s="43">
        <f>IFERROR(Y120/H120,"0")+IFERROR(Y121/H121,"0")+IFERROR(Y122/H122,"0")+IFERROR(Y123/H123,"0")</f>
        <v>15</v>
      </c>
      <c r="Z124" s="43">
        <f>IFERROR(IF(Z120="",0,Z120),"0")+IFERROR(IF(Z121="",0,Z121),"0")+IFERROR(IF(Z122="",0,Z122),"0")+IFERROR(IF(Z123="",0,Z123),"0")</f>
        <v>0.25975999999999999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105.4</v>
      </c>
      <c r="Y125" s="43">
        <f>IFERROR(SUM(Y120:Y123),"0")</f>
        <v>110.7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12.9</v>
      </c>
      <c r="Y166" s="55">
        <f>IFERROR(IF(X166="",0,CEILING((X166/$H166),1)*$H166),"")</f>
        <v>12.9</v>
      </c>
      <c r="Z166" s="41">
        <f>IFERROR(IF(Y166=0,"",ROUNDUP(Y166/H166,0)*0.00651),"")</f>
        <v>3.2550000000000003E-2</v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13.799999999999999</v>
      </c>
      <c r="BN166" s="78">
        <f>IFERROR(Y166*I166/H166,"0")</f>
        <v>13.799999999999999</v>
      </c>
      <c r="BO166" s="78">
        <f>IFERROR(1/J166*(X166/H166),"0")</f>
        <v>2.7472527472527476E-2</v>
      </c>
      <c r="BP166" s="78">
        <f>IFERROR(1/J166*(Y166/H166),"0")</f>
        <v>2.7472527472527476E-2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5</v>
      </c>
      <c r="Y169" s="43">
        <f>IFERROR(Y166/H166,"0")+IFERROR(Y167/H167,"0")+IFERROR(Y168/H168,"0")</f>
        <v>5</v>
      </c>
      <c r="Z169" s="43">
        <f>IFERROR(IF(Z166="",0,Z166),"0")+IFERROR(IF(Z167="",0,Z167),"0")+IFERROR(IF(Z168="",0,Z168),"0")</f>
        <v>3.2550000000000003E-2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12.9</v>
      </c>
      <c r="Y170" s="43">
        <f>IFERROR(SUM(Y166:Y168),"0")</f>
        <v>12.9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20</v>
      </c>
      <c r="Y177" s="55">
        <f t="shared" ref="Y177:Y187" si="10">IFERROR(IF(X177="",0,CEILING((X177/$H177),1)*$H177),"")</f>
        <v>21</v>
      </c>
      <c r="Z177" s="41">
        <f>IFERROR(IF(Y177=0,"",ROUNDUP(Y177/H177,0)*0.00902),"")</f>
        <v>5.4120000000000001E-2</v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21.085714285714285</v>
      </c>
      <c r="BN177" s="78">
        <f t="shared" ref="BN177:BN187" si="12">IFERROR(Y177*I177/H177,"0")</f>
        <v>22.139999999999997</v>
      </c>
      <c r="BO177" s="78">
        <f t="shared" ref="BO177:BO187" si="13">IFERROR(1/J177*(X177/H177),"0")</f>
        <v>4.3290043290043295E-2</v>
      </c>
      <c r="BP177" s="78">
        <f t="shared" ref="BP177:BP187" si="14">IFERROR(1/J177*(Y177/H177),"0")</f>
        <v>4.5454545454545456E-2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/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/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50</v>
      </c>
      <c r="Y180" s="55">
        <f t="shared" si="10"/>
        <v>52.5</v>
      </c>
      <c r="Z180" s="41">
        <f>IFERROR(IF(Y180=0,"",ROUNDUP(Y180/H180,0)*0.00902),"")</f>
        <v>0.1353</v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52.714285714285715</v>
      </c>
      <c r="BN180" s="78">
        <f t="shared" si="12"/>
        <v>55.35</v>
      </c>
      <c r="BO180" s="78">
        <f t="shared" si="13"/>
        <v>0.10822510822510824</v>
      </c>
      <c r="BP180" s="78">
        <f t="shared" si="14"/>
        <v>0.11363636363636365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/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11.76</v>
      </c>
      <c r="Y185" s="55">
        <f t="shared" si="10"/>
        <v>11.76</v>
      </c>
      <c r="Z185" s="41">
        <f>IFERROR(IF(Y185=0,"",ROUNDUP(Y185/H185,0)*0.00502),"")</f>
        <v>3.5140000000000005E-2</v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12.46</v>
      </c>
      <c r="BN185" s="78">
        <f t="shared" si="12"/>
        <v>12.46</v>
      </c>
      <c r="BO185" s="78">
        <f t="shared" si="13"/>
        <v>2.9914529914529919E-2</v>
      </c>
      <c r="BP185" s="78">
        <f t="shared" si="14"/>
        <v>2.9914529914529919E-2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11.76</v>
      </c>
      <c r="Y187" s="55">
        <f t="shared" si="10"/>
        <v>11.76</v>
      </c>
      <c r="Z187" s="41">
        <f>IFERROR(IF(Y187=0,"",ROUNDUP(Y187/H187,0)*0.00502),"")</f>
        <v>3.5140000000000005E-2</v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12.46</v>
      </c>
      <c r="BN187" s="78">
        <f t="shared" si="12"/>
        <v>12.46</v>
      </c>
      <c r="BO187" s="78">
        <f t="shared" si="13"/>
        <v>2.9914529914529919E-2</v>
      </c>
      <c r="BP187" s="78">
        <f t="shared" si="14"/>
        <v>2.9914529914529919E-2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34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35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0.25970000000000004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93.52000000000001</v>
      </c>
      <c r="Y189" s="43">
        <f>IFERROR(SUM(Y177:Y187),"0")</f>
        <v>97.02000000000001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50</v>
      </c>
      <c r="Y269" s="55">
        <f t="shared" ref="Y269:Y276" si="27">IFERROR(IF(X269="",0,CEILING((X269/$H269),1)*$H269),"")</f>
        <v>54</v>
      </c>
      <c r="Z269" s="41">
        <f>IFERROR(IF(Y269=0,"",ROUNDUP(Y269/H269,0)*0.00902),"")</f>
        <v>9.0200000000000002E-2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51.759259259259252</v>
      </c>
      <c r="BN269" s="78">
        <f t="shared" ref="BN269:BN276" si="29">IFERROR(Y269*I269/H269,"0")</f>
        <v>55.9</v>
      </c>
      <c r="BO269" s="78">
        <f t="shared" ref="BO269:BO276" si="30">IFERROR(1/J269*(X269/H269),"0")</f>
        <v>7.0145903479236812E-2</v>
      </c>
      <c r="BP269" s="78">
        <f t="shared" ref="BP269:BP276" si="31">IFERROR(1/J269*(Y269/H269),"0")</f>
        <v>7.575757575757576E-2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/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30</v>
      </c>
      <c r="Y271" s="55">
        <f t="shared" si="27"/>
        <v>32.400000000000006</v>
      </c>
      <c r="Z271" s="41">
        <f>IFERROR(IF(Y271=0,"",ROUNDUP(Y271/H271,0)*0.00902),"")</f>
        <v>5.4120000000000001E-2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31.05555555555555</v>
      </c>
      <c r="BN271" s="78">
        <f t="shared" si="29"/>
        <v>33.54</v>
      </c>
      <c r="BO271" s="78">
        <f t="shared" si="30"/>
        <v>4.208754208754209E-2</v>
      </c>
      <c r="BP271" s="78">
        <f t="shared" si="31"/>
        <v>4.5454545454545463E-2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50</v>
      </c>
      <c r="Y272" s="55">
        <f t="shared" si="27"/>
        <v>54</v>
      </c>
      <c r="Z272" s="41">
        <f>IFERROR(IF(Y272=0,"",ROUNDUP(Y272/H272,0)*0.00902),"")</f>
        <v>9.0200000000000002E-2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51.759259259259252</v>
      </c>
      <c r="BN272" s="78">
        <f t="shared" si="29"/>
        <v>55.9</v>
      </c>
      <c r="BO272" s="78">
        <f t="shared" si="30"/>
        <v>7.0145903479236812E-2</v>
      </c>
      <c r="BP272" s="78">
        <f t="shared" si="31"/>
        <v>7.575757575757576E-2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5.4</v>
      </c>
      <c r="Y273" s="55">
        <f t="shared" si="27"/>
        <v>5.4</v>
      </c>
      <c r="Z273" s="41">
        <f>IFERROR(IF(Y273=0,"",ROUNDUP(Y273/H273,0)*0.00502),"")</f>
        <v>1.506E-2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5.79</v>
      </c>
      <c r="BN273" s="78">
        <f t="shared" si="29"/>
        <v>5.79</v>
      </c>
      <c r="BO273" s="78">
        <f t="shared" si="30"/>
        <v>1.2820512820512822E-2</v>
      </c>
      <c r="BP273" s="78">
        <f t="shared" si="31"/>
        <v>1.2820512820512822E-2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27.074074074074076</v>
      </c>
      <c r="Y277" s="43">
        <f>IFERROR(Y269/H269,"0")+IFERROR(Y270/H270,"0")+IFERROR(Y271/H271,"0")+IFERROR(Y272/H272,"0")+IFERROR(Y273/H273,"0")+IFERROR(Y274/H274,"0")+IFERROR(Y275/H275,"0")+IFERROR(Y276/H276,"0")</f>
        <v>29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0.24958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135.4</v>
      </c>
      <c r="Y278" s="43">
        <f>IFERROR(SUM(Y269:Y276),"0")</f>
        <v>145.80000000000001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8</v>
      </c>
      <c r="Y280" s="55">
        <f t="shared" ref="Y280:Y291" si="32">IFERROR(IF(X280="",0,CEILING((X280/$H280),1)*$H280),"")</f>
        <v>8.1</v>
      </c>
      <c r="Z280" s="41">
        <f>IFERROR(IF(Y280=0,"",ROUNDUP(Y280/H280,0)*0.01898),"")</f>
        <v>1.898E-2</v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8.4879012345679019</v>
      </c>
      <c r="BN280" s="78">
        <f t="shared" ref="BN280:BN291" si="34">IFERROR(Y280*I280/H280,"0")</f>
        <v>8.5939999999999994</v>
      </c>
      <c r="BO280" s="78">
        <f t="shared" ref="BO280:BO291" si="35">IFERROR(1/J280*(X280/H280),"0")</f>
        <v>1.54320987654321E-2</v>
      </c>
      <c r="BP280" s="78">
        <f t="shared" ref="BP280:BP291" si="36">IFERROR(1/J280*(Y280/H280),"0")</f>
        <v>1.5625E-2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16</v>
      </c>
      <c r="Y281" s="55">
        <f t="shared" si="32"/>
        <v>16.2</v>
      </c>
      <c r="Z281" s="41">
        <f>IFERROR(IF(Y281=0,"",ROUNDUP(Y281/H281,0)*0.01898),"")</f>
        <v>3.7960000000000001E-2</v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16.94024691358025</v>
      </c>
      <c r="BN281" s="78">
        <f t="shared" si="34"/>
        <v>17.152000000000001</v>
      </c>
      <c r="BO281" s="78">
        <f t="shared" si="35"/>
        <v>3.0864197530864199E-2</v>
      </c>
      <c r="BP281" s="78">
        <f t="shared" si="36"/>
        <v>3.125E-2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4.8</v>
      </c>
      <c r="Y286" s="55">
        <f t="shared" si="32"/>
        <v>4.8</v>
      </c>
      <c r="Z286" s="41">
        <f>IFERROR(IF(Y286=0,"",ROUNDUP(Y286/H286,0)*0.00651),"")</f>
        <v>1.302E-2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5.3040000000000003</v>
      </c>
      <c r="BN286" s="78">
        <f t="shared" si="34"/>
        <v>5.3040000000000003</v>
      </c>
      <c r="BO286" s="78">
        <f t="shared" si="35"/>
        <v>1.098901098901099E-2</v>
      </c>
      <c r="BP286" s="78">
        <f t="shared" si="36"/>
        <v>1.098901098901099E-2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4.9629629629629637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5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6.9960000000000008E-2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28.8</v>
      </c>
      <c r="Y293" s="43">
        <f>IFERROR(SUM(Y280:Y291),"0")</f>
        <v>29.099999999999998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/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50</v>
      </c>
      <c r="Y327" s="55">
        <f>IFERROR(IF(X327="",0,CEILING((X327/$H327),1)*$H327),"")</f>
        <v>54</v>
      </c>
      <c r="Z327" s="41">
        <f>IFERROR(IF(Y327=0,"",ROUNDUP(Y327/H327,0)*0.01898),"")</f>
        <v>9.4899999999999998E-2</v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51.898148148148145</v>
      </c>
      <c r="BN327" s="78">
        <f>IFERROR(Y327*I327/H327,"0")</f>
        <v>56.05</v>
      </c>
      <c r="BO327" s="78">
        <f>IFERROR(1/J327*(X327/H327),"0")</f>
        <v>7.2337962962962965E-2</v>
      </c>
      <c r="BP327" s="78">
        <f>IFERROR(1/J327*(Y327/H327),"0")</f>
        <v>7.8125E-2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10</v>
      </c>
      <c r="Y328" s="55">
        <f>IFERROR(IF(X328="",0,CEILING((X328/$H328),1)*$H328),"")</f>
        <v>10.8</v>
      </c>
      <c r="Z328" s="41">
        <f>IFERROR(IF(Y328=0,"",ROUNDUP(Y328/H328,0)*0.01898),"")</f>
        <v>1.898E-2</v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10.37962962962963</v>
      </c>
      <c r="BN328" s="78">
        <f>IFERROR(Y328*I328/H328,"0")</f>
        <v>11.21</v>
      </c>
      <c r="BO328" s="78">
        <f>IFERROR(1/J328*(X328/H328),"0")</f>
        <v>1.4467592592592591E-2</v>
      </c>
      <c r="BP328" s="78">
        <f>IFERROR(1/J328*(Y328/H328),"0")</f>
        <v>1.5625E-2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5.5555555555555554</v>
      </c>
      <c r="Y331" s="43">
        <f>IFERROR(Y326/H326,"0")+IFERROR(Y327/H327,"0")+IFERROR(Y328/H328,"0")+IFERROR(Y329/H329,"0")+IFERROR(Y330/H330,"0")</f>
        <v>6</v>
      </c>
      <c r="Z331" s="43">
        <f>IFERROR(IF(Z326="",0,Z326),"0")+IFERROR(IF(Z327="",0,Z327),"0")+IFERROR(IF(Z328="",0,Z328),"0")+IFERROR(IF(Z329="",0,Z329),"0")+IFERROR(IF(Z330="",0,Z330),"0")</f>
        <v>0.11388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60</v>
      </c>
      <c r="Y332" s="43">
        <f>IFERROR(SUM(Y326:Y330),"0")</f>
        <v>64.8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40</v>
      </c>
      <c r="Y357" s="55">
        <f>IFERROR(IF(X357="",0,CEILING((X357/$H357),1)*$H357),"")</f>
        <v>46.8</v>
      </c>
      <c r="Z357" s="41">
        <f>IFERROR(IF(Y357=0,"",ROUNDUP(Y357/H357,0)*0.01898),"")</f>
        <v>0.11388000000000001</v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42.102564102564109</v>
      </c>
      <c r="BN357" s="78">
        <f>IFERROR(Y357*I357/H357,"0")</f>
        <v>49.260000000000005</v>
      </c>
      <c r="BO357" s="78">
        <f>IFERROR(1/J357*(X357/H357),"0")</f>
        <v>8.0128205128205135E-2</v>
      </c>
      <c r="BP357" s="78">
        <f>IFERROR(1/J357*(Y357/H357),"0")</f>
        <v>9.375E-2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40</v>
      </c>
      <c r="Y358" s="55">
        <f>IFERROR(IF(X358="",0,CEILING((X358/$H358),1)*$H358),"")</f>
        <v>46.8</v>
      </c>
      <c r="Z358" s="41">
        <f>IFERROR(IF(Y358=0,"",ROUNDUP(Y358/H358,0)*0.01898),"")</f>
        <v>0.11388000000000001</v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42.102564102564109</v>
      </c>
      <c r="BN358" s="78">
        <f>IFERROR(Y358*I358/H358,"0")</f>
        <v>49.260000000000005</v>
      </c>
      <c r="BO358" s="78">
        <f>IFERROR(1/J358*(X358/H358),"0")</f>
        <v>8.0128205128205135E-2</v>
      </c>
      <c r="BP358" s="78">
        <f>IFERROR(1/J358*(Y358/H358),"0")</f>
        <v>9.375E-2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10.256410256410257</v>
      </c>
      <c r="Y359" s="43">
        <f>IFERROR(Y356/H356,"0")+IFERROR(Y357/H357,"0")+IFERROR(Y358/H358,"0")</f>
        <v>12</v>
      </c>
      <c r="Z359" s="43">
        <f>IFERROR(IF(Z356="",0,Z356),"0")+IFERROR(IF(Z357="",0,Z357),"0")+IFERROR(IF(Z358="",0,Z358),"0")</f>
        <v>0.22776000000000002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80</v>
      </c>
      <c r="Y360" s="43">
        <f>IFERROR(SUM(Y356:Y358),"0")</f>
        <v>93.6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30</v>
      </c>
      <c r="Y372" s="55">
        <f t="shared" ref="Y372:Y378" si="47">IFERROR(IF(X372="",0,CEILING((X372/$H372),1)*$H372),"")</f>
        <v>33.6</v>
      </c>
      <c r="Z372" s="41">
        <f>IFERROR(IF(Y372=0,"",ROUNDUP(Y372/H372,0)*0.00902),"")</f>
        <v>7.2160000000000002E-2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31.785714285714285</v>
      </c>
      <c r="BN372" s="78">
        <f t="shared" ref="BN372:BN378" si="49">IFERROR(Y372*I372/H372,"0")</f>
        <v>35.6</v>
      </c>
      <c r="BO372" s="78">
        <f t="shared" ref="BO372:BO378" si="50">IFERROR(1/J372*(X372/H372),"0")</f>
        <v>5.4112554112554112E-2</v>
      </c>
      <c r="BP372" s="78">
        <f t="shared" ref="BP372:BP378" si="51">IFERROR(1/J372*(Y372/H372),"0")</f>
        <v>6.0606060606060608E-2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7.1428571428571423</v>
      </c>
      <c r="Y379" s="43">
        <f>IFERROR(Y372/H372,"0")+IFERROR(Y373/H373,"0")+IFERROR(Y374/H374,"0")+IFERROR(Y375/H375,"0")+IFERROR(Y376/H376,"0")+IFERROR(Y377/H377,"0")+IFERROR(Y378/H378,"0")</f>
        <v>8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7.2160000000000002E-2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30</v>
      </c>
      <c r="Y380" s="43">
        <f>IFERROR(SUM(Y372:Y378),"0")</f>
        <v>33.6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100</v>
      </c>
      <c r="Y390" s="55">
        <f>IFERROR(IF(X390="",0,CEILING((X390/$H390),1)*$H390),"")</f>
        <v>101.39999999999999</v>
      </c>
      <c r="Z390" s="41">
        <f>IFERROR(IF(Y390=0,"",ROUNDUP(Y390/H390,0)*0.01898),"")</f>
        <v>0.24674000000000001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106.33333333333334</v>
      </c>
      <c r="BN390" s="78">
        <f>IFERROR(Y390*I390/H390,"0")</f>
        <v>107.82199999999999</v>
      </c>
      <c r="BO390" s="78">
        <f>IFERROR(1/J390*(X390/H390),"0")</f>
        <v>0.20032051282051283</v>
      </c>
      <c r="BP390" s="78">
        <f>IFERROR(1/J390*(Y390/H390),"0")</f>
        <v>0.203125</v>
      </c>
    </row>
    <row r="391" spans="1:68" ht="16.5" hidden="1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12.820512820512821</v>
      </c>
      <c r="Y392" s="43">
        <f>IFERROR(Y389/H389,"0")+IFERROR(Y390/H390,"0")+IFERROR(Y391/H391,"0")</f>
        <v>13</v>
      </c>
      <c r="Z392" s="43">
        <f>IFERROR(IF(Z389="",0,Z389),"0")+IFERROR(IF(Z390="",0,Z390),"0")+IFERROR(IF(Z391="",0,Z391),"0")</f>
        <v>0.24674000000000001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100</v>
      </c>
      <c r="Y393" s="43">
        <f>IFERROR(SUM(Y389:Y391),"0")</f>
        <v>101.39999999999999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6</v>
      </c>
      <c r="Y408" s="55">
        <f>IFERROR(IF(X408="",0,CEILING((X408/$H408),1)*$H408),"")</f>
        <v>6</v>
      </c>
      <c r="Z408" s="41">
        <f>IFERROR(IF(Y408=0,"",ROUNDUP(Y408/H408,0)*0.0045),"")</f>
        <v>8.9999999999999993E-3</v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6.44</v>
      </c>
      <c r="BN408" s="78">
        <f>IFERROR(Y408*I408/H408,"0")</f>
        <v>6.44</v>
      </c>
      <c r="BO408" s="78">
        <f>IFERROR(1/J408*(X408/H408),"0")</f>
        <v>8.9285714285714281E-3</v>
      </c>
      <c r="BP408" s="78">
        <f>IFERROR(1/J408*(Y408/H408),"0")</f>
        <v>8.9285714285714281E-3</v>
      </c>
    </row>
    <row r="409" spans="1:68" ht="27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3</v>
      </c>
      <c r="Y409" s="55">
        <f>IFERROR(IF(X409="",0,CEILING((X409/$H409),1)*$H409),"")</f>
        <v>3.9</v>
      </c>
      <c r="Z409" s="41">
        <f>IFERROR(IF(Y409=0,"",ROUNDUP(Y409/H409,0)*0.006),"")</f>
        <v>6.0000000000000001E-3</v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3.2076923076923078</v>
      </c>
      <c r="BN409" s="78">
        <f>IFERROR(Y409*I409/H409,"0")</f>
        <v>4.17</v>
      </c>
      <c r="BO409" s="78">
        <f>IFERROR(1/J409*(X409/H409),"0")</f>
        <v>5.341880341880342E-3</v>
      </c>
      <c r="BP409" s="78">
        <f>IFERROR(1/J409*(Y409/H409),"0")</f>
        <v>6.9444444444444441E-3</v>
      </c>
    </row>
    <row r="410" spans="1:68" ht="27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3</v>
      </c>
      <c r="Y410" s="55">
        <f>IFERROR(IF(X410="",0,CEILING((X410/$H410),1)*$H410),"")</f>
        <v>3</v>
      </c>
      <c r="Z410" s="41">
        <f>IFERROR(IF(Y410=0,"",ROUNDUP(Y410/H410,0)*0.0045),"")</f>
        <v>4.4999999999999997E-3</v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3.22</v>
      </c>
      <c r="BN410" s="78">
        <f>IFERROR(Y410*I410/H410,"0")</f>
        <v>3.22</v>
      </c>
      <c r="BO410" s="78">
        <f>IFERROR(1/J410*(X410/H410),"0")</f>
        <v>4.464285714285714E-3</v>
      </c>
      <c r="BP410" s="78">
        <f>IFERROR(1/J410*(Y410/H410),"0")</f>
        <v>4.464285714285714E-3</v>
      </c>
    </row>
    <row r="411" spans="1:68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3.7692307692307692</v>
      </c>
      <c r="Y411" s="43">
        <f>IFERROR(Y408/H408,"0")+IFERROR(Y409/H409,"0")+IFERROR(Y410/H410,"0")</f>
        <v>4</v>
      </c>
      <c r="Z411" s="43">
        <f>IFERROR(IF(Z408="",0,Z408),"0")+IFERROR(IF(Z409="",0,Z409),"0")+IFERROR(IF(Z410="",0,Z410),"0")</f>
        <v>1.95E-2</v>
      </c>
      <c r="AA411" s="67"/>
      <c r="AB411" s="67"/>
      <c r="AC411" s="67"/>
    </row>
    <row r="412" spans="1:68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12</v>
      </c>
      <c r="Y412" s="43">
        <f>IFERROR(SUM(Y408:Y410),"0")</f>
        <v>12.9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14.7</v>
      </c>
      <c r="Y416" s="55">
        <f>IFERROR(IF(X416="",0,CEILING((X416/$H416),1)*$H416),"")</f>
        <v>14.700000000000001</v>
      </c>
      <c r="Z416" s="41">
        <f>IFERROR(IF(Y416=0,"",ROUNDUP(Y416/H416,0)*0.00651),"")</f>
        <v>4.5569999999999999E-2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16.463999999999999</v>
      </c>
      <c r="BN416" s="78">
        <f>IFERROR(Y416*I416/H416,"0")</f>
        <v>16.463999999999999</v>
      </c>
      <c r="BO416" s="78">
        <f>IFERROR(1/J416*(X416/H416),"0")</f>
        <v>3.8461538461538457E-2</v>
      </c>
      <c r="BP416" s="78">
        <f>IFERROR(1/J416*(Y416/H416),"0")</f>
        <v>3.8461538461538464E-2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4.2</v>
      </c>
      <c r="Y417" s="55">
        <f>IFERROR(IF(X417="",0,CEILING((X417/$H417),1)*$H417),"")</f>
        <v>4.2</v>
      </c>
      <c r="Z417" s="41">
        <f>IFERROR(IF(Y417=0,"",ROUNDUP(Y417/H417,0)*0.00651),"")</f>
        <v>1.302E-2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4.68</v>
      </c>
      <c r="BN417" s="78">
        <f>IFERROR(Y417*I417/H417,"0")</f>
        <v>4.68</v>
      </c>
      <c r="BO417" s="78">
        <f>IFERROR(1/J417*(X417/H417),"0")</f>
        <v>1.098901098901099E-2</v>
      </c>
      <c r="BP417" s="78">
        <f>IFERROR(1/J417*(Y417/H417),"0")</f>
        <v>1.098901098901099E-2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9</v>
      </c>
      <c r="Y418" s="43">
        <f>IFERROR(Y415/H415,"0")+IFERROR(Y416/H416,"0")+IFERROR(Y417/H417,"0")</f>
        <v>9</v>
      </c>
      <c r="Z418" s="43">
        <f>IFERROR(IF(Z415="",0,Z415),"0")+IFERROR(IF(Z416="",0,Z416),"0")+IFERROR(IF(Z417="",0,Z417),"0")</f>
        <v>5.8590000000000003E-2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18.899999999999999</v>
      </c>
      <c r="Y419" s="43">
        <f>IFERROR(SUM(Y415:Y417),"0")</f>
        <v>18.900000000000002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/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150</v>
      </c>
      <c r="Y425" s="55">
        <f t="shared" si="52"/>
        <v>150</v>
      </c>
      <c r="Z425" s="41">
        <f>IFERROR(IF(Y425=0,"",ROUNDUP(Y425/H425,0)*0.02175),"")</f>
        <v>0.21749999999999997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154.69999999999999</v>
      </c>
      <c r="BN425" s="78">
        <f t="shared" si="54"/>
        <v>154.69999999999999</v>
      </c>
      <c r="BO425" s="78">
        <f t="shared" si="55"/>
        <v>0.20833333333333331</v>
      </c>
      <c r="BP425" s="78">
        <f t="shared" si="56"/>
        <v>0.20833333333333331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300</v>
      </c>
      <c r="Y426" s="55">
        <f t="shared" si="52"/>
        <v>300</v>
      </c>
      <c r="Z426" s="41">
        <f>IFERROR(IF(Y426=0,"",ROUNDUP(Y426/H426,0)*0.02175),"")</f>
        <v>0.43499999999999994</v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309.39999999999998</v>
      </c>
      <c r="BN426" s="78">
        <f t="shared" si="54"/>
        <v>309.39999999999998</v>
      </c>
      <c r="BO426" s="78">
        <f t="shared" si="55"/>
        <v>0.41666666666666663</v>
      </c>
      <c r="BP426" s="78">
        <f t="shared" si="56"/>
        <v>0.41666666666666663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30</v>
      </c>
      <c r="Y431" s="43">
        <f>IFERROR(Y423/H423,"0")+IFERROR(Y424/H424,"0")+IFERROR(Y425/H425,"0")+IFERROR(Y426/H426,"0")+IFERROR(Y427/H427,"0")+IFERROR(Y428/H428,"0")+IFERROR(Y429/H429,"0")+IFERROR(Y430/H430,"0")</f>
        <v>30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0.65249999999999986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450</v>
      </c>
      <c r="Y432" s="43">
        <f>IFERROR(SUM(Y423:Y430),"0")</f>
        <v>450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150</v>
      </c>
      <c r="Y434" s="55">
        <f>IFERROR(IF(X434="",0,CEILING((X434/$H434),1)*$H434),"")</f>
        <v>150</v>
      </c>
      <c r="Z434" s="41">
        <f>IFERROR(IF(Y434=0,"",ROUNDUP(Y434/H434,0)*0.02175),"")</f>
        <v>0.21749999999999997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154.69999999999999</v>
      </c>
      <c r="BN434" s="78">
        <f>IFERROR(Y434*I434/H434,"0")</f>
        <v>154.69999999999999</v>
      </c>
      <c r="BO434" s="78">
        <f>IFERROR(1/J434*(X434/H434),"0")</f>
        <v>0.20833333333333331</v>
      </c>
      <c r="BP434" s="78">
        <f>IFERROR(1/J434*(Y434/H434),"0")</f>
        <v>0.20833333333333331</v>
      </c>
    </row>
    <row r="435" spans="1:68" ht="27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15</v>
      </c>
      <c r="Y435" s="55">
        <f>IFERROR(IF(X435="",0,CEILING((X435/$H435),1)*$H435),"")</f>
        <v>15</v>
      </c>
      <c r="Z435" s="41">
        <f>IFERROR(IF(Y435=0,"",ROUNDUP(Y435/H435,0)*0.02175),"")</f>
        <v>2.1749999999999999E-2</v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15.47</v>
      </c>
      <c r="BN435" s="78">
        <f>IFERROR(Y435*I435/H435,"0")</f>
        <v>15.47</v>
      </c>
      <c r="BO435" s="78">
        <f>IFERROR(1/J435*(X435/H435),"0")</f>
        <v>2.0833333333333332E-2</v>
      </c>
      <c r="BP435" s="78">
        <f>IFERROR(1/J435*(Y435/H435),"0")</f>
        <v>2.0833333333333332E-2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11</v>
      </c>
      <c r="Y437" s="43">
        <f>IFERROR(Y434/H434,"0")+IFERROR(Y435/H435,"0")+IFERROR(Y436/H436,"0")</f>
        <v>11</v>
      </c>
      <c r="Z437" s="43">
        <f>IFERROR(IF(Z434="",0,Z434),"0")+IFERROR(IF(Z435="",0,Z435),"0")+IFERROR(IF(Z436="",0,Z436),"0")</f>
        <v>0.23924999999999996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165</v>
      </c>
      <c r="Y438" s="43">
        <f>IFERROR(SUM(Y434:Y436),"0")</f>
        <v>165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10</v>
      </c>
      <c r="Y452" s="55">
        <f>IFERROR(IF(X452="",0,CEILING((X452/$H452),1)*$H452),"")</f>
        <v>12</v>
      </c>
      <c r="Z452" s="41">
        <f>IFERROR(IF(Y452=0,"",ROUNDUP(Y452/H452,0)*0.01898),"")</f>
        <v>1.898E-2</v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10.341666666666667</v>
      </c>
      <c r="BN452" s="78">
        <f>IFERROR(Y452*I452/H452,"0")</f>
        <v>12.410000000000002</v>
      </c>
      <c r="BO452" s="78">
        <f>IFERROR(1/J452*(X452/H452),"0")</f>
        <v>1.3020833333333334E-2</v>
      </c>
      <c r="BP452" s="78">
        <f>IFERROR(1/J452*(Y452/H452),"0")</f>
        <v>1.5625E-2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0.83333333333333337</v>
      </c>
      <c r="Y454" s="43">
        <f>IFERROR(Y452/H452,"0")+IFERROR(Y453/H453,"0")</f>
        <v>1</v>
      </c>
      <c r="Z454" s="43">
        <f>IFERROR(IF(Z452="",0,Z452),"0")+IFERROR(IF(Z453="",0,Z453),"0")</f>
        <v>1.898E-2</v>
      </c>
      <c r="AA454" s="67"/>
      <c r="AB454" s="67"/>
      <c r="AC454" s="67"/>
    </row>
    <row r="455" spans="1:68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10</v>
      </c>
      <c r="Y455" s="43">
        <f>IFERROR(SUM(Y452:Y453),"0")</f>
        <v>12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/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30</v>
      </c>
      <c r="Y470" s="55">
        <f t="shared" si="57"/>
        <v>32.400000000000006</v>
      </c>
      <c r="Z470" s="41">
        <f>IFERROR(IF(Y470=0,"",ROUNDUP(Y470/H470,0)*0.00902),"")</f>
        <v>5.4120000000000001E-2</v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31.05555555555555</v>
      </c>
      <c r="BN470" s="78">
        <f t="shared" si="59"/>
        <v>33.54</v>
      </c>
      <c r="BO470" s="78">
        <f t="shared" si="60"/>
        <v>4.208754208754209E-2</v>
      </c>
      <c r="BP470" s="78">
        <f t="shared" si="61"/>
        <v>4.5454545454545463E-2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5.5555555555555554</v>
      </c>
      <c r="Y475" s="43">
        <f>IFERROR(Y469/H469,"0")+IFERROR(Y470/H470,"0")+IFERROR(Y471/H471,"0")+IFERROR(Y472/H472,"0")+IFERROR(Y473/H473,"0")+IFERROR(Y474/H474,"0")</f>
        <v>6.0000000000000009</v>
      </c>
      <c r="Z475" s="43">
        <f>IFERROR(IF(Z469="",0,Z469),"0")+IFERROR(IF(Z470="",0,Z470),"0")+IFERROR(IF(Z471="",0,Z471),"0")+IFERROR(IF(Z472="",0,Z472),"0")+IFERROR(IF(Z473="",0,Z473),"0")+IFERROR(IF(Z474="",0,Z474),"0")</f>
        <v>5.4120000000000001E-2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30</v>
      </c>
      <c r="Y476" s="43">
        <f>IFERROR(SUM(Y469:Y474),"0")</f>
        <v>32.400000000000006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30</v>
      </c>
      <c r="Y488" s="55">
        <f>IFERROR(IF(X488="",0,CEILING((X488/$H488),1)*$H488),"")</f>
        <v>32.400000000000006</v>
      </c>
      <c r="Z488" s="41">
        <f>IFERROR(IF(Y488=0,"",ROUNDUP(Y488/H488,0)*0.00902),"")</f>
        <v>5.4120000000000001E-2</v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31.05555555555555</v>
      </c>
      <c r="BN488" s="78">
        <f>IFERROR(Y488*I488/H488,"0")</f>
        <v>33.54</v>
      </c>
      <c r="BO488" s="78">
        <f>IFERROR(1/J488*(X488/H488),"0")</f>
        <v>4.208754208754209E-2</v>
      </c>
      <c r="BP488" s="78">
        <f>IFERROR(1/J488*(Y488/H488),"0")</f>
        <v>4.5454545454545463E-2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5.5555555555555554</v>
      </c>
      <c r="Y491" s="43">
        <f>IFERROR(Y488/H488,"0")+IFERROR(Y489/H489,"0")+IFERROR(Y490/H490,"0")</f>
        <v>6.0000000000000009</v>
      </c>
      <c r="Z491" s="43">
        <f>IFERROR(IF(Z488="",0,Z488),"0")+IFERROR(IF(Z489="",0,Z489),"0")+IFERROR(IF(Z490="",0,Z490),"0")</f>
        <v>5.4120000000000001E-2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30</v>
      </c>
      <c r="Y492" s="43">
        <f>IFERROR(SUM(Y488:Y490),"0")</f>
        <v>32.400000000000006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15</v>
      </c>
      <c r="Y496" s="55">
        <f t="shared" ref="Y496:Y504" si="62">IFERROR(IF(X496="",0,CEILING((X496/$H496),1)*$H496),"")</f>
        <v>15.84</v>
      </c>
      <c r="Z496" s="41">
        <f t="shared" ref="Z496:Z501" si="63">IFERROR(IF(Y496=0,"",ROUNDUP(Y496/H496,0)*0.01196),"")</f>
        <v>3.5880000000000002E-2</v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15.994318181818182</v>
      </c>
      <c r="BN496" s="78">
        <f t="shared" ref="BN496:BN504" si="65">IFERROR(Y496*I496/H496,"0")</f>
        <v>16.889999999999997</v>
      </c>
      <c r="BO496" s="78">
        <f t="shared" ref="BO496:BO504" si="66">IFERROR(1/J496*(X496/H496),"0")</f>
        <v>2.7316433566433568E-2</v>
      </c>
      <c r="BP496" s="78">
        <f t="shared" ref="BP496:BP504" si="67">IFERROR(1/J496*(Y496/H496),"0")</f>
        <v>2.8846153846153848E-2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/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/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/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2.8409090909090908</v>
      </c>
      <c r="Y505" s="43">
        <f>IFERROR(Y496/H496,"0")+IFERROR(Y497/H497,"0")+IFERROR(Y498/H498,"0")+IFERROR(Y499/H499,"0")+IFERROR(Y500/H500,"0")+IFERROR(Y501/H501,"0")+IFERROR(Y502/H502,"0")+IFERROR(Y503/H503,"0")+IFERROR(Y504/H504,"0")</f>
        <v>3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3.5880000000000002E-2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15</v>
      </c>
      <c r="Y506" s="43">
        <f>IFERROR(SUM(Y496:Y504),"0")</f>
        <v>15.84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120</v>
      </c>
      <c r="Y508" s="55">
        <f>IFERROR(IF(X508="",0,CEILING((X508/$H508),1)*$H508),"")</f>
        <v>121.44000000000001</v>
      </c>
      <c r="Z508" s="41">
        <f>IFERROR(IF(Y508=0,"",ROUNDUP(Y508/H508,0)*0.01196),"")</f>
        <v>0.27507999999999999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127.95454545454545</v>
      </c>
      <c r="BN508" s="78">
        <f>IFERROR(Y508*I508/H508,"0")</f>
        <v>129.49</v>
      </c>
      <c r="BO508" s="78">
        <f>IFERROR(1/J508*(X508/H508),"0")</f>
        <v>0.21853146853146854</v>
      </c>
      <c r="BP508" s="78">
        <f>IFERROR(1/J508*(Y508/H508),"0")</f>
        <v>0.22115384615384617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22.727272727272727</v>
      </c>
      <c r="Y511" s="43">
        <f>IFERROR(Y508/H508,"0")+IFERROR(Y509/H509,"0")+IFERROR(Y510/H510,"0")</f>
        <v>23</v>
      </c>
      <c r="Z511" s="43">
        <f>IFERROR(IF(Z508="",0,Z508),"0")+IFERROR(IF(Z509="",0,Z509),"0")+IFERROR(IF(Z510="",0,Z510),"0")</f>
        <v>0.27507999999999999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120</v>
      </c>
      <c r="Y512" s="43">
        <f>IFERROR(SUM(Y508:Y510),"0")</f>
        <v>121.44000000000001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/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40</v>
      </c>
      <c r="Y515" s="55">
        <f t="shared" si="68"/>
        <v>42.24</v>
      </c>
      <c r="Z515" s="41">
        <f>IFERROR(IF(Y515=0,"",ROUNDUP(Y515/H515,0)*0.01196),"")</f>
        <v>9.5680000000000001E-2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42.651515151515149</v>
      </c>
      <c r="BN515" s="78">
        <f t="shared" si="70"/>
        <v>45.04</v>
      </c>
      <c r="BO515" s="78">
        <f t="shared" si="71"/>
        <v>7.2843822843822847E-2</v>
      </c>
      <c r="BP515" s="78">
        <f t="shared" si="72"/>
        <v>7.6923076923076927E-2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50</v>
      </c>
      <c r="Y516" s="55">
        <f t="shared" si="68"/>
        <v>52.800000000000004</v>
      </c>
      <c r="Z516" s="41">
        <f>IFERROR(IF(Y516=0,"",ROUNDUP(Y516/H516,0)*0.01196),"")</f>
        <v>0.1196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53.314393939393938</v>
      </c>
      <c r="BN516" s="78">
        <f t="shared" si="70"/>
        <v>56.3</v>
      </c>
      <c r="BO516" s="78">
        <f t="shared" si="71"/>
        <v>9.1054778554778545E-2</v>
      </c>
      <c r="BP516" s="78">
        <f t="shared" si="72"/>
        <v>9.6153846153846159E-2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17.045454545454543</v>
      </c>
      <c r="Y521" s="43">
        <f>IFERROR(Y514/H514,"0")+IFERROR(Y515/H515,"0")+IFERROR(Y516/H516,"0")+IFERROR(Y517/H517,"0")+IFERROR(Y518/H518,"0")+IFERROR(Y519/H519,"0")+IFERROR(Y520/H520,"0")</f>
        <v>18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0.21528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90</v>
      </c>
      <c r="Y522" s="43">
        <f>IFERROR(SUM(Y514:Y520),"0")</f>
        <v>95.04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/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100</v>
      </c>
      <c r="Y538" s="55">
        <f>IFERROR(IF(X538="",0,CEILING((X538/$H538),1)*$H538),"")</f>
        <v>108</v>
      </c>
      <c r="Z538" s="41">
        <f>IFERROR(IF(Y538=0,"",ROUNDUP(Y538/H538,0)*0.01898),"")</f>
        <v>0.22776000000000002</v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105.48888888888888</v>
      </c>
      <c r="BN538" s="78">
        <f>IFERROR(Y538*I538/H538,"0")</f>
        <v>113.92799999999998</v>
      </c>
      <c r="BO538" s="78">
        <f>IFERROR(1/J538*(X538/H538),"0")</f>
        <v>0.1736111111111111</v>
      </c>
      <c r="BP538" s="78">
        <f>IFERROR(1/J538*(Y538/H538),"0")</f>
        <v>0.1875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11.111111111111111</v>
      </c>
      <c r="Y539" s="43">
        <f>IFERROR(Y538/H538,"0")</f>
        <v>12</v>
      </c>
      <c r="Z539" s="43">
        <f>IFERROR(IF(Z538="",0,Z538),"0")</f>
        <v>0.22776000000000002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100</v>
      </c>
      <c r="Y540" s="43">
        <f>IFERROR(SUM(Y538:Y538),"0")</f>
        <v>108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1892.34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1968.0600000000002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1980.2663569085241</v>
      </c>
      <c r="Y552" s="43">
        <f>IFERROR(SUM(BN22:BN548),"0")</f>
        <v>2059.6799999999998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4</v>
      </c>
      <c r="Y553" s="44">
        <f>ROUNDUP(SUM(BP22:BP548),0)</f>
        <v>4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2080.2663569085244</v>
      </c>
      <c r="Y554" s="43">
        <f>GrossWeightTotalR+PalletQtyTotalR*25</f>
        <v>2159.6799999999998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269.68289426622755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281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3.7906800000000005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1.92</v>
      </c>
      <c r="D561" s="52">
        <f>IFERROR(Y51*1,"0")+IFERROR(Y52*1,"0")+IFERROR(Y53*1,"0")+IFERROR(Y54*1,"0")</f>
        <v>54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121.5</v>
      </c>
      <c r="F561" s="52">
        <f>IFERROR(Y88*1,"0")+IFERROR(Y89*1,"0")+IFERROR(Y90*1,"0")+IFERROR(Y91*1,"0")+IFERROR(Y95*1,"0")+IFERROR(Y96*1,"0")+IFERROR(Y97*1,"0")+IFERROR(Y98*1,"0")</f>
        <v>16.2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132.30000000000001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109.92000000000002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174.9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64.8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93.6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147.9</v>
      </c>
      <c r="U561" s="52">
        <f>IFERROR(Y415*1,"0")+IFERROR(Y416*1,"0")+IFERROR(Y417*1,"0")</f>
        <v>18.900000000000002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615</v>
      </c>
      <c r="W561" s="52">
        <f>IFERROR(Y452*1,"0")+IFERROR(Y453*1,"0")+IFERROR(Y457*1,"0")+IFERROR(Y461*1,"0")+IFERROR(Y462*1,"0")+IFERROR(Y463*1,"0")</f>
        <v>12</v>
      </c>
      <c r="X561" s="52">
        <f>IFERROR(Y469*1,"0")+IFERROR(Y470*1,"0")+IFERROR(Y471*1,"0")+IFERROR(Y472*1,"0")+IFERROR(Y473*1,"0")+IFERROR(Y474*1,"0")+IFERROR(Y478*1,"0")+IFERROR(Y479*1,"0")</f>
        <v>32.400000000000006</v>
      </c>
      <c r="Y561" s="52">
        <f>IFERROR(Y484*1,"0")+IFERROR(Y488*1,"0")+IFERROR(Y489*1,"0")+IFERROR(Y490*1,"0")</f>
        <v>32.400000000000006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232.32000000000002</v>
      </c>
      <c r="AA561" s="52">
        <f>IFERROR(Y526*1,"0")+IFERROR(Y530*1,"0")+IFERROR(Y534*1,"0")+IFERROR(Y538*1,"0")+IFERROR(Y542*1,"0")+IFERROR(Y543*1,"0")</f>
        <v>108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892,34"/>
        <filter val="1 980,27"/>
        <filter val="1,00"/>
        <filter val="1,85"/>
        <filter val="1,92"/>
        <filter val="1,98"/>
        <filter val="10,00"/>
        <filter val="10,26"/>
        <filter val="100,00"/>
        <filter val="105,40"/>
        <filter val="11,00"/>
        <filter val="11,11"/>
        <filter val="11,76"/>
        <filter val="12,00"/>
        <filter val="12,82"/>
        <filter val="12,90"/>
        <filter val="120,00"/>
        <filter val="135,40"/>
        <filter val="14,35"/>
        <filter val="14,70"/>
        <filter val="15,00"/>
        <filter val="150,00"/>
        <filter val="16,00"/>
        <filter val="165,00"/>
        <filter val="17,05"/>
        <filter val="18,90"/>
        <filter val="2 080,27"/>
        <filter val="2,84"/>
        <filter val="20,00"/>
        <filter val="22,73"/>
        <filter val="269,68"/>
        <filter val="27,07"/>
        <filter val="28,80"/>
        <filter val="3,00"/>
        <filter val="3,77"/>
        <filter val="30,00"/>
        <filter val="300,00"/>
        <filter val="34,00"/>
        <filter val="4"/>
        <filter val="4,20"/>
        <filter val="4,63"/>
        <filter val="4,80"/>
        <filter val="4,96"/>
        <filter val="40,00"/>
        <filter val="450,00"/>
        <filter val="5,00"/>
        <filter val="5,40"/>
        <filter val="5,56"/>
        <filter val="50,00"/>
        <filter val="6,00"/>
        <filter val="60,00"/>
        <filter val="67,50"/>
        <filter val="7,14"/>
        <filter val="8,00"/>
        <filter val="80,00"/>
        <filter val="9,00"/>
        <filter val="90,00"/>
        <filter val="93,52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User3</cp:lastModifiedBy>
  <dcterms:created xsi:type="dcterms:W3CDTF">2021-11-12T12:13:19Z</dcterms:created>
  <dcterms:modified xsi:type="dcterms:W3CDTF">2026-08-11T06:37:01Z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