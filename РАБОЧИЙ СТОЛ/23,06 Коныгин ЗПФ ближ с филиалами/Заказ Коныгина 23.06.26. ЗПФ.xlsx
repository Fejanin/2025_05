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3E099116-9B85-49B3-A8FA-895E1BF4623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заказа'!$B$282:$B$282</definedName>
    <definedName name="ProductId101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заказа'!$B$187:$B$187</definedName>
    <definedName name="ProductId68">'Бланк заказа'!$B$188:$B$188</definedName>
    <definedName name="ProductId69">'Бланк заказа'!$B$194:$B$194</definedName>
    <definedName name="ProductId7">'Бланк заказа'!$B$28:$B$28</definedName>
    <definedName name="ProductId70">'Бланк заказа'!$B$195:$B$195</definedName>
    <definedName name="ProductId71">'Бланк заказа'!$B$196:$B$196</definedName>
    <definedName name="ProductId72">'Бланк заказа'!$B$197:$B$197</definedName>
    <definedName name="ProductId73">'Бланк заказа'!$B$203:$B$203</definedName>
    <definedName name="ProductId74">'Бланк заказа'!$B$207:$B$207</definedName>
    <definedName name="ProductId75">'Бланк заказа'!$B$208:$B$208</definedName>
    <definedName name="ProductId76">'Бланк заказа'!$B$209:$B$209</definedName>
    <definedName name="ProductId77">'Бланк заказа'!$B$214:$B$214</definedName>
    <definedName name="ProductId78">'Бланк заказа'!$B$215:$B$215</definedName>
    <definedName name="ProductId79">'Бланк заказа'!$B$220:$B$220</definedName>
    <definedName name="ProductId8">'Бланк заказа'!$B$29:$B$29</definedName>
    <definedName name="ProductId80">'Бланк заказа'!$B$225:$B$225</definedName>
    <definedName name="ProductId81">'Бланк заказа'!$B$231:$B$231</definedName>
    <definedName name="ProductId82">'Бланк заказа'!$B$237:$B$237</definedName>
    <definedName name="ProductId83">'Бланк заказа'!$B$243:$B$243</definedName>
    <definedName name="ProductId84">'Бланк заказа'!$B$247:$B$247</definedName>
    <definedName name="ProductId85">'Бланк заказа'!$B$253:$B$253</definedName>
    <definedName name="ProductId86">'Бланк заказа'!$B$259:$B$259</definedName>
    <definedName name="ProductId87">'Бланк заказа'!$B$260:$B$260</definedName>
    <definedName name="ProductId88">'Бланк заказа'!$B$264:$B$264</definedName>
    <definedName name="ProductId89">'Бланк заказа'!$B$268:$B$268</definedName>
    <definedName name="ProductId9">'Бланк заказа'!$B$34:$B$34</definedName>
    <definedName name="ProductId90">'Бланк заказа'!$B$269:$B$269</definedName>
    <definedName name="ProductId91">'Бланк заказа'!$B$270:$B$270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ductId99">'Бланк заказа'!$B$281:$B$281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заказа'!$X$282:$X$282</definedName>
    <definedName name="SalesQty101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заказа'!$X$187:$X$187</definedName>
    <definedName name="SalesQty68">'Бланк заказа'!$X$188:$X$188</definedName>
    <definedName name="SalesQty69">'Бланк заказа'!$X$194:$X$194</definedName>
    <definedName name="SalesQty7">'Бланк заказа'!$X$28:$X$28</definedName>
    <definedName name="SalesQty70">'Бланк заказа'!$X$195:$X$195</definedName>
    <definedName name="SalesQty71">'Бланк заказа'!$X$196:$X$196</definedName>
    <definedName name="SalesQty72">'Бланк заказа'!$X$197:$X$197</definedName>
    <definedName name="SalesQty73">'Бланк заказа'!$X$203:$X$203</definedName>
    <definedName name="SalesQty74">'Бланк заказа'!$X$207:$X$207</definedName>
    <definedName name="SalesQty75">'Бланк заказа'!$X$208:$X$208</definedName>
    <definedName name="SalesQty76">'Бланк заказа'!$X$209:$X$209</definedName>
    <definedName name="SalesQty77">'Бланк заказа'!$X$214:$X$214</definedName>
    <definedName name="SalesQty78">'Бланк заказа'!$X$215:$X$215</definedName>
    <definedName name="SalesQty79">'Бланк заказа'!$X$220:$X$220</definedName>
    <definedName name="SalesQty8">'Бланк заказа'!$X$29:$X$29</definedName>
    <definedName name="SalesQty80">'Бланк заказа'!$X$225:$X$225</definedName>
    <definedName name="SalesQty81">'Бланк заказа'!$X$231:$X$231</definedName>
    <definedName name="SalesQty82">'Бланк заказа'!$X$237:$X$237</definedName>
    <definedName name="SalesQty83">'Бланк заказа'!$X$243:$X$243</definedName>
    <definedName name="SalesQty84">'Бланк заказа'!$X$247:$X$247</definedName>
    <definedName name="SalesQty85">'Бланк заказа'!$X$253:$X$253</definedName>
    <definedName name="SalesQty86">'Бланк заказа'!$X$259:$X$259</definedName>
    <definedName name="SalesQty87">'Бланк заказа'!$X$260:$X$260</definedName>
    <definedName name="SalesQty88">'Бланк заказа'!$X$264:$X$264</definedName>
    <definedName name="SalesQty89">'Бланк заказа'!$X$268:$X$268</definedName>
    <definedName name="SalesQty9">'Бланк заказа'!$X$34:$X$34</definedName>
    <definedName name="SalesQty90">'Бланк заказа'!$X$269:$X$269</definedName>
    <definedName name="SalesQty91">'Бланк заказа'!$X$270:$X$270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Qty99">'Бланк заказа'!$X$281:$X$281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заказа'!$Y$282:$Y$282</definedName>
    <definedName name="SalesRoundBox101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заказа'!$Y$187:$Y$187</definedName>
    <definedName name="SalesRoundBox68">'Бланк заказа'!$Y$188:$Y$188</definedName>
    <definedName name="SalesRoundBox69">'Бланк заказа'!$Y$194:$Y$194</definedName>
    <definedName name="SalesRoundBox7">'Бланк заказа'!$Y$28:$Y$28</definedName>
    <definedName name="SalesRoundBox70">'Бланк заказа'!$Y$195:$Y$195</definedName>
    <definedName name="SalesRoundBox71">'Бланк заказа'!$Y$196:$Y$196</definedName>
    <definedName name="SalesRoundBox72">'Бланк заказа'!$Y$197:$Y$197</definedName>
    <definedName name="SalesRoundBox73">'Бланк заказа'!$Y$203:$Y$203</definedName>
    <definedName name="SalesRoundBox74">'Бланк заказа'!$Y$207:$Y$207</definedName>
    <definedName name="SalesRoundBox75">'Бланк заказа'!$Y$208:$Y$208</definedName>
    <definedName name="SalesRoundBox76">'Бланк заказа'!$Y$209:$Y$209</definedName>
    <definedName name="SalesRoundBox77">'Бланк заказа'!$Y$214:$Y$214</definedName>
    <definedName name="SalesRoundBox78">'Бланк заказа'!$Y$215:$Y$215</definedName>
    <definedName name="SalesRoundBox79">'Бланк заказа'!$Y$220:$Y$220</definedName>
    <definedName name="SalesRoundBox8">'Бланк заказа'!$Y$29:$Y$29</definedName>
    <definedName name="SalesRoundBox80">'Бланк заказа'!$Y$225:$Y$225</definedName>
    <definedName name="SalesRoundBox81">'Бланк заказа'!$Y$231:$Y$231</definedName>
    <definedName name="SalesRoundBox82">'Бланк заказа'!$Y$237:$Y$237</definedName>
    <definedName name="SalesRoundBox83">'Бланк заказа'!$Y$243:$Y$243</definedName>
    <definedName name="SalesRoundBox84">'Бланк заказа'!$Y$247:$Y$247</definedName>
    <definedName name="SalesRoundBox85">'Бланк заказа'!$Y$253:$Y$253</definedName>
    <definedName name="SalesRoundBox86">'Бланк заказа'!$Y$259:$Y$259</definedName>
    <definedName name="SalesRoundBox87">'Бланк заказа'!$Y$260:$Y$260</definedName>
    <definedName name="SalesRoundBox88">'Бланк заказа'!$Y$264:$Y$264</definedName>
    <definedName name="SalesRoundBox89">'Бланк заказа'!$Y$268:$Y$268</definedName>
    <definedName name="SalesRoundBox9">'Бланк заказа'!$Y$34:$Y$34</definedName>
    <definedName name="SalesRoundBox90">'Бланк заказа'!$Y$269:$Y$269</definedName>
    <definedName name="SalesRoundBox91">'Бланк заказа'!$Y$270:$Y$270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SalesRoundBox99">'Бланк заказа'!$Y$281:$Y$281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заказа'!$W$282:$W$282</definedName>
    <definedName name="UnitOfMeasure101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заказа'!$W$187:$W$187</definedName>
    <definedName name="UnitOfMeasure68">'Бланк заказа'!$W$188:$W$188</definedName>
    <definedName name="UnitOfMeasure69">'Бланк заказа'!$W$194:$W$194</definedName>
    <definedName name="UnitOfMeasure7">'Бланк заказа'!$W$28:$W$28</definedName>
    <definedName name="UnitOfMeasure70">'Бланк заказа'!$W$195:$W$195</definedName>
    <definedName name="UnitOfMeasure71">'Бланк заказа'!$W$196:$W$196</definedName>
    <definedName name="UnitOfMeasure72">'Бланк заказа'!$W$197:$W$197</definedName>
    <definedName name="UnitOfMeasure73">'Бланк заказа'!$W$203:$W$203</definedName>
    <definedName name="UnitOfMeasure74">'Бланк заказа'!$W$207:$W$207</definedName>
    <definedName name="UnitOfMeasure75">'Бланк заказа'!$W$208:$W$208</definedName>
    <definedName name="UnitOfMeasure76">'Бланк заказа'!$W$209:$W$209</definedName>
    <definedName name="UnitOfMeasure77">'Бланк заказа'!$W$214:$W$214</definedName>
    <definedName name="UnitOfMeasure78">'Бланк заказа'!$W$215:$W$215</definedName>
    <definedName name="UnitOfMeasure79">'Бланк заказа'!$W$220:$W$220</definedName>
    <definedName name="UnitOfMeasure8">'Бланк заказа'!$W$29:$W$29</definedName>
    <definedName name="UnitOfMeasure80">'Бланк заказа'!$W$225:$W$225</definedName>
    <definedName name="UnitOfMeasure81">'Бланк заказа'!$W$231:$W$231</definedName>
    <definedName name="UnitOfMeasure82">'Бланк заказа'!$W$237:$W$237</definedName>
    <definedName name="UnitOfMeasure83">'Бланк заказа'!$W$243:$W$243</definedName>
    <definedName name="UnitOfMeasure84">'Бланк заказа'!$W$247:$W$247</definedName>
    <definedName name="UnitOfMeasure85">'Бланк заказа'!$W$253:$W$253</definedName>
    <definedName name="UnitOfMeasure86">'Бланк заказа'!$W$259:$W$259</definedName>
    <definedName name="UnitOfMeasure87">'Бланк заказа'!$W$260:$W$260</definedName>
    <definedName name="UnitOfMeasure88">'Бланк заказа'!$W$264:$W$264</definedName>
    <definedName name="UnitOfMeasure89">'Бланк заказа'!$W$268:$W$268</definedName>
    <definedName name="UnitOfMeasure9">'Бланк заказа'!$W$34:$W$34</definedName>
    <definedName name="UnitOfMeasure90">'Бланк заказа'!$W$269:$W$269</definedName>
    <definedName name="UnitOfMeasure91">'Бланк заказа'!$W$270:$W$270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itOfMeasure99">'Бланк заказа'!$W$281:$W$281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6" i="2" l="1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O282" i="2"/>
  <c r="BM282" i="2"/>
  <c r="Z282" i="2"/>
  <c r="Y282" i="2"/>
  <c r="BN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Z265" i="2" s="1"/>
  <c r="Y264" i="2"/>
  <c r="Y265" i="2" s="1"/>
  <c r="P264" i="2"/>
  <c r="X262" i="2"/>
  <c r="X261" i="2"/>
  <c r="BO260" i="2"/>
  <c r="BN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X255" i="2"/>
  <c r="X254" i="2"/>
  <c r="BO253" i="2"/>
  <c r="BM253" i="2"/>
  <c r="Z253" i="2"/>
  <c r="Z254" i="2" s="1"/>
  <c r="Y253" i="2"/>
  <c r="Y254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Y238" i="2" s="1"/>
  <c r="P237" i="2"/>
  <c r="X233" i="2"/>
  <c r="X232" i="2"/>
  <c r="BO231" i="2"/>
  <c r="BM231" i="2"/>
  <c r="Z231" i="2"/>
  <c r="Z232" i="2" s="1"/>
  <c r="Y231" i="2"/>
  <c r="Y233" i="2" s="1"/>
  <c r="P231" i="2"/>
  <c r="X227" i="2"/>
  <c r="X226" i="2"/>
  <c r="BO225" i="2"/>
  <c r="BM225" i="2"/>
  <c r="Z225" i="2"/>
  <c r="Z226" i="2" s="1"/>
  <c r="Y225" i="2"/>
  <c r="Y226" i="2" s="1"/>
  <c r="P225" i="2"/>
  <c r="X222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P215" i="2" s="1"/>
  <c r="P215" i="2"/>
  <c r="BO214" i="2"/>
  <c r="BM214" i="2"/>
  <c r="Z214" i="2"/>
  <c r="Y214" i="2"/>
  <c r="BN214" i="2" s="1"/>
  <c r="P214" i="2"/>
  <c r="X211" i="2"/>
  <c r="X210" i="2"/>
  <c r="BO209" i="2"/>
  <c r="BM209" i="2"/>
  <c r="Z209" i="2"/>
  <c r="Y209" i="2"/>
  <c r="P209" i="2"/>
  <c r="BO208" i="2"/>
  <c r="BM208" i="2"/>
  <c r="Z208" i="2"/>
  <c r="Y208" i="2"/>
  <c r="BN208" i="2" s="1"/>
  <c r="P208" i="2"/>
  <c r="BO207" i="2"/>
  <c r="BM207" i="2"/>
  <c r="Z207" i="2"/>
  <c r="Y207" i="2"/>
  <c r="BP207" i="2" s="1"/>
  <c r="P207" i="2"/>
  <c r="X205" i="2"/>
  <c r="X204" i="2"/>
  <c r="BO203" i="2"/>
  <c r="BM203" i="2"/>
  <c r="Z203" i="2"/>
  <c r="Z204" i="2" s="1"/>
  <c r="Y203" i="2"/>
  <c r="BP203" i="2" s="1"/>
  <c r="P203" i="2"/>
  <c r="X199" i="2"/>
  <c r="X198" i="2"/>
  <c r="BO197" i="2"/>
  <c r="BM197" i="2"/>
  <c r="Z197" i="2"/>
  <c r="Y197" i="2"/>
  <c r="BP197" i="2" s="1"/>
  <c r="P197" i="2"/>
  <c r="BO196" i="2"/>
  <c r="BM196" i="2"/>
  <c r="Z196" i="2"/>
  <c r="Y196" i="2"/>
  <c r="BP196" i="2" s="1"/>
  <c r="P196" i="2"/>
  <c r="BO195" i="2"/>
  <c r="BN195" i="2"/>
  <c r="BM195" i="2"/>
  <c r="Z195" i="2"/>
  <c r="Z198" i="2" s="1"/>
  <c r="Y195" i="2"/>
  <c r="BP195" i="2" s="1"/>
  <c r="P195" i="2"/>
  <c r="BO194" i="2"/>
  <c r="BM194" i="2"/>
  <c r="Z194" i="2"/>
  <c r="Y194" i="2"/>
  <c r="Y199" i="2" s="1"/>
  <c r="P194" i="2"/>
  <c r="X190" i="2"/>
  <c r="X189" i="2"/>
  <c r="BO188" i="2"/>
  <c r="BM188" i="2"/>
  <c r="Z188" i="2"/>
  <c r="Y188" i="2"/>
  <c r="BP188" i="2" s="1"/>
  <c r="P188" i="2"/>
  <c r="BO187" i="2"/>
  <c r="BM187" i="2"/>
  <c r="Z187" i="2"/>
  <c r="Y187" i="2"/>
  <c r="BN187" i="2" s="1"/>
  <c r="P187" i="2"/>
  <c r="X185" i="2"/>
  <c r="X184" i="2"/>
  <c r="BO183" i="2"/>
  <c r="BM183" i="2"/>
  <c r="Z183" i="2"/>
  <c r="Z184" i="2" s="1"/>
  <c r="Y183" i="2"/>
  <c r="BP183" i="2" s="1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Y178" i="2" s="1"/>
  <c r="P176" i="2"/>
  <c r="X173" i="2"/>
  <c r="X172" i="2"/>
  <c r="BO171" i="2"/>
  <c r="BM171" i="2"/>
  <c r="Z171" i="2"/>
  <c r="Z172" i="2" s="1"/>
  <c r="Y171" i="2"/>
  <c r="Y173" i="2" s="1"/>
  <c r="P171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Y160" i="2"/>
  <c r="BP160" i="2" s="1"/>
  <c r="P160" i="2"/>
  <c r="X157" i="2"/>
  <c r="X156" i="2"/>
  <c r="BO155" i="2"/>
  <c r="BM155" i="2"/>
  <c r="Z155" i="2"/>
  <c r="Y155" i="2"/>
  <c r="BP155" i="2" s="1"/>
  <c r="P155" i="2"/>
  <c r="BO154" i="2"/>
  <c r="BM154" i="2"/>
  <c r="Z154" i="2"/>
  <c r="Z156" i="2" s="1"/>
  <c r="Y154" i="2"/>
  <c r="BP154" i="2" s="1"/>
  <c r="P154" i="2"/>
  <c r="X151" i="2"/>
  <c r="X150" i="2"/>
  <c r="BO149" i="2"/>
  <c r="BN149" i="2"/>
  <c r="BM149" i="2"/>
  <c r="Z149" i="2"/>
  <c r="Z150" i="2" s="1"/>
  <c r="Y149" i="2"/>
  <c r="BP149" i="2" s="1"/>
  <c r="P149" i="2"/>
  <c r="BO148" i="2"/>
  <c r="BM148" i="2"/>
  <c r="Z148" i="2"/>
  <c r="Y148" i="2"/>
  <c r="BP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P142" i="2" s="1"/>
  <c r="P142" i="2"/>
  <c r="BO141" i="2"/>
  <c r="BM141" i="2"/>
  <c r="Z141" i="2"/>
  <c r="Y141" i="2"/>
  <c r="BP141" i="2" s="1"/>
  <c r="P141" i="2"/>
  <c r="X139" i="2"/>
  <c r="X138" i="2"/>
  <c r="BO137" i="2"/>
  <c r="BM137" i="2"/>
  <c r="Z137" i="2"/>
  <c r="Y137" i="2"/>
  <c r="BN137" i="2" s="1"/>
  <c r="P137" i="2"/>
  <c r="BO136" i="2"/>
  <c r="BM136" i="2"/>
  <c r="Z136" i="2"/>
  <c r="Y136" i="2"/>
  <c r="P136" i="2"/>
  <c r="BO135" i="2"/>
  <c r="BM135" i="2"/>
  <c r="Z135" i="2"/>
  <c r="Y135" i="2"/>
  <c r="BP135" i="2" s="1"/>
  <c r="P135" i="2"/>
  <c r="X132" i="2"/>
  <c r="X131" i="2"/>
  <c r="BO130" i="2"/>
  <c r="BM130" i="2"/>
  <c r="Z130" i="2"/>
  <c r="Z131" i="2" s="1"/>
  <c r="Y130" i="2"/>
  <c r="BP130" i="2" s="1"/>
  <c r="P130" i="2"/>
  <c r="X128" i="2"/>
  <c r="X127" i="2"/>
  <c r="BO126" i="2"/>
  <c r="BM126" i="2"/>
  <c r="Z126" i="2"/>
  <c r="Z127" i="2" s="1"/>
  <c r="Y126" i="2"/>
  <c r="Y128" i="2" s="1"/>
  <c r="P126" i="2"/>
  <c r="X124" i="2"/>
  <c r="X123" i="2"/>
  <c r="BO122" i="2"/>
  <c r="BM122" i="2"/>
  <c r="Z122" i="2"/>
  <c r="Y122" i="2"/>
  <c r="BP122" i="2" s="1"/>
  <c r="P122" i="2"/>
  <c r="BO121" i="2"/>
  <c r="BM121" i="2"/>
  <c r="Z121" i="2"/>
  <c r="Y121" i="2"/>
  <c r="BN121" i="2" s="1"/>
  <c r="P121" i="2"/>
  <c r="BP120" i="2"/>
  <c r="BO120" i="2"/>
  <c r="BN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Z123" i="2" s="1"/>
  <c r="Y116" i="2"/>
  <c r="BP116" i="2" s="1"/>
  <c r="P116" i="2"/>
  <c r="BO115" i="2"/>
  <c r="BM115" i="2"/>
  <c r="Z115" i="2"/>
  <c r="Y115" i="2"/>
  <c r="Y123" i="2" s="1"/>
  <c r="P115" i="2"/>
  <c r="X112" i="2"/>
  <c r="X111" i="2"/>
  <c r="BO110" i="2"/>
  <c r="BM110" i="2"/>
  <c r="Z110" i="2"/>
  <c r="Y110" i="2"/>
  <c r="P110" i="2"/>
  <c r="BO109" i="2"/>
  <c r="BM109" i="2"/>
  <c r="Z109" i="2"/>
  <c r="Y109" i="2"/>
  <c r="BN109" i="2" s="1"/>
  <c r="P109" i="2"/>
  <c r="X106" i="2"/>
  <c r="X105" i="2"/>
  <c r="BP104" i="2"/>
  <c r="BO104" i="2"/>
  <c r="BN104" i="2"/>
  <c r="BM104" i="2"/>
  <c r="Z104" i="2"/>
  <c r="Y104" i="2"/>
  <c r="P104" i="2"/>
  <c r="BO103" i="2"/>
  <c r="BM103" i="2"/>
  <c r="Z103" i="2"/>
  <c r="Y103" i="2"/>
  <c r="BN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Y106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N76" i="2" s="1"/>
  <c r="P76" i="2"/>
  <c r="BO75" i="2"/>
  <c r="BM75" i="2"/>
  <c r="Z75" i="2"/>
  <c r="Y75" i="2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BP62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N42" i="2" s="1"/>
  <c r="P42" i="2"/>
  <c r="BP41" i="2"/>
  <c r="BO41" i="2"/>
  <c r="BN41" i="2"/>
  <c r="BM41" i="2"/>
  <c r="Z41" i="2"/>
  <c r="Z43" i="2" s="1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N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P22" i="2" s="1"/>
  <c r="H10" i="2"/>
  <c r="A9" i="2"/>
  <c r="F10" i="2" s="1"/>
  <c r="D7" i="2"/>
  <c r="Q6" i="2"/>
  <c r="P2" i="2"/>
  <c r="Z78" i="2" l="1"/>
  <c r="Z95" i="2"/>
  <c r="Z36" i="2"/>
  <c r="Y43" i="2"/>
  <c r="BN54" i="2"/>
  <c r="Y96" i="2"/>
  <c r="BN94" i="2"/>
  <c r="Y139" i="2"/>
  <c r="Z210" i="2"/>
  <c r="BN207" i="2"/>
  <c r="BN253" i="2"/>
  <c r="Y90" i="2"/>
  <c r="Y131" i="2"/>
  <c r="Y216" i="2"/>
  <c r="Z30" i="2"/>
  <c r="X288" i="2"/>
  <c r="BN29" i="2"/>
  <c r="X290" i="2"/>
  <c r="Z50" i="2"/>
  <c r="BN56" i="2"/>
  <c r="BN57" i="2"/>
  <c r="Y63" i="2"/>
  <c r="Z84" i="2"/>
  <c r="Z111" i="2"/>
  <c r="BN126" i="2"/>
  <c r="BP126" i="2"/>
  <c r="Y127" i="2"/>
  <c r="BN130" i="2"/>
  <c r="Z144" i="2"/>
  <c r="BN143" i="2"/>
  <c r="Z162" i="2"/>
  <c r="Z189" i="2"/>
  <c r="BN237" i="2"/>
  <c r="Z261" i="2"/>
  <c r="BN270" i="2"/>
  <c r="BP277" i="2"/>
  <c r="BP76" i="2"/>
  <c r="BP99" i="2"/>
  <c r="Y156" i="2"/>
  <c r="BP166" i="2"/>
  <c r="BP187" i="2"/>
  <c r="Y198" i="2"/>
  <c r="BP208" i="2"/>
  <c r="BN22" i="2"/>
  <c r="Y30" i="2"/>
  <c r="BP23" i="2"/>
  <c r="BP26" i="2"/>
  <c r="BN28" i="2"/>
  <c r="Y36" i="2"/>
  <c r="BN55" i="2"/>
  <c r="Y58" i="2"/>
  <c r="BN66" i="2"/>
  <c r="Y67" i="2"/>
  <c r="Z72" i="2"/>
  <c r="Y79" i="2"/>
  <c r="BP77" i="2"/>
  <c r="BN83" i="2"/>
  <c r="BP93" i="2"/>
  <c r="Y95" i="2"/>
  <c r="Z105" i="2"/>
  <c r="BP103" i="2"/>
  <c r="BP109" i="2"/>
  <c r="BN116" i="2"/>
  <c r="BP117" i="2"/>
  <c r="Y132" i="2"/>
  <c r="BP137" i="2"/>
  <c r="BN154" i="2"/>
  <c r="Y189" i="2"/>
  <c r="BP194" i="2"/>
  <c r="BN196" i="2"/>
  <c r="BP220" i="2"/>
  <c r="Y222" i="2"/>
  <c r="Y227" i="2"/>
  <c r="BP237" i="2"/>
  <c r="Y239" i="2"/>
  <c r="Y245" i="2"/>
  <c r="BP253" i="2"/>
  <c r="Y255" i="2"/>
  <c r="BN268" i="2"/>
  <c r="Y271" i="2"/>
  <c r="Z284" i="2"/>
  <c r="BN279" i="2"/>
  <c r="BP48" i="2"/>
  <c r="Z58" i="2"/>
  <c r="Y59" i="2"/>
  <c r="BP66" i="2"/>
  <c r="BN93" i="2"/>
  <c r="Y112" i="2"/>
  <c r="BP110" i="2"/>
  <c r="BN115" i="2"/>
  <c r="BN155" i="2"/>
  <c r="Y168" i="2"/>
  <c r="BN194" i="2"/>
  <c r="BN197" i="2"/>
  <c r="Y204" i="2"/>
  <c r="BP214" i="2"/>
  <c r="Z271" i="2"/>
  <c r="BN274" i="2"/>
  <c r="BP276" i="2"/>
  <c r="BN278" i="2"/>
  <c r="BN280" i="2"/>
  <c r="BP282" i="2"/>
  <c r="BP34" i="2"/>
  <c r="BP102" i="2"/>
  <c r="F9" i="2"/>
  <c r="X287" i="2"/>
  <c r="X286" i="2"/>
  <c r="BP42" i="2"/>
  <c r="Y73" i="2"/>
  <c r="Y124" i="2"/>
  <c r="BP121" i="2"/>
  <c r="Z138" i="2"/>
  <c r="Y157" i="2"/>
  <c r="Y167" i="2"/>
  <c r="BP182" i="2"/>
  <c r="Y211" i="2"/>
  <c r="Z216" i="2"/>
  <c r="Y232" i="2"/>
  <c r="Y248" i="2"/>
  <c r="Y266" i="2"/>
  <c r="BN269" i="2"/>
  <c r="BN25" i="2"/>
  <c r="Y37" i="2"/>
  <c r="Y64" i="2"/>
  <c r="BN75" i="2"/>
  <c r="Y78" i="2"/>
  <c r="BN101" i="2"/>
  <c r="BP115" i="2"/>
  <c r="BN136" i="2"/>
  <c r="BN161" i="2"/>
  <c r="BN176" i="2"/>
  <c r="Y205" i="2"/>
  <c r="Y221" i="2"/>
  <c r="BN275" i="2"/>
  <c r="Y31" i="2"/>
  <c r="Y44" i="2"/>
  <c r="BP70" i="2"/>
  <c r="Y84" i="2"/>
  <c r="BN118" i="2"/>
  <c r="BN141" i="2"/>
  <c r="Y144" i="2"/>
  <c r="BN183" i="2"/>
  <c r="BN209" i="2"/>
  <c r="Y261" i="2"/>
  <c r="BN49" i="2"/>
  <c r="BP75" i="2"/>
  <c r="BP136" i="2"/>
  <c r="Y150" i="2"/>
  <c r="BP176" i="2"/>
  <c r="BN188" i="2"/>
  <c r="BN215" i="2"/>
  <c r="BN231" i="2"/>
  <c r="BN247" i="2"/>
  <c r="BN283" i="2"/>
  <c r="BN23" i="2"/>
  <c r="Y85" i="2"/>
  <c r="BN99" i="2"/>
  <c r="BN110" i="2"/>
  <c r="Y145" i="2"/>
  <c r="Y162" i="2"/>
  <c r="Y177" i="2"/>
  <c r="BP231" i="2"/>
  <c r="BP247" i="2"/>
  <c r="Y262" i="2"/>
  <c r="Y151" i="2"/>
  <c r="Y184" i="2"/>
  <c r="Y210" i="2"/>
  <c r="Y272" i="2"/>
  <c r="BN281" i="2"/>
  <c r="Y284" i="2"/>
  <c r="BN171" i="2"/>
  <c r="H9" i="2"/>
  <c r="Y105" i="2"/>
  <c r="Y163" i="2"/>
  <c r="BP209" i="2"/>
  <c r="BN71" i="2"/>
  <c r="J9" i="2"/>
  <c r="BP47" i="2"/>
  <c r="BN82" i="2"/>
  <c r="Y111" i="2"/>
  <c r="BN119" i="2"/>
  <c r="BN142" i="2"/>
  <c r="BP171" i="2"/>
  <c r="Y185" i="2"/>
  <c r="BN225" i="2"/>
  <c r="BN243" i="2"/>
  <c r="BN259" i="2"/>
  <c r="BN88" i="2"/>
  <c r="BN148" i="2"/>
  <c r="Y190" i="2"/>
  <c r="Y217" i="2"/>
  <c r="BN264" i="2"/>
  <c r="Y285" i="2"/>
  <c r="Y172" i="2"/>
  <c r="BP225" i="2"/>
  <c r="BP243" i="2"/>
  <c r="Y50" i="2"/>
  <c r="A10" i="2"/>
  <c r="Y51" i="2"/>
  <c r="Y72" i="2"/>
  <c r="BN24" i="2"/>
  <c r="BN122" i="2"/>
  <c r="Y138" i="2"/>
  <c r="BN160" i="2"/>
  <c r="BN203" i="2"/>
  <c r="BP264" i="2"/>
  <c r="BP88" i="2"/>
  <c r="BN100" i="2"/>
  <c r="BN135" i="2"/>
  <c r="BN35" i="2"/>
  <c r="BN62" i="2"/>
  <c r="X289" i="2" l="1"/>
  <c r="Y288" i="2"/>
  <c r="Z291" i="2"/>
  <c r="Y290" i="2"/>
  <c r="Y287" i="2"/>
  <c r="Y286" i="2"/>
  <c r="C299" i="2" l="1"/>
  <c r="Y289" i="2"/>
  <c r="A299" i="2" s="1"/>
  <c r="B299" i="2"/>
</calcChain>
</file>

<file path=xl/sharedStrings.xml><?xml version="1.0" encoding="utf-8"?>
<sst xmlns="http://schemas.openxmlformats.org/spreadsheetml/2006/main" count="1768" uniqueCount="412">
  <si>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</si>
  <si>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</si>
  <si>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</si>
  <si>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</si>
  <si>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</si>
  <si>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</si>
  <si>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</si>
  <si>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</si>
  <si>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</si>
  <si>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</si>
  <si>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</si>
  <si>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</si>
  <si>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</si>
  <si>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</si>
  <si>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</si>
  <si>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</si>
  <si>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</si>
  <si>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</si>
  <si>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</si>
  <si>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</si>
  <si>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</si>
  <si>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</si>
  <si>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</si>
  <si>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</si>
  <si>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</si>
  <si>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</si>
  <si>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</si>
  <si>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</si>
  <si>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</si>
  <si>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</si>
  <si>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</si>
  <si>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</si>
  <si>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</si>
  <si>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</si>
  <si>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</si>
  <si>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</si>
  <si>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</si>
  <si>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</si>
  <si>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</si>
  <si>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</si>
  <si>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</si>
  <si>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</si>
  <si>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</si>
  <si>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</si>
  <si>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</si>
  <si>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</si>
  <si>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</si>
  <si>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</si>
  <si>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</si>
  <si>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</si>
  <si>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</si>
  <si>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</si>
  <si>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</si>
  <si>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</si>
  <si>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</si>
  <si>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</si>
  <si>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</si>
  <si>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</si>
  <si>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</si>
  <si>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</si>
  <si>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</si>
  <si>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</si>
  <si>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</si>
  <si>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</si>
  <si>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</si>
  <si>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</si>
  <si>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</si>
  <si>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</si>
  <si>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</si>
  <si>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</si>
  <si>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</si>
  <si>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23.06.2026</t>
  </si>
  <si>
    <t>19.06.2026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</si>
  <si>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</si>
  <si>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</si>
  <si>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</si>
  <si>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</si>
  <si>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</si>
  <si>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</si>
  <si>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</si>
  <si>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</si>
  <si>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</si>
  <si>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</si>
  <si>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SU004163</t>
  </si>
  <si>
    <t>P005439</t>
  </si>
  <si>
    <t>Пельмени «Медвежье ушко Премиум со сливочным маслом» 0,4 классическая форма ТМ «Медвежье ушко»</t>
  </si>
  <si>
    <t>ЕАЭС N RU Д-RU.РА08.В.42214/25</t>
  </si>
  <si>
    <t>Новинка</t>
  </si>
  <si>
    <t>МГ</t>
  </si>
  <si>
    <t>12</t>
  </si>
  <si>
    <t>Короб, мин. 1</t>
  </si>
  <si>
    <t>Короб</t>
  </si>
  <si>
    <t>SU004162</t>
  </si>
  <si>
    <t>P005438</t>
  </si>
  <si>
    <t>SU004027</t>
  </si>
  <si>
    <t>P005159</t>
  </si>
  <si>
    <t>ЕАЭС N RU Д-RU.РА09.В.61345/25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</si>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</sst>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9"/>
  <sheetViews>
    <sheetView showGridLines="0" tabSelected="1" topLeftCell="A272" zoomScaleNormal="100" zoomScaleSheetLayoutView="100" workbookViewId="0">
      <selection activeCell="X269" sqref="X26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/>
      <c r="I5" s="296"/>
      <c r="J5" s="296"/>
      <c r="K5" s="296"/>
      <c r="L5" s="296"/>
      <c r="M5" s="296"/>
      <c r="N5" s="75"/>
      <c r="P5" s="27" t="s">
        <v>4</v>
      </c>
      <c r="Q5" s="298">
        <v>46199</v>
      </c>
      <c r="R5" s="298"/>
      <c r="T5" s="299" t="s">
        <v>3</v>
      </c>
      <c r="U5" s="300"/>
      <c r="V5" s="301" t="s">
        <v>398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Пятница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0.41666666666666669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4301071135</v>
      </c>
      <c r="D22" s="362">
        <v>4620207491713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89</v>
      </c>
      <c r="L22" s="37" t="s">
        <v>90</v>
      </c>
      <c r="M22" s="38" t="s">
        <v>88</v>
      </c>
      <c r="N22" s="38"/>
      <c r="O22" s="37">
        <v>180</v>
      </c>
      <c r="P22" s="363" t="s">
        <v>85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87</v>
      </c>
      <c r="AC22" s="89" t="s">
        <v>86</v>
      </c>
      <c r="AG22" s="81"/>
      <c r="AJ22" s="87" t="s">
        <v>91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92</v>
      </c>
      <c r="B23" s="63" t="s">
        <v>93</v>
      </c>
      <c r="C23" s="36">
        <v>4301071134</v>
      </c>
      <c r="D23" s="362">
        <v>4620207491720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89</v>
      </c>
      <c r="L23" s="37" t="s">
        <v>90</v>
      </c>
      <c r="M23" s="38" t="s">
        <v>88</v>
      </c>
      <c r="N23" s="38"/>
      <c r="O23" s="37">
        <v>180</v>
      </c>
      <c r="P23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87</v>
      </c>
      <c r="AC23" s="91" t="s">
        <v>86</v>
      </c>
      <c r="AG23" s="81"/>
      <c r="AJ23" s="87" t="s">
        <v>91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94</v>
      </c>
      <c r="B24" s="63" t="s">
        <v>95</v>
      </c>
      <c r="C24" s="36">
        <v>4301071113</v>
      </c>
      <c r="D24" s="362">
        <v>4620207491508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89</v>
      </c>
      <c r="L24" s="37" t="s">
        <v>90</v>
      </c>
      <c r="M24" s="38" t="s">
        <v>88</v>
      </c>
      <c r="N24" s="38"/>
      <c r="O24" s="37">
        <v>180</v>
      </c>
      <c r="P24" s="36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96</v>
      </c>
      <c r="AG24" s="81"/>
      <c r="AJ24" s="87" t="s">
        <v>91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97</v>
      </c>
      <c r="B25" s="63" t="s">
        <v>98</v>
      </c>
      <c r="C25" s="36">
        <v>4301071112</v>
      </c>
      <c r="D25" s="362">
        <v>4620207491256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89</v>
      </c>
      <c r="L25" s="37" t="s">
        <v>90</v>
      </c>
      <c r="M25" s="38" t="s">
        <v>88</v>
      </c>
      <c r="N25" s="38"/>
      <c r="O25" s="37">
        <v>180</v>
      </c>
      <c r="P25" s="36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96</v>
      </c>
      <c r="AG25" s="81"/>
      <c r="AJ25" s="87" t="s">
        <v>91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99</v>
      </c>
      <c r="B26" s="63" t="s">
        <v>100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89</v>
      </c>
      <c r="L26" s="37" t="s">
        <v>90</v>
      </c>
      <c r="M26" s="38" t="s">
        <v>88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101</v>
      </c>
      <c r="AG26" s="81"/>
      <c r="AJ26" s="87" t="s">
        <v>91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102</v>
      </c>
      <c r="B27" s="63" t="s">
        <v>103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89</v>
      </c>
      <c r="L27" s="37" t="s">
        <v>90</v>
      </c>
      <c r="M27" s="38" t="s">
        <v>88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101</v>
      </c>
      <c r="AG27" s="81"/>
      <c r="AJ27" s="87" t="s">
        <v>91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104</v>
      </c>
      <c r="B28" s="63" t="s">
        <v>105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89</v>
      </c>
      <c r="L28" s="37" t="s">
        <v>90</v>
      </c>
      <c r="M28" s="38" t="s">
        <v>88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101</v>
      </c>
      <c r="AG28" s="81"/>
      <c r="AJ28" s="87" t="s">
        <v>91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106</v>
      </c>
      <c r="B29" s="63" t="s">
        <v>107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89</v>
      </c>
      <c r="L29" s="37" t="s">
        <v>90</v>
      </c>
      <c r="M29" s="38" t="s">
        <v>88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101</v>
      </c>
      <c r="AG29" s="81"/>
      <c r="AJ29" s="87" t="s">
        <v>91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60" t="s">
        <v>108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customHeight="1" x14ac:dyDescent="0.25">
      <c r="A34" s="63" t="s">
        <v>109</v>
      </c>
      <c r="B34" s="63" t="s">
        <v>110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89</v>
      </c>
      <c r="L34" s="37" t="s">
        <v>90</v>
      </c>
      <c r="M34" s="38" t="s">
        <v>88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111</v>
      </c>
      <c r="AG34" s="81"/>
      <c r="AJ34" s="87" t="s">
        <v>91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112</v>
      </c>
      <c r="B35" s="63" t="s">
        <v>113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89</v>
      </c>
      <c r="L35" s="37" t="s">
        <v>90</v>
      </c>
      <c r="M35" s="38" t="s">
        <v>88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111</v>
      </c>
      <c r="AG35" s="81"/>
      <c r="AJ35" s="87" t="s">
        <v>91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customHeight="1" x14ac:dyDescent="0.25">
      <c r="A39" s="360" t="s">
        <v>114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customHeight="1" x14ac:dyDescent="0.25">
      <c r="A40" s="361" t="s">
        <v>115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customHeight="1" x14ac:dyDescent="0.25">
      <c r="A41" s="63" t="s">
        <v>116</v>
      </c>
      <c r="B41" s="63" t="s">
        <v>117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120</v>
      </c>
      <c r="L41" s="37" t="s">
        <v>121</v>
      </c>
      <c r="M41" s="38" t="s">
        <v>88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118</v>
      </c>
      <c r="AG41" s="81"/>
      <c r="AJ41" s="87" t="s">
        <v>122</v>
      </c>
      <c r="AK41" s="87">
        <v>14</v>
      </c>
      <c r="BB41" s="110" t="s">
        <v>119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120</v>
      </c>
      <c r="L42" s="37" t="s">
        <v>121</v>
      </c>
      <c r="M42" s="38" t="s">
        <v>88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118</v>
      </c>
      <c r="AG42" s="81"/>
      <c r="AJ42" s="87" t="s">
        <v>122</v>
      </c>
      <c r="AK42" s="87">
        <v>14</v>
      </c>
      <c r="BB42" s="112" t="s">
        <v>119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60" t="s">
        <v>125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customHeight="1" x14ac:dyDescent="0.25">
      <c r="A47" s="63" t="s">
        <v>126</v>
      </c>
      <c r="B47" s="63" t="s">
        <v>127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89</v>
      </c>
      <c r="L47" s="37" t="s">
        <v>121</v>
      </c>
      <c r="M47" s="38" t="s">
        <v>88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128</v>
      </c>
      <c r="AG47" s="81"/>
      <c r="AJ47" s="87" t="s">
        <v>122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89</v>
      </c>
      <c r="L48" s="37" t="s">
        <v>90</v>
      </c>
      <c r="M48" s="38" t="s">
        <v>88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131</v>
      </c>
      <c r="AG48" s="81"/>
      <c r="AJ48" s="87" t="s">
        <v>91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4301071091</v>
      </c>
      <c r="D49" s="362">
        <v>4620207490044</v>
      </c>
      <c r="E49" s="362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89</v>
      </c>
      <c r="L49" s="37" t="s">
        <v>121</v>
      </c>
      <c r="M49" s="38" t="s">
        <v>88</v>
      </c>
      <c r="N49" s="38"/>
      <c r="O49" s="37">
        <v>180</v>
      </c>
      <c r="P49" s="38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4"/>
      <c r="R49" s="364"/>
      <c r="S49" s="364"/>
      <c r="T49" s="365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134</v>
      </c>
      <c r="AG49" s="81"/>
      <c r="AJ49" s="87" t="s">
        <v>122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76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7"/>
      <c r="P51" s="373" t="s">
        <v>40</v>
      </c>
      <c r="Q51" s="374"/>
      <c r="R51" s="374"/>
      <c r="S51" s="374"/>
      <c r="T51" s="374"/>
      <c r="U51" s="374"/>
      <c r="V51" s="375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60" t="s">
        <v>135</v>
      </c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65"/>
      <c r="AB52" s="65"/>
      <c r="AC52" s="82"/>
    </row>
    <row r="53" spans="1:68" ht="14.25" customHeight="1" x14ac:dyDescent="0.25">
      <c r="A53" s="361" t="s">
        <v>82</v>
      </c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  <c r="Z53" s="361"/>
      <c r="AA53" s="66"/>
      <c r="AB53" s="66"/>
      <c r="AC53" s="83"/>
    </row>
    <row r="54" spans="1:68" ht="27" customHeight="1" x14ac:dyDescent="0.25">
      <c r="A54" s="63" t="s">
        <v>136</v>
      </c>
      <c r="B54" s="63" t="s">
        <v>137</v>
      </c>
      <c r="C54" s="36">
        <v>4301071044</v>
      </c>
      <c r="D54" s="362">
        <v>4607111039385</v>
      </c>
      <c r="E54" s="362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89</v>
      </c>
      <c r="L54" s="37" t="s">
        <v>121</v>
      </c>
      <c r="M54" s="38" t="s">
        <v>88</v>
      </c>
      <c r="N54" s="38"/>
      <c r="O54" s="37">
        <v>180</v>
      </c>
      <c r="P54" s="38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138</v>
      </c>
      <c r="AG54" s="81"/>
      <c r="AJ54" s="87" t="s">
        <v>122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4301071031</v>
      </c>
      <c r="D55" s="362">
        <v>4607111038982</v>
      </c>
      <c r="E55" s="362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89</v>
      </c>
      <c r="L55" s="37" t="s">
        <v>121</v>
      </c>
      <c r="M55" s="38" t="s">
        <v>88</v>
      </c>
      <c r="N55" s="38"/>
      <c r="O55" s="37">
        <v>180</v>
      </c>
      <c r="P55" s="38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141</v>
      </c>
      <c r="AG55" s="81"/>
      <c r="AJ55" s="87" t="s">
        <v>122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4301071046</v>
      </c>
      <c r="D56" s="362">
        <v>4607111039354</v>
      </c>
      <c r="E56" s="362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89</v>
      </c>
      <c r="L56" s="37" t="s">
        <v>121</v>
      </c>
      <c r="M56" s="38" t="s">
        <v>88</v>
      </c>
      <c r="N56" s="38"/>
      <c r="O56" s="37">
        <v>180</v>
      </c>
      <c r="P56" s="38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141</v>
      </c>
      <c r="AG56" s="81"/>
      <c r="AJ56" s="87" t="s">
        <v>122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4301071047</v>
      </c>
      <c r="D57" s="362">
        <v>4607111039330</v>
      </c>
      <c r="E57" s="362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89</v>
      </c>
      <c r="L57" s="37" t="s">
        <v>121</v>
      </c>
      <c r="M57" s="38" t="s">
        <v>88</v>
      </c>
      <c r="N57" s="38"/>
      <c r="O57" s="37">
        <v>180</v>
      </c>
      <c r="P57" s="38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4"/>
      <c r="R57" s="364"/>
      <c r="S57" s="364"/>
      <c r="T57" s="365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141</v>
      </c>
      <c r="AG57" s="81"/>
      <c r="AJ57" s="87" t="s">
        <v>122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376"/>
      <c r="B59" s="376"/>
      <c r="C59" s="376"/>
      <c r="D59" s="376"/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7"/>
      <c r="P59" s="373" t="s">
        <v>40</v>
      </c>
      <c r="Q59" s="374"/>
      <c r="R59" s="374"/>
      <c r="S59" s="374"/>
      <c r="T59" s="374"/>
      <c r="U59" s="374"/>
      <c r="V59" s="375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60" t="s">
        <v>146</v>
      </c>
      <c r="B60" s="360"/>
      <c r="C60" s="360"/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  <c r="AA60" s="65"/>
      <c r="AB60" s="65"/>
      <c r="AC60" s="82"/>
    </row>
    <row r="61" spans="1:68" ht="14.25" customHeight="1" x14ac:dyDescent="0.25">
      <c r="A61" s="361" t="s">
        <v>82</v>
      </c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  <c r="Z61" s="361"/>
      <c r="AA61" s="66"/>
      <c r="AB61" s="66"/>
      <c r="AC61" s="83"/>
    </row>
    <row r="62" spans="1:68" ht="16.5" customHeight="1" x14ac:dyDescent="0.25">
      <c r="A62" s="63" t="s">
        <v>147</v>
      </c>
      <c r="B62" s="63" t="s">
        <v>148</v>
      </c>
      <c r="C62" s="36">
        <v>4301071073</v>
      </c>
      <c r="D62" s="362">
        <v>4620207490822</v>
      </c>
      <c r="E62" s="362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89</v>
      </c>
      <c r="L62" s="37" t="s">
        <v>90</v>
      </c>
      <c r="M62" s="38" t="s">
        <v>88</v>
      </c>
      <c r="N62" s="38"/>
      <c r="O62" s="37">
        <v>365</v>
      </c>
      <c r="P62" s="38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4"/>
      <c r="R62" s="364"/>
      <c r="S62" s="364"/>
      <c r="T62" s="365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149</v>
      </c>
      <c r="AG62" s="81"/>
      <c r="AJ62" s="87" t="s">
        <v>91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76"/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7"/>
      <c r="P64" s="373" t="s">
        <v>40</v>
      </c>
      <c r="Q64" s="374"/>
      <c r="R64" s="374"/>
      <c r="S64" s="374"/>
      <c r="T64" s="374"/>
      <c r="U64" s="374"/>
      <c r="V64" s="375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61" t="s">
        <v>115</v>
      </c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  <c r="U65" s="361"/>
      <c r="V65" s="361"/>
      <c r="W65" s="361"/>
      <c r="X65" s="361"/>
      <c r="Y65" s="361"/>
      <c r="Z65" s="361"/>
      <c r="AA65" s="66"/>
      <c r="AB65" s="66"/>
      <c r="AC65" s="83"/>
    </row>
    <row r="66" spans="1:68" ht="27" customHeight="1" x14ac:dyDescent="0.25">
      <c r="A66" s="63" t="s">
        <v>150</v>
      </c>
      <c r="B66" s="63" t="s">
        <v>151</v>
      </c>
      <c r="C66" s="36">
        <v>4301132194</v>
      </c>
      <c r="D66" s="362">
        <v>4607111039712</v>
      </c>
      <c r="E66" s="362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120</v>
      </c>
      <c r="L66" s="37" t="s">
        <v>90</v>
      </c>
      <c r="M66" s="38" t="s">
        <v>88</v>
      </c>
      <c r="N66" s="38"/>
      <c r="O66" s="37">
        <v>365</v>
      </c>
      <c r="P66" s="39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152</v>
      </c>
      <c r="AG66" s="81"/>
      <c r="AJ66" s="87" t="s">
        <v>91</v>
      </c>
      <c r="AK66" s="87">
        <v>1</v>
      </c>
      <c r="BB66" s="130" t="s">
        <v>119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61" t="s">
        <v>153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16.5" customHeight="1" x14ac:dyDescent="0.25">
      <c r="A70" s="63" t="s">
        <v>154</v>
      </c>
      <c r="B70" s="63" t="s">
        <v>155</v>
      </c>
      <c r="C70" s="36">
        <v>4301136018</v>
      </c>
      <c r="D70" s="362">
        <v>4607111037008</v>
      </c>
      <c r="E70" s="362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120</v>
      </c>
      <c r="L70" s="37" t="s">
        <v>90</v>
      </c>
      <c r="M70" s="38" t="s">
        <v>88</v>
      </c>
      <c r="N70" s="38"/>
      <c r="O70" s="37">
        <v>365</v>
      </c>
      <c r="P70" s="39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156</v>
      </c>
      <c r="AG70" s="81"/>
      <c r="AJ70" s="87" t="s">
        <v>91</v>
      </c>
      <c r="AK70" s="87">
        <v>1</v>
      </c>
      <c r="BB70" s="132" t="s">
        <v>119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157</v>
      </c>
      <c r="B71" s="63" t="s">
        <v>158</v>
      </c>
      <c r="C71" s="36">
        <v>4301136015</v>
      </c>
      <c r="D71" s="362">
        <v>4607111037398</v>
      </c>
      <c r="E71" s="362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120</v>
      </c>
      <c r="L71" s="37" t="s">
        <v>90</v>
      </c>
      <c r="M71" s="38" t="s">
        <v>88</v>
      </c>
      <c r="N71" s="38"/>
      <c r="O71" s="37">
        <v>365</v>
      </c>
      <c r="P71" s="39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156</v>
      </c>
      <c r="AG71" s="81"/>
      <c r="AJ71" s="87" t="s">
        <v>91</v>
      </c>
      <c r="AK71" s="87">
        <v>1</v>
      </c>
      <c r="BB71" s="134" t="s">
        <v>119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6"/>
      <c r="B72" s="376"/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7"/>
      <c r="P72" s="373" t="s">
        <v>40</v>
      </c>
      <c r="Q72" s="374"/>
      <c r="R72" s="374"/>
      <c r="S72" s="374"/>
      <c r="T72" s="374"/>
      <c r="U72" s="374"/>
      <c r="V72" s="375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61" t="s">
        <v>159</v>
      </c>
      <c r="B74" s="361"/>
      <c r="C74" s="361"/>
      <c r="D74" s="361"/>
      <c r="E74" s="361"/>
      <c r="F74" s="361"/>
      <c r="G74" s="361"/>
      <c r="H74" s="361"/>
      <c r="I74" s="361"/>
      <c r="J74" s="361"/>
      <c r="K74" s="361"/>
      <c r="L74" s="361"/>
      <c r="M74" s="361"/>
      <c r="N74" s="361"/>
      <c r="O74" s="361"/>
      <c r="P74" s="361"/>
      <c r="Q74" s="361"/>
      <c r="R74" s="361"/>
      <c r="S74" s="361"/>
      <c r="T74" s="361"/>
      <c r="U74" s="361"/>
      <c r="V74" s="361"/>
      <c r="W74" s="361"/>
      <c r="X74" s="361"/>
      <c r="Y74" s="361"/>
      <c r="Z74" s="361"/>
      <c r="AA74" s="66"/>
      <c r="AB74" s="66"/>
      <c r="AC74" s="83"/>
    </row>
    <row r="75" spans="1:68" ht="27" customHeight="1" x14ac:dyDescent="0.25">
      <c r="A75" s="63" t="s">
        <v>160</v>
      </c>
      <c r="B75" s="63" t="s">
        <v>161</v>
      </c>
      <c r="C75" s="36">
        <v>4301135664</v>
      </c>
      <c r="D75" s="362">
        <v>4607111039705</v>
      </c>
      <c r="E75" s="362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120</v>
      </c>
      <c r="L75" s="37" t="s">
        <v>90</v>
      </c>
      <c r="M75" s="38" t="s">
        <v>88</v>
      </c>
      <c r="N75" s="38"/>
      <c r="O75" s="37">
        <v>365</v>
      </c>
      <c r="P75" s="39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4"/>
      <c r="R75" s="364"/>
      <c r="S75" s="364"/>
      <c r="T75" s="365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91</v>
      </c>
      <c r="AK75" s="87">
        <v>1</v>
      </c>
      <c r="BB75" s="136" t="s">
        <v>119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162</v>
      </c>
      <c r="B76" s="63" t="s">
        <v>163</v>
      </c>
      <c r="C76" s="36">
        <v>4301135665</v>
      </c>
      <c r="D76" s="362">
        <v>4607111039729</v>
      </c>
      <c r="E76" s="362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120</v>
      </c>
      <c r="L76" s="37" t="s">
        <v>90</v>
      </c>
      <c r="M76" s="38" t="s">
        <v>88</v>
      </c>
      <c r="N76" s="38"/>
      <c r="O76" s="37">
        <v>365</v>
      </c>
      <c r="P76" s="39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4"/>
      <c r="R76" s="364"/>
      <c r="S76" s="364"/>
      <c r="T76" s="365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164</v>
      </c>
      <c r="AG76" s="81"/>
      <c r="AJ76" s="87" t="s">
        <v>91</v>
      </c>
      <c r="AK76" s="87">
        <v>1</v>
      </c>
      <c r="BB76" s="138" t="s">
        <v>119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165</v>
      </c>
      <c r="B77" s="63" t="s">
        <v>166</v>
      </c>
      <c r="C77" s="36">
        <v>4301135702</v>
      </c>
      <c r="D77" s="362">
        <v>4620207490228</v>
      </c>
      <c r="E77" s="362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120</v>
      </c>
      <c r="L77" s="37" t="s">
        <v>90</v>
      </c>
      <c r="M77" s="38" t="s">
        <v>88</v>
      </c>
      <c r="N77" s="38"/>
      <c r="O77" s="37">
        <v>365</v>
      </c>
      <c r="P77" s="39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164</v>
      </c>
      <c r="AG77" s="81"/>
      <c r="AJ77" s="87" t="s">
        <v>91</v>
      </c>
      <c r="AK77" s="87">
        <v>1</v>
      </c>
      <c r="BB77" s="140" t="s">
        <v>119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6"/>
      <c r="B78" s="376"/>
      <c r="C78" s="376"/>
      <c r="D78" s="376"/>
      <c r="E78" s="376"/>
      <c r="F78" s="376"/>
      <c r="G78" s="376"/>
      <c r="H78" s="376"/>
      <c r="I78" s="376"/>
      <c r="J78" s="376"/>
      <c r="K78" s="376"/>
      <c r="L78" s="376"/>
      <c r="M78" s="376"/>
      <c r="N78" s="376"/>
      <c r="O78" s="377"/>
      <c r="P78" s="373" t="s">
        <v>40</v>
      </c>
      <c r="Q78" s="374"/>
      <c r="R78" s="374"/>
      <c r="S78" s="374"/>
      <c r="T78" s="374"/>
      <c r="U78" s="374"/>
      <c r="V78" s="375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60" t="s">
        <v>167</v>
      </c>
      <c r="B80" s="360"/>
      <c r="C80" s="360"/>
      <c r="D80" s="360"/>
      <c r="E80" s="360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65"/>
      <c r="AB80" s="65"/>
      <c r="AC80" s="82"/>
    </row>
    <row r="81" spans="1:68" ht="14.25" customHeight="1" x14ac:dyDescent="0.25">
      <c r="A81" s="361" t="s">
        <v>82</v>
      </c>
      <c r="B81" s="361"/>
      <c r="C81" s="361"/>
      <c r="D81" s="361"/>
      <c r="E81" s="361"/>
      <c r="F81" s="361"/>
      <c r="G81" s="361"/>
      <c r="H81" s="361"/>
      <c r="I81" s="361"/>
      <c r="J81" s="361"/>
      <c r="K81" s="361"/>
      <c r="L81" s="361"/>
      <c r="M81" s="361"/>
      <c r="N81" s="361"/>
      <c r="O81" s="361"/>
      <c r="P81" s="361"/>
      <c r="Q81" s="361"/>
      <c r="R81" s="361"/>
      <c r="S81" s="361"/>
      <c r="T81" s="361"/>
      <c r="U81" s="361"/>
      <c r="V81" s="361"/>
      <c r="W81" s="361"/>
      <c r="X81" s="361"/>
      <c r="Y81" s="361"/>
      <c r="Z81" s="361"/>
      <c r="AA81" s="66"/>
      <c r="AB81" s="66"/>
      <c r="AC81" s="83"/>
    </row>
    <row r="82" spans="1:68" ht="27" customHeight="1" x14ac:dyDescent="0.25">
      <c r="A82" s="63" t="s">
        <v>168</v>
      </c>
      <c r="B82" s="63" t="s">
        <v>169</v>
      </c>
      <c r="C82" s="36">
        <v>4301070977</v>
      </c>
      <c r="D82" s="362">
        <v>4607111037411</v>
      </c>
      <c r="E82" s="362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171</v>
      </c>
      <c r="L82" s="37" t="s">
        <v>121</v>
      </c>
      <c r="M82" s="38" t="s">
        <v>88</v>
      </c>
      <c r="N82" s="38"/>
      <c r="O82" s="37">
        <v>180</v>
      </c>
      <c r="P82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4"/>
      <c r="R82" s="364"/>
      <c r="S82" s="364"/>
      <c r="T82" s="365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170</v>
      </c>
      <c r="AG82" s="81"/>
      <c r="AJ82" s="87" t="s">
        <v>122</v>
      </c>
      <c r="AK82" s="87">
        <v>18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172</v>
      </c>
      <c r="B83" s="63" t="s">
        <v>173</v>
      </c>
      <c r="C83" s="36">
        <v>4301070981</v>
      </c>
      <c r="D83" s="362">
        <v>4607111036728</v>
      </c>
      <c r="E83" s="362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89</v>
      </c>
      <c r="L83" s="37" t="s">
        <v>121</v>
      </c>
      <c r="M83" s="38" t="s">
        <v>88</v>
      </c>
      <c r="N83" s="38"/>
      <c r="O83" s="37">
        <v>180</v>
      </c>
      <c r="P83" s="39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72</v>
      </c>
      <c r="Y83" s="55">
        <f>IFERROR(IF(X83="","",X83),"")</f>
        <v>72</v>
      </c>
      <c r="Z83" s="41">
        <f>IFERROR(IF(X83="","",X83*0.00866),"")</f>
        <v>0.62351999999999996</v>
      </c>
      <c r="AA83" s="68" t="s">
        <v>46</v>
      </c>
      <c r="AB83" s="69" t="s">
        <v>46</v>
      </c>
      <c r="AC83" s="143" t="s">
        <v>170</v>
      </c>
      <c r="AG83" s="81"/>
      <c r="AJ83" s="87" t="s">
        <v>122</v>
      </c>
      <c r="AK83" s="87">
        <v>12</v>
      </c>
      <c r="BB83" s="144" t="s">
        <v>70</v>
      </c>
      <c r="BM83" s="81">
        <f>IFERROR(X83*I83,"0")</f>
        <v>375.35039999999998</v>
      </c>
      <c r="BN83" s="81">
        <f>IFERROR(Y83*I83,"0")</f>
        <v>375.35039999999998</v>
      </c>
      <c r="BO83" s="81">
        <f>IFERROR(X83/J83,"0")</f>
        <v>0.5</v>
      </c>
      <c r="BP83" s="81">
        <f>IFERROR(Y83/J83,"0")</f>
        <v>0.5</v>
      </c>
    </row>
    <row r="84" spans="1:68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IFERROR(SUM(X82:X83),"0")</f>
        <v>72</v>
      </c>
      <c r="Y84" s="43">
        <f>IFERROR(SUM(Y82:Y83),"0")</f>
        <v>72</v>
      </c>
      <c r="Z84" s="43">
        <f>IFERROR(IF(Z82="",0,Z82),"0")+IFERROR(IF(Z83="",0,Z83),"0")</f>
        <v>0.62351999999999996</v>
      </c>
      <c r="AA84" s="67"/>
      <c r="AB84" s="67"/>
      <c r="AC84" s="67"/>
    </row>
    <row r="85" spans="1:68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IFERROR(SUMPRODUCT(X82:X83*H82:H83),"0")</f>
        <v>360</v>
      </c>
      <c r="Y85" s="43">
        <f>IFERROR(SUMPRODUCT(Y82:Y83*H82:H83),"0")</f>
        <v>360</v>
      </c>
      <c r="Z85" s="42"/>
      <c r="AA85" s="67"/>
      <c r="AB85" s="67"/>
      <c r="AC85" s="67"/>
    </row>
    <row r="86" spans="1:68" ht="16.5" customHeight="1" x14ac:dyDescent="0.25">
      <c r="A86" s="360" t="s">
        <v>174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customHeight="1" x14ac:dyDescent="0.25">
      <c r="A87" s="361" t="s">
        <v>159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customHeight="1" x14ac:dyDescent="0.25">
      <c r="A88" s="63" t="s">
        <v>175</v>
      </c>
      <c r="B88" s="63" t="s">
        <v>176</v>
      </c>
      <c r="C88" s="36">
        <v>4301135574</v>
      </c>
      <c r="D88" s="362">
        <v>4607111033659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120</v>
      </c>
      <c r="L88" s="37" t="s">
        <v>121</v>
      </c>
      <c r="M88" s="38" t="s">
        <v>88</v>
      </c>
      <c r="N88" s="38"/>
      <c r="O88" s="37">
        <v>180</v>
      </c>
      <c r="P88" s="3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5" t="s">
        <v>177</v>
      </c>
      <c r="AG88" s="81"/>
      <c r="AJ88" s="87" t="s">
        <v>122</v>
      </c>
      <c r="AK88" s="87">
        <v>14</v>
      </c>
      <c r="BB88" s="146" t="s">
        <v>119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76"/>
      <c r="B89" s="376"/>
      <c r="C89" s="376"/>
      <c r="D89" s="376"/>
      <c r="E89" s="376"/>
      <c r="F89" s="376"/>
      <c r="G89" s="376"/>
      <c r="H89" s="376"/>
      <c r="I89" s="376"/>
      <c r="J89" s="376"/>
      <c r="K89" s="376"/>
      <c r="L89" s="376"/>
      <c r="M89" s="376"/>
      <c r="N89" s="376"/>
      <c r="O89" s="377"/>
      <c r="P89" s="373" t="s">
        <v>40</v>
      </c>
      <c r="Q89" s="374"/>
      <c r="R89" s="374"/>
      <c r="S89" s="374"/>
      <c r="T89" s="374"/>
      <c r="U89" s="374"/>
      <c r="V89" s="375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0</v>
      </c>
      <c r="X90" s="43">
        <f>IFERROR(SUMPRODUCT(X88:X88*H88:H88),"0")</f>
        <v>0</v>
      </c>
      <c r="Y90" s="43">
        <f>IFERROR(SUMPRODUCT(Y88:Y88*H88:H88),"0")</f>
        <v>0</v>
      </c>
      <c r="Z90" s="42"/>
      <c r="AA90" s="67"/>
      <c r="AB90" s="67"/>
      <c r="AC90" s="67"/>
    </row>
    <row r="91" spans="1:68" ht="16.5" customHeight="1" x14ac:dyDescent="0.25">
      <c r="A91" s="360" t="s">
        <v>178</v>
      </c>
      <c r="B91" s="360"/>
      <c r="C91" s="360"/>
      <c r="D91" s="360"/>
      <c r="E91" s="360"/>
      <c r="F91" s="360"/>
      <c r="G91" s="360"/>
      <c r="H91" s="360"/>
      <c r="I91" s="360"/>
      <c r="J91" s="360"/>
      <c r="K91" s="360"/>
      <c r="L91" s="360"/>
      <c r="M91" s="360"/>
      <c r="N91" s="360"/>
      <c r="O91" s="360"/>
      <c r="P91" s="360"/>
      <c r="Q91" s="360"/>
      <c r="R91" s="360"/>
      <c r="S91" s="360"/>
      <c r="T91" s="360"/>
      <c r="U91" s="360"/>
      <c r="V91" s="360"/>
      <c r="W91" s="360"/>
      <c r="X91" s="360"/>
      <c r="Y91" s="360"/>
      <c r="Z91" s="360"/>
      <c r="AA91" s="65"/>
      <c r="AB91" s="65"/>
      <c r="AC91" s="82"/>
    </row>
    <row r="92" spans="1:68" ht="14.25" customHeight="1" x14ac:dyDescent="0.25">
      <c r="A92" s="361" t="s">
        <v>179</v>
      </c>
      <c r="B92" s="361"/>
      <c r="C92" s="361"/>
      <c r="D92" s="361"/>
      <c r="E92" s="361"/>
      <c r="F92" s="361"/>
      <c r="G92" s="361"/>
      <c r="H92" s="361"/>
      <c r="I92" s="361"/>
      <c r="J92" s="361"/>
      <c r="K92" s="361"/>
      <c r="L92" s="361"/>
      <c r="M92" s="361"/>
      <c r="N92" s="361"/>
      <c r="O92" s="361"/>
      <c r="P92" s="361"/>
      <c r="Q92" s="361"/>
      <c r="R92" s="361"/>
      <c r="S92" s="361"/>
      <c r="T92" s="361"/>
      <c r="U92" s="361"/>
      <c r="V92" s="361"/>
      <c r="W92" s="361"/>
      <c r="X92" s="361"/>
      <c r="Y92" s="361"/>
      <c r="Z92" s="361"/>
      <c r="AA92" s="66"/>
      <c r="AB92" s="66"/>
      <c r="AC92" s="83"/>
    </row>
    <row r="93" spans="1:68" ht="27" customHeight="1" x14ac:dyDescent="0.25">
      <c r="A93" s="63" t="s">
        <v>180</v>
      </c>
      <c r="B93" s="63" t="s">
        <v>181</v>
      </c>
      <c r="C93" s="36">
        <v>4301131047</v>
      </c>
      <c r="D93" s="362">
        <v>4607111034120</v>
      </c>
      <c r="E93" s="362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120</v>
      </c>
      <c r="L93" s="37" t="s">
        <v>121</v>
      </c>
      <c r="M93" s="38" t="s">
        <v>88</v>
      </c>
      <c r="N93" s="38"/>
      <c r="O93" s="37">
        <v>180</v>
      </c>
      <c r="P93" s="3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4"/>
      <c r="R93" s="364"/>
      <c r="S93" s="364"/>
      <c r="T93" s="365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182</v>
      </c>
      <c r="AG93" s="81"/>
      <c r="AJ93" s="87" t="s">
        <v>122</v>
      </c>
      <c r="AK93" s="87">
        <v>14</v>
      </c>
      <c r="BB93" s="148" t="s">
        <v>119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customHeight="1" x14ac:dyDescent="0.25">
      <c r="A94" s="63" t="s">
        <v>183</v>
      </c>
      <c r="B94" s="63" t="s">
        <v>184</v>
      </c>
      <c r="C94" s="36">
        <v>4301131046</v>
      </c>
      <c r="D94" s="362">
        <v>4607111034137</v>
      </c>
      <c r="E94" s="362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120</v>
      </c>
      <c r="L94" s="37" t="s">
        <v>121</v>
      </c>
      <c r="M94" s="38" t="s">
        <v>88</v>
      </c>
      <c r="N94" s="38"/>
      <c r="O94" s="37">
        <v>180</v>
      </c>
      <c r="P94" s="4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185</v>
      </c>
      <c r="AG94" s="81"/>
      <c r="AJ94" s="87" t="s">
        <v>122</v>
      </c>
      <c r="AK94" s="87">
        <v>14</v>
      </c>
      <c r="BB94" s="150" t="s">
        <v>119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376"/>
      <c r="B95" s="376"/>
      <c r="C95" s="376"/>
      <c r="D95" s="376"/>
      <c r="E95" s="376"/>
      <c r="F95" s="376"/>
      <c r="G95" s="376"/>
      <c r="H95" s="376"/>
      <c r="I95" s="376"/>
      <c r="J95" s="376"/>
      <c r="K95" s="376"/>
      <c r="L95" s="376"/>
      <c r="M95" s="376"/>
      <c r="N95" s="376"/>
      <c r="O95" s="377"/>
      <c r="P95" s="373" t="s">
        <v>40</v>
      </c>
      <c r="Q95" s="374"/>
      <c r="R95" s="374"/>
      <c r="S95" s="374"/>
      <c r="T95" s="374"/>
      <c r="U95" s="374"/>
      <c r="V95" s="375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x14ac:dyDescent="0.2">
      <c r="A96" s="376"/>
      <c r="B96" s="376"/>
      <c r="C96" s="376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7"/>
      <c r="P96" s="373" t="s">
        <v>40</v>
      </c>
      <c r="Q96" s="374"/>
      <c r="R96" s="374"/>
      <c r="S96" s="374"/>
      <c r="T96" s="374"/>
      <c r="U96" s="374"/>
      <c r="V96" s="375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60" t="s">
        <v>186</v>
      </c>
      <c r="B97" s="360"/>
      <c r="C97" s="360"/>
      <c r="D97" s="360"/>
      <c r="E97" s="360"/>
      <c r="F97" s="360"/>
      <c r="G97" s="360"/>
      <c r="H97" s="360"/>
      <c r="I97" s="360"/>
      <c r="J97" s="360"/>
      <c r="K97" s="360"/>
      <c r="L97" s="360"/>
      <c r="M97" s="360"/>
      <c r="N97" s="360"/>
      <c r="O97" s="360"/>
      <c r="P97" s="360"/>
      <c r="Q97" s="360"/>
      <c r="R97" s="360"/>
      <c r="S97" s="360"/>
      <c r="T97" s="360"/>
      <c r="U97" s="360"/>
      <c r="V97" s="360"/>
      <c r="W97" s="360"/>
      <c r="X97" s="360"/>
      <c r="Y97" s="360"/>
      <c r="Z97" s="360"/>
      <c r="AA97" s="65"/>
      <c r="AB97" s="65"/>
      <c r="AC97" s="82"/>
    </row>
    <row r="98" spans="1:68" ht="14.25" customHeight="1" x14ac:dyDescent="0.25">
      <c r="A98" s="361" t="s">
        <v>159</v>
      </c>
      <c r="B98" s="361"/>
      <c r="C98" s="361"/>
      <c r="D98" s="361"/>
      <c r="E98" s="361"/>
      <c r="F98" s="361"/>
      <c r="G98" s="361"/>
      <c r="H98" s="361"/>
      <c r="I98" s="361"/>
      <c r="J98" s="361"/>
      <c r="K98" s="361"/>
      <c r="L98" s="361"/>
      <c r="M98" s="361"/>
      <c r="N98" s="361"/>
      <c r="O98" s="361"/>
      <c r="P98" s="361"/>
      <c r="Q98" s="361"/>
      <c r="R98" s="361"/>
      <c r="S98" s="361"/>
      <c r="T98" s="361"/>
      <c r="U98" s="361"/>
      <c r="V98" s="361"/>
      <c r="W98" s="361"/>
      <c r="X98" s="361"/>
      <c r="Y98" s="361"/>
      <c r="Z98" s="361"/>
      <c r="AA98" s="66"/>
      <c r="AB98" s="66"/>
      <c r="AC98" s="83"/>
    </row>
    <row r="99" spans="1:68" ht="27" customHeight="1" x14ac:dyDescent="0.25">
      <c r="A99" s="63" t="s">
        <v>187</v>
      </c>
      <c r="B99" s="63" t="s">
        <v>188</v>
      </c>
      <c r="C99" s="36">
        <v>4301135763</v>
      </c>
      <c r="D99" s="362">
        <v>4620207491027</v>
      </c>
      <c r="E99" s="362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120</v>
      </c>
      <c r="L99" s="37" t="s">
        <v>90</v>
      </c>
      <c r="M99" s="38" t="s">
        <v>88</v>
      </c>
      <c r="N99" s="38"/>
      <c r="O99" s="37">
        <v>180</v>
      </c>
      <c r="P99" s="40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177</v>
      </c>
      <c r="AG99" s="81"/>
      <c r="AJ99" s="87" t="s">
        <v>91</v>
      </c>
      <c r="AK99" s="87">
        <v>1</v>
      </c>
      <c r="BB99" s="152" t="s">
        <v>119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189</v>
      </c>
      <c r="B100" s="63" t="s">
        <v>190</v>
      </c>
      <c r="C100" s="36">
        <v>4301135793</v>
      </c>
      <c r="D100" s="362">
        <v>4620207491003</v>
      </c>
      <c r="E100" s="362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120</v>
      </c>
      <c r="L100" s="37" t="s">
        <v>121</v>
      </c>
      <c r="M100" s="38" t="s">
        <v>88</v>
      </c>
      <c r="N100" s="38"/>
      <c r="O100" s="37">
        <v>180</v>
      </c>
      <c r="P100" s="40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4"/>
      <c r="R100" s="364"/>
      <c r="S100" s="364"/>
      <c r="T100" s="365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177</v>
      </c>
      <c r="AG100" s="81"/>
      <c r="AJ100" s="87" t="s">
        <v>122</v>
      </c>
      <c r="AK100" s="87">
        <v>14</v>
      </c>
      <c r="BB100" s="154" t="s">
        <v>119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191</v>
      </c>
      <c r="B101" s="63" t="s">
        <v>192</v>
      </c>
      <c r="C101" s="36">
        <v>4301135768</v>
      </c>
      <c r="D101" s="362">
        <v>4620207491034</v>
      </c>
      <c r="E101" s="362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120</v>
      </c>
      <c r="L101" s="37" t="s">
        <v>90</v>
      </c>
      <c r="M101" s="38" t="s">
        <v>88</v>
      </c>
      <c r="N101" s="38"/>
      <c r="O101" s="37">
        <v>180</v>
      </c>
      <c r="P101" s="40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4"/>
      <c r="R101" s="364"/>
      <c r="S101" s="364"/>
      <c r="T101" s="365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193</v>
      </c>
      <c r="AG101" s="81"/>
      <c r="AJ101" s="87" t="s">
        <v>91</v>
      </c>
      <c r="AK101" s="87">
        <v>1</v>
      </c>
      <c r="BB101" s="156" t="s">
        <v>119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194</v>
      </c>
      <c r="B102" s="63" t="s">
        <v>195</v>
      </c>
      <c r="C102" s="36">
        <v>4301135760</v>
      </c>
      <c r="D102" s="362">
        <v>4620207491010</v>
      </c>
      <c r="E102" s="362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120</v>
      </c>
      <c r="L102" s="37" t="s">
        <v>121</v>
      </c>
      <c r="M102" s="38" t="s">
        <v>88</v>
      </c>
      <c r="N102" s="38"/>
      <c r="O102" s="37">
        <v>180</v>
      </c>
      <c r="P102" s="40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4"/>
      <c r="R102" s="364"/>
      <c r="S102" s="364"/>
      <c r="T102" s="365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177</v>
      </c>
      <c r="AG102" s="81"/>
      <c r="AJ102" s="87" t="s">
        <v>122</v>
      </c>
      <c r="AK102" s="87">
        <v>14</v>
      </c>
      <c r="BB102" s="158" t="s">
        <v>119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196</v>
      </c>
      <c r="B103" s="63" t="s">
        <v>197</v>
      </c>
      <c r="C103" s="36">
        <v>4301135571</v>
      </c>
      <c r="D103" s="362">
        <v>4607111035028</v>
      </c>
      <c r="E103" s="362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120</v>
      </c>
      <c r="L103" s="37" t="s">
        <v>121</v>
      </c>
      <c r="M103" s="38" t="s">
        <v>88</v>
      </c>
      <c r="N103" s="38"/>
      <c r="O103" s="37">
        <v>180</v>
      </c>
      <c r="P103" s="40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4"/>
      <c r="R103" s="364"/>
      <c r="S103" s="364"/>
      <c r="T103" s="365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177</v>
      </c>
      <c r="AG103" s="81"/>
      <c r="AJ103" s="87" t="s">
        <v>122</v>
      </c>
      <c r="AK103" s="87">
        <v>14</v>
      </c>
      <c r="BB103" s="160" t="s">
        <v>119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198</v>
      </c>
      <c r="B104" s="63" t="s">
        <v>199</v>
      </c>
      <c r="C104" s="36">
        <v>4301135285</v>
      </c>
      <c r="D104" s="362">
        <v>4607111036407</v>
      </c>
      <c r="E104" s="362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120</v>
      </c>
      <c r="L104" s="37" t="s">
        <v>121</v>
      </c>
      <c r="M104" s="38" t="s">
        <v>88</v>
      </c>
      <c r="N104" s="38"/>
      <c r="O104" s="37">
        <v>180</v>
      </c>
      <c r="P104" s="40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200</v>
      </c>
      <c r="AG104" s="81"/>
      <c r="AJ104" s="87" t="s">
        <v>122</v>
      </c>
      <c r="AK104" s="87">
        <v>14</v>
      </c>
      <c r="BB104" s="162" t="s">
        <v>119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76"/>
      <c r="B105" s="376"/>
      <c r="C105" s="376"/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6"/>
      <c r="O105" s="377"/>
      <c r="P105" s="373" t="s">
        <v>40</v>
      </c>
      <c r="Q105" s="374"/>
      <c r="R105" s="374"/>
      <c r="S105" s="374"/>
      <c r="T105" s="374"/>
      <c r="U105" s="374"/>
      <c r="V105" s="375"/>
      <c r="W105" s="42" t="s">
        <v>39</v>
      </c>
      <c r="X105" s="43">
        <f>IFERROR(SUM(X99:X104),"0")</f>
        <v>0</v>
      </c>
      <c r="Y105" s="43">
        <f>IFERROR(SUM(Y99:Y104),"0")</f>
        <v>0</v>
      </c>
      <c r="Z105" s="43">
        <f>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0</v>
      </c>
      <c r="X106" s="43">
        <f>IFERROR(SUMPRODUCT(X99:X104*H99:H104),"0")</f>
        <v>0</v>
      </c>
      <c r="Y106" s="43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60" t="s">
        <v>201</v>
      </c>
      <c r="B107" s="360"/>
      <c r="C107" s="360"/>
      <c r="D107" s="360"/>
      <c r="E107" s="360"/>
      <c r="F107" s="360"/>
      <c r="G107" s="360"/>
      <c r="H107" s="360"/>
      <c r="I107" s="360"/>
      <c r="J107" s="360"/>
      <c r="K107" s="360"/>
      <c r="L107" s="360"/>
      <c r="M107" s="360"/>
      <c r="N107" s="360"/>
      <c r="O107" s="360"/>
      <c r="P107" s="360"/>
      <c r="Q107" s="360"/>
      <c r="R107" s="360"/>
      <c r="S107" s="360"/>
      <c r="T107" s="360"/>
      <c r="U107" s="360"/>
      <c r="V107" s="360"/>
      <c r="W107" s="360"/>
      <c r="X107" s="360"/>
      <c r="Y107" s="360"/>
      <c r="Z107" s="360"/>
      <c r="AA107" s="65"/>
      <c r="AB107" s="65"/>
      <c r="AC107" s="82"/>
    </row>
    <row r="108" spans="1:68" ht="14.25" customHeight="1" x14ac:dyDescent="0.25">
      <c r="A108" s="361" t="s">
        <v>153</v>
      </c>
      <c r="B108" s="361"/>
      <c r="C108" s="361"/>
      <c r="D108" s="361"/>
      <c r="E108" s="361"/>
      <c r="F108" s="361"/>
      <c r="G108" s="361"/>
      <c r="H108" s="361"/>
      <c r="I108" s="361"/>
      <c r="J108" s="361"/>
      <c r="K108" s="361"/>
      <c r="L108" s="361"/>
      <c r="M108" s="361"/>
      <c r="N108" s="361"/>
      <c r="O108" s="361"/>
      <c r="P108" s="361"/>
      <c r="Q108" s="361"/>
      <c r="R108" s="361"/>
      <c r="S108" s="361"/>
      <c r="T108" s="361"/>
      <c r="U108" s="361"/>
      <c r="V108" s="361"/>
      <c r="W108" s="361"/>
      <c r="X108" s="361"/>
      <c r="Y108" s="361"/>
      <c r="Z108" s="361"/>
      <c r="AA108" s="66"/>
      <c r="AB108" s="66"/>
      <c r="AC108" s="83"/>
    </row>
    <row r="109" spans="1:68" ht="27" customHeight="1" x14ac:dyDescent="0.25">
      <c r="A109" s="63" t="s">
        <v>202</v>
      </c>
      <c r="B109" s="63" t="s">
        <v>203</v>
      </c>
      <c r="C109" s="36">
        <v>4301136070</v>
      </c>
      <c r="D109" s="362">
        <v>4607025784012</v>
      </c>
      <c r="E109" s="362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120</v>
      </c>
      <c r="L109" s="37" t="s">
        <v>121</v>
      </c>
      <c r="M109" s="38" t="s">
        <v>88</v>
      </c>
      <c r="N109" s="38"/>
      <c r="O109" s="37">
        <v>180</v>
      </c>
      <c r="P109" s="40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4"/>
      <c r="R109" s="364"/>
      <c r="S109" s="364"/>
      <c r="T109" s="365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204</v>
      </c>
      <c r="AG109" s="81"/>
      <c r="AJ109" s="87" t="s">
        <v>122</v>
      </c>
      <c r="AK109" s="87">
        <v>14</v>
      </c>
      <c r="BB109" s="164" t="s">
        <v>119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205</v>
      </c>
      <c r="B110" s="63" t="s">
        <v>206</v>
      </c>
      <c r="C110" s="36">
        <v>4301136079</v>
      </c>
      <c r="D110" s="362">
        <v>4607025784319</v>
      </c>
      <c r="E110" s="362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120</v>
      </c>
      <c r="L110" s="37" t="s">
        <v>121</v>
      </c>
      <c r="M110" s="38" t="s">
        <v>88</v>
      </c>
      <c r="N110" s="38"/>
      <c r="O110" s="37">
        <v>180</v>
      </c>
      <c r="P110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177</v>
      </c>
      <c r="AG110" s="81"/>
      <c r="AJ110" s="87" t="s">
        <v>122</v>
      </c>
      <c r="AK110" s="87">
        <v>14</v>
      </c>
      <c r="BB110" s="166" t="s">
        <v>119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76"/>
      <c r="B111" s="376"/>
      <c r="C111" s="376"/>
      <c r="D111" s="376"/>
      <c r="E111" s="376"/>
      <c r="F111" s="376"/>
      <c r="G111" s="376"/>
      <c r="H111" s="376"/>
      <c r="I111" s="376"/>
      <c r="J111" s="376"/>
      <c r="K111" s="376"/>
      <c r="L111" s="376"/>
      <c r="M111" s="376"/>
      <c r="N111" s="376"/>
      <c r="O111" s="377"/>
      <c r="P111" s="373" t="s">
        <v>40</v>
      </c>
      <c r="Q111" s="374"/>
      <c r="R111" s="374"/>
      <c r="S111" s="374"/>
      <c r="T111" s="374"/>
      <c r="U111" s="374"/>
      <c r="V111" s="375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376"/>
      <c r="B112" s="376"/>
      <c r="C112" s="376"/>
      <c r="D112" s="376"/>
      <c r="E112" s="376"/>
      <c r="F112" s="376"/>
      <c r="G112" s="376"/>
      <c r="H112" s="376"/>
      <c r="I112" s="376"/>
      <c r="J112" s="376"/>
      <c r="K112" s="376"/>
      <c r="L112" s="376"/>
      <c r="M112" s="376"/>
      <c r="N112" s="376"/>
      <c r="O112" s="377"/>
      <c r="P112" s="373" t="s">
        <v>40</v>
      </c>
      <c r="Q112" s="374"/>
      <c r="R112" s="374"/>
      <c r="S112" s="374"/>
      <c r="T112" s="374"/>
      <c r="U112" s="374"/>
      <c r="V112" s="375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60" t="s">
        <v>207</v>
      </c>
      <c r="B113" s="360"/>
      <c r="C113" s="360"/>
      <c r="D113" s="360"/>
      <c r="E113" s="360"/>
      <c r="F113" s="360"/>
      <c r="G113" s="360"/>
      <c r="H113" s="360"/>
      <c r="I113" s="360"/>
      <c r="J113" s="360"/>
      <c r="K113" s="360"/>
      <c r="L113" s="360"/>
      <c r="M113" s="360"/>
      <c r="N113" s="360"/>
      <c r="O113" s="360"/>
      <c r="P113" s="360"/>
      <c r="Q113" s="360"/>
      <c r="R113" s="360"/>
      <c r="S113" s="360"/>
      <c r="T113" s="360"/>
      <c r="U113" s="360"/>
      <c r="V113" s="360"/>
      <c r="W113" s="360"/>
      <c r="X113" s="360"/>
      <c r="Y113" s="360"/>
      <c r="Z113" s="360"/>
      <c r="AA113" s="65"/>
      <c r="AB113" s="65"/>
      <c r="AC113" s="82"/>
    </row>
    <row r="114" spans="1:68" ht="14.25" customHeight="1" x14ac:dyDescent="0.25">
      <c r="A114" s="361" t="s">
        <v>82</v>
      </c>
      <c r="B114" s="361"/>
      <c r="C114" s="361"/>
      <c r="D114" s="361"/>
      <c r="E114" s="361"/>
      <c r="F114" s="361"/>
      <c r="G114" s="361"/>
      <c r="H114" s="361"/>
      <c r="I114" s="361"/>
      <c r="J114" s="361"/>
      <c r="K114" s="361"/>
      <c r="L114" s="361"/>
      <c r="M114" s="361"/>
      <c r="N114" s="361"/>
      <c r="O114" s="361"/>
      <c r="P114" s="361"/>
      <c r="Q114" s="361"/>
      <c r="R114" s="361"/>
      <c r="S114" s="361"/>
      <c r="T114" s="361"/>
      <c r="U114" s="361"/>
      <c r="V114" s="361"/>
      <c r="W114" s="361"/>
      <c r="X114" s="361"/>
      <c r="Y114" s="361"/>
      <c r="Z114" s="361"/>
      <c r="AA114" s="66"/>
      <c r="AB114" s="66"/>
      <c r="AC114" s="83"/>
    </row>
    <row r="115" spans="1:68" ht="27" customHeight="1" x14ac:dyDescent="0.25">
      <c r="A115" s="63" t="s">
        <v>208</v>
      </c>
      <c r="B115" s="63" t="s">
        <v>209</v>
      </c>
      <c r="C115" s="36">
        <v>4301071074</v>
      </c>
      <c r="D115" s="362">
        <v>4620207491157</v>
      </c>
      <c r="E115" s="362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89</v>
      </c>
      <c r="L115" s="37" t="s">
        <v>121</v>
      </c>
      <c r="M115" s="38" t="s">
        <v>88</v>
      </c>
      <c r="N115" s="38"/>
      <c r="O115" s="37">
        <v>180</v>
      </c>
      <c r="P115" s="40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2" si="12">IFERROR(IF(X115="","",X115),"")</f>
        <v>0</v>
      </c>
      <c r="Z115" s="41">
        <f t="shared" ref="Z115:Z122" si="13">IFERROR(IF(X115="","",X115*0.0155),"")</f>
        <v>0</v>
      </c>
      <c r="AA115" s="68" t="s">
        <v>46</v>
      </c>
      <c r="AB115" s="69" t="s">
        <v>46</v>
      </c>
      <c r="AC115" s="167" t="s">
        <v>210</v>
      </c>
      <c r="AG115" s="81"/>
      <c r="AJ115" s="87" t="s">
        <v>122</v>
      </c>
      <c r="AK115" s="87">
        <v>12</v>
      </c>
      <c r="BB115" s="168" t="s">
        <v>70</v>
      </c>
      <c r="BM115" s="81">
        <f t="shared" ref="BM115:BM122" si="14">IFERROR(X115*I115,"0")</f>
        <v>0</v>
      </c>
      <c r="BN115" s="81">
        <f t="shared" ref="BN115:BN122" si="15">IFERROR(Y115*I115,"0")</f>
        <v>0</v>
      </c>
      <c r="BO115" s="81">
        <f t="shared" ref="BO115:BO122" si="16">IFERROR(X115/J115,"0")</f>
        <v>0</v>
      </c>
      <c r="BP115" s="81">
        <f t="shared" ref="BP115:BP122" si="17">IFERROR(Y115/J115,"0")</f>
        <v>0</v>
      </c>
    </row>
    <row r="116" spans="1:68" ht="27" customHeight="1" x14ac:dyDescent="0.25">
      <c r="A116" s="63" t="s">
        <v>211</v>
      </c>
      <c r="B116" s="63" t="s">
        <v>212</v>
      </c>
      <c r="C116" s="36">
        <v>4301071121</v>
      </c>
      <c r="D116" s="362">
        <v>4620207491393</v>
      </c>
      <c r="E116" s="362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89</v>
      </c>
      <c r="L116" s="37" t="s">
        <v>90</v>
      </c>
      <c r="M116" s="38" t="s">
        <v>88</v>
      </c>
      <c r="N116" s="38"/>
      <c r="O116" s="37">
        <v>180</v>
      </c>
      <c r="P116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213</v>
      </c>
      <c r="AG116" s="81"/>
      <c r="AJ116" s="87" t="s">
        <v>91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214</v>
      </c>
      <c r="B117" s="63" t="s">
        <v>215</v>
      </c>
      <c r="C117" s="36">
        <v>4301071051</v>
      </c>
      <c r="D117" s="362">
        <v>4607111039262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89</v>
      </c>
      <c r="L117" s="37" t="s">
        <v>121</v>
      </c>
      <c r="M117" s="38" t="s">
        <v>88</v>
      </c>
      <c r="N117" s="38"/>
      <c r="O117" s="37">
        <v>180</v>
      </c>
      <c r="P117" s="41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170</v>
      </c>
      <c r="AG117" s="81"/>
      <c r="AJ117" s="87" t="s">
        <v>122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216</v>
      </c>
      <c r="B118" s="63" t="s">
        <v>217</v>
      </c>
      <c r="C118" s="36">
        <v>4301071038</v>
      </c>
      <c r="D118" s="362">
        <v>4607111039248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89</v>
      </c>
      <c r="L118" s="37" t="s">
        <v>121</v>
      </c>
      <c r="M118" s="38" t="s">
        <v>88</v>
      </c>
      <c r="N118" s="38"/>
      <c r="O118" s="37">
        <v>180</v>
      </c>
      <c r="P118" s="41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170</v>
      </c>
      <c r="AG118" s="81"/>
      <c r="AJ118" s="87" t="s">
        <v>122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218</v>
      </c>
      <c r="B119" s="63" t="s">
        <v>219</v>
      </c>
      <c r="C119" s="36">
        <v>4301070979</v>
      </c>
      <c r="D119" s="362">
        <v>4607111037145</v>
      </c>
      <c r="E119" s="362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89</v>
      </c>
      <c r="L119" s="37" t="s">
        <v>90</v>
      </c>
      <c r="M119" s="38" t="s">
        <v>88</v>
      </c>
      <c r="N119" s="38"/>
      <c r="O119" s="37">
        <v>180</v>
      </c>
      <c r="P119" s="41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4"/>
      <c r="R119" s="364"/>
      <c r="S119" s="364"/>
      <c r="T119" s="365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220</v>
      </c>
      <c r="AG119" s="81"/>
      <c r="AJ119" s="87" t="s">
        <v>91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221</v>
      </c>
      <c r="B120" s="63" t="s">
        <v>222</v>
      </c>
      <c r="C120" s="36">
        <v>4301071075</v>
      </c>
      <c r="D120" s="362">
        <v>4620207491102</v>
      </c>
      <c r="E120" s="362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89</v>
      </c>
      <c r="L120" s="37" t="s">
        <v>90</v>
      </c>
      <c r="M120" s="38" t="s">
        <v>88</v>
      </c>
      <c r="N120" s="38"/>
      <c r="O120" s="37">
        <v>180</v>
      </c>
      <c r="P120" s="41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64"/>
      <c r="R120" s="364"/>
      <c r="S120" s="364"/>
      <c r="T120" s="365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223</v>
      </c>
      <c r="AG120" s="81"/>
      <c r="AJ120" s="87" t="s">
        <v>91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224</v>
      </c>
      <c r="B121" s="63" t="s">
        <v>225</v>
      </c>
      <c r="C121" s="36">
        <v>4301071049</v>
      </c>
      <c r="D121" s="362">
        <v>4607111039293</v>
      </c>
      <c r="E121" s="362"/>
      <c r="F121" s="62">
        <v>0.4</v>
      </c>
      <c r="G121" s="37">
        <v>16</v>
      </c>
      <c r="H121" s="62">
        <v>6.4</v>
      </c>
      <c r="I121" s="62">
        <v>6.7195999999999998</v>
      </c>
      <c r="J121" s="37">
        <v>84</v>
      </c>
      <c r="K121" s="37" t="s">
        <v>89</v>
      </c>
      <c r="L121" s="37" t="s">
        <v>121</v>
      </c>
      <c r="M121" s="38" t="s">
        <v>88</v>
      </c>
      <c r="N121" s="38"/>
      <c r="O121" s="37">
        <v>180</v>
      </c>
      <c r="P121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64"/>
      <c r="R121" s="364"/>
      <c r="S121" s="364"/>
      <c r="T121" s="365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170</v>
      </c>
      <c r="AG121" s="81"/>
      <c r="AJ121" s="87" t="s">
        <v>122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ht="27" customHeight="1" x14ac:dyDescent="0.25">
      <c r="A122" s="63" t="s">
        <v>226</v>
      </c>
      <c r="B122" s="63" t="s">
        <v>227</v>
      </c>
      <c r="C122" s="36">
        <v>4301071039</v>
      </c>
      <c r="D122" s="362">
        <v>4607111039279</v>
      </c>
      <c r="E122" s="362"/>
      <c r="F122" s="62">
        <v>0.7</v>
      </c>
      <c r="G122" s="37">
        <v>10</v>
      </c>
      <c r="H122" s="62">
        <v>7</v>
      </c>
      <c r="I122" s="62">
        <v>7.3</v>
      </c>
      <c r="J122" s="37">
        <v>84</v>
      </c>
      <c r="K122" s="37" t="s">
        <v>89</v>
      </c>
      <c r="L122" s="37" t="s">
        <v>121</v>
      </c>
      <c r="M122" s="38" t="s">
        <v>88</v>
      </c>
      <c r="N122" s="38"/>
      <c r="O122" s="37">
        <v>180</v>
      </c>
      <c r="P122" s="41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 t="shared" si="12"/>
        <v>0</v>
      </c>
      <c r="Z122" s="41">
        <f t="shared" si="13"/>
        <v>0</v>
      </c>
      <c r="AA122" s="68" t="s">
        <v>46</v>
      </c>
      <c r="AB122" s="69" t="s">
        <v>46</v>
      </c>
      <c r="AC122" s="181" t="s">
        <v>170</v>
      </c>
      <c r="AG122" s="81"/>
      <c r="AJ122" s="87" t="s">
        <v>122</v>
      </c>
      <c r="AK122" s="87">
        <v>12</v>
      </c>
      <c r="BB122" s="182" t="s">
        <v>70</v>
      </c>
      <c r="BM122" s="81">
        <f t="shared" si="14"/>
        <v>0</v>
      </c>
      <c r="BN122" s="81">
        <f t="shared" si="15"/>
        <v>0</v>
      </c>
      <c r="BO122" s="81">
        <f t="shared" si="16"/>
        <v>0</v>
      </c>
      <c r="BP122" s="81">
        <f t="shared" si="17"/>
        <v>0</v>
      </c>
    </row>
    <row r="123" spans="1:68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IFERROR(SUM(X115:X122),"0")</f>
        <v>0</v>
      </c>
      <c r="Y123" s="43">
        <f>IFERROR(SUM(Y115:Y122),"0")</f>
        <v>0</v>
      </c>
      <c r="Z123" s="43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IFERROR(SUMPRODUCT(X115:X122*H115:H122),"0")</f>
        <v>0</v>
      </c>
      <c r="Y124" s="43">
        <f>IFERROR(SUMPRODUCT(Y115:Y122*H115:H122),"0")</f>
        <v>0</v>
      </c>
      <c r="Z124" s="42"/>
      <c r="AA124" s="67"/>
      <c r="AB124" s="67"/>
      <c r="AC124" s="67"/>
    </row>
    <row r="125" spans="1:68" ht="14.25" customHeight="1" x14ac:dyDescent="0.25">
      <c r="A125" s="361" t="s">
        <v>159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customHeight="1" x14ac:dyDescent="0.25">
      <c r="A126" s="63" t="s">
        <v>228</v>
      </c>
      <c r="B126" s="63" t="s">
        <v>229</v>
      </c>
      <c r="C126" s="36">
        <v>4301135826</v>
      </c>
      <c r="D126" s="362">
        <v>4620207490983</v>
      </c>
      <c r="E126" s="362"/>
      <c r="F126" s="62">
        <v>0.22</v>
      </c>
      <c r="G126" s="37">
        <v>12</v>
      </c>
      <c r="H126" s="62">
        <v>2.64</v>
      </c>
      <c r="I126" s="62">
        <v>3.3435999999999999</v>
      </c>
      <c r="J126" s="37">
        <v>70</v>
      </c>
      <c r="K126" s="37" t="s">
        <v>120</v>
      </c>
      <c r="L126" s="37" t="s">
        <v>90</v>
      </c>
      <c r="M126" s="38" t="s">
        <v>88</v>
      </c>
      <c r="N126" s="38"/>
      <c r="O126" s="37">
        <v>180</v>
      </c>
      <c r="P126" s="41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IFERROR(IF(X126="","",X126*0.01788),"")</f>
        <v>0</v>
      </c>
      <c r="AA126" s="68" t="s">
        <v>46</v>
      </c>
      <c r="AB126" s="69" t="s">
        <v>46</v>
      </c>
      <c r="AC126" s="183" t="s">
        <v>230</v>
      </c>
      <c r="AG126" s="81"/>
      <c r="AJ126" s="87" t="s">
        <v>91</v>
      </c>
      <c r="AK126" s="87">
        <v>1</v>
      </c>
      <c r="BB126" s="184" t="s">
        <v>119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customHeight="1" x14ac:dyDescent="0.25">
      <c r="A129" s="361" t="s">
        <v>231</v>
      </c>
      <c r="B129" s="361"/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1"/>
      <c r="N129" s="361"/>
      <c r="O129" s="361"/>
      <c r="P129" s="361"/>
      <c r="Q129" s="361"/>
      <c r="R129" s="361"/>
      <c r="S129" s="361"/>
      <c r="T129" s="361"/>
      <c r="U129" s="361"/>
      <c r="V129" s="361"/>
      <c r="W129" s="361"/>
      <c r="X129" s="361"/>
      <c r="Y129" s="361"/>
      <c r="Z129" s="361"/>
      <c r="AA129" s="66"/>
      <c r="AB129" s="66"/>
      <c r="AC129" s="83"/>
    </row>
    <row r="130" spans="1:68" ht="27" customHeight="1" x14ac:dyDescent="0.25">
      <c r="A130" s="63" t="s">
        <v>232</v>
      </c>
      <c r="B130" s="63" t="s">
        <v>233</v>
      </c>
      <c r="C130" s="36">
        <v>4301071094</v>
      </c>
      <c r="D130" s="362">
        <v>4620207491140</v>
      </c>
      <c r="E130" s="362"/>
      <c r="F130" s="62">
        <v>0.6</v>
      </c>
      <c r="G130" s="37">
        <v>10</v>
      </c>
      <c r="H130" s="62">
        <v>6</v>
      </c>
      <c r="I130" s="62">
        <v>6.28</v>
      </c>
      <c r="J130" s="37">
        <v>84</v>
      </c>
      <c r="K130" s="37" t="s">
        <v>89</v>
      </c>
      <c r="L130" s="37" t="s">
        <v>90</v>
      </c>
      <c r="M130" s="38" t="s">
        <v>88</v>
      </c>
      <c r="N130" s="38"/>
      <c r="O130" s="37">
        <v>180</v>
      </c>
      <c r="P130" s="41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64"/>
      <c r="R130" s="364"/>
      <c r="S130" s="364"/>
      <c r="T130" s="365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IFERROR(IF(X130="","",X130*0.0155),"")</f>
        <v>0</v>
      </c>
      <c r="AA130" s="68" t="s">
        <v>46</v>
      </c>
      <c r="AB130" s="69" t="s">
        <v>46</v>
      </c>
      <c r="AC130" s="185" t="s">
        <v>234</v>
      </c>
      <c r="AG130" s="81"/>
      <c r="AJ130" s="87" t="s">
        <v>91</v>
      </c>
      <c r="AK130" s="87">
        <v>1</v>
      </c>
      <c r="BB130" s="186" t="s">
        <v>119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x14ac:dyDescent="0.2">
      <c r="A131" s="376"/>
      <c r="B131" s="376"/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7"/>
      <c r="P131" s="373" t="s">
        <v>40</v>
      </c>
      <c r="Q131" s="374"/>
      <c r="R131" s="374"/>
      <c r="S131" s="374"/>
      <c r="T131" s="374"/>
      <c r="U131" s="374"/>
      <c r="V131" s="375"/>
      <c r="W131" s="42" t="s">
        <v>39</v>
      </c>
      <c r="X131" s="43">
        <f>IFERROR(SUM(X130:X130),"0")</f>
        <v>0</v>
      </c>
      <c r="Y131" s="43">
        <f>IFERROR(SUM(Y130:Y130),"0")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376"/>
      <c r="B132" s="376"/>
      <c r="C132" s="376"/>
      <c r="D132" s="376"/>
      <c r="E132" s="376"/>
      <c r="F132" s="376"/>
      <c r="G132" s="376"/>
      <c r="H132" s="376"/>
      <c r="I132" s="376"/>
      <c r="J132" s="376"/>
      <c r="K132" s="376"/>
      <c r="L132" s="376"/>
      <c r="M132" s="376"/>
      <c r="N132" s="376"/>
      <c r="O132" s="377"/>
      <c r="P132" s="373" t="s">
        <v>40</v>
      </c>
      <c r="Q132" s="374"/>
      <c r="R132" s="374"/>
      <c r="S132" s="374"/>
      <c r="T132" s="374"/>
      <c r="U132" s="374"/>
      <c r="V132" s="375"/>
      <c r="W132" s="42" t="s">
        <v>0</v>
      </c>
      <c r="X132" s="43">
        <f>IFERROR(SUMPRODUCT(X130:X130*H130:H130),"0")</f>
        <v>0</v>
      </c>
      <c r="Y132" s="43">
        <f>IFERROR(SUMPRODUCT(Y130:Y130*H130:H130),"0")</f>
        <v>0</v>
      </c>
      <c r="Z132" s="42"/>
      <c r="AA132" s="67"/>
      <c r="AB132" s="67"/>
      <c r="AC132" s="67"/>
    </row>
    <row r="133" spans="1:68" ht="16.5" customHeight="1" x14ac:dyDescent="0.25">
      <c r="A133" s="360" t="s">
        <v>235</v>
      </c>
      <c r="B133" s="360"/>
      <c r="C133" s="360"/>
      <c r="D133" s="360"/>
      <c r="E133" s="360"/>
      <c r="F133" s="360"/>
      <c r="G133" s="360"/>
      <c r="H133" s="360"/>
      <c r="I133" s="360"/>
      <c r="J133" s="360"/>
      <c r="K133" s="360"/>
      <c r="L133" s="360"/>
      <c r="M133" s="360"/>
      <c r="N133" s="360"/>
      <c r="O133" s="360"/>
      <c r="P133" s="360"/>
      <c r="Q133" s="360"/>
      <c r="R133" s="360"/>
      <c r="S133" s="360"/>
      <c r="T133" s="360"/>
      <c r="U133" s="360"/>
      <c r="V133" s="360"/>
      <c r="W133" s="360"/>
      <c r="X133" s="360"/>
      <c r="Y133" s="360"/>
      <c r="Z133" s="360"/>
      <c r="AA133" s="65"/>
      <c r="AB133" s="65"/>
      <c r="AC133" s="82"/>
    </row>
    <row r="134" spans="1:68" ht="14.25" customHeight="1" x14ac:dyDescent="0.25">
      <c r="A134" s="361" t="s">
        <v>159</v>
      </c>
      <c r="B134" s="361"/>
      <c r="C134" s="361"/>
      <c r="D134" s="361"/>
      <c r="E134" s="361"/>
      <c r="F134" s="361"/>
      <c r="G134" s="361"/>
      <c r="H134" s="361"/>
      <c r="I134" s="361"/>
      <c r="J134" s="361"/>
      <c r="K134" s="361"/>
      <c r="L134" s="361"/>
      <c r="M134" s="361"/>
      <c r="N134" s="361"/>
      <c r="O134" s="361"/>
      <c r="P134" s="361"/>
      <c r="Q134" s="361"/>
      <c r="R134" s="361"/>
      <c r="S134" s="361"/>
      <c r="T134" s="361"/>
      <c r="U134" s="361"/>
      <c r="V134" s="361"/>
      <c r="W134" s="361"/>
      <c r="X134" s="361"/>
      <c r="Y134" s="361"/>
      <c r="Z134" s="361"/>
      <c r="AA134" s="66"/>
      <c r="AB134" s="66"/>
      <c r="AC134" s="83"/>
    </row>
    <row r="135" spans="1:68" ht="27" customHeight="1" x14ac:dyDescent="0.25">
      <c r="A135" s="63" t="s">
        <v>236</v>
      </c>
      <c r="B135" s="63" t="s">
        <v>237</v>
      </c>
      <c r="C135" s="36">
        <v>4301135850</v>
      </c>
      <c r="D135" s="362">
        <v>4620207491492</v>
      </c>
      <c r="E135" s="362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120</v>
      </c>
      <c r="L135" s="37" t="s">
        <v>90</v>
      </c>
      <c r="M135" s="38" t="s">
        <v>88</v>
      </c>
      <c r="N135" s="38"/>
      <c r="O135" s="37">
        <v>180</v>
      </c>
      <c r="P135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64"/>
      <c r="R135" s="364"/>
      <c r="S135" s="364"/>
      <c r="T135" s="365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238</v>
      </c>
      <c r="AG135" s="81"/>
      <c r="AJ135" s="87" t="s">
        <v>91</v>
      </c>
      <c r="AK135" s="87">
        <v>1</v>
      </c>
      <c r="BB135" s="188" t="s">
        <v>119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239</v>
      </c>
      <c r="B136" s="63" t="s">
        <v>240</v>
      </c>
      <c r="C136" s="36">
        <v>4301190118</v>
      </c>
      <c r="D136" s="362">
        <v>4620207491461</v>
      </c>
      <c r="E136" s="362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120</v>
      </c>
      <c r="L136" s="37" t="s">
        <v>90</v>
      </c>
      <c r="M136" s="38" t="s">
        <v>88</v>
      </c>
      <c r="N136" s="38"/>
      <c r="O136" s="37">
        <v>180</v>
      </c>
      <c r="P136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64"/>
      <c r="R136" s="364"/>
      <c r="S136" s="364"/>
      <c r="T136" s="365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238</v>
      </c>
      <c r="AG136" s="81"/>
      <c r="AJ136" s="87" t="s">
        <v>91</v>
      </c>
      <c r="AK136" s="87">
        <v>1</v>
      </c>
      <c r="BB136" s="190" t="s">
        <v>119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241</v>
      </c>
      <c r="B137" s="63" t="s">
        <v>242</v>
      </c>
      <c r="C137" s="36">
        <v>4301135865</v>
      </c>
      <c r="D137" s="362">
        <v>4620207491485</v>
      </c>
      <c r="E137" s="362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120</v>
      </c>
      <c r="L137" s="37" t="s">
        <v>90</v>
      </c>
      <c r="M137" s="38" t="s">
        <v>88</v>
      </c>
      <c r="N137" s="38"/>
      <c r="O137" s="37">
        <v>180</v>
      </c>
      <c r="P137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64"/>
      <c r="R137" s="364"/>
      <c r="S137" s="364"/>
      <c r="T137" s="365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238</v>
      </c>
      <c r="AG137" s="81"/>
      <c r="AJ137" s="87" t="s">
        <v>91</v>
      </c>
      <c r="AK137" s="87">
        <v>1</v>
      </c>
      <c r="BB137" s="192" t="s">
        <v>119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76"/>
      <c r="B138" s="376"/>
      <c r="C138" s="376"/>
      <c r="D138" s="376"/>
      <c r="E138" s="376"/>
      <c r="F138" s="376"/>
      <c r="G138" s="376"/>
      <c r="H138" s="376"/>
      <c r="I138" s="376"/>
      <c r="J138" s="376"/>
      <c r="K138" s="376"/>
      <c r="L138" s="376"/>
      <c r="M138" s="376"/>
      <c r="N138" s="376"/>
      <c r="O138" s="377"/>
      <c r="P138" s="373" t="s">
        <v>40</v>
      </c>
      <c r="Q138" s="374"/>
      <c r="R138" s="374"/>
      <c r="S138" s="374"/>
      <c r="T138" s="374"/>
      <c r="U138" s="374"/>
      <c r="V138" s="375"/>
      <c r="W138" s="42" t="s">
        <v>39</v>
      </c>
      <c r="X138" s="43">
        <f>IFERROR(SUM(X135:X137),"0")</f>
        <v>0</v>
      </c>
      <c r="Y138" s="43">
        <f>IFERROR(SUM(Y135:Y137),"0")</f>
        <v>0</v>
      </c>
      <c r="Z138" s="43">
        <f>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376"/>
      <c r="B139" s="376"/>
      <c r="C139" s="376"/>
      <c r="D139" s="376"/>
      <c r="E139" s="376"/>
      <c r="F139" s="376"/>
      <c r="G139" s="376"/>
      <c r="H139" s="376"/>
      <c r="I139" s="376"/>
      <c r="J139" s="376"/>
      <c r="K139" s="376"/>
      <c r="L139" s="376"/>
      <c r="M139" s="376"/>
      <c r="N139" s="376"/>
      <c r="O139" s="377"/>
      <c r="P139" s="373" t="s">
        <v>40</v>
      </c>
      <c r="Q139" s="374"/>
      <c r="R139" s="374"/>
      <c r="S139" s="374"/>
      <c r="T139" s="374"/>
      <c r="U139" s="374"/>
      <c r="V139" s="375"/>
      <c r="W139" s="42" t="s">
        <v>0</v>
      </c>
      <c r="X139" s="43">
        <f>IFERROR(SUMPRODUCT(X135:X137*H135:H137),"0")</f>
        <v>0</v>
      </c>
      <c r="Y139" s="43">
        <f>IFERROR(SUMPRODUCT(Y135:Y137*H135:H137),"0")</f>
        <v>0</v>
      </c>
      <c r="Z139" s="42"/>
      <c r="AA139" s="67"/>
      <c r="AB139" s="67"/>
      <c r="AC139" s="67"/>
    </row>
    <row r="140" spans="1:68" ht="14.25" customHeight="1" x14ac:dyDescent="0.25">
      <c r="A140" s="361" t="s">
        <v>243</v>
      </c>
      <c r="B140" s="361"/>
      <c r="C140" s="361"/>
      <c r="D140" s="361"/>
      <c r="E140" s="361"/>
      <c r="F140" s="361"/>
      <c r="G140" s="361"/>
      <c r="H140" s="361"/>
      <c r="I140" s="361"/>
      <c r="J140" s="361"/>
      <c r="K140" s="361"/>
      <c r="L140" s="361"/>
      <c r="M140" s="361"/>
      <c r="N140" s="361"/>
      <c r="O140" s="361"/>
      <c r="P140" s="361"/>
      <c r="Q140" s="361"/>
      <c r="R140" s="361"/>
      <c r="S140" s="361"/>
      <c r="T140" s="361"/>
      <c r="U140" s="361"/>
      <c r="V140" s="361"/>
      <c r="W140" s="361"/>
      <c r="X140" s="361"/>
      <c r="Y140" s="361"/>
      <c r="Z140" s="361"/>
      <c r="AA140" s="66"/>
      <c r="AB140" s="66"/>
      <c r="AC140" s="83"/>
    </row>
    <row r="141" spans="1:68" ht="27" customHeight="1" x14ac:dyDescent="0.25">
      <c r="A141" s="63" t="s">
        <v>244</v>
      </c>
      <c r="B141" s="63" t="s">
        <v>245</v>
      </c>
      <c r="C141" s="36">
        <v>4301190117</v>
      </c>
      <c r="D141" s="362">
        <v>4620207491386</v>
      </c>
      <c r="E141" s="362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120</v>
      </c>
      <c r="L141" s="37" t="s">
        <v>90</v>
      </c>
      <c r="M141" s="38" t="s">
        <v>88</v>
      </c>
      <c r="N141" s="38"/>
      <c r="O141" s="37">
        <v>180</v>
      </c>
      <c r="P141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64"/>
      <c r="R141" s="364"/>
      <c r="S141" s="364"/>
      <c r="T141" s="365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246</v>
      </c>
      <c r="AG141" s="81"/>
      <c r="AJ141" s="87" t="s">
        <v>91</v>
      </c>
      <c r="AK141" s="87">
        <v>1</v>
      </c>
      <c r="BB141" s="194" t="s">
        <v>119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247</v>
      </c>
      <c r="B142" s="63" t="s">
        <v>248</v>
      </c>
      <c r="C142" s="36">
        <v>4301190115</v>
      </c>
      <c r="D142" s="362">
        <v>4620207491362</v>
      </c>
      <c r="E142" s="362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120</v>
      </c>
      <c r="L142" s="37" t="s">
        <v>90</v>
      </c>
      <c r="M142" s="38" t="s">
        <v>88</v>
      </c>
      <c r="N142" s="38"/>
      <c r="O142" s="37">
        <v>180</v>
      </c>
      <c r="P142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64"/>
      <c r="R142" s="364"/>
      <c r="S142" s="364"/>
      <c r="T142" s="365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91</v>
      </c>
      <c r="AK142" s="87">
        <v>1</v>
      </c>
      <c r="BB142" s="196" t="s">
        <v>119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249</v>
      </c>
      <c r="B143" s="63" t="s">
        <v>250</v>
      </c>
      <c r="C143" s="36">
        <v>4301190116</v>
      </c>
      <c r="D143" s="362">
        <v>4620207491379</v>
      </c>
      <c r="E143" s="362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120</v>
      </c>
      <c r="L143" s="37" t="s">
        <v>90</v>
      </c>
      <c r="M143" s="38" t="s">
        <v>88</v>
      </c>
      <c r="N143" s="38"/>
      <c r="O143" s="37">
        <v>180</v>
      </c>
      <c r="P143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64"/>
      <c r="R143" s="364"/>
      <c r="S143" s="364"/>
      <c r="T143" s="365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91</v>
      </c>
      <c r="AK143" s="87">
        <v>1</v>
      </c>
      <c r="BB143" s="198" t="s">
        <v>119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376"/>
      <c r="B144" s="376"/>
      <c r="C144" s="376"/>
      <c r="D144" s="376"/>
      <c r="E144" s="376"/>
      <c r="F144" s="376"/>
      <c r="G144" s="376"/>
      <c r="H144" s="376"/>
      <c r="I144" s="376"/>
      <c r="J144" s="376"/>
      <c r="K144" s="376"/>
      <c r="L144" s="376"/>
      <c r="M144" s="376"/>
      <c r="N144" s="376"/>
      <c r="O144" s="377"/>
      <c r="P144" s="373" t="s">
        <v>40</v>
      </c>
      <c r="Q144" s="374"/>
      <c r="R144" s="374"/>
      <c r="S144" s="374"/>
      <c r="T144" s="374"/>
      <c r="U144" s="374"/>
      <c r="V144" s="375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376"/>
      <c r="B145" s="376"/>
      <c r="C145" s="376"/>
      <c r="D145" s="376"/>
      <c r="E145" s="376"/>
      <c r="F145" s="376"/>
      <c r="G145" s="376"/>
      <c r="H145" s="376"/>
      <c r="I145" s="376"/>
      <c r="J145" s="376"/>
      <c r="K145" s="376"/>
      <c r="L145" s="376"/>
      <c r="M145" s="376"/>
      <c r="N145" s="376"/>
      <c r="O145" s="377"/>
      <c r="P145" s="373" t="s">
        <v>40</v>
      </c>
      <c r="Q145" s="374"/>
      <c r="R145" s="374"/>
      <c r="S145" s="374"/>
      <c r="T145" s="374"/>
      <c r="U145" s="374"/>
      <c r="V145" s="375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customHeight="1" x14ac:dyDescent="0.25">
      <c r="A146" s="360" t="s">
        <v>251</v>
      </c>
      <c r="B146" s="360"/>
      <c r="C146" s="360"/>
      <c r="D146" s="360"/>
      <c r="E146" s="360"/>
      <c r="F146" s="360"/>
      <c r="G146" s="360"/>
      <c r="H146" s="360"/>
      <c r="I146" s="360"/>
      <c r="J146" s="360"/>
      <c r="K146" s="360"/>
      <c r="L146" s="360"/>
      <c r="M146" s="360"/>
      <c r="N146" s="360"/>
      <c r="O146" s="360"/>
      <c r="P146" s="360"/>
      <c r="Q146" s="360"/>
      <c r="R146" s="360"/>
      <c r="S146" s="360"/>
      <c r="T146" s="360"/>
      <c r="U146" s="360"/>
      <c r="V146" s="360"/>
      <c r="W146" s="360"/>
      <c r="X146" s="360"/>
      <c r="Y146" s="360"/>
      <c r="Z146" s="360"/>
      <c r="AA146" s="65"/>
      <c r="AB146" s="65"/>
      <c r="AC146" s="82"/>
    </row>
    <row r="147" spans="1:68" ht="14.25" customHeight="1" x14ac:dyDescent="0.25">
      <c r="A147" s="361" t="s">
        <v>159</v>
      </c>
      <c r="B147" s="361"/>
      <c r="C147" s="361"/>
      <c r="D147" s="361"/>
      <c r="E147" s="361"/>
      <c r="F147" s="361"/>
      <c r="G147" s="361"/>
      <c r="H147" s="361"/>
      <c r="I147" s="361"/>
      <c r="J147" s="361"/>
      <c r="K147" s="361"/>
      <c r="L147" s="361"/>
      <c r="M147" s="361"/>
      <c r="N147" s="361"/>
      <c r="O147" s="361"/>
      <c r="P147" s="361"/>
      <c r="Q147" s="361"/>
      <c r="R147" s="361"/>
      <c r="S147" s="361"/>
      <c r="T147" s="361"/>
      <c r="U147" s="361"/>
      <c r="V147" s="361"/>
      <c r="W147" s="361"/>
      <c r="X147" s="361"/>
      <c r="Y147" s="361"/>
      <c r="Z147" s="361"/>
      <c r="AA147" s="66"/>
      <c r="AB147" s="66"/>
      <c r="AC147" s="83"/>
    </row>
    <row r="148" spans="1:68" ht="27" customHeight="1" x14ac:dyDescent="0.25">
      <c r="A148" s="63" t="s">
        <v>252</v>
      </c>
      <c r="B148" s="63" t="s">
        <v>253</v>
      </c>
      <c r="C148" s="36">
        <v>4301135555</v>
      </c>
      <c r="D148" s="362">
        <v>4607111034014</v>
      </c>
      <c r="E148" s="362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120</v>
      </c>
      <c r="L148" s="37" t="s">
        <v>121</v>
      </c>
      <c r="M148" s="38" t="s">
        <v>88</v>
      </c>
      <c r="N148" s="38"/>
      <c r="O148" s="37">
        <v>180</v>
      </c>
      <c r="P148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64"/>
      <c r="R148" s="364"/>
      <c r="S148" s="364"/>
      <c r="T148" s="365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254</v>
      </c>
      <c r="AG148" s="81"/>
      <c r="AJ148" s="87" t="s">
        <v>122</v>
      </c>
      <c r="AK148" s="87">
        <v>14</v>
      </c>
      <c r="BB148" s="200" t="s">
        <v>119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255</v>
      </c>
      <c r="B149" s="63" t="s">
        <v>256</v>
      </c>
      <c r="C149" s="36">
        <v>4301135532</v>
      </c>
      <c r="D149" s="362">
        <v>4607111033994</v>
      </c>
      <c r="E149" s="362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120</v>
      </c>
      <c r="L149" s="37" t="s">
        <v>121</v>
      </c>
      <c r="M149" s="38" t="s">
        <v>88</v>
      </c>
      <c r="N149" s="38"/>
      <c r="O149" s="37">
        <v>180</v>
      </c>
      <c r="P149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64"/>
      <c r="R149" s="364"/>
      <c r="S149" s="364"/>
      <c r="T149" s="365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177</v>
      </c>
      <c r="AG149" s="81"/>
      <c r="AJ149" s="87" t="s">
        <v>122</v>
      </c>
      <c r="AK149" s="87">
        <v>14</v>
      </c>
      <c r="BB149" s="202" t="s">
        <v>119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76"/>
      <c r="B150" s="376"/>
      <c r="C150" s="376"/>
      <c r="D150" s="376"/>
      <c r="E150" s="376"/>
      <c r="F150" s="376"/>
      <c r="G150" s="376"/>
      <c r="H150" s="376"/>
      <c r="I150" s="376"/>
      <c r="J150" s="376"/>
      <c r="K150" s="376"/>
      <c r="L150" s="376"/>
      <c r="M150" s="376"/>
      <c r="N150" s="376"/>
      <c r="O150" s="377"/>
      <c r="P150" s="373" t="s">
        <v>40</v>
      </c>
      <c r="Q150" s="374"/>
      <c r="R150" s="374"/>
      <c r="S150" s="374"/>
      <c r="T150" s="374"/>
      <c r="U150" s="374"/>
      <c r="V150" s="375"/>
      <c r="W150" s="42" t="s">
        <v>39</v>
      </c>
      <c r="X150" s="43">
        <f>IFERROR(SUM(X148:X149),"0")</f>
        <v>0</v>
      </c>
      <c r="Y150" s="43">
        <f>IFERROR(SUM(Y148:Y149),"0")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376"/>
      <c r="B151" s="376"/>
      <c r="C151" s="376"/>
      <c r="D151" s="376"/>
      <c r="E151" s="376"/>
      <c r="F151" s="376"/>
      <c r="G151" s="376"/>
      <c r="H151" s="376"/>
      <c r="I151" s="376"/>
      <c r="J151" s="376"/>
      <c r="K151" s="376"/>
      <c r="L151" s="376"/>
      <c r="M151" s="376"/>
      <c r="N151" s="376"/>
      <c r="O151" s="377"/>
      <c r="P151" s="373" t="s">
        <v>40</v>
      </c>
      <c r="Q151" s="374"/>
      <c r="R151" s="374"/>
      <c r="S151" s="374"/>
      <c r="T151" s="374"/>
      <c r="U151" s="374"/>
      <c r="V151" s="375"/>
      <c r="W151" s="42" t="s">
        <v>0</v>
      </c>
      <c r="X151" s="43">
        <f>IFERROR(SUMPRODUCT(X148:X149*H148:H149),"0")</f>
        <v>0</v>
      </c>
      <c r="Y151" s="43">
        <f>IFERROR(SUMPRODUCT(Y148:Y149*H148:H149),"0")</f>
        <v>0</v>
      </c>
      <c r="Z151" s="42"/>
      <c r="AA151" s="67"/>
      <c r="AB151" s="67"/>
      <c r="AC151" s="67"/>
    </row>
    <row r="152" spans="1:68" ht="16.5" customHeight="1" x14ac:dyDescent="0.25">
      <c r="A152" s="360" t="s">
        <v>257</v>
      </c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0"/>
      <c r="P152" s="360"/>
      <c r="Q152" s="360"/>
      <c r="R152" s="360"/>
      <c r="S152" s="360"/>
      <c r="T152" s="360"/>
      <c r="U152" s="360"/>
      <c r="V152" s="360"/>
      <c r="W152" s="360"/>
      <c r="X152" s="360"/>
      <c r="Y152" s="360"/>
      <c r="Z152" s="360"/>
      <c r="AA152" s="65"/>
      <c r="AB152" s="65"/>
      <c r="AC152" s="82"/>
    </row>
    <row r="153" spans="1:68" ht="14.25" customHeight="1" x14ac:dyDescent="0.25">
      <c r="A153" s="361" t="s">
        <v>159</v>
      </c>
      <c r="B153" s="361"/>
      <c r="C153" s="361"/>
      <c r="D153" s="361"/>
      <c r="E153" s="361"/>
      <c r="F153" s="361"/>
      <c r="G153" s="361"/>
      <c r="H153" s="361"/>
      <c r="I153" s="361"/>
      <c r="J153" s="361"/>
      <c r="K153" s="361"/>
      <c r="L153" s="361"/>
      <c r="M153" s="361"/>
      <c r="N153" s="361"/>
      <c r="O153" s="361"/>
      <c r="P153" s="361"/>
      <c r="Q153" s="361"/>
      <c r="R153" s="361"/>
      <c r="S153" s="361"/>
      <c r="T153" s="361"/>
      <c r="U153" s="361"/>
      <c r="V153" s="361"/>
      <c r="W153" s="361"/>
      <c r="X153" s="361"/>
      <c r="Y153" s="361"/>
      <c r="Z153" s="361"/>
      <c r="AA153" s="66"/>
      <c r="AB153" s="66"/>
      <c r="AC153" s="83"/>
    </row>
    <row r="154" spans="1:68" ht="27" customHeight="1" x14ac:dyDescent="0.25">
      <c r="A154" s="63" t="s">
        <v>258</v>
      </c>
      <c r="B154" s="63" t="s">
        <v>259</v>
      </c>
      <c r="C154" s="36">
        <v>4301135824</v>
      </c>
      <c r="D154" s="362">
        <v>4607111039095</v>
      </c>
      <c r="E154" s="362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120</v>
      </c>
      <c r="L154" s="37" t="s">
        <v>90</v>
      </c>
      <c r="M154" s="38" t="s">
        <v>88</v>
      </c>
      <c r="N154" s="38"/>
      <c r="O154" s="37">
        <v>180</v>
      </c>
      <c r="P154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64"/>
      <c r="R154" s="364"/>
      <c r="S154" s="364"/>
      <c r="T154" s="365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260</v>
      </c>
      <c r="AG154" s="81"/>
      <c r="AJ154" s="87" t="s">
        <v>91</v>
      </c>
      <c r="AK154" s="87">
        <v>1</v>
      </c>
      <c r="BB154" s="204" t="s">
        <v>119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16.5" customHeight="1" x14ac:dyDescent="0.25">
      <c r="A155" s="63" t="s">
        <v>261</v>
      </c>
      <c r="B155" s="63" t="s">
        <v>262</v>
      </c>
      <c r="C155" s="36">
        <v>4301135550</v>
      </c>
      <c r="D155" s="362">
        <v>4607111034199</v>
      </c>
      <c r="E155" s="362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120</v>
      </c>
      <c r="L155" s="37" t="s">
        <v>121</v>
      </c>
      <c r="M155" s="38" t="s">
        <v>88</v>
      </c>
      <c r="N155" s="38"/>
      <c r="O155" s="37">
        <v>180</v>
      </c>
      <c r="P155" s="42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64"/>
      <c r="R155" s="364"/>
      <c r="S155" s="364"/>
      <c r="T155" s="365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5" t="s">
        <v>263</v>
      </c>
      <c r="AG155" s="81"/>
      <c r="AJ155" s="87" t="s">
        <v>122</v>
      </c>
      <c r="AK155" s="87">
        <v>14</v>
      </c>
      <c r="BB155" s="206" t="s">
        <v>119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76"/>
      <c r="B156" s="376"/>
      <c r="C156" s="376"/>
      <c r="D156" s="376"/>
      <c r="E156" s="376"/>
      <c r="F156" s="376"/>
      <c r="G156" s="376"/>
      <c r="H156" s="376"/>
      <c r="I156" s="376"/>
      <c r="J156" s="376"/>
      <c r="K156" s="376"/>
      <c r="L156" s="376"/>
      <c r="M156" s="376"/>
      <c r="N156" s="376"/>
      <c r="O156" s="377"/>
      <c r="P156" s="373" t="s">
        <v>40</v>
      </c>
      <c r="Q156" s="374"/>
      <c r="R156" s="374"/>
      <c r="S156" s="374"/>
      <c r="T156" s="374"/>
      <c r="U156" s="374"/>
      <c r="V156" s="375"/>
      <c r="W156" s="42" t="s">
        <v>39</v>
      </c>
      <c r="X156" s="43">
        <f>IFERROR(SUM(X154:X155),"0")</f>
        <v>0</v>
      </c>
      <c r="Y156" s="43">
        <f>IFERROR(SUM(Y154:Y155),"0")</f>
        <v>0</v>
      </c>
      <c r="Z156" s="43">
        <f>IFERROR(IF(Z154="",0,Z154),"0")+IFERROR(IF(Z155="",0,Z155),"0")</f>
        <v>0</v>
      </c>
      <c r="AA156" s="67"/>
      <c r="AB156" s="67"/>
      <c r="AC156" s="67"/>
    </row>
    <row r="157" spans="1:68" x14ac:dyDescent="0.2">
      <c r="A157" s="376"/>
      <c r="B157" s="376"/>
      <c r="C157" s="376"/>
      <c r="D157" s="376"/>
      <c r="E157" s="376"/>
      <c r="F157" s="376"/>
      <c r="G157" s="376"/>
      <c r="H157" s="376"/>
      <c r="I157" s="376"/>
      <c r="J157" s="376"/>
      <c r="K157" s="376"/>
      <c r="L157" s="376"/>
      <c r="M157" s="376"/>
      <c r="N157" s="376"/>
      <c r="O157" s="377"/>
      <c r="P157" s="373" t="s">
        <v>40</v>
      </c>
      <c r="Q157" s="374"/>
      <c r="R157" s="374"/>
      <c r="S157" s="374"/>
      <c r="T157" s="374"/>
      <c r="U157" s="374"/>
      <c r="V157" s="375"/>
      <c r="W157" s="42" t="s">
        <v>0</v>
      </c>
      <c r="X157" s="43">
        <f>IFERROR(SUMPRODUCT(X154:X155*H154:H155),"0")</f>
        <v>0</v>
      </c>
      <c r="Y157" s="43">
        <f>IFERROR(SUMPRODUCT(Y154:Y155*H154:H155),"0")</f>
        <v>0</v>
      </c>
      <c r="Z157" s="42"/>
      <c r="AA157" s="67"/>
      <c r="AB157" s="67"/>
      <c r="AC157" s="67"/>
    </row>
    <row r="158" spans="1:68" ht="16.5" customHeight="1" x14ac:dyDescent="0.25">
      <c r="A158" s="360" t="s">
        <v>264</v>
      </c>
      <c r="B158" s="360"/>
      <c r="C158" s="360"/>
      <c r="D158" s="360"/>
      <c r="E158" s="360"/>
      <c r="F158" s="360"/>
      <c r="G158" s="360"/>
      <c r="H158" s="360"/>
      <c r="I158" s="360"/>
      <c r="J158" s="360"/>
      <c r="K158" s="360"/>
      <c r="L158" s="360"/>
      <c r="M158" s="360"/>
      <c r="N158" s="360"/>
      <c r="O158" s="360"/>
      <c r="P158" s="360"/>
      <c r="Q158" s="360"/>
      <c r="R158" s="360"/>
      <c r="S158" s="360"/>
      <c r="T158" s="360"/>
      <c r="U158" s="360"/>
      <c r="V158" s="360"/>
      <c r="W158" s="360"/>
      <c r="X158" s="360"/>
      <c r="Y158" s="360"/>
      <c r="Z158" s="360"/>
      <c r="AA158" s="65"/>
      <c r="AB158" s="65"/>
      <c r="AC158" s="82"/>
    </row>
    <row r="159" spans="1:68" ht="14.25" customHeight="1" x14ac:dyDescent="0.25">
      <c r="A159" s="361" t="s">
        <v>159</v>
      </c>
      <c r="B159" s="361"/>
      <c r="C159" s="361"/>
      <c r="D159" s="361"/>
      <c r="E159" s="361"/>
      <c r="F159" s="361"/>
      <c r="G159" s="361"/>
      <c r="H159" s="361"/>
      <c r="I159" s="361"/>
      <c r="J159" s="361"/>
      <c r="K159" s="361"/>
      <c r="L159" s="361"/>
      <c r="M159" s="361"/>
      <c r="N159" s="361"/>
      <c r="O159" s="361"/>
      <c r="P159" s="361"/>
      <c r="Q159" s="361"/>
      <c r="R159" s="361"/>
      <c r="S159" s="361"/>
      <c r="T159" s="361"/>
      <c r="U159" s="361"/>
      <c r="V159" s="361"/>
      <c r="W159" s="361"/>
      <c r="X159" s="361"/>
      <c r="Y159" s="361"/>
      <c r="Z159" s="361"/>
      <c r="AA159" s="66"/>
      <c r="AB159" s="66"/>
      <c r="AC159" s="83"/>
    </row>
    <row r="160" spans="1:68" ht="27" customHeight="1" x14ac:dyDescent="0.25">
      <c r="A160" s="63" t="s">
        <v>265</v>
      </c>
      <c r="B160" s="63" t="s">
        <v>266</v>
      </c>
      <c r="C160" s="36">
        <v>4301135753</v>
      </c>
      <c r="D160" s="362">
        <v>4620207490914</v>
      </c>
      <c r="E160" s="362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120</v>
      </c>
      <c r="L160" s="37" t="s">
        <v>121</v>
      </c>
      <c r="M160" s="38" t="s">
        <v>88</v>
      </c>
      <c r="N160" s="38"/>
      <c r="O160" s="37">
        <v>180</v>
      </c>
      <c r="P160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64"/>
      <c r="R160" s="364"/>
      <c r="S160" s="364"/>
      <c r="T160" s="365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07" t="s">
        <v>254</v>
      </c>
      <c r="AG160" s="81"/>
      <c r="AJ160" s="87" t="s">
        <v>122</v>
      </c>
      <c r="AK160" s="87">
        <v>14</v>
      </c>
      <c r="BB160" s="208" t="s">
        <v>119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267</v>
      </c>
      <c r="B161" s="63" t="s">
        <v>268</v>
      </c>
      <c r="C161" s="36">
        <v>4301135778</v>
      </c>
      <c r="D161" s="362">
        <v>4620207490853</v>
      </c>
      <c r="E161" s="362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120</v>
      </c>
      <c r="L161" s="37" t="s">
        <v>121</v>
      </c>
      <c r="M161" s="38" t="s">
        <v>88</v>
      </c>
      <c r="N161" s="38"/>
      <c r="O161" s="37">
        <v>180</v>
      </c>
      <c r="P161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64"/>
      <c r="R161" s="364"/>
      <c r="S161" s="364"/>
      <c r="T161" s="365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9" t="s">
        <v>254</v>
      </c>
      <c r="AG161" s="81"/>
      <c r="AJ161" s="87" t="s">
        <v>122</v>
      </c>
      <c r="AK161" s="87">
        <v>14</v>
      </c>
      <c r="BB161" s="210" t="s">
        <v>119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76"/>
      <c r="B162" s="376"/>
      <c r="C162" s="376"/>
      <c r="D162" s="376"/>
      <c r="E162" s="376"/>
      <c r="F162" s="376"/>
      <c r="G162" s="376"/>
      <c r="H162" s="376"/>
      <c r="I162" s="376"/>
      <c r="J162" s="376"/>
      <c r="K162" s="376"/>
      <c r="L162" s="376"/>
      <c r="M162" s="376"/>
      <c r="N162" s="376"/>
      <c r="O162" s="377"/>
      <c r="P162" s="373" t="s">
        <v>40</v>
      </c>
      <c r="Q162" s="374"/>
      <c r="R162" s="374"/>
      <c r="S162" s="374"/>
      <c r="T162" s="374"/>
      <c r="U162" s="374"/>
      <c r="V162" s="375"/>
      <c r="W162" s="42" t="s">
        <v>39</v>
      </c>
      <c r="X162" s="43">
        <f>IFERROR(SUM(X160:X161),"0")</f>
        <v>0</v>
      </c>
      <c r="Y162" s="43">
        <f>IFERROR(SUM(Y160:Y161),"0")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376"/>
      <c r="B163" s="376"/>
      <c r="C163" s="376"/>
      <c r="D163" s="376"/>
      <c r="E163" s="376"/>
      <c r="F163" s="376"/>
      <c r="G163" s="376"/>
      <c r="H163" s="376"/>
      <c r="I163" s="376"/>
      <c r="J163" s="376"/>
      <c r="K163" s="376"/>
      <c r="L163" s="376"/>
      <c r="M163" s="376"/>
      <c r="N163" s="376"/>
      <c r="O163" s="377"/>
      <c r="P163" s="373" t="s">
        <v>40</v>
      </c>
      <c r="Q163" s="374"/>
      <c r="R163" s="374"/>
      <c r="S163" s="374"/>
      <c r="T163" s="374"/>
      <c r="U163" s="374"/>
      <c r="V163" s="375"/>
      <c r="W163" s="42" t="s">
        <v>0</v>
      </c>
      <c r="X163" s="43">
        <f>IFERROR(SUMPRODUCT(X160:X161*H160:H161),"0")</f>
        <v>0</v>
      </c>
      <c r="Y163" s="43">
        <f>IFERROR(SUMPRODUCT(Y160:Y161*H160:H161),"0")</f>
        <v>0</v>
      </c>
      <c r="Z163" s="42"/>
      <c r="AA163" s="67"/>
      <c r="AB163" s="67"/>
      <c r="AC163" s="67"/>
    </row>
    <row r="164" spans="1:68" ht="16.5" customHeight="1" x14ac:dyDescent="0.25">
      <c r="A164" s="360" t="s">
        <v>269</v>
      </c>
      <c r="B164" s="360"/>
      <c r="C164" s="360"/>
      <c r="D164" s="360"/>
      <c r="E164" s="360"/>
      <c r="F164" s="360"/>
      <c r="G164" s="360"/>
      <c r="H164" s="360"/>
      <c r="I164" s="360"/>
      <c r="J164" s="360"/>
      <c r="K164" s="360"/>
      <c r="L164" s="360"/>
      <c r="M164" s="360"/>
      <c r="N164" s="360"/>
      <c r="O164" s="360"/>
      <c r="P164" s="360"/>
      <c r="Q164" s="360"/>
      <c r="R164" s="360"/>
      <c r="S164" s="360"/>
      <c r="T164" s="360"/>
      <c r="U164" s="360"/>
      <c r="V164" s="360"/>
      <c r="W164" s="360"/>
      <c r="X164" s="360"/>
      <c r="Y164" s="360"/>
      <c r="Z164" s="360"/>
      <c r="AA164" s="65"/>
      <c r="AB164" s="65"/>
      <c r="AC164" s="82"/>
    </row>
    <row r="165" spans="1:68" ht="14.25" customHeight="1" x14ac:dyDescent="0.25">
      <c r="A165" s="361" t="s">
        <v>159</v>
      </c>
      <c r="B165" s="361"/>
      <c r="C165" s="361"/>
      <c r="D165" s="361"/>
      <c r="E165" s="361"/>
      <c r="F165" s="361"/>
      <c r="G165" s="361"/>
      <c r="H165" s="361"/>
      <c r="I165" s="361"/>
      <c r="J165" s="361"/>
      <c r="K165" s="361"/>
      <c r="L165" s="361"/>
      <c r="M165" s="361"/>
      <c r="N165" s="361"/>
      <c r="O165" s="361"/>
      <c r="P165" s="361"/>
      <c r="Q165" s="361"/>
      <c r="R165" s="361"/>
      <c r="S165" s="361"/>
      <c r="T165" s="361"/>
      <c r="U165" s="361"/>
      <c r="V165" s="361"/>
      <c r="W165" s="361"/>
      <c r="X165" s="361"/>
      <c r="Y165" s="361"/>
      <c r="Z165" s="361"/>
      <c r="AA165" s="66"/>
      <c r="AB165" s="66"/>
      <c r="AC165" s="83"/>
    </row>
    <row r="166" spans="1:68" ht="27" customHeight="1" x14ac:dyDescent="0.25">
      <c r="A166" s="63" t="s">
        <v>270</v>
      </c>
      <c r="B166" s="63" t="s">
        <v>271</v>
      </c>
      <c r="C166" s="36">
        <v>4301135570</v>
      </c>
      <c r="D166" s="362">
        <v>4607111035806</v>
      </c>
      <c r="E166" s="362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120</v>
      </c>
      <c r="L166" s="37" t="s">
        <v>121</v>
      </c>
      <c r="M166" s="38" t="s">
        <v>88</v>
      </c>
      <c r="N166" s="38"/>
      <c r="O166" s="37">
        <v>180</v>
      </c>
      <c r="P166" s="43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64"/>
      <c r="R166" s="364"/>
      <c r="S166" s="364"/>
      <c r="T166" s="365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IFERROR(IF(X166="","",X166*0.01788),"")</f>
        <v>0</v>
      </c>
      <c r="AA166" s="68" t="s">
        <v>46</v>
      </c>
      <c r="AB166" s="69" t="s">
        <v>46</v>
      </c>
      <c r="AC166" s="211" t="s">
        <v>272</v>
      </c>
      <c r="AG166" s="81"/>
      <c r="AJ166" s="87" t="s">
        <v>122</v>
      </c>
      <c r="AK166" s="87">
        <v>14</v>
      </c>
      <c r="BB166" s="212" t="s">
        <v>119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76"/>
      <c r="B167" s="376"/>
      <c r="C167" s="376"/>
      <c r="D167" s="376"/>
      <c r="E167" s="376"/>
      <c r="F167" s="376"/>
      <c r="G167" s="376"/>
      <c r="H167" s="376"/>
      <c r="I167" s="376"/>
      <c r="J167" s="376"/>
      <c r="K167" s="376"/>
      <c r="L167" s="376"/>
      <c r="M167" s="376"/>
      <c r="N167" s="376"/>
      <c r="O167" s="377"/>
      <c r="P167" s="373" t="s">
        <v>40</v>
      </c>
      <c r="Q167" s="374"/>
      <c r="R167" s="374"/>
      <c r="S167" s="374"/>
      <c r="T167" s="374"/>
      <c r="U167" s="374"/>
      <c r="V167" s="375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76"/>
      <c r="B168" s="376"/>
      <c r="C168" s="376"/>
      <c r="D168" s="376"/>
      <c r="E168" s="376"/>
      <c r="F168" s="376"/>
      <c r="G168" s="376"/>
      <c r="H168" s="376"/>
      <c r="I168" s="376"/>
      <c r="J168" s="376"/>
      <c r="K168" s="376"/>
      <c r="L168" s="376"/>
      <c r="M168" s="376"/>
      <c r="N168" s="376"/>
      <c r="O168" s="377"/>
      <c r="P168" s="373" t="s">
        <v>40</v>
      </c>
      <c r="Q168" s="374"/>
      <c r="R168" s="374"/>
      <c r="S168" s="374"/>
      <c r="T168" s="374"/>
      <c r="U168" s="374"/>
      <c r="V168" s="375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60" t="s">
        <v>273</v>
      </c>
      <c r="B169" s="360"/>
      <c r="C169" s="360"/>
      <c r="D169" s="360"/>
      <c r="E169" s="360"/>
      <c r="F169" s="360"/>
      <c r="G169" s="360"/>
      <c r="H169" s="360"/>
      <c r="I169" s="360"/>
      <c r="J169" s="360"/>
      <c r="K169" s="360"/>
      <c r="L169" s="360"/>
      <c r="M169" s="360"/>
      <c r="N169" s="360"/>
      <c r="O169" s="360"/>
      <c r="P169" s="360"/>
      <c r="Q169" s="360"/>
      <c r="R169" s="360"/>
      <c r="S169" s="360"/>
      <c r="T169" s="360"/>
      <c r="U169" s="360"/>
      <c r="V169" s="360"/>
      <c r="W169" s="360"/>
      <c r="X169" s="360"/>
      <c r="Y169" s="360"/>
      <c r="Z169" s="360"/>
      <c r="AA169" s="65"/>
      <c r="AB169" s="65"/>
      <c r="AC169" s="82"/>
    </row>
    <row r="170" spans="1:68" ht="14.25" customHeight="1" x14ac:dyDescent="0.25">
      <c r="A170" s="361" t="s">
        <v>159</v>
      </c>
      <c r="B170" s="361"/>
      <c r="C170" s="361"/>
      <c r="D170" s="361"/>
      <c r="E170" s="361"/>
      <c r="F170" s="361"/>
      <c r="G170" s="361"/>
      <c r="H170" s="361"/>
      <c r="I170" s="361"/>
      <c r="J170" s="361"/>
      <c r="K170" s="361"/>
      <c r="L170" s="361"/>
      <c r="M170" s="361"/>
      <c r="N170" s="361"/>
      <c r="O170" s="361"/>
      <c r="P170" s="361"/>
      <c r="Q170" s="361"/>
      <c r="R170" s="361"/>
      <c r="S170" s="361"/>
      <c r="T170" s="361"/>
      <c r="U170" s="361"/>
      <c r="V170" s="361"/>
      <c r="W170" s="361"/>
      <c r="X170" s="361"/>
      <c r="Y170" s="361"/>
      <c r="Z170" s="361"/>
      <c r="AA170" s="66"/>
      <c r="AB170" s="66"/>
      <c r="AC170" s="83"/>
    </row>
    <row r="171" spans="1:68" ht="16.5" customHeight="1" x14ac:dyDescent="0.25">
      <c r="A171" s="63" t="s">
        <v>274</v>
      </c>
      <c r="B171" s="63" t="s">
        <v>275</v>
      </c>
      <c r="C171" s="36">
        <v>4301135607</v>
      </c>
      <c r="D171" s="362">
        <v>4607111039613</v>
      </c>
      <c r="E171" s="362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120</v>
      </c>
      <c r="L171" s="37" t="s">
        <v>121</v>
      </c>
      <c r="M171" s="38" t="s">
        <v>88</v>
      </c>
      <c r="N171" s="38"/>
      <c r="O171" s="37">
        <v>180</v>
      </c>
      <c r="P171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64"/>
      <c r="R171" s="364"/>
      <c r="S171" s="364"/>
      <c r="T171" s="365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260</v>
      </c>
      <c r="AG171" s="81"/>
      <c r="AJ171" s="87" t="s">
        <v>122</v>
      </c>
      <c r="AK171" s="87">
        <v>14</v>
      </c>
      <c r="BB171" s="214" t="s">
        <v>119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76"/>
      <c r="B172" s="376"/>
      <c r="C172" s="376"/>
      <c r="D172" s="376"/>
      <c r="E172" s="376"/>
      <c r="F172" s="376"/>
      <c r="G172" s="376"/>
      <c r="H172" s="376"/>
      <c r="I172" s="376"/>
      <c r="J172" s="376"/>
      <c r="K172" s="376"/>
      <c r="L172" s="376"/>
      <c r="M172" s="376"/>
      <c r="N172" s="376"/>
      <c r="O172" s="377"/>
      <c r="P172" s="373" t="s">
        <v>40</v>
      </c>
      <c r="Q172" s="374"/>
      <c r="R172" s="374"/>
      <c r="S172" s="374"/>
      <c r="T172" s="374"/>
      <c r="U172" s="374"/>
      <c r="V172" s="375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376"/>
      <c r="B173" s="376"/>
      <c r="C173" s="376"/>
      <c r="D173" s="376"/>
      <c r="E173" s="376"/>
      <c r="F173" s="376"/>
      <c r="G173" s="376"/>
      <c r="H173" s="376"/>
      <c r="I173" s="376"/>
      <c r="J173" s="376"/>
      <c r="K173" s="376"/>
      <c r="L173" s="376"/>
      <c r="M173" s="376"/>
      <c r="N173" s="376"/>
      <c r="O173" s="377"/>
      <c r="P173" s="373" t="s">
        <v>40</v>
      </c>
      <c r="Q173" s="374"/>
      <c r="R173" s="374"/>
      <c r="S173" s="374"/>
      <c r="T173" s="374"/>
      <c r="U173" s="374"/>
      <c r="V173" s="375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customHeight="1" x14ac:dyDescent="0.25">
      <c r="A174" s="360" t="s">
        <v>276</v>
      </c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0"/>
      <c r="P174" s="360"/>
      <c r="Q174" s="360"/>
      <c r="R174" s="360"/>
      <c r="S174" s="360"/>
      <c r="T174" s="360"/>
      <c r="U174" s="360"/>
      <c r="V174" s="360"/>
      <c r="W174" s="360"/>
      <c r="X174" s="360"/>
      <c r="Y174" s="360"/>
      <c r="Z174" s="360"/>
      <c r="AA174" s="65"/>
      <c r="AB174" s="65"/>
      <c r="AC174" s="82"/>
    </row>
    <row r="175" spans="1:68" ht="14.25" customHeight="1" x14ac:dyDescent="0.25">
      <c r="A175" s="361" t="s">
        <v>159</v>
      </c>
      <c r="B175" s="361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1"/>
      <c r="P175" s="361"/>
      <c r="Q175" s="361"/>
      <c r="R175" s="361"/>
      <c r="S175" s="361"/>
      <c r="T175" s="361"/>
      <c r="U175" s="361"/>
      <c r="V175" s="361"/>
      <c r="W175" s="361"/>
      <c r="X175" s="361"/>
      <c r="Y175" s="361"/>
      <c r="Z175" s="361"/>
      <c r="AA175" s="66"/>
      <c r="AB175" s="66"/>
      <c r="AC175" s="83"/>
    </row>
    <row r="176" spans="1:68" ht="27" customHeight="1" x14ac:dyDescent="0.25">
      <c r="A176" s="63" t="s">
        <v>277</v>
      </c>
      <c r="B176" s="63" t="s">
        <v>278</v>
      </c>
      <c r="C176" s="36">
        <v>4301135591</v>
      </c>
      <c r="D176" s="362">
        <v>4607111036568</v>
      </c>
      <c r="E176" s="362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120</v>
      </c>
      <c r="L176" s="37" t="s">
        <v>90</v>
      </c>
      <c r="M176" s="38" t="s">
        <v>88</v>
      </c>
      <c r="N176" s="38"/>
      <c r="O176" s="37">
        <v>180</v>
      </c>
      <c r="P176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64"/>
      <c r="R176" s="364"/>
      <c r="S176" s="364"/>
      <c r="T176" s="365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IFERROR(IF(X176="","",X176*0.00941),"")</f>
        <v>0</v>
      </c>
      <c r="AA176" s="68" t="s">
        <v>46</v>
      </c>
      <c r="AB176" s="69" t="s">
        <v>46</v>
      </c>
      <c r="AC176" s="215" t="s">
        <v>279</v>
      </c>
      <c r="AG176" s="81"/>
      <c r="AJ176" s="87" t="s">
        <v>91</v>
      </c>
      <c r="AK176" s="87">
        <v>1</v>
      </c>
      <c r="BB176" s="216" t="s">
        <v>119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x14ac:dyDescent="0.2">
      <c r="A177" s="376"/>
      <c r="B177" s="376"/>
      <c r="C177" s="376"/>
      <c r="D177" s="376"/>
      <c r="E177" s="376"/>
      <c r="F177" s="376"/>
      <c r="G177" s="376"/>
      <c r="H177" s="376"/>
      <c r="I177" s="376"/>
      <c r="J177" s="376"/>
      <c r="K177" s="376"/>
      <c r="L177" s="376"/>
      <c r="M177" s="376"/>
      <c r="N177" s="376"/>
      <c r="O177" s="377"/>
      <c r="P177" s="373" t="s">
        <v>40</v>
      </c>
      <c r="Q177" s="374"/>
      <c r="R177" s="374"/>
      <c r="S177" s="374"/>
      <c r="T177" s="374"/>
      <c r="U177" s="374"/>
      <c r="V177" s="375"/>
      <c r="W177" s="42" t="s">
        <v>39</v>
      </c>
      <c r="X177" s="43">
        <f>IFERROR(SUM(X176:X176),"0")</f>
        <v>0</v>
      </c>
      <c r="Y177" s="43">
        <f>IFERROR(SUM(Y176:Y176),"0")</f>
        <v>0</v>
      </c>
      <c r="Z177" s="43">
        <f>IFERROR(IF(Z176="",0,Z176),"0")</f>
        <v>0</v>
      </c>
      <c r="AA177" s="67"/>
      <c r="AB177" s="67"/>
      <c r="AC177" s="67"/>
    </row>
    <row r="178" spans="1:68" x14ac:dyDescent="0.2">
      <c r="A178" s="376"/>
      <c r="B178" s="376"/>
      <c r="C178" s="376"/>
      <c r="D178" s="376"/>
      <c r="E178" s="376"/>
      <c r="F178" s="376"/>
      <c r="G178" s="376"/>
      <c r="H178" s="376"/>
      <c r="I178" s="376"/>
      <c r="J178" s="376"/>
      <c r="K178" s="376"/>
      <c r="L178" s="376"/>
      <c r="M178" s="376"/>
      <c r="N178" s="376"/>
      <c r="O178" s="377"/>
      <c r="P178" s="373" t="s">
        <v>40</v>
      </c>
      <c r="Q178" s="374"/>
      <c r="R178" s="374"/>
      <c r="S178" s="374"/>
      <c r="T178" s="374"/>
      <c r="U178" s="374"/>
      <c r="V178" s="375"/>
      <c r="W178" s="42" t="s">
        <v>0</v>
      </c>
      <c r="X178" s="43">
        <f>IFERROR(SUMPRODUCT(X176:X176*H176:H176),"0")</f>
        <v>0</v>
      </c>
      <c r="Y178" s="43">
        <f>IFERROR(SUMPRODUCT(Y176:Y176*H176:H176),"0")</f>
        <v>0</v>
      </c>
      <c r="Z178" s="42"/>
      <c r="AA178" s="67"/>
      <c r="AB178" s="67"/>
      <c r="AC178" s="67"/>
    </row>
    <row r="179" spans="1:68" ht="27.75" customHeight="1" x14ac:dyDescent="0.2">
      <c r="A179" s="359" t="s">
        <v>280</v>
      </c>
      <c r="B179" s="359"/>
      <c r="C179" s="359"/>
      <c r="D179" s="359"/>
      <c r="E179" s="359"/>
      <c r="F179" s="359"/>
      <c r="G179" s="359"/>
      <c r="H179" s="359"/>
      <c r="I179" s="359"/>
      <c r="J179" s="359"/>
      <c r="K179" s="359"/>
      <c r="L179" s="359"/>
      <c r="M179" s="359"/>
      <c r="N179" s="359"/>
      <c r="O179" s="359"/>
      <c r="P179" s="359"/>
      <c r="Q179" s="359"/>
      <c r="R179" s="359"/>
      <c r="S179" s="359"/>
      <c r="T179" s="359"/>
      <c r="U179" s="359"/>
      <c r="V179" s="359"/>
      <c r="W179" s="359"/>
      <c r="X179" s="359"/>
      <c r="Y179" s="359"/>
      <c r="Z179" s="359"/>
      <c r="AA179" s="54"/>
      <c r="AB179" s="54"/>
      <c r="AC179" s="54"/>
    </row>
    <row r="180" spans="1:68" ht="16.5" customHeight="1" x14ac:dyDescent="0.25">
      <c r="A180" s="360" t="s">
        <v>281</v>
      </c>
      <c r="B180" s="360"/>
      <c r="C180" s="360"/>
      <c r="D180" s="360"/>
      <c r="E180" s="360"/>
      <c r="F180" s="360"/>
      <c r="G180" s="360"/>
      <c r="H180" s="360"/>
      <c r="I180" s="360"/>
      <c r="J180" s="360"/>
      <c r="K180" s="360"/>
      <c r="L180" s="360"/>
      <c r="M180" s="360"/>
      <c r="N180" s="360"/>
      <c r="O180" s="360"/>
      <c r="P180" s="360"/>
      <c r="Q180" s="360"/>
      <c r="R180" s="360"/>
      <c r="S180" s="360"/>
      <c r="T180" s="360"/>
      <c r="U180" s="360"/>
      <c r="V180" s="360"/>
      <c r="W180" s="360"/>
      <c r="X180" s="360"/>
      <c r="Y180" s="360"/>
      <c r="Z180" s="360"/>
      <c r="AA180" s="65"/>
      <c r="AB180" s="65"/>
      <c r="AC180" s="82"/>
    </row>
    <row r="181" spans="1:68" ht="14.25" customHeight="1" x14ac:dyDescent="0.25">
      <c r="A181" s="361" t="s">
        <v>82</v>
      </c>
      <c r="B181" s="361"/>
      <c r="C181" s="361"/>
      <c r="D181" s="361"/>
      <c r="E181" s="361"/>
      <c r="F181" s="361"/>
      <c r="G181" s="361"/>
      <c r="H181" s="361"/>
      <c r="I181" s="361"/>
      <c r="J181" s="361"/>
      <c r="K181" s="361"/>
      <c r="L181" s="361"/>
      <c r="M181" s="361"/>
      <c r="N181" s="361"/>
      <c r="O181" s="361"/>
      <c r="P181" s="361"/>
      <c r="Q181" s="361"/>
      <c r="R181" s="361"/>
      <c r="S181" s="361"/>
      <c r="T181" s="361"/>
      <c r="U181" s="361"/>
      <c r="V181" s="361"/>
      <c r="W181" s="361"/>
      <c r="X181" s="361"/>
      <c r="Y181" s="361"/>
      <c r="Z181" s="361"/>
      <c r="AA181" s="66"/>
      <c r="AB181" s="66"/>
      <c r="AC181" s="83"/>
    </row>
    <row r="182" spans="1:68" ht="16.5" customHeight="1" x14ac:dyDescent="0.25">
      <c r="A182" s="63" t="s">
        <v>282</v>
      </c>
      <c r="B182" s="63" t="s">
        <v>283</v>
      </c>
      <c r="C182" s="36">
        <v>4301071062</v>
      </c>
      <c r="D182" s="362">
        <v>4607111036384</v>
      </c>
      <c r="E182" s="362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89</v>
      </c>
      <c r="L182" s="37" t="s">
        <v>90</v>
      </c>
      <c r="M182" s="38" t="s">
        <v>88</v>
      </c>
      <c r="N182" s="38"/>
      <c r="O182" s="37">
        <v>180</v>
      </c>
      <c r="P182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64"/>
      <c r="R182" s="364"/>
      <c r="S182" s="364"/>
      <c r="T182" s="365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284</v>
      </c>
      <c r="AG182" s="81"/>
      <c r="AJ182" s="87" t="s">
        <v>91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285</v>
      </c>
      <c r="B183" s="63" t="s">
        <v>286</v>
      </c>
      <c r="C183" s="36">
        <v>4301071050</v>
      </c>
      <c r="D183" s="362">
        <v>4607111036216</v>
      </c>
      <c r="E183" s="362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89</v>
      </c>
      <c r="L183" s="37" t="s">
        <v>121</v>
      </c>
      <c r="M183" s="38" t="s">
        <v>88</v>
      </c>
      <c r="N183" s="38"/>
      <c r="O183" s="37">
        <v>180</v>
      </c>
      <c r="P183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64"/>
      <c r="R183" s="364"/>
      <c r="S183" s="364"/>
      <c r="T183" s="365"/>
      <c r="U183" s="39" t="s">
        <v>46</v>
      </c>
      <c r="V183" s="39" t="s">
        <v>46</v>
      </c>
      <c r="W183" s="40" t="s">
        <v>39</v>
      </c>
      <c r="X183" s="58">
        <v>60</v>
      </c>
      <c r="Y183" s="55">
        <f>IFERROR(IF(X183="","",X183),"")</f>
        <v>60</v>
      </c>
      <c r="Z183" s="41">
        <f>IFERROR(IF(X183="","",X183*0.00866),"")</f>
        <v>0.51959999999999995</v>
      </c>
      <c r="AA183" s="68" t="s">
        <v>46</v>
      </c>
      <c r="AB183" s="69" t="s">
        <v>46</v>
      </c>
      <c r="AC183" s="219" t="s">
        <v>287</v>
      </c>
      <c r="AG183" s="81"/>
      <c r="AJ183" s="87" t="s">
        <v>122</v>
      </c>
      <c r="AK183" s="87">
        <v>12</v>
      </c>
      <c r="BB183" s="220" t="s">
        <v>70</v>
      </c>
      <c r="BM183" s="81">
        <f>IFERROR(X183*I183,"0")</f>
        <v>312.79199999999997</v>
      </c>
      <c r="BN183" s="81">
        <f>IFERROR(Y183*I183,"0")</f>
        <v>312.79199999999997</v>
      </c>
      <c r="BO183" s="81">
        <f>IFERROR(X183/J183,"0")</f>
        <v>0.41666666666666669</v>
      </c>
      <c r="BP183" s="81">
        <f>IFERROR(Y183/J183,"0")</f>
        <v>0.41666666666666669</v>
      </c>
    </row>
    <row r="184" spans="1:68" x14ac:dyDescent="0.2">
      <c r="A184" s="376"/>
      <c r="B184" s="376"/>
      <c r="C184" s="376"/>
      <c r="D184" s="376"/>
      <c r="E184" s="376"/>
      <c r="F184" s="376"/>
      <c r="G184" s="376"/>
      <c r="H184" s="376"/>
      <c r="I184" s="376"/>
      <c r="J184" s="376"/>
      <c r="K184" s="376"/>
      <c r="L184" s="376"/>
      <c r="M184" s="376"/>
      <c r="N184" s="376"/>
      <c r="O184" s="377"/>
      <c r="P184" s="373" t="s">
        <v>40</v>
      </c>
      <c r="Q184" s="374"/>
      <c r="R184" s="374"/>
      <c r="S184" s="374"/>
      <c r="T184" s="374"/>
      <c r="U184" s="374"/>
      <c r="V184" s="375"/>
      <c r="W184" s="42" t="s">
        <v>39</v>
      </c>
      <c r="X184" s="43">
        <f>IFERROR(SUM(X182:X183),"0")</f>
        <v>60</v>
      </c>
      <c r="Y184" s="43">
        <f>IFERROR(SUM(Y182:Y183),"0")</f>
        <v>60</v>
      </c>
      <c r="Z184" s="43">
        <f>IFERROR(IF(Z182="",0,Z182),"0")+IFERROR(IF(Z183="",0,Z183),"0")</f>
        <v>0.51959999999999995</v>
      </c>
      <c r="AA184" s="67"/>
      <c r="AB184" s="67"/>
      <c r="AC184" s="67"/>
    </row>
    <row r="185" spans="1:68" x14ac:dyDescent="0.2">
      <c r="A185" s="376"/>
      <c r="B185" s="376"/>
      <c r="C185" s="376"/>
      <c r="D185" s="376"/>
      <c r="E185" s="376"/>
      <c r="F185" s="376"/>
      <c r="G185" s="376"/>
      <c r="H185" s="376"/>
      <c r="I185" s="376"/>
      <c r="J185" s="376"/>
      <c r="K185" s="376"/>
      <c r="L185" s="376"/>
      <c r="M185" s="376"/>
      <c r="N185" s="376"/>
      <c r="O185" s="377"/>
      <c r="P185" s="373" t="s">
        <v>40</v>
      </c>
      <c r="Q185" s="374"/>
      <c r="R185" s="374"/>
      <c r="S185" s="374"/>
      <c r="T185" s="374"/>
      <c r="U185" s="374"/>
      <c r="V185" s="375"/>
      <c r="W185" s="42" t="s">
        <v>0</v>
      </c>
      <c r="X185" s="43">
        <f>IFERROR(SUMPRODUCT(X182:X183*H182:H183),"0")</f>
        <v>300</v>
      </c>
      <c r="Y185" s="43">
        <f>IFERROR(SUMPRODUCT(Y182:Y183*H182:H183),"0")</f>
        <v>300</v>
      </c>
      <c r="Z185" s="42"/>
      <c r="AA185" s="67"/>
      <c r="AB185" s="67"/>
      <c r="AC185" s="67"/>
    </row>
    <row r="186" spans="1:68" ht="14.25" customHeight="1" x14ac:dyDescent="0.25">
      <c r="A186" s="361" t="s">
        <v>288</v>
      </c>
      <c r="B186" s="361"/>
      <c r="C186" s="361"/>
      <c r="D186" s="361"/>
      <c r="E186" s="361"/>
      <c r="F186" s="361"/>
      <c r="G186" s="361"/>
      <c r="H186" s="361"/>
      <c r="I186" s="361"/>
      <c r="J186" s="361"/>
      <c r="K186" s="361"/>
      <c r="L186" s="361"/>
      <c r="M186" s="361"/>
      <c r="N186" s="361"/>
      <c r="O186" s="361"/>
      <c r="P186" s="361"/>
      <c r="Q186" s="361"/>
      <c r="R186" s="361"/>
      <c r="S186" s="361"/>
      <c r="T186" s="361"/>
      <c r="U186" s="361"/>
      <c r="V186" s="361"/>
      <c r="W186" s="361"/>
      <c r="X186" s="361"/>
      <c r="Y186" s="361"/>
      <c r="Z186" s="361"/>
      <c r="AA186" s="66"/>
      <c r="AB186" s="66"/>
      <c r="AC186" s="83"/>
    </row>
    <row r="187" spans="1:68" ht="27" customHeight="1" x14ac:dyDescent="0.25">
      <c r="A187" s="63" t="s">
        <v>289</v>
      </c>
      <c r="B187" s="63" t="s">
        <v>290</v>
      </c>
      <c r="C187" s="36">
        <v>4301080153</v>
      </c>
      <c r="D187" s="362">
        <v>4607111036827</v>
      </c>
      <c r="E187" s="362"/>
      <c r="F187" s="62">
        <v>1</v>
      </c>
      <c r="G187" s="37">
        <v>5</v>
      </c>
      <c r="H187" s="62">
        <v>5</v>
      </c>
      <c r="I187" s="62">
        <v>5.2</v>
      </c>
      <c r="J187" s="37">
        <v>144</v>
      </c>
      <c r="K187" s="37" t="s">
        <v>89</v>
      </c>
      <c r="L187" s="37" t="s">
        <v>90</v>
      </c>
      <c r="M187" s="38" t="s">
        <v>88</v>
      </c>
      <c r="N187" s="38"/>
      <c r="O187" s="37">
        <v>90</v>
      </c>
      <c r="P187" s="436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7" s="364"/>
      <c r="R187" s="364"/>
      <c r="S187" s="364"/>
      <c r="T187" s="365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21" t="s">
        <v>291</v>
      </c>
      <c r="AG187" s="81"/>
      <c r="AJ187" s="87" t="s">
        <v>91</v>
      </c>
      <c r="AK187" s="87">
        <v>1</v>
      </c>
      <c r="BB187" s="222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292</v>
      </c>
      <c r="B188" s="63" t="s">
        <v>293</v>
      </c>
      <c r="C188" s="36">
        <v>4301080154</v>
      </c>
      <c r="D188" s="362">
        <v>4607111036834</v>
      </c>
      <c r="E188" s="362"/>
      <c r="F188" s="62">
        <v>1</v>
      </c>
      <c r="G188" s="37">
        <v>5</v>
      </c>
      <c r="H188" s="62">
        <v>5</v>
      </c>
      <c r="I188" s="62">
        <v>5.2530000000000001</v>
      </c>
      <c r="J188" s="37">
        <v>144</v>
      </c>
      <c r="K188" s="37" t="s">
        <v>89</v>
      </c>
      <c r="L188" s="37" t="s">
        <v>90</v>
      </c>
      <c r="M188" s="38" t="s">
        <v>88</v>
      </c>
      <c r="N188" s="38"/>
      <c r="O188" s="37">
        <v>90</v>
      </c>
      <c r="P188" s="43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8" s="364"/>
      <c r="R188" s="364"/>
      <c r="S188" s="364"/>
      <c r="T188" s="365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3" t="s">
        <v>291</v>
      </c>
      <c r="AG188" s="81"/>
      <c r="AJ188" s="87" t="s">
        <v>91</v>
      </c>
      <c r="AK188" s="87">
        <v>1</v>
      </c>
      <c r="BB188" s="224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76"/>
      <c r="B189" s="376"/>
      <c r="C189" s="376"/>
      <c r="D189" s="376"/>
      <c r="E189" s="376"/>
      <c r="F189" s="376"/>
      <c r="G189" s="376"/>
      <c r="H189" s="376"/>
      <c r="I189" s="376"/>
      <c r="J189" s="376"/>
      <c r="K189" s="376"/>
      <c r="L189" s="376"/>
      <c r="M189" s="376"/>
      <c r="N189" s="376"/>
      <c r="O189" s="377"/>
      <c r="P189" s="373" t="s">
        <v>40</v>
      </c>
      <c r="Q189" s="374"/>
      <c r="R189" s="374"/>
      <c r="S189" s="374"/>
      <c r="T189" s="374"/>
      <c r="U189" s="374"/>
      <c r="V189" s="375"/>
      <c r="W189" s="42" t="s">
        <v>39</v>
      </c>
      <c r="X189" s="43">
        <f>IFERROR(SUM(X187:X188),"0")</f>
        <v>0</v>
      </c>
      <c r="Y189" s="43">
        <f>IFERROR(SUM(Y187:Y188),"0")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376"/>
      <c r="B190" s="376"/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7"/>
      <c r="P190" s="373" t="s">
        <v>40</v>
      </c>
      <c r="Q190" s="374"/>
      <c r="R190" s="374"/>
      <c r="S190" s="374"/>
      <c r="T190" s="374"/>
      <c r="U190" s="374"/>
      <c r="V190" s="375"/>
      <c r="W190" s="42" t="s">
        <v>0</v>
      </c>
      <c r="X190" s="43">
        <f>IFERROR(SUMPRODUCT(X187:X188*H187:H188),"0")</f>
        <v>0</v>
      </c>
      <c r="Y190" s="43">
        <f>IFERROR(SUMPRODUCT(Y187:Y188*H187:H188),"0")</f>
        <v>0</v>
      </c>
      <c r="Z190" s="42"/>
      <c r="AA190" s="67"/>
      <c r="AB190" s="67"/>
      <c r="AC190" s="67"/>
    </row>
    <row r="191" spans="1:68" ht="27.75" customHeight="1" x14ac:dyDescent="0.2">
      <c r="A191" s="359" t="s">
        <v>294</v>
      </c>
      <c r="B191" s="359"/>
      <c r="C191" s="359"/>
      <c r="D191" s="359"/>
      <c r="E191" s="359"/>
      <c r="F191" s="359"/>
      <c r="G191" s="359"/>
      <c r="H191" s="359"/>
      <c r="I191" s="359"/>
      <c r="J191" s="359"/>
      <c r="K191" s="359"/>
      <c r="L191" s="359"/>
      <c r="M191" s="359"/>
      <c r="N191" s="359"/>
      <c r="O191" s="359"/>
      <c r="P191" s="359"/>
      <c r="Q191" s="359"/>
      <c r="R191" s="359"/>
      <c r="S191" s="359"/>
      <c r="T191" s="359"/>
      <c r="U191" s="359"/>
      <c r="V191" s="359"/>
      <c r="W191" s="359"/>
      <c r="X191" s="359"/>
      <c r="Y191" s="359"/>
      <c r="Z191" s="359"/>
      <c r="AA191" s="54"/>
      <c r="AB191" s="54"/>
      <c r="AC191" s="54"/>
    </row>
    <row r="192" spans="1:68" ht="16.5" customHeight="1" x14ac:dyDescent="0.25">
      <c r="A192" s="360" t="s">
        <v>295</v>
      </c>
      <c r="B192" s="360"/>
      <c r="C192" s="360"/>
      <c r="D192" s="360"/>
      <c r="E192" s="360"/>
      <c r="F192" s="360"/>
      <c r="G192" s="360"/>
      <c r="H192" s="360"/>
      <c r="I192" s="360"/>
      <c r="J192" s="360"/>
      <c r="K192" s="360"/>
      <c r="L192" s="360"/>
      <c r="M192" s="360"/>
      <c r="N192" s="360"/>
      <c r="O192" s="360"/>
      <c r="P192" s="360"/>
      <c r="Q192" s="360"/>
      <c r="R192" s="360"/>
      <c r="S192" s="360"/>
      <c r="T192" s="360"/>
      <c r="U192" s="360"/>
      <c r="V192" s="360"/>
      <c r="W192" s="360"/>
      <c r="X192" s="360"/>
      <c r="Y192" s="360"/>
      <c r="Z192" s="360"/>
      <c r="AA192" s="65"/>
      <c r="AB192" s="65"/>
      <c r="AC192" s="82"/>
    </row>
    <row r="193" spans="1:68" ht="14.25" customHeight="1" x14ac:dyDescent="0.25">
      <c r="A193" s="361" t="s">
        <v>115</v>
      </c>
      <c r="B193" s="361"/>
      <c r="C193" s="361"/>
      <c r="D193" s="361"/>
      <c r="E193" s="361"/>
      <c r="F193" s="361"/>
      <c r="G193" s="361"/>
      <c r="H193" s="361"/>
      <c r="I193" s="361"/>
      <c r="J193" s="361"/>
      <c r="K193" s="361"/>
      <c r="L193" s="361"/>
      <c r="M193" s="361"/>
      <c r="N193" s="361"/>
      <c r="O193" s="361"/>
      <c r="P193" s="361"/>
      <c r="Q193" s="361"/>
      <c r="R193" s="361"/>
      <c r="S193" s="361"/>
      <c r="T193" s="361"/>
      <c r="U193" s="361"/>
      <c r="V193" s="361"/>
      <c r="W193" s="361"/>
      <c r="X193" s="361"/>
      <c r="Y193" s="361"/>
      <c r="Z193" s="361"/>
      <c r="AA193" s="66"/>
      <c r="AB193" s="66"/>
      <c r="AC193" s="83"/>
    </row>
    <row r="194" spans="1:68" ht="16.5" customHeight="1" x14ac:dyDescent="0.25">
      <c r="A194" s="63" t="s">
        <v>296</v>
      </c>
      <c r="B194" s="63" t="s">
        <v>297</v>
      </c>
      <c r="C194" s="36">
        <v>4301132179</v>
      </c>
      <c r="D194" s="362">
        <v>4607111035691</v>
      </c>
      <c r="E194" s="362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120</v>
      </c>
      <c r="L194" s="37" t="s">
        <v>121</v>
      </c>
      <c r="M194" s="38" t="s">
        <v>88</v>
      </c>
      <c r="N194" s="38"/>
      <c r="O194" s="37">
        <v>365</v>
      </c>
      <c r="P194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5" t="s">
        <v>298</v>
      </c>
      <c r="AG194" s="81"/>
      <c r="AJ194" s="87" t="s">
        <v>122</v>
      </c>
      <c r="AK194" s="87">
        <v>14</v>
      </c>
      <c r="BB194" s="226" t="s">
        <v>119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299</v>
      </c>
      <c r="B195" s="63" t="s">
        <v>300</v>
      </c>
      <c r="C195" s="36">
        <v>4301132182</v>
      </c>
      <c r="D195" s="362">
        <v>4607111035721</v>
      </c>
      <c r="E195" s="362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120</v>
      </c>
      <c r="L195" s="37" t="s">
        <v>121</v>
      </c>
      <c r="M195" s="38" t="s">
        <v>88</v>
      </c>
      <c r="N195" s="38"/>
      <c r="O195" s="37">
        <v>365</v>
      </c>
      <c r="P195" s="4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364"/>
      <c r="R195" s="364"/>
      <c r="S195" s="364"/>
      <c r="T195" s="365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7" t="s">
        <v>301</v>
      </c>
      <c r="AG195" s="81"/>
      <c r="AJ195" s="87" t="s">
        <v>122</v>
      </c>
      <c r="AK195" s="87">
        <v>14</v>
      </c>
      <c r="BB195" s="228" t="s">
        <v>119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302</v>
      </c>
      <c r="B196" s="63" t="s">
        <v>303</v>
      </c>
      <c r="C196" s="36">
        <v>4301132170</v>
      </c>
      <c r="D196" s="362">
        <v>4607111038487</v>
      </c>
      <c r="E196" s="362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120</v>
      </c>
      <c r="L196" s="37" t="s">
        <v>121</v>
      </c>
      <c r="M196" s="38" t="s">
        <v>88</v>
      </c>
      <c r="N196" s="38"/>
      <c r="O196" s="37">
        <v>180</v>
      </c>
      <c r="P196" s="44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364"/>
      <c r="R196" s="364"/>
      <c r="S196" s="364"/>
      <c r="T196" s="365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9" t="s">
        <v>304</v>
      </c>
      <c r="AG196" s="81"/>
      <c r="AJ196" s="87" t="s">
        <v>122</v>
      </c>
      <c r="AK196" s="87">
        <v>14</v>
      </c>
      <c r="BB196" s="230" t="s">
        <v>119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305</v>
      </c>
      <c r="B197" s="63" t="s">
        <v>306</v>
      </c>
      <c r="C197" s="36">
        <v>4301132243</v>
      </c>
      <c r="D197" s="362">
        <v>4620207491195</v>
      </c>
      <c r="E197" s="362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120</v>
      </c>
      <c r="L197" s="37" t="s">
        <v>90</v>
      </c>
      <c r="M197" s="38" t="s">
        <v>88</v>
      </c>
      <c r="N197" s="38"/>
      <c r="O197" s="37">
        <v>180</v>
      </c>
      <c r="P197" s="44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364"/>
      <c r="R197" s="364"/>
      <c r="S197" s="364"/>
      <c r="T197" s="365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31" t="s">
        <v>307</v>
      </c>
      <c r="AG197" s="81"/>
      <c r="AJ197" s="87" t="s">
        <v>91</v>
      </c>
      <c r="AK197" s="87">
        <v>1</v>
      </c>
      <c r="BB197" s="232" t="s">
        <v>119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76"/>
      <c r="B198" s="376"/>
      <c r="C198" s="376"/>
      <c r="D198" s="376"/>
      <c r="E198" s="376"/>
      <c r="F198" s="376"/>
      <c r="G198" s="376"/>
      <c r="H198" s="376"/>
      <c r="I198" s="376"/>
      <c r="J198" s="376"/>
      <c r="K198" s="376"/>
      <c r="L198" s="376"/>
      <c r="M198" s="376"/>
      <c r="N198" s="376"/>
      <c r="O198" s="377"/>
      <c r="P198" s="373" t="s">
        <v>40</v>
      </c>
      <c r="Q198" s="374"/>
      <c r="R198" s="374"/>
      <c r="S198" s="374"/>
      <c r="T198" s="374"/>
      <c r="U198" s="374"/>
      <c r="V198" s="375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376"/>
      <c r="B199" s="376"/>
      <c r="C199" s="376"/>
      <c r="D199" s="376"/>
      <c r="E199" s="376"/>
      <c r="F199" s="376"/>
      <c r="G199" s="376"/>
      <c r="H199" s="376"/>
      <c r="I199" s="376"/>
      <c r="J199" s="376"/>
      <c r="K199" s="376"/>
      <c r="L199" s="376"/>
      <c r="M199" s="376"/>
      <c r="N199" s="376"/>
      <c r="O199" s="377"/>
      <c r="P199" s="373" t="s">
        <v>40</v>
      </c>
      <c r="Q199" s="374"/>
      <c r="R199" s="374"/>
      <c r="S199" s="374"/>
      <c r="T199" s="374"/>
      <c r="U199" s="374"/>
      <c r="V199" s="375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27.75" customHeight="1" x14ac:dyDescent="0.2">
      <c r="A200" s="359" t="s">
        <v>308</v>
      </c>
      <c r="B200" s="359"/>
      <c r="C200" s="359"/>
      <c r="D200" s="359"/>
      <c r="E200" s="359"/>
      <c r="F200" s="359"/>
      <c r="G200" s="359"/>
      <c r="H200" s="359"/>
      <c r="I200" s="359"/>
      <c r="J200" s="359"/>
      <c r="K200" s="359"/>
      <c r="L200" s="359"/>
      <c r="M200" s="359"/>
      <c r="N200" s="359"/>
      <c r="O200" s="359"/>
      <c r="P200" s="359"/>
      <c r="Q200" s="359"/>
      <c r="R200" s="359"/>
      <c r="S200" s="359"/>
      <c r="T200" s="359"/>
      <c r="U200" s="359"/>
      <c r="V200" s="359"/>
      <c r="W200" s="359"/>
      <c r="X200" s="359"/>
      <c r="Y200" s="359"/>
      <c r="Z200" s="359"/>
      <c r="AA200" s="54"/>
      <c r="AB200" s="54"/>
      <c r="AC200" s="54"/>
    </row>
    <row r="201" spans="1:68" ht="16.5" customHeight="1" x14ac:dyDescent="0.25">
      <c r="A201" s="360" t="s">
        <v>309</v>
      </c>
      <c r="B201" s="360"/>
      <c r="C201" s="360"/>
      <c r="D201" s="360"/>
      <c r="E201" s="360"/>
      <c r="F201" s="360"/>
      <c r="G201" s="360"/>
      <c r="H201" s="360"/>
      <c r="I201" s="360"/>
      <c r="J201" s="360"/>
      <c r="K201" s="360"/>
      <c r="L201" s="360"/>
      <c r="M201" s="360"/>
      <c r="N201" s="360"/>
      <c r="O201" s="360"/>
      <c r="P201" s="360"/>
      <c r="Q201" s="360"/>
      <c r="R201" s="360"/>
      <c r="S201" s="360"/>
      <c r="T201" s="360"/>
      <c r="U201" s="360"/>
      <c r="V201" s="360"/>
      <c r="W201" s="360"/>
      <c r="X201" s="360"/>
      <c r="Y201" s="360"/>
      <c r="Z201" s="360"/>
      <c r="AA201" s="65"/>
      <c r="AB201" s="65"/>
      <c r="AC201" s="82"/>
    </row>
    <row r="202" spans="1:68" ht="14.25" customHeight="1" x14ac:dyDescent="0.25">
      <c r="A202" s="361" t="s">
        <v>115</v>
      </c>
      <c r="B202" s="361"/>
      <c r="C202" s="361"/>
      <c r="D202" s="361"/>
      <c r="E202" s="361"/>
      <c r="F202" s="361"/>
      <c r="G202" s="361"/>
      <c r="H202" s="361"/>
      <c r="I202" s="361"/>
      <c r="J202" s="361"/>
      <c r="K202" s="361"/>
      <c r="L202" s="361"/>
      <c r="M202" s="361"/>
      <c r="N202" s="361"/>
      <c r="O202" s="361"/>
      <c r="P202" s="361"/>
      <c r="Q202" s="361"/>
      <c r="R202" s="361"/>
      <c r="S202" s="361"/>
      <c r="T202" s="361"/>
      <c r="U202" s="361"/>
      <c r="V202" s="361"/>
      <c r="W202" s="361"/>
      <c r="X202" s="361"/>
      <c r="Y202" s="361"/>
      <c r="Z202" s="361"/>
      <c r="AA202" s="66"/>
      <c r="AB202" s="66"/>
      <c r="AC202" s="83"/>
    </row>
    <row r="203" spans="1:68" ht="27" customHeight="1" x14ac:dyDescent="0.25">
      <c r="A203" s="63" t="s">
        <v>310</v>
      </c>
      <c r="B203" s="63" t="s">
        <v>311</v>
      </c>
      <c r="C203" s="36">
        <v>4301132227</v>
      </c>
      <c r="D203" s="362">
        <v>4620207491133</v>
      </c>
      <c r="E203" s="362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120</v>
      </c>
      <c r="L203" s="37" t="s">
        <v>121</v>
      </c>
      <c r="M203" s="38" t="s">
        <v>88</v>
      </c>
      <c r="N203" s="38"/>
      <c r="O203" s="37">
        <v>180</v>
      </c>
      <c r="P203" s="44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364"/>
      <c r="R203" s="364"/>
      <c r="S203" s="364"/>
      <c r="T203" s="365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3" t="s">
        <v>312</v>
      </c>
      <c r="AG203" s="81"/>
      <c r="AJ203" s="87" t="s">
        <v>122</v>
      </c>
      <c r="AK203" s="87">
        <v>14</v>
      </c>
      <c r="BB203" s="234" t="s">
        <v>119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x14ac:dyDescent="0.2">
      <c r="A204" s="376"/>
      <c r="B204" s="376"/>
      <c r="C204" s="376"/>
      <c r="D204" s="376"/>
      <c r="E204" s="376"/>
      <c r="F204" s="376"/>
      <c r="G204" s="376"/>
      <c r="H204" s="376"/>
      <c r="I204" s="376"/>
      <c r="J204" s="376"/>
      <c r="K204" s="376"/>
      <c r="L204" s="376"/>
      <c r="M204" s="376"/>
      <c r="N204" s="376"/>
      <c r="O204" s="377"/>
      <c r="P204" s="373" t="s">
        <v>40</v>
      </c>
      <c r="Q204" s="374"/>
      <c r="R204" s="374"/>
      <c r="S204" s="374"/>
      <c r="T204" s="374"/>
      <c r="U204" s="374"/>
      <c r="V204" s="375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x14ac:dyDescent="0.2">
      <c r="A205" s="376"/>
      <c r="B205" s="376"/>
      <c r="C205" s="376"/>
      <c r="D205" s="376"/>
      <c r="E205" s="376"/>
      <c r="F205" s="376"/>
      <c r="G205" s="376"/>
      <c r="H205" s="376"/>
      <c r="I205" s="376"/>
      <c r="J205" s="376"/>
      <c r="K205" s="376"/>
      <c r="L205" s="376"/>
      <c r="M205" s="376"/>
      <c r="N205" s="376"/>
      <c r="O205" s="377"/>
      <c r="P205" s="373" t="s">
        <v>40</v>
      </c>
      <c r="Q205" s="374"/>
      <c r="R205" s="374"/>
      <c r="S205" s="374"/>
      <c r="T205" s="374"/>
      <c r="U205" s="374"/>
      <c r="V205" s="375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14.25" customHeight="1" x14ac:dyDescent="0.25">
      <c r="A206" s="361" t="s">
        <v>159</v>
      </c>
      <c r="B206" s="361"/>
      <c r="C206" s="361"/>
      <c r="D206" s="361"/>
      <c r="E206" s="361"/>
      <c r="F206" s="361"/>
      <c r="G206" s="361"/>
      <c r="H206" s="361"/>
      <c r="I206" s="361"/>
      <c r="J206" s="361"/>
      <c r="K206" s="361"/>
      <c r="L206" s="361"/>
      <c r="M206" s="361"/>
      <c r="N206" s="361"/>
      <c r="O206" s="361"/>
      <c r="P206" s="361"/>
      <c r="Q206" s="361"/>
      <c r="R206" s="361"/>
      <c r="S206" s="361"/>
      <c r="T206" s="361"/>
      <c r="U206" s="361"/>
      <c r="V206" s="361"/>
      <c r="W206" s="361"/>
      <c r="X206" s="361"/>
      <c r="Y206" s="361"/>
      <c r="Z206" s="361"/>
      <c r="AA206" s="66"/>
      <c r="AB206" s="66"/>
      <c r="AC206" s="83"/>
    </row>
    <row r="207" spans="1:68" ht="27" customHeight="1" x14ac:dyDescent="0.25">
      <c r="A207" s="63" t="s">
        <v>313</v>
      </c>
      <c r="B207" s="63" t="s">
        <v>314</v>
      </c>
      <c r="C207" s="36">
        <v>4301135834</v>
      </c>
      <c r="D207" s="362">
        <v>4620207491188</v>
      </c>
      <c r="E207" s="362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120</v>
      </c>
      <c r="L207" s="37" t="s">
        <v>90</v>
      </c>
      <c r="M207" s="38" t="s">
        <v>88</v>
      </c>
      <c r="N207" s="38"/>
      <c r="O207" s="37">
        <v>180</v>
      </c>
      <c r="P207" s="44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364"/>
      <c r="R207" s="364"/>
      <c r="S207" s="364"/>
      <c r="T207" s="365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5" t="s">
        <v>315</v>
      </c>
      <c r="AG207" s="81"/>
      <c r="AJ207" s="87" t="s">
        <v>91</v>
      </c>
      <c r="AK207" s="87">
        <v>1</v>
      </c>
      <c r="BB207" s="236" t="s">
        <v>119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316</v>
      </c>
      <c r="B208" s="63" t="s">
        <v>317</v>
      </c>
      <c r="C208" s="36">
        <v>4301135829</v>
      </c>
      <c r="D208" s="362">
        <v>4620207490235</v>
      </c>
      <c r="E208" s="362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120</v>
      </c>
      <c r="L208" s="37" t="s">
        <v>90</v>
      </c>
      <c r="M208" s="38" t="s">
        <v>88</v>
      </c>
      <c r="N208" s="38"/>
      <c r="O208" s="37">
        <v>180</v>
      </c>
      <c r="P208" s="44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364"/>
      <c r="R208" s="364"/>
      <c r="S208" s="364"/>
      <c r="T208" s="365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7" t="s">
        <v>318</v>
      </c>
      <c r="AG208" s="81"/>
      <c r="AJ208" s="87" t="s">
        <v>91</v>
      </c>
      <c r="AK208" s="87">
        <v>1</v>
      </c>
      <c r="BB208" s="238" t="s">
        <v>119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319</v>
      </c>
      <c r="B209" s="63" t="s">
        <v>320</v>
      </c>
      <c r="C209" s="36">
        <v>4301135697</v>
      </c>
      <c r="D209" s="362">
        <v>4620207490259</v>
      </c>
      <c r="E209" s="362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120</v>
      </c>
      <c r="L209" s="37" t="s">
        <v>90</v>
      </c>
      <c r="M209" s="38" t="s">
        <v>88</v>
      </c>
      <c r="N209" s="38"/>
      <c r="O209" s="37">
        <v>180</v>
      </c>
      <c r="P209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364"/>
      <c r="R209" s="364"/>
      <c r="S209" s="364"/>
      <c r="T209" s="365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9" t="s">
        <v>321</v>
      </c>
      <c r="AG209" s="81"/>
      <c r="AJ209" s="87" t="s">
        <v>91</v>
      </c>
      <c r="AK209" s="87">
        <v>1</v>
      </c>
      <c r="BB209" s="240" t="s">
        <v>119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76"/>
      <c r="B210" s="376"/>
      <c r="C210" s="376"/>
      <c r="D210" s="376"/>
      <c r="E210" s="376"/>
      <c r="F210" s="376"/>
      <c r="G210" s="376"/>
      <c r="H210" s="376"/>
      <c r="I210" s="376"/>
      <c r="J210" s="376"/>
      <c r="K210" s="376"/>
      <c r="L210" s="376"/>
      <c r="M210" s="376"/>
      <c r="N210" s="376"/>
      <c r="O210" s="377"/>
      <c r="P210" s="373" t="s">
        <v>40</v>
      </c>
      <c r="Q210" s="374"/>
      <c r="R210" s="374"/>
      <c r="S210" s="374"/>
      <c r="T210" s="374"/>
      <c r="U210" s="374"/>
      <c r="V210" s="375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376"/>
      <c r="B211" s="376"/>
      <c r="C211" s="376"/>
      <c r="D211" s="376"/>
      <c r="E211" s="376"/>
      <c r="F211" s="376"/>
      <c r="G211" s="376"/>
      <c r="H211" s="376"/>
      <c r="I211" s="376"/>
      <c r="J211" s="376"/>
      <c r="K211" s="376"/>
      <c r="L211" s="376"/>
      <c r="M211" s="376"/>
      <c r="N211" s="376"/>
      <c r="O211" s="377"/>
      <c r="P211" s="373" t="s">
        <v>40</v>
      </c>
      <c r="Q211" s="374"/>
      <c r="R211" s="374"/>
      <c r="S211" s="374"/>
      <c r="T211" s="374"/>
      <c r="U211" s="374"/>
      <c r="V211" s="375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customHeight="1" x14ac:dyDescent="0.25">
      <c r="A212" s="360" t="s">
        <v>322</v>
      </c>
      <c r="B212" s="360"/>
      <c r="C212" s="360"/>
      <c r="D212" s="360"/>
      <c r="E212" s="360"/>
      <c r="F212" s="360"/>
      <c r="G212" s="360"/>
      <c r="H212" s="360"/>
      <c r="I212" s="360"/>
      <c r="J212" s="360"/>
      <c r="K212" s="360"/>
      <c r="L212" s="360"/>
      <c r="M212" s="360"/>
      <c r="N212" s="360"/>
      <c r="O212" s="360"/>
      <c r="P212" s="360"/>
      <c r="Q212" s="360"/>
      <c r="R212" s="360"/>
      <c r="S212" s="360"/>
      <c r="T212" s="360"/>
      <c r="U212" s="360"/>
      <c r="V212" s="360"/>
      <c r="W212" s="360"/>
      <c r="X212" s="360"/>
      <c r="Y212" s="360"/>
      <c r="Z212" s="360"/>
      <c r="AA212" s="65"/>
      <c r="AB212" s="65"/>
      <c r="AC212" s="82"/>
    </row>
    <row r="213" spans="1:68" ht="14.25" customHeight="1" x14ac:dyDescent="0.25">
      <c r="A213" s="361" t="s">
        <v>159</v>
      </c>
      <c r="B213" s="361"/>
      <c r="C213" s="361"/>
      <c r="D213" s="361"/>
      <c r="E213" s="361"/>
      <c r="F213" s="361"/>
      <c r="G213" s="361"/>
      <c r="H213" s="361"/>
      <c r="I213" s="361"/>
      <c r="J213" s="361"/>
      <c r="K213" s="361"/>
      <c r="L213" s="361"/>
      <c r="M213" s="361"/>
      <c r="N213" s="361"/>
      <c r="O213" s="361"/>
      <c r="P213" s="361"/>
      <c r="Q213" s="361"/>
      <c r="R213" s="361"/>
      <c r="S213" s="361"/>
      <c r="T213" s="361"/>
      <c r="U213" s="361"/>
      <c r="V213" s="361"/>
      <c r="W213" s="361"/>
      <c r="X213" s="361"/>
      <c r="Y213" s="361"/>
      <c r="Z213" s="361"/>
      <c r="AA213" s="66"/>
      <c r="AB213" s="66"/>
      <c r="AC213" s="83"/>
    </row>
    <row r="214" spans="1:68" ht="27" customHeight="1" x14ac:dyDescent="0.25">
      <c r="A214" s="63" t="s">
        <v>323</v>
      </c>
      <c r="B214" s="63" t="s">
        <v>324</v>
      </c>
      <c r="C214" s="36">
        <v>4301135854</v>
      </c>
      <c r="D214" s="362">
        <v>4620207491706</v>
      </c>
      <c r="E214" s="362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120</v>
      </c>
      <c r="L214" s="37" t="s">
        <v>90</v>
      </c>
      <c r="M214" s="38" t="s">
        <v>88</v>
      </c>
      <c r="N214" s="38"/>
      <c r="O214" s="37">
        <v>180</v>
      </c>
      <c r="P214" s="44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364"/>
      <c r="R214" s="364"/>
      <c r="S214" s="364"/>
      <c r="T214" s="365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41" t="s">
        <v>325</v>
      </c>
      <c r="AG214" s="81"/>
      <c r="AJ214" s="87" t="s">
        <v>91</v>
      </c>
      <c r="AK214" s="87">
        <v>1</v>
      </c>
      <c r="BB214" s="242" t="s">
        <v>119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326</v>
      </c>
      <c r="B215" s="63" t="s">
        <v>327</v>
      </c>
      <c r="C215" s="36">
        <v>4301135895</v>
      </c>
      <c r="D215" s="362">
        <v>4620207491522</v>
      </c>
      <c r="E215" s="362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120</v>
      </c>
      <c r="L215" s="37" t="s">
        <v>90</v>
      </c>
      <c r="M215" s="38" t="s">
        <v>88</v>
      </c>
      <c r="N215" s="38"/>
      <c r="O215" s="37">
        <v>180</v>
      </c>
      <c r="P215" s="447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364"/>
      <c r="R215" s="364"/>
      <c r="S215" s="364"/>
      <c r="T215" s="365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3" t="s">
        <v>328</v>
      </c>
      <c r="AG215" s="81"/>
      <c r="AJ215" s="87" t="s">
        <v>91</v>
      </c>
      <c r="AK215" s="87">
        <v>1</v>
      </c>
      <c r="BB215" s="244" t="s">
        <v>119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76"/>
      <c r="B216" s="376"/>
      <c r="C216" s="376"/>
      <c r="D216" s="376"/>
      <c r="E216" s="376"/>
      <c r="F216" s="376"/>
      <c r="G216" s="376"/>
      <c r="H216" s="376"/>
      <c r="I216" s="376"/>
      <c r="J216" s="376"/>
      <c r="K216" s="376"/>
      <c r="L216" s="376"/>
      <c r="M216" s="376"/>
      <c r="N216" s="376"/>
      <c r="O216" s="377"/>
      <c r="P216" s="373" t="s">
        <v>40</v>
      </c>
      <c r="Q216" s="374"/>
      <c r="R216" s="374"/>
      <c r="S216" s="374"/>
      <c r="T216" s="374"/>
      <c r="U216" s="374"/>
      <c r="V216" s="375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76"/>
      <c r="B217" s="376"/>
      <c r="C217" s="376"/>
      <c r="D217" s="376"/>
      <c r="E217" s="376"/>
      <c r="F217" s="376"/>
      <c r="G217" s="376"/>
      <c r="H217" s="376"/>
      <c r="I217" s="376"/>
      <c r="J217" s="376"/>
      <c r="K217" s="376"/>
      <c r="L217" s="376"/>
      <c r="M217" s="376"/>
      <c r="N217" s="376"/>
      <c r="O217" s="377"/>
      <c r="P217" s="373" t="s">
        <v>40</v>
      </c>
      <c r="Q217" s="374"/>
      <c r="R217" s="374"/>
      <c r="S217" s="374"/>
      <c r="T217" s="374"/>
      <c r="U217" s="374"/>
      <c r="V217" s="375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customHeight="1" x14ac:dyDescent="0.25">
      <c r="A218" s="360" t="s">
        <v>329</v>
      </c>
      <c r="B218" s="360"/>
      <c r="C218" s="360"/>
      <c r="D218" s="360"/>
      <c r="E218" s="360"/>
      <c r="F218" s="360"/>
      <c r="G218" s="360"/>
      <c r="H218" s="360"/>
      <c r="I218" s="360"/>
      <c r="J218" s="360"/>
      <c r="K218" s="360"/>
      <c r="L218" s="360"/>
      <c r="M218" s="360"/>
      <c r="N218" s="360"/>
      <c r="O218" s="360"/>
      <c r="P218" s="360"/>
      <c r="Q218" s="360"/>
      <c r="R218" s="360"/>
      <c r="S218" s="360"/>
      <c r="T218" s="360"/>
      <c r="U218" s="360"/>
      <c r="V218" s="360"/>
      <c r="W218" s="360"/>
      <c r="X218" s="360"/>
      <c r="Y218" s="360"/>
      <c r="Z218" s="360"/>
      <c r="AA218" s="65"/>
      <c r="AB218" s="65"/>
      <c r="AC218" s="82"/>
    </row>
    <row r="219" spans="1:68" ht="14.25" customHeight="1" x14ac:dyDescent="0.25">
      <c r="A219" s="361" t="s">
        <v>82</v>
      </c>
      <c r="B219" s="361"/>
      <c r="C219" s="361"/>
      <c r="D219" s="361"/>
      <c r="E219" s="361"/>
      <c r="F219" s="361"/>
      <c r="G219" s="361"/>
      <c r="H219" s="361"/>
      <c r="I219" s="361"/>
      <c r="J219" s="361"/>
      <c r="K219" s="361"/>
      <c r="L219" s="361"/>
      <c r="M219" s="361"/>
      <c r="N219" s="361"/>
      <c r="O219" s="361"/>
      <c r="P219" s="361"/>
      <c r="Q219" s="361"/>
      <c r="R219" s="361"/>
      <c r="S219" s="361"/>
      <c r="T219" s="361"/>
      <c r="U219" s="361"/>
      <c r="V219" s="361"/>
      <c r="W219" s="361"/>
      <c r="X219" s="361"/>
      <c r="Y219" s="361"/>
      <c r="Z219" s="361"/>
      <c r="AA219" s="66"/>
      <c r="AB219" s="66"/>
      <c r="AC219" s="83"/>
    </row>
    <row r="220" spans="1:68" ht="27" customHeight="1" x14ac:dyDescent="0.25">
      <c r="A220" s="63" t="s">
        <v>330</v>
      </c>
      <c r="B220" s="63" t="s">
        <v>331</v>
      </c>
      <c r="C220" s="36">
        <v>4301071097</v>
      </c>
      <c r="D220" s="362">
        <v>4620207491096</v>
      </c>
      <c r="E220" s="362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89</v>
      </c>
      <c r="L220" s="37" t="s">
        <v>121</v>
      </c>
      <c r="M220" s="38" t="s">
        <v>88</v>
      </c>
      <c r="N220" s="38"/>
      <c r="O220" s="37">
        <v>180</v>
      </c>
      <c r="P220" s="44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364"/>
      <c r="R220" s="364"/>
      <c r="S220" s="364"/>
      <c r="T220" s="365"/>
      <c r="U220" s="39" t="s">
        <v>46</v>
      </c>
      <c r="V220" s="39" t="s">
        <v>46</v>
      </c>
      <c r="W220" s="40" t="s">
        <v>39</v>
      </c>
      <c r="X220" s="58">
        <v>60</v>
      </c>
      <c r="Y220" s="55">
        <f>IFERROR(IF(X220="","",X220),"")</f>
        <v>60</v>
      </c>
      <c r="Z220" s="41">
        <f>IFERROR(IF(X220="","",X220*0.0155),"")</f>
        <v>0.92999999999999994</v>
      </c>
      <c r="AA220" s="68" t="s">
        <v>46</v>
      </c>
      <c r="AB220" s="69" t="s">
        <v>46</v>
      </c>
      <c r="AC220" s="245" t="s">
        <v>332</v>
      </c>
      <c r="AG220" s="81"/>
      <c r="AJ220" s="87" t="s">
        <v>122</v>
      </c>
      <c r="AK220" s="87">
        <v>12</v>
      </c>
      <c r="BB220" s="246" t="s">
        <v>70</v>
      </c>
      <c r="BM220" s="81">
        <f>IFERROR(X220*I220,"0")</f>
        <v>313.8</v>
      </c>
      <c r="BN220" s="81">
        <f>IFERROR(Y220*I220,"0")</f>
        <v>313.8</v>
      </c>
      <c r="BO220" s="81">
        <f>IFERROR(X220/J220,"0")</f>
        <v>0.7142857142857143</v>
      </c>
      <c r="BP220" s="81">
        <f>IFERROR(Y220/J220,"0")</f>
        <v>0.7142857142857143</v>
      </c>
    </row>
    <row r="221" spans="1:68" x14ac:dyDescent="0.2">
      <c r="A221" s="376"/>
      <c r="B221" s="376"/>
      <c r="C221" s="376"/>
      <c r="D221" s="376"/>
      <c r="E221" s="376"/>
      <c r="F221" s="376"/>
      <c r="G221" s="376"/>
      <c r="H221" s="376"/>
      <c r="I221" s="376"/>
      <c r="J221" s="376"/>
      <c r="K221" s="376"/>
      <c r="L221" s="376"/>
      <c r="M221" s="376"/>
      <c r="N221" s="376"/>
      <c r="O221" s="377"/>
      <c r="P221" s="373" t="s">
        <v>40</v>
      </c>
      <c r="Q221" s="374"/>
      <c r="R221" s="374"/>
      <c r="S221" s="374"/>
      <c r="T221" s="374"/>
      <c r="U221" s="374"/>
      <c r="V221" s="375"/>
      <c r="W221" s="42" t="s">
        <v>39</v>
      </c>
      <c r="X221" s="43">
        <f>IFERROR(SUM(X220:X220),"0")</f>
        <v>60</v>
      </c>
      <c r="Y221" s="43">
        <f>IFERROR(SUM(Y220:Y220),"0")</f>
        <v>60</v>
      </c>
      <c r="Z221" s="43">
        <f>IFERROR(IF(Z220="",0,Z220),"0")</f>
        <v>0.92999999999999994</v>
      </c>
      <c r="AA221" s="67"/>
      <c r="AB221" s="67"/>
      <c r="AC221" s="67"/>
    </row>
    <row r="222" spans="1:68" x14ac:dyDescent="0.2">
      <c r="A222" s="376"/>
      <c r="B222" s="376"/>
      <c r="C222" s="376"/>
      <c r="D222" s="376"/>
      <c r="E222" s="376"/>
      <c r="F222" s="376"/>
      <c r="G222" s="376"/>
      <c r="H222" s="376"/>
      <c r="I222" s="376"/>
      <c r="J222" s="376"/>
      <c r="K222" s="376"/>
      <c r="L222" s="376"/>
      <c r="M222" s="376"/>
      <c r="N222" s="376"/>
      <c r="O222" s="377"/>
      <c r="P222" s="373" t="s">
        <v>40</v>
      </c>
      <c r="Q222" s="374"/>
      <c r="R222" s="374"/>
      <c r="S222" s="374"/>
      <c r="T222" s="374"/>
      <c r="U222" s="374"/>
      <c r="V222" s="375"/>
      <c r="W222" s="42" t="s">
        <v>0</v>
      </c>
      <c r="X222" s="43">
        <f>IFERROR(SUMPRODUCT(X220:X220*H220:H220),"0")</f>
        <v>300</v>
      </c>
      <c r="Y222" s="43">
        <f>IFERROR(SUMPRODUCT(Y220:Y220*H220:H220),"0")</f>
        <v>300</v>
      </c>
      <c r="Z222" s="42"/>
      <c r="AA222" s="67"/>
      <c r="AB222" s="67"/>
      <c r="AC222" s="67"/>
    </row>
    <row r="223" spans="1:68" ht="16.5" customHeight="1" x14ac:dyDescent="0.25">
      <c r="A223" s="360" t="s">
        <v>333</v>
      </c>
      <c r="B223" s="360"/>
      <c r="C223" s="360"/>
      <c r="D223" s="360"/>
      <c r="E223" s="360"/>
      <c r="F223" s="360"/>
      <c r="G223" s="360"/>
      <c r="H223" s="360"/>
      <c r="I223" s="360"/>
      <c r="J223" s="360"/>
      <c r="K223" s="360"/>
      <c r="L223" s="360"/>
      <c r="M223" s="360"/>
      <c r="N223" s="360"/>
      <c r="O223" s="360"/>
      <c r="P223" s="360"/>
      <c r="Q223" s="360"/>
      <c r="R223" s="360"/>
      <c r="S223" s="360"/>
      <c r="T223" s="360"/>
      <c r="U223" s="360"/>
      <c r="V223" s="360"/>
      <c r="W223" s="360"/>
      <c r="X223" s="360"/>
      <c r="Y223" s="360"/>
      <c r="Z223" s="360"/>
      <c r="AA223" s="65"/>
      <c r="AB223" s="65"/>
      <c r="AC223" s="82"/>
    </row>
    <row r="224" spans="1:68" ht="14.25" customHeight="1" x14ac:dyDescent="0.25">
      <c r="A224" s="361" t="s">
        <v>159</v>
      </c>
      <c r="B224" s="361"/>
      <c r="C224" s="361"/>
      <c r="D224" s="361"/>
      <c r="E224" s="361"/>
      <c r="F224" s="361"/>
      <c r="G224" s="361"/>
      <c r="H224" s="361"/>
      <c r="I224" s="361"/>
      <c r="J224" s="361"/>
      <c r="K224" s="361"/>
      <c r="L224" s="361"/>
      <c r="M224" s="361"/>
      <c r="N224" s="361"/>
      <c r="O224" s="361"/>
      <c r="P224" s="361"/>
      <c r="Q224" s="361"/>
      <c r="R224" s="361"/>
      <c r="S224" s="361"/>
      <c r="T224" s="361"/>
      <c r="U224" s="361"/>
      <c r="V224" s="361"/>
      <c r="W224" s="361"/>
      <c r="X224" s="361"/>
      <c r="Y224" s="361"/>
      <c r="Z224" s="361"/>
      <c r="AA224" s="66"/>
      <c r="AB224" s="66"/>
      <c r="AC224" s="83"/>
    </row>
    <row r="225" spans="1:68" ht="27" customHeight="1" x14ac:dyDescent="0.25">
      <c r="A225" s="63" t="s">
        <v>334</v>
      </c>
      <c r="B225" s="63" t="s">
        <v>335</v>
      </c>
      <c r="C225" s="36">
        <v>4301135694</v>
      </c>
      <c r="D225" s="362">
        <v>4620207490501</v>
      </c>
      <c r="E225" s="362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120</v>
      </c>
      <c r="L225" s="37" t="s">
        <v>90</v>
      </c>
      <c r="M225" s="38" t="s">
        <v>88</v>
      </c>
      <c r="N225" s="38"/>
      <c r="O225" s="37">
        <v>180</v>
      </c>
      <c r="P225" s="44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364"/>
      <c r="R225" s="364"/>
      <c r="S225" s="364"/>
      <c r="T225" s="365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7" t="s">
        <v>336</v>
      </c>
      <c r="AG225" s="81"/>
      <c r="AJ225" s="87" t="s">
        <v>91</v>
      </c>
      <c r="AK225" s="87">
        <v>1</v>
      </c>
      <c r="BB225" s="248" t="s">
        <v>119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76"/>
      <c r="B226" s="376"/>
      <c r="C226" s="376"/>
      <c r="D226" s="376"/>
      <c r="E226" s="376"/>
      <c r="F226" s="376"/>
      <c r="G226" s="376"/>
      <c r="H226" s="376"/>
      <c r="I226" s="376"/>
      <c r="J226" s="376"/>
      <c r="K226" s="376"/>
      <c r="L226" s="376"/>
      <c r="M226" s="376"/>
      <c r="N226" s="376"/>
      <c r="O226" s="377"/>
      <c r="P226" s="373" t="s">
        <v>40</v>
      </c>
      <c r="Q226" s="374"/>
      <c r="R226" s="374"/>
      <c r="S226" s="374"/>
      <c r="T226" s="374"/>
      <c r="U226" s="374"/>
      <c r="V226" s="375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76"/>
      <c r="B227" s="376"/>
      <c r="C227" s="376"/>
      <c r="D227" s="376"/>
      <c r="E227" s="376"/>
      <c r="F227" s="376"/>
      <c r="G227" s="376"/>
      <c r="H227" s="376"/>
      <c r="I227" s="376"/>
      <c r="J227" s="376"/>
      <c r="K227" s="376"/>
      <c r="L227" s="376"/>
      <c r="M227" s="376"/>
      <c r="N227" s="376"/>
      <c r="O227" s="377"/>
      <c r="P227" s="373" t="s">
        <v>40</v>
      </c>
      <c r="Q227" s="374"/>
      <c r="R227" s="374"/>
      <c r="S227" s="374"/>
      <c r="T227" s="374"/>
      <c r="U227" s="374"/>
      <c r="V227" s="375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59" t="s">
        <v>337</v>
      </c>
      <c r="B228" s="359"/>
      <c r="C228" s="359"/>
      <c r="D228" s="359"/>
      <c r="E228" s="359"/>
      <c r="F228" s="359"/>
      <c r="G228" s="359"/>
      <c r="H228" s="359"/>
      <c r="I228" s="359"/>
      <c r="J228" s="359"/>
      <c r="K228" s="359"/>
      <c r="L228" s="359"/>
      <c r="M228" s="359"/>
      <c r="N228" s="359"/>
      <c r="O228" s="359"/>
      <c r="P228" s="359"/>
      <c r="Q228" s="359"/>
      <c r="R228" s="359"/>
      <c r="S228" s="359"/>
      <c r="T228" s="359"/>
      <c r="U228" s="359"/>
      <c r="V228" s="359"/>
      <c r="W228" s="359"/>
      <c r="X228" s="359"/>
      <c r="Y228" s="359"/>
      <c r="Z228" s="359"/>
      <c r="AA228" s="54"/>
      <c r="AB228" s="54"/>
      <c r="AC228" s="54"/>
    </row>
    <row r="229" spans="1:68" ht="16.5" customHeight="1" x14ac:dyDescent="0.25">
      <c r="A229" s="360" t="s">
        <v>338</v>
      </c>
      <c r="B229" s="360"/>
      <c r="C229" s="360"/>
      <c r="D229" s="360"/>
      <c r="E229" s="360"/>
      <c r="F229" s="360"/>
      <c r="G229" s="360"/>
      <c r="H229" s="360"/>
      <c r="I229" s="360"/>
      <c r="J229" s="360"/>
      <c r="K229" s="360"/>
      <c r="L229" s="360"/>
      <c r="M229" s="360"/>
      <c r="N229" s="360"/>
      <c r="O229" s="360"/>
      <c r="P229" s="360"/>
      <c r="Q229" s="360"/>
      <c r="R229" s="360"/>
      <c r="S229" s="360"/>
      <c r="T229" s="360"/>
      <c r="U229" s="360"/>
      <c r="V229" s="360"/>
      <c r="W229" s="360"/>
      <c r="X229" s="360"/>
      <c r="Y229" s="360"/>
      <c r="Z229" s="360"/>
      <c r="AA229" s="65"/>
      <c r="AB229" s="65"/>
      <c r="AC229" s="82"/>
    </row>
    <row r="230" spans="1:68" ht="14.25" customHeight="1" x14ac:dyDescent="0.25">
      <c r="A230" s="361" t="s">
        <v>82</v>
      </c>
      <c r="B230" s="361"/>
      <c r="C230" s="361"/>
      <c r="D230" s="361"/>
      <c r="E230" s="361"/>
      <c r="F230" s="361"/>
      <c r="G230" s="361"/>
      <c r="H230" s="361"/>
      <c r="I230" s="361"/>
      <c r="J230" s="361"/>
      <c r="K230" s="361"/>
      <c r="L230" s="361"/>
      <c r="M230" s="361"/>
      <c r="N230" s="361"/>
      <c r="O230" s="361"/>
      <c r="P230" s="361"/>
      <c r="Q230" s="361"/>
      <c r="R230" s="361"/>
      <c r="S230" s="361"/>
      <c r="T230" s="361"/>
      <c r="U230" s="361"/>
      <c r="V230" s="361"/>
      <c r="W230" s="361"/>
      <c r="X230" s="361"/>
      <c r="Y230" s="361"/>
      <c r="Z230" s="361"/>
      <c r="AA230" s="66"/>
      <c r="AB230" s="66"/>
      <c r="AC230" s="83"/>
    </row>
    <row r="231" spans="1:68" ht="27" customHeight="1" x14ac:dyDescent="0.25">
      <c r="A231" s="63" t="s">
        <v>339</v>
      </c>
      <c r="B231" s="63" t="s">
        <v>340</v>
      </c>
      <c r="C231" s="36">
        <v>4301071036</v>
      </c>
      <c r="D231" s="362">
        <v>4607111036162</v>
      </c>
      <c r="E231" s="362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89</v>
      </c>
      <c r="L231" s="37" t="s">
        <v>90</v>
      </c>
      <c r="M231" s="38" t="s">
        <v>88</v>
      </c>
      <c r="N231" s="38"/>
      <c r="O231" s="37">
        <v>90</v>
      </c>
      <c r="P231" s="45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364"/>
      <c r="R231" s="364"/>
      <c r="S231" s="364"/>
      <c r="T231" s="365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9" t="s">
        <v>341</v>
      </c>
      <c r="AG231" s="81"/>
      <c r="AJ231" s="87" t="s">
        <v>91</v>
      </c>
      <c r="AK231" s="87">
        <v>1</v>
      </c>
      <c r="BB231" s="250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76"/>
      <c r="B232" s="376"/>
      <c r="C232" s="376"/>
      <c r="D232" s="376"/>
      <c r="E232" s="376"/>
      <c r="F232" s="376"/>
      <c r="G232" s="376"/>
      <c r="H232" s="376"/>
      <c r="I232" s="376"/>
      <c r="J232" s="376"/>
      <c r="K232" s="376"/>
      <c r="L232" s="376"/>
      <c r="M232" s="376"/>
      <c r="N232" s="376"/>
      <c r="O232" s="377"/>
      <c r="P232" s="373" t="s">
        <v>40</v>
      </c>
      <c r="Q232" s="374"/>
      <c r="R232" s="374"/>
      <c r="S232" s="374"/>
      <c r="T232" s="374"/>
      <c r="U232" s="374"/>
      <c r="V232" s="375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76"/>
      <c r="B233" s="376"/>
      <c r="C233" s="376"/>
      <c r="D233" s="376"/>
      <c r="E233" s="376"/>
      <c r="F233" s="376"/>
      <c r="G233" s="376"/>
      <c r="H233" s="376"/>
      <c r="I233" s="376"/>
      <c r="J233" s="376"/>
      <c r="K233" s="376"/>
      <c r="L233" s="376"/>
      <c r="M233" s="376"/>
      <c r="N233" s="376"/>
      <c r="O233" s="377"/>
      <c r="P233" s="373" t="s">
        <v>40</v>
      </c>
      <c r="Q233" s="374"/>
      <c r="R233" s="374"/>
      <c r="S233" s="374"/>
      <c r="T233" s="374"/>
      <c r="U233" s="374"/>
      <c r="V233" s="375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59" t="s">
        <v>342</v>
      </c>
      <c r="B234" s="359"/>
      <c r="C234" s="359"/>
      <c r="D234" s="359"/>
      <c r="E234" s="359"/>
      <c r="F234" s="359"/>
      <c r="G234" s="359"/>
      <c r="H234" s="359"/>
      <c r="I234" s="359"/>
      <c r="J234" s="359"/>
      <c r="K234" s="359"/>
      <c r="L234" s="359"/>
      <c r="M234" s="359"/>
      <c r="N234" s="359"/>
      <c r="O234" s="359"/>
      <c r="P234" s="359"/>
      <c r="Q234" s="359"/>
      <c r="R234" s="359"/>
      <c r="S234" s="359"/>
      <c r="T234" s="359"/>
      <c r="U234" s="359"/>
      <c r="V234" s="359"/>
      <c r="W234" s="359"/>
      <c r="X234" s="359"/>
      <c r="Y234" s="359"/>
      <c r="Z234" s="359"/>
      <c r="AA234" s="54"/>
      <c r="AB234" s="54"/>
      <c r="AC234" s="54"/>
    </row>
    <row r="235" spans="1:68" ht="16.5" customHeight="1" x14ac:dyDescent="0.25">
      <c r="A235" s="360" t="s">
        <v>343</v>
      </c>
      <c r="B235" s="360"/>
      <c r="C235" s="360"/>
      <c r="D235" s="360"/>
      <c r="E235" s="360"/>
      <c r="F235" s="360"/>
      <c r="G235" s="360"/>
      <c r="H235" s="360"/>
      <c r="I235" s="360"/>
      <c r="J235" s="360"/>
      <c r="K235" s="360"/>
      <c r="L235" s="360"/>
      <c r="M235" s="360"/>
      <c r="N235" s="360"/>
      <c r="O235" s="360"/>
      <c r="P235" s="360"/>
      <c r="Q235" s="360"/>
      <c r="R235" s="360"/>
      <c r="S235" s="360"/>
      <c r="T235" s="360"/>
      <c r="U235" s="360"/>
      <c r="V235" s="360"/>
      <c r="W235" s="360"/>
      <c r="X235" s="360"/>
      <c r="Y235" s="360"/>
      <c r="Z235" s="360"/>
      <c r="AA235" s="65"/>
      <c r="AB235" s="65"/>
      <c r="AC235" s="82"/>
    </row>
    <row r="236" spans="1:68" ht="14.25" customHeight="1" x14ac:dyDescent="0.25">
      <c r="A236" s="361" t="s">
        <v>82</v>
      </c>
      <c r="B236" s="361"/>
      <c r="C236" s="361"/>
      <c r="D236" s="361"/>
      <c r="E236" s="361"/>
      <c r="F236" s="361"/>
      <c r="G236" s="361"/>
      <c r="H236" s="361"/>
      <c r="I236" s="361"/>
      <c r="J236" s="361"/>
      <c r="K236" s="361"/>
      <c r="L236" s="361"/>
      <c r="M236" s="361"/>
      <c r="N236" s="361"/>
      <c r="O236" s="361"/>
      <c r="P236" s="361"/>
      <c r="Q236" s="361"/>
      <c r="R236" s="361"/>
      <c r="S236" s="361"/>
      <c r="T236" s="361"/>
      <c r="U236" s="361"/>
      <c r="V236" s="361"/>
      <c r="W236" s="361"/>
      <c r="X236" s="361"/>
      <c r="Y236" s="361"/>
      <c r="Z236" s="361"/>
      <c r="AA236" s="66"/>
      <c r="AB236" s="66"/>
      <c r="AC236" s="83"/>
    </row>
    <row r="237" spans="1:68" ht="27" customHeight="1" x14ac:dyDescent="0.25">
      <c r="A237" s="63" t="s">
        <v>344</v>
      </c>
      <c r="B237" s="63" t="s">
        <v>345</v>
      </c>
      <c r="C237" s="36">
        <v>4301071029</v>
      </c>
      <c r="D237" s="362">
        <v>4607111035899</v>
      </c>
      <c r="E237" s="362"/>
      <c r="F237" s="62">
        <v>1</v>
      </c>
      <c r="G237" s="37">
        <v>5</v>
      </c>
      <c r="H237" s="62">
        <v>5</v>
      </c>
      <c r="I237" s="62">
        <v>5.2619999999999996</v>
      </c>
      <c r="J237" s="37">
        <v>84</v>
      </c>
      <c r="K237" s="37" t="s">
        <v>89</v>
      </c>
      <c r="L237" s="37" t="s">
        <v>121</v>
      </c>
      <c r="M237" s="38" t="s">
        <v>88</v>
      </c>
      <c r="N237" s="38"/>
      <c r="O237" s="37">
        <v>180</v>
      </c>
      <c r="P237" s="45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7" s="364"/>
      <c r="R237" s="364"/>
      <c r="S237" s="364"/>
      <c r="T237" s="365"/>
      <c r="U237" s="39" t="s">
        <v>46</v>
      </c>
      <c r="V237" s="39" t="s">
        <v>46</v>
      </c>
      <c r="W237" s="40" t="s">
        <v>39</v>
      </c>
      <c r="X237" s="58">
        <v>24</v>
      </c>
      <c r="Y237" s="55">
        <f>IFERROR(IF(X237="","",X237),"")</f>
        <v>24</v>
      </c>
      <c r="Z237" s="41">
        <f>IFERROR(IF(X237="","",X237*0.0155),"")</f>
        <v>0.372</v>
      </c>
      <c r="AA237" s="68" t="s">
        <v>46</v>
      </c>
      <c r="AB237" s="69" t="s">
        <v>46</v>
      </c>
      <c r="AC237" s="251" t="s">
        <v>287</v>
      </c>
      <c r="AG237" s="81"/>
      <c r="AJ237" s="87" t="s">
        <v>122</v>
      </c>
      <c r="AK237" s="87">
        <v>12</v>
      </c>
      <c r="BB237" s="252" t="s">
        <v>70</v>
      </c>
      <c r="BM237" s="81">
        <f>IFERROR(X237*I237,"0")</f>
        <v>126.28799999999998</v>
      </c>
      <c r="BN237" s="81">
        <f>IFERROR(Y237*I237,"0")</f>
        <v>126.28799999999998</v>
      </c>
      <c r="BO237" s="81">
        <f>IFERROR(X237/J237,"0")</f>
        <v>0.2857142857142857</v>
      </c>
      <c r="BP237" s="81">
        <f>IFERROR(Y237/J237,"0")</f>
        <v>0.2857142857142857</v>
      </c>
    </row>
    <row r="238" spans="1:68" x14ac:dyDescent="0.2">
      <c r="A238" s="376"/>
      <c r="B238" s="376"/>
      <c r="C238" s="376"/>
      <c r="D238" s="376"/>
      <c r="E238" s="376"/>
      <c r="F238" s="376"/>
      <c r="G238" s="376"/>
      <c r="H238" s="376"/>
      <c r="I238" s="376"/>
      <c r="J238" s="376"/>
      <c r="K238" s="376"/>
      <c r="L238" s="376"/>
      <c r="M238" s="376"/>
      <c r="N238" s="376"/>
      <c r="O238" s="377"/>
      <c r="P238" s="373" t="s">
        <v>40</v>
      </c>
      <c r="Q238" s="374"/>
      <c r="R238" s="374"/>
      <c r="S238" s="374"/>
      <c r="T238" s="374"/>
      <c r="U238" s="374"/>
      <c r="V238" s="375"/>
      <c r="W238" s="42" t="s">
        <v>39</v>
      </c>
      <c r="X238" s="43">
        <f>IFERROR(SUM(X237:X237),"0")</f>
        <v>24</v>
      </c>
      <c r="Y238" s="43">
        <f>IFERROR(SUM(Y237:Y237),"0")</f>
        <v>24</v>
      </c>
      <c r="Z238" s="43">
        <f>IFERROR(IF(Z237="",0,Z237),"0")</f>
        <v>0.372</v>
      </c>
      <c r="AA238" s="67"/>
      <c r="AB238" s="67"/>
      <c r="AC238" s="67"/>
    </row>
    <row r="239" spans="1:68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0</v>
      </c>
      <c r="X239" s="43">
        <f>IFERROR(SUMPRODUCT(X237:X237*H237:H237),"0")</f>
        <v>120</v>
      </c>
      <c r="Y239" s="43">
        <f>IFERROR(SUMPRODUCT(Y237:Y237*H237:H237),"0")</f>
        <v>120</v>
      </c>
      <c r="Z239" s="42"/>
      <c r="AA239" s="67"/>
      <c r="AB239" s="67"/>
      <c r="AC239" s="67"/>
    </row>
    <row r="240" spans="1:68" ht="27.75" customHeight="1" x14ac:dyDescent="0.2">
      <c r="A240" s="359" t="s">
        <v>346</v>
      </c>
      <c r="B240" s="359"/>
      <c r="C240" s="359"/>
      <c r="D240" s="359"/>
      <c r="E240" s="359"/>
      <c r="F240" s="359"/>
      <c r="G240" s="359"/>
      <c r="H240" s="359"/>
      <c r="I240" s="359"/>
      <c r="J240" s="359"/>
      <c r="K240" s="359"/>
      <c r="L240" s="359"/>
      <c r="M240" s="359"/>
      <c r="N240" s="359"/>
      <c r="O240" s="359"/>
      <c r="P240" s="359"/>
      <c r="Q240" s="359"/>
      <c r="R240" s="359"/>
      <c r="S240" s="359"/>
      <c r="T240" s="359"/>
      <c r="U240" s="359"/>
      <c r="V240" s="359"/>
      <c r="W240" s="359"/>
      <c r="X240" s="359"/>
      <c r="Y240" s="359"/>
      <c r="Z240" s="359"/>
      <c r="AA240" s="54"/>
      <c r="AB240" s="54"/>
      <c r="AC240" s="54"/>
    </row>
    <row r="241" spans="1:68" ht="16.5" customHeight="1" x14ac:dyDescent="0.25">
      <c r="A241" s="360" t="s">
        <v>347</v>
      </c>
      <c r="B241" s="360"/>
      <c r="C241" s="360"/>
      <c r="D241" s="360"/>
      <c r="E241" s="360"/>
      <c r="F241" s="360"/>
      <c r="G241" s="360"/>
      <c r="H241" s="360"/>
      <c r="I241" s="360"/>
      <c r="J241" s="360"/>
      <c r="K241" s="360"/>
      <c r="L241" s="360"/>
      <c r="M241" s="360"/>
      <c r="N241" s="360"/>
      <c r="O241" s="360"/>
      <c r="P241" s="360"/>
      <c r="Q241" s="360"/>
      <c r="R241" s="360"/>
      <c r="S241" s="360"/>
      <c r="T241" s="360"/>
      <c r="U241" s="360"/>
      <c r="V241" s="360"/>
      <c r="W241" s="360"/>
      <c r="X241" s="360"/>
      <c r="Y241" s="360"/>
      <c r="Z241" s="360"/>
      <c r="AA241" s="65"/>
      <c r="AB241" s="65"/>
      <c r="AC241" s="82"/>
    </row>
    <row r="242" spans="1:68" ht="14.25" customHeight="1" x14ac:dyDescent="0.25">
      <c r="A242" s="361" t="s">
        <v>348</v>
      </c>
      <c r="B242" s="361"/>
      <c r="C242" s="361"/>
      <c r="D242" s="361"/>
      <c r="E242" s="361"/>
      <c r="F242" s="361"/>
      <c r="G242" s="361"/>
      <c r="H242" s="361"/>
      <c r="I242" s="361"/>
      <c r="J242" s="361"/>
      <c r="K242" s="361"/>
      <c r="L242" s="361"/>
      <c r="M242" s="361"/>
      <c r="N242" s="361"/>
      <c r="O242" s="361"/>
      <c r="P242" s="361"/>
      <c r="Q242" s="361"/>
      <c r="R242" s="361"/>
      <c r="S242" s="361"/>
      <c r="T242" s="361"/>
      <c r="U242" s="361"/>
      <c r="V242" s="361"/>
      <c r="W242" s="361"/>
      <c r="X242" s="361"/>
      <c r="Y242" s="361"/>
      <c r="Z242" s="361"/>
      <c r="AA242" s="66"/>
      <c r="AB242" s="66"/>
      <c r="AC242" s="83"/>
    </row>
    <row r="243" spans="1:68" ht="27" customHeight="1" x14ac:dyDescent="0.25">
      <c r="A243" s="63" t="s">
        <v>349</v>
      </c>
      <c r="B243" s="63" t="s">
        <v>350</v>
      </c>
      <c r="C243" s="36">
        <v>4301133004</v>
      </c>
      <c r="D243" s="362">
        <v>4607111039774</v>
      </c>
      <c r="E243" s="362"/>
      <c r="F243" s="62">
        <v>0.25</v>
      </c>
      <c r="G243" s="37">
        <v>12</v>
      </c>
      <c r="H243" s="62">
        <v>3</v>
      </c>
      <c r="I243" s="62">
        <v>3.22</v>
      </c>
      <c r="J243" s="37">
        <v>70</v>
      </c>
      <c r="K243" s="37" t="s">
        <v>120</v>
      </c>
      <c r="L243" s="37" t="s">
        <v>90</v>
      </c>
      <c r="M243" s="38" t="s">
        <v>88</v>
      </c>
      <c r="N243" s="38"/>
      <c r="O243" s="37">
        <v>180</v>
      </c>
      <c r="P243" s="45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364"/>
      <c r="R243" s="364"/>
      <c r="S243" s="364"/>
      <c r="T243" s="365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3" t="s">
        <v>351</v>
      </c>
      <c r="AG243" s="81"/>
      <c r="AJ243" s="87" t="s">
        <v>91</v>
      </c>
      <c r="AK243" s="87">
        <v>1</v>
      </c>
      <c r="BB243" s="254" t="s">
        <v>119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76"/>
      <c r="B244" s="376"/>
      <c r="C244" s="376"/>
      <c r="D244" s="376"/>
      <c r="E244" s="376"/>
      <c r="F244" s="376"/>
      <c r="G244" s="376"/>
      <c r="H244" s="376"/>
      <c r="I244" s="376"/>
      <c r="J244" s="376"/>
      <c r="K244" s="376"/>
      <c r="L244" s="376"/>
      <c r="M244" s="376"/>
      <c r="N244" s="376"/>
      <c r="O244" s="377"/>
      <c r="P244" s="373" t="s">
        <v>40</v>
      </c>
      <c r="Q244" s="374"/>
      <c r="R244" s="374"/>
      <c r="S244" s="374"/>
      <c r="T244" s="374"/>
      <c r="U244" s="374"/>
      <c r="V244" s="37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61" t="s">
        <v>159</v>
      </c>
      <c r="B246" s="361"/>
      <c r="C246" s="361"/>
      <c r="D246" s="361"/>
      <c r="E246" s="361"/>
      <c r="F246" s="361"/>
      <c r="G246" s="361"/>
      <c r="H246" s="361"/>
      <c r="I246" s="361"/>
      <c r="J246" s="361"/>
      <c r="K246" s="361"/>
      <c r="L246" s="361"/>
      <c r="M246" s="361"/>
      <c r="N246" s="361"/>
      <c r="O246" s="361"/>
      <c r="P246" s="361"/>
      <c r="Q246" s="361"/>
      <c r="R246" s="361"/>
      <c r="S246" s="361"/>
      <c r="T246" s="361"/>
      <c r="U246" s="361"/>
      <c r="V246" s="361"/>
      <c r="W246" s="361"/>
      <c r="X246" s="361"/>
      <c r="Y246" s="361"/>
      <c r="Z246" s="361"/>
      <c r="AA246" s="66"/>
      <c r="AB246" s="66"/>
      <c r="AC246" s="83"/>
    </row>
    <row r="247" spans="1:68" ht="37.5" customHeight="1" x14ac:dyDescent="0.25">
      <c r="A247" s="63" t="s">
        <v>352</v>
      </c>
      <c r="B247" s="63" t="s">
        <v>353</v>
      </c>
      <c r="C247" s="36">
        <v>4301135400</v>
      </c>
      <c r="D247" s="362">
        <v>4607111039361</v>
      </c>
      <c r="E247" s="362"/>
      <c r="F247" s="62">
        <v>0.25</v>
      </c>
      <c r="G247" s="37">
        <v>12</v>
      </c>
      <c r="H247" s="62">
        <v>3</v>
      </c>
      <c r="I247" s="62">
        <v>3.7035999999999998</v>
      </c>
      <c r="J247" s="37">
        <v>70</v>
      </c>
      <c r="K247" s="37" t="s">
        <v>120</v>
      </c>
      <c r="L247" s="37" t="s">
        <v>90</v>
      </c>
      <c r="M247" s="38" t="s">
        <v>88</v>
      </c>
      <c r="N247" s="38"/>
      <c r="O247" s="37">
        <v>180</v>
      </c>
      <c r="P247" s="45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364"/>
      <c r="R247" s="364"/>
      <c r="S247" s="364"/>
      <c r="T247" s="365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5" t="s">
        <v>351</v>
      </c>
      <c r="AG247" s="81"/>
      <c r="AJ247" s="87" t="s">
        <v>91</v>
      </c>
      <c r="AK247" s="87">
        <v>1</v>
      </c>
      <c r="BB247" s="256" t="s">
        <v>119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76"/>
      <c r="B248" s="376"/>
      <c r="C248" s="376"/>
      <c r="D248" s="376"/>
      <c r="E248" s="376"/>
      <c r="F248" s="376"/>
      <c r="G248" s="376"/>
      <c r="H248" s="376"/>
      <c r="I248" s="376"/>
      <c r="J248" s="376"/>
      <c r="K248" s="376"/>
      <c r="L248" s="376"/>
      <c r="M248" s="376"/>
      <c r="N248" s="376"/>
      <c r="O248" s="377"/>
      <c r="P248" s="373" t="s">
        <v>40</v>
      </c>
      <c r="Q248" s="374"/>
      <c r="R248" s="374"/>
      <c r="S248" s="374"/>
      <c r="T248" s="374"/>
      <c r="U248" s="374"/>
      <c r="V248" s="375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59" t="s">
        <v>354</v>
      </c>
      <c r="B250" s="359"/>
      <c r="C250" s="359"/>
      <c r="D250" s="359"/>
      <c r="E250" s="359"/>
      <c r="F250" s="359"/>
      <c r="G250" s="359"/>
      <c r="H250" s="359"/>
      <c r="I250" s="359"/>
      <c r="J250" s="359"/>
      <c r="K250" s="359"/>
      <c r="L250" s="359"/>
      <c r="M250" s="359"/>
      <c r="N250" s="359"/>
      <c r="O250" s="359"/>
      <c r="P250" s="359"/>
      <c r="Q250" s="359"/>
      <c r="R250" s="359"/>
      <c r="S250" s="359"/>
      <c r="T250" s="359"/>
      <c r="U250" s="359"/>
      <c r="V250" s="359"/>
      <c r="W250" s="359"/>
      <c r="X250" s="359"/>
      <c r="Y250" s="359"/>
      <c r="Z250" s="359"/>
      <c r="AA250" s="54"/>
      <c r="AB250" s="54"/>
      <c r="AC250" s="54"/>
    </row>
    <row r="251" spans="1:68" ht="16.5" customHeight="1" x14ac:dyDescent="0.25">
      <c r="A251" s="360" t="s">
        <v>354</v>
      </c>
      <c r="B251" s="360"/>
      <c r="C251" s="360"/>
      <c r="D251" s="360"/>
      <c r="E251" s="360"/>
      <c r="F251" s="360"/>
      <c r="G251" s="360"/>
      <c r="H251" s="360"/>
      <c r="I251" s="360"/>
      <c r="J251" s="360"/>
      <c r="K251" s="360"/>
      <c r="L251" s="360"/>
      <c r="M251" s="360"/>
      <c r="N251" s="360"/>
      <c r="O251" s="360"/>
      <c r="P251" s="360"/>
      <c r="Q251" s="360"/>
      <c r="R251" s="360"/>
      <c r="S251" s="360"/>
      <c r="T251" s="360"/>
      <c r="U251" s="360"/>
      <c r="V251" s="360"/>
      <c r="W251" s="360"/>
      <c r="X251" s="360"/>
      <c r="Y251" s="360"/>
      <c r="Z251" s="360"/>
      <c r="AA251" s="65"/>
      <c r="AB251" s="65"/>
      <c r="AC251" s="82"/>
    </row>
    <row r="252" spans="1:68" ht="14.25" customHeight="1" x14ac:dyDescent="0.25">
      <c r="A252" s="361" t="s">
        <v>115</v>
      </c>
      <c r="B252" s="361"/>
      <c r="C252" s="361"/>
      <c r="D252" s="361"/>
      <c r="E252" s="361"/>
      <c r="F252" s="361"/>
      <c r="G252" s="361"/>
      <c r="H252" s="361"/>
      <c r="I252" s="361"/>
      <c r="J252" s="361"/>
      <c r="K252" s="361"/>
      <c r="L252" s="361"/>
      <c r="M252" s="361"/>
      <c r="N252" s="361"/>
      <c r="O252" s="361"/>
      <c r="P252" s="361"/>
      <c r="Q252" s="361"/>
      <c r="R252" s="361"/>
      <c r="S252" s="361"/>
      <c r="T252" s="361"/>
      <c r="U252" s="361"/>
      <c r="V252" s="361"/>
      <c r="W252" s="361"/>
      <c r="X252" s="361"/>
      <c r="Y252" s="361"/>
      <c r="Z252" s="361"/>
      <c r="AA252" s="66"/>
      <c r="AB252" s="66"/>
      <c r="AC252" s="83"/>
    </row>
    <row r="253" spans="1:68" ht="27" customHeight="1" x14ac:dyDescent="0.25">
      <c r="A253" s="63" t="s">
        <v>355</v>
      </c>
      <c r="B253" s="63" t="s">
        <v>356</v>
      </c>
      <c r="C253" s="36">
        <v>4301132228</v>
      </c>
      <c r="D253" s="362">
        <v>4640242181950</v>
      </c>
      <c r="E253" s="362"/>
      <c r="F253" s="62">
        <v>0.23</v>
      </c>
      <c r="G253" s="37">
        <v>12</v>
      </c>
      <c r="H253" s="62">
        <v>2.76</v>
      </c>
      <c r="I253" s="62">
        <v>3.22</v>
      </c>
      <c r="J253" s="37">
        <v>70</v>
      </c>
      <c r="K253" s="37" t="s">
        <v>120</v>
      </c>
      <c r="L253" s="37" t="s">
        <v>90</v>
      </c>
      <c r="M253" s="38" t="s">
        <v>88</v>
      </c>
      <c r="N253" s="38"/>
      <c r="O253" s="37">
        <v>365</v>
      </c>
      <c r="P253" s="45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3" s="364"/>
      <c r="R253" s="364"/>
      <c r="S253" s="364"/>
      <c r="T253" s="365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57" t="s">
        <v>357</v>
      </c>
      <c r="AG253" s="81"/>
      <c r="AJ253" s="87" t="s">
        <v>91</v>
      </c>
      <c r="AK253" s="87">
        <v>1</v>
      </c>
      <c r="BB253" s="258" t="s">
        <v>119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76"/>
      <c r="B254" s="376"/>
      <c r="C254" s="376"/>
      <c r="D254" s="376"/>
      <c r="E254" s="376"/>
      <c r="F254" s="376"/>
      <c r="G254" s="376"/>
      <c r="H254" s="376"/>
      <c r="I254" s="376"/>
      <c r="J254" s="376"/>
      <c r="K254" s="376"/>
      <c r="L254" s="376"/>
      <c r="M254" s="376"/>
      <c r="N254" s="376"/>
      <c r="O254" s="377"/>
      <c r="P254" s="373" t="s">
        <v>40</v>
      </c>
      <c r="Q254" s="374"/>
      <c r="R254" s="374"/>
      <c r="S254" s="374"/>
      <c r="T254" s="374"/>
      <c r="U254" s="374"/>
      <c r="V254" s="375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x14ac:dyDescent="0.2">
      <c r="A255" s="376"/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377"/>
      <c r="P255" s="373" t="s">
        <v>40</v>
      </c>
      <c r="Q255" s="374"/>
      <c r="R255" s="374"/>
      <c r="S255" s="374"/>
      <c r="T255" s="374"/>
      <c r="U255" s="374"/>
      <c r="V255" s="375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customHeight="1" x14ac:dyDescent="0.2">
      <c r="A256" s="359" t="s">
        <v>358</v>
      </c>
      <c r="B256" s="359"/>
      <c r="C256" s="359"/>
      <c r="D256" s="359"/>
      <c r="E256" s="359"/>
      <c r="F256" s="359"/>
      <c r="G256" s="359"/>
      <c r="H256" s="359"/>
      <c r="I256" s="359"/>
      <c r="J256" s="359"/>
      <c r="K256" s="359"/>
      <c r="L256" s="359"/>
      <c r="M256" s="359"/>
      <c r="N256" s="359"/>
      <c r="O256" s="359"/>
      <c r="P256" s="359"/>
      <c r="Q256" s="359"/>
      <c r="R256" s="359"/>
      <c r="S256" s="359"/>
      <c r="T256" s="359"/>
      <c r="U256" s="359"/>
      <c r="V256" s="359"/>
      <c r="W256" s="359"/>
      <c r="X256" s="359"/>
      <c r="Y256" s="359"/>
      <c r="Z256" s="359"/>
      <c r="AA256" s="54"/>
      <c r="AB256" s="54"/>
      <c r="AC256" s="54"/>
    </row>
    <row r="257" spans="1:68" ht="16.5" customHeight="1" x14ac:dyDescent="0.25">
      <c r="A257" s="360" t="s">
        <v>358</v>
      </c>
      <c r="B257" s="360"/>
      <c r="C257" s="360"/>
      <c r="D257" s="360"/>
      <c r="E257" s="360"/>
      <c r="F257" s="360"/>
      <c r="G257" s="360"/>
      <c r="H257" s="360"/>
      <c r="I257" s="360"/>
      <c r="J257" s="360"/>
      <c r="K257" s="360"/>
      <c r="L257" s="360"/>
      <c r="M257" s="360"/>
      <c r="N257" s="360"/>
      <c r="O257" s="360"/>
      <c r="P257" s="360"/>
      <c r="Q257" s="360"/>
      <c r="R257" s="360"/>
      <c r="S257" s="360"/>
      <c r="T257" s="360"/>
      <c r="U257" s="360"/>
      <c r="V257" s="360"/>
      <c r="W257" s="360"/>
      <c r="X257" s="360"/>
      <c r="Y257" s="360"/>
      <c r="Z257" s="360"/>
      <c r="AA257" s="65"/>
      <c r="AB257" s="65"/>
      <c r="AC257" s="82"/>
    </row>
    <row r="258" spans="1:68" ht="14.25" customHeight="1" x14ac:dyDescent="0.25">
      <c r="A258" s="361" t="s">
        <v>82</v>
      </c>
      <c r="B258" s="361"/>
      <c r="C258" s="361"/>
      <c r="D258" s="361"/>
      <c r="E258" s="361"/>
      <c r="F258" s="361"/>
      <c r="G258" s="361"/>
      <c r="H258" s="361"/>
      <c r="I258" s="361"/>
      <c r="J258" s="361"/>
      <c r="K258" s="361"/>
      <c r="L258" s="361"/>
      <c r="M258" s="361"/>
      <c r="N258" s="361"/>
      <c r="O258" s="361"/>
      <c r="P258" s="361"/>
      <c r="Q258" s="361"/>
      <c r="R258" s="361"/>
      <c r="S258" s="361"/>
      <c r="T258" s="361"/>
      <c r="U258" s="361"/>
      <c r="V258" s="361"/>
      <c r="W258" s="361"/>
      <c r="X258" s="361"/>
      <c r="Y258" s="361"/>
      <c r="Z258" s="361"/>
      <c r="AA258" s="66"/>
      <c r="AB258" s="66"/>
      <c r="AC258" s="83"/>
    </row>
    <row r="259" spans="1:68" ht="27" customHeight="1" x14ac:dyDescent="0.25">
      <c r="A259" s="63" t="s">
        <v>359</v>
      </c>
      <c r="B259" s="63" t="s">
        <v>360</v>
      </c>
      <c r="C259" s="36">
        <v>4301071014</v>
      </c>
      <c r="D259" s="362">
        <v>4640242181264</v>
      </c>
      <c r="E259" s="362"/>
      <c r="F259" s="62">
        <v>0.7</v>
      </c>
      <c r="G259" s="37">
        <v>10</v>
      </c>
      <c r="H259" s="62">
        <v>7</v>
      </c>
      <c r="I259" s="62">
        <v>7.28</v>
      </c>
      <c r="J259" s="37">
        <v>84</v>
      </c>
      <c r="K259" s="37" t="s">
        <v>89</v>
      </c>
      <c r="L259" s="37" t="s">
        <v>90</v>
      </c>
      <c r="M259" s="38" t="s">
        <v>88</v>
      </c>
      <c r="N259" s="38"/>
      <c r="O259" s="37">
        <v>180</v>
      </c>
      <c r="P259" s="45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64"/>
      <c r="R259" s="364"/>
      <c r="S259" s="364"/>
      <c r="T259" s="365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9" t="s">
        <v>361</v>
      </c>
      <c r="AG259" s="81"/>
      <c r="AJ259" s="87" t="s">
        <v>91</v>
      </c>
      <c r="AK259" s="87">
        <v>1</v>
      </c>
      <c r="BB259" s="260" t="s">
        <v>70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362</v>
      </c>
      <c r="B260" s="63" t="s">
        <v>363</v>
      </c>
      <c r="C260" s="36">
        <v>4301071021</v>
      </c>
      <c r="D260" s="362">
        <v>4640242181325</v>
      </c>
      <c r="E260" s="362"/>
      <c r="F260" s="62">
        <v>0.7</v>
      </c>
      <c r="G260" s="37">
        <v>10</v>
      </c>
      <c r="H260" s="62">
        <v>7</v>
      </c>
      <c r="I260" s="62">
        <v>7.28</v>
      </c>
      <c r="J260" s="37">
        <v>84</v>
      </c>
      <c r="K260" s="37" t="s">
        <v>89</v>
      </c>
      <c r="L260" s="37" t="s">
        <v>90</v>
      </c>
      <c r="M260" s="38" t="s">
        <v>88</v>
      </c>
      <c r="N260" s="38"/>
      <c r="O260" s="37">
        <v>180</v>
      </c>
      <c r="P260" s="4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361</v>
      </c>
      <c r="AG260" s="81"/>
      <c r="AJ260" s="87" t="s">
        <v>91</v>
      </c>
      <c r="AK260" s="87">
        <v>1</v>
      </c>
      <c r="BB260" s="262" t="s">
        <v>70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IFERROR(SUM(X259:X260),"0")</f>
        <v>0</v>
      </c>
      <c r="Y261" s="43">
        <f>IFERROR(SUM(Y259:Y260),"0")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IFERROR(SUMPRODUCT(X259:X260*H259:H260),"0")</f>
        <v>0</v>
      </c>
      <c r="Y262" s="43">
        <f>IFERROR(SUMPRODUCT(Y259:Y260*H259:H260),"0")</f>
        <v>0</v>
      </c>
      <c r="Z262" s="42"/>
      <c r="AA262" s="67"/>
      <c r="AB262" s="67"/>
      <c r="AC262" s="67"/>
    </row>
    <row r="263" spans="1:68" ht="14.25" customHeight="1" x14ac:dyDescent="0.25">
      <c r="A263" s="361" t="s">
        <v>115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customHeight="1" x14ac:dyDescent="0.25">
      <c r="A264" s="63" t="s">
        <v>364</v>
      </c>
      <c r="B264" s="63" t="s">
        <v>365</v>
      </c>
      <c r="C264" s="36">
        <v>4301132080</v>
      </c>
      <c r="D264" s="362">
        <v>4640242180397</v>
      </c>
      <c r="E264" s="362"/>
      <c r="F264" s="62">
        <v>1</v>
      </c>
      <c r="G264" s="37">
        <v>6</v>
      </c>
      <c r="H264" s="62">
        <v>6</v>
      </c>
      <c r="I264" s="62">
        <v>6.26</v>
      </c>
      <c r="J264" s="37">
        <v>84</v>
      </c>
      <c r="K264" s="37" t="s">
        <v>89</v>
      </c>
      <c r="L264" s="37" t="s">
        <v>121</v>
      </c>
      <c r="M264" s="38" t="s">
        <v>88</v>
      </c>
      <c r="N264" s="38"/>
      <c r="O264" s="37">
        <v>180</v>
      </c>
      <c r="P264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48</v>
      </c>
      <c r="Y264" s="55">
        <f>IFERROR(IF(X264="","",X264),"")</f>
        <v>48</v>
      </c>
      <c r="Z264" s="41">
        <f>IFERROR(IF(X264="","",X264*0.0155),"")</f>
        <v>0.74399999999999999</v>
      </c>
      <c r="AA264" s="68" t="s">
        <v>46</v>
      </c>
      <c r="AB264" s="69" t="s">
        <v>46</v>
      </c>
      <c r="AC264" s="263" t="s">
        <v>366</v>
      </c>
      <c r="AG264" s="81"/>
      <c r="AJ264" s="87" t="s">
        <v>122</v>
      </c>
      <c r="AK264" s="87">
        <v>12</v>
      </c>
      <c r="BB264" s="264" t="s">
        <v>119</v>
      </c>
      <c r="BM264" s="81">
        <f>IFERROR(X264*I264,"0")</f>
        <v>300.48</v>
      </c>
      <c r="BN264" s="81">
        <f>IFERROR(Y264*I264,"0")</f>
        <v>300.48</v>
      </c>
      <c r="BO264" s="81">
        <f>IFERROR(X264/J264,"0")</f>
        <v>0.5714285714285714</v>
      </c>
      <c r="BP264" s="81">
        <f>IFERROR(Y264/J264,"0")</f>
        <v>0.5714285714285714</v>
      </c>
    </row>
    <row r="265" spans="1:68" x14ac:dyDescent="0.2">
      <c r="A265" s="376"/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7"/>
      <c r="P265" s="373" t="s">
        <v>40</v>
      </c>
      <c r="Q265" s="374"/>
      <c r="R265" s="374"/>
      <c r="S265" s="374"/>
      <c r="T265" s="374"/>
      <c r="U265" s="374"/>
      <c r="V265" s="375"/>
      <c r="W265" s="42" t="s">
        <v>39</v>
      </c>
      <c r="X265" s="43">
        <f>IFERROR(SUM(X264:X264),"0")</f>
        <v>48</v>
      </c>
      <c r="Y265" s="43">
        <f>IFERROR(SUM(Y264:Y264),"0")</f>
        <v>48</v>
      </c>
      <c r="Z265" s="43">
        <f>IFERROR(IF(Z264="",0,Z264),"0")</f>
        <v>0.74399999999999999</v>
      </c>
      <c r="AA265" s="67"/>
      <c r="AB265" s="67"/>
      <c r="AC265" s="67"/>
    </row>
    <row r="266" spans="1:68" x14ac:dyDescent="0.2">
      <c r="A266" s="376"/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7"/>
      <c r="P266" s="373" t="s">
        <v>40</v>
      </c>
      <c r="Q266" s="374"/>
      <c r="R266" s="374"/>
      <c r="S266" s="374"/>
      <c r="T266" s="374"/>
      <c r="U266" s="374"/>
      <c r="V266" s="375"/>
      <c r="W266" s="42" t="s">
        <v>0</v>
      </c>
      <c r="X266" s="43">
        <f>IFERROR(SUMPRODUCT(X264:X264*H264:H264),"0")</f>
        <v>288</v>
      </c>
      <c r="Y266" s="43">
        <f>IFERROR(SUMPRODUCT(Y264:Y264*H264:H264),"0")</f>
        <v>288</v>
      </c>
      <c r="Z266" s="42"/>
      <c r="AA266" s="67"/>
      <c r="AB266" s="67"/>
      <c r="AC266" s="67"/>
    </row>
    <row r="267" spans="1:68" ht="14.25" customHeight="1" x14ac:dyDescent="0.25">
      <c r="A267" s="361" t="s">
        <v>153</v>
      </c>
      <c r="B267" s="361"/>
      <c r="C267" s="361"/>
      <c r="D267" s="361"/>
      <c r="E267" s="361"/>
      <c r="F267" s="361"/>
      <c r="G267" s="361"/>
      <c r="H267" s="361"/>
      <c r="I267" s="361"/>
      <c r="J267" s="361"/>
      <c r="K267" s="361"/>
      <c r="L267" s="361"/>
      <c r="M267" s="361"/>
      <c r="N267" s="361"/>
      <c r="O267" s="361"/>
      <c r="P267" s="361"/>
      <c r="Q267" s="361"/>
      <c r="R267" s="361"/>
      <c r="S267" s="361"/>
      <c r="T267" s="361"/>
      <c r="U267" s="361"/>
      <c r="V267" s="361"/>
      <c r="W267" s="361"/>
      <c r="X267" s="361"/>
      <c r="Y267" s="361"/>
      <c r="Z267" s="361"/>
      <c r="AA267" s="66"/>
      <c r="AB267" s="66"/>
      <c r="AC267" s="83"/>
    </row>
    <row r="268" spans="1:68" ht="27" customHeight="1" x14ac:dyDescent="0.25">
      <c r="A268" s="63" t="s">
        <v>367</v>
      </c>
      <c r="B268" s="63" t="s">
        <v>368</v>
      </c>
      <c r="C268" s="36">
        <v>4301136051</v>
      </c>
      <c r="D268" s="362">
        <v>4640242180304</v>
      </c>
      <c r="E268" s="362"/>
      <c r="F268" s="62">
        <v>2.7</v>
      </c>
      <c r="G268" s="37">
        <v>1</v>
      </c>
      <c r="H268" s="62">
        <v>2.7</v>
      </c>
      <c r="I268" s="62">
        <v>2.8906000000000001</v>
      </c>
      <c r="J268" s="37">
        <v>126</v>
      </c>
      <c r="K268" s="37" t="s">
        <v>120</v>
      </c>
      <c r="L268" s="37" t="s">
        <v>121</v>
      </c>
      <c r="M268" s="38" t="s">
        <v>88</v>
      </c>
      <c r="N268" s="38"/>
      <c r="O268" s="37">
        <v>180</v>
      </c>
      <c r="P268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8" s="364"/>
      <c r="R268" s="364"/>
      <c r="S268" s="364"/>
      <c r="T268" s="365"/>
      <c r="U268" s="39" t="s">
        <v>46</v>
      </c>
      <c r="V268" s="39" t="s">
        <v>46</v>
      </c>
      <c r="W268" s="40" t="s">
        <v>39</v>
      </c>
      <c r="X268" s="58">
        <v>14</v>
      </c>
      <c r="Y268" s="55">
        <f>IFERROR(IF(X268="","",X268),"")</f>
        <v>14</v>
      </c>
      <c r="Z268" s="41">
        <f>IFERROR(IF(X268="","",X268*0.00936),"")</f>
        <v>0.13103999999999999</v>
      </c>
      <c r="AA268" s="68" t="s">
        <v>46</v>
      </c>
      <c r="AB268" s="69" t="s">
        <v>46</v>
      </c>
      <c r="AC268" s="265" t="s">
        <v>369</v>
      </c>
      <c r="AG268" s="81"/>
      <c r="AJ268" s="87" t="s">
        <v>122</v>
      </c>
      <c r="AK268" s="87">
        <v>14</v>
      </c>
      <c r="BB268" s="266" t="s">
        <v>119</v>
      </c>
      <c r="BM268" s="81">
        <f>IFERROR(X268*I268,"0")</f>
        <v>40.468400000000003</v>
      </c>
      <c r="BN268" s="81">
        <f>IFERROR(Y268*I268,"0")</f>
        <v>40.468400000000003</v>
      </c>
      <c r="BO268" s="81">
        <f>IFERROR(X268/J268,"0")</f>
        <v>0.1111111111111111</v>
      </c>
      <c r="BP268" s="81">
        <f>IFERROR(Y268/J268,"0")</f>
        <v>0.1111111111111111</v>
      </c>
    </row>
    <row r="269" spans="1:68" ht="27" customHeight="1" x14ac:dyDescent="0.25">
      <c r="A269" s="63" t="s">
        <v>370</v>
      </c>
      <c r="B269" s="63" t="s">
        <v>371</v>
      </c>
      <c r="C269" s="36">
        <v>4301136053</v>
      </c>
      <c r="D269" s="362">
        <v>4640242180236</v>
      </c>
      <c r="E269" s="362"/>
      <c r="F269" s="62">
        <v>5</v>
      </c>
      <c r="G269" s="37">
        <v>1</v>
      </c>
      <c r="H269" s="62">
        <v>5</v>
      </c>
      <c r="I269" s="62">
        <v>5.2350000000000003</v>
      </c>
      <c r="J269" s="37">
        <v>84</v>
      </c>
      <c r="K269" s="37" t="s">
        <v>89</v>
      </c>
      <c r="L269" s="37" t="s">
        <v>121</v>
      </c>
      <c r="M269" s="38" t="s">
        <v>88</v>
      </c>
      <c r="N269" s="38"/>
      <c r="O269" s="37">
        <v>180</v>
      </c>
      <c r="P269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364"/>
      <c r="R269" s="364"/>
      <c r="S269" s="364"/>
      <c r="T269" s="365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7" t="s">
        <v>369</v>
      </c>
      <c r="AG269" s="81"/>
      <c r="AJ269" s="87" t="s">
        <v>122</v>
      </c>
      <c r="AK269" s="87">
        <v>12</v>
      </c>
      <c r="BB269" s="268" t="s">
        <v>119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customHeight="1" x14ac:dyDescent="0.25">
      <c r="A270" s="63" t="s">
        <v>372</v>
      </c>
      <c r="B270" s="63" t="s">
        <v>373</v>
      </c>
      <c r="C270" s="36">
        <v>4301136052</v>
      </c>
      <c r="D270" s="362">
        <v>4640242180410</v>
      </c>
      <c r="E270" s="362"/>
      <c r="F270" s="62">
        <v>2.2400000000000002</v>
      </c>
      <c r="G270" s="37">
        <v>1</v>
      </c>
      <c r="H270" s="62">
        <v>2.2400000000000002</v>
      </c>
      <c r="I270" s="62">
        <v>2.4319999999999999</v>
      </c>
      <c r="J270" s="37">
        <v>126</v>
      </c>
      <c r="K270" s="37" t="s">
        <v>120</v>
      </c>
      <c r="L270" s="37" t="s">
        <v>121</v>
      </c>
      <c r="M270" s="38" t="s">
        <v>88</v>
      </c>
      <c r="N270" s="38"/>
      <c r="O270" s="37">
        <v>180</v>
      </c>
      <c r="P270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28</v>
      </c>
      <c r="Y270" s="55">
        <f>IFERROR(IF(X270="","",X270),"")</f>
        <v>28</v>
      </c>
      <c r="Z270" s="41">
        <f>IFERROR(IF(X270="","",X270*0.00936),"")</f>
        <v>0.26207999999999998</v>
      </c>
      <c r="AA270" s="68" t="s">
        <v>46</v>
      </c>
      <c r="AB270" s="69" t="s">
        <v>46</v>
      </c>
      <c r="AC270" s="269" t="s">
        <v>369</v>
      </c>
      <c r="AG270" s="81"/>
      <c r="AJ270" s="87" t="s">
        <v>122</v>
      </c>
      <c r="AK270" s="87">
        <v>14</v>
      </c>
      <c r="BB270" s="270" t="s">
        <v>119</v>
      </c>
      <c r="BM270" s="81">
        <f>IFERROR(X270*I270,"0")</f>
        <v>68.096000000000004</v>
      </c>
      <c r="BN270" s="81">
        <f>IFERROR(Y270*I270,"0")</f>
        <v>68.096000000000004</v>
      </c>
      <c r="BO270" s="81">
        <f>IFERROR(X270/J270,"0")</f>
        <v>0.22222222222222221</v>
      </c>
      <c r="BP270" s="81">
        <f>IFERROR(Y270/J270,"0")</f>
        <v>0.22222222222222221</v>
      </c>
    </row>
    <row r="271" spans="1:68" x14ac:dyDescent="0.2">
      <c r="A271" s="376"/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7"/>
      <c r="P271" s="373" t="s">
        <v>40</v>
      </c>
      <c r="Q271" s="374"/>
      <c r="R271" s="374"/>
      <c r="S271" s="374"/>
      <c r="T271" s="374"/>
      <c r="U271" s="374"/>
      <c r="V271" s="375"/>
      <c r="W271" s="42" t="s">
        <v>39</v>
      </c>
      <c r="X271" s="43">
        <f>IFERROR(SUM(X268:X270),"0")</f>
        <v>42</v>
      </c>
      <c r="Y271" s="43">
        <f>IFERROR(SUM(Y268:Y270),"0")</f>
        <v>42</v>
      </c>
      <c r="Z271" s="43">
        <f>IFERROR(IF(Z268="",0,Z268),"0")+IFERROR(IF(Z269="",0,Z269),"0")+IFERROR(IF(Z270="",0,Z270),"0")</f>
        <v>0.39311999999999997</v>
      </c>
      <c r="AA271" s="67"/>
      <c r="AB271" s="67"/>
      <c r="AC271" s="67"/>
    </row>
    <row r="272" spans="1:68" x14ac:dyDescent="0.2">
      <c r="A272" s="376"/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7"/>
      <c r="P272" s="373" t="s">
        <v>40</v>
      </c>
      <c r="Q272" s="374"/>
      <c r="R272" s="374"/>
      <c r="S272" s="374"/>
      <c r="T272" s="374"/>
      <c r="U272" s="374"/>
      <c r="V272" s="375"/>
      <c r="W272" s="42" t="s">
        <v>0</v>
      </c>
      <c r="X272" s="43">
        <f>IFERROR(SUMPRODUCT(X268:X270*H268:H270),"0")</f>
        <v>100.52000000000001</v>
      </c>
      <c r="Y272" s="43">
        <f>IFERROR(SUMPRODUCT(Y268:Y270*H268:H270),"0")</f>
        <v>100.52000000000001</v>
      </c>
      <c r="Z272" s="42"/>
      <c r="AA272" s="67"/>
      <c r="AB272" s="67"/>
      <c r="AC272" s="67"/>
    </row>
    <row r="273" spans="1:68" ht="14.25" customHeight="1" x14ac:dyDescent="0.25">
      <c r="A273" s="361" t="s">
        <v>159</v>
      </c>
      <c r="B273" s="361"/>
      <c r="C273" s="361"/>
      <c r="D273" s="361"/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1"/>
      <c r="V273" s="361"/>
      <c r="W273" s="361"/>
      <c r="X273" s="361"/>
      <c r="Y273" s="361"/>
      <c r="Z273" s="361"/>
      <c r="AA273" s="66"/>
      <c r="AB273" s="66"/>
      <c r="AC273" s="83"/>
    </row>
    <row r="274" spans="1:68" ht="37.5" customHeight="1" x14ac:dyDescent="0.25">
      <c r="A274" s="63" t="s">
        <v>374</v>
      </c>
      <c r="B274" s="63" t="s">
        <v>375</v>
      </c>
      <c r="C274" s="36">
        <v>4301135504</v>
      </c>
      <c r="D274" s="362">
        <v>4640242181554</v>
      </c>
      <c r="E274" s="362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120</v>
      </c>
      <c r="L274" s="37" t="s">
        <v>90</v>
      </c>
      <c r="M274" s="38" t="s">
        <v>88</v>
      </c>
      <c r="N274" s="38"/>
      <c r="O274" s="37">
        <v>180</v>
      </c>
      <c r="P274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ref="Y274:Y283" si="18"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71" t="s">
        <v>376</v>
      </c>
      <c r="AG274" s="81"/>
      <c r="AJ274" s="87" t="s">
        <v>91</v>
      </c>
      <c r="AK274" s="87">
        <v>1</v>
      </c>
      <c r="BB274" s="272" t="s">
        <v>119</v>
      </c>
      <c r="BM274" s="81">
        <f t="shared" ref="BM274:BM283" si="19">IFERROR(X274*I274,"0")</f>
        <v>0</v>
      </c>
      <c r="BN274" s="81">
        <f t="shared" ref="BN274:BN283" si="20">IFERROR(Y274*I274,"0")</f>
        <v>0</v>
      </c>
      <c r="BO274" s="81">
        <f t="shared" ref="BO274:BO283" si="21">IFERROR(X274/J274,"0")</f>
        <v>0</v>
      </c>
      <c r="BP274" s="81">
        <f t="shared" ref="BP274:BP283" si="22">IFERROR(Y274/J274,"0")</f>
        <v>0</v>
      </c>
    </row>
    <row r="275" spans="1:68" ht="27" customHeight="1" x14ac:dyDescent="0.25">
      <c r="A275" s="63" t="s">
        <v>377</v>
      </c>
      <c r="B275" s="63" t="s">
        <v>378</v>
      </c>
      <c r="C275" s="36">
        <v>4301135518</v>
      </c>
      <c r="D275" s="362">
        <v>4640242181561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120</v>
      </c>
      <c r="L275" s="37" t="s">
        <v>121</v>
      </c>
      <c r="M275" s="38" t="s">
        <v>88</v>
      </c>
      <c r="N275" s="38"/>
      <c r="O275" s="37">
        <v>180</v>
      </c>
      <c r="P275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>
        <v>70</v>
      </c>
      <c r="Y275" s="55">
        <f t="shared" si="18"/>
        <v>70</v>
      </c>
      <c r="Z275" s="41">
        <f>IFERROR(IF(X275="","",X275*0.00936),"")</f>
        <v>0.6552</v>
      </c>
      <c r="AA275" s="68" t="s">
        <v>46</v>
      </c>
      <c r="AB275" s="69" t="s">
        <v>46</v>
      </c>
      <c r="AC275" s="273" t="s">
        <v>379</v>
      </c>
      <c r="AG275" s="81"/>
      <c r="AJ275" s="87" t="s">
        <v>122</v>
      </c>
      <c r="AK275" s="87">
        <v>14</v>
      </c>
      <c r="BB275" s="274" t="s">
        <v>119</v>
      </c>
      <c r="BM275" s="81">
        <f t="shared" si="19"/>
        <v>272.44</v>
      </c>
      <c r="BN275" s="81">
        <f t="shared" si="20"/>
        <v>272.44</v>
      </c>
      <c r="BO275" s="81">
        <f t="shared" si="21"/>
        <v>0.55555555555555558</v>
      </c>
      <c r="BP275" s="81">
        <f t="shared" si="22"/>
        <v>0.55555555555555558</v>
      </c>
    </row>
    <row r="276" spans="1:68" ht="27" customHeight="1" x14ac:dyDescent="0.25">
      <c r="A276" s="63" t="s">
        <v>380</v>
      </c>
      <c r="B276" s="63" t="s">
        <v>381</v>
      </c>
      <c r="C276" s="36">
        <v>4301135374</v>
      </c>
      <c r="D276" s="362">
        <v>4640242181424</v>
      </c>
      <c r="E276" s="362"/>
      <c r="F276" s="62">
        <v>5.5</v>
      </c>
      <c r="G276" s="37">
        <v>1</v>
      </c>
      <c r="H276" s="62">
        <v>5.5</v>
      </c>
      <c r="I276" s="62">
        <v>5.7350000000000003</v>
      </c>
      <c r="J276" s="37">
        <v>84</v>
      </c>
      <c r="K276" s="37" t="s">
        <v>89</v>
      </c>
      <c r="L276" s="37" t="s">
        <v>121</v>
      </c>
      <c r="M276" s="38" t="s">
        <v>88</v>
      </c>
      <c r="N276" s="38"/>
      <c r="O276" s="37">
        <v>180</v>
      </c>
      <c r="P276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>
        <v>24</v>
      </c>
      <c r="Y276" s="55">
        <f t="shared" si="18"/>
        <v>24</v>
      </c>
      <c r="Z276" s="41">
        <f>IFERROR(IF(X276="","",X276*0.0155),"")</f>
        <v>0.372</v>
      </c>
      <c r="AA276" s="68" t="s">
        <v>46</v>
      </c>
      <c r="AB276" s="69" t="s">
        <v>46</v>
      </c>
      <c r="AC276" s="275" t="s">
        <v>376</v>
      </c>
      <c r="AG276" s="81"/>
      <c r="AJ276" s="87" t="s">
        <v>122</v>
      </c>
      <c r="AK276" s="87">
        <v>12</v>
      </c>
      <c r="BB276" s="276" t="s">
        <v>119</v>
      </c>
      <c r="BM276" s="81">
        <f t="shared" si="19"/>
        <v>137.64000000000001</v>
      </c>
      <c r="BN276" s="81">
        <f t="shared" si="20"/>
        <v>137.64000000000001</v>
      </c>
      <c r="BO276" s="81">
        <f t="shared" si="21"/>
        <v>0.2857142857142857</v>
      </c>
      <c r="BP276" s="81">
        <f t="shared" si="22"/>
        <v>0.2857142857142857</v>
      </c>
    </row>
    <row r="277" spans="1:68" ht="27" customHeight="1" x14ac:dyDescent="0.25">
      <c r="A277" s="63" t="s">
        <v>382</v>
      </c>
      <c r="B277" s="63" t="s">
        <v>383</v>
      </c>
      <c r="C277" s="36">
        <v>4301135405</v>
      </c>
      <c r="D277" s="362">
        <v>4640242181523</v>
      </c>
      <c r="E277" s="362"/>
      <c r="F277" s="62">
        <v>3</v>
      </c>
      <c r="G277" s="37">
        <v>1</v>
      </c>
      <c r="H277" s="62">
        <v>3</v>
      </c>
      <c r="I277" s="62">
        <v>3.1920000000000002</v>
      </c>
      <c r="J277" s="37">
        <v>126</v>
      </c>
      <c r="K277" s="37" t="s">
        <v>120</v>
      </c>
      <c r="L277" s="37" t="s">
        <v>121</v>
      </c>
      <c r="M277" s="38" t="s">
        <v>88</v>
      </c>
      <c r="N277" s="38"/>
      <c r="O277" s="37">
        <v>180</v>
      </c>
      <c r="P277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84</v>
      </c>
      <c r="Y277" s="55">
        <f t="shared" si="18"/>
        <v>84</v>
      </c>
      <c r="Z277" s="41">
        <f t="shared" ref="Z277:Z282" si="23">IFERROR(IF(X277="","",X277*0.00936),"")</f>
        <v>0.78624000000000005</v>
      </c>
      <c r="AA277" s="68" t="s">
        <v>46</v>
      </c>
      <c r="AB277" s="69" t="s">
        <v>46</v>
      </c>
      <c r="AC277" s="277" t="s">
        <v>379</v>
      </c>
      <c r="AG277" s="81"/>
      <c r="AJ277" s="87" t="s">
        <v>122</v>
      </c>
      <c r="AK277" s="87">
        <v>14</v>
      </c>
      <c r="BB277" s="278" t="s">
        <v>119</v>
      </c>
      <c r="BM277" s="81">
        <f t="shared" si="19"/>
        <v>268.12800000000004</v>
      </c>
      <c r="BN277" s="81">
        <f t="shared" si="20"/>
        <v>268.12800000000004</v>
      </c>
      <c r="BO277" s="81">
        <f t="shared" si="21"/>
        <v>0.66666666666666663</v>
      </c>
      <c r="BP277" s="81">
        <f t="shared" si="22"/>
        <v>0.66666666666666663</v>
      </c>
    </row>
    <row r="278" spans="1:68" ht="27" customHeight="1" x14ac:dyDescent="0.25">
      <c r="A278" s="63" t="s">
        <v>384</v>
      </c>
      <c r="B278" s="63" t="s">
        <v>385</v>
      </c>
      <c r="C278" s="36">
        <v>4301135375</v>
      </c>
      <c r="D278" s="362">
        <v>4640242181486</v>
      </c>
      <c r="E278" s="362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120</v>
      </c>
      <c r="L278" s="37" t="s">
        <v>121</v>
      </c>
      <c r="M278" s="38" t="s">
        <v>88</v>
      </c>
      <c r="N278" s="38"/>
      <c r="O278" s="37">
        <v>180</v>
      </c>
      <c r="P278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79" t="s">
        <v>376</v>
      </c>
      <c r="AG278" s="81"/>
      <c r="AJ278" s="87" t="s">
        <v>122</v>
      </c>
      <c r="AK278" s="87">
        <v>14</v>
      </c>
      <c r="BB278" s="280" t="s">
        <v>119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37.5" customHeight="1" x14ac:dyDescent="0.25">
      <c r="A279" s="63" t="s">
        <v>386</v>
      </c>
      <c r="B279" s="63" t="s">
        <v>387</v>
      </c>
      <c r="C279" s="36">
        <v>4301135402</v>
      </c>
      <c r="D279" s="362">
        <v>4640242181493</v>
      </c>
      <c r="E279" s="362"/>
      <c r="F279" s="62">
        <v>3.7</v>
      </c>
      <c r="G279" s="37">
        <v>1</v>
      </c>
      <c r="H279" s="62">
        <v>3.7</v>
      </c>
      <c r="I279" s="62">
        <v>3.8919999999999999</v>
      </c>
      <c r="J279" s="37">
        <v>126</v>
      </c>
      <c r="K279" s="37" t="s">
        <v>120</v>
      </c>
      <c r="L279" s="37" t="s">
        <v>121</v>
      </c>
      <c r="M279" s="38" t="s">
        <v>88</v>
      </c>
      <c r="N279" s="38"/>
      <c r="O279" s="37">
        <v>180</v>
      </c>
      <c r="P279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14</v>
      </c>
      <c r="Y279" s="55">
        <f t="shared" si="18"/>
        <v>14</v>
      </c>
      <c r="Z279" s="41">
        <f t="shared" si="23"/>
        <v>0.13103999999999999</v>
      </c>
      <c r="AA279" s="68" t="s">
        <v>46</v>
      </c>
      <c r="AB279" s="69" t="s">
        <v>46</v>
      </c>
      <c r="AC279" s="281" t="s">
        <v>376</v>
      </c>
      <c r="AG279" s="81"/>
      <c r="AJ279" s="87" t="s">
        <v>122</v>
      </c>
      <c r="AK279" s="87">
        <v>14</v>
      </c>
      <c r="BB279" s="282" t="s">
        <v>119</v>
      </c>
      <c r="BM279" s="81">
        <f t="shared" si="19"/>
        <v>54.488</v>
      </c>
      <c r="BN279" s="81">
        <f t="shared" si="20"/>
        <v>54.488</v>
      </c>
      <c r="BO279" s="81">
        <f t="shared" si="21"/>
        <v>0.1111111111111111</v>
      </c>
      <c r="BP279" s="81">
        <f t="shared" si="22"/>
        <v>0.1111111111111111</v>
      </c>
    </row>
    <row r="280" spans="1:68" ht="37.5" customHeight="1" x14ac:dyDescent="0.25">
      <c r="A280" s="63" t="s">
        <v>388</v>
      </c>
      <c r="B280" s="63" t="s">
        <v>389</v>
      </c>
      <c r="C280" s="36">
        <v>4301135403</v>
      </c>
      <c r="D280" s="362">
        <v>4640242181509</v>
      </c>
      <c r="E280" s="362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120</v>
      </c>
      <c r="L280" s="37" t="s">
        <v>121</v>
      </c>
      <c r="M280" s="38" t="s">
        <v>88</v>
      </c>
      <c r="N280" s="38"/>
      <c r="O280" s="37">
        <v>180</v>
      </c>
      <c r="P280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364"/>
      <c r="R280" s="364"/>
      <c r="S280" s="364"/>
      <c r="T280" s="365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3" t="s">
        <v>376</v>
      </c>
      <c r="AG280" s="81"/>
      <c r="AJ280" s="87" t="s">
        <v>122</v>
      </c>
      <c r="AK280" s="87">
        <v>14</v>
      </c>
      <c r="BB280" s="284" t="s">
        <v>119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customHeight="1" x14ac:dyDescent="0.25">
      <c r="A281" s="63" t="s">
        <v>390</v>
      </c>
      <c r="B281" s="63" t="s">
        <v>391</v>
      </c>
      <c r="C281" s="36">
        <v>4301135304</v>
      </c>
      <c r="D281" s="362">
        <v>4640242181240</v>
      </c>
      <c r="E281" s="362"/>
      <c r="F281" s="62">
        <v>0.3</v>
      </c>
      <c r="G281" s="37">
        <v>9</v>
      </c>
      <c r="H281" s="62">
        <v>2.7</v>
      </c>
      <c r="I281" s="62">
        <v>2.88</v>
      </c>
      <c r="J281" s="37">
        <v>126</v>
      </c>
      <c r="K281" s="37" t="s">
        <v>120</v>
      </c>
      <c r="L281" s="37" t="s">
        <v>90</v>
      </c>
      <c r="M281" s="38" t="s">
        <v>88</v>
      </c>
      <c r="N281" s="38"/>
      <c r="O281" s="37">
        <v>180</v>
      </c>
      <c r="P281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364"/>
      <c r="R281" s="364"/>
      <c r="S281" s="364"/>
      <c r="T281" s="365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85" t="s">
        <v>376</v>
      </c>
      <c r="AG281" s="81"/>
      <c r="AJ281" s="87" t="s">
        <v>91</v>
      </c>
      <c r="AK281" s="87">
        <v>1</v>
      </c>
      <c r="BB281" s="286" t="s">
        <v>119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392</v>
      </c>
      <c r="B282" s="63" t="s">
        <v>393</v>
      </c>
      <c r="C282" s="36">
        <v>4301135610</v>
      </c>
      <c r="D282" s="362">
        <v>4640242181318</v>
      </c>
      <c r="E282" s="362"/>
      <c r="F282" s="62">
        <v>0.3</v>
      </c>
      <c r="G282" s="37">
        <v>9</v>
      </c>
      <c r="H282" s="62">
        <v>2.7</v>
      </c>
      <c r="I282" s="62">
        <v>2.988</v>
      </c>
      <c r="J282" s="37">
        <v>126</v>
      </c>
      <c r="K282" s="37" t="s">
        <v>120</v>
      </c>
      <c r="L282" s="37" t="s">
        <v>90</v>
      </c>
      <c r="M282" s="38" t="s">
        <v>88</v>
      </c>
      <c r="N282" s="38"/>
      <c r="O282" s="37">
        <v>180</v>
      </c>
      <c r="P282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364"/>
      <c r="R282" s="364"/>
      <c r="S282" s="364"/>
      <c r="T282" s="365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87" t="s">
        <v>379</v>
      </c>
      <c r="AG282" s="81"/>
      <c r="AJ282" s="87" t="s">
        <v>91</v>
      </c>
      <c r="AK282" s="87">
        <v>1</v>
      </c>
      <c r="BB282" s="288" t="s">
        <v>119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customHeight="1" x14ac:dyDescent="0.25">
      <c r="A283" s="63" t="s">
        <v>394</v>
      </c>
      <c r="B283" s="63" t="s">
        <v>395</v>
      </c>
      <c r="C283" s="36">
        <v>4301135306</v>
      </c>
      <c r="D283" s="362">
        <v>4640242181387</v>
      </c>
      <c r="E283" s="362"/>
      <c r="F283" s="62">
        <v>0.3</v>
      </c>
      <c r="G283" s="37">
        <v>9</v>
      </c>
      <c r="H283" s="62">
        <v>2.7</v>
      </c>
      <c r="I283" s="62">
        <v>2.8450000000000002</v>
      </c>
      <c r="J283" s="37">
        <v>234</v>
      </c>
      <c r="K283" s="37" t="s">
        <v>171</v>
      </c>
      <c r="L283" s="37" t="s">
        <v>90</v>
      </c>
      <c r="M283" s="38" t="s">
        <v>88</v>
      </c>
      <c r="N283" s="38"/>
      <c r="O283" s="37">
        <v>180</v>
      </c>
      <c r="P283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3" s="364"/>
      <c r="R283" s="364"/>
      <c r="S283" s="364"/>
      <c r="T283" s="365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>IFERROR(IF(X283="","",X283*0.00502),"")</f>
        <v>0</v>
      </c>
      <c r="AA283" s="68" t="s">
        <v>46</v>
      </c>
      <c r="AB283" s="69" t="s">
        <v>46</v>
      </c>
      <c r="AC283" s="289" t="s">
        <v>376</v>
      </c>
      <c r="AG283" s="81"/>
      <c r="AJ283" s="87" t="s">
        <v>91</v>
      </c>
      <c r="AK283" s="87">
        <v>1</v>
      </c>
      <c r="BB283" s="290" t="s">
        <v>119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7"/>
      <c r="P284" s="373" t="s">
        <v>40</v>
      </c>
      <c r="Q284" s="374"/>
      <c r="R284" s="374"/>
      <c r="S284" s="374"/>
      <c r="T284" s="374"/>
      <c r="U284" s="374"/>
      <c r="V284" s="375"/>
      <c r="W284" s="42" t="s">
        <v>39</v>
      </c>
      <c r="X284" s="43">
        <f>IFERROR(SUM(X274:X283),"0")</f>
        <v>192</v>
      </c>
      <c r="Y284" s="43">
        <f>IFERROR(SUM(Y274:Y283),"0")</f>
        <v>192</v>
      </c>
      <c r="Z284" s="43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1.9444800000000002</v>
      </c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7"/>
      <c r="P285" s="373" t="s">
        <v>40</v>
      </c>
      <c r="Q285" s="374"/>
      <c r="R285" s="374"/>
      <c r="S285" s="374"/>
      <c r="T285" s="374"/>
      <c r="U285" s="374"/>
      <c r="V285" s="375"/>
      <c r="W285" s="42" t="s">
        <v>0</v>
      </c>
      <c r="X285" s="43">
        <f>IFERROR(SUMPRODUCT(X274:X283*H274:H283),"0")</f>
        <v>694.8</v>
      </c>
      <c r="Y285" s="43">
        <f>IFERROR(SUMPRODUCT(Y274:Y283*H274:H283),"0")</f>
        <v>694.8</v>
      </c>
      <c r="Z285" s="42"/>
      <c r="AA285" s="67"/>
      <c r="AB285" s="67"/>
      <c r="AC285" s="67"/>
    </row>
    <row r="286" spans="1:68" ht="15" customHeight="1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33</v>
      </c>
      <c r="Q286" s="472"/>
      <c r="R286" s="472"/>
      <c r="S286" s="472"/>
      <c r="T286" s="472"/>
      <c r="U286" s="472"/>
      <c r="V286" s="473"/>
      <c r="W286" s="42" t="s">
        <v>0</v>
      </c>
      <c r="X286" s="43">
        <f>IFERROR(X31+X37+X44+X51+X59+X64+X68+X73+X79+X85+X90+X96+X106+X112+X124+X128+X132+X139+X145+X151+X157+X163+X168+X173+X178+X185+X190+X199+X205+X211+X217+X222+X227+X233+X239+X245+X249+X255+X262+X266+X272+X285,"0")</f>
        <v>2163.3199999999997</v>
      </c>
      <c r="Y286" s="43">
        <f>IFERROR(Y31+Y37+Y44+Y51+Y59+Y64+Y68+Y73+Y79+Y85+Y90+Y96+Y106+Y112+Y124+Y128+Y132+Y139+Y145+Y151+Y157+Y163+Y168+Y173+Y178+Y185+Y190+Y199+Y205+Y211+Y217+Y222+Y227+Y233+Y239+Y245+Y249+Y255+Y262+Y266+Y272+Y285,"0")</f>
        <v>2163.3199999999997</v>
      </c>
      <c r="Z286" s="42"/>
      <c r="AA286" s="67"/>
      <c r="AB286" s="67"/>
      <c r="AC286" s="67"/>
    </row>
    <row r="287" spans="1:68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34</v>
      </c>
      <c r="Q287" s="472"/>
      <c r="R287" s="472"/>
      <c r="S287" s="472"/>
      <c r="T287" s="472"/>
      <c r="U287" s="472"/>
      <c r="V287" s="473"/>
      <c r="W287" s="42" t="s">
        <v>0</v>
      </c>
      <c r="X287" s="43">
        <f>IFERROR(SUM(BM22:BM283),"0")</f>
        <v>2269.9708000000001</v>
      </c>
      <c r="Y287" s="43">
        <f>IFERROR(SUM(BN22:BN283),"0")</f>
        <v>2269.9708000000001</v>
      </c>
      <c r="Z287" s="42"/>
      <c r="AA287" s="67"/>
      <c r="AB287" s="67"/>
      <c r="AC287" s="67"/>
    </row>
    <row r="288" spans="1:68" x14ac:dyDescent="0.2">
      <c r="A288" s="376"/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474"/>
      <c r="P288" s="471" t="s">
        <v>35</v>
      </c>
      <c r="Q288" s="472"/>
      <c r="R288" s="472"/>
      <c r="S288" s="472"/>
      <c r="T288" s="472"/>
      <c r="U288" s="472"/>
      <c r="V288" s="473"/>
      <c r="W288" s="42" t="s">
        <v>20</v>
      </c>
      <c r="X288" s="44">
        <f>ROUNDUP(SUM(BO22:BO283),0)</f>
        <v>5</v>
      </c>
      <c r="Y288" s="44">
        <f>ROUNDUP(SUM(BP22:BP283),0)</f>
        <v>5</v>
      </c>
      <c r="Z288" s="42"/>
      <c r="AA288" s="67"/>
      <c r="AB288" s="67"/>
      <c r="AC288" s="67"/>
    </row>
    <row r="289" spans="1:32" x14ac:dyDescent="0.2">
      <c r="A289" s="376"/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474"/>
      <c r="P289" s="471" t="s">
        <v>36</v>
      </c>
      <c r="Q289" s="472"/>
      <c r="R289" s="472"/>
      <c r="S289" s="472"/>
      <c r="T289" s="472"/>
      <c r="U289" s="472"/>
      <c r="V289" s="473"/>
      <c r="W289" s="42" t="s">
        <v>0</v>
      </c>
      <c r="X289" s="43">
        <f>GrossWeightTotal+PalletQtyTotal*25</f>
        <v>2394.9708000000001</v>
      </c>
      <c r="Y289" s="43">
        <f>GrossWeightTotalR+PalletQtyTotalR*25</f>
        <v>2394.9708000000001</v>
      </c>
      <c r="Z289" s="42"/>
      <c r="AA289" s="67"/>
      <c r="AB289" s="67"/>
      <c r="AC289" s="67"/>
    </row>
    <row r="290" spans="1:32" x14ac:dyDescent="0.2">
      <c r="A290" s="376"/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474"/>
      <c r="P290" s="471" t="s">
        <v>37</v>
      </c>
      <c r="Q290" s="472"/>
      <c r="R290" s="472"/>
      <c r="S290" s="472"/>
      <c r="T290" s="472"/>
      <c r="U290" s="472"/>
      <c r="V290" s="473"/>
      <c r="W290" s="42" t="s">
        <v>20</v>
      </c>
      <c r="X290" s="43">
        <f>IFERROR(X30+X36+X43+X50+X58+X63+X67+X72+X78+X84+X89+X95+X105+X111+X123+X127+X131+X138+X144+X150+X156+X162+X167+X172+X177+X184+X189+X198+X204+X210+X216+X221+X226+X232+X238+X244+X248+X254+X261+X265+X271+X284,"0")</f>
        <v>498</v>
      </c>
      <c r="Y290" s="43">
        <f>IFERROR(Y30+Y36+Y43+Y50+Y58+Y63+Y67+Y72+Y78+Y84+Y89+Y95+Y105+Y111+Y123+Y127+Y131+Y138+Y144+Y150+Y156+Y162+Y167+Y172+Y177+Y184+Y189+Y198+Y204+Y210+Y216+Y221+Y226+Y232+Y238+Y244+Y248+Y254+Y261+Y265+Y271+Y284,"0")</f>
        <v>498</v>
      </c>
      <c r="Z290" s="42"/>
      <c r="AA290" s="67"/>
      <c r="AB290" s="67"/>
      <c r="AC290" s="67"/>
    </row>
    <row r="291" spans="1:32" ht="14.25" x14ac:dyDescent="0.2">
      <c r="A291" s="376"/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474"/>
      <c r="P291" s="471" t="s">
        <v>38</v>
      </c>
      <c r="Q291" s="472"/>
      <c r="R291" s="472"/>
      <c r="S291" s="472"/>
      <c r="T291" s="472"/>
      <c r="U291" s="472"/>
      <c r="V291" s="473"/>
      <c r="W291" s="45" t="s">
        <v>52</v>
      </c>
      <c r="X291" s="42"/>
      <c r="Y291" s="42"/>
      <c r="Z291" s="42">
        <f>IFERROR(Z30+Z36+Z43+Z50+Z58+Z63+Z67+Z72+Z78+Z84+Z89+Z95+Z105+Z111+Z123+Z127+Z131+Z138+Z144+Z150+Z156+Z162+Z167+Z172+Z177+Z184+Z189+Z198+Z204+Z210+Z216+Z221+Z226+Z232+Z238+Z244+Z248+Z254+Z261+Z265+Z271+Z284,"0")</f>
        <v>5.5267200000000001</v>
      </c>
      <c r="AA291" s="67"/>
      <c r="AB291" s="67"/>
      <c r="AC291" s="67"/>
    </row>
    <row r="292" spans="1:32" ht="13.5" thickBot="1" x14ac:dyDescent="0.25"/>
    <row r="293" spans="1:32" ht="27" thickTop="1" thickBot="1" x14ac:dyDescent="0.25">
      <c r="A293" s="46" t="s">
        <v>9</v>
      </c>
      <c r="B293" s="475" t="s">
        <v>81</v>
      </c>
      <c r="C293" s="475" t="s">
        <v>81</v>
      </c>
      <c r="D293" s="475" t="s">
        <v>45</v>
      </c>
      <c r="E293" s="475" t="s">
        <v>45</v>
      </c>
      <c r="F293" s="475" t="s">
        <v>45</v>
      </c>
      <c r="G293" s="475" t="s">
        <v>45</v>
      </c>
      <c r="H293" s="475" t="s">
        <v>45</v>
      </c>
      <c r="I293" s="475" t="s">
        <v>45</v>
      </c>
      <c r="J293" s="475" t="s">
        <v>45</v>
      </c>
      <c r="K293" s="475" t="s">
        <v>45</v>
      </c>
      <c r="L293" s="475" t="s">
        <v>45</v>
      </c>
      <c r="M293" s="475" t="s">
        <v>45</v>
      </c>
      <c r="N293" s="476"/>
      <c r="O293" s="475" t="s">
        <v>45</v>
      </c>
      <c r="P293" s="475" t="s">
        <v>45</v>
      </c>
      <c r="Q293" s="475" t="s">
        <v>45</v>
      </c>
      <c r="R293" s="475" t="s">
        <v>45</v>
      </c>
      <c r="S293" s="475" t="s">
        <v>45</v>
      </c>
      <c r="T293" s="475" t="s">
        <v>45</v>
      </c>
      <c r="U293" s="475" t="s">
        <v>45</v>
      </c>
      <c r="V293" s="88" t="s">
        <v>280</v>
      </c>
      <c r="W293" s="88" t="s">
        <v>294</v>
      </c>
      <c r="X293" s="475" t="s">
        <v>308</v>
      </c>
      <c r="Y293" s="475" t="s">
        <v>308</v>
      </c>
      <c r="Z293" s="475" t="s">
        <v>308</v>
      </c>
      <c r="AA293" s="475" t="s">
        <v>308</v>
      </c>
      <c r="AB293" s="88" t="s">
        <v>337</v>
      </c>
      <c r="AC293" s="88" t="s">
        <v>342</v>
      </c>
      <c r="AD293" s="88" t="s">
        <v>346</v>
      </c>
      <c r="AE293" s="88" t="s">
        <v>354</v>
      </c>
      <c r="AF293" s="88" t="s">
        <v>358</v>
      </c>
    </row>
    <row r="294" spans="1:32" ht="14.25" customHeight="1" thickTop="1" x14ac:dyDescent="0.2">
      <c r="A294" s="477" t="s">
        <v>10</v>
      </c>
      <c r="B294" s="475" t="s">
        <v>81</v>
      </c>
      <c r="C294" s="475" t="s">
        <v>108</v>
      </c>
      <c r="D294" s="475" t="s">
        <v>114</v>
      </c>
      <c r="E294" s="475" t="s">
        <v>125</v>
      </c>
      <c r="F294" s="475" t="s">
        <v>135</v>
      </c>
      <c r="G294" s="475" t="s">
        <v>146</v>
      </c>
      <c r="H294" s="475" t="s">
        <v>167</v>
      </c>
      <c r="I294" s="475" t="s">
        <v>174</v>
      </c>
      <c r="J294" s="475" t="s">
        <v>178</v>
      </c>
      <c r="K294" s="475" t="s">
        <v>186</v>
      </c>
      <c r="L294" s="475" t="s">
        <v>201</v>
      </c>
      <c r="M294" s="475" t="s">
        <v>207</v>
      </c>
      <c r="N294" s="1"/>
      <c r="O294" s="475" t="s">
        <v>235</v>
      </c>
      <c r="P294" s="475" t="s">
        <v>251</v>
      </c>
      <c r="Q294" s="475" t="s">
        <v>257</v>
      </c>
      <c r="R294" s="475" t="s">
        <v>264</v>
      </c>
      <c r="S294" s="475" t="s">
        <v>269</v>
      </c>
      <c r="T294" s="475" t="s">
        <v>273</v>
      </c>
      <c r="U294" s="475" t="s">
        <v>276</v>
      </c>
      <c r="V294" s="475" t="s">
        <v>281</v>
      </c>
      <c r="W294" s="475" t="s">
        <v>295</v>
      </c>
      <c r="X294" s="475" t="s">
        <v>309</v>
      </c>
      <c r="Y294" s="475" t="s">
        <v>322</v>
      </c>
      <c r="Z294" s="475" t="s">
        <v>329</v>
      </c>
      <c r="AA294" s="475" t="s">
        <v>333</v>
      </c>
      <c r="AB294" s="475" t="s">
        <v>338</v>
      </c>
      <c r="AC294" s="475" t="s">
        <v>343</v>
      </c>
      <c r="AD294" s="475" t="s">
        <v>347</v>
      </c>
      <c r="AE294" s="475" t="s">
        <v>354</v>
      </c>
      <c r="AF294" s="475" t="s">
        <v>358</v>
      </c>
    </row>
    <row r="295" spans="1:32" ht="13.5" thickBot="1" x14ac:dyDescent="0.25">
      <c r="A295" s="478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5"/>
      <c r="N295" s="1"/>
      <c r="O295" s="475"/>
      <c r="P295" s="475"/>
      <c r="Q295" s="475"/>
      <c r="R295" s="475"/>
      <c r="S295" s="475"/>
      <c r="T295" s="475"/>
      <c r="U295" s="475"/>
      <c r="V295" s="475"/>
      <c r="W295" s="475"/>
      <c r="X295" s="475"/>
      <c r="Y295" s="475"/>
      <c r="Z295" s="475"/>
      <c r="AA295" s="475"/>
      <c r="AB295" s="475"/>
      <c r="AC295" s="475"/>
      <c r="AD295" s="475"/>
      <c r="AE295" s="475"/>
      <c r="AF295" s="475"/>
    </row>
    <row r="296" spans="1:32" ht="18" thickTop="1" thickBot="1" x14ac:dyDescent="0.25">
      <c r="A296" s="46" t="s">
        <v>13</v>
      </c>
      <c r="B296" s="52">
        <f>IFERROR(X22*H22,"0")+IFERROR(X23*H23,"0")+IFERROR(X24*H24,"0")+IFERROR(X25*H25,"0")+IFERROR(X26*H26,"0")+IFERROR(X27*H27,"0")+IFERROR(X28*H28,"0")+IFERROR(X29*H29,"0")</f>
        <v>0</v>
      </c>
      <c r="C296" s="52">
        <f>IFERROR(X34*H34,"0")+IFERROR(X35*H35,"0")</f>
        <v>0</v>
      </c>
      <c r="D296" s="52">
        <f>IFERROR(X41*H41,"0")+IFERROR(X42*H42,"0")</f>
        <v>0</v>
      </c>
      <c r="E296" s="52">
        <f>IFERROR(X47*H47,"0")+IFERROR(X48*H48,"0")+IFERROR(X49*H49,"0")</f>
        <v>0</v>
      </c>
      <c r="F296" s="52">
        <f>IFERROR(X54*H54,"0")+IFERROR(X55*H55,"0")+IFERROR(X56*H56,"0")+IFERROR(X57*H57,"0")</f>
        <v>0</v>
      </c>
      <c r="G296" s="52">
        <f>IFERROR(X62*H62,"0")+IFERROR(X66*H66,"0")+IFERROR(X70*H70,"0")+IFERROR(X71*H71,"0")+IFERROR(X75*H75,"0")+IFERROR(X76*H76,"0")+IFERROR(X77*H77,"0")</f>
        <v>0</v>
      </c>
      <c r="H296" s="52">
        <f>IFERROR(X82*H82,"0")+IFERROR(X83*H83,"0")</f>
        <v>360</v>
      </c>
      <c r="I296" s="52">
        <f>IFERROR(X88*H88,"0")</f>
        <v>0</v>
      </c>
      <c r="J296" s="52">
        <f>IFERROR(X93*H93,"0")+IFERROR(X94*H94,"0")</f>
        <v>0</v>
      </c>
      <c r="K296" s="52">
        <f>IFERROR(X99*H99,"0")+IFERROR(X100*H100,"0")+IFERROR(X101*H101,"0")+IFERROR(X102*H102,"0")+IFERROR(X103*H103,"0")+IFERROR(X104*H104,"0")</f>
        <v>0</v>
      </c>
      <c r="L296" s="52">
        <f>IFERROR(X109*H109,"0")+IFERROR(X110*H110,"0")</f>
        <v>0</v>
      </c>
      <c r="M296" s="52">
        <f>IFERROR(X115*H115,"0")+IFERROR(X116*H116,"0")+IFERROR(X117*H117,"0")+IFERROR(X118*H118,"0")+IFERROR(X119*H119,"0")+IFERROR(X120*H120,"0")+IFERROR(X121*H121,"0")+IFERROR(X122*H122,"0")+IFERROR(X126*H126,"0")+IFERROR(X130*H130,"0")</f>
        <v>0</v>
      </c>
      <c r="N296" s="1"/>
      <c r="O296" s="52">
        <f>IFERROR(X135*H135,"0")+IFERROR(X136*H136,"0")+IFERROR(X137*H137,"0")+IFERROR(X141*H141,"0")+IFERROR(X142*H142,"0")+IFERROR(X143*H143,"0")</f>
        <v>0</v>
      </c>
      <c r="P296" s="52">
        <f>IFERROR(X148*H148,"0")+IFERROR(X149*H149,"0")</f>
        <v>0</v>
      </c>
      <c r="Q296" s="52">
        <f>IFERROR(X154*H154,"0")+IFERROR(X155*H155,"0")</f>
        <v>0</v>
      </c>
      <c r="R296" s="52">
        <f>IFERROR(X160*H160,"0")+IFERROR(X161*H161,"0")</f>
        <v>0</v>
      </c>
      <c r="S296" s="52">
        <f>IFERROR(X166*H166,"0")</f>
        <v>0</v>
      </c>
      <c r="T296" s="52">
        <f>IFERROR(X171*H171,"0")</f>
        <v>0</v>
      </c>
      <c r="U296" s="52">
        <f>IFERROR(X176*H176,"0")</f>
        <v>0</v>
      </c>
      <c r="V296" s="52">
        <f>IFERROR(X182*H182,"0")+IFERROR(X183*H183,"0")+IFERROR(X187*H187,"0")+IFERROR(X188*H188,"0")</f>
        <v>300</v>
      </c>
      <c r="W296" s="52">
        <f>IFERROR(X194*H194,"0")+IFERROR(X195*H195,"0")+IFERROR(X196*H196,"0")+IFERROR(X197*H197,"0")</f>
        <v>0</v>
      </c>
      <c r="X296" s="52">
        <f>IFERROR(X203*H203,"0")+IFERROR(X207*H207,"0")+IFERROR(X208*H208,"0")+IFERROR(X209*H209,"0")</f>
        <v>0</v>
      </c>
      <c r="Y296" s="52">
        <f>IFERROR(X214*H214,"0")+IFERROR(X215*H215,"0")</f>
        <v>0</v>
      </c>
      <c r="Z296" s="52">
        <f>IFERROR(X220*H220,"0")</f>
        <v>300</v>
      </c>
      <c r="AA296" s="52">
        <f>IFERROR(X225*H225,"0")</f>
        <v>0</v>
      </c>
      <c r="AB296" s="52">
        <f>IFERROR(X231*H231,"0")</f>
        <v>0</v>
      </c>
      <c r="AC296" s="52">
        <f>IFERROR(X237*H237,"0")</f>
        <v>120</v>
      </c>
      <c r="AD296" s="52">
        <f>IFERROR(X243*H243,"0")+IFERROR(X247*H247,"0")</f>
        <v>0</v>
      </c>
      <c r="AE296" s="52">
        <f>IFERROR(X253*H253,"0")</f>
        <v>0</v>
      </c>
      <c r="AF296" s="52">
        <f>IFERROR(X259*H259,"0")+IFERROR(X260*H260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1083.32</v>
      </c>
    </row>
    <row r="297" spans="1:32" ht="13.5" thickTop="1" x14ac:dyDescent="0.2">
      <c r="C297" s="1"/>
    </row>
    <row r="298" spans="1:32" ht="19.5" customHeight="1" x14ac:dyDescent="0.2">
      <c r="A298" s="70" t="s">
        <v>62</v>
      </c>
      <c r="B298" s="70" t="s">
        <v>63</v>
      </c>
      <c r="C298" s="70" t="s">
        <v>65</v>
      </c>
    </row>
    <row r="299" spans="1:32" x14ac:dyDescent="0.2">
      <c r="A299" s="71">
        <f>SUMPRODUCT(--(BB:BB="ЗПФ"),--(W:W="кор"),H:H,Y:Y)+SUMPRODUCT(--(BB:BB="ЗПФ"),--(W:W="кг"),Y:Y)</f>
        <v>1080</v>
      </c>
      <c r="B299" s="72">
        <f>SUMPRODUCT(--(BB:BB="ПГП"),--(W:W="кор"),H:H,Y:Y)+SUMPRODUCT(--(BB:BB="ПГП"),--(W:W="кг"),Y:Y)</f>
        <v>1083.32</v>
      </c>
      <c r="C299" s="72">
        <f>SUMPRODUCT(--(BB:BB="КИЗ"),--(W:W="кор"),H:H,Y:Y)+SUMPRODUCT(--(BB:BB="КИЗ"),--(W:W="кг"),Y:Y)</f>
        <v>0</v>
      </c>
    </row>
  </sheetData>
  <sheetProtection algorithmName="SHA-512" hashValue="7urGGNK+g5WHx6fpCmjARGrMq02E2BjnbtPzJrVQ6xi270Aa0JUbn8u3iEntxwCORABcCZqwhbGrQAJd2b3XBA==" saltValue="HQm0V9DIeqefhyYp4IDRng==" spinCount="100000" sheet="1" objects="1" scenarios="1" sort="0" autoFilter="0" pivotTables="0"/>
  <autoFilter ref="A18:AF29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7">
    <mergeCell ref="AF294:AF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AE294:AE295"/>
    <mergeCell ref="B293:C293"/>
    <mergeCell ref="D293:U293"/>
    <mergeCell ref="X293:AA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T294:T295"/>
    <mergeCell ref="U294:U295"/>
    <mergeCell ref="V294:V295"/>
    <mergeCell ref="D283:E283"/>
    <mergeCell ref="P283:T283"/>
    <mergeCell ref="P284:V284"/>
    <mergeCell ref="A284:O285"/>
    <mergeCell ref="P285:V285"/>
    <mergeCell ref="P286:V286"/>
    <mergeCell ref="A286:O291"/>
    <mergeCell ref="P287:V287"/>
    <mergeCell ref="P288:V288"/>
    <mergeCell ref="P289:V289"/>
    <mergeCell ref="P290:V290"/>
    <mergeCell ref="P291:V291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7:Z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P261:V261"/>
    <mergeCell ref="A261:O262"/>
    <mergeCell ref="P262:V262"/>
    <mergeCell ref="A263:Z263"/>
    <mergeCell ref="D264:E264"/>
    <mergeCell ref="P264:T264"/>
    <mergeCell ref="P265:V265"/>
    <mergeCell ref="A265:O266"/>
    <mergeCell ref="P266:V266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D260:E260"/>
    <mergeCell ref="P260:T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1:X283 X274 X259:X260 X253 X247 X243 X231 X225 X214:X215 X207:X209 X197 X187:X188 X182 X176 X154 X141:X143 X135:X137 X130 X126 X119:X120 X116 X101 X99 X75:X77 X70:X71 X66 X62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80 X268:X270 X264 X237 X220 X203 X194:X196 X183 X171 X166 X160:X161 X155 X148:X149 X121:X122 X117:X118 X115 X109:X110 X102:X104 X100 X93:X94 X88 X82:X83 X54:X57 X49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9"/>
    </row>
    <row r="3" spans="2:8" x14ac:dyDescent="0.2">
      <c r="B3" s="53" t="s">
        <v>397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399</v>
      </c>
      <c r="D6" s="53" t="s">
        <v>400</v>
      </c>
      <c r="E6" s="53" t="s">
        <v>46</v>
      </c>
    </row>
    <row r="8" spans="2:8" x14ac:dyDescent="0.2">
      <c r="B8" s="53" t="s">
        <v>80</v>
      </c>
      <c r="C8" s="53" t="s">
        <v>399</v>
      </c>
      <c r="D8" s="53" t="s">
        <v>46</v>
      </c>
      <c r="E8" s="53" t="s">
        <v>46</v>
      </c>
    </row>
    <row r="10" spans="2:8" x14ac:dyDescent="0.2">
      <c r="B10" s="53" t="s">
        <v>401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402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403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410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411</v>
      </c>
      <c r="C20" s="53" t="s">
        <v>46</v>
      </c>
      <c r="D20" s="53" t="s">
        <v>46</v>
      </c>
      <c r="E20" s="53" t="s">
        <v>46</v>
      </c>
    </row>
  </sheetData>
  <sheetProtection algorithmName="SHA-512" hashValue="mEGyPmp0HJNj2sjfvRDQT+Q++DyGnCY8RXAxyB77X3/tm1TEO0e1zqcUmT4BAwShDSVANVWZVHUd4t7U72Es3A==" saltValue="FEzpanVH3lPA9gDAXGKjy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2026-06-23T08:55:38Z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