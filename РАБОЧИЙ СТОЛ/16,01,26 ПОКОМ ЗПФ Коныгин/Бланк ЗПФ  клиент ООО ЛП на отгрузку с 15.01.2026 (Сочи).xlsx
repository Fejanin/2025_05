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01,26 ПОКОМ ЗПФ Коныгин\"/>
    </mc:Choice>
  </mc:AlternateContent>
  <xr:revisionPtr revIDLastSave="0" documentId="13_ncr:1_{AEEAF026-AAF8-4074-9DF6-3BA0F8B502B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6" i="2" l="1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X265" i="2"/>
  <c r="X264" i="2"/>
  <c r="BO263" i="2"/>
  <c r="BM263" i="2"/>
  <c r="Z263" i="2"/>
  <c r="Y263" i="2"/>
  <c r="BP263" i="2" s="1"/>
  <c r="P263" i="2"/>
  <c r="BO262" i="2"/>
  <c r="BM262" i="2"/>
  <c r="Z262" i="2"/>
  <c r="Y262" i="2"/>
  <c r="BN262" i="2" s="1"/>
  <c r="P262" i="2"/>
  <c r="BO261" i="2"/>
  <c r="BM261" i="2"/>
  <c r="Z261" i="2"/>
  <c r="Y261" i="2"/>
  <c r="BN261" i="2" s="1"/>
  <c r="P261" i="2"/>
  <c r="BO260" i="2"/>
  <c r="BM260" i="2"/>
  <c r="Z260" i="2"/>
  <c r="Y260" i="2"/>
  <c r="BN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BN258" i="2" s="1"/>
  <c r="P258" i="2"/>
  <c r="BO257" i="2"/>
  <c r="BM257" i="2"/>
  <c r="Z257" i="2"/>
  <c r="Y257" i="2"/>
  <c r="BP257" i="2" s="1"/>
  <c r="P257" i="2"/>
  <c r="BO256" i="2"/>
  <c r="BM256" i="2"/>
  <c r="Z256" i="2"/>
  <c r="Y256" i="2"/>
  <c r="BP256" i="2" s="1"/>
  <c r="P256" i="2"/>
  <c r="BO255" i="2"/>
  <c r="BM255" i="2"/>
  <c r="Z255" i="2"/>
  <c r="Y255" i="2"/>
  <c r="BN255" i="2" s="1"/>
  <c r="P255" i="2"/>
  <c r="BO254" i="2"/>
  <c r="BM254" i="2"/>
  <c r="Z254" i="2"/>
  <c r="Y254" i="2"/>
  <c r="BP254" i="2" s="1"/>
  <c r="P254" i="2"/>
  <c r="X252" i="2"/>
  <c r="X251" i="2"/>
  <c r="BO250" i="2"/>
  <c r="BM250" i="2"/>
  <c r="Z250" i="2"/>
  <c r="Y250" i="2"/>
  <c r="BN250" i="2" s="1"/>
  <c r="P250" i="2"/>
  <c r="BO249" i="2"/>
  <c r="BM249" i="2"/>
  <c r="Z249" i="2"/>
  <c r="Y249" i="2"/>
  <c r="BP249" i="2" s="1"/>
  <c r="P249" i="2"/>
  <c r="BO248" i="2"/>
  <c r="BM248" i="2"/>
  <c r="Z248" i="2"/>
  <c r="Y248" i="2"/>
  <c r="BP248" i="2" s="1"/>
  <c r="P248" i="2"/>
  <c r="X246" i="2"/>
  <c r="X245" i="2"/>
  <c r="BO244" i="2"/>
  <c r="BM244" i="2"/>
  <c r="Z244" i="2"/>
  <c r="Z245" i="2" s="1"/>
  <c r="Y244" i="2"/>
  <c r="BP244" i="2" s="1"/>
  <c r="P244" i="2"/>
  <c r="X242" i="2"/>
  <c r="X241" i="2"/>
  <c r="BO240" i="2"/>
  <c r="BM240" i="2"/>
  <c r="Z240" i="2"/>
  <c r="Y240" i="2"/>
  <c r="P240" i="2"/>
  <c r="BO239" i="2"/>
  <c r="BM239" i="2"/>
  <c r="Z239" i="2"/>
  <c r="Y239" i="2"/>
  <c r="BP239" i="2" s="1"/>
  <c r="P239" i="2"/>
  <c r="X235" i="2"/>
  <c r="X234" i="2"/>
  <c r="BO233" i="2"/>
  <c r="BM233" i="2"/>
  <c r="Z233" i="2"/>
  <c r="Z234" i="2" s="1"/>
  <c r="Y233" i="2"/>
  <c r="Y234" i="2" s="1"/>
  <c r="P233" i="2"/>
  <c r="X231" i="2"/>
  <c r="X230" i="2"/>
  <c r="BO229" i="2"/>
  <c r="BM229" i="2"/>
  <c r="Z229" i="2"/>
  <c r="Z230" i="2" s="1"/>
  <c r="Y229" i="2"/>
  <c r="Y231" i="2" s="1"/>
  <c r="P229" i="2"/>
  <c r="X225" i="2"/>
  <c r="X224" i="2"/>
  <c r="BO223" i="2"/>
  <c r="BM223" i="2"/>
  <c r="Z223" i="2"/>
  <c r="Z224" i="2" s="1"/>
  <c r="Y223" i="2"/>
  <c r="Y224" i="2" s="1"/>
  <c r="P223" i="2"/>
  <c r="X219" i="2"/>
  <c r="X218" i="2"/>
  <c r="BO217" i="2"/>
  <c r="BM217" i="2"/>
  <c r="Z217" i="2"/>
  <c r="Z218" i="2" s="1"/>
  <c r="Y217" i="2"/>
  <c r="Y218" i="2" s="1"/>
  <c r="P217" i="2"/>
  <c r="X213" i="2"/>
  <c r="X212" i="2"/>
  <c r="BO211" i="2"/>
  <c r="BM211" i="2"/>
  <c r="Z211" i="2"/>
  <c r="Y211" i="2"/>
  <c r="BP211" i="2" s="1"/>
  <c r="P211" i="2"/>
  <c r="BO210" i="2"/>
  <c r="BM210" i="2"/>
  <c r="Z210" i="2"/>
  <c r="Y210" i="2"/>
  <c r="P210" i="2"/>
  <c r="X207" i="2"/>
  <c r="X206" i="2"/>
  <c r="BO205" i="2"/>
  <c r="BM205" i="2"/>
  <c r="Z205" i="2"/>
  <c r="Z206" i="2" s="1"/>
  <c r="Y205" i="2"/>
  <c r="Y206" i="2" s="1"/>
  <c r="P205" i="2"/>
  <c r="X202" i="2"/>
  <c r="X201" i="2"/>
  <c r="BO200" i="2"/>
  <c r="BM200" i="2"/>
  <c r="Z200" i="2"/>
  <c r="Y200" i="2"/>
  <c r="BP200" i="2" s="1"/>
  <c r="P200" i="2"/>
  <c r="BO199" i="2"/>
  <c r="BM199" i="2"/>
  <c r="Z199" i="2"/>
  <c r="Y199" i="2"/>
  <c r="BN199" i="2" s="1"/>
  <c r="P199" i="2"/>
  <c r="BO198" i="2"/>
  <c r="BM198" i="2"/>
  <c r="Z198" i="2"/>
  <c r="Y198" i="2"/>
  <c r="BN198" i="2" s="1"/>
  <c r="P198" i="2"/>
  <c r="BO197" i="2"/>
  <c r="BM197" i="2"/>
  <c r="Z197" i="2"/>
  <c r="Y197" i="2"/>
  <c r="P197" i="2"/>
  <c r="BO196" i="2"/>
  <c r="BM196" i="2"/>
  <c r="Z196" i="2"/>
  <c r="Y196" i="2"/>
  <c r="BP196" i="2" s="1"/>
  <c r="P196" i="2"/>
  <c r="X194" i="2"/>
  <c r="X193" i="2"/>
  <c r="BO192" i="2"/>
  <c r="BM192" i="2"/>
  <c r="Z192" i="2"/>
  <c r="Z193" i="2" s="1"/>
  <c r="Y192" i="2"/>
  <c r="Y193" i="2" s="1"/>
  <c r="P192" i="2"/>
  <c r="X188" i="2"/>
  <c r="X187" i="2"/>
  <c r="BO186" i="2"/>
  <c r="BM186" i="2"/>
  <c r="Z186" i="2"/>
  <c r="Z187" i="2" s="1"/>
  <c r="Y186" i="2"/>
  <c r="Y188" i="2" s="1"/>
  <c r="X184" i="2"/>
  <c r="X183" i="2"/>
  <c r="BO182" i="2"/>
  <c r="BM182" i="2"/>
  <c r="Z182" i="2"/>
  <c r="Y182" i="2"/>
  <c r="BP182" i="2" s="1"/>
  <c r="P182" i="2"/>
  <c r="BO181" i="2"/>
  <c r="BM181" i="2"/>
  <c r="Z181" i="2"/>
  <c r="Y181" i="2"/>
  <c r="BN181" i="2" s="1"/>
  <c r="P181" i="2"/>
  <c r="BO180" i="2"/>
  <c r="BM180" i="2"/>
  <c r="Z180" i="2"/>
  <c r="Y180" i="2"/>
  <c r="BP180" i="2" s="1"/>
  <c r="P180" i="2"/>
  <c r="BO179" i="2"/>
  <c r="BM179" i="2"/>
  <c r="Z179" i="2"/>
  <c r="Y179" i="2"/>
  <c r="P179" i="2"/>
  <c r="X175" i="2"/>
  <c r="X174" i="2"/>
  <c r="BO173" i="2"/>
  <c r="BM173" i="2"/>
  <c r="Z173" i="2"/>
  <c r="Y173" i="2"/>
  <c r="P173" i="2"/>
  <c r="BO172" i="2"/>
  <c r="BM172" i="2"/>
  <c r="Z172" i="2"/>
  <c r="Y172" i="2"/>
  <c r="BN172" i="2" s="1"/>
  <c r="P172" i="2"/>
  <c r="X168" i="2"/>
  <c r="X167" i="2"/>
  <c r="BO166" i="2"/>
  <c r="BM166" i="2"/>
  <c r="Z166" i="2"/>
  <c r="Z167" i="2" s="1"/>
  <c r="Y166" i="2"/>
  <c r="BN166" i="2" s="1"/>
  <c r="P166" i="2"/>
  <c r="X163" i="2"/>
  <c r="X162" i="2"/>
  <c r="BO161" i="2"/>
  <c r="BM161" i="2"/>
  <c r="Z161" i="2"/>
  <c r="Z162" i="2" s="1"/>
  <c r="Y161" i="2"/>
  <c r="BN161" i="2" s="1"/>
  <c r="P161" i="2"/>
  <c r="X158" i="2"/>
  <c r="X157" i="2"/>
  <c r="BO156" i="2"/>
  <c r="BM156" i="2"/>
  <c r="Z156" i="2"/>
  <c r="Z157" i="2" s="1"/>
  <c r="Y156" i="2"/>
  <c r="Y158" i="2" s="1"/>
  <c r="P156" i="2"/>
  <c r="X153" i="2"/>
  <c r="X152" i="2"/>
  <c r="BO151" i="2"/>
  <c r="BM151" i="2"/>
  <c r="Z151" i="2"/>
  <c r="Z152" i="2" s="1"/>
  <c r="Y151" i="2"/>
  <c r="BN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P145" i="2"/>
  <c r="X142" i="2"/>
  <c r="X141" i="2"/>
  <c r="BO140" i="2"/>
  <c r="BM140" i="2"/>
  <c r="Z140" i="2"/>
  <c r="Y140" i="2"/>
  <c r="BP140" i="2" s="1"/>
  <c r="P140" i="2"/>
  <c r="BO139" i="2"/>
  <c r="BM139" i="2"/>
  <c r="Z139" i="2"/>
  <c r="Y139" i="2"/>
  <c r="P139" i="2"/>
  <c r="X136" i="2"/>
  <c r="X135" i="2"/>
  <c r="BO134" i="2"/>
  <c r="BM134" i="2"/>
  <c r="Z134" i="2"/>
  <c r="Y134" i="2"/>
  <c r="BP134" i="2" s="1"/>
  <c r="P134" i="2"/>
  <c r="BO133" i="2"/>
  <c r="BM133" i="2"/>
  <c r="Z133" i="2"/>
  <c r="Y133" i="2"/>
  <c r="BP133" i="2" s="1"/>
  <c r="P133" i="2"/>
  <c r="X130" i="2"/>
  <c r="X129" i="2"/>
  <c r="BO128" i="2"/>
  <c r="BM128" i="2"/>
  <c r="Z128" i="2"/>
  <c r="Z129" i="2" s="1"/>
  <c r="Y128" i="2"/>
  <c r="Y130" i="2" s="1"/>
  <c r="P128" i="2"/>
  <c r="X126" i="2"/>
  <c r="X125" i="2"/>
  <c r="BO124" i="2"/>
  <c r="BM124" i="2"/>
  <c r="Z124" i="2"/>
  <c r="Z125" i="2" s="1"/>
  <c r="Y124" i="2"/>
  <c r="BN124" i="2" s="1"/>
  <c r="P124" i="2"/>
  <c r="X122" i="2"/>
  <c r="X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P114" i="2"/>
  <c r="BO113" i="2"/>
  <c r="BM113" i="2"/>
  <c r="Z113" i="2"/>
  <c r="Y113" i="2"/>
  <c r="BP113" i="2" s="1"/>
  <c r="P113" i="2"/>
  <c r="X110" i="2"/>
  <c r="X109" i="2"/>
  <c r="BO108" i="2"/>
  <c r="BM108" i="2"/>
  <c r="Z108" i="2"/>
  <c r="Y108" i="2"/>
  <c r="BN108" i="2" s="1"/>
  <c r="P108" i="2"/>
  <c r="BO107" i="2"/>
  <c r="BM107" i="2"/>
  <c r="Z107" i="2"/>
  <c r="Y107" i="2"/>
  <c r="P107" i="2"/>
  <c r="X104" i="2"/>
  <c r="X103" i="2"/>
  <c r="BO102" i="2"/>
  <c r="BM102" i="2"/>
  <c r="Z102" i="2"/>
  <c r="Y102" i="2"/>
  <c r="BN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BO98" i="2"/>
  <c r="BM98" i="2"/>
  <c r="Z98" i="2"/>
  <c r="Y98" i="2"/>
  <c r="BP98" i="2" s="1"/>
  <c r="P98" i="2"/>
  <c r="BO97" i="2"/>
  <c r="BM97" i="2"/>
  <c r="Z97" i="2"/>
  <c r="Y97" i="2"/>
  <c r="P97" i="2"/>
  <c r="X94" i="2"/>
  <c r="X93" i="2"/>
  <c r="BO92" i="2"/>
  <c r="BM92" i="2"/>
  <c r="Z92" i="2"/>
  <c r="Y92" i="2"/>
  <c r="BN92" i="2" s="1"/>
  <c r="P92" i="2"/>
  <c r="BO91" i="2"/>
  <c r="BM91" i="2"/>
  <c r="Z91" i="2"/>
  <c r="Y91" i="2"/>
  <c r="P91" i="2"/>
  <c r="X88" i="2"/>
  <c r="X87" i="2"/>
  <c r="BO86" i="2"/>
  <c r="BM86" i="2"/>
  <c r="Z86" i="2"/>
  <c r="Z87" i="2" s="1"/>
  <c r="Y86" i="2"/>
  <c r="Y88" i="2" s="1"/>
  <c r="P86" i="2"/>
  <c r="X83" i="2"/>
  <c r="X82" i="2"/>
  <c r="BO81" i="2"/>
  <c r="BM81" i="2"/>
  <c r="Z81" i="2"/>
  <c r="Y81" i="2"/>
  <c r="BN81" i="2" s="1"/>
  <c r="P81" i="2"/>
  <c r="BO80" i="2"/>
  <c r="BM80" i="2"/>
  <c r="Z80" i="2"/>
  <c r="Y80" i="2"/>
  <c r="P80" i="2"/>
  <c r="X77" i="2"/>
  <c r="X76" i="2"/>
  <c r="BO75" i="2"/>
  <c r="BM75" i="2"/>
  <c r="Z75" i="2"/>
  <c r="Y75" i="2"/>
  <c r="BN75" i="2" s="1"/>
  <c r="P75" i="2"/>
  <c r="BO74" i="2"/>
  <c r="BM74" i="2"/>
  <c r="Z74" i="2"/>
  <c r="Y74" i="2"/>
  <c r="BP74" i="2" s="1"/>
  <c r="P74" i="2"/>
  <c r="BO73" i="2"/>
  <c r="BM73" i="2"/>
  <c r="Z73" i="2"/>
  <c r="Y73" i="2"/>
  <c r="BN73" i="2" s="1"/>
  <c r="P73" i="2"/>
  <c r="X71" i="2"/>
  <c r="X70" i="2"/>
  <c r="BO69" i="2"/>
  <c r="BM69" i="2"/>
  <c r="Z69" i="2"/>
  <c r="Y69" i="2"/>
  <c r="BP69" i="2" s="1"/>
  <c r="P69" i="2"/>
  <c r="BO68" i="2"/>
  <c r="BM68" i="2"/>
  <c r="Z68" i="2"/>
  <c r="Y68" i="2"/>
  <c r="P68" i="2"/>
  <c r="X66" i="2"/>
  <c r="X65" i="2"/>
  <c r="BO64" i="2"/>
  <c r="BM64" i="2"/>
  <c r="Z64" i="2"/>
  <c r="Z65" i="2" s="1"/>
  <c r="Y64" i="2"/>
  <c r="P64" i="2"/>
  <c r="X62" i="2"/>
  <c r="X61" i="2"/>
  <c r="BO60" i="2"/>
  <c r="BM60" i="2"/>
  <c r="Z60" i="2"/>
  <c r="Z61" i="2" s="1"/>
  <c r="Y60" i="2"/>
  <c r="Y62" i="2" s="1"/>
  <c r="P60" i="2"/>
  <c r="X57" i="2"/>
  <c r="X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BO52" i="2"/>
  <c r="BM52" i="2"/>
  <c r="Z52" i="2"/>
  <c r="Y52" i="2"/>
  <c r="P52" i="2"/>
  <c r="X49" i="2"/>
  <c r="X48" i="2"/>
  <c r="BO47" i="2"/>
  <c r="BM47" i="2"/>
  <c r="Z47" i="2"/>
  <c r="Y47" i="2"/>
  <c r="BP47" i="2" s="1"/>
  <c r="P47" i="2"/>
  <c r="BO46" i="2"/>
  <c r="BM46" i="2"/>
  <c r="Z46" i="2"/>
  <c r="Y46" i="2"/>
  <c r="P46" i="2"/>
  <c r="BO45" i="2"/>
  <c r="BM45" i="2"/>
  <c r="Z45" i="2"/>
  <c r="Y45" i="2"/>
  <c r="P45" i="2"/>
  <c r="X42" i="2"/>
  <c r="X41" i="2"/>
  <c r="BO40" i="2"/>
  <c r="BM40" i="2"/>
  <c r="Z40" i="2"/>
  <c r="Y40" i="2"/>
  <c r="BP40" i="2" s="1"/>
  <c r="P40" i="2"/>
  <c r="BO39" i="2"/>
  <c r="BM39" i="2"/>
  <c r="Z39" i="2"/>
  <c r="Y39" i="2"/>
  <c r="P39" i="2"/>
  <c r="X35" i="2"/>
  <c r="X34" i="2"/>
  <c r="BO33" i="2"/>
  <c r="BM33" i="2"/>
  <c r="Z33" i="2"/>
  <c r="Y33" i="2"/>
  <c r="BN33" i="2" s="1"/>
  <c r="P33" i="2"/>
  <c r="BO32" i="2"/>
  <c r="BM32" i="2"/>
  <c r="Z32" i="2"/>
  <c r="Y32" i="2"/>
  <c r="P32" i="2"/>
  <c r="X29" i="2"/>
  <c r="X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A10" i="2" s="1"/>
  <c r="D7" i="2"/>
  <c r="Q6" i="2"/>
  <c r="P2" i="2"/>
  <c r="BN256" i="2" l="1"/>
  <c r="Y71" i="2"/>
  <c r="Z82" i="2"/>
  <c r="BN86" i="2"/>
  <c r="BP86" i="2"/>
  <c r="Y87" i="2"/>
  <c r="Z93" i="2"/>
  <c r="Z103" i="2"/>
  <c r="Z135" i="2"/>
  <c r="Z183" i="2"/>
  <c r="Y212" i="2"/>
  <c r="Y28" i="2"/>
  <c r="X266" i="2"/>
  <c r="Y34" i="2"/>
  <c r="Y49" i="2"/>
  <c r="BN229" i="2"/>
  <c r="BP229" i="2"/>
  <c r="Y230" i="2"/>
  <c r="Z241" i="2"/>
  <c r="Z28" i="2"/>
  <c r="Y109" i="2"/>
  <c r="Z121" i="2"/>
  <c r="Y142" i="2"/>
  <c r="Y147" i="2"/>
  <c r="Z251" i="2"/>
  <c r="BP39" i="2"/>
  <c r="BN39" i="2"/>
  <c r="BP45" i="2"/>
  <c r="Y48" i="2"/>
  <c r="Y57" i="2"/>
  <c r="BP52" i="2"/>
  <c r="BN52" i="2"/>
  <c r="Y56" i="2"/>
  <c r="BP64" i="2"/>
  <c r="Y65" i="2"/>
  <c r="Y66" i="2"/>
  <c r="H9" i="2"/>
  <c r="F10" i="2"/>
  <c r="J9" i="2"/>
  <c r="X267" i="2"/>
  <c r="BP24" i="2"/>
  <c r="Z56" i="2"/>
  <c r="Y104" i="2"/>
  <c r="Y136" i="2"/>
  <c r="BP151" i="2"/>
  <c r="Y152" i="2"/>
  <c r="BP161" i="2"/>
  <c r="Y162" i="2"/>
  <c r="BP172" i="2"/>
  <c r="Y175" i="2"/>
  <c r="Y207" i="2"/>
  <c r="Y219" i="2"/>
  <c r="Y246" i="2"/>
  <c r="BP250" i="2"/>
  <c r="Y251" i="2"/>
  <c r="X268" i="2"/>
  <c r="Z34" i="2"/>
  <c r="X270" i="2"/>
  <c r="Z41" i="2"/>
  <c r="Z48" i="2"/>
  <c r="Z70" i="2"/>
  <c r="Z76" i="2"/>
  <c r="Y82" i="2"/>
  <c r="Y93" i="2"/>
  <c r="Y94" i="2"/>
  <c r="Y103" i="2"/>
  <c r="Z109" i="2"/>
  <c r="BN113" i="2"/>
  <c r="Y122" i="2"/>
  <c r="BP116" i="2"/>
  <c r="BN120" i="2"/>
  <c r="BN128" i="2"/>
  <c r="BP128" i="2"/>
  <c r="Y129" i="2"/>
  <c r="Y135" i="2"/>
  <c r="Z141" i="2"/>
  <c r="Z147" i="2"/>
  <c r="Y153" i="2"/>
  <c r="Y163" i="2"/>
  <c r="Z174" i="2"/>
  <c r="Y184" i="2"/>
  <c r="BN180" i="2"/>
  <c r="BN186" i="2"/>
  <c r="BP186" i="2"/>
  <c r="Y187" i="2"/>
  <c r="Z201" i="2"/>
  <c r="BN196" i="2"/>
  <c r="Y202" i="2"/>
  <c r="BP199" i="2"/>
  <c r="Z212" i="2"/>
  <c r="BN217" i="2"/>
  <c r="BP217" i="2"/>
  <c r="BN239" i="2"/>
  <c r="Y241" i="2"/>
  <c r="Y245" i="2"/>
  <c r="Y252" i="2"/>
  <c r="Z264" i="2"/>
  <c r="BN263" i="2"/>
  <c r="BN200" i="2"/>
  <c r="BP210" i="2"/>
  <c r="BN248" i="2"/>
  <c r="BP97" i="2"/>
  <c r="BN139" i="2"/>
  <c r="BN197" i="2"/>
  <c r="BP22" i="2"/>
  <c r="BP68" i="2"/>
  <c r="BN254" i="2"/>
  <c r="Y29" i="2"/>
  <c r="Y121" i="2"/>
  <c r="BP80" i="2"/>
  <c r="BN22" i="2"/>
  <c r="BN68" i="2"/>
  <c r="BP173" i="2"/>
  <c r="BN46" i="2"/>
  <c r="BN100" i="2"/>
  <c r="BP73" i="2"/>
  <c r="BN117" i="2"/>
  <c r="BP25" i="2"/>
  <c r="BN97" i="2"/>
  <c r="BN240" i="2"/>
  <c r="BN55" i="2"/>
  <c r="BN64" i="2"/>
  <c r="BP102" i="2"/>
  <c r="Y110" i="2"/>
  <c r="Y141" i="2"/>
  <c r="BP179" i="2"/>
  <c r="BP205" i="2"/>
  <c r="Y213" i="2"/>
  <c r="Y225" i="2"/>
  <c r="Y235" i="2"/>
  <c r="BN244" i="2"/>
  <c r="BP262" i="2"/>
  <c r="BN145" i="2"/>
  <c r="BN80" i="2"/>
  <c r="BP46" i="2"/>
  <c r="BN53" i="2"/>
  <c r="BN173" i="2"/>
  <c r="BN210" i="2"/>
  <c r="BP260" i="2"/>
  <c r="BN32" i="2"/>
  <c r="BN257" i="2"/>
  <c r="BN60" i="2"/>
  <c r="BP107" i="2"/>
  <c r="Y265" i="2"/>
  <c r="BN40" i="2"/>
  <c r="BP114" i="2"/>
  <c r="Y174" i="2"/>
  <c r="BP181" i="2"/>
  <c r="BN47" i="2"/>
  <c r="BN156" i="2"/>
  <c r="BN26" i="2"/>
  <c r="Y61" i="2"/>
  <c r="BN118" i="2"/>
  <c r="BN54" i="2"/>
  <c r="BP261" i="2"/>
  <c r="BP91" i="2"/>
  <c r="BN98" i="2"/>
  <c r="BN133" i="2"/>
  <c r="BN23" i="2"/>
  <c r="BN69" i="2"/>
  <c r="BN115" i="2"/>
  <c r="Y167" i="2"/>
  <c r="Y42" i="2"/>
  <c r="BP124" i="2"/>
  <c r="BP192" i="2"/>
  <c r="BP258" i="2"/>
  <c r="BP27" i="2"/>
  <c r="Y35" i="2"/>
  <c r="BN45" i="2"/>
  <c r="Y76" i="2"/>
  <c r="BP92" i="2"/>
  <c r="BN99" i="2"/>
  <c r="BP119" i="2"/>
  <c r="Y126" i="2"/>
  <c r="BN134" i="2"/>
  <c r="Y194" i="2"/>
  <c r="BN259" i="2"/>
  <c r="Y264" i="2"/>
  <c r="BN107" i="2"/>
  <c r="BN114" i="2"/>
  <c r="BP32" i="2"/>
  <c r="BP60" i="2"/>
  <c r="BN74" i="2"/>
  <c r="Y201" i="2"/>
  <c r="BN101" i="2"/>
  <c r="BN91" i="2"/>
  <c r="Y41" i="2"/>
  <c r="BP156" i="2"/>
  <c r="BP166" i="2"/>
  <c r="BN211" i="2"/>
  <c r="BN223" i="2"/>
  <c r="BN233" i="2"/>
  <c r="BP81" i="2"/>
  <c r="BN192" i="2"/>
  <c r="BP108" i="2"/>
  <c r="Y157" i="2"/>
  <c r="Y242" i="2"/>
  <c r="BN249" i="2"/>
  <c r="BP33" i="2"/>
  <c r="BN140" i="2"/>
  <c r="Y125" i="2"/>
  <c r="Y148" i="2"/>
  <c r="Y168" i="2"/>
  <c r="BN179" i="2"/>
  <c r="BP198" i="2"/>
  <c r="BN205" i="2"/>
  <c r="Y70" i="2"/>
  <c r="BP75" i="2"/>
  <c r="Y83" i="2"/>
  <c r="Y183" i="2"/>
  <c r="BP255" i="2"/>
  <c r="F9" i="2"/>
  <c r="Y77" i="2"/>
  <c r="BP145" i="2"/>
  <c r="BP240" i="2"/>
  <c r="BP139" i="2"/>
  <c r="BN146" i="2"/>
  <c r="BP197" i="2"/>
  <c r="BN182" i="2"/>
  <c r="BP223" i="2"/>
  <c r="BP233" i="2"/>
  <c r="X269" i="2" l="1"/>
  <c r="Z271" i="2"/>
  <c r="Y270" i="2"/>
  <c r="Y267" i="2"/>
  <c r="Y268" i="2"/>
  <c r="Y266" i="2"/>
  <c r="Y269" i="2" l="1"/>
  <c r="B279" i="2" s="1"/>
  <c r="A279" i="2" l="1"/>
  <c r="C279" i="2"/>
</calcChain>
</file>

<file path=xl/sharedStrings.xml><?xml version="1.0" encoding="utf-8"?>
<sst xmlns="http://schemas.openxmlformats.org/spreadsheetml/2006/main" count="1642" uniqueCount="393">
  <si>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</si>
  <si>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</si>
  <si>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</si>
  <si>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</si>
  <si>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</si>
  <si>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</si>
  <si>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</si>
  <si>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</si>
  <si>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</si>
  <si>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</si>
  <si>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</si>
  <si>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</si>
  <si>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</si>
  <si>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</si>
  <si>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</si>
  <si>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</si>
  <si>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</si>
  <si>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</si>
  <si>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</si>
  <si>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</si>
  <si>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</si>
  <si>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</si>
  <si>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</si>
  <si>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</si>
  <si>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</si>
  <si>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</si>
  <si>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</si>
  <si>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</si>
  <si>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</si>
  <si>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</si>
  <si>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</si>
  <si>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</si>
  <si>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</si>
  <si>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</si>
  <si>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</si>
  <si>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</si>
  <si>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</si>
  <si>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</si>
  <si>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</si>
  <si>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</si>
  <si>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</si>
  <si>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</si>
  <si>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</si>
  <si>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</si>
  <si>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</si>
  <si>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</si>
  <si>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</si>
  <si>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</si>
  <si>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</si>
  <si>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</si>
  <si>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</si>
  <si>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</si>
  <si>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</si>
  <si>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</si>
  <si>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</si>
  <si>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</si>
  <si>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</si>
  <si>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</si>
  <si>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</si>
  <si>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</si>
  <si>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</si>
  <si>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</si>
  <si>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</si>
  <si>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</si>
  <si>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</si>
  <si>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</si>
  <si>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</si>
  <si>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</si>
  <si>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</si>
  <si>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</si>
  <si>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</si>
  <si>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15.01.2026</t>
  </si>
  <si>
    <t>12.01.2026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</si>
  <si>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</si>
  <si>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</si>
  <si>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</si>
  <si>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</si>
  <si>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</si>
  <si>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</si>
  <si>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</si>
  <si>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</si>
  <si>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</si>
  <si>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</si>
  <si>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</si>
  <si>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</si>
  <si>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</si>
  <si>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</si>
  <si>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</si>
  <si>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</si>
  <si>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</si>
  <si>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</si>
  <si>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</si>
  <si>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</si>
  <si>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</si>
  <si>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</si>
  <si>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</si>
  <si>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</si>
  <si>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</si>
  <si>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</si>
  <si>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</si>
  <si>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</si>
  <si>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</si>
  <si>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</si>
  <si>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</si>
  <si>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</si>
  <si>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</si>
  <si>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</si>
  <si>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</si>
  <si>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</si>
  <si>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</si>
  <si>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</si>
  <si>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</si>
  <si>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</si>
  <si>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</si>
  <si>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</si>
  <si>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</si>
  <si>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</si>
  <si>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Палетта, мин. 1</t>
  </si>
  <si>
    <t>Палетта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</si>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</sst>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3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79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45" t="s">
        <v>26</v>
      </c>
      <c r="E1" s="445"/>
      <c r="F1" s="445"/>
      <c r="G1" s="14" t="s">
        <v>70</v>
      </c>
      <c r="H1" s="445" t="s">
        <v>47</v>
      </c>
      <c r="I1" s="445"/>
      <c r="J1" s="445"/>
      <c r="K1" s="445"/>
      <c r="L1" s="445"/>
      <c r="M1" s="445"/>
      <c r="N1" s="445"/>
      <c r="O1" s="445"/>
      <c r="P1" s="445"/>
      <c r="Q1" s="445"/>
      <c r="R1" s="446" t="s">
        <v>71</v>
      </c>
      <c r="S1" s="447"/>
      <c r="T1" s="44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48"/>
      <c r="R2" s="448"/>
      <c r="S2" s="448"/>
      <c r="T2" s="448"/>
      <c r="U2" s="448"/>
      <c r="V2" s="448"/>
      <c r="W2" s="44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48"/>
      <c r="Q3" s="448"/>
      <c r="R3" s="448"/>
      <c r="S3" s="448"/>
      <c r="T3" s="448"/>
      <c r="U3" s="448"/>
      <c r="V3" s="448"/>
      <c r="W3" s="44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26" t="s">
        <v>8</v>
      </c>
      <c r="B5" s="426"/>
      <c r="C5" s="426"/>
      <c r="D5" s="449"/>
      <c r="E5" s="449"/>
      <c r="F5" s="450" t="s">
        <v>14</v>
      </c>
      <c r="G5" s="450"/>
      <c r="H5" s="449"/>
      <c r="I5" s="449"/>
      <c r="J5" s="449"/>
      <c r="K5" s="449"/>
      <c r="L5" s="449"/>
      <c r="M5" s="449"/>
      <c r="N5" s="75"/>
      <c r="P5" s="27" t="s">
        <v>4</v>
      </c>
      <c r="Q5" s="451">
        <v>46041</v>
      </c>
      <c r="R5" s="451"/>
      <c r="T5" s="452" t="s">
        <v>3</v>
      </c>
      <c r="U5" s="453"/>
      <c r="V5" s="454" t="s">
        <v>379</v>
      </c>
      <c r="W5" s="455"/>
      <c r="AB5" s="59"/>
      <c r="AC5" s="59"/>
      <c r="AD5" s="59"/>
      <c r="AE5" s="59"/>
    </row>
    <row r="6" spans="1:32" s="17" customFormat="1" ht="24" customHeight="1" x14ac:dyDescent="0.2">
      <c r="A6" s="426" t="s">
        <v>1</v>
      </c>
      <c r="B6" s="426"/>
      <c r="C6" s="426"/>
      <c r="D6" s="427" t="s">
        <v>79</v>
      </c>
      <c r="E6" s="427"/>
      <c r="F6" s="427"/>
      <c r="G6" s="427"/>
      <c r="H6" s="427"/>
      <c r="I6" s="427"/>
      <c r="J6" s="427"/>
      <c r="K6" s="427"/>
      <c r="L6" s="427"/>
      <c r="M6" s="427"/>
      <c r="N6" s="76"/>
      <c r="P6" s="27" t="s">
        <v>27</v>
      </c>
      <c r="Q6" s="428" t="str">
        <f>IF(Q5=0," ",CHOOSE(WEEKDAY(Q5,2),"Понедельник","Вторник","Среда","Четверг","Пятница","Суббота","Воскресенье"))</f>
        <v>Понедельник</v>
      </c>
      <c r="R6" s="428"/>
      <c r="T6" s="429" t="s">
        <v>5</v>
      </c>
      <c r="U6" s="430"/>
      <c r="V6" s="431" t="s">
        <v>73</v>
      </c>
      <c r="W6" s="43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37" t="str">
        <f>IFERROR(VLOOKUP(DeliveryAddress,Table,3,0),1)</f>
        <v>1</v>
      </c>
      <c r="E7" s="438"/>
      <c r="F7" s="438"/>
      <c r="G7" s="438"/>
      <c r="H7" s="438"/>
      <c r="I7" s="438"/>
      <c r="J7" s="438"/>
      <c r="K7" s="438"/>
      <c r="L7" s="438"/>
      <c r="M7" s="439"/>
      <c r="N7" s="77"/>
      <c r="P7" s="29"/>
      <c r="Q7" s="48"/>
      <c r="R7" s="48"/>
      <c r="T7" s="429"/>
      <c r="U7" s="430"/>
      <c r="V7" s="433"/>
      <c r="W7" s="434"/>
      <c r="AB7" s="59"/>
      <c r="AC7" s="59"/>
      <c r="AD7" s="59"/>
      <c r="AE7" s="59"/>
    </row>
    <row r="8" spans="1:32" s="17" customFormat="1" ht="25.5" customHeight="1" x14ac:dyDescent="0.2">
      <c r="A8" s="440" t="s">
        <v>58</v>
      </c>
      <c r="B8" s="440"/>
      <c r="C8" s="440"/>
      <c r="D8" s="441" t="s">
        <v>80</v>
      </c>
      <c r="E8" s="441"/>
      <c r="F8" s="441"/>
      <c r="G8" s="441"/>
      <c r="H8" s="441"/>
      <c r="I8" s="441"/>
      <c r="J8" s="441"/>
      <c r="K8" s="441"/>
      <c r="L8" s="441"/>
      <c r="M8" s="441"/>
      <c r="N8" s="78"/>
      <c r="P8" s="27" t="s">
        <v>11</v>
      </c>
      <c r="Q8" s="424">
        <v>0.375</v>
      </c>
      <c r="R8" s="442"/>
      <c r="T8" s="429"/>
      <c r="U8" s="430"/>
      <c r="V8" s="433"/>
      <c r="W8" s="434"/>
      <c r="AB8" s="59"/>
      <c r="AC8" s="59"/>
      <c r="AD8" s="59"/>
      <c r="AE8" s="59"/>
    </row>
    <row r="9" spans="1:32" s="17" customFormat="1" ht="39.950000000000003" customHeight="1" x14ac:dyDescent="0.2">
      <c r="A9" s="41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16"/>
      <c r="C9" s="416"/>
      <c r="D9" s="417" t="s">
        <v>46</v>
      </c>
      <c r="E9" s="418"/>
      <c r="F9" s="41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16"/>
      <c r="H9" s="443" t="str">
        <f>IF(AND($A$9="Тип доверенности/получателя при получении в адресе перегруза:",$D$9="Разовая доверенность"),"Введите ФИО","")</f>
        <v/>
      </c>
      <c r="I9" s="443"/>
      <c r="J9" s="44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43"/>
      <c r="L9" s="443"/>
      <c r="M9" s="443"/>
      <c r="N9" s="73"/>
      <c r="P9" s="31" t="s">
        <v>15</v>
      </c>
      <c r="Q9" s="444"/>
      <c r="R9" s="444"/>
      <c r="T9" s="429"/>
      <c r="U9" s="430"/>
      <c r="V9" s="435"/>
      <c r="W9" s="43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1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16"/>
      <c r="C10" s="416"/>
      <c r="D10" s="417"/>
      <c r="E10" s="418"/>
      <c r="F10" s="41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16"/>
      <c r="H10" s="419" t="str">
        <f>IFERROR(VLOOKUP($D$10,Proxy,2,FALSE),"")</f>
        <v/>
      </c>
      <c r="I10" s="419"/>
      <c r="J10" s="419"/>
      <c r="K10" s="419"/>
      <c r="L10" s="419"/>
      <c r="M10" s="419"/>
      <c r="N10" s="74"/>
      <c r="P10" s="31" t="s">
        <v>32</v>
      </c>
      <c r="Q10" s="420"/>
      <c r="R10" s="420"/>
      <c r="U10" s="29" t="s">
        <v>12</v>
      </c>
      <c r="V10" s="421" t="s">
        <v>74</v>
      </c>
      <c r="W10" s="42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23"/>
      <c r="R11" s="423"/>
      <c r="U11" s="29" t="s">
        <v>28</v>
      </c>
      <c r="V11" s="402" t="s">
        <v>55</v>
      </c>
      <c r="W11" s="40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01" t="s">
        <v>75</v>
      </c>
      <c r="B12" s="401"/>
      <c r="C12" s="401"/>
      <c r="D12" s="401"/>
      <c r="E12" s="401"/>
      <c r="F12" s="401"/>
      <c r="G12" s="401"/>
      <c r="H12" s="401"/>
      <c r="I12" s="401"/>
      <c r="J12" s="401"/>
      <c r="K12" s="401"/>
      <c r="L12" s="401"/>
      <c r="M12" s="401"/>
      <c r="N12" s="79"/>
      <c r="P12" s="27" t="s">
        <v>30</v>
      </c>
      <c r="Q12" s="424"/>
      <c r="R12" s="424"/>
      <c r="S12" s="28"/>
      <c r="T12"/>
      <c r="U12" s="29" t="s">
        <v>46</v>
      </c>
      <c r="V12" s="425"/>
      <c r="W12" s="425"/>
      <c r="X12"/>
      <c r="AB12" s="59"/>
      <c r="AC12" s="59"/>
      <c r="AD12" s="59"/>
      <c r="AE12" s="59"/>
    </row>
    <row r="13" spans="1:32" s="17" customFormat="1" ht="23.25" customHeight="1" x14ac:dyDescent="0.2">
      <c r="A13" s="401" t="s">
        <v>76</v>
      </c>
      <c r="B13" s="401"/>
      <c r="C13" s="401"/>
      <c r="D13" s="401"/>
      <c r="E13" s="401"/>
      <c r="F13" s="401"/>
      <c r="G13" s="401"/>
      <c r="H13" s="401"/>
      <c r="I13" s="401"/>
      <c r="J13" s="401"/>
      <c r="K13" s="401"/>
      <c r="L13" s="401"/>
      <c r="M13" s="401"/>
      <c r="N13" s="79"/>
      <c r="O13" s="31"/>
      <c r="P13" s="31" t="s">
        <v>31</v>
      </c>
      <c r="Q13" s="402"/>
      <c r="R13" s="40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01" t="s">
        <v>77</v>
      </c>
      <c r="B14" s="401"/>
      <c r="C14" s="401"/>
      <c r="D14" s="401"/>
      <c r="E14" s="401"/>
      <c r="F14" s="401"/>
      <c r="G14" s="401"/>
      <c r="H14" s="401"/>
      <c r="I14" s="401"/>
      <c r="J14" s="401"/>
      <c r="K14" s="401"/>
      <c r="L14" s="401"/>
      <c r="M14" s="401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03" t="s">
        <v>78</v>
      </c>
      <c r="B15" s="403"/>
      <c r="C15" s="403"/>
      <c r="D15" s="403"/>
      <c r="E15" s="403"/>
      <c r="F15" s="403"/>
      <c r="G15" s="403"/>
      <c r="H15" s="403"/>
      <c r="I15" s="403"/>
      <c r="J15" s="403"/>
      <c r="K15" s="403"/>
      <c r="L15" s="403"/>
      <c r="M15" s="403"/>
      <c r="N15" s="80"/>
      <c r="O15"/>
      <c r="P15" s="404" t="s">
        <v>61</v>
      </c>
      <c r="Q15" s="404"/>
      <c r="R15" s="404"/>
      <c r="S15" s="404"/>
      <c r="T15" s="40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05"/>
      <c r="Q16" s="405"/>
      <c r="R16" s="405"/>
      <c r="S16" s="405"/>
      <c r="T16" s="40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87" t="s">
        <v>59</v>
      </c>
      <c r="B17" s="387" t="s">
        <v>49</v>
      </c>
      <c r="C17" s="408" t="s">
        <v>48</v>
      </c>
      <c r="D17" s="410" t="s">
        <v>50</v>
      </c>
      <c r="E17" s="411"/>
      <c r="F17" s="387" t="s">
        <v>21</v>
      </c>
      <c r="G17" s="387" t="s">
        <v>24</v>
      </c>
      <c r="H17" s="387" t="s">
        <v>22</v>
      </c>
      <c r="I17" s="387" t="s">
        <v>23</v>
      </c>
      <c r="J17" s="387" t="s">
        <v>16</v>
      </c>
      <c r="K17" s="387" t="s">
        <v>69</v>
      </c>
      <c r="L17" s="387" t="s">
        <v>67</v>
      </c>
      <c r="M17" s="387" t="s">
        <v>2</v>
      </c>
      <c r="N17" s="387" t="s">
        <v>66</v>
      </c>
      <c r="O17" s="387" t="s">
        <v>25</v>
      </c>
      <c r="P17" s="410" t="s">
        <v>17</v>
      </c>
      <c r="Q17" s="414"/>
      <c r="R17" s="414"/>
      <c r="S17" s="414"/>
      <c r="T17" s="411"/>
      <c r="U17" s="406" t="s">
        <v>56</v>
      </c>
      <c r="V17" s="407"/>
      <c r="W17" s="387" t="s">
        <v>6</v>
      </c>
      <c r="X17" s="387" t="s">
        <v>41</v>
      </c>
      <c r="Y17" s="389" t="s">
        <v>54</v>
      </c>
      <c r="Z17" s="391" t="s">
        <v>18</v>
      </c>
      <c r="AA17" s="393" t="s">
        <v>60</v>
      </c>
      <c r="AB17" s="393" t="s">
        <v>19</v>
      </c>
      <c r="AC17" s="393" t="s">
        <v>68</v>
      </c>
      <c r="AD17" s="395" t="s">
        <v>57</v>
      </c>
      <c r="AE17" s="396"/>
      <c r="AF17" s="397"/>
      <c r="AG17" s="85"/>
      <c r="BD17" s="84" t="s">
        <v>64</v>
      </c>
    </row>
    <row r="18" spans="1:68" ht="14.25" customHeight="1" x14ac:dyDescent="0.2">
      <c r="A18" s="388"/>
      <c r="B18" s="388"/>
      <c r="C18" s="409"/>
      <c r="D18" s="412"/>
      <c r="E18" s="413"/>
      <c r="F18" s="388"/>
      <c r="G18" s="388"/>
      <c r="H18" s="388"/>
      <c r="I18" s="388"/>
      <c r="J18" s="388"/>
      <c r="K18" s="388"/>
      <c r="L18" s="388"/>
      <c r="M18" s="388"/>
      <c r="N18" s="388"/>
      <c r="O18" s="388"/>
      <c r="P18" s="412"/>
      <c r="Q18" s="415"/>
      <c r="R18" s="415"/>
      <c r="S18" s="415"/>
      <c r="T18" s="413"/>
      <c r="U18" s="86" t="s">
        <v>44</v>
      </c>
      <c r="V18" s="86" t="s">
        <v>43</v>
      </c>
      <c r="W18" s="388"/>
      <c r="X18" s="388"/>
      <c r="Y18" s="390"/>
      <c r="Z18" s="392"/>
      <c r="AA18" s="394"/>
      <c r="AB18" s="394"/>
      <c r="AC18" s="394"/>
      <c r="AD18" s="398"/>
      <c r="AE18" s="399"/>
      <c r="AF18" s="400"/>
      <c r="AG18" s="85"/>
      <c r="BD18" s="84"/>
    </row>
    <row r="19" spans="1:68" ht="27.75" customHeight="1" x14ac:dyDescent="0.2">
      <c r="A19" s="306" t="s">
        <v>81</v>
      </c>
      <c r="B19" s="306"/>
      <c r="C19" s="306"/>
      <c r="D19" s="306"/>
      <c r="E19" s="306"/>
      <c r="F19" s="306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06"/>
      <c r="R19" s="306"/>
      <c r="S19" s="306"/>
      <c r="T19" s="306"/>
      <c r="U19" s="306"/>
      <c r="V19" s="306"/>
      <c r="W19" s="306"/>
      <c r="X19" s="306"/>
      <c r="Y19" s="306"/>
      <c r="Z19" s="306"/>
      <c r="AA19" s="54"/>
      <c r="AB19" s="54"/>
      <c r="AC19" s="54"/>
    </row>
    <row r="20" spans="1:68" ht="16.5" customHeight="1" x14ac:dyDescent="0.25">
      <c r="A20" s="307" t="s">
        <v>81</v>
      </c>
      <c r="B20" s="307"/>
      <c r="C20" s="307"/>
      <c r="D20" s="307"/>
      <c r="E20" s="307"/>
      <c r="F20" s="307"/>
      <c r="G20" s="307"/>
      <c r="H20" s="307"/>
      <c r="I20" s="307"/>
      <c r="J20" s="307"/>
      <c r="K20" s="307"/>
      <c r="L20" s="307"/>
      <c r="M20" s="307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  <c r="Z20" s="307"/>
      <c r="AA20" s="65"/>
      <c r="AB20" s="65"/>
      <c r="AC20" s="82"/>
    </row>
    <row r="21" spans="1:68" ht="14.25" customHeight="1" x14ac:dyDescent="0.25">
      <c r="A21" s="297" t="s">
        <v>82</v>
      </c>
      <c r="B21" s="297"/>
      <c r="C21" s="297"/>
      <c r="D21" s="297"/>
      <c r="E21" s="297"/>
      <c r="F21" s="297"/>
      <c r="G21" s="297"/>
      <c r="H21" s="297"/>
      <c r="I21" s="297"/>
      <c r="J21" s="297"/>
      <c r="K21" s="297"/>
      <c r="L21" s="297"/>
      <c r="M21" s="297"/>
      <c r="N21" s="297"/>
      <c r="O21" s="297"/>
      <c r="P21" s="297"/>
      <c r="Q21" s="297"/>
      <c r="R21" s="297"/>
      <c r="S21" s="297"/>
      <c r="T21" s="297"/>
      <c r="U21" s="297"/>
      <c r="V21" s="297"/>
      <c r="W21" s="297"/>
      <c r="X21" s="297"/>
      <c r="Y21" s="297"/>
      <c r="Z21" s="297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279">
        <v>4607111035912</v>
      </c>
      <c r="E22" s="279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8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1"/>
      <c r="R22" s="281"/>
      <c r="S22" s="281"/>
      <c r="T22" s="282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279">
        <v>4607111035103</v>
      </c>
      <c r="E23" s="279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84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1"/>
      <c r="R23" s="281"/>
      <c r="S23" s="281"/>
      <c r="T23" s="282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279">
        <v>4607111035929</v>
      </c>
      <c r="E24" s="279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8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1"/>
      <c r="R24" s="281"/>
      <c r="S24" s="281"/>
      <c r="T24" s="282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279">
        <v>4607111035882</v>
      </c>
      <c r="E25" s="279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8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1"/>
      <c r="R25" s="281"/>
      <c r="S25" s="281"/>
      <c r="T25" s="282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279">
        <v>4607111035110</v>
      </c>
      <c r="E26" s="279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1"/>
      <c r="R26" s="281"/>
      <c r="S26" s="281"/>
      <c r="T26" s="282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279">
        <v>4607111035905</v>
      </c>
      <c r="E27" s="279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8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1"/>
      <c r="R27" s="281"/>
      <c r="S27" s="281"/>
      <c r="T27" s="282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286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7"/>
      <c r="P28" s="283" t="s">
        <v>40</v>
      </c>
      <c r="Q28" s="284"/>
      <c r="R28" s="284"/>
      <c r="S28" s="284"/>
      <c r="T28" s="284"/>
      <c r="U28" s="284"/>
      <c r="V28" s="285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7"/>
      <c r="P29" s="283" t="s">
        <v>40</v>
      </c>
      <c r="Q29" s="284"/>
      <c r="R29" s="284"/>
      <c r="S29" s="284"/>
      <c r="T29" s="284"/>
      <c r="U29" s="284"/>
      <c r="V29" s="285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07" t="s">
        <v>100</v>
      </c>
      <c r="B30" s="307"/>
      <c r="C30" s="307"/>
      <c r="D30" s="307"/>
      <c r="E30" s="307"/>
      <c r="F30" s="307"/>
      <c r="G30" s="307"/>
      <c r="H30" s="307"/>
      <c r="I30" s="307"/>
      <c r="J30" s="307"/>
      <c r="K30" s="307"/>
      <c r="L30" s="307"/>
      <c r="M30" s="307"/>
      <c r="N30" s="307"/>
      <c r="O30" s="307"/>
      <c r="P30" s="307"/>
      <c r="Q30" s="307"/>
      <c r="R30" s="307"/>
      <c r="S30" s="307"/>
      <c r="T30" s="307"/>
      <c r="U30" s="307"/>
      <c r="V30" s="307"/>
      <c r="W30" s="307"/>
      <c r="X30" s="307"/>
      <c r="Y30" s="307"/>
      <c r="Z30" s="307"/>
      <c r="AA30" s="65"/>
      <c r="AB30" s="65"/>
      <c r="AC30" s="82"/>
    </row>
    <row r="31" spans="1:68" ht="14.25" customHeight="1" x14ac:dyDescent="0.25">
      <c r="A31" s="297" t="s">
        <v>82</v>
      </c>
      <c r="B31" s="297"/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  <c r="R31" s="297"/>
      <c r="S31" s="297"/>
      <c r="T31" s="297"/>
      <c r="U31" s="297"/>
      <c r="V31" s="297"/>
      <c r="W31" s="297"/>
      <c r="X31" s="297"/>
      <c r="Y31" s="297"/>
      <c r="Z31" s="297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279">
        <v>4607111039019</v>
      </c>
      <c r="E32" s="279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7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1"/>
      <c r="R32" s="281"/>
      <c r="S32" s="281"/>
      <c r="T32" s="282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279">
        <v>4607111038708</v>
      </c>
      <c r="E33" s="279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8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1"/>
      <c r="R33" s="281"/>
      <c r="S33" s="281"/>
      <c r="T33" s="282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286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7"/>
      <c r="P34" s="283" t="s">
        <v>40</v>
      </c>
      <c r="Q34" s="284"/>
      <c r="R34" s="284"/>
      <c r="S34" s="284"/>
      <c r="T34" s="284"/>
      <c r="U34" s="284"/>
      <c r="V34" s="285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7"/>
      <c r="P35" s="283" t="s">
        <v>40</v>
      </c>
      <c r="Q35" s="284"/>
      <c r="R35" s="284"/>
      <c r="S35" s="284"/>
      <c r="T35" s="284"/>
      <c r="U35" s="284"/>
      <c r="V35" s="285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06" t="s">
        <v>45</v>
      </c>
      <c r="B36" s="306"/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V36" s="306"/>
      <c r="W36" s="306"/>
      <c r="X36" s="306"/>
      <c r="Y36" s="306"/>
      <c r="Z36" s="306"/>
      <c r="AA36" s="54"/>
      <c r="AB36" s="54"/>
      <c r="AC36" s="54"/>
    </row>
    <row r="37" spans="1:68" ht="16.5" customHeight="1" x14ac:dyDescent="0.25">
      <c r="A37" s="307" t="s">
        <v>106</v>
      </c>
      <c r="B37" s="307"/>
      <c r="C37" s="307"/>
      <c r="D37" s="307"/>
      <c r="E37" s="307"/>
      <c r="F37" s="307"/>
      <c r="G37" s="307"/>
      <c r="H37" s="307"/>
      <c r="I37" s="307"/>
      <c r="J37" s="307"/>
      <c r="K37" s="307"/>
      <c r="L37" s="307"/>
      <c r="M37" s="307"/>
      <c r="N37" s="307"/>
      <c r="O37" s="307"/>
      <c r="P37" s="307"/>
      <c r="Q37" s="307"/>
      <c r="R37" s="307"/>
      <c r="S37" s="307"/>
      <c r="T37" s="307"/>
      <c r="U37" s="307"/>
      <c r="V37" s="307"/>
      <c r="W37" s="307"/>
      <c r="X37" s="307"/>
      <c r="Y37" s="307"/>
      <c r="Z37" s="307"/>
      <c r="AA37" s="65"/>
      <c r="AB37" s="65"/>
      <c r="AC37" s="82"/>
    </row>
    <row r="38" spans="1:68" ht="14.25" customHeight="1" x14ac:dyDescent="0.25">
      <c r="A38" s="297" t="s">
        <v>107</v>
      </c>
      <c r="B38" s="297"/>
      <c r="C38" s="297"/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  <c r="S38" s="297"/>
      <c r="T38" s="297"/>
      <c r="U38" s="297"/>
      <c r="V38" s="297"/>
      <c r="W38" s="297"/>
      <c r="X38" s="297"/>
      <c r="Y38" s="297"/>
      <c r="Z38" s="297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279">
        <v>4607111036537</v>
      </c>
      <c r="E39" s="279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7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1"/>
      <c r="R39" s="281"/>
      <c r="S39" s="281"/>
      <c r="T39" s="282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279">
        <v>4607111036605</v>
      </c>
      <c r="E40" s="279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117</v>
      </c>
      <c r="M40" s="38" t="s">
        <v>86</v>
      </c>
      <c r="N40" s="38"/>
      <c r="O40" s="37">
        <v>365</v>
      </c>
      <c r="P40" s="37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1"/>
      <c r="R40" s="281"/>
      <c r="S40" s="281"/>
      <c r="T40" s="282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118</v>
      </c>
      <c r="AK40" s="87">
        <v>140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286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7"/>
      <c r="P41" s="283" t="s">
        <v>40</v>
      </c>
      <c r="Q41" s="284"/>
      <c r="R41" s="284"/>
      <c r="S41" s="284"/>
      <c r="T41" s="284"/>
      <c r="U41" s="284"/>
      <c r="V41" s="285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7"/>
      <c r="P42" s="283" t="s">
        <v>40</v>
      </c>
      <c r="Q42" s="284"/>
      <c r="R42" s="284"/>
      <c r="S42" s="284"/>
      <c r="T42" s="284"/>
      <c r="U42" s="284"/>
      <c r="V42" s="285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07" t="s">
        <v>119</v>
      </c>
      <c r="B43" s="307"/>
      <c r="C43" s="307"/>
      <c r="D43" s="307"/>
      <c r="E43" s="307"/>
      <c r="F43" s="307"/>
      <c r="G43" s="307"/>
      <c r="H43" s="307"/>
      <c r="I43" s="307"/>
      <c r="J43" s="307"/>
      <c r="K43" s="307"/>
      <c r="L43" s="307"/>
      <c r="M43" s="307"/>
      <c r="N43" s="307"/>
      <c r="O43" s="307"/>
      <c r="P43" s="307"/>
      <c r="Q43" s="307"/>
      <c r="R43" s="307"/>
      <c r="S43" s="307"/>
      <c r="T43" s="307"/>
      <c r="U43" s="307"/>
      <c r="V43" s="307"/>
      <c r="W43" s="307"/>
      <c r="X43" s="307"/>
      <c r="Y43" s="307"/>
      <c r="Z43" s="307"/>
      <c r="AA43" s="65"/>
      <c r="AB43" s="65"/>
      <c r="AC43" s="82"/>
    </row>
    <row r="44" spans="1:68" ht="14.25" customHeight="1" x14ac:dyDescent="0.25">
      <c r="A44" s="297" t="s">
        <v>82</v>
      </c>
      <c r="B44" s="297"/>
      <c r="C44" s="297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  <c r="AA44" s="66"/>
      <c r="AB44" s="66"/>
      <c r="AC44" s="83"/>
    </row>
    <row r="45" spans="1:68" ht="27" customHeight="1" x14ac:dyDescent="0.25">
      <c r="A45" s="63" t="s">
        <v>120</v>
      </c>
      <c r="B45" s="63" t="s">
        <v>121</v>
      </c>
      <c r="C45" s="36">
        <v>4301071090</v>
      </c>
      <c r="D45" s="279">
        <v>4620207490075</v>
      </c>
      <c r="E45" s="279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117</v>
      </c>
      <c r="M45" s="38" t="s">
        <v>86</v>
      </c>
      <c r="N45" s="38"/>
      <c r="O45" s="37">
        <v>180</v>
      </c>
      <c r="P45" s="37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1"/>
      <c r="R45" s="281"/>
      <c r="S45" s="281"/>
      <c r="T45" s="282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122</v>
      </c>
      <c r="AG45" s="81"/>
      <c r="AJ45" s="87" t="s">
        <v>118</v>
      </c>
      <c r="AK45" s="87">
        <v>84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123</v>
      </c>
      <c r="B46" s="63" t="s">
        <v>124</v>
      </c>
      <c r="C46" s="36">
        <v>4301071092</v>
      </c>
      <c r="D46" s="279">
        <v>4620207490174</v>
      </c>
      <c r="E46" s="279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88</v>
      </c>
      <c r="M46" s="38" t="s">
        <v>86</v>
      </c>
      <c r="N46" s="38"/>
      <c r="O46" s="37">
        <v>180</v>
      </c>
      <c r="P46" s="37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1"/>
      <c r="R46" s="281"/>
      <c r="S46" s="281"/>
      <c r="T46" s="282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125</v>
      </c>
      <c r="AG46" s="81"/>
      <c r="AJ46" s="87" t="s">
        <v>89</v>
      </c>
      <c r="AK46" s="87">
        <v>1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126</v>
      </c>
      <c r="B47" s="63" t="s">
        <v>127</v>
      </c>
      <c r="C47" s="36">
        <v>4301071091</v>
      </c>
      <c r="D47" s="279">
        <v>4620207490044</v>
      </c>
      <c r="E47" s="279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117</v>
      </c>
      <c r="M47" s="38" t="s">
        <v>86</v>
      </c>
      <c r="N47" s="38"/>
      <c r="O47" s="37">
        <v>180</v>
      </c>
      <c r="P47" s="37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1"/>
      <c r="R47" s="281"/>
      <c r="S47" s="281"/>
      <c r="T47" s="282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128</v>
      </c>
      <c r="AG47" s="81"/>
      <c r="AJ47" s="87" t="s">
        <v>118</v>
      </c>
      <c r="AK47" s="87">
        <v>84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286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7"/>
      <c r="P48" s="283" t="s">
        <v>40</v>
      </c>
      <c r="Q48" s="284"/>
      <c r="R48" s="284"/>
      <c r="S48" s="284"/>
      <c r="T48" s="284"/>
      <c r="U48" s="284"/>
      <c r="V48" s="285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7"/>
      <c r="P49" s="283" t="s">
        <v>40</v>
      </c>
      <c r="Q49" s="284"/>
      <c r="R49" s="284"/>
      <c r="S49" s="284"/>
      <c r="T49" s="284"/>
      <c r="U49" s="284"/>
      <c r="V49" s="285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07" t="s">
        <v>129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7"/>
      <c r="V50" s="307"/>
      <c r="W50" s="307"/>
      <c r="X50" s="307"/>
      <c r="Y50" s="307"/>
      <c r="Z50" s="307"/>
      <c r="AA50" s="65"/>
      <c r="AB50" s="65"/>
      <c r="AC50" s="82"/>
    </row>
    <row r="51" spans="1:68" ht="14.25" customHeight="1" x14ac:dyDescent="0.25">
      <c r="A51" s="297" t="s">
        <v>82</v>
      </c>
      <c r="B51" s="297"/>
      <c r="C51" s="297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Y51" s="297"/>
      <c r="Z51" s="297"/>
      <c r="AA51" s="66"/>
      <c r="AB51" s="66"/>
      <c r="AC51" s="83"/>
    </row>
    <row r="52" spans="1:68" ht="27" customHeight="1" x14ac:dyDescent="0.25">
      <c r="A52" s="63" t="s">
        <v>130</v>
      </c>
      <c r="B52" s="63" t="s">
        <v>131</v>
      </c>
      <c r="C52" s="36">
        <v>4301071044</v>
      </c>
      <c r="D52" s="279">
        <v>4607111039385</v>
      </c>
      <c r="E52" s="279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113</v>
      </c>
      <c r="M52" s="38" t="s">
        <v>86</v>
      </c>
      <c r="N52" s="38"/>
      <c r="O52" s="37">
        <v>180</v>
      </c>
      <c r="P52" s="37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1"/>
      <c r="R52" s="281"/>
      <c r="S52" s="281"/>
      <c r="T52" s="282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132</v>
      </c>
      <c r="AG52" s="81"/>
      <c r="AJ52" s="87" t="s">
        <v>114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4301071031</v>
      </c>
      <c r="D53" s="279">
        <v>4607111038982</v>
      </c>
      <c r="E53" s="279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113</v>
      </c>
      <c r="M53" s="38" t="s">
        <v>86</v>
      </c>
      <c r="N53" s="38"/>
      <c r="O53" s="37">
        <v>180</v>
      </c>
      <c r="P53" s="37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1"/>
      <c r="R53" s="281"/>
      <c r="S53" s="281"/>
      <c r="T53" s="282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135</v>
      </c>
      <c r="AG53" s="81"/>
      <c r="AJ53" s="87" t="s">
        <v>114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136</v>
      </c>
      <c r="B54" s="63" t="s">
        <v>137</v>
      </c>
      <c r="C54" s="36">
        <v>4301071046</v>
      </c>
      <c r="D54" s="279">
        <v>4607111039354</v>
      </c>
      <c r="E54" s="279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113</v>
      </c>
      <c r="M54" s="38" t="s">
        <v>86</v>
      </c>
      <c r="N54" s="38"/>
      <c r="O54" s="37">
        <v>180</v>
      </c>
      <c r="P54" s="37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1"/>
      <c r="R54" s="281"/>
      <c r="S54" s="281"/>
      <c r="T54" s="282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135</v>
      </c>
      <c r="AG54" s="81"/>
      <c r="AJ54" s="87" t="s">
        <v>114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4301071047</v>
      </c>
      <c r="D55" s="279">
        <v>4607111039330</v>
      </c>
      <c r="E55" s="279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113</v>
      </c>
      <c r="M55" s="38" t="s">
        <v>86</v>
      </c>
      <c r="N55" s="38"/>
      <c r="O55" s="37">
        <v>180</v>
      </c>
      <c r="P55" s="37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1"/>
      <c r="R55" s="281"/>
      <c r="S55" s="281"/>
      <c r="T55" s="282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135</v>
      </c>
      <c r="AG55" s="81"/>
      <c r="AJ55" s="87" t="s">
        <v>114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286"/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7"/>
      <c r="P56" s="283" t="s">
        <v>40</v>
      </c>
      <c r="Q56" s="284"/>
      <c r="R56" s="284"/>
      <c r="S56" s="284"/>
      <c r="T56" s="284"/>
      <c r="U56" s="284"/>
      <c r="V56" s="285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286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7"/>
      <c r="P57" s="283" t="s">
        <v>40</v>
      </c>
      <c r="Q57" s="284"/>
      <c r="R57" s="284"/>
      <c r="S57" s="284"/>
      <c r="T57" s="284"/>
      <c r="U57" s="284"/>
      <c r="V57" s="285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07" t="s">
        <v>140</v>
      </c>
      <c r="B58" s="307"/>
      <c r="C58" s="307"/>
      <c r="D58" s="307"/>
      <c r="E58" s="307"/>
      <c r="F58" s="307"/>
      <c r="G58" s="307"/>
      <c r="H58" s="307"/>
      <c r="I58" s="307"/>
      <c r="J58" s="307"/>
      <c r="K58" s="307"/>
      <c r="L58" s="307"/>
      <c r="M58" s="307"/>
      <c r="N58" s="307"/>
      <c r="O58" s="307"/>
      <c r="P58" s="307"/>
      <c r="Q58" s="307"/>
      <c r="R58" s="307"/>
      <c r="S58" s="307"/>
      <c r="T58" s="307"/>
      <c r="U58" s="307"/>
      <c r="V58" s="307"/>
      <c r="W58" s="307"/>
      <c r="X58" s="307"/>
      <c r="Y58" s="307"/>
      <c r="Z58" s="307"/>
      <c r="AA58" s="65"/>
      <c r="AB58" s="65"/>
      <c r="AC58" s="82"/>
    </row>
    <row r="59" spans="1:68" ht="14.25" customHeight="1" x14ac:dyDescent="0.25">
      <c r="A59" s="297" t="s">
        <v>82</v>
      </c>
      <c r="B59" s="297"/>
      <c r="C59" s="297"/>
      <c r="D59" s="297"/>
      <c r="E59" s="297"/>
      <c r="F59" s="297"/>
      <c r="G59" s="297"/>
      <c r="H59" s="297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Y59" s="297"/>
      <c r="Z59" s="297"/>
      <c r="AA59" s="66"/>
      <c r="AB59" s="66"/>
      <c r="AC59" s="83"/>
    </row>
    <row r="60" spans="1:68" ht="16.5" customHeight="1" x14ac:dyDescent="0.25">
      <c r="A60" s="63" t="s">
        <v>141</v>
      </c>
      <c r="B60" s="63" t="s">
        <v>142</v>
      </c>
      <c r="C60" s="36">
        <v>4301071073</v>
      </c>
      <c r="D60" s="279">
        <v>4620207490822</v>
      </c>
      <c r="E60" s="279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69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1"/>
      <c r="R60" s="281"/>
      <c r="S60" s="281"/>
      <c r="T60" s="282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143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286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7"/>
      <c r="P61" s="283" t="s">
        <v>40</v>
      </c>
      <c r="Q61" s="284"/>
      <c r="R61" s="284"/>
      <c r="S61" s="284"/>
      <c r="T61" s="284"/>
      <c r="U61" s="284"/>
      <c r="V61" s="285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7"/>
      <c r="P62" s="283" t="s">
        <v>40</v>
      </c>
      <c r="Q62" s="284"/>
      <c r="R62" s="284"/>
      <c r="S62" s="284"/>
      <c r="T62" s="284"/>
      <c r="U62" s="284"/>
      <c r="V62" s="285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297" t="s">
        <v>107</v>
      </c>
      <c r="B63" s="297"/>
      <c r="C63" s="297"/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Y63" s="297"/>
      <c r="Z63" s="297"/>
      <c r="AA63" s="66"/>
      <c r="AB63" s="66"/>
      <c r="AC63" s="83"/>
    </row>
    <row r="64" spans="1:68" ht="27" customHeight="1" x14ac:dyDescent="0.25">
      <c r="A64" s="63" t="s">
        <v>144</v>
      </c>
      <c r="B64" s="63" t="s">
        <v>145</v>
      </c>
      <c r="C64" s="36">
        <v>4301132194</v>
      </c>
      <c r="D64" s="279">
        <v>4607111039712</v>
      </c>
      <c r="E64" s="279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88</v>
      </c>
      <c r="M64" s="38" t="s">
        <v>86</v>
      </c>
      <c r="N64" s="38"/>
      <c r="O64" s="37">
        <v>365</v>
      </c>
      <c r="P64" s="36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1"/>
      <c r="R64" s="281"/>
      <c r="S64" s="281"/>
      <c r="T64" s="282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146</v>
      </c>
      <c r="AG64" s="81"/>
      <c r="AJ64" s="87" t="s">
        <v>89</v>
      </c>
      <c r="AK64" s="87">
        <v>1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286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7"/>
      <c r="P65" s="283" t="s">
        <v>40</v>
      </c>
      <c r="Q65" s="284"/>
      <c r="R65" s="284"/>
      <c r="S65" s="284"/>
      <c r="T65" s="284"/>
      <c r="U65" s="284"/>
      <c r="V65" s="285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7"/>
      <c r="P66" s="283" t="s">
        <v>40</v>
      </c>
      <c r="Q66" s="284"/>
      <c r="R66" s="284"/>
      <c r="S66" s="284"/>
      <c r="T66" s="284"/>
      <c r="U66" s="284"/>
      <c r="V66" s="285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297" t="s">
        <v>147</v>
      </c>
      <c r="B67" s="297"/>
      <c r="C67" s="297"/>
      <c r="D67" s="297"/>
      <c r="E67" s="297"/>
      <c r="F67" s="297"/>
      <c r="G67" s="297"/>
      <c r="H67" s="297"/>
      <c r="I67" s="297"/>
      <c r="J67" s="297"/>
      <c r="K67" s="297"/>
      <c r="L67" s="297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297"/>
      <c r="X67" s="297"/>
      <c r="Y67" s="297"/>
      <c r="Z67" s="297"/>
      <c r="AA67" s="66"/>
      <c r="AB67" s="66"/>
      <c r="AC67" s="83"/>
    </row>
    <row r="68" spans="1:68" ht="16.5" customHeight="1" x14ac:dyDescent="0.25">
      <c r="A68" s="63" t="s">
        <v>148</v>
      </c>
      <c r="B68" s="63" t="s">
        <v>149</v>
      </c>
      <c r="C68" s="36">
        <v>4301136018</v>
      </c>
      <c r="D68" s="279">
        <v>4607111037008</v>
      </c>
      <c r="E68" s="279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1"/>
      <c r="R68" s="281"/>
      <c r="S68" s="281"/>
      <c r="T68" s="282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150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151</v>
      </c>
      <c r="B69" s="63" t="s">
        <v>152</v>
      </c>
      <c r="C69" s="36">
        <v>4301136015</v>
      </c>
      <c r="D69" s="279">
        <v>4607111037398</v>
      </c>
      <c r="E69" s="279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6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1"/>
      <c r="R69" s="281"/>
      <c r="S69" s="281"/>
      <c r="T69" s="282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150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286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7"/>
      <c r="P70" s="283" t="s">
        <v>40</v>
      </c>
      <c r="Q70" s="284"/>
      <c r="R70" s="284"/>
      <c r="S70" s="284"/>
      <c r="T70" s="284"/>
      <c r="U70" s="284"/>
      <c r="V70" s="285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7"/>
      <c r="P71" s="283" t="s">
        <v>40</v>
      </c>
      <c r="Q71" s="284"/>
      <c r="R71" s="284"/>
      <c r="S71" s="284"/>
      <c r="T71" s="284"/>
      <c r="U71" s="284"/>
      <c r="V71" s="285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297" t="s">
        <v>153</v>
      </c>
      <c r="B72" s="297"/>
      <c r="C72" s="297"/>
      <c r="D72" s="297"/>
      <c r="E72" s="297"/>
      <c r="F72" s="297"/>
      <c r="G72" s="297"/>
      <c r="H72" s="297"/>
      <c r="I72" s="297"/>
      <c r="J72" s="297"/>
      <c r="K72" s="297"/>
      <c r="L72" s="297"/>
      <c r="M72" s="297"/>
      <c r="N72" s="297"/>
      <c r="O72" s="297"/>
      <c r="P72" s="297"/>
      <c r="Q72" s="297"/>
      <c r="R72" s="297"/>
      <c r="S72" s="297"/>
      <c r="T72" s="297"/>
      <c r="U72" s="297"/>
      <c r="V72" s="297"/>
      <c r="W72" s="297"/>
      <c r="X72" s="297"/>
      <c r="Y72" s="297"/>
      <c r="Z72" s="297"/>
      <c r="AA72" s="66"/>
      <c r="AB72" s="66"/>
      <c r="AC72" s="83"/>
    </row>
    <row r="73" spans="1:68" ht="27" customHeight="1" x14ac:dyDescent="0.25">
      <c r="A73" s="63" t="s">
        <v>154</v>
      </c>
      <c r="B73" s="63" t="s">
        <v>155</v>
      </c>
      <c r="C73" s="36">
        <v>4301135664</v>
      </c>
      <c r="D73" s="279">
        <v>4607111039705</v>
      </c>
      <c r="E73" s="279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88</v>
      </c>
      <c r="M73" s="38" t="s">
        <v>86</v>
      </c>
      <c r="N73" s="38"/>
      <c r="O73" s="37">
        <v>365</v>
      </c>
      <c r="P73" s="36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1"/>
      <c r="R73" s="281"/>
      <c r="S73" s="281"/>
      <c r="T73" s="282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150</v>
      </c>
      <c r="AG73" s="81"/>
      <c r="AJ73" s="87" t="s">
        <v>89</v>
      </c>
      <c r="AK73" s="87">
        <v>1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156</v>
      </c>
      <c r="B74" s="63" t="s">
        <v>157</v>
      </c>
      <c r="C74" s="36">
        <v>4301135665</v>
      </c>
      <c r="D74" s="279">
        <v>4607111039729</v>
      </c>
      <c r="E74" s="279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88</v>
      </c>
      <c r="M74" s="38" t="s">
        <v>86</v>
      </c>
      <c r="N74" s="38"/>
      <c r="O74" s="37">
        <v>365</v>
      </c>
      <c r="P74" s="36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1"/>
      <c r="R74" s="281"/>
      <c r="S74" s="281"/>
      <c r="T74" s="282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158</v>
      </c>
      <c r="AG74" s="81"/>
      <c r="AJ74" s="87" t="s">
        <v>89</v>
      </c>
      <c r="AK74" s="87">
        <v>1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159</v>
      </c>
      <c r="B75" s="63" t="s">
        <v>160</v>
      </c>
      <c r="C75" s="36">
        <v>4301135702</v>
      </c>
      <c r="D75" s="279">
        <v>4620207490228</v>
      </c>
      <c r="E75" s="279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88</v>
      </c>
      <c r="M75" s="38" t="s">
        <v>86</v>
      </c>
      <c r="N75" s="38"/>
      <c r="O75" s="37">
        <v>365</v>
      </c>
      <c r="P75" s="36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1"/>
      <c r="R75" s="281"/>
      <c r="S75" s="281"/>
      <c r="T75" s="282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158</v>
      </c>
      <c r="AG75" s="81"/>
      <c r="AJ75" s="87" t="s">
        <v>89</v>
      </c>
      <c r="AK75" s="87">
        <v>1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286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7"/>
      <c r="P76" s="283" t="s">
        <v>40</v>
      </c>
      <c r="Q76" s="284"/>
      <c r="R76" s="284"/>
      <c r="S76" s="284"/>
      <c r="T76" s="284"/>
      <c r="U76" s="284"/>
      <c r="V76" s="285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7"/>
      <c r="P77" s="283" t="s">
        <v>40</v>
      </c>
      <c r="Q77" s="284"/>
      <c r="R77" s="284"/>
      <c r="S77" s="284"/>
      <c r="T77" s="284"/>
      <c r="U77" s="284"/>
      <c r="V77" s="285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07" t="s">
        <v>161</v>
      </c>
      <c r="B78" s="307"/>
      <c r="C78" s="307"/>
      <c r="D78" s="307"/>
      <c r="E78" s="307"/>
      <c r="F78" s="307"/>
      <c r="G78" s="307"/>
      <c r="H78" s="307"/>
      <c r="I78" s="307"/>
      <c r="J78" s="307"/>
      <c r="K78" s="307"/>
      <c r="L78" s="307"/>
      <c r="M78" s="307"/>
      <c r="N78" s="307"/>
      <c r="O78" s="307"/>
      <c r="P78" s="307"/>
      <c r="Q78" s="307"/>
      <c r="R78" s="307"/>
      <c r="S78" s="307"/>
      <c r="T78" s="307"/>
      <c r="U78" s="307"/>
      <c r="V78" s="307"/>
      <c r="W78" s="307"/>
      <c r="X78" s="307"/>
      <c r="Y78" s="307"/>
      <c r="Z78" s="307"/>
      <c r="AA78" s="65"/>
      <c r="AB78" s="65"/>
      <c r="AC78" s="82"/>
    </row>
    <row r="79" spans="1:68" ht="14.25" customHeight="1" x14ac:dyDescent="0.25">
      <c r="A79" s="297" t="s">
        <v>82</v>
      </c>
      <c r="B79" s="297"/>
      <c r="C79" s="297"/>
      <c r="D79" s="297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297"/>
      <c r="X79" s="297"/>
      <c r="Y79" s="297"/>
      <c r="Z79" s="297"/>
      <c r="AA79" s="66"/>
      <c r="AB79" s="66"/>
      <c r="AC79" s="83"/>
    </row>
    <row r="80" spans="1:68" ht="27" customHeight="1" x14ac:dyDescent="0.25">
      <c r="A80" s="63" t="s">
        <v>162</v>
      </c>
      <c r="B80" s="63" t="s">
        <v>163</v>
      </c>
      <c r="C80" s="36">
        <v>4301070977</v>
      </c>
      <c r="D80" s="279">
        <v>4607111037411</v>
      </c>
      <c r="E80" s="279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165</v>
      </c>
      <c r="L80" s="37" t="s">
        <v>113</v>
      </c>
      <c r="M80" s="38" t="s">
        <v>86</v>
      </c>
      <c r="N80" s="38"/>
      <c r="O80" s="37">
        <v>180</v>
      </c>
      <c r="P80" s="36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1"/>
      <c r="R80" s="281"/>
      <c r="S80" s="281"/>
      <c r="T80" s="282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164</v>
      </c>
      <c r="AG80" s="81"/>
      <c r="AJ80" s="87" t="s">
        <v>114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166</v>
      </c>
      <c r="B81" s="63" t="s">
        <v>167</v>
      </c>
      <c r="C81" s="36">
        <v>4301070981</v>
      </c>
      <c r="D81" s="279">
        <v>4607111036728</v>
      </c>
      <c r="E81" s="279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117</v>
      </c>
      <c r="M81" s="38" t="s">
        <v>86</v>
      </c>
      <c r="N81" s="38"/>
      <c r="O81" s="37">
        <v>180</v>
      </c>
      <c r="P81" s="36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1"/>
      <c r="R81" s="281"/>
      <c r="S81" s="281"/>
      <c r="T81" s="282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164</v>
      </c>
      <c r="AG81" s="81"/>
      <c r="AJ81" s="87" t="s">
        <v>118</v>
      </c>
      <c r="AK81" s="87">
        <v>144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286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7"/>
      <c r="P82" s="283" t="s">
        <v>40</v>
      </c>
      <c r="Q82" s="284"/>
      <c r="R82" s="284"/>
      <c r="S82" s="284"/>
      <c r="T82" s="284"/>
      <c r="U82" s="284"/>
      <c r="V82" s="285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286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7"/>
      <c r="P83" s="283" t="s">
        <v>40</v>
      </c>
      <c r="Q83" s="284"/>
      <c r="R83" s="284"/>
      <c r="S83" s="284"/>
      <c r="T83" s="284"/>
      <c r="U83" s="284"/>
      <c r="V83" s="285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07" t="s">
        <v>168</v>
      </c>
      <c r="B84" s="307"/>
      <c r="C84" s="307"/>
      <c r="D84" s="307"/>
      <c r="E84" s="307"/>
      <c r="F84" s="307"/>
      <c r="G84" s="307"/>
      <c r="H84" s="307"/>
      <c r="I84" s="307"/>
      <c r="J84" s="307"/>
      <c r="K84" s="307"/>
      <c r="L84" s="307"/>
      <c r="M84" s="307"/>
      <c r="N84" s="307"/>
      <c r="O84" s="307"/>
      <c r="P84" s="307"/>
      <c r="Q84" s="307"/>
      <c r="R84" s="307"/>
      <c r="S84" s="307"/>
      <c r="T84" s="307"/>
      <c r="U84" s="307"/>
      <c r="V84" s="307"/>
      <c r="W84" s="307"/>
      <c r="X84" s="307"/>
      <c r="Y84" s="307"/>
      <c r="Z84" s="307"/>
      <c r="AA84" s="65"/>
      <c r="AB84" s="65"/>
      <c r="AC84" s="82"/>
    </row>
    <row r="85" spans="1:68" ht="14.25" customHeight="1" x14ac:dyDescent="0.25">
      <c r="A85" s="297" t="s">
        <v>153</v>
      </c>
      <c r="B85" s="297"/>
      <c r="C85" s="297"/>
      <c r="D85" s="297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297"/>
      <c r="P85" s="297"/>
      <c r="Q85" s="297"/>
      <c r="R85" s="297"/>
      <c r="S85" s="297"/>
      <c r="T85" s="297"/>
      <c r="U85" s="297"/>
      <c r="V85" s="297"/>
      <c r="W85" s="297"/>
      <c r="X85" s="297"/>
      <c r="Y85" s="297"/>
      <c r="Z85" s="297"/>
      <c r="AA85" s="66"/>
      <c r="AB85" s="66"/>
      <c r="AC85" s="83"/>
    </row>
    <row r="86" spans="1:68" ht="27" customHeight="1" x14ac:dyDescent="0.25">
      <c r="A86" s="63" t="s">
        <v>169</v>
      </c>
      <c r="B86" s="63" t="s">
        <v>170</v>
      </c>
      <c r="C86" s="36">
        <v>4301135574</v>
      </c>
      <c r="D86" s="279">
        <v>4607111033659</v>
      </c>
      <c r="E86" s="279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113</v>
      </c>
      <c r="M86" s="38" t="s">
        <v>86</v>
      </c>
      <c r="N86" s="38"/>
      <c r="O86" s="37">
        <v>180</v>
      </c>
      <c r="P86" s="36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1"/>
      <c r="R86" s="281"/>
      <c r="S86" s="281"/>
      <c r="T86" s="282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171</v>
      </c>
      <c r="AG86" s="81"/>
      <c r="AJ86" s="87" t="s">
        <v>114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286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7"/>
      <c r="P87" s="283" t="s">
        <v>40</v>
      </c>
      <c r="Q87" s="284"/>
      <c r="R87" s="284"/>
      <c r="S87" s="284"/>
      <c r="T87" s="284"/>
      <c r="U87" s="284"/>
      <c r="V87" s="285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286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7"/>
      <c r="P88" s="283" t="s">
        <v>40</v>
      </c>
      <c r="Q88" s="284"/>
      <c r="R88" s="284"/>
      <c r="S88" s="284"/>
      <c r="T88" s="284"/>
      <c r="U88" s="284"/>
      <c r="V88" s="285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07" t="s">
        <v>172</v>
      </c>
      <c r="B89" s="307"/>
      <c r="C89" s="307"/>
      <c r="D89" s="307"/>
      <c r="E89" s="307"/>
      <c r="F89" s="307"/>
      <c r="G89" s="307"/>
      <c r="H89" s="307"/>
      <c r="I89" s="307"/>
      <c r="J89" s="307"/>
      <c r="K89" s="307"/>
      <c r="L89" s="307"/>
      <c r="M89" s="307"/>
      <c r="N89" s="307"/>
      <c r="O89" s="307"/>
      <c r="P89" s="307"/>
      <c r="Q89" s="307"/>
      <c r="R89" s="307"/>
      <c r="S89" s="307"/>
      <c r="T89" s="307"/>
      <c r="U89" s="307"/>
      <c r="V89" s="307"/>
      <c r="W89" s="307"/>
      <c r="X89" s="307"/>
      <c r="Y89" s="307"/>
      <c r="Z89" s="307"/>
      <c r="AA89" s="65"/>
      <c r="AB89" s="65"/>
      <c r="AC89" s="82"/>
    </row>
    <row r="90" spans="1:68" ht="14.25" customHeight="1" x14ac:dyDescent="0.25">
      <c r="A90" s="297" t="s">
        <v>173</v>
      </c>
      <c r="B90" s="297"/>
      <c r="C90" s="297"/>
      <c r="D90" s="297"/>
      <c r="E90" s="297"/>
      <c r="F90" s="297"/>
      <c r="G90" s="297"/>
      <c r="H90" s="297"/>
      <c r="I90" s="297"/>
      <c r="J90" s="297"/>
      <c r="K90" s="297"/>
      <c r="L90" s="297"/>
      <c r="M90" s="297"/>
      <c r="N90" s="297"/>
      <c r="O90" s="297"/>
      <c r="P90" s="297"/>
      <c r="Q90" s="297"/>
      <c r="R90" s="297"/>
      <c r="S90" s="297"/>
      <c r="T90" s="297"/>
      <c r="U90" s="297"/>
      <c r="V90" s="297"/>
      <c r="W90" s="297"/>
      <c r="X90" s="297"/>
      <c r="Y90" s="297"/>
      <c r="Z90" s="297"/>
      <c r="AA90" s="66"/>
      <c r="AB90" s="66"/>
      <c r="AC90" s="83"/>
    </row>
    <row r="91" spans="1:68" ht="27" customHeight="1" x14ac:dyDescent="0.25">
      <c r="A91" s="63" t="s">
        <v>174</v>
      </c>
      <c r="B91" s="63" t="s">
        <v>175</v>
      </c>
      <c r="C91" s="36">
        <v>4301131047</v>
      </c>
      <c r="D91" s="279">
        <v>4607111034120</v>
      </c>
      <c r="E91" s="279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113</v>
      </c>
      <c r="M91" s="38" t="s">
        <v>86</v>
      </c>
      <c r="N91" s="38"/>
      <c r="O91" s="37">
        <v>180</v>
      </c>
      <c r="P91" s="35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1"/>
      <c r="R91" s="281"/>
      <c r="S91" s="281"/>
      <c r="T91" s="282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176</v>
      </c>
      <c r="AG91" s="81"/>
      <c r="AJ91" s="87" t="s">
        <v>114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177</v>
      </c>
      <c r="B92" s="63" t="s">
        <v>178</v>
      </c>
      <c r="C92" s="36">
        <v>4301131046</v>
      </c>
      <c r="D92" s="279">
        <v>4607111034137</v>
      </c>
      <c r="E92" s="279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117</v>
      </c>
      <c r="M92" s="38" t="s">
        <v>86</v>
      </c>
      <c r="N92" s="38"/>
      <c r="O92" s="37">
        <v>180</v>
      </c>
      <c r="P92" s="35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1"/>
      <c r="R92" s="281"/>
      <c r="S92" s="281"/>
      <c r="T92" s="282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179</v>
      </c>
      <c r="AG92" s="81"/>
      <c r="AJ92" s="87" t="s">
        <v>118</v>
      </c>
      <c r="AK92" s="87">
        <v>70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286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7"/>
      <c r="P93" s="283" t="s">
        <v>40</v>
      </c>
      <c r="Q93" s="284"/>
      <c r="R93" s="284"/>
      <c r="S93" s="284"/>
      <c r="T93" s="284"/>
      <c r="U93" s="284"/>
      <c r="V93" s="285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28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7"/>
      <c r="P94" s="283" t="s">
        <v>40</v>
      </c>
      <c r="Q94" s="284"/>
      <c r="R94" s="284"/>
      <c r="S94" s="284"/>
      <c r="T94" s="284"/>
      <c r="U94" s="284"/>
      <c r="V94" s="285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07" t="s">
        <v>180</v>
      </c>
      <c r="B95" s="307"/>
      <c r="C95" s="307"/>
      <c r="D95" s="307"/>
      <c r="E95" s="307"/>
      <c r="F95" s="307"/>
      <c r="G95" s="307"/>
      <c r="H95" s="307"/>
      <c r="I95" s="307"/>
      <c r="J95" s="307"/>
      <c r="K95" s="307"/>
      <c r="L95" s="307"/>
      <c r="M95" s="307"/>
      <c r="N95" s="307"/>
      <c r="O95" s="307"/>
      <c r="P95" s="307"/>
      <c r="Q95" s="307"/>
      <c r="R95" s="307"/>
      <c r="S95" s="307"/>
      <c r="T95" s="307"/>
      <c r="U95" s="307"/>
      <c r="V95" s="307"/>
      <c r="W95" s="307"/>
      <c r="X95" s="307"/>
      <c r="Y95" s="307"/>
      <c r="Z95" s="307"/>
      <c r="AA95" s="65"/>
      <c r="AB95" s="65"/>
      <c r="AC95" s="82"/>
    </row>
    <row r="96" spans="1:68" ht="14.25" customHeight="1" x14ac:dyDescent="0.25">
      <c r="A96" s="297" t="s">
        <v>153</v>
      </c>
      <c r="B96" s="297"/>
      <c r="C96" s="297"/>
      <c r="D96" s="297"/>
      <c r="E96" s="297"/>
      <c r="F96" s="297"/>
      <c r="G96" s="297"/>
      <c r="H96" s="297"/>
      <c r="I96" s="297"/>
      <c r="J96" s="297"/>
      <c r="K96" s="297"/>
      <c r="L96" s="297"/>
      <c r="M96" s="297"/>
      <c r="N96" s="297"/>
      <c r="O96" s="297"/>
      <c r="P96" s="297"/>
      <c r="Q96" s="297"/>
      <c r="R96" s="297"/>
      <c r="S96" s="297"/>
      <c r="T96" s="297"/>
      <c r="U96" s="297"/>
      <c r="V96" s="297"/>
      <c r="W96" s="297"/>
      <c r="X96" s="297"/>
      <c r="Y96" s="297"/>
      <c r="Z96" s="297"/>
      <c r="AA96" s="66"/>
      <c r="AB96" s="66"/>
      <c r="AC96" s="83"/>
    </row>
    <row r="97" spans="1:68" ht="27" customHeight="1" x14ac:dyDescent="0.25">
      <c r="A97" s="63" t="s">
        <v>181</v>
      </c>
      <c r="B97" s="63" t="s">
        <v>182</v>
      </c>
      <c r="C97" s="36">
        <v>4301135763</v>
      </c>
      <c r="D97" s="279">
        <v>4620207491027</v>
      </c>
      <c r="E97" s="279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88</v>
      </c>
      <c r="M97" s="38" t="s">
        <v>86</v>
      </c>
      <c r="N97" s="38"/>
      <c r="O97" s="37">
        <v>180</v>
      </c>
      <c r="P97" s="35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1"/>
      <c r="R97" s="281"/>
      <c r="S97" s="281"/>
      <c r="T97" s="282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171</v>
      </c>
      <c r="AG97" s="81"/>
      <c r="AJ97" s="87" t="s">
        <v>89</v>
      </c>
      <c r="AK97" s="87">
        <v>1</v>
      </c>
      <c r="BB97" s="148" t="s">
        <v>111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183</v>
      </c>
      <c r="B98" s="63" t="s">
        <v>184</v>
      </c>
      <c r="C98" s="36">
        <v>4301135793</v>
      </c>
      <c r="D98" s="279">
        <v>4620207491003</v>
      </c>
      <c r="E98" s="279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113</v>
      </c>
      <c r="M98" s="38" t="s">
        <v>86</v>
      </c>
      <c r="N98" s="38"/>
      <c r="O98" s="37">
        <v>180</v>
      </c>
      <c r="P98" s="35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1"/>
      <c r="R98" s="281"/>
      <c r="S98" s="281"/>
      <c r="T98" s="282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171</v>
      </c>
      <c r="AG98" s="81"/>
      <c r="AJ98" s="87" t="s">
        <v>114</v>
      </c>
      <c r="AK98" s="87">
        <v>14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185</v>
      </c>
      <c r="B99" s="63" t="s">
        <v>186</v>
      </c>
      <c r="C99" s="36">
        <v>4301135768</v>
      </c>
      <c r="D99" s="279">
        <v>4620207491034</v>
      </c>
      <c r="E99" s="279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88</v>
      </c>
      <c r="M99" s="38" t="s">
        <v>86</v>
      </c>
      <c r="N99" s="38"/>
      <c r="O99" s="37">
        <v>180</v>
      </c>
      <c r="P99" s="35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1"/>
      <c r="R99" s="281"/>
      <c r="S99" s="281"/>
      <c r="T99" s="282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187</v>
      </c>
      <c r="AG99" s="81"/>
      <c r="AJ99" s="87" t="s">
        <v>89</v>
      </c>
      <c r="AK99" s="87">
        <v>1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188</v>
      </c>
      <c r="B100" s="63" t="s">
        <v>189</v>
      </c>
      <c r="C100" s="36">
        <v>4301135760</v>
      </c>
      <c r="D100" s="279">
        <v>4620207491010</v>
      </c>
      <c r="E100" s="279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117</v>
      </c>
      <c r="M100" s="38" t="s">
        <v>86</v>
      </c>
      <c r="N100" s="38"/>
      <c r="O100" s="37">
        <v>180</v>
      </c>
      <c r="P100" s="35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1"/>
      <c r="R100" s="281"/>
      <c r="S100" s="281"/>
      <c r="T100" s="282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171</v>
      </c>
      <c r="AG100" s="81"/>
      <c r="AJ100" s="87" t="s">
        <v>118</v>
      </c>
      <c r="AK100" s="87">
        <v>70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190</v>
      </c>
      <c r="B101" s="63" t="s">
        <v>191</v>
      </c>
      <c r="C101" s="36">
        <v>4301135571</v>
      </c>
      <c r="D101" s="279">
        <v>4607111035028</v>
      </c>
      <c r="E101" s="279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113</v>
      </c>
      <c r="M101" s="38" t="s">
        <v>86</v>
      </c>
      <c r="N101" s="38"/>
      <c r="O101" s="37">
        <v>180</v>
      </c>
      <c r="P101" s="35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1"/>
      <c r="R101" s="281"/>
      <c r="S101" s="281"/>
      <c r="T101" s="282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171</v>
      </c>
      <c r="AG101" s="81"/>
      <c r="AJ101" s="87" t="s">
        <v>114</v>
      </c>
      <c r="AK101" s="87">
        <v>14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192</v>
      </c>
      <c r="B102" s="63" t="s">
        <v>193</v>
      </c>
      <c r="C102" s="36">
        <v>4301135285</v>
      </c>
      <c r="D102" s="279">
        <v>4607111036407</v>
      </c>
      <c r="E102" s="279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113</v>
      </c>
      <c r="M102" s="38" t="s">
        <v>86</v>
      </c>
      <c r="N102" s="38"/>
      <c r="O102" s="37">
        <v>180</v>
      </c>
      <c r="P102" s="35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1"/>
      <c r="R102" s="281"/>
      <c r="S102" s="281"/>
      <c r="T102" s="282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194</v>
      </c>
      <c r="AG102" s="81"/>
      <c r="AJ102" s="87" t="s">
        <v>114</v>
      </c>
      <c r="AK102" s="87">
        <v>14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286"/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7"/>
      <c r="P103" s="283" t="s">
        <v>40</v>
      </c>
      <c r="Q103" s="284"/>
      <c r="R103" s="284"/>
      <c r="S103" s="284"/>
      <c r="T103" s="284"/>
      <c r="U103" s="284"/>
      <c r="V103" s="285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286"/>
      <c r="B104" s="286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7"/>
      <c r="P104" s="283" t="s">
        <v>40</v>
      </c>
      <c r="Q104" s="284"/>
      <c r="R104" s="284"/>
      <c r="S104" s="284"/>
      <c r="T104" s="284"/>
      <c r="U104" s="284"/>
      <c r="V104" s="285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07" t="s">
        <v>195</v>
      </c>
      <c r="B105" s="307"/>
      <c r="C105" s="307"/>
      <c r="D105" s="307"/>
      <c r="E105" s="307"/>
      <c r="F105" s="307"/>
      <c r="G105" s="307"/>
      <c r="H105" s="307"/>
      <c r="I105" s="307"/>
      <c r="J105" s="307"/>
      <c r="K105" s="307"/>
      <c r="L105" s="307"/>
      <c r="M105" s="307"/>
      <c r="N105" s="307"/>
      <c r="O105" s="307"/>
      <c r="P105" s="307"/>
      <c r="Q105" s="307"/>
      <c r="R105" s="307"/>
      <c r="S105" s="307"/>
      <c r="T105" s="307"/>
      <c r="U105" s="307"/>
      <c r="V105" s="307"/>
      <c r="W105" s="307"/>
      <c r="X105" s="307"/>
      <c r="Y105" s="307"/>
      <c r="Z105" s="307"/>
      <c r="AA105" s="65"/>
      <c r="AB105" s="65"/>
      <c r="AC105" s="82"/>
    </row>
    <row r="106" spans="1:68" ht="14.25" customHeight="1" x14ac:dyDescent="0.25">
      <c r="A106" s="297" t="s">
        <v>147</v>
      </c>
      <c r="B106" s="297"/>
      <c r="C106" s="297"/>
      <c r="D106" s="297"/>
      <c r="E106" s="297"/>
      <c r="F106" s="297"/>
      <c r="G106" s="297"/>
      <c r="H106" s="297"/>
      <c r="I106" s="297"/>
      <c r="J106" s="297"/>
      <c r="K106" s="297"/>
      <c r="L106" s="297"/>
      <c r="M106" s="297"/>
      <c r="N106" s="297"/>
      <c r="O106" s="297"/>
      <c r="P106" s="297"/>
      <c r="Q106" s="297"/>
      <c r="R106" s="297"/>
      <c r="S106" s="297"/>
      <c r="T106" s="297"/>
      <c r="U106" s="297"/>
      <c r="V106" s="297"/>
      <c r="W106" s="297"/>
      <c r="X106" s="297"/>
      <c r="Y106" s="297"/>
      <c r="Z106" s="297"/>
      <c r="AA106" s="66"/>
      <c r="AB106" s="66"/>
      <c r="AC106" s="83"/>
    </row>
    <row r="107" spans="1:68" ht="27" customHeight="1" x14ac:dyDescent="0.25">
      <c r="A107" s="63" t="s">
        <v>196</v>
      </c>
      <c r="B107" s="63" t="s">
        <v>197</v>
      </c>
      <c r="C107" s="36">
        <v>4301136070</v>
      </c>
      <c r="D107" s="279">
        <v>4607025784012</v>
      </c>
      <c r="E107" s="279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112</v>
      </c>
      <c r="L107" s="37" t="s">
        <v>113</v>
      </c>
      <c r="M107" s="38" t="s">
        <v>86</v>
      </c>
      <c r="N107" s="38"/>
      <c r="O107" s="37">
        <v>180</v>
      </c>
      <c r="P107" s="35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1"/>
      <c r="R107" s="281"/>
      <c r="S107" s="281"/>
      <c r="T107" s="282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198</v>
      </c>
      <c r="AG107" s="81"/>
      <c r="AJ107" s="87" t="s">
        <v>114</v>
      </c>
      <c r="AK107" s="87">
        <v>14</v>
      </c>
      <c r="BB107" s="160" t="s">
        <v>111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199</v>
      </c>
      <c r="B108" s="63" t="s">
        <v>200</v>
      </c>
      <c r="C108" s="36">
        <v>4301136079</v>
      </c>
      <c r="D108" s="279">
        <v>4607025784319</v>
      </c>
      <c r="E108" s="279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112</v>
      </c>
      <c r="L108" s="37" t="s">
        <v>113</v>
      </c>
      <c r="M108" s="38" t="s">
        <v>86</v>
      </c>
      <c r="N108" s="38"/>
      <c r="O108" s="37">
        <v>180</v>
      </c>
      <c r="P108" s="35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1"/>
      <c r="R108" s="281"/>
      <c r="S108" s="281"/>
      <c r="T108" s="282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171</v>
      </c>
      <c r="AG108" s="81"/>
      <c r="AJ108" s="87" t="s">
        <v>114</v>
      </c>
      <c r="AK108" s="87">
        <v>14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286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7"/>
      <c r="P109" s="283" t="s">
        <v>40</v>
      </c>
      <c r="Q109" s="284"/>
      <c r="R109" s="284"/>
      <c r="S109" s="284"/>
      <c r="T109" s="284"/>
      <c r="U109" s="284"/>
      <c r="V109" s="285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286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7"/>
      <c r="P110" s="283" t="s">
        <v>40</v>
      </c>
      <c r="Q110" s="284"/>
      <c r="R110" s="284"/>
      <c r="S110" s="284"/>
      <c r="T110" s="284"/>
      <c r="U110" s="284"/>
      <c r="V110" s="285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07" t="s">
        <v>201</v>
      </c>
      <c r="B111" s="307"/>
      <c r="C111" s="307"/>
      <c r="D111" s="307"/>
      <c r="E111" s="307"/>
      <c r="F111" s="307"/>
      <c r="G111" s="307"/>
      <c r="H111" s="307"/>
      <c r="I111" s="307"/>
      <c r="J111" s="307"/>
      <c r="K111" s="307"/>
      <c r="L111" s="307"/>
      <c r="M111" s="307"/>
      <c r="N111" s="307"/>
      <c r="O111" s="307"/>
      <c r="P111" s="307"/>
      <c r="Q111" s="307"/>
      <c r="R111" s="307"/>
      <c r="S111" s="307"/>
      <c r="T111" s="307"/>
      <c r="U111" s="307"/>
      <c r="V111" s="307"/>
      <c r="W111" s="307"/>
      <c r="X111" s="307"/>
      <c r="Y111" s="307"/>
      <c r="Z111" s="307"/>
      <c r="AA111" s="65"/>
      <c r="AB111" s="65"/>
      <c r="AC111" s="82"/>
    </row>
    <row r="112" spans="1:68" ht="14.25" customHeight="1" x14ac:dyDescent="0.25">
      <c r="A112" s="297" t="s">
        <v>82</v>
      </c>
      <c r="B112" s="297"/>
      <c r="C112" s="297"/>
      <c r="D112" s="297"/>
      <c r="E112" s="297"/>
      <c r="F112" s="297"/>
      <c r="G112" s="297"/>
      <c r="H112" s="297"/>
      <c r="I112" s="297"/>
      <c r="J112" s="297"/>
      <c r="K112" s="297"/>
      <c r="L112" s="297"/>
      <c r="M112" s="297"/>
      <c r="N112" s="297"/>
      <c r="O112" s="297"/>
      <c r="P112" s="297"/>
      <c r="Q112" s="297"/>
      <c r="R112" s="297"/>
      <c r="S112" s="297"/>
      <c r="T112" s="297"/>
      <c r="U112" s="297"/>
      <c r="V112" s="297"/>
      <c r="W112" s="297"/>
      <c r="X112" s="297"/>
      <c r="Y112" s="297"/>
      <c r="Z112" s="297"/>
      <c r="AA112" s="66"/>
      <c r="AB112" s="66"/>
      <c r="AC112" s="83"/>
    </row>
    <row r="113" spans="1:68" ht="27" customHeight="1" x14ac:dyDescent="0.25">
      <c r="A113" s="63" t="s">
        <v>202</v>
      </c>
      <c r="B113" s="63" t="s">
        <v>203</v>
      </c>
      <c r="C113" s="36">
        <v>4301071074</v>
      </c>
      <c r="D113" s="279">
        <v>4620207491157</v>
      </c>
      <c r="E113" s="279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87</v>
      </c>
      <c r="L113" s="37" t="s">
        <v>113</v>
      </c>
      <c r="M113" s="38" t="s">
        <v>86</v>
      </c>
      <c r="N113" s="38"/>
      <c r="O113" s="37">
        <v>180</v>
      </c>
      <c r="P113" s="34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1"/>
      <c r="R113" s="281"/>
      <c r="S113" s="281"/>
      <c r="T113" s="282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20" si="12">IFERROR(IF(X113="","",X113),"")</f>
        <v>0</v>
      </c>
      <c r="Z113" s="41">
        <f t="shared" ref="Z113:Z120" si="13">IFERROR(IF(X113="","",X113*0.0155),"")</f>
        <v>0</v>
      </c>
      <c r="AA113" s="68" t="s">
        <v>46</v>
      </c>
      <c r="AB113" s="69" t="s">
        <v>46</v>
      </c>
      <c r="AC113" s="163" t="s">
        <v>204</v>
      </c>
      <c r="AG113" s="81"/>
      <c r="AJ113" s="87" t="s">
        <v>114</v>
      </c>
      <c r="AK113" s="87">
        <v>12</v>
      </c>
      <c r="BB113" s="164" t="s">
        <v>70</v>
      </c>
      <c r="BM113" s="81">
        <f t="shared" ref="BM113:BM120" si="14">IFERROR(X113*I113,"0")</f>
        <v>0</v>
      </c>
      <c r="BN113" s="81">
        <f t="shared" ref="BN113:BN120" si="15">IFERROR(Y113*I113,"0")</f>
        <v>0</v>
      </c>
      <c r="BO113" s="81">
        <f t="shared" ref="BO113:BO120" si="16">IFERROR(X113/J113,"0")</f>
        <v>0</v>
      </c>
      <c r="BP113" s="81">
        <f t="shared" ref="BP113:BP120" si="17">IFERROR(Y113/J113,"0")</f>
        <v>0</v>
      </c>
    </row>
    <row r="114" spans="1:68" ht="27" customHeight="1" x14ac:dyDescent="0.25">
      <c r="A114" s="63" t="s">
        <v>205</v>
      </c>
      <c r="B114" s="63" t="s">
        <v>206</v>
      </c>
      <c r="C114" s="36">
        <v>4301071121</v>
      </c>
      <c r="D114" s="279">
        <v>4620207491393</v>
      </c>
      <c r="E114" s="279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4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1"/>
      <c r="R114" s="281"/>
      <c r="S114" s="281"/>
      <c r="T114" s="282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207</v>
      </c>
      <c r="AG114" s="81"/>
      <c r="AJ114" s="87" t="s">
        <v>89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208</v>
      </c>
      <c r="B115" s="63" t="s">
        <v>209</v>
      </c>
      <c r="C115" s="36">
        <v>4301071051</v>
      </c>
      <c r="D115" s="279">
        <v>4607111039262</v>
      </c>
      <c r="E115" s="279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113</v>
      </c>
      <c r="M115" s="38" t="s">
        <v>86</v>
      </c>
      <c r="N115" s="38"/>
      <c r="O115" s="37">
        <v>180</v>
      </c>
      <c r="P115" s="34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1"/>
      <c r="R115" s="281"/>
      <c r="S115" s="281"/>
      <c r="T115" s="282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164</v>
      </c>
      <c r="AG115" s="81"/>
      <c r="AJ115" s="87" t="s">
        <v>114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4301071038</v>
      </c>
      <c r="D116" s="279">
        <v>4607111039248</v>
      </c>
      <c r="E116" s="279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117</v>
      </c>
      <c r="M116" s="38" t="s">
        <v>86</v>
      </c>
      <c r="N116" s="38"/>
      <c r="O116" s="37">
        <v>180</v>
      </c>
      <c r="P116" s="34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1"/>
      <c r="R116" s="281"/>
      <c r="S116" s="281"/>
      <c r="T116" s="282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164</v>
      </c>
      <c r="AG116" s="81"/>
      <c r="AJ116" s="87" t="s">
        <v>118</v>
      </c>
      <c r="AK116" s="87">
        <v>84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4301070979</v>
      </c>
      <c r="D117" s="279">
        <v>4607111037145</v>
      </c>
      <c r="E117" s="279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4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1"/>
      <c r="R117" s="281"/>
      <c r="S117" s="281"/>
      <c r="T117" s="282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214</v>
      </c>
      <c r="AG117" s="81"/>
      <c r="AJ117" s="87" t="s">
        <v>89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4301071049</v>
      </c>
      <c r="D118" s="279">
        <v>4607111039293</v>
      </c>
      <c r="E118" s="279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87</v>
      </c>
      <c r="L118" s="37" t="s">
        <v>113</v>
      </c>
      <c r="M118" s="38" t="s">
        <v>86</v>
      </c>
      <c r="N118" s="38"/>
      <c r="O118" s="37">
        <v>180</v>
      </c>
      <c r="P118" s="34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1"/>
      <c r="R118" s="281"/>
      <c r="S118" s="281"/>
      <c r="T118" s="282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164</v>
      </c>
      <c r="AG118" s="81"/>
      <c r="AJ118" s="87" t="s">
        <v>114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217</v>
      </c>
      <c r="B119" s="63" t="s">
        <v>218</v>
      </c>
      <c r="C119" s="36">
        <v>4301071039</v>
      </c>
      <c r="D119" s="279">
        <v>4607111039279</v>
      </c>
      <c r="E119" s="279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34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1"/>
      <c r="R119" s="281"/>
      <c r="S119" s="281"/>
      <c r="T119" s="282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164</v>
      </c>
      <c r="AG119" s="81"/>
      <c r="AJ119" s="87" t="s">
        <v>114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4301071075</v>
      </c>
      <c r="D120" s="279">
        <v>4620207491102</v>
      </c>
      <c r="E120" s="279"/>
      <c r="F120" s="62">
        <v>0.7</v>
      </c>
      <c r="G120" s="37">
        <v>10</v>
      </c>
      <c r="H120" s="62">
        <v>7</v>
      </c>
      <c r="I120" s="62">
        <v>7.23</v>
      </c>
      <c r="J120" s="37">
        <v>84</v>
      </c>
      <c r="K120" s="37" t="s">
        <v>87</v>
      </c>
      <c r="L120" s="37" t="s">
        <v>88</v>
      </c>
      <c r="M120" s="38" t="s">
        <v>86</v>
      </c>
      <c r="N120" s="38"/>
      <c r="O120" s="37">
        <v>180</v>
      </c>
      <c r="P120" s="34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81"/>
      <c r="R120" s="281"/>
      <c r="S120" s="281"/>
      <c r="T120" s="282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89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x14ac:dyDescent="0.2">
      <c r="A121" s="286"/>
      <c r="B121" s="286"/>
      <c r="C121" s="286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7"/>
      <c r="P121" s="283" t="s">
        <v>40</v>
      </c>
      <c r="Q121" s="284"/>
      <c r="R121" s="284"/>
      <c r="S121" s="284"/>
      <c r="T121" s="284"/>
      <c r="U121" s="284"/>
      <c r="V121" s="285"/>
      <c r="W121" s="42" t="s">
        <v>39</v>
      </c>
      <c r="X121" s="43">
        <f>IFERROR(SUM(X113:X120),"0")</f>
        <v>0</v>
      </c>
      <c r="Y121" s="43">
        <f>IFERROR(SUM(Y113:Y120),"0")</f>
        <v>0</v>
      </c>
      <c r="Z121" s="43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286"/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7"/>
      <c r="P122" s="283" t="s">
        <v>40</v>
      </c>
      <c r="Q122" s="284"/>
      <c r="R122" s="284"/>
      <c r="S122" s="284"/>
      <c r="T122" s="284"/>
      <c r="U122" s="284"/>
      <c r="V122" s="285"/>
      <c r="W122" s="42" t="s">
        <v>0</v>
      </c>
      <c r="X122" s="43">
        <f>IFERROR(SUMPRODUCT(X113:X120*H113:H120),"0")</f>
        <v>0</v>
      </c>
      <c r="Y122" s="43">
        <f>IFERROR(SUMPRODUCT(Y113:Y120*H113:H120),"0")</f>
        <v>0</v>
      </c>
      <c r="Z122" s="42"/>
      <c r="AA122" s="67"/>
      <c r="AB122" s="67"/>
      <c r="AC122" s="67"/>
    </row>
    <row r="123" spans="1:68" ht="14.25" customHeight="1" x14ac:dyDescent="0.25">
      <c r="A123" s="297" t="s">
        <v>153</v>
      </c>
      <c r="B123" s="297"/>
      <c r="C123" s="297"/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297"/>
      <c r="P123" s="297"/>
      <c r="Q123" s="297"/>
      <c r="R123" s="297"/>
      <c r="S123" s="297"/>
      <c r="T123" s="297"/>
      <c r="U123" s="297"/>
      <c r="V123" s="297"/>
      <c r="W123" s="297"/>
      <c r="X123" s="297"/>
      <c r="Y123" s="297"/>
      <c r="Z123" s="297"/>
      <c r="AA123" s="66"/>
      <c r="AB123" s="66"/>
      <c r="AC123" s="83"/>
    </row>
    <row r="124" spans="1:68" ht="27" customHeight="1" x14ac:dyDescent="0.25">
      <c r="A124" s="63" t="s">
        <v>222</v>
      </c>
      <c r="B124" s="63" t="s">
        <v>223</v>
      </c>
      <c r="C124" s="36">
        <v>4301135826</v>
      </c>
      <c r="D124" s="279">
        <v>4620207490983</v>
      </c>
      <c r="E124" s="279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112</v>
      </c>
      <c r="L124" s="37" t="s">
        <v>88</v>
      </c>
      <c r="M124" s="38" t="s">
        <v>86</v>
      </c>
      <c r="N124" s="38"/>
      <c r="O124" s="37">
        <v>180</v>
      </c>
      <c r="P124" s="34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1"/>
      <c r="R124" s="281"/>
      <c r="S124" s="281"/>
      <c r="T124" s="282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224</v>
      </c>
      <c r="AG124" s="81"/>
      <c r="AJ124" s="87" t="s">
        <v>89</v>
      </c>
      <c r="AK124" s="87">
        <v>1</v>
      </c>
      <c r="BB124" s="180" t="s">
        <v>111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286"/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7"/>
      <c r="P125" s="283" t="s">
        <v>40</v>
      </c>
      <c r="Q125" s="284"/>
      <c r="R125" s="284"/>
      <c r="S125" s="284"/>
      <c r="T125" s="284"/>
      <c r="U125" s="284"/>
      <c r="V125" s="285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286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7"/>
      <c r="P126" s="283" t="s">
        <v>40</v>
      </c>
      <c r="Q126" s="284"/>
      <c r="R126" s="284"/>
      <c r="S126" s="284"/>
      <c r="T126" s="284"/>
      <c r="U126" s="284"/>
      <c r="V126" s="285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4.25" customHeight="1" x14ac:dyDescent="0.25">
      <c r="A127" s="297" t="s">
        <v>225</v>
      </c>
      <c r="B127" s="297"/>
      <c r="C127" s="297"/>
      <c r="D127" s="297"/>
      <c r="E127" s="297"/>
      <c r="F127" s="297"/>
      <c r="G127" s="297"/>
      <c r="H127" s="297"/>
      <c r="I127" s="297"/>
      <c r="J127" s="297"/>
      <c r="K127" s="297"/>
      <c r="L127" s="297"/>
      <c r="M127" s="297"/>
      <c r="N127" s="297"/>
      <c r="O127" s="297"/>
      <c r="P127" s="297"/>
      <c r="Q127" s="297"/>
      <c r="R127" s="297"/>
      <c r="S127" s="297"/>
      <c r="T127" s="297"/>
      <c r="U127" s="297"/>
      <c r="V127" s="297"/>
      <c r="W127" s="297"/>
      <c r="X127" s="297"/>
      <c r="Y127" s="297"/>
      <c r="Z127" s="297"/>
      <c r="AA127" s="66"/>
      <c r="AB127" s="66"/>
      <c r="AC127" s="83"/>
    </row>
    <row r="128" spans="1:68" ht="27" customHeight="1" x14ac:dyDescent="0.25">
      <c r="A128" s="63" t="s">
        <v>226</v>
      </c>
      <c r="B128" s="63" t="s">
        <v>227</v>
      </c>
      <c r="C128" s="36">
        <v>4301071094</v>
      </c>
      <c r="D128" s="279">
        <v>4620207491140</v>
      </c>
      <c r="E128" s="279"/>
      <c r="F128" s="62">
        <v>0.6</v>
      </c>
      <c r="G128" s="37">
        <v>10</v>
      </c>
      <c r="H128" s="62">
        <v>6</v>
      </c>
      <c r="I128" s="62">
        <v>6.28</v>
      </c>
      <c r="J128" s="37">
        <v>84</v>
      </c>
      <c r="K128" s="37" t="s">
        <v>87</v>
      </c>
      <c r="L128" s="37" t="s">
        <v>88</v>
      </c>
      <c r="M128" s="38" t="s">
        <v>86</v>
      </c>
      <c r="N128" s="38"/>
      <c r="O128" s="37">
        <v>180</v>
      </c>
      <c r="P128" s="34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1"/>
      <c r="R128" s="281"/>
      <c r="S128" s="281"/>
      <c r="T128" s="282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46</v>
      </c>
      <c r="AC128" s="181" t="s">
        <v>228</v>
      </c>
      <c r="AG128" s="81"/>
      <c r="AJ128" s="87" t="s">
        <v>89</v>
      </c>
      <c r="AK128" s="87">
        <v>1</v>
      </c>
      <c r="BB128" s="182" t="s">
        <v>111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286"/>
      <c r="B129" s="286"/>
      <c r="C129" s="286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7"/>
      <c r="P129" s="283" t="s">
        <v>40</v>
      </c>
      <c r="Q129" s="284"/>
      <c r="R129" s="284"/>
      <c r="S129" s="284"/>
      <c r="T129" s="284"/>
      <c r="U129" s="284"/>
      <c r="V129" s="285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286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7"/>
      <c r="P130" s="283" t="s">
        <v>40</v>
      </c>
      <c r="Q130" s="284"/>
      <c r="R130" s="284"/>
      <c r="S130" s="284"/>
      <c r="T130" s="284"/>
      <c r="U130" s="284"/>
      <c r="V130" s="285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6.5" customHeight="1" x14ac:dyDescent="0.25">
      <c r="A131" s="307" t="s">
        <v>229</v>
      </c>
      <c r="B131" s="307"/>
      <c r="C131" s="307"/>
      <c r="D131" s="307"/>
      <c r="E131" s="307"/>
      <c r="F131" s="307"/>
      <c r="G131" s="307"/>
      <c r="H131" s="307"/>
      <c r="I131" s="307"/>
      <c r="J131" s="307"/>
      <c r="K131" s="307"/>
      <c r="L131" s="307"/>
      <c r="M131" s="307"/>
      <c r="N131" s="307"/>
      <c r="O131" s="307"/>
      <c r="P131" s="307"/>
      <c r="Q131" s="307"/>
      <c r="R131" s="307"/>
      <c r="S131" s="307"/>
      <c r="T131" s="307"/>
      <c r="U131" s="307"/>
      <c r="V131" s="307"/>
      <c r="W131" s="307"/>
      <c r="X131" s="307"/>
      <c r="Y131" s="307"/>
      <c r="Z131" s="307"/>
      <c r="AA131" s="65"/>
      <c r="AB131" s="65"/>
      <c r="AC131" s="82"/>
    </row>
    <row r="132" spans="1:68" ht="14.25" customHeight="1" x14ac:dyDescent="0.25">
      <c r="A132" s="297" t="s">
        <v>153</v>
      </c>
      <c r="B132" s="297"/>
      <c r="C132" s="297"/>
      <c r="D132" s="297"/>
      <c r="E132" s="297"/>
      <c r="F132" s="297"/>
      <c r="G132" s="297"/>
      <c r="H132" s="297"/>
      <c r="I132" s="297"/>
      <c r="J132" s="297"/>
      <c r="K132" s="297"/>
      <c r="L132" s="297"/>
      <c r="M132" s="297"/>
      <c r="N132" s="297"/>
      <c r="O132" s="297"/>
      <c r="P132" s="297"/>
      <c r="Q132" s="297"/>
      <c r="R132" s="297"/>
      <c r="S132" s="297"/>
      <c r="T132" s="297"/>
      <c r="U132" s="297"/>
      <c r="V132" s="297"/>
      <c r="W132" s="297"/>
      <c r="X132" s="297"/>
      <c r="Y132" s="297"/>
      <c r="Z132" s="297"/>
      <c r="AA132" s="66"/>
      <c r="AB132" s="66"/>
      <c r="AC132" s="83"/>
    </row>
    <row r="133" spans="1:68" ht="27" customHeight="1" x14ac:dyDescent="0.25">
      <c r="A133" s="63" t="s">
        <v>230</v>
      </c>
      <c r="B133" s="63" t="s">
        <v>231</v>
      </c>
      <c r="C133" s="36">
        <v>4301135555</v>
      </c>
      <c r="D133" s="279">
        <v>4607111034014</v>
      </c>
      <c r="E133" s="279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112</v>
      </c>
      <c r="L133" s="37" t="s">
        <v>113</v>
      </c>
      <c r="M133" s="38" t="s">
        <v>86</v>
      </c>
      <c r="N133" s="38"/>
      <c r="O133" s="37">
        <v>180</v>
      </c>
      <c r="P133" s="33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1"/>
      <c r="R133" s="281"/>
      <c r="S133" s="281"/>
      <c r="T133" s="282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232</v>
      </c>
      <c r="AG133" s="81"/>
      <c r="AJ133" s="87" t="s">
        <v>114</v>
      </c>
      <c r="AK133" s="87">
        <v>14</v>
      </c>
      <c r="BB133" s="184" t="s">
        <v>111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233</v>
      </c>
      <c r="B134" s="63" t="s">
        <v>234</v>
      </c>
      <c r="C134" s="36">
        <v>4301135532</v>
      </c>
      <c r="D134" s="279">
        <v>4607111033994</v>
      </c>
      <c r="E134" s="279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112</v>
      </c>
      <c r="L134" s="37" t="s">
        <v>113</v>
      </c>
      <c r="M134" s="38" t="s">
        <v>86</v>
      </c>
      <c r="N134" s="38"/>
      <c r="O134" s="37">
        <v>180</v>
      </c>
      <c r="P134" s="3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1"/>
      <c r="R134" s="281"/>
      <c r="S134" s="281"/>
      <c r="T134" s="282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171</v>
      </c>
      <c r="AG134" s="81"/>
      <c r="AJ134" s="87" t="s">
        <v>114</v>
      </c>
      <c r="AK134" s="87">
        <v>14</v>
      </c>
      <c r="BB134" s="186" t="s">
        <v>111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286"/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7"/>
      <c r="P135" s="283" t="s">
        <v>40</v>
      </c>
      <c r="Q135" s="284"/>
      <c r="R135" s="284"/>
      <c r="S135" s="284"/>
      <c r="T135" s="284"/>
      <c r="U135" s="284"/>
      <c r="V135" s="285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286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7"/>
      <c r="P136" s="283" t="s">
        <v>40</v>
      </c>
      <c r="Q136" s="284"/>
      <c r="R136" s="284"/>
      <c r="S136" s="284"/>
      <c r="T136" s="284"/>
      <c r="U136" s="284"/>
      <c r="V136" s="285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07" t="s">
        <v>235</v>
      </c>
      <c r="B137" s="307"/>
      <c r="C137" s="307"/>
      <c r="D137" s="307"/>
      <c r="E137" s="307"/>
      <c r="F137" s="307"/>
      <c r="G137" s="307"/>
      <c r="H137" s="307"/>
      <c r="I137" s="307"/>
      <c r="J137" s="307"/>
      <c r="K137" s="307"/>
      <c r="L137" s="307"/>
      <c r="M137" s="307"/>
      <c r="N137" s="307"/>
      <c r="O137" s="307"/>
      <c r="P137" s="307"/>
      <c r="Q137" s="307"/>
      <c r="R137" s="307"/>
      <c r="S137" s="307"/>
      <c r="T137" s="307"/>
      <c r="U137" s="307"/>
      <c r="V137" s="307"/>
      <c r="W137" s="307"/>
      <c r="X137" s="307"/>
      <c r="Y137" s="307"/>
      <c r="Z137" s="307"/>
      <c r="AA137" s="65"/>
      <c r="AB137" s="65"/>
      <c r="AC137" s="82"/>
    </row>
    <row r="138" spans="1:68" ht="14.25" customHeight="1" x14ac:dyDescent="0.25">
      <c r="A138" s="297" t="s">
        <v>153</v>
      </c>
      <c r="B138" s="297"/>
      <c r="C138" s="297"/>
      <c r="D138" s="297"/>
      <c r="E138" s="297"/>
      <c r="F138" s="297"/>
      <c r="G138" s="297"/>
      <c r="H138" s="297"/>
      <c r="I138" s="297"/>
      <c r="J138" s="297"/>
      <c r="K138" s="297"/>
      <c r="L138" s="297"/>
      <c r="M138" s="297"/>
      <c r="N138" s="297"/>
      <c r="O138" s="297"/>
      <c r="P138" s="297"/>
      <c r="Q138" s="297"/>
      <c r="R138" s="297"/>
      <c r="S138" s="297"/>
      <c r="T138" s="297"/>
      <c r="U138" s="297"/>
      <c r="V138" s="297"/>
      <c r="W138" s="297"/>
      <c r="X138" s="297"/>
      <c r="Y138" s="297"/>
      <c r="Z138" s="297"/>
      <c r="AA138" s="66"/>
      <c r="AB138" s="66"/>
      <c r="AC138" s="83"/>
    </row>
    <row r="139" spans="1:68" ht="27" customHeight="1" x14ac:dyDescent="0.25">
      <c r="A139" s="63" t="s">
        <v>236</v>
      </c>
      <c r="B139" s="63" t="s">
        <v>237</v>
      </c>
      <c r="C139" s="36">
        <v>4301135824</v>
      </c>
      <c r="D139" s="279">
        <v>4607111039095</v>
      </c>
      <c r="E139" s="279"/>
      <c r="F139" s="62">
        <v>0.25</v>
      </c>
      <c r="G139" s="37">
        <v>12</v>
      </c>
      <c r="H139" s="62">
        <v>3</v>
      </c>
      <c r="I139" s="62">
        <v>3.7480000000000002</v>
      </c>
      <c r="J139" s="37">
        <v>70</v>
      </c>
      <c r="K139" s="37" t="s">
        <v>112</v>
      </c>
      <c r="L139" s="37" t="s">
        <v>88</v>
      </c>
      <c r="M139" s="38" t="s">
        <v>86</v>
      </c>
      <c r="N139" s="38"/>
      <c r="O139" s="37">
        <v>180</v>
      </c>
      <c r="P139" s="33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1"/>
      <c r="R139" s="281"/>
      <c r="S139" s="281"/>
      <c r="T139" s="282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89</v>
      </c>
      <c r="AK139" s="87">
        <v>1</v>
      </c>
      <c r="BB139" s="188" t="s">
        <v>111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16.5" customHeight="1" x14ac:dyDescent="0.25">
      <c r="A140" s="63" t="s">
        <v>239</v>
      </c>
      <c r="B140" s="63" t="s">
        <v>240</v>
      </c>
      <c r="C140" s="36">
        <v>4301135550</v>
      </c>
      <c r="D140" s="279">
        <v>4607111034199</v>
      </c>
      <c r="E140" s="279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112</v>
      </c>
      <c r="L140" s="37" t="s">
        <v>117</v>
      </c>
      <c r="M140" s="38" t="s">
        <v>86</v>
      </c>
      <c r="N140" s="38"/>
      <c r="O140" s="37">
        <v>180</v>
      </c>
      <c r="P140" s="33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1"/>
      <c r="R140" s="281"/>
      <c r="S140" s="281"/>
      <c r="T140" s="282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118</v>
      </c>
      <c r="AK140" s="87">
        <v>70</v>
      </c>
      <c r="BB140" s="190" t="s">
        <v>111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286"/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7"/>
      <c r="P141" s="283" t="s">
        <v>40</v>
      </c>
      <c r="Q141" s="284"/>
      <c r="R141" s="284"/>
      <c r="S141" s="284"/>
      <c r="T141" s="284"/>
      <c r="U141" s="284"/>
      <c r="V141" s="285"/>
      <c r="W141" s="42" t="s">
        <v>39</v>
      </c>
      <c r="X141" s="43">
        <f>IFERROR(SUM(X139:X140),"0")</f>
        <v>0</v>
      </c>
      <c r="Y141" s="43">
        <f>IFERROR(SUM(Y139:Y140),"0")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286"/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7"/>
      <c r="P142" s="283" t="s">
        <v>40</v>
      </c>
      <c r="Q142" s="284"/>
      <c r="R142" s="284"/>
      <c r="S142" s="284"/>
      <c r="T142" s="284"/>
      <c r="U142" s="284"/>
      <c r="V142" s="285"/>
      <c r="W142" s="42" t="s">
        <v>0</v>
      </c>
      <c r="X142" s="43">
        <f>IFERROR(SUMPRODUCT(X139:X140*H139:H140),"0")</f>
        <v>0</v>
      </c>
      <c r="Y142" s="43">
        <f>IFERROR(SUMPRODUCT(Y139:Y140*H139:H140),"0")</f>
        <v>0</v>
      </c>
      <c r="Z142" s="42"/>
      <c r="AA142" s="67"/>
      <c r="AB142" s="67"/>
      <c r="AC142" s="67"/>
    </row>
    <row r="143" spans="1:68" ht="16.5" customHeight="1" x14ac:dyDescent="0.25">
      <c r="A143" s="307" t="s">
        <v>242</v>
      </c>
      <c r="B143" s="307"/>
      <c r="C143" s="307"/>
      <c r="D143" s="307"/>
      <c r="E143" s="307"/>
      <c r="F143" s="307"/>
      <c r="G143" s="307"/>
      <c r="H143" s="307"/>
      <c r="I143" s="307"/>
      <c r="J143" s="307"/>
      <c r="K143" s="307"/>
      <c r="L143" s="307"/>
      <c r="M143" s="307"/>
      <c r="N143" s="307"/>
      <c r="O143" s="307"/>
      <c r="P143" s="307"/>
      <c r="Q143" s="307"/>
      <c r="R143" s="307"/>
      <c r="S143" s="307"/>
      <c r="T143" s="307"/>
      <c r="U143" s="307"/>
      <c r="V143" s="307"/>
      <c r="W143" s="307"/>
      <c r="X143" s="307"/>
      <c r="Y143" s="307"/>
      <c r="Z143" s="307"/>
      <c r="AA143" s="65"/>
      <c r="AB143" s="65"/>
      <c r="AC143" s="82"/>
    </row>
    <row r="144" spans="1:68" ht="14.25" customHeight="1" x14ac:dyDescent="0.25">
      <c r="A144" s="297" t="s">
        <v>153</v>
      </c>
      <c r="B144" s="297"/>
      <c r="C144" s="297"/>
      <c r="D144" s="297"/>
      <c r="E144" s="297"/>
      <c r="F144" s="297"/>
      <c r="G144" s="297"/>
      <c r="H144" s="297"/>
      <c r="I144" s="297"/>
      <c r="J144" s="297"/>
      <c r="K144" s="297"/>
      <c r="L144" s="297"/>
      <c r="M144" s="297"/>
      <c r="N144" s="297"/>
      <c r="O144" s="297"/>
      <c r="P144" s="297"/>
      <c r="Q144" s="297"/>
      <c r="R144" s="297"/>
      <c r="S144" s="297"/>
      <c r="T144" s="297"/>
      <c r="U144" s="297"/>
      <c r="V144" s="297"/>
      <c r="W144" s="297"/>
      <c r="X144" s="297"/>
      <c r="Y144" s="297"/>
      <c r="Z144" s="297"/>
      <c r="AA144" s="66"/>
      <c r="AB144" s="66"/>
      <c r="AC144" s="83"/>
    </row>
    <row r="145" spans="1:68" ht="27" customHeight="1" x14ac:dyDescent="0.25">
      <c r="A145" s="63" t="s">
        <v>243</v>
      </c>
      <c r="B145" s="63" t="s">
        <v>244</v>
      </c>
      <c r="C145" s="36">
        <v>4301135753</v>
      </c>
      <c r="D145" s="279">
        <v>4620207490914</v>
      </c>
      <c r="E145" s="279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112</v>
      </c>
      <c r="L145" s="37" t="s">
        <v>113</v>
      </c>
      <c r="M145" s="38" t="s">
        <v>86</v>
      </c>
      <c r="N145" s="38"/>
      <c r="O145" s="37">
        <v>180</v>
      </c>
      <c r="P145" s="33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1"/>
      <c r="R145" s="281"/>
      <c r="S145" s="281"/>
      <c r="T145" s="282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232</v>
      </c>
      <c r="AG145" s="81"/>
      <c r="AJ145" s="87" t="s">
        <v>114</v>
      </c>
      <c r="AK145" s="87">
        <v>14</v>
      </c>
      <c r="BB145" s="192" t="s">
        <v>111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245</v>
      </c>
      <c r="B146" s="63" t="s">
        <v>246</v>
      </c>
      <c r="C146" s="36">
        <v>4301135778</v>
      </c>
      <c r="D146" s="279">
        <v>4620207490853</v>
      </c>
      <c r="E146" s="279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112</v>
      </c>
      <c r="L146" s="37" t="s">
        <v>113</v>
      </c>
      <c r="M146" s="38" t="s">
        <v>86</v>
      </c>
      <c r="N146" s="38"/>
      <c r="O146" s="37">
        <v>180</v>
      </c>
      <c r="P146" s="33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1"/>
      <c r="R146" s="281"/>
      <c r="S146" s="281"/>
      <c r="T146" s="282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232</v>
      </c>
      <c r="AG146" s="81"/>
      <c r="AJ146" s="87" t="s">
        <v>114</v>
      </c>
      <c r="AK146" s="87">
        <v>14</v>
      </c>
      <c r="BB146" s="194" t="s">
        <v>111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286"/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7"/>
      <c r="P147" s="283" t="s">
        <v>40</v>
      </c>
      <c r="Q147" s="284"/>
      <c r="R147" s="284"/>
      <c r="S147" s="284"/>
      <c r="T147" s="284"/>
      <c r="U147" s="284"/>
      <c r="V147" s="285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286"/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7"/>
      <c r="P148" s="283" t="s">
        <v>40</v>
      </c>
      <c r="Q148" s="284"/>
      <c r="R148" s="284"/>
      <c r="S148" s="284"/>
      <c r="T148" s="284"/>
      <c r="U148" s="284"/>
      <c r="V148" s="285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07" t="s">
        <v>247</v>
      </c>
      <c r="B149" s="307"/>
      <c r="C149" s="307"/>
      <c r="D149" s="307"/>
      <c r="E149" s="307"/>
      <c r="F149" s="307"/>
      <c r="G149" s="307"/>
      <c r="H149" s="307"/>
      <c r="I149" s="307"/>
      <c r="J149" s="307"/>
      <c r="K149" s="307"/>
      <c r="L149" s="307"/>
      <c r="M149" s="307"/>
      <c r="N149" s="307"/>
      <c r="O149" s="307"/>
      <c r="P149" s="307"/>
      <c r="Q149" s="307"/>
      <c r="R149" s="307"/>
      <c r="S149" s="307"/>
      <c r="T149" s="307"/>
      <c r="U149" s="307"/>
      <c r="V149" s="307"/>
      <c r="W149" s="307"/>
      <c r="X149" s="307"/>
      <c r="Y149" s="307"/>
      <c r="Z149" s="307"/>
      <c r="AA149" s="65"/>
      <c r="AB149" s="65"/>
      <c r="AC149" s="82"/>
    </row>
    <row r="150" spans="1:68" ht="14.25" customHeight="1" x14ac:dyDescent="0.25">
      <c r="A150" s="297" t="s">
        <v>153</v>
      </c>
      <c r="B150" s="297"/>
      <c r="C150" s="297"/>
      <c r="D150" s="297"/>
      <c r="E150" s="297"/>
      <c r="F150" s="297"/>
      <c r="G150" s="297"/>
      <c r="H150" s="297"/>
      <c r="I150" s="297"/>
      <c r="J150" s="297"/>
      <c r="K150" s="297"/>
      <c r="L150" s="297"/>
      <c r="M150" s="297"/>
      <c r="N150" s="297"/>
      <c r="O150" s="297"/>
      <c r="P150" s="297"/>
      <c r="Q150" s="297"/>
      <c r="R150" s="297"/>
      <c r="S150" s="297"/>
      <c r="T150" s="297"/>
      <c r="U150" s="297"/>
      <c r="V150" s="297"/>
      <c r="W150" s="297"/>
      <c r="X150" s="297"/>
      <c r="Y150" s="297"/>
      <c r="Z150" s="297"/>
      <c r="AA150" s="66"/>
      <c r="AB150" s="66"/>
      <c r="AC150" s="83"/>
    </row>
    <row r="151" spans="1:68" ht="27" customHeight="1" x14ac:dyDescent="0.25">
      <c r="A151" s="63" t="s">
        <v>248</v>
      </c>
      <c r="B151" s="63" t="s">
        <v>249</v>
      </c>
      <c r="C151" s="36">
        <v>4301135570</v>
      </c>
      <c r="D151" s="279">
        <v>4607111035806</v>
      </c>
      <c r="E151" s="279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112</v>
      </c>
      <c r="L151" s="37" t="s">
        <v>113</v>
      </c>
      <c r="M151" s="38" t="s">
        <v>86</v>
      </c>
      <c r="N151" s="38"/>
      <c r="O151" s="37">
        <v>180</v>
      </c>
      <c r="P151" s="33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1"/>
      <c r="R151" s="281"/>
      <c r="S151" s="281"/>
      <c r="T151" s="282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195" t="s">
        <v>250</v>
      </c>
      <c r="AG151" s="81"/>
      <c r="AJ151" s="87" t="s">
        <v>114</v>
      </c>
      <c r="AK151" s="87">
        <v>14</v>
      </c>
      <c r="BB151" s="196" t="s">
        <v>111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286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7"/>
      <c r="P152" s="283" t="s">
        <v>40</v>
      </c>
      <c r="Q152" s="284"/>
      <c r="R152" s="284"/>
      <c r="S152" s="284"/>
      <c r="T152" s="284"/>
      <c r="U152" s="284"/>
      <c r="V152" s="285"/>
      <c r="W152" s="42" t="s">
        <v>39</v>
      </c>
      <c r="X152" s="43">
        <f>IFERROR(SUM(X151:X151),"0")</f>
        <v>0</v>
      </c>
      <c r="Y152" s="43">
        <f>IFERROR(SUM(Y151:Y151),"0")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286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7"/>
      <c r="P153" s="283" t="s">
        <v>40</v>
      </c>
      <c r="Q153" s="284"/>
      <c r="R153" s="284"/>
      <c r="S153" s="284"/>
      <c r="T153" s="284"/>
      <c r="U153" s="284"/>
      <c r="V153" s="285"/>
      <c r="W153" s="42" t="s">
        <v>0</v>
      </c>
      <c r="X153" s="43">
        <f>IFERROR(SUMPRODUCT(X151:X151*H151:H151),"0")</f>
        <v>0</v>
      </c>
      <c r="Y153" s="43">
        <f>IFERROR(SUMPRODUCT(Y151:Y151*H151:H151),"0")</f>
        <v>0</v>
      </c>
      <c r="Z153" s="42"/>
      <c r="AA153" s="67"/>
      <c r="AB153" s="67"/>
      <c r="AC153" s="67"/>
    </row>
    <row r="154" spans="1:68" ht="16.5" customHeight="1" x14ac:dyDescent="0.25">
      <c r="A154" s="307" t="s">
        <v>251</v>
      </c>
      <c r="B154" s="307"/>
      <c r="C154" s="307"/>
      <c r="D154" s="307"/>
      <c r="E154" s="307"/>
      <c r="F154" s="307"/>
      <c r="G154" s="307"/>
      <c r="H154" s="307"/>
      <c r="I154" s="307"/>
      <c r="J154" s="307"/>
      <c r="K154" s="307"/>
      <c r="L154" s="307"/>
      <c r="M154" s="307"/>
      <c r="N154" s="307"/>
      <c r="O154" s="307"/>
      <c r="P154" s="307"/>
      <c r="Q154" s="307"/>
      <c r="R154" s="307"/>
      <c r="S154" s="307"/>
      <c r="T154" s="307"/>
      <c r="U154" s="307"/>
      <c r="V154" s="307"/>
      <c r="W154" s="307"/>
      <c r="X154" s="307"/>
      <c r="Y154" s="307"/>
      <c r="Z154" s="307"/>
      <c r="AA154" s="65"/>
      <c r="AB154" s="65"/>
      <c r="AC154" s="82"/>
    </row>
    <row r="155" spans="1:68" ht="14.25" customHeight="1" x14ac:dyDescent="0.25">
      <c r="A155" s="297" t="s">
        <v>153</v>
      </c>
      <c r="B155" s="297"/>
      <c r="C155" s="297"/>
      <c r="D155" s="297"/>
      <c r="E155" s="297"/>
      <c r="F155" s="297"/>
      <c r="G155" s="297"/>
      <c r="H155" s="297"/>
      <c r="I155" s="297"/>
      <c r="J155" s="297"/>
      <c r="K155" s="297"/>
      <c r="L155" s="297"/>
      <c r="M155" s="297"/>
      <c r="N155" s="297"/>
      <c r="O155" s="297"/>
      <c r="P155" s="297"/>
      <c r="Q155" s="297"/>
      <c r="R155" s="297"/>
      <c r="S155" s="297"/>
      <c r="T155" s="297"/>
      <c r="U155" s="297"/>
      <c r="V155" s="297"/>
      <c r="W155" s="297"/>
      <c r="X155" s="297"/>
      <c r="Y155" s="297"/>
      <c r="Z155" s="297"/>
      <c r="AA155" s="66"/>
      <c r="AB155" s="66"/>
      <c r="AC155" s="83"/>
    </row>
    <row r="156" spans="1:68" ht="16.5" customHeight="1" x14ac:dyDescent="0.25">
      <c r="A156" s="63" t="s">
        <v>252</v>
      </c>
      <c r="B156" s="63" t="s">
        <v>253</v>
      </c>
      <c r="C156" s="36">
        <v>4301135607</v>
      </c>
      <c r="D156" s="279">
        <v>4607111039613</v>
      </c>
      <c r="E156" s="279"/>
      <c r="F156" s="62">
        <v>0.09</v>
      </c>
      <c r="G156" s="37">
        <v>30</v>
      </c>
      <c r="H156" s="62">
        <v>2.7</v>
      </c>
      <c r="I156" s="62">
        <v>3.09</v>
      </c>
      <c r="J156" s="37">
        <v>126</v>
      </c>
      <c r="K156" s="37" t="s">
        <v>112</v>
      </c>
      <c r="L156" s="37" t="s">
        <v>113</v>
      </c>
      <c r="M156" s="38" t="s">
        <v>86</v>
      </c>
      <c r="N156" s="38"/>
      <c r="O156" s="37">
        <v>180</v>
      </c>
      <c r="P156" s="3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1"/>
      <c r="R156" s="281"/>
      <c r="S156" s="281"/>
      <c r="T156" s="282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IFERROR(IF(X156="","",X156*0.00936),"")</f>
        <v>0</v>
      </c>
      <c r="AA156" s="68" t="s">
        <v>46</v>
      </c>
      <c r="AB156" s="69" t="s">
        <v>46</v>
      </c>
      <c r="AC156" s="197" t="s">
        <v>238</v>
      </c>
      <c r="AG156" s="81"/>
      <c r="AJ156" s="87" t="s">
        <v>114</v>
      </c>
      <c r="AK156" s="87">
        <v>14</v>
      </c>
      <c r="BB156" s="198" t="s">
        <v>111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286"/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7"/>
      <c r="P157" s="283" t="s">
        <v>40</v>
      </c>
      <c r="Q157" s="284"/>
      <c r="R157" s="284"/>
      <c r="S157" s="284"/>
      <c r="T157" s="284"/>
      <c r="U157" s="284"/>
      <c r="V157" s="285"/>
      <c r="W157" s="42" t="s">
        <v>39</v>
      </c>
      <c r="X157" s="43">
        <f>IFERROR(SUM(X156:X156),"0")</f>
        <v>0</v>
      </c>
      <c r="Y157" s="43">
        <f>IFERROR(SUM(Y156:Y156),"0")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286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7"/>
      <c r="P158" s="283" t="s">
        <v>40</v>
      </c>
      <c r="Q158" s="284"/>
      <c r="R158" s="284"/>
      <c r="S158" s="284"/>
      <c r="T158" s="284"/>
      <c r="U158" s="284"/>
      <c r="V158" s="285"/>
      <c r="W158" s="42" t="s">
        <v>0</v>
      </c>
      <c r="X158" s="43">
        <f>IFERROR(SUMPRODUCT(X156:X156*H156:H156),"0")</f>
        <v>0</v>
      </c>
      <c r="Y158" s="43">
        <f>IFERROR(SUMPRODUCT(Y156:Y156*H156:H156),"0")</f>
        <v>0</v>
      </c>
      <c r="Z158" s="42"/>
      <c r="AA158" s="67"/>
      <c r="AB158" s="67"/>
      <c r="AC158" s="67"/>
    </row>
    <row r="159" spans="1:68" ht="16.5" customHeight="1" x14ac:dyDescent="0.25">
      <c r="A159" s="307" t="s">
        <v>254</v>
      </c>
      <c r="B159" s="307"/>
      <c r="C159" s="307"/>
      <c r="D159" s="307"/>
      <c r="E159" s="307"/>
      <c r="F159" s="307"/>
      <c r="G159" s="307"/>
      <c r="H159" s="307"/>
      <c r="I159" s="307"/>
      <c r="J159" s="307"/>
      <c r="K159" s="307"/>
      <c r="L159" s="307"/>
      <c r="M159" s="307"/>
      <c r="N159" s="307"/>
      <c r="O159" s="307"/>
      <c r="P159" s="307"/>
      <c r="Q159" s="307"/>
      <c r="R159" s="307"/>
      <c r="S159" s="307"/>
      <c r="T159" s="307"/>
      <c r="U159" s="307"/>
      <c r="V159" s="307"/>
      <c r="W159" s="307"/>
      <c r="X159" s="307"/>
      <c r="Y159" s="307"/>
      <c r="Z159" s="307"/>
      <c r="AA159" s="65"/>
      <c r="AB159" s="65"/>
      <c r="AC159" s="82"/>
    </row>
    <row r="160" spans="1:68" ht="14.25" customHeight="1" x14ac:dyDescent="0.25">
      <c r="A160" s="297" t="s">
        <v>225</v>
      </c>
      <c r="B160" s="297"/>
      <c r="C160" s="297"/>
      <c r="D160" s="297"/>
      <c r="E160" s="297"/>
      <c r="F160" s="297"/>
      <c r="G160" s="297"/>
      <c r="H160" s="297"/>
      <c r="I160" s="297"/>
      <c r="J160" s="297"/>
      <c r="K160" s="297"/>
      <c r="L160" s="297"/>
      <c r="M160" s="297"/>
      <c r="N160" s="297"/>
      <c r="O160" s="297"/>
      <c r="P160" s="297"/>
      <c r="Q160" s="297"/>
      <c r="R160" s="297"/>
      <c r="S160" s="297"/>
      <c r="T160" s="297"/>
      <c r="U160" s="297"/>
      <c r="V160" s="297"/>
      <c r="W160" s="297"/>
      <c r="X160" s="297"/>
      <c r="Y160" s="297"/>
      <c r="Z160" s="297"/>
      <c r="AA160" s="66"/>
      <c r="AB160" s="66"/>
      <c r="AC160" s="83"/>
    </row>
    <row r="161" spans="1:68" ht="27" customHeight="1" x14ac:dyDescent="0.25">
      <c r="A161" s="63" t="s">
        <v>255</v>
      </c>
      <c r="B161" s="63" t="s">
        <v>256</v>
      </c>
      <c r="C161" s="36">
        <v>4301135540</v>
      </c>
      <c r="D161" s="279">
        <v>4607111035646</v>
      </c>
      <c r="E161" s="279"/>
      <c r="F161" s="62">
        <v>0.2</v>
      </c>
      <c r="G161" s="37">
        <v>8</v>
      </c>
      <c r="H161" s="62">
        <v>1.6</v>
      </c>
      <c r="I161" s="62">
        <v>2.12</v>
      </c>
      <c r="J161" s="37">
        <v>72</v>
      </c>
      <c r="K161" s="37" t="s">
        <v>258</v>
      </c>
      <c r="L161" s="37" t="s">
        <v>113</v>
      </c>
      <c r="M161" s="38" t="s">
        <v>86</v>
      </c>
      <c r="N161" s="38"/>
      <c r="O161" s="37">
        <v>180</v>
      </c>
      <c r="P161" s="33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1"/>
      <c r="R161" s="281"/>
      <c r="S161" s="281"/>
      <c r="T161" s="282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IFERROR(IF(X161="","",X161*0.01157),"")</f>
        <v>0</v>
      </c>
      <c r="AA161" s="68" t="s">
        <v>46</v>
      </c>
      <c r="AB161" s="69" t="s">
        <v>46</v>
      </c>
      <c r="AC161" s="199" t="s">
        <v>257</v>
      </c>
      <c r="AG161" s="81"/>
      <c r="AJ161" s="87" t="s">
        <v>114</v>
      </c>
      <c r="AK161" s="87">
        <v>6</v>
      </c>
      <c r="BB161" s="200" t="s">
        <v>111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286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7"/>
      <c r="P162" s="283" t="s">
        <v>40</v>
      </c>
      <c r="Q162" s="284"/>
      <c r="R162" s="284"/>
      <c r="S162" s="284"/>
      <c r="T162" s="284"/>
      <c r="U162" s="284"/>
      <c r="V162" s="285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7"/>
      <c r="P163" s="283" t="s">
        <v>40</v>
      </c>
      <c r="Q163" s="284"/>
      <c r="R163" s="284"/>
      <c r="S163" s="284"/>
      <c r="T163" s="284"/>
      <c r="U163" s="284"/>
      <c r="V163" s="285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07" t="s">
        <v>259</v>
      </c>
      <c r="B164" s="307"/>
      <c r="C164" s="307"/>
      <c r="D164" s="307"/>
      <c r="E164" s="307"/>
      <c r="F164" s="307"/>
      <c r="G164" s="307"/>
      <c r="H164" s="307"/>
      <c r="I164" s="307"/>
      <c r="J164" s="307"/>
      <c r="K164" s="307"/>
      <c r="L164" s="307"/>
      <c r="M164" s="307"/>
      <c r="N164" s="307"/>
      <c r="O164" s="307"/>
      <c r="P164" s="307"/>
      <c r="Q164" s="307"/>
      <c r="R164" s="307"/>
      <c r="S164" s="307"/>
      <c r="T164" s="307"/>
      <c r="U164" s="307"/>
      <c r="V164" s="307"/>
      <c r="W164" s="307"/>
      <c r="X164" s="307"/>
      <c r="Y164" s="307"/>
      <c r="Z164" s="307"/>
      <c r="AA164" s="65"/>
      <c r="AB164" s="65"/>
      <c r="AC164" s="82"/>
    </row>
    <row r="165" spans="1:68" ht="14.25" customHeight="1" x14ac:dyDescent="0.25">
      <c r="A165" s="297" t="s">
        <v>153</v>
      </c>
      <c r="B165" s="297"/>
      <c r="C165" s="297"/>
      <c r="D165" s="297"/>
      <c r="E165" s="297"/>
      <c r="F165" s="297"/>
      <c r="G165" s="297"/>
      <c r="H165" s="297"/>
      <c r="I165" s="297"/>
      <c r="J165" s="297"/>
      <c r="K165" s="297"/>
      <c r="L165" s="297"/>
      <c r="M165" s="297"/>
      <c r="N165" s="297"/>
      <c r="O165" s="297"/>
      <c r="P165" s="297"/>
      <c r="Q165" s="297"/>
      <c r="R165" s="297"/>
      <c r="S165" s="297"/>
      <c r="T165" s="297"/>
      <c r="U165" s="297"/>
      <c r="V165" s="297"/>
      <c r="W165" s="297"/>
      <c r="X165" s="297"/>
      <c r="Y165" s="297"/>
      <c r="Z165" s="297"/>
      <c r="AA165" s="66"/>
      <c r="AB165" s="66"/>
      <c r="AC165" s="83"/>
    </row>
    <row r="166" spans="1:68" ht="27" customHeight="1" x14ac:dyDescent="0.25">
      <c r="A166" s="63" t="s">
        <v>260</v>
      </c>
      <c r="B166" s="63" t="s">
        <v>261</v>
      </c>
      <c r="C166" s="36">
        <v>4301135591</v>
      </c>
      <c r="D166" s="279">
        <v>4607111036568</v>
      </c>
      <c r="E166" s="279"/>
      <c r="F166" s="62">
        <v>0.28000000000000003</v>
      </c>
      <c r="G166" s="37">
        <v>6</v>
      </c>
      <c r="H166" s="62">
        <v>1.68</v>
      </c>
      <c r="I166" s="62">
        <v>2.1017999999999999</v>
      </c>
      <c r="J166" s="37">
        <v>140</v>
      </c>
      <c r="K166" s="37" t="s">
        <v>112</v>
      </c>
      <c r="L166" s="37" t="s">
        <v>88</v>
      </c>
      <c r="M166" s="38" t="s">
        <v>86</v>
      </c>
      <c r="N166" s="38"/>
      <c r="O166" s="37">
        <v>180</v>
      </c>
      <c r="P166" s="33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1"/>
      <c r="R166" s="281"/>
      <c r="S166" s="281"/>
      <c r="T166" s="282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IFERROR(IF(X166="","",X166*0.00941),"")</f>
        <v>0</v>
      </c>
      <c r="AA166" s="68" t="s">
        <v>46</v>
      </c>
      <c r="AB166" s="69" t="s">
        <v>46</v>
      </c>
      <c r="AC166" s="201" t="s">
        <v>262</v>
      </c>
      <c r="AG166" s="81"/>
      <c r="AJ166" s="87" t="s">
        <v>89</v>
      </c>
      <c r="AK166" s="87">
        <v>1</v>
      </c>
      <c r="BB166" s="202" t="s">
        <v>111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286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7"/>
      <c r="P167" s="283" t="s">
        <v>40</v>
      </c>
      <c r="Q167" s="284"/>
      <c r="R167" s="284"/>
      <c r="S167" s="284"/>
      <c r="T167" s="284"/>
      <c r="U167" s="284"/>
      <c r="V167" s="285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286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7"/>
      <c r="P168" s="283" t="s">
        <v>40</v>
      </c>
      <c r="Q168" s="284"/>
      <c r="R168" s="284"/>
      <c r="S168" s="284"/>
      <c r="T168" s="284"/>
      <c r="U168" s="284"/>
      <c r="V168" s="285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27.75" customHeight="1" x14ac:dyDescent="0.2">
      <c r="A169" s="306" t="s">
        <v>263</v>
      </c>
      <c r="B169" s="306"/>
      <c r="C169" s="306"/>
      <c r="D169" s="306"/>
      <c r="E169" s="306"/>
      <c r="F169" s="306"/>
      <c r="G169" s="306"/>
      <c r="H169" s="306"/>
      <c r="I169" s="306"/>
      <c r="J169" s="306"/>
      <c r="K169" s="306"/>
      <c r="L169" s="306"/>
      <c r="M169" s="306"/>
      <c r="N169" s="306"/>
      <c r="O169" s="306"/>
      <c r="P169" s="306"/>
      <c r="Q169" s="306"/>
      <c r="R169" s="306"/>
      <c r="S169" s="306"/>
      <c r="T169" s="306"/>
      <c r="U169" s="306"/>
      <c r="V169" s="306"/>
      <c r="W169" s="306"/>
      <c r="X169" s="306"/>
      <c r="Y169" s="306"/>
      <c r="Z169" s="306"/>
      <c r="AA169" s="54"/>
      <c r="AB169" s="54"/>
      <c r="AC169" s="54"/>
    </row>
    <row r="170" spans="1:68" ht="16.5" customHeight="1" x14ac:dyDescent="0.25">
      <c r="A170" s="307" t="s">
        <v>264</v>
      </c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07"/>
      <c r="P170" s="307"/>
      <c r="Q170" s="307"/>
      <c r="R170" s="307"/>
      <c r="S170" s="307"/>
      <c r="T170" s="307"/>
      <c r="U170" s="307"/>
      <c r="V170" s="307"/>
      <c r="W170" s="307"/>
      <c r="X170" s="307"/>
      <c r="Y170" s="307"/>
      <c r="Z170" s="307"/>
      <c r="AA170" s="65"/>
      <c r="AB170" s="65"/>
      <c r="AC170" s="82"/>
    </row>
    <row r="171" spans="1:68" ht="14.25" customHeight="1" x14ac:dyDescent="0.25">
      <c r="A171" s="297" t="s">
        <v>82</v>
      </c>
      <c r="B171" s="297"/>
      <c r="C171" s="297"/>
      <c r="D171" s="297"/>
      <c r="E171" s="297"/>
      <c r="F171" s="297"/>
      <c r="G171" s="297"/>
      <c r="H171" s="297"/>
      <c r="I171" s="297"/>
      <c r="J171" s="297"/>
      <c r="K171" s="297"/>
      <c r="L171" s="297"/>
      <c r="M171" s="297"/>
      <c r="N171" s="297"/>
      <c r="O171" s="297"/>
      <c r="P171" s="297"/>
      <c r="Q171" s="297"/>
      <c r="R171" s="297"/>
      <c r="S171" s="297"/>
      <c r="T171" s="297"/>
      <c r="U171" s="297"/>
      <c r="V171" s="297"/>
      <c r="W171" s="297"/>
      <c r="X171" s="297"/>
      <c r="Y171" s="297"/>
      <c r="Z171" s="297"/>
      <c r="AA171" s="66"/>
      <c r="AB171" s="66"/>
      <c r="AC171" s="83"/>
    </row>
    <row r="172" spans="1:68" ht="16.5" customHeight="1" x14ac:dyDescent="0.25">
      <c r="A172" s="63" t="s">
        <v>265</v>
      </c>
      <c r="B172" s="63" t="s">
        <v>266</v>
      </c>
      <c r="C172" s="36">
        <v>4301071062</v>
      </c>
      <c r="D172" s="279">
        <v>4607111036384</v>
      </c>
      <c r="E172" s="279"/>
      <c r="F172" s="62">
        <v>5</v>
      </c>
      <c r="G172" s="37">
        <v>1</v>
      </c>
      <c r="H172" s="62">
        <v>5</v>
      </c>
      <c r="I172" s="62">
        <v>5.2106000000000003</v>
      </c>
      <c r="J172" s="37">
        <v>144</v>
      </c>
      <c r="K172" s="37" t="s">
        <v>87</v>
      </c>
      <c r="L172" s="37" t="s">
        <v>88</v>
      </c>
      <c r="M172" s="38" t="s">
        <v>86</v>
      </c>
      <c r="N172" s="38"/>
      <c r="O172" s="37">
        <v>180</v>
      </c>
      <c r="P172" s="32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1"/>
      <c r="R172" s="281"/>
      <c r="S172" s="281"/>
      <c r="T172" s="282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89</v>
      </c>
      <c r="AK172" s="87">
        <v>1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t="27" customHeight="1" x14ac:dyDescent="0.25">
      <c r="A173" s="63" t="s">
        <v>268</v>
      </c>
      <c r="B173" s="63" t="s">
        <v>269</v>
      </c>
      <c r="C173" s="36">
        <v>4301071050</v>
      </c>
      <c r="D173" s="279">
        <v>4607111036216</v>
      </c>
      <c r="E173" s="279"/>
      <c r="F173" s="62">
        <v>5</v>
      </c>
      <c r="G173" s="37">
        <v>1</v>
      </c>
      <c r="H173" s="62">
        <v>5</v>
      </c>
      <c r="I173" s="62">
        <v>5.2131999999999996</v>
      </c>
      <c r="J173" s="37">
        <v>144</v>
      </c>
      <c r="K173" s="37" t="s">
        <v>87</v>
      </c>
      <c r="L173" s="37" t="s">
        <v>113</v>
      </c>
      <c r="M173" s="38" t="s">
        <v>86</v>
      </c>
      <c r="N173" s="38"/>
      <c r="O173" s="37">
        <v>180</v>
      </c>
      <c r="P173" s="32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1"/>
      <c r="R173" s="281"/>
      <c r="S173" s="281"/>
      <c r="T173" s="282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114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286"/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7"/>
      <c r="P174" s="283" t="s">
        <v>40</v>
      </c>
      <c r="Q174" s="284"/>
      <c r="R174" s="284"/>
      <c r="S174" s="284"/>
      <c r="T174" s="284"/>
      <c r="U174" s="284"/>
      <c r="V174" s="285"/>
      <c r="W174" s="42" t="s">
        <v>39</v>
      </c>
      <c r="X174" s="43">
        <f>IFERROR(SUM(X172:X173),"0")</f>
        <v>0</v>
      </c>
      <c r="Y174" s="43">
        <f>IFERROR(SUM(Y172:Y173),"0")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286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7"/>
      <c r="P175" s="283" t="s">
        <v>40</v>
      </c>
      <c r="Q175" s="284"/>
      <c r="R175" s="284"/>
      <c r="S175" s="284"/>
      <c r="T175" s="284"/>
      <c r="U175" s="284"/>
      <c r="V175" s="285"/>
      <c r="W175" s="42" t="s">
        <v>0</v>
      </c>
      <c r="X175" s="43">
        <f>IFERROR(SUMPRODUCT(X172:X173*H172:H173),"0")</f>
        <v>0</v>
      </c>
      <c r="Y175" s="43">
        <f>IFERROR(SUMPRODUCT(Y172:Y173*H172:H173),"0")</f>
        <v>0</v>
      </c>
      <c r="Z175" s="42"/>
      <c r="AA175" s="67"/>
      <c r="AB175" s="67"/>
      <c r="AC175" s="67"/>
    </row>
    <row r="176" spans="1:68" ht="27.75" customHeight="1" x14ac:dyDescent="0.2">
      <c r="A176" s="306" t="s">
        <v>271</v>
      </c>
      <c r="B176" s="306"/>
      <c r="C176" s="306"/>
      <c r="D176" s="306"/>
      <c r="E176" s="306"/>
      <c r="F176" s="306"/>
      <c r="G176" s="306"/>
      <c r="H176" s="306"/>
      <c r="I176" s="306"/>
      <c r="J176" s="306"/>
      <c r="K176" s="306"/>
      <c r="L176" s="306"/>
      <c r="M176" s="306"/>
      <c r="N176" s="306"/>
      <c r="O176" s="306"/>
      <c r="P176" s="306"/>
      <c r="Q176" s="306"/>
      <c r="R176" s="306"/>
      <c r="S176" s="306"/>
      <c r="T176" s="306"/>
      <c r="U176" s="306"/>
      <c r="V176" s="306"/>
      <c r="W176" s="306"/>
      <c r="X176" s="306"/>
      <c r="Y176" s="306"/>
      <c r="Z176" s="306"/>
      <c r="AA176" s="54"/>
      <c r="AB176" s="54"/>
      <c r="AC176" s="54"/>
    </row>
    <row r="177" spans="1:68" ht="16.5" customHeight="1" x14ac:dyDescent="0.25">
      <c r="A177" s="307" t="s">
        <v>272</v>
      </c>
      <c r="B177" s="307"/>
      <c r="C177" s="307"/>
      <c r="D177" s="307"/>
      <c r="E177" s="307"/>
      <c r="F177" s="307"/>
      <c r="G177" s="307"/>
      <c r="H177" s="307"/>
      <c r="I177" s="307"/>
      <c r="J177" s="307"/>
      <c r="K177" s="307"/>
      <c r="L177" s="307"/>
      <c r="M177" s="307"/>
      <c r="N177" s="307"/>
      <c r="O177" s="307"/>
      <c r="P177" s="307"/>
      <c r="Q177" s="307"/>
      <c r="R177" s="307"/>
      <c r="S177" s="307"/>
      <c r="T177" s="307"/>
      <c r="U177" s="307"/>
      <c r="V177" s="307"/>
      <c r="W177" s="307"/>
      <c r="X177" s="307"/>
      <c r="Y177" s="307"/>
      <c r="Z177" s="307"/>
      <c r="AA177" s="65"/>
      <c r="AB177" s="65"/>
      <c r="AC177" s="82"/>
    </row>
    <row r="178" spans="1:68" ht="14.25" customHeight="1" x14ac:dyDescent="0.25">
      <c r="A178" s="297" t="s">
        <v>107</v>
      </c>
      <c r="B178" s="297"/>
      <c r="C178" s="297"/>
      <c r="D178" s="297"/>
      <c r="E178" s="297"/>
      <c r="F178" s="297"/>
      <c r="G178" s="297"/>
      <c r="H178" s="297"/>
      <c r="I178" s="297"/>
      <c r="J178" s="297"/>
      <c r="K178" s="297"/>
      <c r="L178" s="297"/>
      <c r="M178" s="297"/>
      <c r="N178" s="297"/>
      <c r="O178" s="297"/>
      <c r="P178" s="297"/>
      <c r="Q178" s="297"/>
      <c r="R178" s="297"/>
      <c r="S178" s="297"/>
      <c r="T178" s="297"/>
      <c r="U178" s="297"/>
      <c r="V178" s="297"/>
      <c r="W178" s="297"/>
      <c r="X178" s="297"/>
      <c r="Y178" s="297"/>
      <c r="Z178" s="297"/>
      <c r="AA178" s="66"/>
      <c r="AB178" s="66"/>
      <c r="AC178" s="83"/>
    </row>
    <row r="179" spans="1:68" ht="16.5" customHeight="1" x14ac:dyDescent="0.25">
      <c r="A179" s="63" t="s">
        <v>273</v>
      </c>
      <c r="B179" s="63" t="s">
        <v>274</v>
      </c>
      <c r="C179" s="36">
        <v>4301132179</v>
      </c>
      <c r="D179" s="279">
        <v>4607111035691</v>
      </c>
      <c r="E179" s="279"/>
      <c r="F179" s="62">
        <v>0.25</v>
      </c>
      <c r="G179" s="37">
        <v>12</v>
      </c>
      <c r="H179" s="62">
        <v>3</v>
      </c>
      <c r="I179" s="62">
        <v>3.3879999999999999</v>
      </c>
      <c r="J179" s="37">
        <v>70</v>
      </c>
      <c r="K179" s="37" t="s">
        <v>112</v>
      </c>
      <c r="L179" s="37" t="s">
        <v>117</v>
      </c>
      <c r="M179" s="38" t="s">
        <v>86</v>
      </c>
      <c r="N179" s="38"/>
      <c r="O179" s="37">
        <v>365</v>
      </c>
      <c r="P179" s="32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1"/>
      <c r="R179" s="281"/>
      <c r="S179" s="281"/>
      <c r="T179" s="282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207" t="s">
        <v>275</v>
      </c>
      <c r="AG179" s="81"/>
      <c r="AJ179" s="87" t="s">
        <v>118</v>
      </c>
      <c r="AK179" s="87">
        <v>70</v>
      </c>
      <c r="BB179" s="208" t="s">
        <v>111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276</v>
      </c>
      <c r="B180" s="63" t="s">
        <v>277</v>
      </c>
      <c r="C180" s="36">
        <v>4301132182</v>
      </c>
      <c r="D180" s="279">
        <v>4607111035721</v>
      </c>
      <c r="E180" s="279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112</v>
      </c>
      <c r="L180" s="37" t="s">
        <v>113</v>
      </c>
      <c r="M180" s="38" t="s">
        <v>86</v>
      </c>
      <c r="N180" s="38"/>
      <c r="O180" s="37">
        <v>365</v>
      </c>
      <c r="P180" s="32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1"/>
      <c r="R180" s="281"/>
      <c r="S180" s="281"/>
      <c r="T180" s="282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278</v>
      </c>
      <c r="AG180" s="81"/>
      <c r="AJ180" s="87" t="s">
        <v>114</v>
      </c>
      <c r="AK180" s="87">
        <v>14</v>
      </c>
      <c r="BB180" s="210" t="s">
        <v>111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279</v>
      </c>
      <c r="B181" s="63" t="s">
        <v>280</v>
      </c>
      <c r="C181" s="36">
        <v>4301132170</v>
      </c>
      <c r="D181" s="279">
        <v>4607111038487</v>
      </c>
      <c r="E181" s="279"/>
      <c r="F181" s="62">
        <v>0.25</v>
      </c>
      <c r="G181" s="37">
        <v>12</v>
      </c>
      <c r="H181" s="62">
        <v>3</v>
      </c>
      <c r="I181" s="62">
        <v>3.7360000000000002</v>
      </c>
      <c r="J181" s="37">
        <v>70</v>
      </c>
      <c r="K181" s="37" t="s">
        <v>112</v>
      </c>
      <c r="L181" s="37" t="s">
        <v>113</v>
      </c>
      <c r="M181" s="38" t="s">
        <v>86</v>
      </c>
      <c r="N181" s="38"/>
      <c r="O181" s="37">
        <v>180</v>
      </c>
      <c r="P181" s="32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1"/>
      <c r="R181" s="281"/>
      <c r="S181" s="281"/>
      <c r="T181" s="282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281</v>
      </c>
      <c r="AG181" s="81"/>
      <c r="AJ181" s="87" t="s">
        <v>114</v>
      </c>
      <c r="AK181" s="87">
        <v>14</v>
      </c>
      <c r="BB181" s="212" t="s">
        <v>111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customHeight="1" x14ac:dyDescent="0.25">
      <c r="A182" s="63" t="s">
        <v>282</v>
      </c>
      <c r="B182" s="63" t="s">
        <v>283</v>
      </c>
      <c r="C182" s="36">
        <v>4301132243</v>
      </c>
      <c r="D182" s="279">
        <v>4620207491195</v>
      </c>
      <c r="E182" s="279"/>
      <c r="F182" s="62">
        <v>0.23</v>
      </c>
      <c r="G182" s="37">
        <v>12</v>
      </c>
      <c r="H182" s="62">
        <v>2.76</v>
      </c>
      <c r="I182" s="62">
        <v>3.1480000000000001</v>
      </c>
      <c r="J182" s="37">
        <v>70</v>
      </c>
      <c r="K182" s="37" t="s">
        <v>112</v>
      </c>
      <c r="L182" s="37" t="s">
        <v>88</v>
      </c>
      <c r="M182" s="38" t="s">
        <v>86</v>
      </c>
      <c r="N182" s="38"/>
      <c r="O182" s="37">
        <v>180</v>
      </c>
      <c r="P182" s="32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281"/>
      <c r="R182" s="281"/>
      <c r="S182" s="281"/>
      <c r="T182" s="282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IFERROR(IF(X182="","",X182*0.01788),"")</f>
        <v>0</v>
      </c>
      <c r="AA182" s="68" t="s">
        <v>46</v>
      </c>
      <c r="AB182" s="69" t="s">
        <v>46</v>
      </c>
      <c r="AC182" s="213" t="s">
        <v>284</v>
      </c>
      <c r="AG182" s="81"/>
      <c r="AJ182" s="87" t="s">
        <v>89</v>
      </c>
      <c r="AK182" s="87">
        <v>1</v>
      </c>
      <c r="BB182" s="214" t="s">
        <v>111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">
      <c r="A183" s="286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7"/>
      <c r="P183" s="283" t="s">
        <v>40</v>
      </c>
      <c r="Q183" s="284"/>
      <c r="R183" s="284"/>
      <c r="S183" s="284"/>
      <c r="T183" s="284"/>
      <c r="U183" s="284"/>
      <c r="V183" s="285"/>
      <c r="W183" s="42" t="s">
        <v>39</v>
      </c>
      <c r="X183" s="43">
        <f>IFERROR(SUM(X179:X182),"0")</f>
        <v>0</v>
      </c>
      <c r="Y183" s="43">
        <f>IFERROR(SUM(Y179:Y182),"0")</f>
        <v>0</v>
      </c>
      <c r="Z183" s="43">
        <f>IFERROR(IF(Z179="",0,Z179),"0")+IFERROR(IF(Z180="",0,Z180),"0")+IFERROR(IF(Z181="",0,Z181),"0")+IFERROR(IF(Z182="",0,Z182),"0")</f>
        <v>0</v>
      </c>
      <c r="AA183" s="67"/>
      <c r="AB183" s="67"/>
      <c r="AC183" s="67"/>
    </row>
    <row r="184" spans="1:68" x14ac:dyDescent="0.2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7"/>
      <c r="P184" s="283" t="s">
        <v>40</v>
      </c>
      <c r="Q184" s="284"/>
      <c r="R184" s="284"/>
      <c r="S184" s="284"/>
      <c r="T184" s="284"/>
      <c r="U184" s="284"/>
      <c r="V184" s="285"/>
      <c r="W184" s="42" t="s">
        <v>0</v>
      </c>
      <c r="X184" s="43">
        <f>IFERROR(SUMPRODUCT(X179:X182*H179:H182),"0")</f>
        <v>0</v>
      </c>
      <c r="Y184" s="43">
        <f>IFERROR(SUMPRODUCT(Y179:Y182*H179:H182),"0")</f>
        <v>0</v>
      </c>
      <c r="Z184" s="42"/>
      <c r="AA184" s="67"/>
      <c r="AB184" s="67"/>
      <c r="AC184" s="67"/>
    </row>
    <row r="185" spans="1:68" ht="14.25" customHeight="1" x14ac:dyDescent="0.25">
      <c r="A185" s="297" t="s">
        <v>285</v>
      </c>
      <c r="B185" s="297"/>
      <c r="C185" s="297"/>
      <c r="D185" s="297"/>
      <c r="E185" s="297"/>
      <c r="F185" s="297"/>
      <c r="G185" s="297"/>
      <c r="H185" s="297"/>
      <c r="I185" s="297"/>
      <c r="J185" s="297"/>
      <c r="K185" s="297"/>
      <c r="L185" s="297"/>
      <c r="M185" s="297"/>
      <c r="N185" s="297"/>
      <c r="O185" s="297"/>
      <c r="P185" s="297"/>
      <c r="Q185" s="297"/>
      <c r="R185" s="297"/>
      <c r="S185" s="297"/>
      <c r="T185" s="297"/>
      <c r="U185" s="297"/>
      <c r="V185" s="297"/>
      <c r="W185" s="297"/>
      <c r="X185" s="297"/>
      <c r="Y185" s="297"/>
      <c r="Z185" s="297"/>
      <c r="AA185" s="66"/>
      <c r="AB185" s="66"/>
      <c r="AC185" s="83"/>
    </row>
    <row r="186" spans="1:68" ht="27" customHeight="1" x14ac:dyDescent="0.25">
      <c r="A186" s="63" t="s">
        <v>286</v>
      </c>
      <c r="B186" s="63" t="s">
        <v>287</v>
      </c>
      <c r="C186" s="36">
        <v>4301051855</v>
      </c>
      <c r="D186" s="279">
        <v>4680115885875</v>
      </c>
      <c r="E186" s="279"/>
      <c r="F186" s="62">
        <v>1</v>
      </c>
      <c r="G186" s="37">
        <v>9</v>
      </c>
      <c r="H186" s="62">
        <v>9</v>
      </c>
      <c r="I186" s="62">
        <v>9.41</v>
      </c>
      <c r="J186" s="37">
        <v>64</v>
      </c>
      <c r="K186" s="37" t="s">
        <v>292</v>
      </c>
      <c r="L186" s="37" t="s">
        <v>88</v>
      </c>
      <c r="M186" s="38" t="s">
        <v>291</v>
      </c>
      <c r="N186" s="38"/>
      <c r="O186" s="37">
        <v>365</v>
      </c>
      <c r="P186" s="325" t="s">
        <v>288</v>
      </c>
      <c r="Q186" s="281"/>
      <c r="R186" s="281"/>
      <c r="S186" s="281"/>
      <c r="T186" s="282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IFERROR(IF(X186="","",X186*0.01898),"")</f>
        <v>0</v>
      </c>
      <c r="AA186" s="68" t="s">
        <v>46</v>
      </c>
      <c r="AB186" s="69" t="s">
        <v>46</v>
      </c>
      <c r="AC186" s="215" t="s">
        <v>289</v>
      </c>
      <c r="AG186" s="81"/>
      <c r="AJ186" s="87" t="s">
        <v>89</v>
      </c>
      <c r="AK186" s="87">
        <v>1</v>
      </c>
      <c r="BB186" s="216" t="s">
        <v>290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286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7"/>
      <c r="P187" s="283" t="s">
        <v>40</v>
      </c>
      <c r="Q187" s="284"/>
      <c r="R187" s="284"/>
      <c r="S187" s="284"/>
      <c r="T187" s="284"/>
      <c r="U187" s="284"/>
      <c r="V187" s="285"/>
      <c r="W187" s="42" t="s">
        <v>39</v>
      </c>
      <c r="X187" s="43">
        <f>IFERROR(SUM(X186:X186),"0")</f>
        <v>0</v>
      </c>
      <c r="Y187" s="43">
        <f>IFERROR(SUM(Y186:Y186),"0")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7"/>
      <c r="P188" s="283" t="s">
        <v>40</v>
      </c>
      <c r="Q188" s="284"/>
      <c r="R188" s="284"/>
      <c r="S188" s="284"/>
      <c r="T188" s="284"/>
      <c r="U188" s="284"/>
      <c r="V188" s="285"/>
      <c r="W188" s="42" t="s">
        <v>0</v>
      </c>
      <c r="X188" s="43">
        <f>IFERROR(SUMPRODUCT(X186:X186*H186:H186),"0")</f>
        <v>0</v>
      </c>
      <c r="Y188" s="43">
        <f>IFERROR(SUMPRODUCT(Y186:Y186*H186:H186),"0")</f>
        <v>0</v>
      </c>
      <c r="Z188" s="42"/>
      <c r="AA188" s="67"/>
      <c r="AB188" s="67"/>
      <c r="AC188" s="67"/>
    </row>
    <row r="189" spans="1:68" ht="27.75" customHeight="1" x14ac:dyDescent="0.2">
      <c r="A189" s="306" t="s">
        <v>293</v>
      </c>
      <c r="B189" s="306"/>
      <c r="C189" s="306"/>
      <c r="D189" s="306"/>
      <c r="E189" s="306"/>
      <c r="F189" s="306"/>
      <c r="G189" s="306"/>
      <c r="H189" s="306"/>
      <c r="I189" s="306"/>
      <c r="J189" s="306"/>
      <c r="K189" s="306"/>
      <c r="L189" s="306"/>
      <c r="M189" s="306"/>
      <c r="N189" s="306"/>
      <c r="O189" s="306"/>
      <c r="P189" s="306"/>
      <c r="Q189" s="306"/>
      <c r="R189" s="306"/>
      <c r="S189" s="306"/>
      <c r="T189" s="306"/>
      <c r="U189" s="306"/>
      <c r="V189" s="306"/>
      <c r="W189" s="306"/>
      <c r="X189" s="306"/>
      <c r="Y189" s="306"/>
      <c r="Z189" s="306"/>
      <c r="AA189" s="54"/>
      <c r="AB189" s="54"/>
      <c r="AC189" s="54"/>
    </row>
    <row r="190" spans="1:68" ht="16.5" customHeight="1" x14ac:dyDescent="0.25">
      <c r="A190" s="307" t="s">
        <v>294</v>
      </c>
      <c r="B190" s="307"/>
      <c r="C190" s="307"/>
      <c r="D190" s="307"/>
      <c r="E190" s="307"/>
      <c r="F190" s="307"/>
      <c r="G190" s="307"/>
      <c r="H190" s="307"/>
      <c r="I190" s="307"/>
      <c r="J190" s="307"/>
      <c r="K190" s="307"/>
      <c r="L190" s="307"/>
      <c r="M190" s="307"/>
      <c r="N190" s="307"/>
      <c r="O190" s="307"/>
      <c r="P190" s="307"/>
      <c r="Q190" s="307"/>
      <c r="R190" s="307"/>
      <c r="S190" s="307"/>
      <c r="T190" s="307"/>
      <c r="U190" s="307"/>
      <c r="V190" s="307"/>
      <c r="W190" s="307"/>
      <c r="X190" s="307"/>
      <c r="Y190" s="307"/>
      <c r="Z190" s="307"/>
      <c r="AA190" s="65"/>
      <c r="AB190" s="65"/>
      <c r="AC190" s="82"/>
    </row>
    <row r="191" spans="1:68" ht="14.25" customHeight="1" x14ac:dyDescent="0.25">
      <c r="A191" s="297" t="s">
        <v>107</v>
      </c>
      <c r="B191" s="297"/>
      <c r="C191" s="297"/>
      <c r="D191" s="297"/>
      <c r="E191" s="297"/>
      <c r="F191" s="297"/>
      <c r="G191" s="297"/>
      <c r="H191" s="297"/>
      <c r="I191" s="297"/>
      <c r="J191" s="297"/>
      <c r="K191" s="297"/>
      <c r="L191" s="297"/>
      <c r="M191" s="297"/>
      <c r="N191" s="297"/>
      <c r="O191" s="297"/>
      <c r="P191" s="297"/>
      <c r="Q191" s="297"/>
      <c r="R191" s="297"/>
      <c r="S191" s="297"/>
      <c r="T191" s="297"/>
      <c r="U191" s="297"/>
      <c r="V191" s="297"/>
      <c r="W191" s="297"/>
      <c r="X191" s="297"/>
      <c r="Y191" s="297"/>
      <c r="Z191" s="297"/>
      <c r="AA191" s="66"/>
      <c r="AB191" s="66"/>
      <c r="AC191" s="83"/>
    </row>
    <row r="192" spans="1:68" ht="27" customHeight="1" x14ac:dyDescent="0.25">
      <c r="A192" s="63" t="s">
        <v>295</v>
      </c>
      <c r="B192" s="63" t="s">
        <v>296</v>
      </c>
      <c r="C192" s="36">
        <v>4301132227</v>
      </c>
      <c r="D192" s="279">
        <v>4620207491133</v>
      </c>
      <c r="E192" s="279"/>
      <c r="F192" s="62">
        <v>0.23</v>
      </c>
      <c r="G192" s="37">
        <v>12</v>
      </c>
      <c r="H192" s="62">
        <v>2.76</v>
      </c>
      <c r="I192" s="62">
        <v>2.98</v>
      </c>
      <c r="J192" s="37">
        <v>70</v>
      </c>
      <c r="K192" s="37" t="s">
        <v>112</v>
      </c>
      <c r="L192" s="37" t="s">
        <v>113</v>
      </c>
      <c r="M192" s="38" t="s">
        <v>86</v>
      </c>
      <c r="N192" s="38"/>
      <c r="O192" s="37">
        <v>180</v>
      </c>
      <c r="P192" s="32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81"/>
      <c r="R192" s="281"/>
      <c r="S192" s="281"/>
      <c r="T192" s="282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17" t="s">
        <v>297</v>
      </c>
      <c r="AG192" s="81"/>
      <c r="AJ192" s="87" t="s">
        <v>114</v>
      </c>
      <c r="AK192" s="87">
        <v>14</v>
      </c>
      <c r="BB192" s="218" t="s">
        <v>111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286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7"/>
      <c r="P193" s="283" t="s">
        <v>40</v>
      </c>
      <c r="Q193" s="284"/>
      <c r="R193" s="284"/>
      <c r="S193" s="284"/>
      <c r="T193" s="284"/>
      <c r="U193" s="284"/>
      <c r="V193" s="285"/>
      <c r="W193" s="42" t="s">
        <v>39</v>
      </c>
      <c r="X193" s="43">
        <f>IFERROR(SUM(X192:X192),"0")</f>
        <v>0</v>
      </c>
      <c r="Y193" s="43">
        <f>IFERROR(SUM(Y192:Y192),"0")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7"/>
      <c r="P194" s="283" t="s">
        <v>40</v>
      </c>
      <c r="Q194" s="284"/>
      <c r="R194" s="284"/>
      <c r="S194" s="284"/>
      <c r="T194" s="284"/>
      <c r="U194" s="284"/>
      <c r="V194" s="285"/>
      <c r="W194" s="42" t="s">
        <v>0</v>
      </c>
      <c r="X194" s="43">
        <f>IFERROR(SUMPRODUCT(X192:X192*H192:H192),"0")</f>
        <v>0</v>
      </c>
      <c r="Y194" s="43">
        <f>IFERROR(SUMPRODUCT(Y192:Y192*H192:H192),"0")</f>
        <v>0</v>
      </c>
      <c r="Z194" s="42"/>
      <c r="AA194" s="67"/>
      <c r="AB194" s="67"/>
      <c r="AC194" s="67"/>
    </row>
    <row r="195" spans="1:68" ht="14.25" customHeight="1" x14ac:dyDescent="0.25">
      <c r="A195" s="297" t="s">
        <v>153</v>
      </c>
      <c r="B195" s="297"/>
      <c r="C195" s="297"/>
      <c r="D195" s="297"/>
      <c r="E195" s="297"/>
      <c r="F195" s="297"/>
      <c r="G195" s="297"/>
      <c r="H195" s="297"/>
      <c r="I195" s="297"/>
      <c r="J195" s="297"/>
      <c r="K195" s="297"/>
      <c r="L195" s="297"/>
      <c r="M195" s="297"/>
      <c r="N195" s="297"/>
      <c r="O195" s="297"/>
      <c r="P195" s="297"/>
      <c r="Q195" s="297"/>
      <c r="R195" s="297"/>
      <c r="S195" s="297"/>
      <c r="T195" s="297"/>
      <c r="U195" s="297"/>
      <c r="V195" s="297"/>
      <c r="W195" s="297"/>
      <c r="X195" s="297"/>
      <c r="Y195" s="297"/>
      <c r="Z195" s="297"/>
      <c r="AA195" s="66"/>
      <c r="AB195" s="66"/>
      <c r="AC195" s="83"/>
    </row>
    <row r="196" spans="1:68" ht="27" customHeight="1" x14ac:dyDescent="0.25">
      <c r="A196" s="63" t="s">
        <v>298</v>
      </c>
      <c r="B196" s="63" t="s">
        <v>299</v>
      </c>
      <c r="C196" s="36">
        <v>4301135834</v>
      </c>
      <c r="D196" s="279">
        <v>4620207491188</v>
      </c>
      <c r="E196" s="279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112</v>
      </c>
      <c r="L196" s="37" t="s">
        <v>88</v>
      </c>
      <c r="M196" s="38" t="s">
        <v>86</v>
      </c>
      <c r="N196" s="38"/>
      <c r="O196" s="37">
        <v>180</v>
      </c>
      <c r="P196" s="3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81"/>
      <c r="R196" s="281"/>
      <c r="S196" s="281"/>
      <c r="T196" s="282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89</v>
      </c>
      <c r="AK196" s="87">
        <v>1</v>
      </c>
      <c r="BB196" s="220" t="s">
        <v>111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301</v>
      </c>
      <c r="B197" s="63" t="s">
        <v>302</v>
      </c>
      <c r="C197" s="36">
        <v>4301135707</v>
      </c>
      <c r="D197" s="279">
        <v>4620207490198</v>
      </c>
      <c r="E197" s="279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112</v>
      </c>
      <c r="L197" s="37" t="s">
        <v>88</v>
      </c>
      <c r="M197" s="38" t="s">
        <v>86</v>
      </c>
      <c r="N197" s="38"/>
      <c r="O197" s="37">
        <v>180</v>
      </c>
      <c r="P197" s="319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81"/>
      <c r="R197" s="281"/>
      <c r="S197" s="281"/>
      <c r="T197" s="282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89</v>
      </c>
      <c r="AK197" s="87">
        <v>1</v>
      </c>
      <c r="BB197" s="222" t="s">
        <v>111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304</v>
      </c>
      <c r="B198" s="63" t="s">
        <v>305</v>
      </c>
      <c r="C198" s="36">
        <v>4301135829</v>
      </c>
      <c r="D198" s="279">
        <v>4620207490235</v>
      </c>
      <c r="E198" s="279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112</v>
      </c>
      <c r="L198" s="37" t="s">
        <v>88</v>
      </c>
      <c r="M198" s="38" t="s">
        <v>86</v>
      </c>
      <c r="N198" s="38"/>
      <c r="O198" s="37">
        <v>180</v>
      </c>
      <c r="P198" s="320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81"/>
      <c r="R198" s="281"/>
      <c r="S198" s="281"/>
      <c r="T198" s="282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306</v>
      </c>
      <c r="AG198" s="81"/>
      <c r="AJ198" s="87" t="s">
        <v>89</v>
      </c>
      <c r="AK198" s="87">
        <v>1</v>
      </c>
      <c r="BB198" s="224" t="s">
        <v>111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307</v>
      </c>
      <c r="B199" s="63" t="s">
        <v>308</v>
      </c>
      <c r="C199" s="36">
        <v>4301135697</v>
      </c>
      <c r="D199" s="279">
        <v>4620207490259</v>
      </c>
      <c r="E199" s="279"/>
      <c r="F199" s="62">
        <v>0.2</v>
      </c>
      <c r="G199" s="37">
        <v>12</v>
      </c>
      <c r="H199" s="62">
        <v>2.4</v>
      </c>
      <c r="I199" s="62">
        <v>3.1036000000000001</v>
      </c>
      <c r="J199" s="37">
        <v>70</v>
      </c>
      <c r="K199" s="37" t="s">
        <v>112</v>
      </c>
      <c r="L199" s="37" t="s">
        <v>88</v>
      </c>
      <c r="M199" s="38" t="s">
        <v>86</v>
      </c>
      <c r="N199" s="38"/>
      <c r="O199" s="37">
        <v>180</v>
      </c>
      <c r="P199" s="3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81"/>
      <c r="R199" s="281"/>
      <c r="S199" s="281"/>
      <c r="T199" s="282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303</v>
      </c>
      <c r="AG199" s="81"/>
      <c r="AJ199" s="87" t="s">
        <v>89</v>
      </c>
      <c r="AK199" s="87">
        <v>1</v>
      </c>
      <c r="BB199" s="226" t="s">
        <v>111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309</v>
      </c>
      <c r="B200" s="63" t="s">
        <v>310</v>
      </c>
      <c r="C200" s="36">
        <v>4301135681</v>
      </c>
      <c r="D200" s="279">
        <v>4620207490143</v>
      </c>
      <c r="E200" s="279"/>
      <c r="F200" s="62">
        <v>0.22</v>
      </c>
      <c r="G200" s="37">
        <v>12</v>
      </c>
      <c r="H200" s="62">
        <v>2.64</v>
      </c>
      <c r="I200" s="62">
        <v>3.3435999999999999</v>
      </c>
      <c r="J200" s="37">
        <v>70</v>
      </c>
      <c r="K200" s="37" t="s">
        <v>112</v>
      </c>
      <c r="L200" s="37" t="s">
        <v>88</v>
      </c>
      <c r="M200" s="38" t="s">
        <v>86</v>
      </c>
      <c r="N200" s="38"/>
      <c r="O200" s="37">
        <v>180</v>
      </c>
      <c r="P200" s="31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81"/>
      <c r="R200" s="281"/>
      <c r="S200" s="281"/>
      <c r="T200" s="282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311</v>
      </c>
      <c r="AG200" s="81"/>
      <c r="AJ200" s="87" t="s">
        <v>89</v>
      </c>
      <c r="AK200" s="87">
        <v>1</v>
      </c>
      <c r="BB200" s="228" t="s">
        <v>111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286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7"/>
      <c r="P201" s="283" t="s">
        <v>40</v>
      </c>
      <c r="Q201" s="284"/>
      <c r="R201" s="284"/>
      <c r="S201" s="284"/>
      <c r="T201" s="284"/>
      <c r="U201" s="284"/>
      <c r="V201" s="285"/>
      <c r="W201" s="42" t="s">
        <v>39</v>
      </c>
      <c r="X201" s="43">
        <f>IFERROR(SUM(X196:X200),"0")</f>
        <v>0</v>
      </c>
      <c r="Y201" s="43">
        <f>IFERROR(SUM(Y196:Y200),"0")</f>
        <v>0</v>
      </c>
      <c r="Z201" s="43">
        <f>IFERROR(IF(Z196="",0,Z196),"0")+IFERROR(IF(Z197="",0,Z197),"0")+IFERROR(IF(Z198="",0,Z198),"0")+IFERROR(IF(Z199="",0,Z199),"0")+IFERROR(IF(Z200="",0,Z200),"0")</f>
        <v>0</v>
      </c>
      <c r="AA201" s="67"/>
      <c r="AB201" s="67"/>
      <c r="AC201" s="67"/>
    </row>
    <row r="202" spans="1:68" x14ac:dyDescent="0.2">
      <c r="A202" s="286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7"/>
      <c r="P202" s="283" t="s">
        <v>40</v>
      </c>
      <c r="Q202" s="284"/>
      <c r="R202" s="284"/>
      <c r="S202" s="284"/>
      <c r="T202" s="284"/>
      <c r="U202" s="284"/>
      <c r="V202" s="285"/>
      <c r="W202" s="42" t="s">
        <v>0</v>
      </c>
      <c r="X202" s="43">
        <f>IFERROR(SUMPRODUCT(X196:X200*H196:H200),"0")</f>
        <v>0</v>
      </c>
      <c r="Y202" s="43">
        <f>IFERROR(SUMPRODUCT(Y196:Y200*H196:H200),"0")</f>
        <v>0</v>
      </c>
      <c r="Z202" s="42"/>
      <c r="AA202" s="67"/>
      <c r="AB202" s="67"/>
      <c r="AC202" s="67"/>
    </row>
    <row r="203" spans="1:68" ht="16.5" customHeight="1" x14ac:dyDescent="0.25">
      <c r="A203" s="307" t="s">
        <v>312</v>
      </c>
      <c r="B203" s="307"/>
      <c r="C203" s="307"/>
      <c r="D203" s="307"/>
      <c r="E203" s="307"/>
      <c r="F203" s="307"/>
      <c r="G203" s="307"/>
      <c r="H203" s="307"/>
      <c r="I203" s="307"/>
      <c r="J203" s="307"/>
      <c r="K203" s="307"/>
      <c r="L203" s="307"/>
      <c r="M203" s="307"/>
      <c r="N203" s="307"/>
      <c r="O203" s="307"/>
      <c r="P203" s="307"/>
      <c r="Q203" s="307"/>
      <c r="R203" s="307"/>
      <c r="S203" s="307"/>
      <c r="T203" s="307"/>
      <c r="U203" s="307"/>
      <c r="V203" s="307"/>
      <c r="W203" s="307"/>
      <c r="X203" s="307"/>
      <c r="Y203" s="307"/>
      <c r="Z203" s="307"/>
      <c r="AA203" s="65"/>
      <c r="AB203" s="65"/>
      <c r="AC203" s="82"/>
    </row>
    <row r="204" spans="1:68" ht="14.25" customHeight="1" x14ac:dyDescent="0.25">
      <c r="A204" s="297" t="s">
        <v>82</v>
      </c>
      <c r="B204" s="297"/>
      <c r="C204" s="297"/>
      <c r="D204" s="297"/>
      <c r="E204" s="297"/>
      <c r="F204" s="297"/>
      <c r="G204" s="297"/>
      <c r="H204" s="297"/>
      <c r="I204" s="297"/>
      <c r="J204" s="297"/>
      <c r="K204" s="297"/>
      <c r="L204" s="297"/>
      <c r="M204" s="297"/>
      <c r="N204" s="297"/>
      <c r="O204" s="297"/>
      <c r="P204" s="297"/>
      <c r="Q204" s="297"/>
      <c r="R204" s="297"/>
      <c r="S204" s="297"/>
      <c r="T204" s="297"/>
      <c r="U204" s="297"/>
      <c r="V204" s="297"/>
      <c r="W204" s="297"/>
      <c r="X204" s="297"/>
      <c r="Y204" s="297"/>
      <c r="Z204" s="297"/>
      <c r="AA204" s="66"/>
      <c r="AB204" s="66"/>
      <c r="AC204" s="83"/>
    </row>
    <row r="205" spans="1:68" ht="27" customHeight="1" x14ac:dyDescent="0.25">
      <c r="A205" s="63" t="s">
        <v>313</v>
      </c>
      <c r="B205" s="63" t="s">
        <v>314</v>
      </c>
      <c r="C205" s="36">
        <v>4301071097</v>
      </c>
      <c r="D205" s="279">
        <v>4620207491096</v>
      </c>
      <c r="E205" s="279"/>
      <c r="F205" s="62">
        <v>1</v>
      </c>
      <c r="G205" s="37">
        <v>5</v>
      </c>
      <c r="H205" s="62">
        <v>5</v>
      </c>
      <c r="I205" s="62">
        <v>5.23</v>
      </c>
      <c r="J205" s="37">
        <v>84</v>
      </c>
      <c r="K205" s="37" t="s">
        <v>87</v>
      </c>
      <c r="L205" s="37" t="s">
        <v>117</v>
      </c>
      <c r="M205" s="38" t="s">
        <v>86</v>
      </c>
      <c r="N205" s="38"/>
      <c r="O205" s="37">
        <v>180</v>
      </c>
      <c r="P205" s="31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81"/>
      <c r="R205" s="281"/>
      <c r="S205" s="281"/>
      <c r="T205" s="282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9" t="s">
        <v>315</v>
      </c>
      <c r="AG205" s="81"/>
      <c r="AJ205" s="87" t="s">
        <v>118</v>
      </c>
      <c r="AK205" s="87">
        <v>84</v>
      </c>
      <c r="BB205" s="230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286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7"/>
      <c r="P206" s="283" t="s">
        <v>40</v>
      </c>
      <c r="Q206" s="284"/>
      <c r="R206" s="284"/>
      <c r="S206" s="284"/>
      <c r="T206" s="284"/>
      <c r="U206" s="284"/>
      <c r="V206" s="285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286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7"/>
      <c r="P207" s="283" t="s">
        <v>40</v>
      </c>
      <c r="Q207" s="284"/>
      <c r="R207" s="284"/>
      <c r="S207" s="284"/>
      <c r="T207" s="284"/>
      <c r="U207" s="284"/>
      <c r="V207" s="285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6.5" customHeight="1" x14ac:dyDescent="0.25">
      <c r="A208" s="307" t="s">
        <v>316</v>
      </c>
      <c r="B208" s="307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  <c r="M208" s="307"/>
      <c r="N208" s="307"/>
      <c r="O208" s="307"/>
      <c r="P208" s="307"/>
      <c r="Q208" s="307"/>
      <c r="R208" s="307"/>
      <c r="S208" s="307"/>
      <c r="T208" s="307"/>
      <c r="U208" s="307"/>
      <c r="V208" s="307"/>
      <c r="W208" s="307"/>
      <c r="X208" s="307"/>
      <c r="Y208" s="307"/>
      <c r="Z208" s="307"/>
      <c r="AA208" s="65"/>
      <c r="AB208" s="65"/>
      <c r="AC208" s="82"/>
    </row>
    <row r="209" spans="1:68" ht="14.25" customHeight="1" x14ac:dyDescent="0.25">
      <c r="A209" s="297" t="s">
        <v>153</v>
      </c>
      <c r="B209" s="297"/>
      <c r="C209" s="297"/>
      <c r="D209" s="297"/>
      <c r="E209" s="297"/>
      <c r="F209" s="297"/>
      <c r="G209" s="297"/>
      <c r="H209" s="297"/>
      <c r="I209" s="297"/>
      <c r="J209" s="297"/>
      <c r="K209" s="297"/>
      <c r="L209" s="297"/>
      <c r="M209" s="297"/>
      <c r="N209" s="297"/>
      <c r="O209" s="297"/>
      <c r="P209" s="297"/>
      <c r="Q209" s="297"/>
      <c r="R209" s="297"/>
      <c r="S209" s="297"/>
      <c r="T209" s="297"/>
      <c r="U209" s="297"/>
      <c r="V209" s="297"/>
      <c r="W209" s="297"/>
      <c r="X209" s="297"/>
      <c r="Y209" s="297"/>
      <c r="Z209" s="297"/>
      <c r="AA209" s="66"/>
      <c r="AB209" s="66"/>
      <c r="AC209" s="83"/>
    </row>
    <row r="210" spans="1:68" ht="27" customHeight="1" x14ac:dyDescent="0.25">
      <c r="A210" s="63" t="s">
        <v>317</v>
      </c>
      <c r="B210" s="63" t="s">
        <v>318</v>
      </c>
      <c r="C210" s="36">
        <v>4301135691</v>
      </c>
      <c r="D210" s="279">
        <v>4620207490549</v>
      </c>
      <c r="E210" s="279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112</v>
      </c>
      <c r="L210" s="37" t="s">
        <v>88</v>
      </c>
      <c r="M210" s="38" t="s">
        <v>86</v>
      </c>
      <c r="N210" s="38"/>
      <c r="O210" s="37">
        <v>180</v>
      </c>
      <c r="P210" s="31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1"/>
      <c r="R210" s="281"/>
      <c r="S210" s="281"/>
      <c r="T210" s="282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1" t="s">
        <v>319</v>
      </c>
      <c r="AG210" s="81"/>
      <c r="AJ210" s="87" t="s">
        <v>89</v>
      </c>
      <c r="AK210" s="87">
        <v>1</v>
      </c>
      <c r="BB210" s="232" t="s">
        <v>111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320</v>
      </c>
      <c r="B211" s="63" t="s">
        <v>321</v>
      </c>
      <c r="C211" s="36">
        <v>4301135694</v>
      </c>
      <c r="D211" s="279">
        <v>4620207490501</v>
      </c>
      <c r="E211" s="279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112</v>
      </c>
      <c r="L211" s="37" t="s">
        <v>88</v>
      </c>
      <c r="M211" s="38" t="s">
        <v>86</v>
      </c>
      <c r="N211" s="38"/>
      <c r="O211" s="37">
        <v>180</v>
      </c>
      <c r="P211" s="31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1"/>
      <c r="R211" s="281"/>
      <c r="S211" s="281"/>
      <c r="T211" s="282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3" t="s">
        <v>319</v>
      </c>
      <c r="AG211" s="81"/>
      <c r="AJ211" s="87" t="s">
        <v>89</v>
      </c>
      <c r="AK211" s="87">
        <v>1</v>
      </c>
      <c r="BB211" s="234" t="s">
        <v>111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286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7"/>
      <c r="P212" s="283" t="s">
        <v>40</v>
      </c>
      <c r="Q212" s="284"/>
      <c r="R212" s="284"/>
      <c r="S212" s="284"/>
      <c r="T212" s="284"/>
      <c r="U212" s="284"/>
      <c r="V212" s="285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x14ac:dyDescent="0.2">
      <c r="A213" s="286"/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7"/>
      <c r="P213" s="283" t="s">
        <v>40</v>
      </c>
      <c r="Q213" s="284"/>
      <c r="R213" s="284"/>
      <c r="S213" s="284"/>
      <c r="T213" s="284"/>
      <c r="U213" s="284"/>
      <c r="V213" s="285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27.75" customHeight="1" x14ac:dyDescent="0.2">
      <c r="A214" s="306" t="s">
        <v>322</v>
      </c>
      <c r="B214" s="306"/>
      <c r="C214" s="306"/>
      <c r="D214" s="306"/>
      <c r="E214" s="306"/>
      <c r="F214" s="306"/>
      <c r="G214" s="306"/>
      <c r="H214" s="306"/>
      <c r="I214" s="306"/>
      <c r="J214" s="306"/>
      <c r="K214" s="306"/>
      <c r="L214" s="306"/>
      <c r="M214" s="306"/>
      <c r="N214" s="306"/>
      <c r="O214" s="306"/>
      <c r="P214" s="306"/>
      <c r="Q214" s="306"/>
      <c r="R214" s="306"/>
      <c r="S214" s="306"/>
      <c r="T214" s="306"/>
      <c r="U214" s="306"/>
      <c r="V214" s="306"/>
      <c r="W214" s="306"/>
      <c r="X214" s="306"/>
      <c r="Y214" s="306"/>
      <c r="Z214" s="306"/>
      <c r="AA214" s="54"/>
      <c r="AB214" s="54"/>
      <c r="AC214" s="54"/>
    </row>
    <row r="215" spans="1:68" ht="16.5" customHeight="1" x14ac:dyDescent="0.25">
      <c r="A215" s="307" t="s">
        <v>323</v>
      </c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  <c r="M215" s="307"/>
      <c r="N215" s="307"/>
      <c r="O215" s="307"/>
      <c r="P215" s="307"/>
      <c r="Q215" s="307"/>
      <c r="R215" s="307"/>
      <c r="S215" s="307"/>
      <c r="T215" s="307"/>
      <c r="U215" s="307"/>
      <c r="V215" s="307"/>
      <c r="W215" s="307"/>
      <c r="X215" s="307"/>
      <c r="Y215" s="307"/>
      <c r="Z215" s="307"/>
      <c r="AA215" s="65"/>
      <c r="AB215" s="65"/>
      <c r="AC215" s="82"/>
    </row>
    <row r="216" spans="1:68" ht="14.25" customHeight="1" x14ac:dyDescent="0.25">
      <c r="A216" s="297" t="s">
        <v>82</v>
      </c>
      <c r="B216" s="297"/>
      <c r="C216" s="297"/>
      <c r="D216" s="297"/>
      <c r="E216" s="297"/>
      <c r="F216" s="297"/>
      <c r="G216" s="297"/>
      <c r="H216" s="297"/>
      <c r="I216" s="297"/>
      <c r="J216" s="297"/>
      <c r="K216" s="297"/>
      <c r="L216" s="297"/>
      <c r="M216" s="297"/>
      <c r="N216" s="297"/>
      <c r="O216" s="297"/>
      <c r="P216" s="297"/>
      <c r="Q216" s="297"/>
      <c r="R216" s="297"/>
      <c r="S216" s="297"/>
      <c r="T216" s="297"/>
      <c r="U216" s="297"/>
      <c r="V216" s="297"/>
      <c r="W216" s="297"/>
      <c r="X216" s="297"/>
      <c r="Y216" s="297"/>
      <c r="Z216" s="297"/>
      <c r="AA216" s="66"/>
      <c r="AB216" s="66"/>
      <c r="AC216" s="83"/>
    </row>
    <row r="217" spans="1:68" ht="27" customHeight="1" x14ac:dyDescent="0.25">
      <c r="A217" s="63" t="s">
        <v>324</v>
      </c>
      <c r="B217" s="63" t="s">
        <v>325</v>
      </c>
      <c r="C217" s="36">
        <v>4301071036</v>
      </c>
      <c r="D217" s="279">
        <v>4607111036162</v>
      </c>
      <c r="E217" s="279"/>
      <c r="F217" s="62">
        <v>0.8</v>
      </c>
      <c r="G217" s="37">
        <v>8</v>
      </c>
      <c r="H217" s="62">
        <v>6.4</v>
      </c>
      <c r="I217" s="62">
        <v>6.6811999999999996</v>
      </c>
      <c r="J217" s="37">
        <v>84</v>
      </c>
      <c r="K217" s="37" t="s">
        <v>87</v>
      </c>
      <c r="L217" s="37" t="s">
        <v>88</v>
      </c>
      <c r="M217" s="38" t="s">
        <v>86</v>
      </c>
      <c r="N217" s="38"/>
      <c r="O217" s="37">
        <v>90</v>
      </c>
      <c r="P217" s="31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281"/>
      <c r="R217" s="281"/>
      <c r="S217" s="281"/>
      <c r="T217" s="282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35" t="s">
        <v>326</v>
      </c>
      <c r="AG217" s="81"/>
      <c r="AJ217" s="87" t="s">
        <v>89</v>
      </c>
      <c r="AK217" s="87">
        <v>1</v>
      </c>
      <c r="BB217" s="236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286"/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7"/>
      <c r="P218" s="283" t="s">
        <v>40</v>
      </c>
      <c r="Q218" s="284"/>
      <c r="R218" s="284"/>
      <c r="S218" s="284"/>
      <c r="T218" s="284"/>
      <c r="U218" s="284"/>
      <c r="V218" s="285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286"/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7"/>
      <c r="P219" s="283" t="s">
        <v>40</v>
      </c>
      <c r="Q219" s="284"/>
      <c r="R219" s="284"/>
      <c r="S219" s="284"/>
      <c r="T219" s="284"/>
      <c r="U219" s="284"/>
      <c r="V219" s="285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27.75" customHeight="1" x14ac:dyDescent="0.2">
      <c r="A220" s="306" t="s">
        <v>327</v>
      </c>
      <c r="B220" s="306"/>
      <c r="C220" s="306"/>
      <c r="D220" s="306"/>
      <c r="E220" s="306"/>
      <c r="F220" s="306"/>
      <c r="G220" s="306"/>
      <c r="H220" s="306"/>
      <c r="I220" s="306"/>
      <c r="J220" s="306"/>
      <c r="K220" s="306"/>
      <c r="L220" s="306"/>
      <c r="M220" s="306"/>
      <c r="N220" s="306"/>
      <c r="O220" s="306"/>
      <c r="P220" s="306"/>
      <c r="Q220" s="306"/>
      <c r="R220" s="306"/>
      <c r="S220" s="306"/>
      <c r="T220" s="306"/>
      <c r="U220" s="306"/>
      <c r="V220" s="306"/>
      <c r="W220" s="306"/>
      <c r="X220" s="306"/>
      <c r="Y220" s="306"/>
      <c r="Z220" s="306"/>
      <c r="AA220" s="54"/>
      <c r="AB220" s="54"/>
      <c r="AC220" s="54"/>
    </row>
    <row r="221" spans="1:68" ht="16.5" customHeight="1" x14ac:dyDescent="0.25">
      <c r="A221" s="307" t="s">
        <v>328</v>
      </c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  <c r="M221" s="307"/>
      <c r="N221" s="307"/>
      <c r="O221" s="307"/>
      <c r="P221" s="307"/>
      <c r="Q221" s="307"/>
      <c r="R221" s="307"/>
      <c r="S221" s="307"/>
      <c r="T221" s="307"/>
      <c r="U221" s="307"/>
      <c r="V221" s="307"/>
      <c r="W221" s="307"/>
      <c r="X221" s="307"/>
      <c r="Y221" s="307"/>
      <c r="Z221" s="307"/>
      <c r="AA221" s="65"/>
      <c r="AB221" s="65"/>
      <c r="AC221" s="82"/>
    </row>
    <row r="222" spans="1:68" ht="14.25" customHeight="1" x14ac:dyDescent="0.25">
      <c r="A222" s="297" t="s">
        <v>82</v>
      </c>
      <c r="B222" s="297"/>
      <c r="C222" s="297"/>
      <c r="D222" s="297"/>
      <c r="E222" s="297"/>
      <c r="F222" s="297"/>
      <c r="G222" s="297"/>
      <c r="H222" s="297"/>
      <c r="I222" s="297"/>
      <c r="J222" s="297"/>
      <c r="K222" s="297"/>
      <c r="L222" s="297"/>
      <c r="M222" s="297"/>
      <c r="N222" s="297"/>
      <c r="O222" s="297"/>
      <c r="P222" s="297"/>
      <c r="Q222" s="297"/>
      <c r="R222" s="297"/>
      <c r="S222" s="297"/>
      <c r="T222" s="297"/>
      <c r="U222" s="297"/>
      <c r="V222" s="297"/>
      <c r="W222" s="297"/>
      <c r="X222" s="297"/>
      <c r="Y222" s="297"/>
      <c r="Z222" s="297"/>
      <c r="AA222" s="66"/>
      <c r="AB222" s="66"/>
      <c r="AC222" s="83"/>
    </row>
    <row r="223" spans="1:68" ht="27" customHeight="1" x14ac:dyDescent="0.25">
      <c r="A223" s="63" t="s">
        <v>329</v>
      </c>
      <c r="B223" s="63" t="s">
        <v>330</v>
      </c>
      <c r="C223" s="36">
        <v>4301071029</v>
      </c>
      <c r="D223" s="279">
        <v>4607111035899</v>
      </c>
      <c r="E223" s="279"/>
      <c r="F223" s="62">
        <v>1</v>
      </c>
      <c r="G223" s="37">
        <v>5</v>
      </c>
      <c r="H223" s="62">
        <v>5</v>
      </c>
      <c r="I223" s="62">
        <v>5.2619999999999996</v>
      </c>
      <c r="J223" s="37">
        <v>84</v>
      </c>
      <c r="K223" s="37" t="s">
        <v>87</v>
      </c>
      <c r="L223" s="37" t="s">
        <v>113</v>
      </c>
      <c r="M223" s="38" t="s">
        <v>86</v>
      </c>
      <c r="N223" s="38"/>
      <c r="O223" s="37">
        <v>180</v>
      </c>
      <c r="P223" s="31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281"/>
      <c r="R223" s="281"/>
      <c r="S223" s="281"/>
      <c r="T223" s="282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37" t="s">
        <v>270</v>
      </c>
      <c r="AG223" s="81"/>
      <c r="AJ223" s="87" t="s">
        <v>114</v>
      </c>
      <c r="AK223" s="87">
        <v>12</v>
      </c>
      <c r="BB223" s="238" t="s">
        <v>70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x14ac:dyDescent="0.2">
      <c r="A224" s="286"/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7"/>
      <c r="P224" s="283" t="s">
        <v>40</v>
      </c>
      <c r="Q224" s="284"/>
      <c r="R224" s="284"/>
      <c r="S224" s="284"/>
      <c r="T224" s="284"/>
      <c r="U224" s="284"/>
      <c r="V224" s="285"/>
      <c r="W224" s="42" t="s">
        <v>39</v>
      </c>
      <c r="X224" s="43">
        <f>IFERROR(SUM(X223:X223),"0")</f>
        <v>0</v>
      </c>
      <c r="Y224" s="43">
        <f>IFERROR(SUM(Y223:Y223),"0")</f>
        <v>0</v>
      </c>
      <c r="Z224" s="43">
        <f>IFERROR(IF(Z223="",0,Z223),"0")</f>
        <v>0</v>
      </c>
      <c r="AA224" s="67"/>
      <c r="AB224" s="67"/>
      <c r="AC224" s="67"/>
    </row>
    <row r="225" spans="1:68" x14ac:dyDescent="0.2">
      <c r="A225" s="286"/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7"/>
      <c r="P225" s="283" t="s">
        <v>40</v>
      </c>
      <c r="Q225" s="284"/>
      <c r="R225" s="284"/>
      <c r="S225" s="284"/>
      <c r="T225" s="284"/>
      <c r="U225" s="284"/>
      <c r="V225" s="285"/>
      <c r="W225" s="42" t="s">
        <v>0</v>
      </c>
      <c r="X225" s="43">
        <f>IFERROR(SUMPRODUCT(X223:X223*H223:H223),"0")</f>
        <v>0</v>
      </c>
      <c r="Y225" s="43">
        <f>IFERROR(SUMPRODUCT(Y223:Y223*H223:H223),"0")</f>
        <v>0</v>
      </c>
      <c r="Z225" s="42"/>
      <c r="AA225" s="67"/>
      <c r="AB225" s="67"/>
      <c r="AC225" s="67"/>
    </row>
    <row r="226" spans="1:68" ht="27.75" customHeight="1" x14ac:dyDescent="0.2">
      <c r="A226" s="306" t="s">
        <v>331</v>
      </c>
      <c r="B226" s="306"/>
      <c r="C226" s="306"/>
      <c r="D226" s="306"/>
      <c r="E226" s="306"/>
      <c r="F226" s="306"/>
      <c r="G226" s="306"/>
      <c r="H226" s="306"/>
      <c r="I226" s="306"/>
      <c r="J226" s="306"/>
      <c r="K226" s="306"/>
      <c r="L226" s="306"/>
      <c r="M226" s="306"/>
      <c r="N226" s="306"/>
      <c r="O226" s="306"/>
      <c r="P226" s="306"/>
      <c r="Q226" s="306"/>
      <c r="R226" s="306"/>
      <c r="S226" s="306"/>
      <c r="T226" s="306"/>
      <c r="U226" s="306"/>
      <c r="V226" s="306"/>
      <c r="W226" s="306"/>
      <c r="X226" s="306"/>
      <c r="Y226" s="306"/>
      <c r="Z226" s="306"/>
      <c r="AA226" s="54"/>
      <c r="AB226" s="54"/>
      <c r="AC226" s="54"/>
    </row>
    <row r="227" spans="1:68" ht="16.5" customHeight="1" x14ac:dyDescent="0.25">
      <c r="A227" s="307" t="s">
        <v>332</v>
      </c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  <c r="M227" s="307"/>
      <c r="N227" s="307"/>
      <c r="O227" s="307"/>
      <c r="P227" s="307"/>
      <c r="Q227" s="307"/>
      <c r="R227" s="307"/>
      <c r="S227" s="307"/>
      <c r="T227" s="307"/>
      <c r="U227" s="307"/>
      <c r="V227" s="307"/>
      <c r="W227" s="307"/>
      <c r="X227" s="307"/>
      <c r="Y227" s="307"/>
      <c r="Z227" s="307"/>
      <c r="AA227" s="65"/>
      <c r="AB227" s="65"/>
      <c r="AC227" s="82"/>
    </row>
    <row r="228" spans="1:68" ht="14.25" customHeight="1" x14ac:dyDescent="0.25">
      <c r="A228" s="297" t="s">
        <v>333</v>
      </c>
      <c r="B228" s="297"/>
      <c r="C228" s="297"/>
      <c r="D228" s="297"/>
      <c r="E228" s="297"/>
      <c r="F228" s="297"/>
      <c r="G228" s="297"/>
      <c r="H228" s="297"/>
      <c r="I228" s="297"/>
      <c r="J228" s="297"/>
      <c r="K228" s="297"/>
      <c r="L228" s="297"/>
      <c r="M228" s="297"/>
      <c r="N228" s="297"/>
      <c r="O228" s="297"/>
      <c r="P228" s="297"/>
      <c r="Q228" s="297"/>
      <c r="R228" s="297"/>
      <c r="S228" s="297"/>
      <c r="T228" s="297"/>
      <c r="U228" s="297"/>
      <c r="V228" s="297"/>
      <c r="W228" s="297"/>
      <c r="X228" s="297"/>
      <c r="Y228" s="297"/>
      <c r="Z228" s="297"/>
      <c r="AA228" s="66"/>
      <c r="AB228" s="66"/>
      <c r="AC228" s="83"/>
    </row>
    <row r="229" spans="1:68" ht="27" customHeight="1" x14ac:dyDescent="0.25">
      <c r="A229" s="63" t="s">
        <v>334</v>
      </c>
      <c r="B229" s="63" t="s">
        <v>335</v>
      </c>
      <c r="C229" s="36">
        <v>4301133004</v>
      </c>
      <c r="D229" s="279">
        <v>4607111039774</v>
      </c>
      <c r="E229" s="279"/>
      <c r="F229" s="62">
        <v>0.25</v>
      </c>
      <c r="G229" s="37">
        <v>12</v>
      </c>
      <c r="H229" s="62">
        <v>3</v>
      </c>
      <c r="I229" s="62">
        <v>3.22</v>
      </c>
      <c r="J229" s="37">
        <v>70</v>
      </c>
      <c r="K229" s="37" t="s">
        <v>112</v>
      </c>
      <c r="L229" s="37" t="s">
        <v>88</v>
      </c>
      <c r="M229" s="38" t="s">
        <v>86</v>
      </c>
      <c r="N229" s="38"/>
      <c r="O229" s="37">
        <v>180</v>
      </c>
      <c r="P229" s="31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281"/>
      <c r="R229" s="281"/>
      <c r="S229" s="281"/>
      <c r="T229" s="282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IFERROR(IF(X229="","",X229*0.01788),"")</f>
        <v>0</v>
      </c>
      <c r="AA229" s="68" t="s">
        <v>46</v>
      </c>
      <c r="AB229" s="69" t="s">
        <v>46</v>
      </c>
      <c r="AC229" s="239" t="s">
        <v>336</v>
      </c>
      <c r="AG229" s="81"/>
      <c r="AJ229" s="87" t="s">
        <v>89</v>
      </c>
      <c r="AK229" s="87">
        <v>1</v>
      </c>
      <c r="BB229" s="240" t="s">
        <v>111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x14ac:dyDescent="0.2">
      <c r="A230" s="286"/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7"/>
      <c r="P230" s="283" t="s">
        <v>40</v>
      </c>
      <c r="Q230" s="284"/>
      <c r="R230" s="284"/>
      <c r="S230" s="284"/>
      <c r="T230" s="284"/>
      <c r="U230" s="284"/>
      <c r="V230" s="285"/>
      <c r="W230" s="42" t="s">
        <v>39</v>
      </c>
      <c r="X230" s="43">
        <f>IFERROR(SUM(X229:X229),"0")</f>
        <v>0</v>
      </c>
      <c r="Y230" s="43">
        <f>IFERROR(SUM(Y229:Y229),"0")</f>
        <v>0</v>
      </c>
      <c r="Z230" s="43">
        <f>IFERROR(IF(Z229="",0,Z229),"0")</f>
        <v>0</v>
      </c>
      <c r="AA230" s="67"/>
      <c r="AB230" s="67"/>
      <c r="AC230" s="67"/>
    </row>
    <row r="231" spans="1:68" x14ac:dyDescent="0.2">
      <c r="A231" s="286"/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7"/>
      <c r="P231" s="283" t="s">
        <v>40</v>
      </c>
      <c r="Q231" s="284"/>
      <c r="R231" s="284"/>
      <c r="S231" s="284"/>
      <c r="T231" s="284"/>
      <c r="U231" s="284"/>
      <c r="V231" s="285"/>
      <c r="W231" s="42" t="s">
        <v>0</v>
      </c>
      <c r="X231" s="43">
        <f>IFERROR(SUMPRODUCT(X229:X229*H229:H229),"0")</f>
        <v>0</v>
      </c>
      <c r="Y231" s="43">
        <f>IFERROR(SUMPRODUCT(Y229:Y229*H229:H229),"0")</f>
        <v>0</v>
      </c>
      <c r="Z231" s="42"/>
      <c r="AA231" s="67"/>
      <c r="AB231" s="67"/>
      <c r="AC231" s="67"/>
    </row>
    <row r="232" spans="1:68" ht="14.25" customHeight="1" x14ac:dyDescent="0.25">
      <c r="A232" s="297" t="s">
        <v>153</v>
      </c>
      <c r="B232" s="297"/>
      <c r="C232" s="297"/>
      <c r="D232" s="297"/>
      <c r="E232" s="297"/>
      <c r="F232" s="297"/>
      <c r="G232" s="297"/>
      <c r="H232" s="297"/>
      <c r="I232" s="297"/>
      <c r="J232" s="297"/>
      <c r="K232" s="297"/>
      <c r="L232" s="297"/>
      <c r="M232" s="297"/>
      <c r="N232" s="297"/>
      <c r="O232" s="297"/>
      <c r="P232" s="297"/>
      <c r="Q232" s="297"/>
      <c r="R232" s="297"/>
      <c r="S232" s="297"/>
      <c r="T232" s="297"/>
      <c r="U232" s="297"/>
      <c r="V232" s="297"/>
      <c r="W232" s="297"/>
      <c r="X232" s="297"/>
      <c r="Y232" s="297"/>
      <c r="Z232" s="297"/>
      <c r="AA232" s="66"/>
      <c r="AB232" s="66"/>
      <c r="AC232" s="83"/>
    </row>
    <row r="233" spans="1:68" ht="37.5" customHeight="1" x14ac:dyDescent="0.25">
      <c r="A233" s="63" t="s">
        <v>337</v>
      </c>
      <c r="B233" s="63" t="s">
        <v>338</v>
      </c>
      <c r="C233" s="36">
        <v>4301135400</v>
      </c>
      <c r="D233" s="279">
        <v>4607111039361</v>
      </c>
      <c r="E233" s="279"/>
      <c r="F233" s="62">
        <v>0.25</v>
      </c>
      <c r="G233" s="37">
        <v>12</v>
      </c>
      <c r="H233" s="62">
        <v>3</v>
      </c>
      <c r="I233" s="62">
        <v>3.7035999999999998</v>
      </c>
      <c r="J233" s="37">
        <v>70</v>
      </c>
      <c r="K233" s="37" t="s">
        <v>112</v>
      </c>
      <c r="L233" s="37" t="s">
        <v>88</v>
      </c>
      <c r="M233" s="38" t="s">
        <v>86</v>
      </c>
      <c r="N233" s="38"/>
      <c r="O233" s="37">
        <v>180</v>
      </c>
      <c r="P233" s="31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281"/>
      <c r="R233" s="281"/>
      <c r="S233" s="281"/>
      <c r="T233" s="282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1" t="s">
        <v>336</v>
      </c>
      <c r="AG233" s="81"/>
      <c r="AJ233" s="87" t="s">
        <v>89</v>
      </c>
      <c r="AK233" s="87">
        <v>1</v>
      </c>
      <c r="BB233" s="242" t="s">
        <v>111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286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7"/>
      <c r="P234" s="283" t="s">
        <v>40</v>
      </c>
      <c r="Q234" s="284"/>
      <c r="R234" s="284"/>
      <c r="S234" s="284"/>
      <c r="T234" s="284"/>
      <c r="U234" s="284"/>
      <c r="V234" s="285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7"/>
      <c r="P235" s="283" t="s">
        <v>40</v>
      </c>
      <c r="Q235" s="284"/>
      <c r="R235" s="284"/>
      <c r="S235" s="284"/>
      <c r="T235" s="284"/>
      <c r="U235" s="284"/>
      <c r="V235" s="285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27.75" customHeight="1" x14ac:dyDescent="0.2">
      <c r="A236" s="306" t="s">
        <v>339</v>
      </c>
      <c r="B236" s="306"/>
      <c r="C236" s="306"/>
      <c r="D236" s="306"/>
      <c r="E236" s="306"/>
      <c r="F236" s="306"/>
      <c r="G236" s="306"/>
      <c r="H236" s="306"/>
      <c r="I236" s="306"/>
      <c r="J236" s="306"/>
      <c r="K236" s="306"/>
      <c r="L236" s="306"/>
      <c r="M236" s="306"/>
      <c r="N236" s="306"/>
      <c r="O236" s="306"/>
      <c r="P236" s="306"/>
      <c r="Q236" s="306"/>
      <c r="R236" s="306"/>
      <c r="S236" s="306"/>
      <c r="T236" s="306"/>
      <c r="U236" s="306"/>
      <c r="V236" s="306"/>
      <c r="W236" s="306"/>
      <c r="X236" s="306"/>
      <c r="Y236" s="306"/>
      <c r="Z236" s="306"/>
      <c r="AA236" s="54"/>
      <c r="AB236" s="54"/>
      <c r="AC236" s="54"/>
    </row>
    <row r="237" spans="1:68" ht="16.5" customHeight="1" x14ac:dyDescent="0.25">
      <c r="A237" s="307" t="s">
        <v>339</v>
      </c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  <c r="M237" s="307"/>
      <c r="N237" s="307"/>
      <c r="O237" s="307"/>
      <c r="P237" s="307"/>
      <c r="Q237" s="307"/>
      <c r="R237" s="307"/>
      <c r="S237" s="307"/>
      <c r="T237" s="307"/>
      <c r="U237" s="307"/>
      <c r="V237" s="307"/>
      <c r="W237" s="307"/>
      <c r="X237" s="307"/>
      <c r="Y237" s="307"/>
      <c r="Z237" s="307"/>
      <c r="AA237" s="65"/>
      <c r="AB237" s="65"/>
      <c r="AC237" s="82"/>
    </row>
    <row r="238" spans="1:68" ht="14.25" customHeight="1" x14ac:dyDescent="0.25">
      <c r="A238" s="297" t="s">
        <v>82</v>
      </c>
      <c r="B238" s="297"/>
      <c r="C238" s="297"/>
      <c r="D238" s="297"/>
      <c r="E238" s="297"/>
      <c r="F238" s="297"/>
      <c r="G238" s="297"/>
      <c r="H238" s="297"/>
      <c r="I238" s="297"/>
      <c r="J238" s="297"/>
      <c r="K238" s="297"/>
      <c r="L238" s="297"/>
      <c r="M238" s="297"/>
      <c r="N238" s="297"/>
      <c r="O238" s="297"/>
      <c r="P238" s="297"/>
      <c r="Q238" s="297"/>
      <c r="R238" s="297"/>
      <c r="S238" s="297"/>
      <c r="T238" s="297"/>
      <c r="U238" s="297"/>
      <c r="V238" s="297"/>
      <c r="W238" s="297"/>
      <c r="X238" s="297"/>
      <c r="Y238" s="297"/>
      <c r="Z238" s="297"/>
      <c r="AA238" s="66"/>
      <c r="AB238" s="66"/>
      <c r="AC238" s="83"/>
    </row>
    <row r="239" spans="1:68" ht="27" customHeight="1" x14ac:dyDescent="0.25">
      <c r="A239" s="63" t="s">
        <v>340</v>
      </c>
      <c r="B239" s="63" t="s">
        <v>341</v>
      </c>
      <c r="C239" s="36">
        <v>4301071014</v>
      </c>
      <c r="D239" s="279">
        <v>4640242181264</v>
      </c>
      <c r="E239" s="279"/>
      <c r="F239" s="62">
        <v>0.7</v>
      </c>
      <c r="G239" s="37">
        <v>10</v>
      </c>
      <c r="H239" s="62">
        <v>7</v>
      </c>
      <c r="I239" s="62">
        <v>7.28</v>
      </c>
      <c r="J239" s="37">
        <v>84</v>
      </c>
      <c r="K239" s="37" t="s">
        <v>87</v>
      </c>
      <c r="L239" s="37" t="s">
        <v>88</v>
      </c>
      <c r="M239" s="38" t="s">
        <v>86</v>
      </c>
      <c r="N239" s="38"/>
      <c r="O239" s="37">
        <v>180</v>
      </c>
      <c r="P239" s="30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281"/>
      <c r="R239" s="281"/>
      <c r="S239" s="281"/>
      <c r="T239" s="282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IFERROR(IF(X239="","",X239*0.0155),"")</f>
        <v>0</v>
      </c>
      <c r="AA239" s="68" t="s">
        <v>46</v>
      </c>
      <c r="AB239" s="69" t="s">
        <v>46</v>
      </c>
      <c r="AC239" s="243" t="s">
        <v>342</v>
      </c>
      <c r="AG239" s="81"/>
      <c r="AJ239" s="87" t="s">
        <v>89</v>
      </c>
      <c r="AK239" s="87">
        <v>1</v>
      </c>
      <c r="BB239" s="244" t="s">
        <v>70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ht="27" customHeight="1" x14ac:dyDescent="0.25">
      <c r="A240" s="63" t="s">
        <v>343</v>
      </c>
      <c r="B240" s="63" t="s">
        <v>344</v>
      </c>
      <c r="C240" s="36">
        <v>4301071021</v>
      </c>
      <c r="D240" s="279">
        <v>4640242181325</v>
      </c>
      <c r="E240" s="279"/>
      <c r="F240" s="62">
        <v>0.7</v>
      </c>
      <c r="G240" s="37">
        <v>10</v>
      </c>
      <c r="H240" s="62">
        <v>7</v>
      </c>
      <c r="I240" s="62">
        <v>7.28</v>
      </c>
      <c r="J240" s="37">
        <v>84</v>
      </c>
      <c r="K240" s="37" t="s">
        <v>87</v>
      </c>
      <c r="L240" s="37" t="s">
        <v>88</v>
      </c>
      <c r="M240" s="38" t="s">
        <v>86</v>
      </c>
      <c r="N240" s="38"/>
      <c r="O240" s="37">
        <v>180</v>
      </c>
      <c r="P240" s="30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281"/>
      <c r="R240" s="281"/>
      <c r="S240" s="281"/>
      <c r="T240" s="282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IFERROR(IF(X240="","",X240*0.0155),"")</f>
        <v>0</v>
      </c>
      <c r="AA240" s="68" t="s">
        <v>46</v>
      </c>
      <c r="AB240" s="69" t="s">
        <v>46</v>
      </c>
      <c r="AC240" s="245" t="s">
        <v>342</v>
      </c>
      <c r="AG240" s="81"/>
      <c r="AJ240" s="87" t="s">
        <v>89</v>
      </c>
      <c r="AK240" s="87">
        <v>1</v>
      </c>
      <c r="BB240" s="246" t="s">
        <v>70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x14ac:dyDescent="0.2">
      <c r="A241" s="286"/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7"/>
      <c r="P241" s="283" t="s">
        <v>40</v>
      </c>
      <c r="Q241" s="284"/>
      <c r="R241" s="284"/>
      <c r="S241" s="284"/>
      <c r="T241" s="284"/>
      <c r="U241" s="284"/>
      <c r="V241" s="285"/>
      <c r="W241" s="42" t="s">
        <v>39</v>
      </c>
      <c r="X241" s="43">
        <f>IFERROR(SUM(X239:X240),"0")</f>
        <v>0</v>
      </c>
      <c r="Y241" s="43">
        <f>IFERROR(SUM(Y239:Y240),"0")</f>
        <v>0</v>
      </c>
      <c r="Z241" s="43">
        <f>IFERROR(IF(Z239="",0,Z239),"0")+IFERROR(IF(Z240="",0,Z240),"0")</f>
        <v>0</v>
      </c>
      <c r="AA241" s="67"/>
      <c r="AB241" s="67"/>
      <c r="AC241" s="67"/>
    </row>
    <row r="242" spans="1:68" x14ac:dyDescent="0.2">
      <c r="A242" s="286"/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7"/>
      <c r="P242" s="283" t="s">
        <v>40</v>
      </c>
      <c r="Q242" s="284"/>
      <c r="R242" s="284"/>
      <c r="S242" s="284"/>
      <c r="T242" s="284"/>
      <c r="U242" s="284"/>
      <c r="V242" s="285"/>
      <c r="W242" s="42" t="s">
        <v>0</v>
      </c>
      <c r="X242" s="43">
        <f>IFERROR(SUMPRODUCT(X239:X240*H239:H240),"0")</f>
        <v>0</v>
      </c>
      <c r="Y242" s="43">
        <f>IFERROR(SUMPRODUCT(Y239:Y240*H239:H240),"0")</f>
        <v>0</v>
      </c>
      <c r="Z242" s="42"/>
      <c r="AA242" s="67"/>
      <c r="AB242" s="67"/>
      <c r="AC242" s="67"/>
    </row>
    <row r="243" spans="1:68" ht="14.25" customHeight="1" x14ac:dyDescent="0.25">
      <c r="A243" s="297" t="s">
        <v>107</v>
      </c>
      <c r="B243" s="297"/>
      <c r="C243" s="297"/>
      <c r="D243" s="297"/>
      <c r="E243" s="297"/>
      <c r="F243" s="297"/>
      <c r="G243" s="297"/>
      <c r="H243" s="297"/>
      <c r="I243" s="297"/>
      <c r="J243" s="297"/>
      <c r="K243" s="297"/>
      <c r="L243" s="297"/>
      <c r="M243" s="297"/>
      <c r="N243" s="297"/>
      <c r="O243" s="297"/>
      <c r="P243" s="297"/>
      <c r="Q243" s="297"/>
      <c r="R243" s="297"/>
      <c r="S243" s="297"/>
      <c r="T243" s="297"/>
      <c r="U243" s="297"/>
      <c r="V243" s="297"/>
      <c r="W243" s="297"/>
      <c r="X243" s="297"/>
      <c r="Y243" s="297"/>
      <c r="Z243" s="297"/>
      <c r="AA243" s="66"/>
      <c r="AB243" s="66"/>
      <c r="AC243" s="83"/>
    </row>
    <row r="244" spans="1:68" ht="27" customHeight="1" x14ac:dyDescent="0.25">
      <c r="A244" s="63" t="s">
        <v>345</v>
      </c>
      <c r="B244" s="63" t="s">
        <v>346</v>
      </c>
      <c r="C244" s="36">
        <v>4301132080</v>
      </c>
      <c r="D244" s="279">
        <v>4640242180397</v>
      </c>
      <c r="E244" s="279"/>
      <c r="F244" s="62">
        <v>1</v>
      </c>
      <c r="G244" s="37">
        <v>6</v>
      </c>
      <c r="H244" s="62">
        <v>6</v>
      </c>
      <c r="I244" s="62">
        <v>6.26</v>
      </c>
      <c r="J244" s="37">
        <v>84</v>
      </c>
      <c r="K244" s="37" t="s">
        <v>87</v>
      </c>
      <c r="L244" s="37" t="s">
        <v>113</v>
      </c>
      <c r="M244" s="38" t="s">
        <v>86</v>
      </c>
      <c r="N244" s="38"/>
      <c r="O244" s="37">
        <v>180</v>
      </c>
      <c r="P244" s="30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281"/>
      <c r="R244" s="281"/>
      <c r="S244" s="281"/>
      <c r="T244" s="282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47" t="s">
        <v>347</v>
      </c>
      <c r="AG244" s="81"/>
      <c r="AJ244" s="87" t="s">
        <v>114</v>
      </c>
      <c r="AK244" s="87">
        <v>12</v>
      </c>
      <c r="BB244" s="248" t="s">
        <v>111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286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7"/>
      <c r="P245" s="283" t="s">
        <v>40</v>
      </c>
      <c r="Q245" s="284"/>
      <c r="R245" s="284"/>
      <c r="S245" s="284"/>
      <c r="T245" s="284"/>
      <c r="U245" s="284"/>
      <c r="V245" s="285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286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7"/>
      <c r="P246" s="283" t="s">
        <v>40</v>
      </c>
      <c r="Q246" s="284"/>
      <c r="R246" s="284"/>
      <c r="S246" s="284"/>
      <c r="T246" s="284"/>
      <c r="U246" s="284"/>
      <c r="V246" s="285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customHeight="1" x14ac:dyDescent="0.25">
      <c r="A247" s="297" t="s">
        <v>147</v>
      </c>
      <c r="B247" s="297"/>
      <c r="C247" s="297"/>
      <c r="D247" s="297"/>
      <c r="E247" s="297"/>
      <c r="F247" s="297"/>
      <c r="G247" s="297"/>
      <c r="H247" s="297"/>
      <c r="I247" s="297"/>
      <c r="J247" s="297"/>
      <c r="K247" s="297"/>
      <c r="L247" s="297"/>
      <c r="M247" s="297"/>
      <c r="N247" s="297"/>
      <c r="O247" s="297"/>
      <c r="P247" s="297"/>
      <c r="Q247" s="297"/>
      <c r="R247" s="297"/>
      <c r="S247" s="297"/>
      <c r="T247" s="297"/>
      <c r="U247" s="297"/>
      <c r="V247" s="297"/>
      <c r="W247" s="297"/>
      <c r="X247" s="297"/>
      <c r="Y247" s="297"/>
      <c r="Z247" s="297"/>
      <c r="AA247" s="66"/>
      <c r="AB247" s="66"/>
      <c r="AC247" s="83"/>
    </row>
    <row r="248" spans="1:68" ht="27" customHeight="1" x14ac:dyDescent="0.25">
      <c r="A248" s="63" t="s">
        <v>348</v>
      </c>
      <c r="B248" s="63" t="s">
        <v>349</v>
      </c>
      <c r="C248" s="36">
        <v>4301136051</v>
      </c>
      <c r="D248" s="279">
        <v>4640242180304</v>
      </c>
      <c r="E248" s="279"/>
      <c r="F248" s="62">
        <v>2.7</v>
      </c>
      <c r="G248" s="37">
        <v>1</v>
      </c>
      <c r="H248" s="62">
        <v>2.7</v>
      </c>
      <c r="I248" s="62">
        <v>2.8906000000000001</v>
      </c>
      <c r="J248" s="37">
        <v>126</v>
      </c>
      <c r="K248" s="37" t="s">
        <v>112</v>
      </c>
      <c r="L248" s="37" t="s">
        <v>113</v>
      </c>
      <c r="M248" s="38" t="s">
        <v>86</v>
      </c>
      <c r="N248" s="38"/>
      <c r="O248" s="37">
        <v>180</v>
      </c>
      <c r="P248" s="30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281"/>
      <c r="R248" s="281"/>
      <c r="S248" s="281"/>
      <c r="T248" s="282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49" t="s">
        <v>350</v>
      </c>
      <c r="AG248" s="81"/>
      <c r="AJ248" s="87" t="s">
        <v>114</v>
      </c>
      <c r="AK248" s="87">
        <v>14</v>
      </c>
      <c r="BB248" s="250" t="s">
        <v>111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27" customHeight="1" x14ac:dyDescent="0.25">
      <c r="A249" s="63" t="s">
        <v>351</v>
      </c>
      <c r="B249" s="63" t="s">
        <v>352</v>
      </c>
      <c r="C249" s="36">
        <v>4301136053</v>
      </c>
      <c r="D249" s="279">
        <v>4640242180236</v>
      </c>
      <c r="E249" s="279"/>
      <c r="F249" s="62">
        <v>5</v>
      </c>
      <c r="G249" s="37">
        <v>1</v>
      </c>
      <c r="H249" s="62">
        <v>5</v>
      </c>
      <c r="I249" s="62">
        <v>5.2350000000000003</v>
      </c>
      <c r="J249" s="37">
        <v>84</v>
      </c>
      <c r="K249" s="37" t="s">
        <v>87</v>
      </c>
      <c r="L249" s="37" t="s">
        <v>113</v>
      </c>
      <c r="M249" s="38" t="s">
        <v>86</v>
      </c>
      <c r="N249" s="38"/>
      <c r="O249" s="37">
        <v>180</v>
      </c>
      <c r="P249" s="30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281"/>
      <c r="R249" s="281"/>
      <c r="S249" s="281"/>
      <c r="T249" s="282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51" t="s">
        <v>350</v>
      </c>
      <c r="AG249" s="81"/>
      <c r="AJ249" s="87" t="s">
        <v>114</v>
      </c>
      <c r="AK249" s="87">
        <v>12</v>
      </c>
      <c r="BB249" s="252" t="s">
        <v>111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ht="27" customHeight="1" x14ac:dyDescent="0.25">
      <c r="A250" s="63" t="s">
        <v>353</v>
      </c>
      <c r="B250" s="63" t="s">
        <v>354</v>
      </c>
      <c r="C250" s="36">
        <v>4301136052</v>
      </c>
      <c r="D250" s="279">
        <v>4640242180410</v>
      </c>
      <c r="E250" s="279"/>
      <c r="F250" s="62">
        <v>2.2400000000000002</v>
      </c>
      <c r="G250" s="37">
        <v>1</v>
      </c>
      <c r="H250" s="62">
        <v>2.2400000000000002</v>
      </c>
      <c r="I250" s="62">
        <v>2.4319999999999999</v>
      </c>
      <c r="J250" s="37">
        <v>126</v>
      </c>
      <c r="K250" s="37" t="s">
        <v>112</v>
      </c>
      <c r="L250" s="37" t="s">
        <v>113</v>
      </c>
      <c r="M250" s="38" t="s">
        <v>86</v>
      </c>
      <c r="N250" s="38"/>
      <c r="O250" s="37">
        <v>180</v>
      </c>
      <c r="P250" s="30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281"/>
      <c r="R250" s="281"/>
      <c r="S250" s="281"/>
      <c r="T250" s="282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IFERROR(IF(X250="","",X250*0.00936),"")</f>
        <v>0</v>
      </c>
      <c r="AA250" s="68" t="s">
        <v>46</v>
      </c>
      <c r="AB250" s="69" t="s">
        <v>46</v>
      </c>
      <c r="AC250" s="253" t="s">
        <v>350</v>
      </c>
      <c r="AG250" s="81"/>
      <c r="AJ250" s="87" t="s">
        <v>114</v>
      </c>
      <c r="AK250" s="87">
        <v>14</v>
      </c>
      <c r="BB250" s="254" t="s">
        <v>111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x14ac:dyDescent="0.2">
      <c r="A251" s="286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7"/>
      <c r="P251" s="283" t="s">
        <v>40</v>
      </c>
      <c r="Q251" s="284"/>
      <c r="R251" s="284"/>
      <c r="S251" s="284"/>
      <c r="T251" s="284"/>
      <c r="U251" s="284"/>
      <c r="V251" s="285"/>
      <c r="W251" s="42" t="s">
        <v>39</v>
      </c>
      <c r="X251" s="43">
        <f>IFERROR(SUM(X248:X250),"0")</f>
        <v>0</v>
      </c>
      <c r="Y251" s="43">
        <f>IFERROR(SUM(Y248:Y250),"0")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286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7"/>
      <c r="P252" s="283" t="s">
        <v>40</v>
      </c>
      <c r="Q252" s="284"/>
      <c r="R252" s="284"/>
      <c r="S252" s="284"/>
      <c r="T252" s="284"/>
      <c r="U252" s="284"/>
      <c r="V252" s="285"/>
      <c r="W252" s="42" t="s">
        <v>0</v>
      </c>
      <c r="X252" s="43">
        <f>IFERROR(SUMPRODUCT(X248:X250*H248:H250),"0")</f>
        <v>0</v>
      </c>
      <c r="Y252" s="43">
        <f>IFERROR(SUMPRODUCT(Y248:Y250*H248:H250),"0")</f>
        <v>0</v>
      </c>
      <c r="Z252" s="42"/>
      <c r="AA252" s="67"/>
      <c r="AB252" s="67"/>
      <c r="AC252" s="67"/>
    </row>
    <row r="253" spans="1:68" ht="14.25" customHeight="1" x14ac:dyDescent="0.25">
      <c r="A253" s="297" t="s">
        <v>153</v>
      </c>
      <c r="B253" s="297"/>
      <c r="C253" s="297"/>
      <c r="D253" s="297"/>
      <c r="E253" s="297"/>
      <c r="F253" s="297"/>
      <c r="G253" s="297"/>
      <c r="H253" s="297"/>
      <c r="I253" s="297"/>
      <c r="J253" s="297"/>
      <c r="K253" s="297"/>
      <c r="L253" s="297"/>
      <c r="M253" s="297"/>
      <c r="N253" s="297"/>
      <c r="O253" s="297"/>
      <c r="P253" s="297"/>
      <c r="Q253" s="297"/>
      <c r="R253" s="297"/>
      <c r="S253" s="297"/>
      <c r="T253" s="297"/>
      <c r="U253" s="297"/>
      <c r="V253" s="297"/>
      <c r="W253" s="297"/>
      <c r="X253" s="297"/>
      <c r="Y253" s="297"/>
      <c r="Z253" s="297"/>
      <c r="AA253" s="66"/>
      <c r="AB253" s="66"/>
      <c r="AC253" s="83"/>
    </row>
    <row r="254" spans="1:68" ht="37.5" customHeight="1" x14ac:dyDescent="0.25">
      <c r="A254" s="63" t="s">
        <v>355</v>
      </c>
      <c r="B254" s="63" t="s">
        <v>356</v>
      </c>
      <c r="C254" s="36">
        <v>4301135504</v>
      </c>
      <c r="D254" s="279">
        <v>4640242181554</v>
      </c>
      <c r="E254" s="279"/>
      <c r="F254" s="62">
        <v>3</v>
      </c>
      <c r="G254" s="37">
        <v>1</v>
      </c>
      <c r="H254" s="62">
        <v>3</v>
      </c>
      <c r="I254" s="62">
        <v>3.1920000000000002</v>
      </c>
      <c r="J254" s="37">
        <v>126</v>
      </c>
      <c r="K254" s="37" t="s">
        <v>112</v>
      </c>
      <c r="L254" s="37" t="s">
        <v>88</v>
      </c>
      <c r="M254" s="38" t="s">
        <v>86</v>
      </c>
      <c r="N254" s="38"/>
      <c r="O254" s="37">
        <v>180</v>
      </c>
      <c r="P254" s="29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281"/>
      <c r="R254" s="281"/>
      <c r="S254" s="281"/>
      <c r="T254" s="282"/>
      <c r="U254" s="39" t="s">
        <v>46</v>
      </c>
      <c r="V254" s="39" t="s">
        <v>46</v>
      </c>
      <c r="W254" s="40" t="s">
        <v>39</v>
      </c>
      <c r="X254" s="58">
        <v>0</v>
      </c>
      <c r="Y254" s="55">
        <f t="shared" ref="Y254:Y263" si="18">IFERROR(IF(X254="","",X254),"")</f>
        <v>0</v>
      </c>
      <c r="Z254" s="41">
        <f>IFERROR(IF(X254="","",X254*0.00936),"")</f>
        <v>0</v>
      </c>
      <c r="AA254" s="68" t="s">
        <v>46</v>
      </c>
      <c r="AB254" s="69" t="s">
        <v>46</v>
      </c>
      <c r="AC254" s="255" t="s">
        <v>357</v>
      </c>
      <c r="AG254" s="81"/>
      <c r="AJ254" s="87" t="s">
        <v>89</v>
      </c>
      <c r="AK254" s="87">
        <v>1</v>
      </c>
      <c r="BB254" s="256" t="s">
        <v>111</v>
      </c>
      <c r="BM254" s="81">
        <f t="shared" ref="BM254:BM263" si="19">IFERROR(X254*I254,"0")</f>
        <v>0</v>
      </c>
      <c r="BN254" s="81">
        <f t="shared" ref="BN254:BN263" si="20">IFERROR(Y254*I254,"0")</f>
        <v>0</v>
      </c>
      <c r="BO254" s="81">
        <f t="shared" ref="BO254:BO263" si="21">IFERROR(X254/J254,"0")</f>
        <v>0</v>
      </c>
      <c r="BP254" s="81">
        <f t="shared" ref="BP254:BP263" si="22">IFERROR(Y254/J254,"0")</f>
        <v>0</v>
      </c>
    </row>
    <row r="255" spans="1:68" ht="27" customHeight="1" x14ac:dyDescent="0.25">
      <c r="A255" s="63" t="s">
        <v>358</v>
      </c>
      <c r="B255" s="63" t="s">
        <v>359</v>
      </c>
      <c r="C255" s="36">
        <v>4301135518</v>
      </c>
      <c r="D255" s="279">
        <v>4640242181561</v>
      </c>
      <c r="E255" s="279"/>
      <c r="F255" s="62">
        <v>3.7</v>
      </c>
      <c r="G255" s="37">
        <v>1</v>
      </c>
      <c r="H255" s="62">
        <v>3.7</v>
      </c>
      <c r="I255" s="62">
        <v>3.8919999999999999</v>
      </c>
      <c r="J255" s="37">
        <v>126</v>
      </c>
      <c r="K255" s="37" t="s">
        <v>112</v>
      </c>
      <c r="L255" s="37" t="s">
        <v>113</v>
      </c>
      <c r="M255" s="38" t="s">
        <v>86</v>
      </c>
      <c r="N255" s="38"/>
      <c r="O255" s="37">
        <v>180</v>
      </c>
      <c r="P255" s="299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281"/>
      <c r="R255" s="281"/>
      <c r="S255" s="281"/>
      <c r="T255" s="282"/>
      <c r="U255" s="39" t="s">
        <v>46</v>
      </c>
      <c r="V255" s="39" t="s">
        <v>46</v>
      </c>
      <c r="W255" s="40" t="s">
        <v>39</v>
      </c>
      <c r="X255" s="58">
        <v>0</v>
      </c>
      <c r="Y255" s="55">
        <f t="shared" si="18"/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57" t="s">
        <v>360</v>
      </c>
      <c r="AG255" s="81"/>
      <c r="AJ255" s="87" t="s">
        <v>114</v>
      </c>
      <c r="AK255" s="87">
        <v>14</v>
      </c>
      <c r="BB255" s="258" t="s">
        <v>111</v>
      </c>
      <c r="BM255" s="81">
        <f t="shared" si="19"/>
        <v>0</v>
      </c>
      <c r="BN255" s="81">
        <f t="shared" si="20"/>
        <v>0</v>
      </c>
      <c r="BO255" s="81">
        <f t="shared" si="21"/>
        <v>0</v>
      </c>
      <c r="BP255" s="81">
        <f t="shared" si="22"/>
        <v>0</v>
      </c>
    </row>
    <row r="256" spans="1:68" ht="27" customHeight="1" x14ac:dyDescent="0.25">
      <c r="A256" s="63" t="s">
        <v>361</v>
      </c>
      <c r="B256" s="63" t="s">
        <v>362</v>
      </c>
      <c r="C256" s="36">
        <v>4301135374</v>
      </c>
      <c r="D256" s="279">
        <v>4640242181424</v>
      </c>
      <c r="E256" s="279"/>
      <c r="F256" s="62">
        <v>5.5</v>
      </c>
      <c r="G256" s="37">
        <v>1</v>
      </c>
      <c r="H256" s="62">
        <v>5.5</v>
      </c>
      <c r="I256" s="62">
        <v>5.7350000000000003</v>
      </c>
      <c r="J256" s="37">
        <v>84</v>
      </c>
      <c r="K256" s="37" t="s">
        <v>87</v>
      </c>
      <c r="L256" s="37" t="s">
        <v>113</v>
      </c>
      <c r="M256" s="38" t="s">
        <v>86</v>
      </c>
      <c r="N256" s="38"/>
      <c r="O256" s="37">
        <v>180</v>
      </c>
      <c r="P256" s="30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281"/>
      <c r="R256" s="281"/>
      <c r="S256" s="281"/>
      <c r="T256" s="282"/>
      <c r="U256" s="39" t="s">
        <v>46</v>
      </c>
      <c r="V256" s="39" t="s">
        <v>46</v>
      </c>
      <c r="W256" s="40" t="s">
        <v>39</v>
      </c>
      <c r="X256" s="58">
        <v>0</v>
      </c>
      <c r="Y256" s="55">
        <f t="shared" si="18"/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59" t="s">
        <v>357</v>
      </c>
      <c r="AG256" s="81"/>
      <c r="AJ256" s="87" t="s">
        <v>114</v>
      </c>
      <c r="AK256" s="87">
        <v>12</v>
      </c>
      <c r="BB256" s="260" t="s">
        <v>111</v>
      </c>
      <c r="BM256" s="81">
        <f t="shared" si="19"/>
        <v>0</v>
      </c>
      <c r="BN256" s="81">
        <f t="shared" si="20"/>
        <v>0</v>
      </c>
      <c r="BO256" s="81">
        <f t="shared" si="21"/>
        <v>0</v>
      </c>
      <c r="BP256" s="81">
        <f t="shared" si="22"/>
        <v>0</v>
      </c>
    </row>
    <row r="257" spans="1:68" ht="27" customHeight="1" x14ac:dyDescent="0.25">
      <c r="A257" s="63" t="s">
        <v>363</v>
      </c>
      <c r="B257" s="63" t="s">
        <v>364</v>
      </c>
      <c r="C257" s="36">
        <v>4301135405</v>
      </c>
      <c r="D257" s="279">
        <v>4640242181523</v>
      </c>
      <c r="E257" s="279"/>
      <c r="F257" s="62">
        <v>3</v>
      </c>
      <c r="G257" s="37">
        <v>1</v>
      </c>
      <c r="H257" s="62">
        <v>3</v>
      </c>
      <c r="I257" s="62">
        <v>3.1920000000000002</v>
      </c>
      <c r="J257" s="37">
        <v>126</v>
      </c>
      <c r="K257" s="37" t="s">
        <v>112</v>
      </c>
      <c r="L257" s="37" t="s">
        <v>113</v>
      </c>
      <c r="M257" s="38" t="s">
        <v>86</v>
      </c>
      <c r="N257" s="38"/>
      <c r="O257" s="37">
        <v>180</v>
      </c>
      <c r="P257" s="30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281"/>
      <c r="R257" s="281"/>
      <c r="S257" s="281"/>
      <c r="T257" s="282"/>
      <c r="U257" s="39" t="s">
        <v>46</v>
      </c>
      <c r="V257" s="39" t="s">
        <v>46</v>
      </c>
      <c r="W257" s="40" t="s">
        <v>39</v>
      </c>
      <c r="X257" s="58">
        <v>0</v>
      </c>
      <c r="Y257" s="55">
        <f t="shared" si="18"/>
        <v>0</v>
      </c>
      <c r="Z257" s="41">
        <f t="shared" ref="Z257:Z262" si="23">IFERROR(IF(X257="","",X257*0.00936),"")</f>
        <v>0</v>
      </c>
      <c r="AA257" s="68" t="s">
        <v>46</v>
      </c>
      <c r="AB257" s="69" t="s">
        <v>46</v>
      </c>
      <c r="AC257" s="261" t="s">
        <v>360</v>
      </c>
      <c r="AG257" s="81"/>
      <c r="AJ257" s="87" t="s">
        <v>114</v>
      </c>
      <c r="AK257" s="87">
        <v>14</v>
      </c>
      <c r="BB257" s="262" t="s">
        <v>111</v>
      </c>
      <c r="BM257" s="81">
        <f t="shared" si="19"/>
        <v>0</v>
      </c>
      <c r="BN257" s="81">
        <f t="shared" si="20"/>
        <v>0</v>
      </c>
      <c r="BO257" s="81">
        <f t="shared" si="21"/>
        <v>0</v>
      </c>
      <c r="BP257" s="81">
        <f t="shared" si="22"/>
        <v>0</v>
      </c>
    </row>
    <row r="258" spans="1:68" ht="27" customHeight="1" x14ac:dyDescent="0.25">
      <c r="A258" s="63" t="s">
        <v>365</v>
      </c>
      <c r="B258" s="63" t="s">
        <v>366</v>
      </c>
      <c r="C258" s="36">
        <v>4301135375</v>
      </c>
      <c r="D258" s="279">
        <v>4640242181486</v>
      </c>
      <c r="E258" s="279"/>
      <c r="F258" s="62">
        <v>3.7</v>
      </c>
      <c r="G258" s="37">
        <v>1</v>
      </c>
      <c r="H258" s="62">
        <v>3.7</v>
      </c>
      <c r="I258" s="62">
        <v>3.8919999999999999</v>
      </c>
      <c r="J258" s="37">
        <v>126</v>
      </c>
      <c r="K258" s="37" t="s">
        <v>112</v>
      </c>
      <c r="L258" s="37" t="s">
        <v>113</v>
      </c>
      <c r="M258" s="38" t="s">
        <v>86</v>
      </c>
      <c r="N258" s="38"/>
      <c r="O258" s="37">
        <v>180</v>
      </c>
      <c r="P258" s="29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281"/>
      <c r="R258" s="281"/>
      <c r="S258" s="281"/>
      <c r="T258" s="282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si="18"/>
        <v>0</v>
      </c>
      <c r="Z258" s="41">
        <f t="shared" si="23"/>
        <v>0</v>
      </c>
      <c r="AA258" s="68" t="s">
        <v>46</v>
      </c>
      <c r="AB258" s="69" t="s">
        <v>46</v>
      </c>
      <c r="AC258" s="263" t="s">
        <v>357</v>
      </c>
      <c r="AG258" s="81"/>
      <c r="AJ258" s="87" t="s">
        <v>114</v>
      </c>
      <c r="AK258" s="87">
        <v>14</v>
      </c>
      <c r="BB258" s="264" t="s">
        <v>111</v>
      </c>
      <c r="BM258" s="81">
        <f t="shared" si="19"/>
        <v>0</v>
      </c>
      <c r="BN258" s="81">
        <f t="shared" si="20"/>
        <v>0</v>
      </c>
      <c r="BO258" s="81">
        <f t="shared" si="21"/>
        <v>0</v>
      </c>
      <c r="BP258" s="81">
        <f t="shared" si="22"/>
        <v>0</v>
      </c>
    </row>
    <row r="259" spans="1:68" ht="37.5" customHeight="1" x14ac:dyDescent="0.25">
      <c r="A259" s="63" t="s">
        <v>367</v>
      </c>
      <c r="B259" s="63" t="s">
        <v>368</v>
      </c>
      <c r="C259" s="36">
        <v>4301135402</v>
      </c>
      <c r="D259" s="279">
        <v>4640242181493</v>
      </c>
      <c r="E259" s="279"/>
      <c r="F259" s="62">
        <v>3.7</v>
      </c>
      <c r="G259" s="37">
        <v>1</v>
      </c>
      <c r="H259" s="62">
        <v>3.7</v>
      </c>
      <c r="I259" s="62">
        <v>3.8919999999999999</v>
      </c>
      <c r="J259" s="37">
        <v>126</v>
      </c>
      <c r="K259" s="37" t="s">
        <v>112</v>
      </c>
      <c r="L259" s="37" t="s">
        <v>113</v>
      </c>
      <c r="M259" s="38" t="s">
        <v>86</v>
      </c>
      <c r="N259" s="38"/>
      <c r="O259" s="37">
        <v>180</v>
      </c>
      <c r="P259" s="29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281"/>
      <c r="R259" s="281"/>
      <c r="S259" s="281"/>
      <c r="T259" s="282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 t="shared" si="23"/>
        <v>0</v>
      </c>
      <c r="AA259" s="68" t="s">
        <v>46</v>
      </c>
      <c r="AB259" s="69" t="s">
        <v>46</v>
      </c>
      <c r="AC259" s="265" t="s">
        <v>357</v>
      </c>
      <c r="AG259" s="81"/>
      <c r="AJ259" s="87" t="s">
        <v>114</v>
      </c>
      <c r="AK259" s="87">
        <v>14</v>
      </c>
      <c r="BB259" s="266" t="s">
        <v>111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37.5" customHeight="1" x14ac:dyDescent="0.25">
      <c r="A260" s="63" t="s">
        <v>369</v>
      </c>
      <c r="B260" s="63" t="s">
        <v>370</v>
      </c>
      <c r="C260" s="36">
        <v>4301135403</v>
      </c>
      <c r="D260" s="279">
        <v>4640242181509</v>
      </c>
      <c r="E260" s="279"/>
      <c r="F260" s="62">
        <v>3.7</v>
      </c>
      <c r="G260" s="37">
        <v>1</v>
      </c>
      <c r="H260" s="62">
        <v>3.7</v>
      </c>
      <c r="I260" s="62">
        <v>3.8919999999999999</v>
      </c>
      <c r="J260" s="37">
        <v>126</v>
      </c>
      <c r="K260" s="37" t="s">
        <v>112</v>
      </c>
      <c r="L260" s="37" t="s">
        <v>117</v>
      </c>
      <c r="M260" s="38" t="s">
        <v>86</v>
      </c>
      <c r="N260" s="38"/>
      <c r="O260" s="37">
        <v>180</v>
      </c>
      <c r="P260" s="29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281"/>
      <c r="R260" s="281"/>
      <c r="S260" s="281"/>
      <c r="T260" s="282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 t="shared" si="23"/>
        <v>0</v>
      </c>
      <c r="AA260" s="68" t="s">
        <v>46</v>
      </c>
      <c r="AB260" s="69" t="s">
        <v>46</v>
      </c>
      <c r="AC260" s="267" t="s">
        <v>357</v>
      </c>
      <c r="AG260" s="81"/>
      <c r="AJ260" s="87" t="s">
        <v>118</v>
      </c>
      <c r="AK260" s="87">
        <v>126</v>
      </c>
      <c r="BB260" s="268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371</v>
      </c>
      <c r="B261" s="63" t="s">
        <v>372</v>
      </c>
      <c r="C261" s="36">
        <v>4301135304</v>
      </c>
      <c r="D261" s="279">
        <v>4640242181240</v>
      </c>
      <c r="E261" s="279"/>
      <c r="F261" s="62">
        <v>0.3</v>
      </c>
      <c r="G261" s="37">
        <v>9</v>
      </c>
      <c r="H261" s="62">
        <v>2.7</v>
      </c>
      <c r="I261" s="62">
        <v>2.88</v>
      </c>
      <c r="J261" s="37">
        <v>126</v>
      </c>
      <c r="K261" s="37" t="s">
        <v>112</v>
      </c>
      <c r="L261" s="37" t="s">
        <v>88</v>
      </c>
      <c r="M261" s="38" t="s">
        <v>86</v>
      </c>
      <c r="N261" s="38"/>
      <c r="O261" s="37">
        <v>180</v>
      </c>
      <c r="P261" s="29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281"/>
      <c r="R261" s="281"/>
      <c r="S261" s="281"/>
      <c r="T261" s="282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si="23"/>
        <v>0</v>
      </c>
      <c r="AA261" s="68" t="s">
        <v>46</v>
      </c>
      <c r="AB261" s="69" t="s">
        <v>46</v>
      </c>
      <c r="AC261" s="269" t="s">
        <v>357</v>
      </c>
      <c r="AG261" s="81"/>
      <c r="AJ261" s="87" t="s">
        <v>89</v>
      </c>
      <c r="AK261" s="87">
        <v>1</v>
      </c>
      <c r="BB261" s="270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373</v>
      </c>
      <c r="B262" s="63" t="s">
        <v>374</v>
      </c>
      <c r="C262" s="36">
        <v>4301135610</v>
      </c>
      <c r="D262" s="279">
        <v>4640242181318</v>
      </c>
      <c r="E262" s="279"/>
      <c r="F262" s="62">
        <v>0.3</v>
      </c>
      <c r="G262" s="37">
        <v>9</v>
      </c>
      <c r="H262" s="62">
        <v>2.7</v>
      </c>
      <c r="I262" s="62">
        <v>2.988</v>
      </c>
      <c r="J262" s="37">
        <v>126</v>
      </c>
      <c r="K262" s="37" t="s">
        <v>112</v>
      </c>
      <c r="L262" s="37" t="s">
        <v>88</v>
      </c>
      <c r="M262" s="38" t="s">
        <v>86</v>
      </c>
      <c r="N262" s="38"/>
      <c r="O262" s="37">
        <v>180</v>
      </c>
      <c r="P262" s="29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281"/>
      <c r="R262" s="281"/>
      <c r="S262" s="281"/>
      <c r="T262" s="282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71" t="s">
        <v>360</v>
      </c>
      <c r="AG262" s="81"/>
      <c r="AJ262" s="87" t="s">
        <v>89</v>
      </c>
      <c r="AK262" s="87">
        <v>1</v>
      </c>
      <c r="BB262" s="272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375</v>
      </c>
      <c r="B263" s="63" t="s">
        <v>376</v>
      </c>
      <c r="C263" s="36">
        <v>4301135306</v>
      </c>
      <c r="D263" s="279">
        <v>4640242181387</v>
      </c>
      <c r="E263" s="279"/>
      <c r="F263" s="62">
        <v>0.3</v>
      </c>
      <c r="G263" s="37">
        <v>9</v>
      </c>
      <c r="H263" s="62">
        <v>2.7</v>
      </c>
      <c r="I263" s="62">
        <v>2.8450000000000002</v>
      </c>
      <c r="J263" s="37">
        <v>234</v>
      </c>
      <c r="K263" s="37" t="s">
        <v>165</v>
      </c>
      <c r="L263" s="37" t="s">
        <v>88</v>
      </c>
      <c r="M263" s="38" t="s">
        <v>86</v>
      </c>
      <c r="N263" s="38"/>
      <c r="O263" s="37">
        <v>180</v>
      </c>
      <c r="P263" s="28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281"/>
      <c r="R263" s="281"/>
      <c r="S263" s="281"/>
      <c r="T263" s="282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>IFERROR(IF(X263="","",X263*0.00502),"")</f>
        <v>0</v>
      </c>
      <c r="AA263" s="68" t="s">
        <v>46</v>
      </c>
      <c r="AB263" s="69" t="s">
        <v>46</v>
      </c>
      <c r="AC263" s="273" t="s">
        <v>357</v>
      </c>
      <c r="AG263" s="81"/>
      <c r="AJ263" s="87" t="s">
        <v>89</v>
      </c>
      <c r="AK263" s="87">
        <v>1</v>
      </c>
      <c r="BB263" s="274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x14ac:dyDescent="0.2">
      <c r="A264" s="286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7"/>
      <c r="P264" s="283" t="s">
        <v>40</v>
      </c>
      <c r="Q264" s="284"/>
      <c r="R264" s="284"/>
      <c r="S264" s="284"/>
      <c r="T264" s="284"/>
      <c r="U264" s="284"/>
      <c r="V264" s="285"/>
      <c r="W264" s="42" t="s">
        <v>39</v>
      </c>
      <c r="X264" s="43">
        <f>IFERROR(SUM(X254:X263),"0")</f>
        <v>0</v>
      </c>
      <c r="Y264" s="43">
        <f>IFERROR(SUM(Y254:Y263),"0")</f>
        <v>0</v>
      </c>
      <c r="Z264" s="43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0</v>
      </c>
      <c r="AA264" s="67"/>
      <c r="AB264" s="67"/>
      <c r="AC264" s="67"/>
    </row>
    <row r="265" spans="1:68" x14ac:dyDescent="0.2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7"/>
      <c r="P265" s="283" t="s">
        <v>40</v>
      </c>
      <c r="Q265" s="284"/>
      <c r="R265" s="284"/>
      <c r="S265" s="284"/>
      <c r="T265" s="284"/>
      <c r="U265" s="284"/>
      <c r="V265" s="285"/>
      <c r="W265" s="42" t="s">
        <v>0</v>
      </c>
      <c r="X265" s="43">
        <f>IFERROR(SUMPRODUCT(X254:X263*H254:H263),"0")</f>
        <v>0</v>
      </c>
      <c r="Y265" s="43">
        <f>IFERROR(SUMPRODUCT(Y254:Y263*H254:H263),"0")</f>
        <v>0</v>
      </c>
      <c r="Z265" s="42"/>
      <c r="AA265" s="67"/>
      <c r="AB265" s="67"/>
      <c r="AC265" s="67"/>
    </row>
    <row r="266" spans="1:68" ht="15" customHeight="1" x14ac:dyDescent="0.2">
      <c r="A266" s="286"/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291"/>
      <c r="P266" s="288" t="s">
        <v>33</v>
      </c>
      <c r="Q266" s="289"/>
      <c r="R266" s="289"/>
      <c r="S266" s="289"/>
      <c r="T266" s="289"/>
      <c r="U266" s="289"/>
      <c r="V266" s="290"/>
      <c r="W266" s="42" t="s">
        <v>0</v>
      </c>
      <c r="X266" s="43">
        <f>IFERROR(X29+X35+X42+X49+X57+X62+X66+X71+X77+X83+X88+X94+X104+X110+X122+X126+X130+X136+X142+X148+X153+X158+X163+X168+X175+X184+X188+X194+X202+X207+X213+X219+X225+X231+X235+X242+X246+X252+X265,"0")</f>
        <v>0</v>
      </c>
      <c r="Y266" s="43">
        <f>IFERROR(Y29+Y35+Y42+Y49+Y57+Y62+Y66+Y71+Y77+Y83+Y88+Y94+Y104+Y110+Y122+Y126+Y130+Y136+Y142+Y148+Y153+Y158+Y163+Y168+Y175+Y184+Y188+Y194+Y202+Y207+Y213+Y219+Y225+Y231+Y235+Y242+Y246+Y252+Y265,"0")</f>
        <v>0</v>
      </c>
      <c r="Z266" s="42"/>
      <c r="AA266" s="67"/>
      <c r="AB266" s="67"/>
      <c r="AC266" s="67"/>
    </row>
    <row r="267" spans="1:68" x14ac:dyDescent="0.2">
      <c r="A267" s="286"/>
      <c r="B267" s="286"/>
      <c r="C267" s="286"/>
      <c r="D267" s="286"/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291"/>
      <c r="P267" s="288" t="s">
        <v>34</v>
      </c>
      <c r="Q267" s="289"/>
      <c r="R267" s="289"/>
      <c r="S267" s="289"/>
      <c r="T267" s="289"/>
      <c r="U267" s="289"/>
      <c r="V267" s="290"/>
      <c r="W267" s="42" t="s">
        <v>0</v>
      </c>
      <c r="X267" s="43">
        <f>IFERROR(SUM(BM22:BM263),"0")</f>
        <v>0</v>
      </c>
      <c r="Y267" s="43">
        <f>IFERROR(SUM(BN22:BN263),"0")</f>
        <v>0</v>
      </c>
      <c r="Z267" s="42"/>
      <c r="AA267" s="67"/>
      <c r="AB267" s="67"/>
      <c r="AC267" s="67"/>
    </row>
    <row r="268" spans="1:68" x14ac:dyDescent="0.2">
      <c r="A268" s="286"/>
      <c r="B268" s="286"/>
      <c r="C268" s="286"/>
      <c r="D268" s="286"/>
      <c r="E268" s="286"/>
      <c r="F268" s="286"/>
      <c r="G268" s="286"/>
      <c r="H268" s="286"/>
      <c r="I268" s="286"/>
      <c r="J268" s="286"/>
      <c r="K268" s="286"/>
      <c r="L268" s="286"/>
      <c r="M268" s="286"/>
      <c r="N268" s="286"/>
      <c r="O268" s="291"/>
      <c r="P268" s="288" t="s">
        <v>35</v>
      </c>
      <c r="Q268" s="289"/>
      <c r="R268" s="289"/>
      <c r="S268" s="289"/>
      <c r="T268" s="289"/>
      <c r="U268" s="289"/>
      <c r="V268" s="290"/>
      <c r="W268" s="42" t="s">
        <v>20</v>
      </c>
      <c r="X268" s="44">
        <f>ROUNDUP(SUM(BO22:BO263),0)</f>
        <v>0</v>
      </c>
      <c r="Y268" s="44">
        <f>ROUNDUP(SUM(BP22:BP263),0)</f>
        <v>0</v>
      </c>
      <c r="Z268" s="42"/>
      <c r="AA268" s="67"/>
      <c r="AB268" s="67"/>
      <c r="AC268" s="67"/>
    </row>
    <row r="269" spans="1:68" x14ac:dyDescent="0.2">
      <c r="A269" s="286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291"/>
      <c r="P269" s="288" t="s">
        <v>36</v>
      </c>
      <c r="Q269" s="289"/>
      <c r="R269" s="289"/>
      <c r="S269" s="289"/>
      <c r="T269" s="289"/>
      <c r="U269" s="289"/>
      <c r="V269" s="290"/>
      <c r="W269" s="42" t="s">
        <v>0</v>
      </c>
      <c r="X269" s="43">
        <f>GrossWeightTotal+PalletQtyTotal*25</f>
        <v>0</v>
      </c>
      <c r="Y269" s="43">
        <f>GrossWeightTotalR+PalletQtyTotalR*25</f>
        <v>0</v>
      </c>
      <c r="Z269" s="42"/>
      <c r="AA269" s="67"/>
      <c r="AB269" s="67"/>
      <c r="AC269" s="67"/>
    </row>
    <row r="270" spans="1:68" x14ac:dyDescent="0.2">
      <c r="A270" s="286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291"/>
      <c r="P270" s="288" t="s">
        <v>37</v>
      </c>
      <c r="Q270" s="289"/>
      <c r="R270" s="289"/>
      <c r="S270" s="289"/>
      <c r="T270" s="289"/>
      <c r="U270" s="289"/>
      <c r="V270" s="290"/>
      <c r="W270" s="42" t="s">
        <v>20</v>
      </c>
      <c r="X270" s="43">
        <f>IFERROR(X28+X34+X41+X48+X56+X61+X65+X70+X76+X82+X87+X93+X103+X109+X121+X125+X129+X135+X141+X147+X152+X157+X162+X167+X174+X183+X187+X193+X201+X206+X212+X218+X224+X230+X234+X241+X245+X251+X264,"0")</f>
        <v>0</v>
      </c>
      <c r="Y270" s="43">
        <f>IFERROR(Y28+Y34+Y41+Y48+Y56+Y61+Y65+Y70+Y76+Y82+Y87+Y93+Y103+Y109+Y121+Y125+Y129+Y135+Y141+Y147+Y152+Y157+Y162+Y167+Y174+Y183+Y187+Y193+Y201+Y206+Y212+Y218+Y224+Y230+Y234+Y241+Y245+Y251+Y264,"0")</f>
        <v>0</v>
      </c>
      <c r="Z270" s="42"/>
      <c r="AA270" s="67"/>
      <c r="AB270" s="67"/>
      <c r="AC270" s="67"/>
    </row>
    <row r="271" spans="1:68" ht="14.25" x14ac:dyDescent="0.2">
      <c r="A271" s="286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291"/>
      <c r="P271" s="288" t="s">
        <v>38</v>
      </c>
      <c r="Q271" s="289"/>
      <c r="R271" s="289"/>
      <c r="S271" s="289"/>
      <c r="T271" s="289"/>
      <c r="U271" s="289"/>
      <c r="V271" s="290"/>
      <c r="W271" s="45" t="s">
        <v>52</v>
      </c>
      <c r="X271" s="42"/>
      <c r="Y271" s="42"/>
      <c r="Z271" s="42">
        <f>IFERROR(Z28+Z34+Z41+Z48+Z56+Z61+Z65+Z70+Z76+Z82+Z87+Z93+Z103+Z109+Z121+Z125+Z129+Z135+Z141+Z147+Z152+Z157+Z162+Z167+Z174+Z183+Z187+Z193+Z201+Z206+Z212+Z218+Z224+Z230+Z234+Z241+Z245+Z251+Z264,"0")</f>
        <v>0</v>
      </c>
      <c r="AA271" s="67"/>
      <c r="AB271" s="67"/>
      <c r="AC271" s="67"/>
    </row>
    <row r="272" spans="1:68" ht="13.5" thickBot="1" x14ac:dyDescent="0.25"/>
    <row r="273" spans="1:32" ht="27" thickTop="1" thickBot="1" x14ac:dyDescent="0.25">
      <c r="A273" s="46" t="s">
        <v>9</v>
      </c>
      <c r="B273" s="275" t="s">
        <v>81</v>
      </c>
      <c r="C273" s="275" t="s">
        <v>81</v>
      </c>
      <c r="D273" s="275" t="s">
        <v>45</v>
      </c>
      <c r="E273" s="275" t="s">
        <v>45</v>
      </c>
      <c r="F273" s="275" t="s">
        <v>45</v>
      </c>
      <c r="G273" s="275" t="s">
        <v>45</v>
      </c>
      <c r="H273" s="275" t="s">
        <v>45</v>
      </c>
      <c r="I273" s="275" t="s">
        <v>45</v>
      </c>
      <c r="J273" s="275" t="s">
        <v>45</v>
      </c>
      <c r="K273" s="275" t="s">
        <v>45</v>
      </c>
      <c r="L273" s="275" t="s">
        <v>45</v>
      </c>
      <c r="M273" s="275" t="s">
        <v>45</v>
      </c>
      <c r="N273" s="276"/>
      <c r="O273" s="275" t="s">
        <v>45</v>
      </c>
      <c r="P273" s="275" t="s">
        <v>45</v>
      </c>
      <c r="Q273" s="275" t="s">
        <v>45</v>
      </c>
      <c r="R273" s="275" t="s">
        <v>45</v>
      </c>
      <c r="S273" s="275" t="s">
        <v>45</v>
      </c>
      <c r="T273" s="275" t="s">
        <v>45</v>
      </c>
      <c r="U273" s="275" t="s">
        <v>45</v>
      </c>
      <c r="V273" s="88" t="s">
        <v>263</v>
      </c>
      <c r="W273" s="88" t="s">
        <v>271</v>
      </c>
      <c r="X273" s="275" t="s">
        <v>293</v>
      </c>
      <c r="Y273" s="275" t="s">
        <v>293</v>
      </c>
      <c r="Z273" s="275" t="s">
        <v>293</v>
      </c>
      <c r="AA273" s="88" t="s">
        <v>322</v>
      </c>
      <c r="AB273" s="88" t="s">
        <v>327</v>
      </c>
      <c r="AC273" s="88" t="s">
        <v>331</v>
      </c>
      <c r="AD273" s="88" t="s">
        <v>339</v>
      </c>
      <c r="AF273" s="1"/>
    </row>
    <row r="274" spans="1:32" ht="14.25" customHeight="1" thickTop="1" x14ac:dyDescent="0.2">
      <c r="A274" s="277" t="s">
        <v>10</v>
      </c>
      <c r="B274" s="275" t="s">
        <v>81</v>
      </c>
      <c r="C274" s="275" t="s">
        <v>100</v>
      </c>
      <c r="D274" s="275" t="s">
        <v>106</v>
      </c>
      <c r="E274" s="275" t="s">
        <v>119</v>
      </c>
      <c r="F274" s="275" t="s">
        <v>129</v>
      </c>
      <c r="G274" s="275" t="s">
        <v>140</v>
      </c>
      <c r="H274" s="275" t="s">
        <v>161</v>
      </c>
      <c r="I274" s="275" t="s">
        <v>168</v>
      </c>
      <c r="J274" s="275" t="s">
        <v>172</v>
      </c>
      <c r="K274" s="275" t="s">
        <v>180</v>
      </c>
      <c r="L274" s="275" t="s">
        <v>195</v>
      </c>
      <c r="M274" s="275" t="s">
        <v>201</v>
      </c>
      <c r="N274" s="1"/>
      <c r="O274" s="275" t="s">
        <v>229</v>
      </c>
      <c r="P274" s="275" t="s">
        <v>235</v>
      </c>
      <c r="Q274" s="275" t="s">
        <v>242</v>
      </c>
      <c r="R274" s="275" t="s">
        <v>247</v>
      </c>
      <c r="S274" s="275" t="s">
        <v>251</v>
      </c>
      <c r="T274" s="275" t="s">
        <v>254</v>
      </c>
      <c r="U274" s="275" t="s">
        <v>259</v>
      </c>
      <c r="V274" s="275" t="s">
        <v>264</v>
      </c>
      <c r="W274" s="275" t="s">
        <v>272</v>
      </c>
      <c r="X274" s="275" t="s">
        <v>294</v>
      </c>
      <c r="Y274" s="275" t="s">
        <v>312</v>
      </c>
      <c r="Z274" s="275" t="s">
        <v>316</v>
      </c>
      <c r="AA274" s="275" t="s">
        <v>323</v>
      </c>
      <c r="AB274" s="275" t="s">
        <v>328</v>
      </c>
      <c r="AC274" s="275" t="s">
        <v>332</v>
      </c>
      <c r="AD274" s="275" t="s">
        <v>339</v>
      </c>
      <c r="AF274" s="1"/>
    </row>
    <row r="275" spans="1:32" ht="13.5" thickBot="1" x14ac:dyDescent="0.25">
      <c r="A275" s="278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1"/>
      <c r="O275" s="275"/>
      <c r="P275" s="275"/>
      <c r="Q275" s="275"/>
      <c r="R275" s="275"/>
      <c r="S275" s="275"/>
      <c r="T275" s="275"/>
      <c r="U275" s="275"/>
      <c r="V275" s="275"/>
      <c r="W275" s="275"/>
      <c r="X275" s="275"/>
      <c r="Y275" s="275"/>
      <c r="Z275" s="275"/>
      <c r="AA275" s="275"/>
      <c r="AB275" s="275"/>
      <c r="AC275" s="275"/>
      <c r="AD275" s="275"/>
      <c r="AF275" s="1"/>
    </row>
    <row r="276" spans="1:32" ht="18" thickTop="1" thickBot="1" x14ac:dyDescent="0.25">
      <c r="A276" s="46" t="s">
        <v>13</v>
      </c>
      <c r="B276" s="52">
        <f>IFERROR(X22*H22,"0")+IFERROR(X23*H23,"0")+IFERROR(X24*H24,"0")+IFERROR(X25*H25,"0")+IFERROR(X26*H26,"0")+IFERROR(X27*H27,"0")</f>
        <v>0</v>
      </c>
      <c r="C276" s="52">
        <f>IFERROR(X32*H32,"0")+IFERROR(X33*H33,"0")</f>
        <v>0</v>
      </c>
      <c r="D276" s="52">
        <f>IFERROR(X39*H39,"0")+IFERROR(X40*H40,"0")</f>
        <v>0</v>
      </c>
      <c r="E276" s="52">
        <f>IFERROR(X45*H45,"0")+IFERROR(X46*H46,"0")+IFERROR(X47*H47,"0")</f>
        <v>0</v>
      </c>
      <c r="F276" s="52">
        <f>IFERROR(X52*H52,"0")+IFERROR(X53*H53,"0")+IFERROR(X54*H54,"0")+IFERROR(X55*H55,"0")</f>
        <v>0</v>
      </c>
      <c r="G276" s="52">
        <f>IFERROR(X60*H60,"0")+IFERROR(X64*H64,"0")+IFERROR(X68*H68,"0")+IFERROR(X69*H69,"0")+IFERROR(X73*H73,"0")+IFERROR(X74*H74,"0")+IFERROR(X75*H75,"0")</f>
        <v>0</v>
      </c>
      <c r="H276" s="52">
        <f>IFERROR(X80*H80,"0")+IFERROR(X81*H81,"0")</f>
        <v>0</v>
      </c>
      <c r="I276" s="52">
        <f>IFERROR(X86*H86,"0")</f>
        <v>0</v>
      </c>
      <c r="J276" s="52">
        <f>IFERROR(X91*H91,"0")+IFERROR(X92*H92,"0")</f>
        <v>0</v>
      </c>
      <c r="K276" s="52">
        <f>IFERROR(X97*H97,"0")+IFERROR(X98*H98,"0")+IFERROR(X99*H99,"0")+IFERROR(X100*H100,"0")+IFERROR(X101*H101,"0")+IFERROR(X102*H102,"0")</f>
        <v>0</v>
      </c>
      <c r="L276" s="52">
        <f>IFERROR(X107*H107,"0")+IFERROR(X108*H108,"0")</f>
        <v>0</v>
      </c>
      <c r="M276" s="52">
        <f>IFERROR(X113*H113,"0")+IFERROR(X114*H114,"0")+IFERROR(X115*H115,"0")+IFERROR(X116*H116,"0")+IFERROR(X117*H117,"0")+IFERROR(X118*H118,"0")+IFERROR(X119*H119,"0")+IFERROR(X120*H120,"0")+IFERROR(X124*H124,"0")+IFERROR(X128*H128,"0")</f>
        <v>0</v>
      </c>
      <c r="N276" s="1"/>
      <c r="O276" s="52">
        <f>IFERROR(X133*H133,"0")+IFERROR(X134*H134,"0")</f>
        <v>0</v>
      </c>
      <c r="P276" s="52">
        <f>IFERROR(X139*H139,"0")+IFERROR(X140*H140,"0")</f>
        <v>0</v>
      </c>
      <c r="Q276" s="52">
        <f>IFERROR(X145*H145,"0")+IFERROR(X146*H146,"0")</f>
        <v>0</v>
      </c>
      <c r="R276" s="52">
        <f>IFERROR(X151*H151,"0")</f>
        <v>0</v>
      </c>
      <c r="S276" s="52">
        <f>IFERROR(X156*H156,"0")</f>
        <v>0</v>
      </c>
      <c r="T276" s="52">
        <f>IFERROR(X161*H161,"0")</f>
        <v>0</v>
      </c>
      <c r="U276" s="52">
        <f>IFERROR(X166*H166,"0")</f>
        <v>0</v>
      </c>
      <c r="V276" s="52">
        <f>IFERROR(X172*H172,"0")+IFERROR(X173*H173,"0")</f>
        <v>0</v>
      </c>
      <c r="W276" s="52">
        <f>IFERROR(X179*H179,"0")+IFERROR(X180*H180,"0")+IFERROR(X181*H181,"0")+IFERROR(X182*H182,"0")+IFERROR(X186*H186,"0")</f>
        <v>0</v>
      </c>
      <c r="X276" s="52">
        <f>IFERROR(X192*H192,"0")+IFERROR(X196*H196,"0")+IFERROR(X197*H197,"0")+IFERROR(X198*H198,"0")+IFERROR(X199*H199,"0")+IFERROR(X200*H200,"0")</f>
        <v>0</v>
      </c>
      <c r="Y276" s="52">
        <f>IFERROR(X205*H205,"0")</f>
        <v>0</v>
      </c>
      <c r="Z276" s="52">
        <f>IFERROR(X210*H210,"0")+IFERROR(X211*H211,"0")</f>
        <v>0</v>
      </c>
      <c r="AA276" s="52">
        <f>IFERROR(X217*H217,"0")</f>
        <v>0</v>
      </c>
      <c r="AB276" s="52">
        <f>IFERROR(X223*H223,"0")</f>
        <v>0</v>
      </c>
      <c r="AC276" s="52">
        <f>IFERROR(X229*H229,"0")+IFERROR(X233*H233,"0")</f>
        <v>0</v>
      </c>
      <c r="AD276" s="52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0</v>
      </c>
      <c r="AF276" s="1"/>
    </row>
    <row r="277" spans="1:32" ht="13.5" thickTop="1" x14ac:dyDescent="0.2">
      <c r="C277" s="1"/>
    </row>
    <row r="278" spans="1:32" ht="19.5" customHeight="1" x14ac:dyDescent="0.2">
      <c r="A278" s="70" t="s">
        <v>62</v>
      </c>
      <c r="B278" s="70" t="s">
        <v>63</v>
      </c>
      <c r="C278" s="70" t="s">
        <v>65</v>
      </c>
    </row>
    <row r="279" spans="1:32" x14ac:dyDescent="0.2">
      <c r="A279" s="71">
        <f>SUMPRODUCT(--(BB:BB="ЗПФ"),--(W:W="кор"),H:H,Y:Y)+SUMPRODUCT(--(BB:BB="ЗПФ"),--(W:W="кг"),Y:Y)</f>
        <v>0</v>
      </c>
      <c r="B279" s="72">
        <f>SUMPRODUCT(--(BB:BB="ПГП"),--(W:W="кор"),H:H,Y:Y)+SUMPRODUCT(--(BB:BB="ПГП"),--(W:W="кг"),Y:Y)</f>
        <v>0</v>
      </c>
      <c r="C279" s="72">
        <f>SUMPRODUCT(--(BB:BB="КИЗ"),--(W:W="кор"),H:H,Y:Y)+SUMPRODUCT(--(BB:BB="КИЗ"),--(W:W="кг"),Y:Y)</f>
        <v>0</v>
      </c>
    </row>
  </sheetData>
  <sheetProtection algorithmName="SHA-512" hashValue="n23w3Muj4L06uOxzR4dPThR6GQNE3rXQK6r8SJHh5xK0cC3dNaqKBkHFzL6xxIp//wNAvfADi+/6w2Uh8iaTyw==" saltValue="N6xdQ8/ovRH/41D7q4peDQ==" spinCount="100000" sheet="1" objects="1" scenarios="1" sort="0" autoFilter="0" pivotTables="0"/>
  <autoFilter ref="A18:AF27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8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A191:Z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A222:Z222"/>
    <mergeCell ref="D223:E223"/>
    <mergeCell ref="P223:T223"/>
    <mergeCell ref="P224:V224"/>
    <mergeCell ref="A224:O225"/>
    <mergeCell ref="P225:V225"/>
    <mergeCell ref="A226:Z226"/>
    <mergeCell ref="A227:Z227"/>
    <mergeCell ref="A228:Z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P234:V234"/>
    <mergeCell ref="A234:O235"/>
    <mergeCell ref="P235:V235"/>
    <mergeCell ref="A236:Z236"/>
    <mergeCell ref="A237:Z237"/>
    <mergeCell ref="A238:Z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P266:V266"/>
    <mergeCell ref="A266:O271"/>
    <mergeCell ref="P267:V267"/>
    <mergeCell ref="P268:V268"/>
    <mergeCell ref="P269:V269"/>
    <mergeCell ref="P270:V270"/>
    <mergeCell ref="P271:V271"/>
    <mergeCell ref="A274:A275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W274:W275"/>
    <mergeCell ref="X274:X275"/>
    <mergeCell ref="Y274:Y275"/>
    <mergeCell ref="Z274:Z275"/>
    <mergeCell ref="AA274:AA275"/>
    <mergeCell ref="AB274:AB275"/>
    <mergeCell ref="AC274:AC275"/>
    <mergeCell ref="AD274:AD275"/>
    <mergeCell ref="B273:C273"/>
    <mergeCell ref="D273:U273"/>
    <mergeCell ref="X273:Z273"/>
    <mergeCell ref="J274:J275"/>
    <mergeCell ref="K274:K275"/>
    <mergeCell ref="L274:L275"/>
    <mergeCell ref="M274:M275"/>
    <mergeCell ref="O274:O275"/>
    <mergeCell ref="P274:P275"/>
    <mergeCell ref="Q274:Q275"/>
    <mergeCell ref="R274:R275"/>
    <mergeCell ref="S274:S275"/>
    <mergeCell ref="T274:T275"/>
    <mergeCell ref="U274:U275"/>
    <mergeCell ref="V274:V27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1:X263 X254 X239:X240 X233 X229 X217 X210:X211 X196:X200 X186 X182 X172 X166 X139 X128 X124 X120 X117 X114 X99 X97 X73:X75 X68:X69 X64 X60 X46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255:X259 X248:X250 X244 X223 X192 X180:X181 X173 X161 X156 X151 X145:X146 X133:X134 X118:X119 X115 X113 X107:X108 X101:X102 X98 X91 X86 X80 X52:X55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0 X260 X205 X179 X140 X116 X100 X92 X81 X47 X45" xr:uid="{00000000-0002-0000-0000-00001A000000}">
      <formula1>IF(AK40&gt;0,OR(X40=0,AND(IF(X40-AK40&gt;=0,TRUE,FALSE),X40&gt;0,IF(X40/J40=ROUND(X40/J40,0),TRUE,FALSE))),FALSE)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3" t="s">
        <v>378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380</v>
      </c>
      <c r="D6" s="53" t="s">
        <v>381</v>
      </c>
      <c r="E6" s="53" t="s">
        <v>46</v>
      </c>
    </row>
    <row r="8" spans="2:8" x14ac:dyDescent="0.2">
      <c r="B8" s="53" t="s">
        <v>80</v>
      </c>
      <c r="C8" s="53" t="s">
        <v>380</v>
      </c>
      <c r="D8" s="53" t="s">
        <v>46</v>
      </c>
      <c r="E8" s="53" t="s">
        <v>46</v>
      </c>
    </row>
    <row r="10" spans="2:8" x14ac:dyDescent="0.2">
      <c r="B10" s="53" t="s">
        <v>382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383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384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392</v>
      </c>
      <c r="C20" s="53" t="s">
        <v>46</v>
      </c>
      <c r="D20" s="53" t="s">
        <v>46</v>
      </c>
      <c r="E20" s="53" t="s">
        <v>46</v>
      </c>
    </row>
  </sheetData>
  <sheetProtection algorithmName="SHA-512" hashValue="DjRy575HspmEMxNqyyatL7eKgD1Vvt0XTRUmwHE4PCYYD6r4pTyODRyQPJ200zgcyIUkvF/in9mM+OYZIkMsaw==" saltValue="7GicevB3RVgKkc2k8OKij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2026-01-16T10:24:05Z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