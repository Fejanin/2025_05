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копии М_Б смещение\"/>
    </mc:Choice>
  </mc:AlternateContent>
  <xr:revisionPtr revIDLastSave="0" documentId="13_ncr:1_{27423FAF-3D97-460E-87E7-FECDC15A92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7" i="1" l="1"/>
  <c r="T67" i="1" s="1"/>
  <c r="L67" i="1"/>
  <c r="F66" i="1"/>
  <c r="E66" i="1"/>
  <c r="P66" i="1" s="1"/>
  <c r="Q66" i="1" s="1"/>
  <c r="AE65" i="1"/>
  <c r="AI65" i="1" s="1"/>
  <c r="AC65" i="1"/>
  <c r="R65" i="1"/>
  <c r="P65" i="1"/>
  <c r="T65" i="1" s="1"/>
  <c r="L65" i="1"/>
  <c r="AE64" i="1"/>
  <c r="AC64" i="1"/>
  <c r="P64" i="1"/>
  <c r="T64" i="1" s="1"/>
  <c r="L64" i="1"/>
  <c r="P63" i="1"/>
  <c r="L63" i="1"/>
  <c r="F62" i="1"/>
  <c r="E62" i="1"/>
  <c r="P62" i="1" s="1"/>
  <c r="P61" i="1"/>
  <c r="L61" i="1"/>
  <c r="AE60" i="1"/>
  <c r="AF60" i="1" s="1"/>
  <c r="AC60" i="1"/>
  <c r="P60" i="1"/>
  <c r="T60" i="1" s="1"/>
  <c r="L60" i="1"/>
  <c r="AF59" i="1"/>
  <c r="AE59" i="1"/>
  <c r="AI59" i="1" s="1"/>
  <c r="AC59" i="1"/>
  <c r="R59" i="1"/>
  <c r="P59" i="1"/>
  <c r="T59" i="1" s="1"/>
  <c r="L59" i="1"/>
  <c r="AI58" i="1"/>
  <c r="AE58" i="1"/>
  <c r="AF58" i="1" s="1"/>
  <c r="AC58" i="1"/>
  <c r="R58" i="1"/>
  <c r="P58" i="1"/>
  <c r="T58" i="1" s="1"/>
  <c r="L58" i="1"/>
  <c r="P57" i="1"/>
  <c r="L57" i="1"/>
  <c r="AF56" i="1"/>
  <c r="AE56" i="1"/>
  <c r="AI56" i="1" s="1"/>
  <c r="AC56" i="1"/>
  <c r="R56" i="1"/>
  <c r="P56" i="1"/>
  <c r="T56" i="1" s="1"/>
  <c r="L56" i="1"/>
  <c r="AI55" i="1"/>
  <c r="AE55" i="1"/>
  <c r="AF55" i="1" s="1"/>
  <c r="AC55" i="1"/>
  <c r="R55" i="1"/>
  <c r="P55" i="1"/>
  <c r="T55" i="1" s="1"/>
  <c r="L55" i="1"/>
  <c r="AE54" i="1"/>
  <c r="AI54" i="1" s="1"/>
  <c r="AC54" i="1"/>
  <c r="R54" i="1"/>
  <c r="P54" i="1"/>
  <c r="T54" i="1" s="1"/>
  <c r="L54" i="1"/>
  <c r="AE53" i="1"/>
  <c r="AF53" i="1" s="1"/>
  <c r="AC53" i="1"/>
  <c r="P53" i="1"/>
  <c r="T53" i="1" s="1"/>
  <c r="L53" i="1"/>
  <c r="P52" i="1"/>
  <c r="L52" i="1"/>
  <c r="AE51" i="1"/>
  <c r="AF51" i="1" s="1"/>
  <c r="AC51" i="1"/>
  <c r="R51" i="1"/>
  <c r="P51" i="1"/>
  <c r="T51" i="1" s="1"/>
  <c r="L51" i="1"/>
  <c r="P50" i="1"/>
  <c r="L50" i="1"/>
  <c r="P49" i="1"/>
  <c r="Q49" i="1" s="1"/>
  <c r="L49" i="1"/>
  <c r="AE48" i="1"/>
  <c r="AF48" i="1" s="1"/>
  <c r="AC48" i="1"/>
  <c r="P48" i="1"/>
  <c r="T48" i="1" s="1"/>
  <c r="L48" i="1"/>
  <c r="P47" i="1"/>
  <c r="L47" i="1"/>
  <c r="P46" i="1"/>
  <c r="L46" i="1"/>
  <c r="F45" i="1"/>
  <c r="E45" i="1"/>
  <c r="P45" i="1" s="1"/>
  <c r="AE44" i="1"/>
  <c r="AI44" i="1" s="1"/>
  <c r="AC44" i="1"/>
  <c r="R44" i="1"/>
  <c r="P44" i="1"/>
  <c r="T44" i="1" s="1"/>
  <c r="L44" i="1"/>
  <c r="P43" i="1"/>
  <c r="L43" i="1"/>
  <c r="AE42" i="1"/>
  <c r="AI42" i="1" s="1"/>
  <c r="AC42" i="1"/>
  <c r="R42" i="1"/>
  <c r="P42" i="1"/>
  <c r="T42" i="1" s="1"/>
  <c r="L42" i="1"/>
  <c r="P41" i="1"/>
  <c r="L41" i="1"/>
  <c r="AE40" i="1"/>
  <c r="AC40" i="1"/>
  <c r="P40" i="1"/>
  <c r="T40" i="1" s="1"/>
  <c r="L40" i="1"/>
  <c r="AE39" i="1"/>
  <c r="AI39" i="1" s="1"/>
  <c r="AC39" i="1"/>
  <c r="R39" i="1"/>
  <c r="P39" i="1"/>
  <c r="T39" i="1" s="1"/>
  <c r="L39" i="1"/>
  <c r="AE38" i="1"/>
  <c r="AC38" i="1"/>
  <c r="P38" i="1"/>
  <c r="T38" i="1" s="1"/>
  <c r="L38" i="1"/>
  <c r="AE37" i="1"/>
  <c r="AI37" i="1" s="1"/>
  <c r="AC37" i="1"/>
  <c r="R37" i="1"/>
  <c r="P37" i="1"/>
  <c r="T37" i="1" s="1"/>
  <c r="L37" i="1"/>
  <c r="AE36" i="1"/>
  <c r="AC36" i="1"/>
  <c r="P36" i="1"/>
  <c r="T36" i="1" s="1"/>
  <c r="L36" i="1"/>
  <c r="P35" i="1"/>
  <c r="L35" i="1"/>
  <c r="AE34" i="1"/>
  <c r="AC34" i="1"/>
  <c r="P34" i="1"/>
  <c r="T34" i="1" s="1"/>
  <c r="L34" i="1"/>
  <c r="P33" i="1"/>
  <c r="L33" i="1"/>
  <c r="P32" i="1"/>
  <c r="L32" i="1"/>
  <c r="P31" i="1"/>
  <c r="L31" i="1"/>
  <c r="P30" i="1"/>
  <c r="L30" i="1"/>
  <c r="AE29" i="1"/>
  <c r="AI29" i="1" s="1"/>
  <c r="AC29" i="1"/>
  <c r="R29" i="1"/>
  <c r="P29" i="1"/>
  <c r="T29" i="1" s="1"/>
  <c r="L29" i="1"/>
  <c r="AE28" i="1"/>
  <c r="AF28" i="1" s="1"/>
  <c r="AC28" i="1"/>
  <c r="P28" i="1"/>
  <c r="T28" i="1" s="1"/>
  <c r="L28" i="1"/>
  <c r="P27" i="1"/>
  <c r="L27" i="1"/>
  <c r="P26" i="1"/>
  <c r="L26" i="1"/>
  <c r="AE25" i="1"/>
  <c r="AF25" i="1" s="1"/>
  <c r="AC25" i="1"/>
  <c r="P25" i="1"/>
  <c r="T25" i="1" s="1"/>
  <c r="L25" i="1"/>
  <c r="P24" i="1"/>
  <c r="L24" i="1"/>
  <c r="P23" i="1"/>
  <c r="L23" i="1"/>
  <c r="P22" i="1"/>
  <c r="S22" i="1" s="1"/>
  <c r="L22" i="1"/>
  <c r="P21" i="1"/>
  <c r="L21" i="1"/>
  <c r="AE20" i="1"/>
  <c r="AI20" i="1" s="1"/>
  <c r="AC20" i="1"/>
  <c r="R20" i="1"/>
  <c r="P20" i="1"/>
  <c r="T20" i="1" s="1"/>
  <c r="L20" i="1"/>
  <c r="AE19" i="1"/>
  <c r="AF19" i="1" s="1"/>
  <c r="AC19" i="1"/>
  <c r="P19" i="1"/>
  <c r="T19" i="1" s="1"/>
  <c r="L19" i="1"/>
  <c r="AE18" i="1"/>
  <c r="AI18" i="1" s="1"/>
  <c r="AC18" i="1"/>
  <c r="R18" i="1"/>
  <c r="P18" i="1"/>
  <c r="T18" i="1" s="1"/>
  <c r="L18" i="1"/>
  <c r="AE17" i="1"/>
  <c r="AF17" i="1" s="1"/>
  <c r="AC17" i="1"/>
  <c r="R17" i="1"/>
  <c r="P17" i="1"/>
  <c r="T17" i="1" s="1"/>
  <c r="L17" i="1"/>
  <c r="AE16" i="1"/>
  <c r="AI16" i="1" s="1"/>
  <c r="AC16" i="1"/>
  <c r="R16" i="1"/>
  <c r="P16" i="1"/>
  <c r="T16" i="1" s="1"/>
  <c r="L16" i="1"/>
  <c r="F15" i="1"/>
  <c r="E15" i="1"/>
  <c r="P15" i="1" s="1"/>
  <c r="AE14" i="1"/>
  <c r="AI14" i="1" s="1"/>
  <c r="AC14" i="1"/>
  <c r="R14" i="1"/>
  <c r="S14" i="1" s="1"/>
  <c r="P14" i="1"/>
  <c r="T14" i="1" s="1"/>
  <c r="L14" i="1"/>
  <c r="AE13" i="1"/>
  <c r="AI13" i="1" s="1"/>
  <c r="AC13" i="1"/>
  <c r="R13" i="1"/>
  <c r="P13" i="1"/>
  <c r="T13" i="1" s="1"/>
  <c r="L13" i="1"/>
  <c r="P12" i="1"/>
  <c r="L12" i="1"/>
  <c r="AE11" i="1"/>
  <c r="AI11" i="1" s="1"/>
  <c r="AC11" i="1"/>
  <c r="R11" i="1"/>
  <c r="P11" i="1"/>
  <c r="T11" i="1" s="1"/>
  <c r="L11" i="1"/>
  <c r="AE10" i="1"/>
  <c r="AF10" i="1" s="1"/>
  <c r="AC10" i="1"/>
  <c r="R10" i="1"/>
  <c r="P10" i="1"/>
  <c r="T10" i="1" s="1"/>
  <c r="L10" i="1"/>
  <c r="AE9" i="1"/>
  <c r="AI9" i="1" s="1"/>
  <c r="AC9" i="1"/>
  <c r="R9" i="1"/>
  <c r="P9" i="1"/>
  <c r="T9" i="1" s="1"/>
  <c r="L9" i="1"/>
  <c r="P8" i="1"/>
  <c r="S8" i="1" s="1"/>
  <c r="L8" i="1"/>
  <c r="P7" i="1"/>
  <c r="S7" i="1" s="1"/>
  <c r="L7" i="1"/>
  <c r="P6" i="1"/>
  <c r="S6" i="1" s="1"/>
  <c r="L6" i="1"/>
  <c r="AA5" i="1"/>
  <c r="Z5" i="1"/>
  <c r="Y5" i="1"/>
  <c r="X5" i="1"/>
  <c r="W5" i="1"/>
  <c r="V5" i="1"/>
  <c r="U5" i="1"/>
  <c r="O5" i="1"/>
  <c r="N5" i="1"/>
  <c r="M5" i="1"/>
  <c r="K5" i="1"/>
  <c r="S10" i="1" l="1"/>
  <c r="AI17" i="1"/>
  <c r="AF18" i="1"/>
  <c r="AF42" i="1"/>
  <c r="S51" i="1"/>
  <c r="T23" i="1"/>
  <c r="Q23" i="1"/>
  <c r="T35" i="1"/>
  <c r="Q35" i="1"/>
  <c r="T43" i="1"/>
  <c r="Q43" i="1"/>
  <c r="Q45" i="1"/>
  <c r="AE45" i="1" s="1"/>
  <c r="T50" i="1"/>
  <c r="Q50" i="1"/>
  <c r="T52" i="1"/>
  <c r="Q52" i="1"/>
  <c r="T57" i="1"/>
  <c r="Q57" i="1"/>
  <c r="AE57" i="1" s="1"/>
  <c r="AI57" i="1" s="1"/>
  <c r="T61" i="1"/>
  <c r="Q61" i="1"/>
  <c r="T62" i="1"/>
  <c r="Q62" i="1"/>
  <c r="T12" i="1"/>
  <c r="Q12" i="1"/>
  <c r="Q15" i="1"/>
  <c r="T21" i="1"/>
  <c r="Q21" i="1"/>
  <c r="T24" i="1"/>
  <c r="Q24" i="1"/>
  <c r="AC26" i="1"/>
  <c r="Q26" i="1"/>
  <c r="T27" i="1"/>
  <c r="Q27" i="1"/>
  <c r="T30" i="1"/>
  <c r="Q30" i="1"/>
  <c r="T31" i="1"/>
  <c r="Q31" i="1"/>
  <c r="AC32" i="1"/>
  <c r="Q32" i="1"/>
  <c r="T33" i="1"/>
  <c r="Q33" i="1"/>
  <c r="AC41" i="1"/>
  <c r="Q41" i="1"/>
  <c r="AE41" i="1" s="1"/>
  <c r="T46" i="1"/>
  <c r="Q46" i="1"/>
  <c r="T47" i="1"/>
  <c r="Q47" i="1"/>
  <c r="AE47" i="1" s="1"/>
  <c r="T63" i="1"/>
  <c r="Q63" i="1"/>
  <c r="E5" i="1"/>
  <c r="T15" i="1"/>
  <c r="S17" i="1"/>
  <c r="AF29" i="1"/>
  <c r="AF39" i="1"/>
  <c r="AI51" i="1"/>
  <c r="S55" i="1"/>
  <c r="S58" i="1"/>
  <c r="AF65" i="1"/>
  <c r="T66" i="1"/>
  <c r="AE66" i="1"/>
  <c r="AI66" i="1" s="1"/>
  <c r="AC66" i="1"/>
  <c r="F5" i="1"/>
  <c r="AF9" i="1"/>
  <c r="AF11" i="1"/>
  <c r="AF13" i="1"/>
  <c r="AF14" i="1"/>
  <c r="AF16" i="1"/>
  <c r="R19" i="1"/>
  <c r="S19" i="1" s="1"/>
  <c r="AI19" i="1"/>
  <c r="AF20" i="1"/>
  <c r="AC24" i="1"/>
  <c r="AE26" i="1"/>
  <c r="AI26" i="1" s="1"/>
  <c r="AE30" i="1"/>
  <c r="AF30" i="1" s="1"/>
  <c r="AE32" i="1"/>
  <c r="AI32" i="1" s="1"/>
  <c r="AF37" i="1"/>
  <c r="AF44" i="1"/>
  <c r="T45" i="1"/>
  <c r="AE46" i="1"/>
  <c r="AI46" i="1" s="1"/>
  <c r="R48" i="1"/>
  <c r="S48" i="1" s="1"/>
  <c r="AI48" i="1"/>
  <c r="R53" i="1"/>
  <c r="S53" i="1" s="1"/>
  <c r="AI53" i="1"/>
  <c r="AF54" i="1"/>
  <c r="R60" i="1"/>
  <c r="S60" i="1" s="1"/>
  <c r="AI60" i="1"/>
  <c r="S67" i="1"/>
  <c r="T6" i="1"/>
  <c r="T7" i="1"/>
  <c r="T8" i="1"/>
  <c r="S9" i="1"/>
  <c r="AI10" i="1"/>
  <c r="S11" i="1"/>
  <c r="S13" i="1"/>
  <c r="S16" i="1"/>
  <c r="S18" i="1"/>
  <c r="S20" i="1"/>
  <c r="AF36" i="1"/>
  <c r="AI36" i="1"/>
  <c r="R36" i="1"/>
  <c r="S36" i="1" s="1"/>
  <c r="AF40" i="1"/>
  <c r="AI40" i="1"/>
  <c r="R40" i="1"/>
  <c r="S40" i="1" s="1"/>
  <c r="AF41" i="1"/>
  <c r="AI41" i="1"/>
  <c r="AI47" i="1"/>
  <c r="R47" i="1"/>
  <c r="S47" i="1" s="1"/>
  <c r="AF47" i="1"/>
  <c r="AC49" i="1"/>
  <c r="AE49" i="1"/>
  <c r="S54" i="1"/>
  <c r="S56" i="1"/>
  <c r="S59" i="1"/>
  <c r="L62" i="1"/>
  <c r="AF64" i="1"/>
  <c r="AI64" i="1"/>
  <c r="R64" i="1"/>
  <c r="S64" i="1" s="1"/>
  <c r="P5" i="1"/>
  <c r="L15" i="1"/>
  <c r="T22" i="1"/>
  <c r="R25" i="1"/>
  <c r="S25" i="1" s="1"/>
  <c r="AI25" i="1"/>
  <c r="T26" i="1"/>
  <c r="R28" i="1"/>
  <c r="S28" i="1" s="1"/>
  <c r="AI28" i="1"/>
  <c r="S29" i="1"/>
  <c r="T32" i="1"/>
  <c r="AF34" i="1"/>
  <c r="AI34" i="1"/>
  <c r="R34" i="1"/>
  <c r="S34" i="1" s="1"/>
  <c r="AF38" i="1"/>
  <c r="AI38" i="1"/>
  <c r="R38" i="1"/>
  <c r="S38" i="1" s="1"/>
  <c r="R41" i="1"/>
  <c r="S41" i="1" s="1"/>
  <c r="AC46" i="1"/>
  <c r="AC47" i="1"/>
  <c r="T49" i="1"/>
  <c r="S37" i="1"/>
  <c r="S39" i="1"/>
  <c r="T41" i="1"/>
  <c r="S42" i="1"/>
  <c r="S44" i="1"/>
  <c r="L45" i="1"/>
  <c r="S65" i="1"/>
  <c r="L66" i="1"/>
  <c r="R45" i="1" l="1"/>
  <c r="S45" i="1" s="1"/>
  <c r="AI45" i="1"/>
  <c r="AF45" i="1"/>
  <c r="AC12" i="1"/>
  <c r="AE12" i="1"/>
  <c r="AE62" i="1"/>
  <c r="AC62" i="1"/>
  <c r="AE61" i="1"/>
  <c r="AC61" i="1"/>
  <c r="AE52" i="1"/>
  <c r="AC52" i="1"/>
  <c r="AE50" i="1"/>
  <c r="AC50" i="1"/>
  <c r="AC43" i="1"/>
  <c r="AE43" i="1"/>
  <c r="AE35" i="1"/>
  <c r="AC35" i="1"/>
  <c r="AE23" i="1"/>
  <c r="AC23" i="1"/>
  <c r="AC45" i="1"/>
  <c r="AC63" i="1"/>
  <c r="AE63" i="1"/>
  <c r="AC33" i="1"/>
  <c r="AE33" i="1"/>
  <c r="AE31" i="1"/>
  <c r="AC31" i="1"/>
  <c r="AC27" i="1"/>
  <c r="AE27" i="1"/>
  <c r="AC21" i="1"/>
  <c r="AE21" i="1"/>
  <c r="AE15" i="1"/>
  <c r="AC15" i="1"/>
  <c r="AC57" i="1"/>
  <c r="R57" i="1"/>
  <c r="S57" i="1" s="1"/>
  <c r="AF57" i="1"/>
  <c r="R66" i="1"/>
  <c r="S66" i="1" s="1"/>
  <c r="R30" i="1"/>
  <c r="S30" i="1" s="1"/>
  <c r="R46" i="1"/>
  <c r="S46" i="1" s="1"/>
  <c r="AF26" i="1"/>
  <c r="R26" i="1"/>
  <c r="S26" i="1" s="1"/>
  <c r="AF66" i="1"/>
  <c r="AC30" i="1"/>
  <c r="AI30" i="1"/>
  <c r="L5" i="1"/>
  <c r="AF46" i="1"/>
  <c r="AF32" i="1"/>
  <c r="R32" i="1"/>
  <c r="S32" i="1" s="1"/>
  <c r="AE24" i="1"/>
  <c r="Q5" i="1"/>
  <c r="AF49" i="1"/>
  <c r="R49" i="1"/>
  <c r="S49" i="1" s="1"/>
  <c r="AI49" i="1"/>
  <c r="AE5" i="1" l="1"/>
  <c r="AF21" i="1"/>
  <c r="R21" i="1"/>
  <c r="S21" i="1" s="1"/>
  <c r="AI21" i="1"/>
  <c r="AI27" i="1"/>
  <c r="R27" i="1"/>
  <c r="S27" i="1" s="1"/>
  <c r="AF27" i="1"/>
  <c r="AI33" i="1"/>
  <c r="R33" i="1"/>
  <c r="S33" i="1" s="1"/>
  <c r="AF33" i="1"/>
  <c r="AI63" i="1"/>
  <c r="R63" i="1"/>
  <c r="S63" i="1" s="1"/>
  <c r="AF63" i="1"/>
  <c r="AI23" i="1"/>
  <c r="R23" i="1"/>
  <c r="S23" i="1" s="1"/>
  <c r="AF23" i="1"/>
  <c r="AI35" i="1"/>
  <c r="R35" i="1"/>
  <c r="S35" i="1" s="1"/>
  <c r="AF35" i="1"/>
  <c r="AI50" i="1"/>
  <c r="R50" i="1"/>
  <c r="S50" i="1" s="1"/>
  <c r="AF50" i="1"/>
  <c r="AI52" i="1"/>
  <c r="R52" i="1"/>
  <c r="S52" i="1" s="1"/>
  <c r="AF52" i="1"/>
  <c r="AI61" i="1"/>
  <c r="R61" i="1"/>
  <c r="S61" i="1" s="1"/>
  <c r="AF61" i="1"/>
  <c r="AF62" i="1"/>
  <c r="R62" i="1"/>
  <c r="S62" i="1" s="1"/>
  <c r="AI62" i="1"/>
  <c r="AF15" i="1"/>
  <c r="R15" i="1"/>
  <c r="S15" i="1" s="1"/>
  <c r="AI15" i="1"/>
  <c r="AF31" i="1"/>
  <c r="R31" i="1"/>
  <c r="S31" i="1" s="1"/>
  <c r="AI31" i="1"/>
  <c r="AI43" i="1"/>
  <c r="AF43" i="1"/>
  <c r="R43" i="1"/>
  <c r="S43" i="1" s="1"/>
  <c r="AF12" i="1"/>
  <c r="R12" i="1"/>
  <c r="S12" i="1" s="1"/>
  <c r="AI12" i="1"/>
  <c r="AC5" i="1"/>
  <c r="AF24" i="1"/>
  <c r="R24" i="1"/>
  <c r="S24" i="1" s="1"/>
  <c r="AI24" i="1"/>
  <c r="R5" i="1"/>
  <c r="AI5" i="1" l="1"/>
  <c r="AF5" i="1"/>
</calcChain>
</file>

<file path=xl/sharedStrings.xml><?xml version="1.0" encoding="utf-8"?>
<sst xmlns="http://schemas.openxmlformats.org/spreadsheetml/2006/main" count="252" uniqueCount="164">
  <si>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</si>
  <si>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</si>
  <si>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</si>
  <si>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</si>
  <si>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</si>
  <si>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</si>
  <si>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</si>
  <si>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</si>
  <si>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</si>
  <si>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</si>
  <si>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</si>
  <si>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</si>
  <si>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</si>
  <si>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</si>
  <si>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</si>
  <si>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</si>
  <si>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</si>
  <si>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</si>
  <si>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</si>
  <si>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</si>
  <si>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</si>
  <si>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</si>
  <si>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</si>
  <si>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</si>
  <si>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</si>
  <si>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</si>
  <si>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</si>
  <si>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</si>
  <si>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</si>
  <si>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07,07,</t>
  </si>
  <si>
    <t>09,07,</t>
  </si>
  <si>
    <t>02,07,</t>
  </si>
  <si>
    <t>25,06,</t>
  </si>
  <si>
    <t>18,06,</t>
  </si>
  <si>
    <t>11,06,</t>
  </si>
  <si>
    <t>04,05,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</si>
  <si>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</si>
  <si>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</si>
  <si>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</si>
  <si>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</si>
  <si>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</si>
  <si>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</si>
  <si>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</si>
  <si>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</si>
  <si>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</si>
  <si>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</si>
  <si>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</si>
  <si>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</si>
  <si>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</si>
  <si>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</si>
  <si>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</si>
  <si>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</si>
  <si>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нужно увеличить продажи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</si>
  <si>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</si>
  <si>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</si>
  <si>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</si>
  <si>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</si>
  <si>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</si>
  <si>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</si>
  <si>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</si>
  <si>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</si>
  <si>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</si>
  <si>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</si>
  <si>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</si>
  <si>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</si>
  <si>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</si>
  <si>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нужно увеличить продажи!!!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</si>
  <si>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</si>
  <si>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</si>
  <si>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</si>
  <si>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</si>
  <si>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</si>
  <si>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</si>
  <si>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</si>
  <si>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Мини-сосиски в тесте ТМ Зареченские . ВЕС  Поком</t>
  </si>
  <si>
    <t>дубль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</si>
  <si>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</si>
  <si>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</si>
  <si>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</si>
  <si>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</si>
  <si>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</si>
  <si>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</si>
  <si>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</si>
  <si>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</si>
  <si>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</si>
  <si>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</si>
  <si>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</si>
  <si>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</si>
  <si>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</si>
  <si>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</si>
  <si>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</si>
  <si>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</si>
  <si>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</si>
  <si>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</si>
  <si>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</si>
  <si>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</si>
  <si>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</si>
  <si>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</si>
  <si>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</si>
  <si>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</si>
  <si>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</si>
  <si>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</si>
  <si>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Мясные» 0,8 классическая форма ТМ «Медвежье ушко»</t>
  </si>
  <si>
    <t>P005158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</si>
  <si>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</si>
  <si>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</si>
  <si>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</si>
  <si>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</si>
  <si>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</si>
  <si>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</si>
  <si>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</si>
  <si>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</si>
  <si>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</si>
  <si>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</si>
  <si>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</si>
  <si>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</si>
  <si>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</si>
  <si>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</si>
  <si>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</si>
  <si>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</si>
  <si>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</si>
  <si>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</si>
  <si>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</si>
  <si>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</si>
  <si>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</si>
  <si>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</si>
  <si>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</si>
  <si>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</si>
  <si>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</si>
  <si>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</si>
  <si>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</si>
  <si>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</si>
  <si>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</si>
  <si>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</si>
  <si>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</si>
  <si>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</si>
  <si>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</si>
  <si>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</si>
  <si>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</si>
  <si>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</si>
  <si>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</si>
  <si>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</si>
  <si>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</si>
  <si>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</si>
  <si>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</si>
  <si>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</si>
  <si>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</si>
  <si>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</si>
  <si>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</si>
  <si>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</si>
  <si>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</si>
  <si>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</si>
  <si>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</si>
  <si>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</si>
  <si>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</si>
  <si>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</si>
  <si>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</si>
  <si>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</si>
  <si>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</si>
  <si>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</si>
  <si>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</si>
  <si>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</si>
  <si>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</si>
  <si>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списано -420шт. (04,07,26)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</si>
</sst>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" sqref="S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27" width="6" customWidth="1"/>
    <col min="28" max="28" width="39.42578125" customWidth="1"/>
    <col min="29" max="29" width="6" customWidth="1"/>
    <col min="30" max="30" width="6" style="5" customWidth="1"/>
    <col min="31" max="31" width="7" style="11" customWidth="1"/>
    <col min="32" max="32" width="6" customWidth="1"/>
    <col min="33" max="34" width="5" customWidth="1"/>
    <col min="35" max="35" width="6" style="11" customWidth="1"/>
    <col min="36" max="49" width="3" customWidth="1"/>
  </cols>
  <sheetData>
    <row r="1" spans="1:49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>
        <v>20</v>
      </c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6"/>
      <c r="AE1" s="8"/>
      <c r="AF1" s="12"/>
      <c r="AG1" s="12"/>
      <c r="AH1" s="12"/>
      <c r="AI1" s="8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</row>
    <row r="2" spans="1:49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6"/>
      <c r="AE2" s="8"/>
      <c r="AF2" s="12"/>
      <c r="AG2" s="12"/>
      <c r="AH2" s="12"/>
      <c r="AI2" s="8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21</v>
      </c>
      <c r="AC3" s="1" t="s">
        <v>22</v>
      </c>
      <c r="AD3" s="7" t="s">
        <v>23</v>
      </c>
      <c r="AE3" s="9" t="s">
        <v>24</v>
      </c>
      <c r="AF3" s="1" t="s">
        <v>25</v>
      </c>
      <c r="AG3" s="1" t="s">
        <v>26</v>
      </c>
      <c r="AH3" s="1" t="s">
        <v>27</v>
      </c>
      <c r="AI3" s="9" t="s">
        <v>28</v>
      </c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</row>
    <row r="4" spans="1:49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29</v>
      </c>
      <c r="P4" s="12" t="s">
        <v>30</v>
      </c>
      <c r="Q4" s="12"/>
      <c r="R4" s="12"/>
      <c r="S4" s="12"/>
      <c r="T4" s="12"/>
      <c r="U4" s="12" t="s">
        <v>31</v>
      </c>
      <c r="V4" s="12" t="s">
        <v>32</v>
      </c>
      <c r="W4" s="12" t="s">
        <v>33</v>
      </c>
      <c r="X4" s="12" t="s">
        <v>34</v>
      </c>
      <c r="Y4" s="12" t="s">
        <v>35</v>
      </c>
      <c r="Z4" s="12" t="s">
        <v>36</v>
      </c>
      <c r="AA4" s="12" t="s">
        <v>37</v>
      </c>
      <c r="AB4" s="12"/>
      <c r="AC4" s="12"/>
      <c r="AD4" s="6"/>
      <c r="AE4" s="8"/>
      <c r="AF4" s="12"/>
      <c r="AG4" s="12"/>
      <c r="AH4" s="12"/>
      <c r="AI4" s="8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</row>
    <row r="5" spans="1:49" x14ac:dyDescent="0.25">
      <c r="A5" s="12"/>
      <c r="B5" s="12"/>
      <c r="C5" s="12"/>
      <c r="D5" s="12"/>
      <c r="E5" s="3">
        <f>SUM(E6:E499)</f>
        <v>10634.7</v>
      </c>
      <c r="F5" s="3">
        <f>SUM(F6:F499)</f>
        <v>32364.3</v>
      </c>
      <c r="G5" s="6"/>
      <c r="H5" s="12"/>
      <c r="I5" s="12"/>
      <c r="J5" s="12"/>
      <c r="K5" s="3">
        <f t="shared" ref="K5:R5" si="0">SUM(K6:K499)</f>
        <v>10097.200000000001</v>
      </c>
      <c r="L5" s="3">
        <f t="shared" si="0"/>
        <v>537.5</v>
      </c>
      <c r="M5" s="3">
        <f t="shared" si="0"/>
        <v>0</v>
      </c>
      <c r="N5" s="3">
        <f t="shared" si="0"/>
        <v>0</v>
      </c>
      <c r="O5" s="3">
        <f t="shared" si="0"/>
        <v>12782.8</v>
      </c>
      <c r="P5" s="3">
        <f t="shared" si="0"/>
        <v>2126.94</v>
      </c>
      <c r="Q5" s="3">
        <f t="shared" si="0"/>
        <v>7204</v>
      </c>
      <c r="R5" s="3">
        <f t="shared" si="0"/>
        <v>7332</v>
      </c>
      <c r="S5" s="12"/>
      <c r="T5" s="12"/>
      <c r="U5" s="3">
        <f t="shared" ref="U5:AA5" si="1">SUM(U6:U499)</f>
        <v>2382.52</v>
      </c>
      <c r="V5" s="3">
        <f t="shared" si="1"/>
        <v>2486.0000000000009</v>
      </c>
      <c r="W5" s="3">
        <f t="shared" si="1"/>
        <v>2350.14</v>
      </c>
      <c r="X5" s="3">
        <f t="shared" si="1"/>
        <v>2616.0600000000004</v>
      </c>
      <c r="Y5" s="3">
        <f t="shared" si="1"/>
        <v>509.18000000000012</v>
      </c>
      <c r="Z5" s="3">
        <f t="shared" si="1"/>
        <v>224.85999999999999</v>
      </c>
      <c r="AA5" s="3">
        <f t="shared" si="1"/>
        <v>1746.4999999999995</v>
      </c>
      <c r="AB5" s="12"/>
      <c r="AC5" s="3">
        <f>SUM(AC6:AC499)</f>
        <v>4836.8099999999995</v>
      </c>
      <c r="AD5" s="6"/>
      <c r="AE5" s="10">
        <f>SUM(AE6:AE499)</f>
        <v>994</v>
      </c>
      <c r="AF5" s="3">
        <f>SUM(AF6:AF499)</f>
        <v>4979.16</v>
      </c>
      <c r="AG5" s="12"/>
      <c r="AH5" s="12"/>
      <c r="AI5" s="10">
        <f>SUM(AI6:AI499)</f>
        <v>11.457142857142856</v>
      </c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</row>
    <row r="6" spans="1:49" x14ac:dyDescent="0.25">
      <c r="A6" s="13" t="s">
        <v>38</v>
      </c>
      <c r="B6" s="13" t="s">
        <v>39</v>
      </c>
      <c r="C6" s="13">
        <v>38</v>
      </c>
      <c r="D6" s="13">
        <v>98</v>
      </c>
      <c r="E6" s="19">
        <v>45</v>
      </c>
      <c r="F6" s="19">
        <v>91</v>
      </c>
      <c r="G6" s="14">
        <v>0</v>
      </c>
      <c r="H6" s="13"/>
      <c r="I6" s="13" t="s">
        <v>40</v>
      </c>
      <c r="J6" s="13" t="s">
        <v>41</v>
      </c>
      <c r="K6" s="13">
        <v>45</v>
      </c>
      <c r="L6" s="13">
        <f t="shared" ref="L6:L37" si="2">E6-K6</f>
        <v>0</v>
      </c>
      <c r="M6" s="13"/>
      <c r="N6" s="13"/>
      <c r="O6" s="13"/>
      <c r="P6" s="13">
        <f t="shared" ref="P6:P37" si="3">E6/5</f>
        <v>9</v>
      </c>
      <c r="Q6" s="15"/>
      <c r="R6" s="15"/>
      <c r="S6" s="13">
        <f t="shared" ref="S6:S37" si="4">(F6+O6+R6)/P6</f>
        <v>10.111111111111111</v>
      </c>
      <c r="T6" s="13">
        <f t="shared" ref="T6:T37" si="5">(F6+O6)/P6</f>
        <v>10.111111111111111</v>
      </c>
      <c r="U6" s="13">
        <v>2.8</v>
      </c>
      <c r="V6" s="13">
        <v>7.2</v>
      </c>
      <c r="W6" s="13">
        <v>1.4</v>
      </c>
      <c r="X6" s="13">
        <v>0.6</v>
      </c>
      <c r="Y6" s="13">
        <v>0</v>
      </c>
      <c r="Z6" s="13">
        <v>0</v>
      </c>
      <c r="AA6" s="13">
        <v>0</v>
      </c>
      <c r="AB6" s="13"/>
      <c r="AC6" s="13"/>
      <c r="AD6" s="14"/>
      <c r="AE6" s="16"/>
      <c r="AF6" s="13"/>
      <c r="AG6" s="13"/>
      <c r="AH6" s="13"/>
      <c r="AI6" s="16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</row>
    <row r="7" spans="1:49" x14ac:dyDescent="0.25">
      <c r="A7" s="13" t="s">
        <v>42</v>
      </c>
      <c r="B7" s="13" t="s">
        <v>39</v>
      </c>
      <c r="C7" s="13">
        <v>39</v>
      </c>
      <c r="D7" s="13">
        <v>42</v>
      </c>
      <c r="E7" s="19">
        <v>11</v>
      </c>
      <c r="F7" s="19">
        <v>70</v>
      </c>
      <c r="G7" s="14">
        <v>0</v>
      </c>
      <c r="H7" s="13"/>
      <c r="I7" s="13" t="s">
        <v>40</v>
      </c>
      <c r="J7" s="13" t="s">
        <v>43</v>
      </c>
      <c r="K7" s="13">
        <v>11</v>
      </c>
      <c r="L7" s="13">
        <f t="shared" si="2"/>
        <v>0</v>
      </c>
      <c r="M7" s="13"/>
      <c r="N7" s="13"/>
      <c r="O7" s="13"/>
      <c r="P7" s="13">
        <f t="shared" si="3"/>
        <v>2.2000000000000002</v>
      </c>
      <c r="Q7" s="15"/>
      <c r="R7" s="15"/>
      <c r="S7" s="13">
        <f t="shared" si="4"/>
        <v>31.818181818181817</v>
      </c>
      <c r="T7" s="13">
        <f t="shared" si="5"/>
        <v>31.818181818181817</v>
      </c>
      <c r="U7" s="13">
        <v>1.2</v>
      </c>
      <c r="V7" s="13">
        <v>5.4</v>
      </c>
      <c r="W7" s="13">
        <v>0.4</v>
      </c>
      <c r="X7" s="13">
        <v>0.2</v>
      </c>
      <c r="Y7" s="13">
        <v>0</v>
      </c>
      <c r="Z7" s="13">
        <v>0</v>
      </c>
      <c r="AA7" s="13">
        <v>0</v>
      </c>
      <c r="AB7" s="13"/>
      <c r="AC7" s="13"/>
      <c r="AD7" s="14"/>
      <c r="AE7" s="16"/>
      <c r="AF7" s="13"/>
      <c r="AG7" s="13"/>
      <c r="AH7" s="13"/>
      <c r="AI7" s="16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</row>
    <row r="8" spans="1:49" x14ac:dyDescent="0.25">
      <c r="A8" s="13" t="s">
        <v>44</v>
      </c>
      <c r="B8" s="13" t="s">
        <v>39</v>
      </c>
      <c r="C8" s="13">
        <v>65</v>
      </c>
      <c r="D8" s="13">
        <v>63</v>
      </c>
      <c r="E8" s="19">
        <v>13</v>
      </c>
      <c r="F8" s="19">
        <v>115</v>
      </c>
      <c r="G8" s="14">
        <v>0</v>
      </c>
      <c r="H8" s="13"/>
      <c r="I8" s="13" t="s">
        <v>40</v>
      </c>
      <c r="J8" s="13" t="s">
        <v>45</v>
      </c>
      <c r="K8" s="13">
        <v>13</v>
      </c>
      <c r="L8" s="13">
        <f t="shared" si="2"/>
        <v>0</v>
      </c>
      <c r="M8" s="13"/>
      <c r="N8" s="13"/>
      <c r="O8" s="13"/>
      <c r="P8" s="13">
        <f t="shared" si="3"/>
        <v>2.6</v>
      </c>
      <c r="Q8" s="15"/>
      <c r="R8" s="15"/>
      <c r="S8" s="13">
        <f t="shared" si="4"/>
        <v>44.230769230769226</v>
      </c>
      <c r="T8" s="13">
        <f t="shared" si="5"/>
        <v>44.230769230769226</v>
      </c>
      <c r="U8" s="13">
        <v>4</v>
      </c>
      <c r="V8" s="13">
        <v>3.8</v>
      </c>
      <c r="W8" s="13">
        <v>4</v>
      </c>
      <c r="X8" s="13">
        <v>0.2</v>
      </c>
      <c r="Y8" s="13">
        <v>0</v>
      </c>
      <c r="Z8" s="13">
        <v>0</v>
      </c>
      <c r="AA8" s="13">
        <v>0</v>
      </c>
      <c r="AB8" s="13"/>
      <c r="AC8" s="13"/>
      <c r="AD8" s="14"/>
      <c r="AE8" s="16"/>
      <c r="AF8" s="13"/>
      <c r="AG8" s="13"/>
      <c r="AH8" s="13"/>
      <c r="AI8" s="16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</row>
    <row r="9" spans="1:49" x14ac:dyDescent="0.25">
      <c r="A9" s="12" t="s">
        <v>46</v>
      </c>
      <c r="B9" s="12" t="s">
        <v>39</v>
      </c>
      <c r="C9" s="12">
        <v>323</v>
      </c>
      <c r="D9" s="12">
        <v>2</v>
      </c>
      <c r="E9" s="12">
        <v>61</v>
      </c>
      <c r="F9" s="12">
        <v>252</v>
      </c>
      <c r="G9" s="6">
        <v>0.22</v>
      </c>
      <c r="H9" s="12">
        <v>180</v>
      </c>
      <c r="I9" s="12" t="s">
        <v>47</v>
      </c>
      <c r="J9" s="12"/>
      <c r="K9" s="12">
        <v>61</v>
      </c>
      <c r="L9" s="12">
        <f t="shared" si="2"/>
        <v>0</v>
      </c>
      <c r="M9" s="12"/>
      <c r="N9" s="12"/>
      <c r="O9" s="12">
        <v>0</v>
      </c>
      <c r="P9" s="12">
        <f t="shared" si="3"/>
        <v>12.2</v>
      </c>
      <c r="Q9" s="4"/>
      <c r="R9" s="4">
        <f t="shared" ref="R9:R21" si="6">AD9*AE9</f>
        <v>0</v>
      </c>
      <c r="S9" s="12">
        <f t="shared" si="4"/>
        <v>20.655737704918035</v>
      </c>
      <c r="T9" s="12">
        <f t="shared" si="5"/>
        <v>20.655737704918035</v>
      </c>
      <c r="U9" s="12">
        <v>2.6</v>
      </c>
      <c r="V9" s="12">
        <v>7.8</v>
      </c>
      <c r="W9" s="12">
        <v>18</v>
      </c>
      <c r="X9" s="12">
        <v>6.6</v>
      </c>
      <c r="Y9" s="12">
        <v>0</v>
      </c>
      <c r="Z9" s="12">
        <v>0</v>
      </c>
      <c r="AA9" s="12">
        <v>12.2</v>
      </c>
      <c r="AB9" s="12"/>
      <c r="AC9" s="12">
        <f t="shared" ref="AC9:AC21" si="7">G9*Q9</f>
        <v>0</v>
      </c>
      <c r="AD9" s="6">
        <v>12</v>
      </c>
      <c r="AE9" s="8">
        <f t="shared" ref="AE9:AE21" si="8">MROUND(Q9, AD9*AG9)/AD9</f>
        <v>0</v>
      </c>
      <c r="AF9" s="12">
        <f t="shared" ref="AF9:AF21" si="9">AE9*AD9*G9</f>
        <v>0</v>
      </c>
      <c r="AG9" s="12">
        <v>14</v>
      </c>
      <c r="AH9" s="12">
        <v>70</v>
      </c>
      <c r="AI9" s="8">
        <f t="shared" ref="AI9:AI21" si="10">AE9/AH9</f>
        <v>0</v>
      </c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 spans="1:49" x14ac:dyDescent="0.25">
      <c r="A10" s="12" t="s">
        <v>48</v>
      </c>
      <c r="B10" s="12" t="s">
        <v>39</v>
      </c>
      <c r="C10" s="12">
        <v>541</v>
      </c>
      <c r="D10" s="12">
        <v>348</v>
      </c>
      <c r="E10" s="12">
        <v>203</v>
      </c>
      <c r="F10" s="12">
        <v>674</v>
      </c>
      <c r="G10" s="6">
        <v>0.3</v>
      </c>
      <c r="H10" s="12">
        <v>180</v>
      </c>
      <c r="I10" s="12" t="s">
        <v>49</v>
      </c>
      <c r="J10" s="12"/>
      <c r="K10" s="12">
        <v>215</v>
      </c>
      <c r="L10" s="12">
        <f t="shared" si="2"/>
        <v>-12</v>
      </c>
      <c r="M10" s="12"/>
      <c r="N10" s="12"/>
      <c r="O10" s="12">
        <v>336</v>
      </c>
      <c r="P10" s="12">
        <f t="shared" si="3"/>
        <v>40.6</v>
      </c>
      <c r="Q10" s="4"/>
      <c r="R10" s="4">
        <f t="shared" si="6"/>
        <v>0</v>
      </c>
      <c r="S10" s="12">
        <f t="shared" si="4"/>
        <v>24.876847290640391</v>
      </c>
      <c r="T10" s="12">
        <f t="shared" si="5"/>
        <v>24.876847290640391</v>
      </c>
      <c r="U10" s="12">
        <v>48.6</v>
      </c>
      <c r="V10" s="12">
        <v>38.799999999999997</v>
      </c>
      <c r="W10" s="12">
        <v>21.6</v>
      </c>
      <c r="X10" s="12">
        <v>54</v>
      </c>
      <c r="Y10" s="12">
        <v>0</v>
      </c>
      <c r="Z10" s="12">
        <v>0</v>
      </c>
      <c r="AA10" s="12">
        <v>53</v>
      </c>
      <c r="AB10" s="12"/>
      <c r="AC10" s="12">
        <f t="shared" si="7"/>
        <v>0</v>
      </c>
      <c r="AD10" s="6">
        <v>12</v>
      </c>
      <c r="AE10" s="8">
        <f t="shared" si="8"/>
        <v>0</v>
      </c>
      <c r="AF10" s="12">
        <f t="shared" si="9"/>
        <v>0</v>
      </c>
      <c r="AG10" s="12">
        <v>14</v>
      </c>
      <c r="AH10" s="12">
        <v>70</v>
      </c>
      <c r="AI10" s="8">
        <f t="shared" si="10"/>
        <v>0</v>
      </c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spans="1:49" x14ac:dyDescent="0.25">
      <c r="A11" s="12" t="s">
        <v>50</v>
      </c>
      <c r="B11" s="12" t="s">
        <v>39</v>
      </c>
      <c r="C11" s="12">
        <v>608</v>
      </c>
      <c r="D11" s="12">
        <v>325</v>
      </c>
      <c r="E11" s="12">
        <v>204</v>
      </c>
      <c r="F11" s="12">
        <v>729</v>
      </c>
      <c r="G11" s="6">
        <v>0.28000000000000003</v>
      </c>
      <c r="H11" s="12">
        <v>180</v>
      </c>
      <c r="I11" s="12" t="s">
        <v>51</v>
      </c>
      <c r="J11" s="12"/>
      <c r="K11" s="12">
        <v>200</v>
      </c>
      <c r="L11" s="12">
        <f t="shared" si="2"/>
        <v>4</v>
      </c>
      <c r="M11" s="12"/>
      <c r="N11" s="12"/>
      <c r="O11" s="12">
        <v>336</v>
      </c>
      <c r="P11" s="12">
        <f t="shared" si="3"/>
        <v>40.799999999999997</v>
      </c>
      <c r="Q11" s="4"/>
      <c r="R11" s="4">
        <f t="shared" si="6"/>
        <v>0</v>
      </c>
      <c r="S11" s="12">
        <f t="shared" si="4"/>
        <v>26.102941176470591</v>
      </c>
      <c r="T11" s="12">
        <f t="shared" si="5"/>
        <v>26.102941176470591</v>
      </c>
      <c r="U11" s="12">
        <v>54.8</v>
      </c>
      <c r="V11" s="12">
        <v>44.2</v>
      </c>
      <c r="W11" s="12">
        <v>59.8</v>
      </c>
      <c r="X11" s="12">
        <v>52.8</v>
      </c>
      <c r="Y11" s="12">
        <v>14.6</v>
      </c>
      <c r="Z11" s="12">
        <v>0</v>
      </c>
      <c r="AA11" s="12">
        <v>0</v>
      </c>
      <c r="AB11" s="17" t="s">
        <v>52</v>
      </c>
      <c r="AC11" s="12">
        <f t="shared" si="7"/>
        <v>0</v>
      </c>
      <c r="AD11" s="6">
        <v>6</v>
      </c>
      <c r="AE11" s="8">
        <f t="shared" si="8"/>
        <v>0</v>
      </c>
      <c r="AF11" s="12">
        <f t="shared" si="9"/>
        <v>0</v>
      </c>
      <c r="AG11" s="12">
        <v>14</v>
      </c>
      <c r="AH11" s="12">
        <v>140</v>
      </c>
      <c r="AI11" s="8">
        <f t="shared" si="10"/>
        <v>0</v>
      </c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spans="1:49" x14ac:dyDescent="0.25">
      <c r="A12" s="12" t="s">
        <v>53</v>
      </c>
      <c r="B12" s="12" t="s">
        <v>39</v>
      </c>
      <c r="C12" s="12">
        <v>1072</v>
      </c>
      <c r="D12" s="12">
        <v>152</v>
      </c>
      <c r="E12" s="12">
        <v>228</v>
      </c>
      <c r="F12" s="12">
        <v>849</v>
      </c>
      <c r="G12" s="6">
        <v>0.24</v>
      </c>
      <c r="H12" s="12">
        <v>180</v>
      </c>
      <c r="I12" s="12" t="s">
        <v>54</v>
      </c>
      <c r="J12" s="12"/>
      <c r="K12" s="12">
        <v>227</v>
      </c>
      <c r="L12" s="12">
        <f t="shared" si="2"/>
        <v>1</v>
      </c>
      <c r="M12" s="12"/>
      <c r="N12" s="12"/>
      <c r="O12" s="12">
        <v>0</v>
      </c>
      <c r="P12" s="12">
        <f t="shared" si="3"/>
        <v>45.6</v>
      </c>
      <c r="Q12" s="4">
        <f>IF(P12*$Q$1-O12-F12&lt;0,0,P12*$Q$1-O12-F12)</f>
        <v>63</v>
      </c>
      <c r="R12" s="4">
        <f t="shared" si="6"/>
        <v>0</v>
      </c>
      <c r="S12" s="12">
        <f t="shared" si="4"/>
        <v>18.618421052631579</v>
      </c>
      <c r="T12" s="12">
        <f t="shared" si="5"/>
        <v>18.618421052631579</v>
      </c>
      <c r="U12" s="12">
        <v>51.6</v>
      </c>
      <c r="V12" s="12">
        <v>51</v>
      </c>
      <c r="W12" s="12">
        <v>91.2</v>
      </c>
      <c r="X12" s="12">
        <v>82.2</v>
      </c>
      <c r="Y12" s="12">
        <v>14</v>
      </c>
      <c r="Z12" s="12">
        <v>6.2</v>
      </c>
      <c r="AA12" s="12">
        <v>77.2</v>
      </c>
      <c r="AB12" s="12"/>
      <c r="AC12" s="12">
        <f t="shared" si="7"/>
        <v>15.12</v>
      </c>
      <c r="AD12" s="6">
        <v>12</v>
      </c>
      <c r="AE12" s="8">
        <f t="shared" si="8"/>
        <v>0</v>
      </c>
      <c r="AF12" s="12">
        <f t="shared" si="9"/>
        <v>0</v>
      </c>
      <c r="AG12" s="12">
        <v>14</v>
      </c>
      <c r="AH12" s="12">
        <v>70</v>
      </c>
      <c r="AI12" s="8">
        <f t="shared" si="10"/>
        <v>0</v>
      </c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</row>
    <row r="13" spans="1:49" x14ac:dyDescent="0.25">
      <c r="A13" s="12" t="s">
        <v>55</v>
      </c>
      <c r="B13" s="12" t="s">
        <v>39</v>
      </c>
      <c r="C13" s="12">
        <v>1518</v>
      </c>
      <c r="D13" s="12">
        <v>142</v>
      </c>
      <c r="E13" s="12">
        <v>298</v>
      </c>
      <c r="F13" s="12">
        <v>1268</v>
      </c>
      <c r="G13" s="6">
        <v>0.24</v>
      </c>
      <c r="H13" s="12">
        <v>180</v>
      </c>
      <c r="I13" s="12" t="s">
        <v>56</v>
      </c>
      <c r="J13" s="12"/>
      <c r="K13" s="12">
        <v>295</v>
      </c>
      <c r="L13" s="12">
        <f t="shared" si="2"/>
        <v>3</v>
      </c>
      <c r="M13" s="12"/>
      <c r="N13" s="12"/>
      <c r="O13" s="12">
        <v>0</v>
      </c>
      <c r="P13" s="12">
        <f t="shared" si="3"/>
        <v>59.6</v>
      </c>
      <c r="Q13" s="4"/>
      <c r="R13" s="4">
        <f t="shared" si="6"/>
        <v>0</v>
      </c>
      <c r="S13" s="12">
        <f t="shared" si="4"/>
        <v>21.275167785234899</v>
      </c>
      <c r="T13" s="12">
        <f t="shared" si="5"/>
        <v>21.275167785234899</v>
      </c>
      <c r="U13" s="12">
        <v>58.6</v>
      </c>
      <c r="V13" s="12">
        <v>65.599999999999994</v>
      </c>
      <c r="W13" s="12">
        <v>115.8</v>
      </c>
      <c r="X13" s="12">
        <v>91.8</v>
      </c>
      <c r="Y13" s="12">
        <v>10.6</v>
      </c>
      <c r="Z13" s="12">
        <v>0</v>
      </c>
      <c r="AA13" s="12">
        <v>29.2</v>
      </c>
      <c r="AB13" s="17" t="s">
        <v>52</v>
      </c>
      <c r="AC13" s="12">
        <f t="shared" si="7"/>
        <v>0</v>
      </c>
      <c r="AD13" s="6">
        <v>12</v>
      </c>
      <c r="AE13" s="8">
        <f t="shared" si="8"/>
        <v>0</v>
      </c>
      <c r="AF13" s="12">
        <f t="shared" si="9"/>
        <v>0</v>
      </c>
      <c r="AG13" s="12">
        <v>14</v>
      </c>
      <c r="AH13" s="12">
        <v>70</v>
      </c>
      <c r="AI13" s="8">
        <f t="shared" si="10"/>
        <v>0</v>
      </c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25">
      <c r="A14" s="12" t="s">
        <v>57</v>
      </c>
      <c r="B14" s="12" t="s">
        <v>39</v>
      </c>
      <c r="C14" s="12">
        <v>206</v>
      </c>
      <c r="D14" s="12">
        <v>92</v>
      </c>
      <c r="E14" s="12">
        <v>116</v>
      </c>
      <c r="F14" s="12">
        <v>95</v>
      </c>
      <c r="G14" s="6">
        <v>0.24</v>
      </c>
      <c r="H14" s="12">
        <v>180</v>
      </c>
      <c r="I14" s="12" t="s">
        <v>58</v>
      </c>
      <c r="J14" s="12"/>
      <c r="K14" s="12">
        <v>115</v>
      </c>
      <c r="L14" s="12">
        <f t="shared" si="2"/>
        <v>1</v>
      </c>
      <c r="M14" s="12"/>
      <c r="N14" s="12"/>
      <c r="O14" s="12">
        <v>504</v>
      </c>
      <c r="P14" s="12">
        <f t="shared" si="3"/>
        <v>23.2</v>
      </c>
      <c r="Q14" s="4"/>
      <c r="R14" s="4">
        <f t="shared" si="6"/>
        <v>0</v>
      </c>
      <c r="S14" s="12">
        <f t="shared" si="4"/>
        <v>25.818965517241381</v>
      </c>
      <c r="T14" s="12">
        <f t="shared" si="5"/>
        <v>25.818965517241381</v>
      </c>
      <c r="U14" s="12">
        <v>37.200000000000003</v>
      </c>
      <c r="V14" s="12">
        <v>34.4</v>
      </c>
      <c r="W14" s="12">
        <v>4.2</v>
      </c>
      <c r="X14" s="12">
        <v>43</v>
      </c>
      <c r="Y14" s="12">
        <v>20.399999999999999</v>
      </c>
      <c r="Z14" s="12">
        <v>0</v>
      </c>
      <c r="AA14" s="12">
        <v>0</v>
      </c>
      <c r="AB14" s="12"/>
      <c r="AC14" s="12">
        <f t="shared" si="7"/>
        <v>0</v>
      </c>
      <c r="AD14" s="6">
        <v>12</v>
      </c>
      <c r="AE14" s="8">
        <f t="shared" si="8"/>
        <v>0</v>
      </c>
      <c r="AF14" s="12">
        <f t="shared" si="9"/>
        <v>0</v>
      </c>
      <c r="AG14" s="12">
        <v>14</v>
      </c>
      <c r="AH14" s="12">
        <v>70</v>
      </c>
      <c r="AI14" s="8">
        <f t="shared" si="10"/>
        <v>0</v>
      </c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</row>
    <row r="15" spans="1:49" x14ac:dyDescent="0.25">
      <c r="A15" s="12" t="s">
        <v>41</v>
      </c>
      <c r="B15" s="12" t="s">
        <v>39</v>
      </c>
      <c r="C15" s="12">
        <v>862</v>
      </c>
      <c r="D15" s="12">
        <v>160</v>
      </c>
      <c r="E15" s="19">
        <f>360+E6</f>
        <v>405</v>
      </c>
      <c r="F15" s="19">
        <f>650+F6</f>
        <v>741</v>
      </c>
      <c r="G15" s="6">
        <v>0.24</v>
      </c>
      <c r="H15" s="12">
        <v>180</v>
      </c>
      <c r="I15" s="12" t="s">
        <v>59</v>
      </c>
      <c r="J15" s="12"/>
      <c r="K15" s="12">
        <v>367</v>
      </c>
      <c r="L15" s="12">
        <f t="shared" si="2"/>
        <v>38</v>
      </c>
      <c r="M15" s="12"/>
      <c r="N15" s="12"/>
      <c r="O15" s="12">
        <v>504</v>
      </c>
      <c r="P15" s="12">
        <f t="shared" si="3"/>
        <v>81</v>
      </c>
      <c r="Q15" s="4">
        <f>IF(P15*$Q$1-O15-F15&lt;0,0,P15*$Q$1-O15-F15)</f>
        <v>375</v>
      </c>
      <c r="R15" s="4">
        <f t="shared" si="6"/>
        <v>336</v>
      </c>
      <c r="S15" s="12">
        <f t="shared" si="4"/>
        <v>19.518518518518519</v>
      </c>
      <c r="T15" s="12">
        <f t="shared" si="5"/>
        <v>15.37037037037037</v>
      </c>
      <c r="U15" s="12">
        <v>85.2</v>
      </c>
      <c r="V15" s="12">
        <v>110.8</v>
      </c>
      <c r="W15" s="12">
        <v>61.2</v>
      </c>
      <c r="X15" s="12">
        <v>101.4</v>
      </c>
      <c r="Y15" s="12">
        <v>13.6</v>
      </c>
      <c r="Z15" s="12">
        <v>0</v>
      </c>
      <c r="AA15" s="12">
        <v>0.2</v>
      </c>
      <c r="AB15" s="12"/>
      <c r="AC15" s="12">
        <f t="shared" si="7"/>
        <v>90</v>
      </c>
      <c r="AD15" s="6">
        <v>12</v>
      </c>
      <c r="AE15" s="8">
        <f t="shared" si="8"/>
        <v>28</v>
      </c>
      <c r="AF15" s="12">
        <f t="shared" si="9"/>
        <v>80.64</v>
      </c>
      <c r="AG15" s="12">
        <v>14</v>
      </c>
      <c r="AH15" s="12">
        <v>70</v>
      </c>
      <c r="AI15" s="8">
        <f t="shared" si="10"/>
        <v>0.4</v>
      </c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</row>
    <row r="16" spans="1:49" x14ac:dyDescent="0.25">
      <c r="A16" s="12" t="s">
        <v>60</v>
      </c>
      <c r="B16" s="12" t="s">
        <v>39</v>
      </c>
      <c r="C16" s="12">
        <v>26</v>
      </c>
      <c r="D16" s="12">
        <v>56</v>
      </c>
      <c r="E16" s="12">
        <v>35</v>
      </c>
      <c r="F16" s="12">
        <v>47</v>
      </c>
      <c r="G16" s="6">
        <v>0.48</v>
      </c>
      <c r="H16" s="12">
        <v>180</v>
      </c>
      <c r="I16" s="12" t="s">
        <v>61</v>
      </c>
      <c r="J16" s="12"/>
      <c r="K16" s="12">
        <v>29</v>
      </c>
      <c r="L16" s="12">
        <f t="shared" si="2"/>
        <v>6</v>
      </c>
      <c r="M16" s="12"/>
      <c r="N16" s="12"/>
      <c r="O16" s="12">
        <v>336</v>
      </c>
      <c r="P16" s="12">
        <f t="shared" si="3"/>
        <v>7</v>
      </c>
      <c r="Q16" s="4"/>
      <c r="R16" s="4">
        <f t="shared" si="6"/>
        <v>0</v>
      </c>
      <c r="S16" s="12">
        <f t="shared" si="4"/>
        <v>54.714285714285715</v>
      </c>
      <c r="T16" s="12">
        <f t="shared" si="5"/>
        <v>54.714285714285715</v>
      </c>
      <c r="U16" s="12">
        <v>21.6</v>
      </c>
      <c r="V16" s="12">
        <v>18</v>
      </c>
      <c r="W16" s="12">
        <v>14</v>
      </c>
      <c r="X16" s="12">
        <v>21.8</v>
      </c>
      <c r="Y16" s="12">
        <v>5.8</v>
      </c>
      <c r="Z16" s="12">
        <v>6</v>
      </c>
      <c r="AA16" s="12">
        <v>0.6</v>
      </c>
      <c r="AB16" s="12"/>
      <c r="AC16" s="12">
        <f t="shared" si="7"/>
        <v>0</v>
      </c>
      <c r="AD16" s="6">
        <v>8</v>
      </c>
      <c r="AE16" s="8">
        <f t="shared" si="8"/>
        <v>0</v>
      </c>
      <c r="AF16" s="12">
        <f t="shared" si="9"/>
        <v>0</v>
      </c>
      <c r="AG16" s="12">
        <v>14</v>
      </c>
      <c r="AH16" s="12">
        <v>70</v>
      </c>
      <c r="AI16" s="8">
        <f t="shared" si="10"/>
        <v>0</v>
      </c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</row>
    <row r="17" spans="1:49" x14ac:dyDescent="0.25">
      <c r="A17" s="12" t="s">
        <v>62</v>
      </c>
      <c r="B17" s="12" t="s">
        <v>39</v>
      </c>
      <c r="C17" s="12">
        <v>219</v>
      </c>
      <c r="D17" s="12">
        <v>108</v>
      </c>
      <c r="E17" s="12">
        <v>163</v>
      </c>
      <c r="F17" s="12">
        <v>102</v>
      </c>
      <c r="G17" s="6">
        <v>0.36</v>
      </c>
      <c r="H17" s="12">
        <v>180</v>
      </c>
      <c r="I17" s="12" t="s">
        <v>63</v>
      </c>
      <c r="J17" s="12"/>
      <c r="K17" s="12">
        <v>159</v>
      </c>
      <c r="L17" s="12">
        <f t="shared" si="2"/>
        <v>4</v>
      </c>
      <c r="M17" s="12"/>
      <c r="N17" s="12"/>
      <c r="O17" s="12">
        <v>840</v>
      </c>
      <c r="P17" s="12">
        <f t="shared" si="3"/>
        <v>32.6</v>
      </c>
      <c r="Q17" s="4"/>
      <c r="R17" s="4">
        <f t="shared" si="6"/>
        <v>0</v>
      </c>
      <c r="S17" s="12">
        <f t="shared" si="4"/>
        <v>28.89570552147239</v>
      </c>
      <c r="T17" s="12">
        <f t="shared" si="5"/>
        <v>28.89570552147239</v>
      </c>
      <c r="U17" s="12">
        <v>57.6</v>
      </c>
      <c r="V17" s="12">
        <v>41.4</v>
      </c>
      <c r="W17" s="12">
        <v>2</v>
      </c>
      <c r="X17" s="12">
        <v>28</v>
      </c>
      <c r="Y17" s="12">
        <v>4.5999999999999996</v>
      </c>
      <c r="Z17" s="12">
        <v>10.199999999999999</v>
      </c>
      <c r="AA17" s="12">
        <v>64.8</v>
      </c>
      <c r="AB17" s="12"/>
      <c r="AC17" s="12">
        <f t="shared" si="7"/>
        <v>0</v>
      </c>
      <c r="AD17" s="6">
        <v>10</v>
      </c>
      <c r="AE17" s="8">
        <f t="shared" si="8"/>
        <v>0</v>
      </c>
      <c r="AF17" s="12">
        <f t="shared" si="9"/>
        <v>0</v>
      </c>
      <c r="AG17" s="12">
        <v>14</v>
      </c>
      <c r="AH17" s="12">
        <v>70</v>
      </c>
      <c r="AI17" s="8">
        <f t="shared" si="10"/>
        <v>0</v>
      </c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</row>
    <row r="18" spans="1:49" x14ac:dyDescent="0.25">
      <c r="A18" s="12" t="s">
        <v>64</v>
      </c>
      <c r="B18" s="12" t="s">
        <v>39</v>
      </c>
      <c r="C18" s="12">
        <v>170</v>
      </c>
      <c r="D18" s="12"/>
      <c r="E18" s="12">
        <v>8</v>
      </c>
      <c r="F18" s="12">
        <v>162</v>
      </c>
      <c r="G18" s="6">
        <v>0.2</v>
      </c>
      <c r="H18" s="12">
        <v>180</v>
      </c>
      <c r="I18" s="12" t="s">
        <v>65</v>
      </c>
      <c r="J18" s="12"/>
      <c r="K18" s="12">
        <v>8</v>
      </c>
      <c r="L18" s="12">
        <f t="shared" si="2"/>
        <v>0</v>
      </c>
      <c r="M18" s="12"/>
      <c r="N18" s="12"/>
      <c r="O18" s="12">
        <v>0</v>
      </c>
      <c r="P18" s="12">
        <f t="shared" si="3"/>
        <v>1.6</v>
      </c>
      <c r="Q18" s="4"/>
      <c r="R18" s="4">
        <f t="shared" si="6"/>
        <v>0</v>
      </c>
      <c r="S18" s="12">
        <f t="shared" si="4"/>
        <v>101.25</v>
      </c>
      <c r="T18" s="12">
        <f t="shared" si="5"/>
        <v>101.25</v>
      </c>
      <c r="U18" s="12">
        <v>2.6</v>
      </c>
      <c r="V18" s="12">
        <v>5.6</v>
      </c>
      <c r="W18" s="12">
        <v>12.4</v>
      </c>
      <c r="X18" s="12">
        <v>5</v>
      </c>
      <c r="Y18" s="12">
        <v>11.6</v>
      </c>
      <c r="Z18" s="12">
        <v>9.1999999999999993</v>
      </c>
      <c r="AA18" s="12">
        <v>11.4</v>
      </c>
      <c r="AB18" s="18" t="s">
        <v>66</v>
      </c>
      <c r="AC18" s="12">
        <f t="shared" si="7"/>
        <v>0</v>
      </c>
      <c r="AD18" s="6">
        <v>12</v>
      </c>
      <c r="AE18" s="8">
        <f t="shared" si="8"/>
        <v>0</v>
      </c>
      <c r="AF18" s="12">
        <f t="shared" si="9"/>
        <v>0</v>
      </c>
      <c r="AG18" s="12">
        <v>14</v>
      </c>
      <c r="AH18" s="12">
        <v>70</v>
      </c>
      <c r="AI18" s="8">
        <f t="shared" si="10"/>
        <v>0</v>
      </c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</row>
    <row r="19" spans="1:49" x14ac:dyDescent="0.25">
      <c r="A19" s="12" t="s">
        <v>67</v>
      </c>
      <c r="B19" s="12" t="s">
        <v>39</v>
      </c>
      <c r="C19" s="12">
        <v>5128</v>
      </c>
      <c r="D19" s="12">
        <v>44</v>
      </c>
      <c r="E19" s="12">
        <v>174</v>
      </c>
      <c r="F19" s="12">
        <v>4968</v>
      </c>
      <c r="G19" s="6">
        <v>0.2</v>
      </c>
      <c r="H19" s="12">
        <v>180</v>
      </c>
      <c r="I19" s="12" t="s">
        <v>68</v>
      </c>
      <c r="J19" s="12"/>
      <c r="K19" s="12">
        <v>174</v>
      </c>
      <c r="L19" s="12">
        <f t="shared" si="2"/>
        <v>0</v>
      </c>
      <c r="M19" s="12"/>
      <c r="N19" s="12"/>
      <c r="O19" s="12">
        <v>0</v>
      </c>
      <c r="P19" s="12">
        <f t="shared" si="3"/>
        <v>34.799999999999997</v>
      </c>
      <c r="Q19" s="4"/>
      <c r="R19" s="4">
        <f t="shared" si="6"/>
        <v>0</v>
      </c>
      <c r="S19" s="12">
        <f t="shared" si="4"/>
        <v>142.75862068965517</v>
      </c>
      <c r="T19" s="12">
        <f t="shared" si="5"/>
        <v>142.75862068965517</v>
      </c>
      <c r="U19" s="12">
        <v>48</v>
      </c>
      <c r="V19" s="12">
        <v>36.4</v>
      </c>
      <c r="W19" s="12">
        <v>58</v>
      </c>
      <c r="X19" s="12">
        <v>73.400000000000006</v>
      </c>
      <c r="Y19" s="12">
        <v>0</v>
      </c>
      <c r="Z19" s="12">
        <v>0.2</v>
      </c>
      <c r="AA19" s="12">
        <v>53.4</v>
      </c>
      <c r="AB19" s="18" t="s">
        <v>66</v>
      </c>
      <c r="AC19" s="12">
        <f t="shared" si="7"/>
        <v>0</v>
      </c>
      <c r="AD19" s="6">
        <v>12</v>
      </c>
      <c r="AE19" s="8">
        <f t="shared" si="8"/>
        <v>0</v>
      </c>
      <c r="AF19" s="12">
        <f t="shared" si="9"/>
        <v>0</v>
      </c>
      <c r="AG19" s="12">
        <v>14</v>
      </c>
      <c r="AH19" s="12">
        <v>70</v>
      </c>
      <c r="AI19" s="8">
        <f t="shared" si="10"/>
        <v>0</v>
      </c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</row>
    <row r="20" spans="1:49" x14ac:dyDescent="0.25">
      <c r="A20" s="12" t="s">
        <v>69</v>
      </c>
      <c r="B20" s="12" t="s">
        <v>39</v>
      </c>
      <c r="C20" s="12">
        <v>517</v>
      </c>
      <c r="D20" s="12">
        <v>4</v>
      </c>
      <c r="E20" s="12">
        <v>84</v>
      </c>
      <c r="F20" s="12">
        <v>432</v>
      </c>
      <c r="G20" s="6">
        <v>0.2</v>
      </c>
      <c r="H20" s="12">
        <v>180</v>
      </c>
      <c r="I20" s="12" t="s">
        <v>70</v>
      </c>
      <c r="J20" s="12"/>
      <c r="K20" s="12">
        <v>82</v>
      </c>
      <c r="L20" s="12">
        <f t="shared" si="2"/>
        <v>2</v>
      </c>
      <c r="M20" s="12"/>
      <c r="N20" s="12"/>
      <c r="O20" s="12">
        <v>0</v>
      </c>
      <c r="P20" s="12">
        <f t="shared" si="3"/>
        <v>16.8</v>
      </c>
      <c r="Q20" s="4"/>
      <c r="R20" s="4">
        <f t="shared" si="6"/>
        <v>0</v>
      </c>
      <c r="S20" s="12">
        <f t="shared" si="4"/>
        <v>25.714285714285712</v>
      </c>
      <c r="T20" s="12">
        <f t="shared" si="5"/>
        <v>25.714285714285712</v>
      </c>
      <c r="U20" s="12">
        <v>10.199999999999999</v>
      </c>
      <c r="V20" s="12">
        <v>20.8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8" t="s">
        <v>66</v>
      </c>
      <c r="AC20" s="12">
        <f t="shared" si="7"/>
        <v>0</v>
      </c>
      <c r="AD20" s="6">
        <v>12</v>
      </c>
      <c r="AE20" s="8">
        <f t="shared" si="8"/>
        <v>0</v>
      </c>
      <c r="AF20" s="12">
        <f t="shared" si="9"/>
        <v>0</v>
      </c>
      <c r="AG20" s="12">
        <v>14</v>
      </c>
      <c r="AH20" s="12">
        <v>70</v>
      </c>
      <c r="AI20" s="8">
        <f t="shared" si="10"/>
        <v>0</v>
      </c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</row>
    <row r="21" spans="1:49" x14ac:dyDescent="0.25">
      <c r="A21" s="12" t="s">
        <v>71</v>
      </c>
      <c r="B21" s="12" t="s">
        <v>72</v>
      </c>
      <c r="C21" s="12">
        <v>235</v>
      </c>
      <c r="D21" s="12">
        <v>85</v>
      </c>
      <c r="E21" s="12">
        <v>65</v>
      </c>
      <c r="F21" s="12">
        <v>255</v>
      </c>
      <c r="G21" s="6">
        <v>1</v>
      </c>
      <c r="H21" s="12">
        <v>180</v>
      </c>
      <c r="I21" s="12" t="s">
        <v>73</v>
      </c>
      <c r="J21" s="12"/>
      <c r="K21" s="12">
        <v>65</v>
      </c>
      <c r="L21" s="12">
        <f t="shared" si="2"/>
        <v>0</v>
      </c>
      <c r="M21" s="12"/>
      <c r="N21" s="12"/>
      <c r="O21" s="12">
        <v>0</v>
      </c>
      <c r="P21" s="12">
        <f t="shared" si="3"/>
        <v>13</v>
      </c>
      <c r="Q21" s="4">
        <f>IF(P21*$Q$1-O21-F21&lt;0,0,P21*$Q$1-O21-F21)</f>
        <v>5</v>
      </c>
      <c r="R21" s="4">
        <f t="shared" si="6"/>
        <v>0</v>
      </c>
      <c r="S21" s="12">
        <f t="shared" si="4"/>
        <v>19.615384615384617</v>
      </c>
      <c r="T21" s="12">
        <f t="shared" si="5"/>
        <v>19.615384615384617</v>
      </c>
      <c r="U21" s="12">
        <v>19.2</v>
      </c>
      <c r="V21" s="12">
        <v>30</v>
      </c>
      <c r="W21" s="12">
        <v>26</v>
      </c>
      <c r="X21" s="12">
        <v>21</v>
      </c>
      <c r="Y21" s="12">
        <v>11</v>
      </c>
      <c r="Z21" s="12">
        <v>12</v>
      </c>
      <c r="AA21" s="12">
        <v>38</v>
      </c>
      <c r="AB21" s="12"/>
      <c r="AC21" s="12">
        <f t="shared" si="7"/>
        <v>5</v>
      </c>
      <c r="AD21" s="6">
        <v>5</v>
      </c>
      <c r="AE21" s="8">
        <f t="shared" si="8"/>
        <v>0</v>
      </c>
      <c r="AF21" s="12">
        <f t="shared" si="9"/>
        <v>0</v>
      </c>
      <c r="AG21" s="12">
        <v>12</v>
      </c>
      <c r="AH21" s="12">
        <v>84</v>
      </c>
      <c r="AI21" s="8">
        <f t="shared" si="10"/>
        <v>0</v>
      </c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</row>
    <row r="22" spans="1:49" x14ac:dyDescent="0.25">
      <c r="A22" s="13" t="s">
        <v>74</v>
      </c>
      <c r="B22" s="13" t="s">
        <v>72</v>
      </c>
      <c r="C22" s="13">
        <v>64</v>
      </c>
      <c r="D22" s="13">
        <v>10</v>
      </c>
      <c r="E22" s="13"/>
      <c r="F22" s="13"/>
      <c r="G22" s="14">
        <v>0</v>
      </c>
      <c r="H22" s="13"/>
      <c r="I22" s="13" t="s">
        <v>75</v>
      </c>
      <c r="J22" s="13" t="s">
        <v>71</v>
      </c>
      <c r="K22" s="13"/>
      <c r="L22" s="13">
        <f t="shared" si="2"/>
        <v>0</v>
      </c>
      <c r="M22" s="13"/>
      <c r="N22" s="13"/>
      <c r="O22" s="13"/>
      <c r="P22" s="13">
        <f t="shared" si="3"/>
        <v>0</v>
      </c>
      <c r="Q22" s="15"/>
      <c r="R22" s="15"/>
      <c r="S22" s="13" t="e">
        <f t="shared" si="4"/>
        <v>#DIV/0!</v>
      </c>
      <c r="T22" s="13" t="e">
        <f t="shared" si="5"/>
        <v>#DIV/0!</v>
      </c>
      <c r="U22" s="13">
        <v>11.2</v>
      </c>
      <c r="V22" s="13">
        <v>17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/>
      <c r="AC22" s="13"/>
      <c r="AD22" s="14"/>
      <c r="AE22" s="16"/>
      <c r="AF22" s="13"/>
      <c r="AG22" s="13"/>
      <c r="AH22" s="13"/>
      <c r="AI22" s="16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</row>
    <row r="23" spans="1:49" x14ac:dyDescent="0.25">
      <c r="A23" s="12" t="s">
        <v>76</v>
      </c>
      <c r="B23" s="12" t="s">
        <v>72</v>
      </c>
      <c r="C23" s="12">
        <v>148</v>
      </c>
      <c r="D23" s="12">
        <v>22</v>
      </c>
      <c r="E23" s="12">
        <v>49.5</v>
      </c>
      <c r="F23" s="12">
        <v>99</v>
      </c>
      <c r="G23" s="6">
        <v>1</v>
      </c>
      <c r="H23" s="12">
        <v>180</v>
      </c>
      <c r="I23" s="12" t="s">
        <v>77</v>
      </c>
      <c r="J23" s="12"/>
      <c r="K23" s="12">
        <v>49</v>
      </c>
      <c r="L23" s="12">
        <f t="shared" si="2"/>
        <v>0.5</v>
      </c>
      <c r="M23" s="12"/>
      <c r="N23" s="12"/>
      <c r="O23" s="12">
        <v>66</v>
      </c>
      <c r="P23" s="12">
        <f t="shared" si="3"/>
        <v>9.9</v>
      </c>
      <c r="Q23" s="4">
        <f t="shared" ref="Q23:Q24" si="11">IF(P23*$Q$1-O23-F23&lt;0,0,P23*$Q$1-O23-F23)</f>
        <v>33</v>
      </c>
      <c r="R23" s="4">
        <f t="shared" ref="R23:R66" si="12">AD23*AE23</f>
        <v>66</v>
      </c>
      <c r="S23" s="12">
        <f t="shared" si="4"/>
        <v>23.333333333333332</v>
      </c>
      <c r="T23" s="12">
        <f t="shared" si="5"/>
        <v>16.666666666666664</v>
      </c>
      <c r="U23" s="12">
        <v>12</v>
      </c>
      <c r="V23" s="12">
        <v>9.9</v>
      </c>
      <c r="W23" s="12">
        <v>16.8</v>
      </c>
      <c r="X23" s="12">
        <v>10.9</v>
      </c>
      <c r="Y23" s="12">
        <v>9.9</v>
      </c>
      <c r="Z23" s="12">
        <v>5.5</v>
      </c>
      <c r="AA23" s="12">
        <v>9.9</v>
      </c>
      <c r="AB23" s="12"/>
      <c r="AC23" s="12">
        <f t="shared" ref="AC23:AC66" si="13">G23*Q23</f>
        <v>33</v>
      </c>
      <c r="AD23" s="6">
        <v>5.5</v>
      </c>
      <c r="AE23" s="8">
        <f t="shared" ref="AE23:AE66" si="14">MROUND(Q23, AD23*AG23)/AD23</f>
        <v>12</v>
      </c>
      <c r="AF23" s="12">
        <f t="shared" ref="AF23:AF66" si="15">AE23*AD23*G23</f>
        <v>66</v>
      </c>
      <c r="AG23" s="12">
        <v>12</v>
      </c>
      <c r="AH23" s="12">
        <v>84</v>
      </c>
      <c r="AI23" s="8">
        <f t="shared" ref="AI23:AI66" si="16">AE23/AH23</f>
        <v>0.14285714285714285</v>
      </c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</row>
    <row r="24" spans="1:49" x14ac:dyDescent="0.25">
      <c r="A24" s="12" t="s">
        <v>78</v>
      </c>
      <c r="B24" s="12" t="s">
        <v>72</v>
      </c>
      <c r="C24" s="12">
        <v>90.9</v>
      </c>
      <c r="D24" s="12">
        <v>27.7</v>
      </c>
      <c r="E24" s="12">
        <v>66</v>
      </c>
      <c r="F24" s="12">
        <v>30</v>
      </c>
      <c r="G24" s="6">
        <v>1</v>
      </c>
      <c r="H24" s="12">
        <v>180</v>
      </c>
      <c r="I24" s="12" t="s">
        <v>79</v>
      </c>
      <c r="J24" s="12"/>
      <c r="K24" s="12">
        <v>65</v>
      </c>
      <c r="L24" s="12">
        <f t="shared" si="2"/>
        <v>1</v>
      </c>
      <c r="M24" s="12"/>
      <c r="N24" s="12"/>
      <c r="O24" s="12">
        <v>126</v>
      </c>
      <c r="P24" s="12">
        <f t="shared" si="3"/>
        <v>13.2</v>
      </c>
      <c r="Q24" s="4">
        <f t="shared" si="11"/>
        <v>108</v>
      </c>
      <c r="R24" s="4">
        <f t="shared" si="12"/>
        <v>126</v>
      </c>
      <c r="S24" s="12">
        <f t="shared" si="4"/>
        <v>21.363636363636363</v>
      </c>
      <c r="T24" s="12">
        <f t="shared" si="5"/>
        <v>11.818181818181818</v>
      </c>
      <c r="U24" s="12">
        <v>13.34</v>
      </c>
      <c r="V24" s="12">
        <v>10.8</v>
      </c>
      <c r="W24" s="12">
        <v>2.4</v>
      </c>
      <c r="X24" s="12">
        <v>8.68</v>
      </c>
      <c r="Y24" s="12">
        <v>4.2</v>
      </c>
      <c r="Z24" s="12">
        <v>0</v>
      </c>
      <c r="AA24" s="12">
        <v>4.2</v>
      </c>
      <c r="AB24" s="12"/>
      <c r="AC24" s="12">
        <f t="shared" si="13"/>
        <v>108</v>
      </c>
      <c r="AD24" s="6">
        <v>3</v>
      </c>
      <c r="AE24" s="8">
        <f t="shared" si="14"/>
        <v>42</v>
      </c>
      <c r="AF24" s="12">
        <f t="shared" si="15"/>
        <v>126</v>
      </c>
      <c r="AG24" s="12">
        <v>14</v>
      </c>
      <c r="AH24" s="12">
        <v>126</v>
      </c>
      <c r="AI24" s="8">
        <f t="shared" si="16"/>
        <v>0.33333333333333331</v>
      </c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</row>
    <row r="25" spans="1:49" x14ac:dyDescent="0.25">
      <c r="A25" s="12" t="s">
        <v>80</v>
      </c>
      <c r="B25" s="12" t="s">
        <v>39</v>
      </c>
      <c r="C25" s="12">
        <v>1136</v>
      </c>
      <c r="D25" s="12">
        <v>964</v>
      </c>
      <c r="E25" s="12">
        <v>368</v>
      </c>
      <c r="F25" s="12">
        <v>1732</v>
      </c>
      <c r="G25" s="6">
        <v>0.25</v>
      </c>
      <c r="H25" s="12">
        <v>365</v>
      </c>
      <c r="I25" s="12" t="s">
        <v>81</v>
      </c>
      <c r="J25" s="12"/>
      <c r="K25" s="12">
        <v>358</v>
      </c>
      <c r="L25" s="12">
        <f t="shared" si="2"/>
        <v>10</v>
      </c>
      <c r="M25" s="12"/>
      <c r="N25" s="12"/>
      <c r="O25" s="12">
        <v>0</v>
      </c>
      <c r="P25" s="12">
        <f t="shared" si="3"/>
        <v>73.599999999999994</v>
      </c>
      <c r="Q25" s="4"/>
      <c r="R25" s="4">
        <f t="shared" si="12"/>
        <v>0</v>
      </c>
      <c r="S25" s="12">
        <f t="shared" si="4"/>
        <v>23.532608695652176</v>
      </c>
      <c r="T25" s="12">
        <f t="shared" si="5"/>
        <v>23.532608695652176</v>
      </c>
      <c r="U25" s="12">
        <v>69.8</v>
      </c>
      <c r="V25" s="12">
        <v>44.2</v>
      </c>
      <c r="W25" s="12">
        <v>81.8</v>
      </c>
      <c r="X25" s="12">
        <v>64.599999999999994</v>
      </c>
      <c r="Y25" s="12">
        <v>2.4</v>
      </c>
      <c r="Z25" s="12">
        <v>0</v>
      </c>
      <c r="AA25" s="12">
        <v>42.6</v>
      </c>
      <c r="AB25" s="12"/>
      <c r="AC25" s="12">
        <f t="shared" si="13"/>
        <v>0</v>
      </c>
      <c r="AD25" s="6">
        <v>6</v>
      </c>
      <c r="AE25" s="8">
        <f t="shared" si="14"/>
        <v>0</v>
      </c>
      <c r="AF25" s="12">
        <f t="shared" si="15"/>
        <v>0</v>
      </c>
      <c r="AG25" s="12">
        <v>14</v>
      </c>
      <c r="AH25" s="12">
        <v>140</v>
      </c>
      <c r="AI25" s="8">
        <f t="shared" si="16"/>
        <v>0</v>
      </c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</row>
    <row r="26" spans="1:49" x14ac:dyDescent="0.25">
      <c r="A26" s="12" t="s">
        <v>82</v>
      </c>
      <c r="B26" s="12" t="s">
        <v>39</v>
      </c>
      <c r="C26" s="12">
        <v>386</v>
      </c>
      <c r="D26" s="12">
        <v>58</v>
      </c>
      <c r="E26" s="12">
        <v>11</v>
      </c>
      <c r="F26" s="12"/>
      <c r="G26" s="6">
        <v>0.25</v>
      </c>
      <c r="H26" s="12">
        <v>365</v>
      </c>
      <c r="I26" s="12" t="s">
        <v>83</v>
      </c>
      <c r="J26" s="12"/>
      <c r="K26" s="12">
        <v>11</v>
      </c>
      <c r="L26" s="12">
        <f t="shared" si="2"/>
        <v>0</v>
      </c>
      <c r="M26" s="12"/>
      <c r="N26" s="12"/>
      <c r="O26" s="12">
        <v>0</v>
      </c>
      <c r="P26" s="12">
        <f t="shared" si="3"/>
        <v>2.2000000000000002</v>
      </c>
      <c r="Q26" s="4">
        <f t="shared" ref="Q26:Q27" si="17">IF(P26*$Q$1-O26-F26&lt;0,0,P26*$Q$1-O26-F26)</f>
        <v>44</v>
      </c>
      <c r="R26" s="4">
        <f t="shared" si="12"/>
        <v>84</v>
      </c>
      <c r="S26" s="12">
        <f t="shared" si="4"/>
        <v>38.18181818181818</v>
      </c>
      <c r="T26" s="12">
        <f t="shared" si="5"/>
        <v>0</v>
      </c>
      <c r="U26" s="12">
        <v>25.4</v>
      </c>
      <c r="V26" s="12">
        <v>24.4</v>
      </c>
      <c r="W26" s="12">
        <v>22.6</v>
      </c>
      <c r="X26" s="12">
        <v>3.6</v>
      </c>
      <c r="Y26" s="12">
        <v>14.6</v>
      </c>
      <c r="Z26" s="12">
        <v>25</v>
      </c>
      <c r="AA26" s="12">
        <v>26.8</v>
      </c>
      <c r="AB26" s="12" t="s">
        <v>163</v>
      </c>
      <c r="AC26" s="12">
        <f t="shared" si="13"/>
        <v>11</v>
      </c>
      <c r="AD26" s="6">
        <v>6</v>
      </c>
      <c r="AE26" s="8">
        <f t="shared" si="14"/>
        <v>14</v>
      </c>
      <c r="AF26" s="12">
        <f t="shared" si="15"/>
        <v>21</v>
      </c>
      <c r="AG26" s="12">
        <v>14</v>
      </c>
      <c r="AH26" s="12">
        <v>140</v>
      </c>
      <c r="AI26" s="8">
        <f t="shared" si="16"/>
        <v>0.1</v>
      </c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</row>
    <row r="27" spans="1:49" x14ac:dyDescent="0.25">
      <c r="A27" s="12" t="s">
        <v>84</v>
      </c>
      <c r="B27" s="12" t="s">
        <v>72</v>
      </c>
      <c r="C27" s="12">
        <v>210</v>
      </c>
      <c r="D27" s="12">
        <v>30</v>
      </c>
      <c r="E27" s="12">
        <v>144</v>
      </c>
      <c r="F27" s="12">
        <v>72</v>
      </c>
      <c r="G27" s="6">
        <v>1</v>
      </c>
      <c r="H27" s="12">
        <v>180</v>
      </c>
      <c r="I27" s="12" t="s">
        <v>85</v>
      </c>
      <c r="J27" s="12"/>
      <c r="K27" s="12">
        <v>142</v>
      </c>
      <c r="L27" s="12">
        <f t="shared" si="2"/>
        <v>2</v>
      </c>
      <c r="M27" s="12"/>
      <c r="N27" s="12"/>
      <c r="O27" s="12">
        <v>432</v>
      </c>
      <c r="P27" s="12">
        <f t="shared" si="3"/>
        <v>28.8</v>
      </c>
      <c r="Q27" s="4">
        <f t="shared" si="17"/>
        <v>72</v>
      </c>
      <c r="R27" s="4">
        <f t="shared" si="12"/>
        <v>72</v>
      </c>
      <c r="S27" s="12">
        <f t="shared" si="4"/>
        <v>20</v>
      </c>
      <c r="T27" s="12">
        <f t="shared" si="5"/>
        <v>17.5</v>
      </c>
      <c r="U27" s="12">
        <v>37.200000000000003</v>
      </c>
      <c r="V27" s="12">
        <v>61.2</v>
      </c>
      <c r="W27" s="12">
        <v>14.4</v>
      </c>
      <c r="X27" s="12">
        <v>32.4</v>
      </c>
      <c r="Y27" s="12">
        <v>0</v>
      </c>
      <c r="Z27" s="12">
        <v>0</v>
      </c>
      <c r="AA27" s="12">
        <v>39.6</v>
      </c>
      <c r="AB27" s="12"/>
      <c r="AC27" s="12">
        <f t="shared" si="13"/>
        <v>72</v>
      </c>
      <c r="AD27" s="6">
        <v>6</v>
      </c>
      <c r="AE27" s="8">
        <f t="shared" si="14"/>
        <v>12</v>
      </c>
      <c r="AF27" s="12">
        <f t="shared" si="15"/>
        <v>72</v>
      </c>
      <c r="AG27" s="12">
        <v>12</v>
      </c>
      <c r="AH27" s="12">
        <v>84</v>
      </c>
      <c r="AI27" s="8">
        <f t="shared" si="16"/>
        <v>0.14285714285714285</v>
      </c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</row>
    <row r="28" spans="1:49" x14ac:dyDescent="0.25">
      <c r="A28" s="12" t="s">
        <v>86</v>
      </c>
      <c r="B28" s="12" t="s">
        <v>39</v>
      </c>
      <c r="C28" s="12">
        <v>185</v>
      </c>
      <c r="D28" s="12">
        <v>10</v>
      </c>
      <c r="E28" s="12">
        <v>19</v>
      </c>
      <c r="F28" s="12">
        <v>161</v>
      </c>
      <c r="G28" s="6">
        <v>0.23</v>
      </c>
      <c r="H28" s="12">
        <v>180</v>
      </c>
      <c r="I28" s="12" t="s">
        <v>87</v>
      </c>
      <c r="J28" s="12"/>
      <c r="K28" s="12">
        <v>19</v>
      </c>
      <c r="L28" s="12">
        <f t="shared" si="2"/>
        <v>0</v>
      </c>
      <c r="M28" s="12"/>
      <c r="N28" s="12"/>
      <c r="O28" s="12">
        <v>0</v>
      </c>
      <c r="P28" s="12">
        <f t="shared" si="3"/>
        <v>3.8</v>
      </c>
      <c r="Q28" s="4"/>
      <c r="R28" s="4">
        <f t="shared" si="12"/>
        <v>0</v>
      </c>
      <c r="S28" s="12">
        <f t="shared" si="4"/>
        <v>42.368421052631582</v>
      </c>
      <c r="T28" s="12">
        <f t="shared" si="5"/>
        <v>42.368421052631582</v>
      </c>
      <c r="U28" s="12">
        <v>4.4000000000000004</v>
      </c>
      <c r="V28" s="12">
        <v>14.2</v>
      </c>
      <c r="W28" s="12">
        <v>19.600000000000001</v>
      </c>
      <c r="X28" s="12">
        <v>20</v>
      </c>
      <c r="Y28" s="12">
        <v>7.4</v>
      </c>
      <c r="Z28" s="12">
        <v>1.8</v>
      </c>
      <c r="AA28" s="12">
        <v>17.2</v>
      </c>
      <c r="AB28" s="18" t="s">
        <v>66</v>
      </c>
      <c r="AC28" s="12">
        <f t="shared" si="13"/>
        <v>0</v>
      </c>
      <c r="AD28" s="6">
        <v>12</v>
      </c>
      <c r="AE28" s="8">
        <f t="shared" si="14"/>
        <v>0</v>
      </c>
      <c r="AF28" s="12">
        <f t="shared" si="15"/>
        <v>0</v>
      </c>
      <c r="AG28" s="12">
        <v>14</v>
      </c>
      <c r="AH28" s="12">
        <v>70</v>
      </c>
      <c r="AI28" s="8">
        <f t="shared" si="16"/>
        <v>0</v>
      </c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</row>
    <row r="29" spans="1:49" x14ac:dyDescent="0.25">
      <c r="A29" s="12" t="s">
        <v>88</v>
      </c>
      <c r="B29" s="12" t="s">
        <v>39</v>
      </c>
      <c r="C29" s="12">
        <v>1112</v>
      </c>
      <c r="D29" s="12">
        <v>894</v>
      </c>
      <c r="E29" s="12">
        <v>332</v>
      </c>
      <c r="F29" s="12">
        <v>1674</v>
      </c>
      <c r="G29" s="6">
        <v>0.25</v>
      </c>
      <c r="H29" s="12">
        <v>365</v>
      </c>
      <c r="I29" s="12" t="s">
        <v>89</v>
      </c>
      <c r="J29" s="12"/>
      <c r="K29" s="12">
        <v>328</v>
      </c>
      <c r="L29" s="12">
        <f t="shared" si="2"/>
        <v>4</v>
      </c>
      <c r="M29" s="12"/>
      <c r="N29" s="12"/>
      <c r="O29" s="12">
        <v>168</v>
      </c>
      <c r="P29" s="12">
        <f t="shared" si="3"/>
        <v>66.400000000000006</v>
      </c>
      <c r="Q29" s="4"/>
      <c r="R29" s="4">
        <f t="shared" si="12"/>
        <v>0</v>
      </c>
      <c r="S29" s="12">
        <f t="shared" si="4"/>
        <v>27.740963855421683</v>
      </c>
      <c r="T29" s="12">
        <f t="shared" si="5"/>
        <v>27.740963855421683</v>
      </c>
      <c r="U29" s="12">
        <v>79</v>
      </c>
      <c r="V29" s="12">
        <v>76.2</v>
      </c>
      <c r="W29" s="12">
        <v>99.4</v>
      </c>
      <c r="X29" s="12">
        <v>70</v>
      </c>
      <c r="Y29" s="12">
        <v>10.4</v>
      </c>
      <c r="Z29" s="12">
        <v>0</v>
      </c>
      <c r="AA29" s="12">
        <v>86.2</v>
      </c>
      <c r="AB29" s="17" t="s">
        <v>52</v>
      </c>
      <c r="AC29" s="12">
        <f t="shared" si="13"/>
        <v>0</v>
      </c>
      <c r="AD29" s="6">
        <v>12</v>
      </c>
      <c r="AE29" s="8">
        <f t="shared" si="14"/>
        <v>0</v>
      </c>
      <c r="AF29" s="12">
        <f t="shared" si="15"/>
        <v>0</v>
      </c>
      <c r="AG29" s="12">
        <v>14</v>
      </c>
      <c r="AH29" s="12">
        <v>70</v>
      </c>
      <c r="AI29" s="8">
        <f t="shared" si="16"/>
        <v>0</v>
      </c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</row>
    <row r="30" spans="1:49" x14ac:dyDescent="0.25">
      <c r="A30" s="12" t="s">
        <v>90</v>
      </c>
      <c r="B30" s="12" t="s">
        <v>39</v>
      </c>
      <c r="C30" s="12">
        <v>1341</v>
      </c>
      <c r="D30" s="12">
        <v>203</v>
      </c>
      <c r="E30" s="12">
        <v>375</v>
      </c>
      <c r="F30" s="12">
        <v>1039</v>
      </c>
      <c r="G30" s="6">
        <v>0.25</v>
      </c>
      <c r="H30" s="12">
        <v>365</v>
      </c>
      <c r="I30" s="12" t="s">
        <v>91</v>
      </c>
      <c r="J30" s="12"/>
      <c r="K30" s="12">
        <v>372</v>
      </c>
      <c r="L30" s="12">
        <f t="shared" si="2"/>
        <v>3</v>
      </c>
      <c r="M30" s="12"/>
      <c r="N30" s="12"/>
      <c r="O30" s="12">
        <v>0</v>
      </c>
      <c r="P30" s="12">
        <f t="shared" si="3"/>
        <v>75</v>
      </c>
      <c r="Q30" s="4">
        <f t="shared" ref="Q30:Q33" si="18">IF(P30*$Q$1-O30-F30&lt;0,0,P30*$Q$1-O30-F30)</f>
        <v>461</v>
      </c>
      <c r="R30" s="4">
        <f t="shared" si="12"/>
        <v>504</v>
      </c>
      <c r="S30" s="12">
        <f t="shared" si="4"/>
        <v>20.573333333333334</v>
      </c>
      <c r="T30" s="12">
        <f t="shared" si="5"/>
        <v>13.853333333333333</v>
      </c>
      <c r="U30" s="12">
        <v>87.2</v>
      </c>
      <c r="V30" s="12">
        <v>86.4</v>
      </c>
      <c r="W30" s="12">
        <v>112.8</v>
      </c>
      <c r="X30" s="12">
        <v>132.80000000000001</v>
      </c>
      <c r="Y30" s="12">
        <v>11</v>
      </c>
      <c r="Z30" s="12">
        <v>9.8000000000000007</v>
      </c>
      <c r="AA30" s="12">
        <v>110.8</v>
      </c>
      <c r="AB30" s="12"/>
      <c r="AC30" s="12">
        <f t="shared" si="13"/>
        <v>115.25</v>
      </c>
      <c r="AD30" s="6">
        <v>12</v>
      </c>
      <c r="AE30" s="8">
        <f t="shared" si="14"/>
        <v>42</v>
      </c>
      <c r="AF30" s="12">
        <f t="shared" si="15"/>
        <v>126</v>
      </c>
      <c r="AG30" s="12">
        <v>14</v>
      </c>
      <c r="AH30" s="12">
        <v>70</v>
      </c>
      <c r="AI30" s="8">
        <f t="shared" si="16"/>
        <v>0.6</v>
      </c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</row>
    <row r="31" spans="1:49" x14ac:dyDescent="0.25">
      <c r="A31" s="12" t="s">
        <v>92</v>
      </c>
      <c r="B31" s="12" t="s">
        <v>39</v>
      </c>
      <c r="C31" s="12">
        <v>1517</v>
      </c>
      <c r="D31" s="12">
        <v>305</v>
      </c>
      <c r="E31" s="12">
        <v>333</v>
      </c>
      <c r="F31" s="12">
        <v>1242</v>
      </c>
      <c r="G31" s="6">
        <v>0.25</v>
      </c>
      <c r="H31" s="12">
        <v>180</v>
      </c>
      <c r="I31" s="12" t="s">
        <v>93</v>
      </c>
      <c r="J31" s="12"/>
      <c r="K31" s="12">
        <v>323</v>
      </c>
      <c r="L31" s="12">
        <f t="shared" si="2"/>
        <v>10</v>
      </c>
      <c r="M31" s="12"/>
      <c r="N31" s="12"/>
      <c r="O31" s="12">
        <v>0</v>
      </c>
      <c r="P31" s="12">
        <f t="shared" si="3"/>
        <v>66.599999999999994</v>
      </c>
      <c r="Q31" s="4">
        <f t="shared" si="18"/>
        <v>90</v>
      </c>
      <c r="R31" s="4">
        <f t="shared" si="12"/>
        <v>168</v>
      </c>
      <c r="S31" s="12">
        <f t="shared" si="4"/>
        <v>21.171171171171174</v>
      </c>
      <c r="T31" s="12">
        <f t="shared" si="5"/>
        <v>18.648648648648649</v>
      </c>
      <c r="U31" s="12">
        <v>86.8</v>
      </c>
      <c r="V31" s="12">
        <v>89</v>
      </c>
      <c r="W31" s="12">
        <v>120</v>
      </c>
      <c r="X31" s="12">
        <v>128.80000000000001</v>
      </c>
      <c r="Y31" s="12">
        <v>28.8</v>
      </c>
      <c r="Z31" s="12">
        <v>0</v>
      </c>
      <c r="AA31" s="12">
        <v>30.2</v>
      </c>
      <c r="AB31" s="12"/>
      <c r="AC31" s="12">
        <f t="shared" si="13"/>
        <v>22.5</v>
      </c>
      <c r="AD31" s="6">
        <v>12</v>
      </c>
      <c r="AE31" s="8">
        <f t="shared" si="14"/>
        <v>14</v>
      </c>
      <c r="AF31" s="12">
        <f t="shared" si="15"/>
        <v>42</v>
      </c>
      <c r="AG31" s="12">
        <v>14</v>
      </c>
      <c r="AH31" s="12">
        <v>70</v>
      </c>
      <c r="AI31" s="8">
        <f t="shared" si="16"/>
        <v>0.2</v>
      </c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</row>
    <row r="32" spans="1:49" x14ac:dyDescent="0.25">
      <c r="A32" s="12" t="s">
        <v>94</v>
      </c>
      <c r="B32" s="12" t="s">
        <v>39</v>
      </c>
      <c r="C32" s="12">
        <v>78</v>
      </c>
      <c r="D32" s="12">
        <v>20</v>
      </c>
      <c r="E32" s="12">
        <v>27</v>
      </c>
      <c r="F32" s="12">
        <v>61</v>
      </c>
      <c r="G32" s="6">
        <v>0.25</v>
      </c>
      <c r="H32" s="12">
        <v>180</v>
      </c>
      <c r="I32" s="12" t="s">
        <v>95</v>
      </c>
      <c r="J32" s="12"/>
      <c r="K32" s="12">
        <v>27</v>
      </c>
      <c r="L32" s="12">
        <f t="shared" si="2"/>
        <v>0</v>
      </c>
      <c r="M32" s="12"/>
      <c r="N32" s="12"/>
      <c r="O32" s="12">
        <v>0</v>
      </c>
      <c r="P32" s="12">
        <f t="shared" si="3"/>
        <v>5.4</v>
      </c>
      <c r="Q32" s="4">
        <f t="shared" si="18"/>
        <v>47</v>
      </c>
      <c r="R32" s="4">
        <f t="shared" si="12"/>
        <v>0</v>
      </c>
      <c r="S32" s="12">
        <f t="shared" si="4"/>
        <v>11.296296296296296</v>
      </c>
      <c r="T32" s="12">
        <f t="shared" si="5"/>
        <v>11.296296296296296</v>
      </c>
      <c r="U32" s="12">
        <v>7.4</v>
      </c>
      <c r="V32" s="12">
        <v>10.6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/>
      <c r="AC32" s="12">
        <f t="shared" si="13"/>
        <v>11.75</v>
      </c>
      <c r="AD32" s="6">
        <v>12</v>
      </c>
      <c r="AE32" s="8">
        <f t="shared" si="14"/>
        <v>0</v>
      </c>
      <c r="AF32" s="12">
        <f t="shared" si="15"/>
        <v>0</v>
      </c>
      <c r="AG32" s="12">
        <v>14</v>
      </c>
      <c r="AH32" s="12">
        <v>70</v>
      </c>
      <c r="AI32" s="8">
        <f t="shared" si="16"/>
        <v>0</v>
      </c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</row>
    <row r="33" spans="1:49" x14ac:dyDescent="0.25">
      <c r="A33" s="12" t="s">
        <v>96</v>
      </c>
      <c r="B33" s="12" t="s">
        <v>39</v>
      </c>
      <c r="C33" s="12">
        <v>334</v>
      </c>
      <c r="D33" s="12">
        <v>28</v>
      </c>
      <c r="E33" s="12">
        <v>85</v>
      </c>
      <c r="F33" s="12">
        <v>277</v>
      </c>
      <c r="G33" s="6">
        <v>0.7</v>
      </c>
      <c r="H33" s="12">
        <v>180</v>
      </c>
      <c r="I33" s="12" t="s">
        <v>97</v>
      </c>
      <c r="J33" s="12"/>
      <c r="K33" s="12">
        <v>87</v>
      </c>
      <c r="L33" s="12">
        <f t="shared" si="2"/>
        <v>-2</v>
      </c>
      <c r="M33" s="12"/>
      <c r="N33" s="12"/>
      <c r="O33" s="12">
        <v>0</v>
      </c>
      <c r="P33" s="12">
        <f t="shared" si="3"/>
        <v>17</v>
      </c>
      <c r="Q33" s="4">
        <f t="shared" si="18"/>
        <v>63</v>
      </c>
      <c r="R33" s="4">
        <f t="shared" si="12"/>
        <v>96</v>
      </c>
      <c r="S33" s="12">
        <f t="shared" si="4"/>
        <v>21.941176470588236</v>
      </c>
      <c r="T33" s="12">
        <f t="shared" si="5"/>
        <v>16.294117647058822</v>
      </c>
      <c r="U33" s="12">
        <v>12</v>
      </c>
      <c r="V33" s="12">
        <v>17.399999999999999</v>
      </c>
      <c r="W33" s="12">
        <v>3.4</v>
      </c>
      <c r="X33" s="12">
        <v>14.6</v>
      </c>
      <c r="Y33" s="12">
        <v>0</v>
      </c>
      <c r="Z33" s="12">
        <v>0</v>
      </c>
      <c r="AA33" s="12">
        <v>18.2</v>
      </c>
      <c r="AB33" s="12"/>
      <c r="AC33" s="12">
        <f t="shared" si="13"/>
        <v>44.099999999999994</v>
      </c>
      <c r="AD33" s="6">
        <v>8</v>
      </c>
      <c r="AE33" s="8">
        <f t="shared" si="14"/>
        <v>12</v>
      </c>
      <c r="AF33" s="12">
        <f t="shared" si="15"/>
        <v>67.199999999999989</v>
      </c>
      <c r="AG33" s="12">
        <v>12</v>
      </c>
      <c r="AH33" s="12">
        <v>84</v>
      </c>
      <c r="AI33" s="8">
        <f t="shared" si="16"/>
        <v>0.14285714285714285</v>
      </c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</row>
    <row r="34" spans="1:49" x14ac:dyDescent="0.25">
      <c r="A34" s="12" t="s">
        <v>98</v>
      </c>
      <c r="B34" s="12" t="s">
        <v>39</v>
      </c>
      <c r="C34" s="12">
        <v>329</v>
      </c>
      <c r="D34" s="12">
        <v>14</v>
      </c>
      <c r="E34" s="12">
        <v>61</v>
      </c>
      <c r="F34" s="12">
        <v>250</v>
      </c>
      <c r="G34" s="6">
        <v>0.7</v>
      </c>
      <c r="H34" s="12">
        <v>180</v>
      </c>
      <c r="I34" s="12" t="s">
        <v>99</v>
      </c>
      <c r="J34" s="12"/>
      <c r="K34" s="12">
        <v>70</v>
      </c>
      <c r="L34" s="12">
        <f t="shared" si="2"/>
        <v>-9</v>
      </c>
      <c r="M34" s="12"/>
      <c r="N34" s="12"/>
      <c r="O34" s="12">
        <v>0</v>
      </c>
      <c r="P34" s="12">
        <f t="shared" si="3"/>
        <v>12.2</v>
      </c>
      <c r="Q34" s="4"/>
      <c r="R34" s="4">
        <f t="shared" si="12"/>
        <v>0</v>
      </c>
      <c r="S34" s="12">
        <f t="shared" si="4"/>
        <v>20.491803278688526</v>
      </c>
      <c r="T34" s="12">
        <f t="shared" si="5"/>
        <v>20.491803278688526</v>
      </c>
      <c r="U34" s="12">
        <v>9</v>
      </c>
      <c r="V34" s="12">
        <v>25.4</v>
      </c>
      <c r="W34" s="12">
        <v>24</v>
      </c>
      <c r="X34" s="12">
        <v>12.2</v>
      </c>
      <c r="Y34" s="12">
        <v>1.6</v>
      </c>
      <c r="Z34" s="12">
        <v>0</v>
      </c>
      <c r="AA34" s="12">
        <v>9</v>
      </c>
      <c r="AB34" s="17" t="s">
        <v>52</v>
      </c>
      <c r="AC34" s="12">
        <f t="shared" si="13"/>
        <v>0</v>
      </c>
      <c r="AD34" s="6">
        <v>8</v>
      </c>
      <c r="AE34" s="8">
        <f t="shared" si="14"/>
        <v>0</v>
      </c>
      <c r="AF34" s="12">
        <f t="shared" si="15"/>
        <v>0</v>
      </c>
      <c r="AG34" s="12">
        <v>12</v>
      </c>
      <c r="AH34" s="12">
        <v>84</v>
      </c>
      <c r="AI34" s="8">
        <f t="shared" si="16"/>
        <v>0</v>
      </c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</row>
    <row r="35" spans="1:49" x14ac:dyDescent="0.25">
      <c r="A35" s="12" t="s">
        <v>100</v>
      </c>
      <c r="B35" s="12" t="s">
        <v>39</v>
      </c>
      <c r="C35" s="12">
        <v>424</v>
      </c>
      <c r="D35" s="12">
        <v>11</v>
      </c>
      <c r="E35" s="12">
        <v>92</v>
      </c>
      <c r="F35" s="12">
        <v>321</v>
      </c>
      <c r="G35" s="6">
        <v>0.7</v>
      </c>
      <c r="H35" s="12">
        <v>180</v>
      </c>
      <c r="I35" s="12" t="s">
        <v>101</v>
      </c>
      <c r="J35" s="12"/>
      <c r="K35" s="12">
        <v>91</v>
      </c>
      <c r="L35" s="12">
        <f t="shared" si="2"/>
        <v>1</v>
      </c>
      <c r="M35" s="12"/>
      <c r="N35" s="12"/>
      <c r="O35" s="12">
        <v>0</v>
      </c>
      <c r="P35" s="12">
        <f t="shared" si="3"/>
        <v>18.399999999999999</v>
      </c>
      <c r="Q35" s="4">
        <f>IF(P35*$Q$1-O35-F35&lt;0,0,P35*$Q$1-O35-F35)</f>
        <v>47</v>
      </c>
      <c r="R35" s="4">
        <f t="shared" si="12"/>
        <v>0</v>
      </c>
      <c r="S35" s="12">
        <f t="shared" si="4"/>
        <v>17.445652173913047</v>
      </c>
      <c r="T35" s="12">
        <f t="shared" si="5"/>
        <v>17.445652173913047</v>
      </c>
      <c r="U35" s="12">
        <v>11.6</v>
      </c>
      <c r="V35" s="12">
        <v>19.8</v>
      </c>
      <c r="W35" s="12">
        <v>35.200000000000003</v>
      </c>
      <c r="X35" s="12">
        <v>16</v>
      </c>
      <c r="Y35" s="12">
        <v>0</v>
      </c>
      <c r="Z35" s="12">
        <v>0</v>
      </c>
      <c r="AA35" s="12">
        <v>25.2</v>
      </c>
      <c r="AB35" s="12"/>
      <c r="AC35" s="12">
        <f t="shared" si="13"/>
        <v>32.9</v>
      </c>
      <c r="AD35" s="6">
        <v>8</v>
      </c>
      <c r="AE35" s="8">
        <f t="shared" si="14"/>
        <v>0</v>
      </c>
      <c r="AF35" s="12">
        <f t="shared" si="15"/>
        <v>0</v>
      </c>
      <c r="AG35" s="12">
        <v>12</v>
      </c>
      <c r="AH35" s="12">
        <v>84</v>
      </c>
      <c r="AI35" s="8">
        <f t="shared" si="16"/>
        <v>0</v>
      </c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</row>
    <row r="36" spans="1:49" x14ac:dyDescent="0.25">
      <c r="A36" s="12" t="s">
        <v>102</v>
      </c>
      <c r="B36" s="12" t="s">
        <v>39</v>
      </c>
      <c r="C36" s="12"/>
      <c r="D36" s="12"/>
      <c r="E36" s="12"/>
      <c r="F36" s="12"/>
      <c r="G36" s="6">
        <v>0.8</v>
      </c>
      <c r="H36" s="12"/>
      <c r="I36" s="12" t="s">
        <v>103</v>
      </c>
      <c r="J36" s="12"/>
      <c r="K36" s="12"/>
      <c r="L36" s="12">
        <f t="shared" si="2"/>
        <v>0</v>
      </c>
      <c r="M36" s="12"/>
      <c r="N36" s="12"/>
      <c r="O36" s="12">
        <v>288</v>
      </c>
      <c r="P36" s="12">
        <f t="shared" si="3"/>
        <v>0</v>
      </c>
      <c r="Q36" s="4"/>
      <c r="R36" s="4">
        <f t="shared" si="12"/>
        <v>0</v>
      </c>
      <c r="S36" s="12" t="e">
        <f t="shared" si="4"/>
        <v>#DIV/0!</v>
      </c>
      <c r="T36" s="12" t="e">
        <f t="shared" si="5"/>
        <v>#DIV/0!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/>
      <c r="AC36" s="12">
        <f t="shared" si="13"/>
        <v>0</v>
      </c>
      <c r="AD36" s="6">
        <v>8</v>
      </c>
      <c r="AE36" s="8">
        <f t="shared" si="14"/>
        <v>0</v>
      </c>
      <c r="AF36" s="12">
        <f t="shared" si="15"/>
        <v>0</v>
      </c>
      <c r="AG36" s="12">
        <v>12</v>
      </c>
      <c r="AH36" s="12">
        <v>84</v>
      </c>
      <c r="AI36" s="8">
        <f t="shared" si="16"/>
        <v>0</v>
      </c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</row>
    <row r="37" spans="1:49" x14ac:dyDescent="0.25">
      <c r="A37" s="12" t="s">
        <v>104</v>
      </c>
      <c r="B37" s="12" t="s">
        <v>39</v>
      </c>
      <c r="C37" s="12">
        <v>629</v>
      </c>
      <c r="D37" s="12">
        <v>35</v>
      </c>
      <c r="E37" s="12">
        <v>135</v>
      </c>
      <c r="F37" s="12">
        <v>512</v>
      </c>
      <c r="G37" s="6">
        <v>0.7</v>
      </c>
      <c r="H37" s="12">
        <v>180</v>
      </c>
      <c r="I37" s="12" t="s">
        <v>105</v>
      </c>
      <c r="J37" s="12"/>
      <c r="K37" s="12">
        <v>133</v>
      </c>
      <c r="L37" s="12">
        <f t="shared" si="2"/>
        <v>2</v>
      </c>
      <c r="M37" s="12"/>
      <c r="N37" s="12"/>
      <c r="O37" s="12">
        <v>240</v>
      </c>
      <c r="P37" s="12">
        <f t="shared" si="3"/>
        <v>27</v>
      </c>
      <c r="Q37" s="4"/>
      <c r="R37" s="4">
        <f t="shared" si="12"/>
        <v>0</v>
      </c>
      <c r="S37" s="12">
        <f t="shared" si="4"/>
        <v>27.851851851851851</v>
      </c>
      <c r="T37" s="12">
        <f t="shared" si="5"/>
        <v>27.851851851851851</v>
      </c>
      <c r="U37" s="12">
        <v>52.6</v>
      </c>
      <c r="V37" s="12">
        <v>69.599999999999994</v>
      </c>
      <c r="W37" s="12">
        <v>46.2</v>
      </c>
      <c r="X37" s="12">
        <v>7.8</v>
      </c>
      <c r="Y37" s="12">
        <v>8</v>
      </c>
      <c r="Z37" s="12">
        <v>31.4</v>
      </c>
      <c r="AA37" s="12">
        <v>54.8</v>
      </c>
      <c r="AB37" s="17" t="s">
        <v>52</v>
      </c>
      <c r="AC37" s="12">
        <f t="shared" si="13"/>
        <v>0</v>
      </c>
      <c r="AD37" s="6">
        <v>10</v>
      </c>
      <c r="AE37" s="8">
        <f t="shared" si="14"/>
        <v>0</v>
      </c>
      <c r="AF37" s="12">
        <f t="shared" si="15"/>
        <v>0</v>
      </c>
      <c r="AG37" s="12">
        <v>12</v>
      </c>
      <c r="AH37" s="12">
        <v>84</v>
      </c>
      <c r="AI37" s="8">
        <f t="shared" si="16"/>
        <v>0</v>
      </c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</row>
    <row r="38" spans="1:49" x14ac:dyDescent="0.25">
      <c r="A38" s="12" t="s">
        <v>106</v>
      </c>
      <c r="B38" s="12" t="s">
        <v>39</v>
      </c>
      <c r="C38" s="12">
        <v>759</v>
      </c>
      <c r="D38" s="12">
        <v>23</v>
      </c>
      <c r="E38" s="12">
        <v>61</v>
      </c>
      <c r="F38" s="12">
        <v>699</v>
      </c>
      <c r="G38" s="6">
        <v>0.7</v>
      </c>
      <c r="H38" s="12">
        <v>180</v>
      </c>
      <c r="I38" s="12" t="s">
        <v>107</v>
      </c>
      <c r="J38" s="12"/>
      <c r="K38" s="12">
        <v>61</v>
      </c>
      <c r="L38" s="12">
        <f t="shared" ref="L38:L67" si="19">E38-K38</f>
        <v>0</v>
      </c>
      <c r="M38" s="12"/>
      <c r="N38" s="12"/>
      <c r="O38" s="12">
        <v>0</v>
      </c>
      <c r="P38" s="12">
        <f t="shared" ref="P38:P67" si="20">E38/5</f>
        <v>12.2</v>
      </c>
      <c r="Q38" s="4"/>
      <c r="R38" s="4">
        <f t="shared" si="12"/>
        <v>0</v>
      </c>
      <c r="S38" s="12">
        <f t="shared" ref="S38:S67" si="21">(F38+O38+R38)/P38</f>
        <v>57.295081967213115</v>
      </c>
      <c r="T38" s="12">
        <f t="shared" ref="T38:T67" si="22">(F38+O38)/P38</f>
        <v>57.295081967213115</v>
      </c>
      <c r="U38" s="12">
        <v>22.6</v>
      </c>
      <c r="V38" s="12">
        <v>16.399999999999999</v>
      </c>
      <c r="W38" s="12">
        <v>33.200000000000003</v>
      </c>
      <c r="X38" s="12">
        <v>33</v>
      </c>
      <c r="Y38" s="12">
        <v>16.399999999999999</v>
      </c>
      <c r="Z38" s="12">
        <v>23.6</v>
      </c>
      <c r="AA38" s="12">
        <v>17.8</v>
      </c>
      <c r="AB38" s="18" t="s">
        <v>66</v>
      </c>
      <c r="AC38" s="12">
        <f t="shared" si="13"/>
        <v>0</v>
      </c>
      <c r="AD38" s="6">
        <v>10</v>
      </c>
      <c r="AE38" s="8">
        <f t="shared" si="14"/>
        <v>0</v>
      </c>
      <c r="AF38" s="12">
        <f t="shared" si="15"/>
        <v>0</v>
      </c>
      <c r="AG38" s="12">
        <v>12</v>
      </c>
      <c r="AH38" s="12">
        <v>84</v>
      </c>
      <c r="AI38" s="8">
        <f t="shared" si="16"/>
        <v>0</v>
      </c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</row>
    <row r="39" spans="1:49" x14ac:dyDescent="0.25">
      <c r="A39" s="12" t="s">
        <v>108</v>
      </c>
      <c r="B39" s="12" t="s">
        <v>39</v>
      </c>
      <c r="C39" s="12">
        <v>522</v>
      </c>
      <c r="D39" s="12">
        <v>42</v>
      </c>
      <c r="E39" s="12">
        <v>147</v>
      </c>
      <c r="F39" s="12">
        <v>341</v>
      </c>
      <c r="G39" s="6">
        <v>0.7</v>
      </c>
      <c r="H39" s="12">
        <v>180</v>
      </c>
      <c r="I39" s="12" t="s">
        <v>109</v>
      </c>
      <c r="J39" s="12"/>
      <c r="K39" s="12">
        <v>157</v>
      </c>
      <c r="L39" s="12">
        <f t="shared" si="19"/>
        <v>-10</v>
      </c>
      <c r="M39" s="12"/>
      <c r="N39" s="12"/>
      <c r="O39" s="12">
        <v>360</v>
      </c>
      <c r="P39" s="12">
        <f t="shared" si="20"/>
        <v>29.4</v>
      </c>
      <c r="Q39" s="4"/>
      <c r="R39" s="4">
        <f t="shared" si="12"/>
        <v>0</v>
      </c>
      <c r="S39" s="12">
        <f t="shared" si="21"/>
        <v>23.843537414965986</v>
      </c>
      <c r="T39" s="12">
        <f t="shared" si="22"/>
        <v>23.843537414965986</v>
      </c>
      <c r="U39" s="12">
        <v>54</v>
      </c>
      <c r="V39" s="12">
        <v>60.6</v>
      </c>
      <c r="W39" s="12">
        <v>54</v>
      </c>
      <c r="X39" s="12">
        <v>45.6</v>
      </c>
      <c r="Y39" s="12">
        <v>2</v>
      </c>
      <c r="Z39" s="12">
        <v>4</v>
      </c>
      <c r="AA39" s="12">
        <v>52.2</v>
      </c>
      <c r="AB39" s="12"/>
      <c r="AC39" s="12">
        <f t="shared" si="13"/>
        <v>0</v>
      </c>
      <c r="AD39" s="6">
        <v>10</v>
      </c>
      <c r="AE39" s="8">
        <f t="shared" si="14"/>
        <v>0</v>
      </c>
      <c r="AF39" s="12">
        <f t="shared" si="15"/>
        <v>0</v>
      </c>
      <c r="AG39" s="12">
        <v>12</v>
      </c>
      <c r="AH39" s="12">
        <v>84</v>
      </c>
      <c r="AI39" s="8">
        <f t="shared" si="16"/>
        <v>0</v>
      </c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</row>
    <row r="40" spans="1:49" x14ac:dyDescent="0.25">
      <c r="A40" s="12" t="s">
        <v>110</v>
      </c>
      <c r="B40" s="12" t="s">
        <v>39</v>
      </c>
      <c r="C40" s="12">
        <v>486</v>
      </c>
      <c r="D40" s="12">
        <v>120</v>
      </c>
      <c r="E40" s="12">
        <v>133</v>
      </c>
      <c r="F40" s="12">
        <v>347</v>
      </c>
      <c r="G40" s="6">
        <v>0.7</v>
      </c>
      <c r="H40" s="12">
        <v>180</v>
      </c>
      <c r="I40" s="12" t="s">
        <v>111</v>
      </c>
      <c r="J40" s="12"/>
      <c r="K40" s="12">
        <v>133</v>
      </c>
      <c r="L40" s="12">
        <f t="shared" si="19"/>
        <v>0</v>
      </c>
      <c r="M40" s="12"/>
      <c r="N40" s="12"/>
      <c r="O40" s="12">
        <v>240</v>
      </c>
      <c r="P40" s="12">
        <f t="shared" si="20"/>
        <v>26.6</v>
      </c>
      <c r="Q40" s="4"/>
      <c r="R40" s="4">
        <f t="shared" si="12"/>
        <v>0</v>
      </c>
      <c r="S40" s="12">
        <f t="shared" si="21"/>
        <v>22.06766917293233</v>
      </c>
      <c r="T40" s="12">
        <f t="shared" si="22"/>
        <v>22.06766917293233</v>
      </c>
      <c r="U40" s="12">
        <v>39.799999999999997</v>
      </c>
      <c r="V40" s="12">
        <v>32.200000000000003</v>
      </c>
      <c r="W40" s="12">
        <v>2.8</v>
      </c>
      <c r="X40" s="12">
        <v>71.599999999999994</v>
      </c>
      <c r="Y40" s="12">
        <v>4.8</v>
      </c>
      <c r="Z40" s="12">
        <v>0</v>
      </c>
      <c r="AA40" s="12">
        <v>0</v>
      </c>
      <c r="AB40" s="12"/>
      <c r="AC40" s="12">
        <f t="shared" si="13"/>
        <v>0</v>
      </c>
      <c r="AD40" s="6">
        <v>10</v>
      </c>
      <c r="AE40" s="8">
        <f t="shared" si="14"/>
        <v>0</v>
      </c>
      <c r="AF40" s="12">
        <f t="shared" si="15"/>
        <v>0</v>
      </c>
      <c r="AG40" s="12">
        <v>12</v>
      </c>
      <c r="AH40" s="12">
        <v>84</v>
      </c>
      <c r="AI40" s="8">
        <f t="shared" si="16"/>
        <v>0</v>
      </c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</row>
    <row r="41" spans="1:49" x14ac:dyDescent="0.25">
      <c r="A41" s="12" t="s">
        <v>112</v>
      </c>
      <c r="B41" s="12" t="s">
        <v>72</v>
      </c>
      <c r="C41" s="12">
        <v>1285</v>
      </c>
      <c r="D41" s="12">
        <v>70</v>
      </c>
      <c r="E41" s="12">
        <v>350</v>
      </c>
      <c r="F41" s="12">
        <v>950</v>
      </c>
      <c r="G41" s="6">
        <v>1</v>
      </c>
      <c r="H41" s="12">
        <v>180</v>
      </c>
      <c r="I41" s="12" t="s">
        <v>113</v>
      </c>
      <c r="J41" s="12"/>
      <c r="K41" s="12">
        <v>350</v>
      </c>
      <c r="L41" s="12">
        <f t="shared" si="19"/>
        <v>0</v>
      </c>
      <c r="M41" s="12"/>
      <c r="N41" s="12"/>
      <c r="O41" s="12">
        <v>0</v>
      </c>
      <c r="P41" s="12">
        <f t="shared" si="20"/>
        <v>70</v>
      </c>
      <c r="Q41" s="4">
        <f>IF(P41*$Q$1-O41-F41&lt;0,0,P41*$Q$1-O41-F41)</f>
        <v>450</v>
      </c>
      <c r="R41" s="4">
        <f t="shared" si="12"/>
        <v>480</v>
      </c>
      <c r="S41" s="12">
        <f t="shared" si="21"/>
        <v>20.428571428571427</v>
      </c>
      <c r="T41" s="12">
        <f t="shared" si="22"/>
        <v>13.571428571428571</v>
      </c>
      <c r="U41" s="12">
        <v>59</v>
      </c>
      <c r="V41" s="12">
        <v>78</v>
      </c>
      <c r="W41" s="12">
        <v>100</v>
      </c>
      <c r="X41" s="12">
        <v>72</v>
      </c>
      <c r="Y41" s="12">
        <v>22</v>
      </c>
      <c r="Z41" s="12">
        <v>0</v>
      </c>
      <c r="AA41" s="12">
        <v>42</v>
      </c>
      <c r="AB41" s="12"/>
      <c r="AC41" s="12">
        <f t="shared" si="13"/>
        <v>450</v>
      </c>
      <c r="AD41" s="6">
        <v>5</v>
      </c>
      <c r="AE41" s="8">
        <f t="shared" si="14"/>
        <v>96</v>
      </c>
      <c r="AF41" s="12">
        <f t="shared" si="15"/>
        <v>480</v>
      </c>
      <c r="AG41" s="12">
        <v>12</v>
      </c>
      <c r="AH41" s="12">
        <v>144</v>
      </c>
      <c r="AI41" s="8">
        <f t="shared" si="16"/>
        <v>0.66666666666666663</v>
      </c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</row>
    <row r="42" spans="1:49" x14ac:dyDescent="0.25">
      <c r="A42" s="12" t="s">
        <v>114</v>
      </c>
      <c r="B42" s="12" t="s">
        <v>39</v>
      </c>
      <c r="C42" s="12">
        <v>707</v>
      </c>
      <c r="D42" s="12">
        <v>46</v>
      </c>
      <c r="E42" s="12">
        <v>145</v>
      </c>
      <c r="F42" s="12">
        <v>540</v>
      </c>
      <c r="G42" s="6">
        <v>0.4</v>
      </c>
      <c r="H42" s="12">
        <v>180</v>
      </c>
      <c r="I42" s="12" t="s">
        <v>115</v>
      </c>
      <c r="J42" s="12"/>
      <c r="K42" s="12">
        <v>149</v>
      </c>
      <c r="L42" s="12">
        <f t="shared" si="19"/>
        <v>-4</v>
      </c>
      <c r="M42" s="12"/>
      <c r="N42" s="12"/>
      <c r="O42" s="12">
        <v>384</v>
      </c>
      <c r="P42" s="12">
        <f t="shared" si="20"/>
        <v>29</v>
      </c>
      <c r="Q42" s="4"/>
      <c r="R42" s="4">
        <f t="shared" si="12"/>
        <v>0</v>
      </c>
      <c r="S42" s="12">
        <f t="shared" si="21"/>
        <v>31.862068965517242</v>
      </c>
      <c r="T42" s="12">
        <f t="shared" si="22"/>
        <v>31.862068965517242</v>
      </c>
      <c r="U42" s="12">
        <v>60.4</v>
      </c>
      <c r="V42" s="12">
        <v>27.8</v>
      </c>
      <c r="W42" s="12">
        <v>58.2</v>
      </c>
      <c r="X42" s="12">
        <v>80.400000000000006</v>
      </c>
      <c r="Y42" s="12">
        <v>8.8000000000000007</v>
      </c>
      <c r="Z42" s="12">
        <v>-2</v>
      </c>
      <c r="AA42" s="12">
        <v>18.8</v>
      </c>
      <c r="AB42" s="17" t="s">
        <v>52</v>
      </c>
      <c r="AC42" s="12">
        <f t="shared" si="13"/>
        <v>0</v>
      </c>
      <c r="AD42" s="6">
        <v>16</v>
      </c>
      <c r="AE42" s="8">
        <f t="shared" si="14"/>
        <v>0</v>
      </c>
      <c r="AF42" s="12">
        <f t="shared" si="15"/>
        <v>0</v>
      </c>
      <c r="AG42" s="12">
        <v>12</v>
      </c>
      <c r="AH42" s="12">
        <v>84</v>
      </c>
      <c r="AI42" s="8">
        <f t="shared" si="16"/>
        <v>0</v>
      </c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</row>
    <row r="43" spans="1:49" x14ac:dyDescent="0.25">
      <c r="A43" s="12" t="s">
        <v>116</v>
      </c>
      <c r="B43" s="12" t="s">
        <v>39</v>
      </c>
      <c r="C43" s="12">
        <v>1442</v>
      </c>
      <c r="D43" s="12">
        <v>49</v>
      </c>
      <c r="E43" s="12">
        <v>356</v>
      </c>
      <c r="F43" s="12">
        <v>1096</v>
      </c>
      <c r="G43" s="6">
        <v>0.7</v>
      </c>
      <c r="H43" s="12">
        <v>180</v>
      </c>
      <c r="I43" s="12" t="s">
        <v>117</v>
      </c>
      <c r="J43" s="12"/>
      <c r="K43" s="12">
        <v>354</v>
      </c>
      <c r="L43" s="12">
        <f t="shared" si="19"/>
        <v>2</v>
      </c>
      <c r="M43" s="12"/>
      <c r="N43" s="12"/>
      <c r="O43" s="12">
        <v>0</v>
      </c>
      <c r="P43" s="12">
        <f t="shared" si="20"/>
        <v>71.2</v>
      </c>
      <c r="Q43" s="4">
        <f>IF(P43*$Q$1-O43-F43&lt;0,0,P43*$Q$1-O43-F43)</f>
        <v>328</v>
      </c>
      <c r="R43" s="4">
        <f t="shared" si="12"/>
        <v>360</v>
      </c>
      <c r="S43" s="12">
        <f t="shared" si="21"/>
        <v>20.44943820224719</v>
      </c>
      <c r="T43" s="12">
        <f t="shared" si="22"/>
        <v>15.393258426966291</v>
      </c>
      <c r="U43" s="12">
        <v>71.2</v>
      </c>
      <c r="V43" s="12">
        <v>116.8</v>
      </c>
      <c r="W43" s="12">
        <v>83.8</v>
      </c>
      <c r="X43" s="12">
        <v>131.4</v>
      </c>
      <c r="Y43" s="12">
        <v>0</v>
      </c>
      <c r="Z43" s="12">
        <v>0</v>
      </c>
      <c r="AA43" s="12">
        <v>84.4</v>
      </c>
      <c r="AB43" s="12"/>
      <c r="AC43" s="12">
        <f t="shared" si="13"/>
        <v>229.6</v>
      </c>
      <c r="AD43" s="6">
        <v>10</v>
      </c>
      <c r="AE43" s="8">
        <f t="shared" si="14"/>
        <v>36</v>
      </c>
      <c r="AF43" s="12">
        <f t="shared" si="15"/>
        <v>251.99999999999997</v>
      </c>
      <c r="AG43" s="12">
        <v>12</v>
      </c>
      <c r="AH43" s="12">
        <v>84</v>
      </c>
      <c r="AI43" s="8">
        <f t="shared" si="16"/>
        <v>0.42857142857142855</v>
      </c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</row>
    <row r="44" spans="1:49" x14ac:dyDescent="0.25">
      <c r="A44" s="12" t="s">
        <v>118</v>
      </c>
      <c r="B44" s="12" t="s">
        <v>39</v>
      </c>
      <c r="C44" s="12">
        <v>531</v>
      </c>
      <c r="D44" s="12">
        <v>74</v>
      </c>
      <c r="E44" s="12">
        <v>214</v>
      </c>
      <c r="F44" s="12">
        <v>298</v>
      </c>
      <c r="G44" s="6">
        <v>0.4</v>
      </c>
      <c r="H44" s="12">
        <v>180</v>
      </c>
      <c r="I44" s="12" t="s">
        <v>119</v>
      </c>
      <c r="J44" s="12"/>
      <c r="K44" s="12">
        <v>208</v>
      </c>
      <c r="L44" s="12">
        <f t="shared" si="19"/>
        <v>6</v>
      </c>
      <c r="M44" s="12"/>
      <c r="N44" s="12"/>
      <c r="O44" s="12">
        <v>576</v>
      </c>
      <c r="P44" s="12">
        <f t="shared" si="20"/>
        <v>42.8</v>
      </c>
      <c r="Q44" s="4"/>
      <c r="R44" s="4">
        <f t="shared" si="12"/>
        <v>0</v>
      </c>
      <c r="S44" s="12">
        <f t="shared" si="21"/>
        <v>20.420560747663554</v>
      </c>
      <c r="T44" s="12">
        <f t="shared" si="22"/>
        <v>20.420560747663554</v>
      </c>
      <c r="U44" s="12">
        <v>60</v>
      </c>
      <c r="V44" s="12">
        <v>64</v>
      </c>
      <c r="W44" s="12">
        <v>69</v>
      </c>
      <c r="X44" s="12">
        <v>92.4</v>
      </c>
      <c r="Y44" s="12">
        <v>0</v>
      </c>
      <c r="Z44" s="12">
        <v>14.2</v>
      </c>
      <c r="AA44" s="12">
        <v>63.2</v>
      </c>
      <c r="AB44" s="12"/>
      <c r="AC44" s="12">
        <f t="shared" si="13"/>
        <v>0</v>
      </c>
      <c r="AD44" s="6">
        <v>16</v>
      </c>
      <c r="AE44" s="8">
        <f t="shared" si="14"/>
        <v>0</v>
      </c>
      <c r="AF44" s="12">
        <f t="shared" si="15"/>
        <v>0</v>
      </c>
      <c r="AG44" s="12">
        <v>12</v>
      </c>
      <c r="AH44" s="12">
        <v>84</v>
      </c>
      <c r="AI44" s="8">
        <f t="shared" si="16"/>
        <v>0</v>
      </c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</row>
    <row r="45" spans="1:49" x14ac:dyDescent="0.25">
      <c r="A45" s="12" t="s">
        <v>43</v>
      </c>
      <c r="B45" s="12" t="s">
        <v>39</v>
      </c>
      <c r="C45" s="12">
        <v>1355</v>
      </c>
      <c r="D45" s="12">
        <v>197</v>
      </c>
      <c r="E45" s="19">
        <f>615+E7</f>
        <v>626</v>
      </c>
      <c r="F45" s="19">
        <f>770+F7</f>
        <v>840</v>
      </c>
      <c r="G45" s="6">
        <v>0.7</v>
      </c>
      <c r="H45" s="12">
        <v>180</v>
      </c>
      <c r="I45" s="12" t="s">
        <v>120</v>
      </c>
      <c r="J45" s="12"/>
      <c r="K45" s="12">
        <v>618</v>
      </c>
      <c r="L45" s="12">
        <f t="shared" si="19"/>
        <v>8</v>
      </c>
      <c r="M45" s="12"/>
      <c r="N45" s="12"/>
      <c r="O45" s="12">
        <v>600</v>
      </c>
      <c r="P45" s="12">
        <f t="shared" si="20"/>
        <v>125.2</v>
      </c>
      <c r="Q45" s="4">
        <f t="shared" ref="Q45:Q47" si="23">IF(P45*$Q$1-O45-F45&lt;0,0,P45*$Q$1-O45-F45)</f>
        <v>1064</v>
      </c>
      <c r="R45" s="4">
        <f t="shared" si="12"/>
        <v>1080</v>
      </c>
      <c r="S45" s="12">
        <f t="shared" si="21"/>
        <v>20.12779552715655</v>
      </c>
      <c r="T45" s="12">
        <f t="shared" si="22"/>
        <v>11.501597444089457</v>
      </c>
      <c r="U45" s="12">
        <v>118.6</v>
      </c>
      <c r="V45" s="12">
        <v>147.6</v>
      </c>
      <c r="W45" s="12">
        <v>125.4</v>
      </c>
      <c r="X45" s="12">
        <v>137.80000000000001</v>
      </c>
      <c r="Y45" s="12">
        <v>14</v>
      </c>
      <c r="Z45" s="12">
        <v>8</v>
      </c>
      <c r="AA45" s="12">
        <v>26</v>
      </c>
      <c r="AB45" s="12"/>
      <c r="AC45" s="12">
        <f t="shared" si="13"/>
        <v>744.8</v>
      </c>
      <c r="AD45" s="6">
        <v>10</v>
      </c>
      <c r="AE45" s="8">
        <f t="shared" si="14"/>
        <v>108</v>
      </c>
      <c r="AF45" s="12">
        <f t="shared" si="15"/>
        <v>756</v>
      </c>
      <c r="AG45" s="12">
        <v>12</v>
      </c>
      <c r="AH45" s="12">
        <v>84</v>
      </c>
      <c r="AI45" s="8">
        <f t="shared" si="16"/>
        <v>1.2857142857142858</v>
      </c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</row>
    <row r="46" spans="1:49" x14ac:dyDescent="0.25">
      <c r="A46" s="12" t="s">
        <v>121</v>
      </c>
      <c r="B46" s="12" t="s">
        <v>39</v>
      </c>
      <c r="C46" s="12">
        <v>520</v>
      </c>
      <c r="D46" s="12">
        <v>22</v>
      </c>
      <c r="E46" s="12">
        <v>253</v>
      </c>
      <c r="F46" s="12">
        <v>-144</v>
      </c>
      <c r="G46" s="6">
        <v>0.7</v>
      </c>
      <c r="H46" s="12">
        <v>180</v>
      </c>
      <c r="I46" s="12" t="s">
        <v>122</v>
      </c>
      <c r="J46" s="12"/>
      <c r="K46" s="12">
        <v>253</v>
      </c>
      <c r="L46" s="12">
        <f t="shared" si="19"/>
        <v>0</v>
      </c>
      <c r="M46" s="12"/>
      <c r="N46" s="12"/>
      <c r="O46" s="12">
        <v>480</v>
      </c>
      <c r="P46" s="12">
        <f t="shared" si="20"/>
        <v>50.6</v>
      </c>
      <c r="Q46" s="4">
        <f t="shared" si="23"/>
        <v>676</v>
      </c>
      <c r="R46" s="4">
        <f t="shared" si="12"/>
        <v>720</v>
      </c>
      <c r="S46" s="12">
        <f t="shared" si="21"/>
        <v>20.869565217391305</v>
      </c>
      <c r="T46" s="12">
        <f t="shared" si="22"/>
        <v>6.6403162055335967</v>
      </c>
      <c r="U46" s="12">
        <v>60</v>
      </c>
      <c r="V46" s="12">
        <v>51.8</v>
      </c>
      <c r="W46" s="12">
        <v>65</v>
      </c>
      <c r="X46" s="12">
        <v>68.599999999999994</v>
      </c>
      <c r="Y46" s="12">
        <v>25</v>
      </c>
      <c r="Z46" s="12">
        <v>0</v>
      </c>
      <c r="AA46" s="12">
        <v>13.2</v>
      </c>
      <c r="AB46" s="12"/>
      <c r="AC46" s="12">
        <f t="shared" si="13"/>
        <v>473.2</v>
      </c>
      <c r="AD46" s="6">
        <v>10</v>
      </c>
      <c r="AE46" s="8">
        <f t="shared" si="14"/>
        <v>72</v>
      </c>
      <c r="AF46" s="12">
        <f t="shared" si="15"/>
        <v>503.99999999999994</v>
      </c>
      <c r="AG46" s="12">
        <v>12</v>
      </c>
      <c r="AH46" s="12">
        <v>84</v>
      </c>
      <c r="AI46" s="8">
        <f t="shared" si="16"/>
        <v>0.8571428571428571</v>
      </c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</row>
    <row r="47" spans="1:49" x14ac:dyDescent="0.25">
      <c r="A47" s="12" t="s">
        <v>123</v>
      </c>
      <c r="B47" s="12" t="s">
        <v>39</v>
      </c>
      <c r="C47" s="12">
        <v>575</v>
      </c>
      <c r="D47" s="12">
        <v>53</v>
      </c>
      <c r="E47" s="12">
        <v>265</v>
      </c>
      <c r="F47" s="12">
        <v>300</v>
      </c>
      <c r="G47" s="6">
        <v>1</v>
      </c>
      <c r="H47" s="12">
        <v>180</v>
      </c>
      <c r="I47" s="12" t="s">
        <v>124</v>
      </c>
      <c r="J47" s="12"/>
      <c r="K47" s="12">
        <v>242</v>
      </c>
      <c r="L47" s="12">
        <f t="shared" si="19"/>
        <v>23</v>
      </c>
      <c r="M47" s="12"/>
      <c r="N47" s="12"/>
      <c r="O47" s="12">
        <v>0</v>
      </c>
      <c r="P47" s="12">
        <f t="shared" si="20"/>
        <v>53</v>
      </c>
      <c r="Q47" s="4">
        <f t="shared" si="23"/>
        <v>760</v>
      </c>
      <c r="R47" s="4">
        <f t="shared" si="12"/>
        <v>780</v>
      </c>
      <c r="S47" s="12">
        <f t="shared" si="21"/>
        <v>20.377358490566039</v>
      </c>
      <c r="T47" s="12">
        <f t="shared" si="22"/>
        <v>5.6603773584905657</v>
      </c>
      <c r="U47" s="12">
        <v>21.2</v>
      </c>
      <c r="V47" s="12">
        <v>34.4</v>
      </c>
      <c r="W47" s="12">
        <v>18.399999999999999</v>
      </c>
      <c r="X47" s="12">
        <v>36</v>
      </c>
      <c r="Y47" s="12">
        <v>0</v>
      </c>
      <c r="Z47" s="12">
        <v>0</v>
      </c>
      <c r="AA47" s="12">
        <v>10.199999999999999</v>
      </c>
      <c r="AB47" s="12"/>
      <c r="AC47" s="12">
        <f t="shared" si="13"/>
        <v>760</v>
      </c>
      <c r="AD47" s="6">
        <v>5</v>
      </c>
      <c r="AE47" s="8">
        <f t="shared" si="14"/>
        <v>156</v>
      </c>
      <c r="AF47" s="12">
        <f t="shared" si="15"/>
        <v>780</v>
      </c>
      <c r="AG47" s="12">
        <v>12</v>
      </c>
      <c r="AH47" s="12">
        <v>84</v>
      </c>
      <c r="AI47" s="8">
        <f t="shared" si="16"/>
        <v>1.8571428571428572</v>
      </c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</row>
    <row r="48" spans="1:49" x14ac:dyDescent="0.25">
      <c r="A48" s="12" t="s">
        <v>125</v>
      </c>
      <c r="B48" s="12" t="s">
        <v>39</v>
      </c>
      <c r="C48" s="12">
        <v>134</v>
      </c>
      <c r="D48" s="12">
        <v>56</v>
      </c>
      <c r="E48" s="12">
        <v>146</v>
      </c>
      <c r="F48" s="12"/>
      <c r="G48" s="6">
        <v>0.9</v>
      </c>
      <c r="H48" s="12">
        <v>180</v>
      </c>
      <c r="I48" s="12" t="s">
        <v>126</v>
      </c>
      <c r="J48" s="12"/>
      <c r="K48" s="12">
        <v>161</v>
      </c>
      <c r="L48" s="12">
        <f t="shared" si="19"/>
        <v>-15</v>
      </c>
      <c r="M48" s="12"/>
      <c r="N48" s="12"/>
      <c r="O48" s="12">
        <v>768</v>
      </c>
      <c r="P48" s="12">
        <f t="shared" si="20"/>
        <v>29.2</v>
      </c>
      <c r="Q48" s="4"/>
      <c r="R48" s="4">
        <f t="shared" si="12"/>
        <v>0</v>
      </c>
      <c r="S48" s="12">
        <f t="shared" si="21"/>
        <v>26.301369863013701</v>
      </c>
      <c r="T48" s="12">
        <f t="shared" si="22"/>
        <v>26.301369863013701</v>
      </c>
      <c r="U48" s="12">
        <v>50.8</v>
      </c>
      <c r="V48" s="12">
        <v>38.4</v>
      </c>
      <c r="W48" s="12">
        <v>1.6</v>
      </c>
      <c r="X48" s="12">
        <v>50</v>
      </c>
      <c r="Y48" s="12">
        <v>5.2</v>
      </c>
      <c r="Z48" s="12">
        <v>0</v>
      </c>
      <c r="AA48" s="12">
        <v>49.6</v>
      </c>
      <c r="AB48" s="12"/>
      <c r="AC48" s="12">
        <f t="shared" si="13"/>
        <v>0</v>
      </c>
      <c r="AD48" s="6">
        <v>8</v>
      </c>
      <c r="AE48" s="8">
        <f t="shared" si="14"/>
        <v>0</v>
      </c>
      <c r="AF48" s="12">
        <f t="shared" si="15"/>
        <v>0</v>
      </c>
      <c r="AG48" s="12">
        <v>12</v>
      </c>
      <c r="AH48" s="12">
        <v>84</v>
      </c>
      <c r="AI48" s="8">
        <f t="shared" si="16"/>
        <v>0</v>
      </c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</row>
    <row r="49" spans="1:49" x14ac:dyDescent="0.25">
      <c r="A49" s="12" t="s">
        <v>127</v>
      </c>
      <c r="B49" s="12" t="s">
        <v>39</v>
      </c>
      <c r="C49" s="12">
        <v>216</v>
      </c>
      <c r="D49" s="12">
        <v>65</v>
      </c>
      <c r="E49" s="12">
        <v>226</v>
      </c>
      <c r="F49" s="12">
        <v>1</v>
      </c>
      <c r="G49" s="6">
        <v>0.9</v>
      </c>
      <c r="H49" s="12">
        <v>180</v>
      </c>
      <c r="I49" s="12" t="s">
        <v>128</v>
      </c>
      <c r="J49" s="12"/>
      <c r="K49" s="12">
        <v>208</v>
      </c>
      <c r="L49" s="12">
        <f t="shared" si="19"/>
        <v>18</v>
      </c>
      <c r="M49" s="12"/>
      <c r="N49" s="12"/>
      <c r="O49" s="12">
        <v>576</v>
      </c>
      <c r="P49" s="12">
        <f t="shared" si="20"/>
        <v>45.2</v>
      </c>
      <c r="Q49" s="4">
        <f t="shared" ref="Q49:Q50" si="24">IF(P49*$Q$1-O49-F49&lt;0,0,P49*$Q$1-O49-F49)</f>
        <v>327</v>
      </c>
      <c r="R49" s="4">
        <f t="shared" si="12"/>
        <v>288</v>
      </c>
      <c r="S49" s="12">
        <f t="shared" si="21"/>
        <v>19.13716814159292</v>
      </c>
      <c r="T49" s="12">
        <f t="shared" si="22"/>
        <v>12.765486725663717</v>
      </c>
      <c r="U49" s="12">
        <v>44.6</v>
      </c>
      <c r="V49" s="12">
        <v>25</v>
      </c>
      <c r="W49" s="12">
        <v>8.8000000000000007</v>
      </c>
      <c r="X49" s="12">
        <v>49.2</v>
      </c>
      <c r="Y49" s="12">
        <v>5.2</v>
      </c>
      <c r="Z49" s="12">
        <v>1.2</v>
      </c>
      <c r="AA49" s="12">
        <v>36</v>
      </c>
      <c r="AB49" s="12"/>
      <c r="AC49" s="12">
        <f t="shared" si="13"/>
        <v>294.3</v>
      </c>
      <c r="AD49" s="6">
        <v>8</v>
      </c>
      <c r="AE49" s="8">
        <f t="shared" si="14"/>
        <v>36</v>
      </c>
      <c r="AF49" s="12">
        <f t="shared" si="15"/>
        <v>259.2</v>
      </c>
      <c r="AG49" s="12">
        <v>12</v>
      </c>
      <c r="AH49" s="12">
        <v>84</v>
      </c>
      <c r="AI49" s="8">
        <f t="shared" si="16"/>
        <v>0.42857142857142855</v>
      </c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</row>
    <row r="50" spans="1:49" x14ac:dyDescent="0.25">
      <c r="A50" s="12" t="s">
        <v>129</v>
      </c>
      <c r="B50" s="12" t="s">
        <v>39</v>
      </c>
      <c r="C50" s="12">
        <v>146</v>
      </c>
      <c r="D50" s="12">
        <v>53</v>
      </c>
      <c r="E50" s="12">
        <v>145</v>
      </c>
      <c r="F50" s="12"/>
      <c r="G50" s="6">
        <v>1</v>
      </c>
      <c r="H50" s="12">
        <v>180</v>
      </c>
      <c r="I50" s="12" t="s">
        <v>130</v>
      </c>
      <c r="J50" s="12"/>
      <c r="K50" s="12">
        <v>152</v>
      </c>
      <c r="L50" s="12">
        <f t="shared" si="19"/>
        <v>-7</v>
      </c>
      <c r="M50" s="12"/>
      <c r="N50" s="12"/>
      <c r="O50" s="12">
        <v>420</v>
      </c>
      <c r="P50" s="12">
        <f t="shared" si="20"/>
        <v>29</v>
      </c>
      <c r="Q50" s="4">
        <f t="shared" si="24"/>
        <v>160</v>
      </c>
      <c r="R50" s="4">
        <f t="shared" si="12"/>
        <v>180</v>
      </c>
      <c r="S50" s="12">
        <f t="shared" si="21"/>
        <v>20.689655172413794</v>
      </c>
      <c r="T50" s="12">
        <f t="shared" si="22"/>
        <v>14.482758620689655</v>
      </c>
      <c r="U50" s="12">
        <v>34.799999999999997</v>
      </c>
      <c r="V50" s="12">
        <v>56</v>
      </c>
      <c r="W50" s="12">
        <v>1</v>
      </c>
      <c r="X50" s="12">
        <v>48</v>
      </c>
      <c r="Y50" s="12">
        <v>0</v>
      </c>
      <c r="Z50" s="12">
        <v>0</v>
      </c>
      <c r="AA50" s="12">
        <v>91.4</v>
      </c>
      <c r="AB50" s="12"/>
      <c r="AC50" s="12">
        <f t="shared" si="13"/>
        <v>160</v>
      </c>
      <c r="AD50" s="6">
        <v>5</v>
      </c>
      <c r="AE50" s="8">
        <f t="shared" si="14"/>
        <v>36</v>
      </c>
      <c r="AF50" s="12">
        <f t="shared" si="15"/>
        <v>180</v>
      </c>
      <c r="AG50" s="12">
        <v>12</v>
      </c>
      <c r="AH50" s="12">
        <v>84</v>
      </c>
      <c r="AI50" s="8">
        <f t="shared" si="16"/>
        <v>0.42857142857142855</v>
      </c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 spans="1:49" x14ac:dyDescent="0.25">
      <c r="A51" s="12" t="s">
        <v>131</v>
      </c>
      <c r="B51" s="12" t="s">
        <v>72</v>
      </c>
      <c r="C51" s="12">
        <v>259</v>
      </c>
      <c r="D51" s="12"/>
      <c r="E51" s="12"/>
      <c r="F51" s="12">
        <v>259</v>
      </c>
      <c r="G51" s="6">
        <v>1</v>
      </c>
      <c r="H51" s="12">
        <v>180</v>
      </c>
      <c r="I51" s="12" t="s">
        <v>132</v>
      </c>
      <c r="J51" s="12"/>
      <c r="K51" s="12"/>
      <c r="L51" s="12">
        <f t="shared" si="19"/>
        <v>0</v>
      </c>
      <c r="M51" s="12"/>
      <c r="N51" s="12"/>
      <c r="O51" s="12">
        <v>0</v>
      </c>
      <c r="P51" s="12">
        <f t="shared" si="20"/>
        <v>0</v>
      </c>
      <c r="Q51" s="4"/>
      <c r="R51" s="4">
        <f t="shared" si="12"/>
        <v>0</v>
      </c>
      <c r="S51" s="12" t="e">
        <f t="shared" si="21"/>
        <v>#DIV/0!</v>
      </c>
      <c r="T51" s="12" t="e">
        <f t="shared" si="22"/>
        <v>#DIV/0!</v>
      </c>
      <c r="U51" s="12">
        <v>0.74</v>
      </c>
      <c r="V51" s="12">
        <v>1.48</v>
      </c>
      <c r="W51" s="12">
        <v>0</v>
      </c>
      <c r="X51" s="12">
        <v>0.74</v>
      </c>
      <c r="Y51" s="12">
        <v>1.48</v>
      </c>
      <c r="Z51" s="12">
        <v>2.96</v>
      </c>
      <c r="AA51" s="12">
        <v>3.8</v>
      </c>
      <c r="AB51" s="18" t="s">
        <v>66</v>
      </c>
      <c r="AC51" s="12">
        <f t="shared" si="13"/>
        <v>0</v>
      </c>
      <c r="AD51" s="6">
        <v>3.7</v>
      </c>
      <c r="AE51" s="8">
        <f t="shared" si="14"/>
        <v>0</v>
      </c>
      <c r="AF51" s="12">
        <f t="shared" si="15"/>
        <v>0</v>
      </c>
      <c r="AG51" s="12">
        <v>14</v>
      </c>
      <c r="AH51" s="12">
        <v>126</v>
      </c>
      <c r="AI51" s="8">
        <f t="shared" si="16"/>
        <v>0</v>
      </c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</row>
    <row r="52" spans="1:49" x14ac:dyDescent="0.25">
      <c r="A52" s="12" t="s">
        <v>133</v>
      </c>
      <c r="B52" s="12" t="s">
        <v>39</v>
      </c>
      <c r="C52" s="12">
        <v>267</v>
      </c>
      <c r="D52" s="12">
        <v>26</v>
      </c>
      <c r="E52" s="12">
        <v>119</v>
      </c>
      <c r="F52" s="12">
        <v>134</v>
      </c>
      <c r="G52" s="6">
        <v>0.23</v>
      </c>
      <c r="H52" s="12">
        <v>180</v>
      </c>
      <c r="I52" s="12" t="s">
        <v>134</v>
      </c>
      <c r="J52" s="12"/>
      <c r="K52" s="12">
        <v>117</v>
      </c>
      <c r="L52" s="12">
        <f t="shared" si="19"/>
        <v>2</v>
      </c>
      <c r="M52" s="12"/>
      <c r="N52" s="12"/>
      <c r="O52" s="12">
        <v>336</v>
      </c>
      <c r="P52" s="12">
        <f t="shared" si="20"/>
        <v>23.8</v>
      </c>
      <c r="Q52" s="4">
        <f>IF(P52*$Q$1-O52-F52&lt;0,0,P52*$Q$1-O52-F52)</f>
        <v>6</v>
      </c>
      <c r="R52" s="4">
        <f t="shared" si="12"/>
        <v>0</v>
      </c>
      <c r="S52" s="12">
        <f t="shared" si="21"/>
        <v>19.747899159663866</v>
      </c>
      <c r="T52" s="12">
        <f t="shared" si="22"/>
        <v>19.747899159663866</v>
      </c>
      <c r="U52" s="12">
        <v>37.6</v>
      </c>
      <c r="V52" s="12">
        <v>13.8</v>
      </c>
      <c r="W52" s="12">
        <v>38.200000000000003</v>
      </c>
      <c r="X52" s="12">
        <v>51.4</v>
      </c>
      <c r="Y52" s="12">
        <v>0</v>
      </c>
      <c r="Z52" s="12">
        <v>0</v>
      </c>
      <c r="AA52" s="12">
        <v>21.6</v>
      </c>
      <c r="AB52" s="12"/>
      <c r="AC52" s="12">
        <f t="shared" si="13"/>
        <v>1.3800000000000001</v>
      </c>
      <c r="AD52" s="6">
        <v>6</v>
      </c>
      <c r="AE52" s="8">
        <f t="shared" si="14"/>
        <v>0</v>
      </c>
      <c r="AF52" s="12">
        <f t="shared" si="15"/>
        <v>0</v>
      </c>
      <c r="AG52" s="12">
        <v>14</v>
      </c>
      <c r="AH52" s="12">
        <v>140</v>
      </c>
      <c r="AI52" s="8">
        <f t="shared" si="16"/>
        <v>0</v>
      </c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</row>
    <row r="53" spans="1:49" x14ac:dyDescent="0.25">
      <c r="A53" s="12" t="s">
        <v>135</v>
      </c>
      <c r="B53" s="12" t="s">
        <v>39</v>
      </c>
      <c r="C53" s="12">
        <v>35</v>
      </c>
      <c r="D53" s="12">
        <v>856</v>
      </c>
      <c r="E53" s="12">
        <v>228</v>
      </c>
      <c r="F53" s="12">
        <v>663</v>
      </c>
      <c r="G53" s="6">
        <v>0.25</v>
      </c>
      <c r="H53" s="12">
        <v>180</v>
      </c>
      <c r="I53" s="12" t="s">
        <v>136</v>
      </c>
      <c r="J53" s="12"/>
      <c r="K53" s="12">
        <v>226</v>
      </c>
      <c r="L53" s="12">
        <f t="shared" si="19"/>
        <v>2</v>
      </c>
      <c r="M53" s="12"/>
      <c r="N53" s="12"/>
      <c r="O53" s="12">
        <v>1008</v>
      </c>
      <c r="P53" s="12">
        <f t="shared" si="20"/>
        <v>45.6</v>
      </c>
      <c r="Q53" s="4"/>
      <c r="R53" s="4">
        <f t="shared" si="12"/>
        <v>0</v>
      </c>
      <c r="S53" s="12">
        <f t="shared" si="21"/>
        <v>36.64473684210526</v>
      </c>
      <c r="T53" s="12">
        <f t="shared" si="22"/>
        <v>36.64473684210526</v>
      </c>
      <c r="U53" s="12">
        <v>65.599999999999994</v>
      </c>
      <c r="V53" s="12">
        <v>61.4</v>
      </c>
      <c r="W53" s="12">
        <v>38.4</v>
      </c>
      <c r="X53" s="12">
        <v>65.599999999999994</v>
      </c>
      <c r="Y53" s="12">
        <v>0</v>
      </c>
      <c r="Z53" s="12">
        <v>0</v>
      </c>
      <c r="AA53" s="12">
        <v>39.799999999999997</v>
      </c>
      <c r="AB53" s="12"/>
      <c r="AC53" s="12">
        <f t="shared" si="13"/>
        <v>0</v>
      </c>
      <c r="AD53" s="6">
        <v>12</v>
      </c>
      <c r="AE53" s="8">
        <f t="shared" si="14"/>
        <v>0</v>
      </c>
      <c r="AF53" s="12">
        <f t="shared" si="15"/>
        <v>0</v>
      </c>
      <c r="AG53" s="12">
        <v>14</v>
      </c>
      <c r="AH53" s="12">
        <v>70</v>
      </c>
      <c r="AI53" s="8">
        <f t="shared" si="16"/>
        <v>0</v>
      </c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</row>
    <row r="54" spans="1:49" x14ac:dyDescent="0.25">
      <c r="A54" s="12" t="s">
        <v>137</v>
      </c>
      <c r="B54" s="12" t="s">
        <v>39</v>
      </c>
      <c r="C54" s="12">
        <v>1089</v>
      </c>
      <c r="D54" s="12">
        <v>35</v>
      </c>
      <c r="E54" s="12">
        <v>120</v>
      </c>
      <c r="F54" s="12">
        <v>970</v>
      </c>
      <c r="G54" s="6">
        <v>0.25</v>
      </c>
      <c r="H54" s="12">
        <v>180</v>
      </c>
      <c r="I54" s="12" t="s">
        <v>138</v>
      </c>
      <c r="J54" s="12"/>
      <c r="K54" s="12">
        <v>118</v>
      </c>
      <c r="L54" s="12">
        <f t="shared" si="19"/>
        <v>2</v>
      </c>
      <c r="M54" s="12"/>
      <c r="N54" s="12"/>
      <c r="O54" s="12">
        <v>0</v>
      </c>
      <c r="P54" s="12">
        <f t="shared" si="20"/>
        <v>24</v>
      </c>
      <c r="Q54" s="4"/>
      <c r="R54" s="4">
        <f t="shared" si="12"/>
        <v>0</v>
      </c>
      <c r="S54" s="12">
        <f t="shared" si="21"/>
        <v>40.416666666666664</v>
      </c>
      <c r="T54" s="12">
        <f t="shared" si="22"/>
        <v>40.416666666666664</v>
      </c>
      <c r="U54" s="12">
        <v>25.2</v>
      </c>
      <c r="V54" s="12">
        <v>31</v>
      </c>
      <c r="W54" s="12">
        <v>26</v>
      </c>
      <c r="X54" s="12">
        <v>14.6</v>
      </c>
      <c r="Y54" s="12">
        <v>53.4</v>
      </c>
      <c r="Z54" s="12">
        <v>17.399999999999999</v>
      </c>
      <c r="AA54" s="12">
        <v>39.6</v>
      </c>
      <c r="AB54" s="18" t="s">
        <v>66</v>
      </c>
      <c r="AC54" s="12">
        <f t="shared" si="13"/>
        <v>0</v>
      </c>
      <c r="AD54" s="6">
        <v>12</v>
      </c>
      <c r="AE54" s="8">
        <f t="shared" si="14"/>
        <v>0</v>
      </c>
      <c r="AF54" s="12">
        <f t="shared" si="15"/>
        <v>0</v>
      </c>
      <c r="AG54" s="12">
        <v>14</v>
      </c>
      <c r="AH54" s="12">
        <v>70</v>
      </c>
      <c r="AI54" s="8">
        <f t="shared" si="16"/>
        <v>0</v>
      </c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</row>
    <row r="55" spans="1:49" x14ac:dyDescent="0.25">
      <c r="A55" s="12" t="s">
        <v>139</v>
      </c>
      <c r="B55" s="12" t="s">
        <v>39</v>
      </c>
      <c r="C55" s="12">
        <v>266</v>
      </c>
      <c r="D55" s="12"/>
      <c r="E55" s="12">
        <v>16</v>
      </c>
      <c r="F55" s="12">
        <v>250</v>
      </c>
      <c r="G55" s="6">
        <v>0.18</v>
      </c>
      <c r="H55" s="12">
        <v>180</v>
      </c>
      <c r="I55" s="12" t="s">
        <v>140</v>
      </c>
      <c r="J55" s="12"/>
      <c r="K55" s="12">
        <v>16</v>
      </c>
      <c r="L55" s="12">
        <f t="shared" si="19"/>
        <v>0</v>
      </c>
      <c r="M55" s="12"/>
      <c r="N55" s="12"/>
      <c r="O55" s="12">
        <v>0</v>
      </c>
      <c r="P55" s="12">
        <f t="shared" si="20"/>
        <v>3.2</v>
      </c>
      <c r="Q55" s="4"/>
      <c r="R55" s="4">
        <f t="shared" si="12"/>
        <v>0</v>
      </c>
      <c r="S55" s="12">
        <f t="shared" si="21"/>
        <v>78.125</v>
      </c>
      <c r="T55" s="12">
        <f t="shared" si="22"/>
        <v>78.125</v>
      </c>
      <c r="U55" s="12">
        <v>0.4</v>
      </c>
      <c r="V55" s="12">
        <v>1</v>
      </c>
      <c r="W55" s="12">
        <v>2.8</v>
      </c>
      <c r="X55" s="12">
        <v>5.6</v>
      </c>
      <c r="Y55" s="12">
        <v>0.4</v>
      </c>
      <c r="Z55" s="12">
        <v>0.8</v>
      </c>
      <c r="AA55" s="12">
        <v>20.6</v>
      </c>
      <c r="AB55" s="18" t="s">
        <v>66</v>
      </c>
      <c r="AC55" s="12">
        <f t="shared" si="13"/>
        <v>0</v>
      </c>
      <c r="AD55" s="6">
        <v>6</v>
      </c>
      <c r="AE55" s="8">
        <f t="shared" si="14"/>
        <v>0</v>
      </c>
      <c r="AF55" s="12">
        <f t="shared" si="15"/>
        <v>0</v>
      </c>
      <c r="AG55" s="12">
        <v>14</v>
      </c>
      <c r="AH55" s="12">
        <v>140</v>
      </c>
      <c r="AI55" s="8">
        <f t="shared" si="16"/>
        <v>0</v>
      </c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</row>
    <row r="56" spans="1:49" x14ac:dyDescent="0.25">
      <c r="A56" s="12" t="s">
        <v>141</v>
      </c>
      <c r="B56" s="12" t="s">
        <v>39</v>
      </c>
      <c r="C56" s="12">
        <v>171</v>
      </c>
      <c r="D56" s="12">
        <v>8</v>
      </c>
      <c r="E56" s="12">
        <v>16</v>
      </c>
      <c r="F56" s="12">
        <v>158</v>
      </c>
      <c r="G56" s="6">
        <v>0.18</v>
      </c>
      <c r="H56" s="12">
        <v>180</v>
      </c>
      <c r="I56" s="12" t="s">
        <v>142</v>
      </c>
      <c r="J56" s="12"/>
      <c r="K56" s="12">
        <v>16</v>
      </c>
      <c r="L56" s="12">
        <f t="shared" si="19"/>
        <v>0</v>
      </c>
      <c r="M56" s="12"/>
      <c r="N56" s="12"/>
      <c r="O56" s="12">
        <v>0</v>
      </c>
      <c r="P56" s="12">
        <f t="shared" si="20"/>
        <v>3.2</v>
      </c>
      <c r="Q56" s="4"/>
      <c r="R56" s="4">
        <f t="shared" si="12"/>
        <v>0</v>
      </c>
      <c r="S56" s="12">
        <f t="shared" si="21"/>
        <v>49.375</v>
      </c>
      <c r="T56" s="12">
        <f t="shared" si="22"/>
        <v>49.375</v>
      </c>
      <c r="U56" s="12">
        <v>1.8</v>
      </c>
      <c r="V56" s="12">
        <v>1</v>
      </c>
      <c r="W56" s="12">
        <v>3</v>
      </c>
      <c r="X56" s="12">
        <v>1.4</v>
      </c>
      <c r="Y56" s="12">
        <v>0.6</v>
      </c>
      <c r="Z56" s="12">
        <v>1.2</v>
      </c>
      <c r="AA56" s="12">
        <v>19.600000000000001</v>
      </c>
      <c r="AB56" s="18" t="s">
        <v>66</v>
      </c>
      <c r="AC56" s="12">
        <f t="shared" si="13"/>
        <v>0</v>
      </c>
      <c r="AD56" s="6">
        <v>6</v>
      </c>
      <c r="AE56" s="8">
        <f t="shared" si="14"/>
        <v>0</v>
      </c>
      <c r="AF56" s="12">
        <f t="shared" si="15"/>
        <v>0</v>
      </c>
      <c r="AG56" s="12">
        <v>14</v>
      </c>
      <c r="AH56" s="12">
        <v>140</v>
      </c>
      <c r="AI56" s="8">
        <f t="shared" si="16"/>
        <v>0</v>
      </c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</row>
    <row r="57" spans="1:49" x14ac:dyDescent="0.25">
      <c r="A57" s="12" t="s">
        <v>143</v>
      </c>
      <c r="B57" s="12" t="s">
        <v>39</v>
      </c>
      <c r="C57" s="12">
        <v>17</v>
      </c>
      <c r="D57" s="12">
        <v>5</v>
      </c>
      <c r="E57" s="12">
        <v>12</v>
      </c>
      <c r="F57" s="12">
        <v>1</v>
      </c>
      <c r="G57" s="6">
        <v>0.18</v>
      </c>
      <c r="H57" s="12">
        <v>180</v>
      </c>
      <c r="I57" s="12" t="s">
        <v>144</v>
      </c>
      <c r="J57" s="12"/>
      <c r="K57" s="12">
        <v>12</v>
      </c>
      <c r="L57" s="12">
        <f t="shared" si="19"/>
        <v>0</v>
      </c>
      <c r="M57" s="12"/>
      <c r="N57" s="12"/>
      <c r="O57" s="12">
        <v>0</v>
      </c>
      <c r="P57" s="12">
        <f t="shared" si="20"/>
        <v>2.4</v>
      </c>
      <c r="Q57" s="4">
        <f>IF(P57*$Q$1-O57-F57&lt;0,0,P57*$Q$1-O57-F57)</f>
        <v>47</v>
      </c>
      <c r="R57" s="4">
        <f t="shared" si="12"/>
        <v>84</v>
      </c>
      <c r="S57" s="12">
        <f t="shared" si="21"/>
        <v>35.416666666666671</v>
      </c>
      <c r="T57" s="12">
        <f t="shared" si="22"/>
        <v>0.41666666666666669</v>
      </c>
      <c r="U57" s="12">
        <v>0.4</v>
      </c>
      <c r="V57" s="12">
        <v>1.2</v>
      </c>
      <c r="W57" s="12">
        <v>2.2000000000000002</v>
      </c>
      <c r="X57" s="12">
        <v>2</v>
      </c>
      <c r="Y57" s="12">
        <v>2.6</v>
      </c>
      <c r="Z57" s="12">
        <v>0</v>
      </c>
      <c r="AA57" s="12">
        <v>0</v>
      </c>
      <c r="AB57" s="12"/>
      <c r="AC57" s="12">
        <f t="shared" si="13"/>
        <v>8.4599999999999991</v>
      </c>
      <c r="AD57" s="6">
        <v>6</v>
      </c>
      <c r="AE57" s="8">
        <f t="shared" si="14"/>
        <v>14</v>
      </c>
      <c r="AF57" s="12">
        <f t="shared" si="15"/>
        <v>15.12</v>
      </c>
      <c r="AG57" s="12">
        <v>14</v>
      </c>
      <c r="AH57" s="12">
        <v>140</v>
      </c>
      <c r="AI57" s="8">
        <f t="shared" si="16"/>
        <v>0.1</v>
      </c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</row>
    <row r="58" spans="1:49" x14ac:dyDescent="0.25">
      <c r="A58" s="12" t="s">
        <v>145</v>
      </c>
      <c r="B58" s="12" t="s">
        <v>39</v>
      </c>
      <c r="C58" s="12">
        <v>93</v>
      </c>
      <c r="D58" s="12">
        <v>518</v>
      </c>
      <c r="E58" s="12">
        <v>244</v>
      </c>
      <c r="F58" s="12">
        <v>367</v>
      </c>
      <c r="G58" s="6">
        <v>0.3</v>
      </c>
      <c r="H58" s="12">
        <v>180</v>
      </c>
      <c r="I58" s="12" t="s">
        <v>146</v>
      </c>
      <c r="J58" s="12"/>
      <c r="K58" s="12">
        <v>238</v>
      </c>
      <c r="L58" s="12">
        <f t="shared" si="19"/>
        <v>6</v>
      </c>
      <c r="M58" s="12"/>
      <c r="N58" s="12"/>
      <c r="O58" s="12">
        <v>672</v>
      </c>
      <c r="P58" s="12">
        <f t="shared" si="20"/>
        <v>48.8</v>
      </c>
      <c r="Q58" s="4"/>
      <c r="R58" s="4">
        <f t="shared" si="12"/>
        <v>0</v>
      </c>
      <c r="S58" s="12">
        <f t="shared" si="21"/>
        <v>21.290983606557379</v>
      </c>
      <c r="T58" s="12">
        <f t="shared" si="22"/>
        <v>21.290983606557379</v>
      </c>
      <c r="U58" s="12">
        <v>43.4</v>
      </c>
      <c r="V58" s="12">
        <v>18</v>
      </c>
      <c r="W58" s="12">
        <v>17.399999999999999</v>
      </c>
      <c r="X58" s="12">
        <v>4.8</v>
      </c>
      <c r="Y58" s="12">
        <v>0</v>
      </c>
      <c r="Z58" s="12">
        <v>0</v>
      </c>
      <c r="AA58" s="12">
        <v>42.8</v>
      </c>
      <c r="AB58" s="12"/>
      <c r="AC58" s="12">
        <f t="shared" si="13"/>
        <v>0</v>
      </c>
      <c r="AD58" s="6">
        <v>12</v>
      </c>
      <c r="AE58" s="8">
        <f t="shared" si="14"/>
        <v>0</v>
      </c>
      <c r="AF58" s="12">
        <f t="shared" si="15"/>
        <v>0</v>
      </c>
      <c r="AG58" s="12">
        <v>14</v>
      </c>
      <c r="AH58" s="12">
        <v>70</v>
      </c>
      <c r="AI58" s="8">
        <f t="shared" si="16"/>
        <v>0</v>
      </c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</row>
    <row r="59" spans="1:49" x14ac:dyDescent="0.25">
      <c r="A59" s="12" t="s">
        <v>147</v>
      </c>
      <c r="B59" s="12" t="s">
        <v>39</v>
      </c>
      <c r="C59" s="12">
        <v>808</v>
      </c>
      <c r="D59" s="12">
        <v>579</v>
      </c>
      <c r="E59" s="12">
        <v>324</v>
      </c>
      <c r="F59" s="12">
        <v>1042</v>
      </c>
      <c r="G59" s="6">
        <v>0.3</v>
      </c>
      <c r="H59" s="12">
        <v>180</v>
      </c>
      <c r="I59" s="12" t="s">
        <v>148</v>
      </c>
      <c r="J59" s="12"/>
      <c r="K59" s="12">
        <v>332</v>
      </c>
      <c r="L59" s="12">
        <f t="shared" si="19"/>
        <v>-8</v>
      </c>
      <c r="M59" s="12"/>
      <c r="N59" s="12"/>
      <c r="O59" s="12">
        <v>504</v>
      </c>
      <c r="P59" s="12">
        <f t="shared" si="20"/>
        <v>64.8</v>
      </c>
      <c r="Q59" s="4"/>
      <c r="R59" s="4">
        <f t="shared" si="12"/>
        <v>0</v>
      </c>
      <c r="S59" s="12">
        <f t="shared" si="21"/>
        <v>23.858024691358025</v>
      </c>
      <c r="T59" s="12">
        <f t="shared" si="22"/>
        <v>23.858024691358025</v>
      </c>
      <c r="U59" s="12">
        <v>79.400000000000006</v>
      </c>
      <c r="V59" s="12">
        <v>70.2</v>
      </c>
      <c r="W59" s="12">
        <v>80</v>
      </c>
      <c r="X59" s="12">
        <v>73.400000000000006</v>
      </c>
      <c r="Y59" s="12">
        <v>56.8</v>
      </c>
      <c r="Z59" s="12">
        <v>25.4</v>
      </c>
      <c r="AA59" s="12">
        <v>59</v>
      </c>
      <c r="AB59" s="12"/>
      <c r="AC59" s="12">
        <f t="shared" si="13"/>
        <v>0</v>
      </c>
      <c r="AD59" s="6">
        <v>12</v>
      </c>
      <c r="AE59" s="8">
        <f t="shared" si="14"/>
        <v>0</v>
      </c>
      <c r="AF59" s="12">
        <f t="shared" si="15"/>
        <v>0</v>
      </c>
      <c r="AG59" s="12">
        <v>14</v>
      </c>
      <c r="AH59" s="12">
        <v>70</v>
      </c>
      <c r="AI59" s="8">
        <f t="shared" si="16"/>
        <v>0</v>
      </c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</row>
    <row r="60" spans="1:49" x14ac:dyDescent="0.25">
      <c r="A60" s="12" t="s">
        <v>149</v>
      </c>
      <c r="B60" s="12" t="s">
        <v>39</v>
      </c>
      <c r="C60" s="12">
        <v>13</v>
      </c>
      <c r="D60" s="12">
        <v>3</v>
      </c>
      <c r="E60" s="12">
        <v>16</v>
      </c>
      <c r="F60" s="12"/>
      <c r="G60" s="6">
        <v>0.3</v>
      </c>
      <c r="H60" s="12">
        <v>180</v>
      </c>
      <c r="I60" s="12" t="s">
        <v>150</v>
      </c>
      <c r="J60" s="12"/>
      <c r="K60" s="12">
        <v>16</v>
      </c>
      <c r="L60" s="12">
        <f t="shared" si="19"/>
        <v>0</v>
      </c>
      <c r="M60" s="12"/>
      <c r="N60" s="12"/>
      <c r="O60" s="12">
        <v>196</v>
      </c>
      <c r="P60" s="12">
        <f t="shared" si="20"/>
        <v>3.2</v>
      </c>
      <c r="Q60" s="4"/>
      <c r="R60" s="4">
        <f t="shared" si="12"/>
        <v>0</v>
      </c>
      <c r="S60" s="12">
        <f t="shared" si="21"/>
        <v>61.25</v>
      </c>
      <c r="T60" s="12">
        <f t="shared" si="22"/>
        <v>61.25</v>
      </c>
      <c r="U60" s="12">
        <v>9.8000000000000007</v>
      </c>
      <c r="V60" s="12">
        <v>6.8</v>
      </c>
      <c r="W60" s="12">
        <v>10.199999999999999</v>
      </c>
      <c r="X60" s="12">
        <v>9.8000000000000007</v>
      </c>
      <c r="Y60" s="12">
        <v>7.6</v>
      </c>
      <c r="Z60" s="12">
        <v>10.8</v>
      </c>
      <c r="AA60" s="12">
        <v>10.6</v>
      </c>
      <c r="AB60" s="12"/>
      <c r="AC60" s="12">
        <f t="shared" si="13"/>
        <v>0</v>
      </c>
      <c r="AD60" s="6">
        <v>14</v>
      </c>
      <c r="AE60" s="8">
        <f t="shared" si="14"/>
        <v>0</v>
      </c>
      <c r="AF60" s="12">
        <f t="shared" si="15"/>
        <v>0</v>
      </c>
      <c r="AG60" s="12">
        <v>14</v>
      </c>
      <c r="AH60" s="12">
        <v>70</v>
      </c>
      <c r="AI60" s="8">
        <f t="shared" si="16"/>
        <v>0</v>
      </c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</row>
    <row r="61" spans="1:49" x14ac:dyDescent="0.25">
      <c r="A61" s="12" t="s">
        <v>151</v>
      </c>
      <c r="B61" s="12" t="s">
        <v>39</v>
      </c>
      <c r="C61" s="12">
        <v>2079</v>
      </c>
      <c r="D61" s="12">
        <v>83</v>
      </c>
      <c r="E61" s="12">
        <v>522</v>
      </c>
      <c r="F61" s="12">
        <v>1519</v>
      </c>
      <c r="G61" s="6">
        <v>0.25</v>
      </c>
      <c r="H61" s="12">
        <v>180</v>
      </c>
      <c r="I61" s="12" t="s">
        <v>152</v>
      </c>
      <c r="J61" s="12"/>
      <c r="K61" s="12">
        <v>516</v>
      </c>
      <c r="L61" s="12">
        <f t="shared" si="19"/>
        <v>6</v>
      </c>
      <c r="M61" s="12"/>
      <c r="N61" s="12"/>
      <c r="O61" s="12">
        <v>0</v>
      </c>
      <c r="P61" s="12">
        <f t="shared" si="20"/>
        <v>104.4</v>
      </c>
      <c r="Q61" s="4">
        <f t="shared" ref="Q61:Q63" si="25">IF(P61*$Q$1-O61-F61&lt;0,0,P61*$Q$1-O61-F61)</f>
        <v>569</v>
      </c>
      <c r="R61" s="4">
        <f t="shared" si="12"/>
        <v>504</v>
      </c>
      <c r="S61" s="12">
        <f t="shared" si="21"/>
        <v>19.377394636015325</v>
      </c>
      <c r="T61" s="12">
        <f t="shared" si="22"/>
        <v>14.549808429118773</v>
      </c>
      <c r="U61" s="12">
        <v>91</v>
      </c>
      <c r="V61" s="12">
        <v>106.8</v>
      </c>
      <c r="W61" s="12">
        <v>147</v>
      </c>
      <c r="X61" s="12">
        <v>129.6</v>
      </c>
      <c r="Y61" s="12">
        <v>22.2</v>
      </c>
      <c r="Z61" s="12">
        <v>0</v>
      </c>
      <c r="AA61" s="12">
        <v>54</v>
      </c>
      <c r="AB61" s="12"/>
      <c r="AC61" s="12">
        <f t="shared" si="13"/>
        <v>142.25</v>
      </c>
      <c r="AD61" s="6">
        <v>12</v>
      </c>
      <c r="AE61" s="8">
        <f t="shared" si="14"/>
        <v>42</v>
      </c>
      <c r="AF61" s="12">
        <f t="shared" si="15"/>
        <v>126</v>
      </c>
      <c r="AG61" s="12">
        <v>14</v>
      </c>
      <c r="AH61" s="12">
        <v>70</v>
      </c>
      <c r="AI61" s="8">
        <f t="shared" si="16"/>
        <v>0.6</v>
      </c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</row>
    <row r="62" spans="1:49" x14ac:dyDescent="0.25">
      <c r="A62" s="12" t="s">
        <v>45</v>
      </c>
      <c r="B62" s="12" t="s">
        <v>39</v>
      </c>
      <c r="C62" s="12">
        <v>1033</v>
      </c>
      <c r="D62" s="12">
        <v>188</v>
      </c>
      <c r="E62" s="19">
        <f>557+E8</f>
        <v>570</v>
      </c>
      <c r="F62" s="19">
        <f>629+F8</f>
        <v>744</v>
      </c>
      <c r="G62" s="6">
        <v>0.25</v>
      </c>
      <c r="H62" s="12">
        <v>180</v>
      </c>
      <c r="I62" s="12" t="s">
        <v>153</v>
      </c>
      <c r="J62" s="12"/>
      <c r="K62" s="12">
        <v>559</v>
      </c>
      <c r="L62" s="12">
        <f t="shared" si="19"/>
        <v>11</v>
      </c>
      <c r="M62" s="12"/>
      <c r="N62" s="12"/>
      <c r="O62" s="12">
        <v>1008</v>
      </c>
      <c r="P62" s="12">
        <f t="shared" si="20"/>
        <v>114</v>
      </c>
      <c r="Q62" s="4">
        <f t="shared" si="25"/>
        <v>528</v>
      </c>
      <c r="R62" s="4">
        <f t="shared" si="12"/>
        <v>504</v>
      </c>
      <c r="S62" s="12">
        <f t="shared" si="21"/>
        <v>19.789473684210527</v>
      </c>
      <c r="T62" s="12">
        <f t="shared" si="22"/>
        <v>15.368421052631579</v>
      </c>
      <c r="U62" s="12">
        <v>128</v>
      </c>
      <c r="V62" s="12">
        <v>125.8</v>
      </c>
      <c r="W62" s="12">
        <v>120.8</v>
      </c>
      <c r="X62" s="12">
        <v>105.6</v>
      </c>
      <c r="Y62" s="12">
        <v>12</v>
      </c>
      <c r="Z62" s="12">
        <v>0</v>
      </c>
      <c r="AA62" s="12">
        <v>55</v>
      </c>
      <c r="AB62" s="12"/>
      <c r="AC62" s="12">
        <f t="shared" si="13"/>
        <v>132</v>
      </c>
      <c r="AD62" s="6">
        <v>12</v>
      </c>
      <c r="AE62" s="8">
        <f t="shared" si="14"/>
        <v>42</v>
      </c>
      <c r="AF62" s="12">
        <f t="shared" si="15"/>
        <v>126</v>
      </c>
      <c r="AG62" s="12">
        <v>14</v>
      </c>
      <c r="AH62" s="12">
        <v>70</v>
      </c>
      <c r="AI62" s="8">
        <f t="shared" si="16"/>
        <v>0.6</v>
      </c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</row>
    <row r="63" spans="1:49" x14ac:dyDescent="0.25">
      <c r="A63" s="12" t="s">
        <v>154</v>
      </c>
      <c r="B63" s="12" t="s">
        <v>39</v>
      </c>
      <c r="C63" s="12">
        <v>369</v>
      </c>
      <c r="D63" s="12">
        <v>29</v>
      </c>
      <c r="E63" s="12">
        <v>79</v>
      </c>
      <c r="F63" s="12">
        <v>315</v>
      </c>
      <c r="G63" s="6">
        <v>0.2</v>
      </c>
      <c r="H63" s="12">
        <v>365</v>
      </c>
      <c r="I63" s="12" t="s">
        <v>155</v>
      </c>
      <c r="J63" s="12"/>
      <c r="K63" s="12">
        <v>79</v>
      </c>
      <c r="L63" s="12">
        <f t="shared" si="19"/>
        <v>0</v>
      </c>
      <c r="M63" s="12"/>
      <c r="N63" s="12"/>
      <c r="O63" s="12">
        <v>0</v>
      </c>
      <c r="P63" s="12">
        <f t="shared" si="20"/>
        <v>15.8</v>
      </c>
      <c r="Q63" s="4">
        <f t="shared" si="25"/>
        <v>1</v>
      </c>
      <c r="R63" s="4">
        <f t="shared" si="12"/>
        <v>0</v>
      </c>
      <c r="S63" s="12">
        <f t="shared" si="21"/>
        <v>19.936708860759492</v>
      </c>
      <c r="T63" s="12">
        <f t="shared" si="22"/>
        <v>19.936708860759492</v>
      </c>
      <c r="U63" s="12">
        <v>15.8</v>
      </c>
      <c r="V63" s="12">
        <v>17</v>
      </c>
      <c r="W63" s="12">
        <v>32.200000000000003</v>
      </c>
      <c r="X63" s="12">
        <v>30</v>
      </c>
      <c r="Y63" s="12">
        <v>8.6</v>
      </c>
      <c r="Z63" s="12">
        <v>0</v>
      </c>
      <c r="AA63" s="12">
        <v>20</v>
      </c>
      <c r="AB63" s="12"/>
      <c r="AC63" s="12">
        <f t="shared" si="13"/>
        <v>0.2</v>
      </c>
      <c r="AD63" s="6">
        <v>6</v>
      </c>
      <c r="AE63" s="8">
        <f t="shared" si="14"/>
        <v>0</v>
      </c>
      <c r="AF63" s="12">
        <f t="shared" si="15"/>
        <v>0</v>
      </c>
      <c r="AG63" s="12">
        <v>14</v>
      </c>
      <c r="AH63" s="12">
        <v>140</v>
      </c>
      <c r="AI63" s="8">
        <f t="shared" si="16"/>
        <v>0</v>
      </c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</row>
    <row r="64" spans="1:49" x14ac:dyDescent="0.25">
      <c r="A64" s="12" t="s">
        <v>156</v>
      </c>
      <c r="B64" s="12" t="s">
        <v>39</v>
      </c>
      <c r="C64" s="12">
        <v>691</v>
      </c>
      <c r="D64" s="12">
        <v>142</v>
      </c>
      <c r="E64" s="12">
        <v>198</v>
      </c>
      <c r="F64" s="12">
        <v>555</v>
      </c>
      <c r="G64" s="6">
        <v>0.23</v>
      </c>
      <c r="H64" s="12">
        <v>180</v>
      </c>
      <c r="I64" s="12" t="s">
        <v>157</v>
      </c>
      <c r="J64" s="12"/>
      <c r="K64" s="12">
        <v>197</v>
      </c>
      <c r="L64" s="12">
        <f t="shared" si="19"/>
        <v>1</v>
      </c>
      <c r="M64" s="12"/>
      <c r="N64" s="12"/>
      <c r="O64" s="12">
        <v>252</v>
      </c>
      <c r="P64" s="12">
        <f t="shared" si="20"/>
        <v>39.6</v>
      </c>
      <c r="Q64" s="4"/>
      <c r="R64" s="4">
        <f t="shared" si="12"/>
        <v>0</v>
      </c>
      <c r="S64" s="12">
        <f t="shared" si="21"/>
        <v>20.378787878787879</v>
      </c>
      <c r="T64" s="12">
        <f t="shared" si="22"/>
        <v>20.378787878787879</v>
      </c>
      <c r="U64" s="12">
        <v>54.8</v>
      </c>
      <c r="V64" s="12">
        <v>24.8</v>
      </c>
      <c r="W64" s="12">
        <v>36</v>
      </c>
      <c r="X64" s="12">
        <v>77.8</v>
      </c>
      <c r="Y64" s="12">
        <v>7.6</v>
      </c>
      <c r="Z64" s="12">
        <v>0</v>
      </c>
      <c r="AA64" s="12">
        <v>40.6</v>
      </c>
      <c r="AB64" s="12"/>
      <c r="AC64" s="12">
        <f t="shared" si="13"/>
        <v>0</v>
      </c>
      <c r="AD64" s="6">
        <v>6</v>
      </c>
      <c r="AE64" s="8">
        <f t="shared" si="14"/>
        <v>0</v>
      </c>
      <c r="AF64" s="12">
        <f t="shared" si="15"/>
        <v>0</v>
      </c>
      <c r="AG64" s="12">
        <v>14</v>
      </c>
      <c r="AH64" s="12">
        <v>140</v>
      </c>
      <c r="AI64" s="8">
        <f t="shared" si="16"/>
        <v>0</v>
      </c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</row>
    <row r="65" spans="1:49" x14ac:dyDescent="0.25">
      <c r="A65" s="12" t="s">
        <v>158</v>
      </c>
      <c r="B65" s="12" t="s">
        <v>72</v>
      </c>
      <c r="C65" s="12">
        <v>196.6</v>
      </c>
      <c r="D65" s="12">
        <v>8.6</v>
      </c>
      <c r="E65" s="12">
        <v>43.2</v>
      </c>
      <c r="F65" s="12">
        <v>159.30000000000001</v>
      </c>
      <c r="G65" s="6">
        <v>1</v>
      </c>
      <c r="H65" s="12">
        <v>180</v>
      </c>
      <c r="I65" s="12" t="s">
        <v>159</v>
      </c>
      <c r="J65" s="12"/>
      <c r="K65" s="12">
        <v>43.2</v>
      </c>
      <c r="L65" s="12">
        <f t="shared" si="19"/>
        <v>0</v>
      </c>
      <c r="M65" s="12"/>
      <c r="N65" s="12"/>
      <c r="O65" s="12">
        <v>226.8</v>
      </c>
      <c r="P65" s="12">
        <f t="shared" si="20"/>
        <v>8.64</v>
      </c>
      <c r="Q65" s="4"/>
      <c r="R65" s="4">
        <f t="shared" si="12"/>
        <v>0</v>
      </c>
      <c r="S65" s="12">
        <f t="shared" si="21"/>
        <v>44.6875</v>
      </c>
      <c r="T65" s="12">
        <f t="shared" si="22"/>
        <v>44.6875</v>
      </c>
      <c r="U65" s="12">
        <v>23.86</v>
      </c>
      <c r="V65" s="12">
        <v>12.42</v>
      </c>
      <c r="W65" s="12">
        <v>0.54</v>
      </c>
      <c r="X65" s="12">
        <v>11.34</v>
      </c>
      <c r="Y65" s="12">
        <v>0</v>
      </c>
      <c r="Z65" s="12">
        <v>0</v>
      </c>
      <c r="AA65" s="12">
        <v>0</v>
      </c>
      <c r="AB65" s="17" t="s">
        <v>52</v>
      </c>
      <c r="AC65" s="12">
        <f t="shared" si="13"/>
        <v>0</v>
      </c>
      <c r="AD65" s="6">
        <v>2.7</v>
      </c>
      <c r="AE65" s="8">
        <f t="shared" si="14"/>
        <v>0</v>
      </c>
      <c r="AF65" s="12">
        <f t="shared" si="15"/>
        <v>0</v>
      </c>
      <c r="AG65" s="12">
        <v>14</v>
      </c>
      <c r="AH65" s="12">
        <v>126</v>
      </c>
      <c r="AI65" s="8">
        <f t="shared" si="16"/>
        <v>0</v>
      </c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</row>
    <row r="66" spans="1:49" x14ac:dyDescent="0.25">
      <c r="A66" s="12" t="s">
        <v>160</v>
      </c>
      <c r="B66" s="12" t="s">
        <v>72</v>
      </c>
      <c r="C66" s="12">
        <v>-23</v>
      </c>
      <c r="D66" s="12">
        <v>50</v>
      </c>
      <c r="E66" s="19">
        <f>0+E67</f>
        <v>425</v>
      </c>
      <c r="F66" s="19">
        <f>0+F67</f>
        <v>820</v>
      </c>
      <c r="G66" s="6">
        <v>1</v>
      </c>
      <c r="H66" s="12"/>
      <c r="I66" s="12" t="s">
        <v>161</v>
      </c>
      <c r="J66" s="12"/>
      <c r="K66" s="12"/>
      <c r="L66" s="12">
        <f t="shared" si="19"/>
        <v>425</v>
      </c>
      <c r="M66" s="12"/>
      <c r="N66" s="12"/>
      <c r="O66" s="12">
        <v>0</v>
      </c>
      <c r="P66" s="12">
        <f t="shared" si="20"/>
        <v>85</v>
      </c>
      <c r="Q66" s="4">
        <f>IF(P66*$Q$1-O66-F66&lt;0,0,P66*$Q$1-O66-F66)</f>
        <v>880</v>
      </c>
      <c r="R66" s="4">
        <f t="shared" si="12"/>
        <v>900</v>
      </c>
      <c r="S66" s="12">
        <f t="shared" si="21"/>
        <v>20.235294117647058</v>
      </c>
      <c r="T66" s="12">
        <f t="shared" si="22"/>
        <v>9.6470588235294112</v>
      </c>
      <c r="U66" s="12">
        <v>44.989999999999988</v>
      </c>
      <c r="V66" s="12">
        <v>108</v>
      </c>
      <c r="W66" s="12">
        <v>85.6</v>
      </c>
      <c r="X66" s="12">
        <v>12</v>
      </c>
      <c r="Y66" s="12">
        <v>28</v>
      </c>
      <c r="Z66" s="12">
        <v>0</v>
      </c>
      <c r="AA66" s="12">
        <v>0</v>
      </c>
      <c r="AB66" s="12"/>
      <c r="AC66" s="12">
        <f t="shared" si="13"/>
        <v>880</v>
      </c>
      <c r="AD66" s="6">
        <v>5</v>
      </c>
      <c r="AE66" s="8">
        <f t="shared" si="14"/>
        <v>180</v>
      </c>
      <c r="AF66" s="12">
        <f t="shared" si="15"/>
        <v>900</v>
      </c>
      <c r="AG66" s="12">
        <v>12</v>
      </c>
      <c r="AH66" s="12">
        <v>84</v>
      </c>
      <c r="AI66" s="8">
        <f t="shared" si="16"/>
        <v>2.1428571428571428</v>
      </c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</row>
    <row r="67" spans="1:49" x14ac:dyDescent="0.25">
      <c r="A67" s="13" t="s">
        <v>162</v>
      </c>
      <c r="B67" s="13" t="s">
        <v>72</v>
      </c>
      <c r="C67" s="13">
        <v>1239</v>
      </c>
      <c r="D67" s="13">
        <v>6</v>
      </c>
      <c r="E67" s="19">
        <v>425</v>
      </c>
      <c r="F67" s="19">
        <v>820</v>
      </c>
      <c r="G67" s="14">
        <v>0</v>
      </c>
      <c r="H67" s="13"/>
      <c r="I67" s="13" t="s">
        <v>75</v>
      </c>
      <c r="J67" s="13" t="s">
        <v>160</v>
      </c>
      <c r="K67" s="13">
        <v>425</v>
      </c>
      <c r="L67" s="13">
        <f t="shared" si="19"/>
        <v>0</v>
      </c>
      <c r="M67" s="13"/>
      <c r="N67" s="13"/>
      <c r="O67" s="13"/>
      <c r="P67" s="13">
        <f t="shared" si="20"/>
        <v>85</v>
      </c>
      <c r="Q67" s="15"/>
      <c r="R67" s="15"/>
      <c r="S67" s="13">
        <f t="shared" si="21"/>
        <v>9.6470588235294112</v>
      </c>
      <c r="T67" s="13">
        <f t="shared" si="22"/>
        <v>9.6470588235294112</v>
      </c>
      <c r="U67" s="13">
        <v>37.989999999999988</v>
      </c>
      <c r="V67" s="13">
        <v>39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/>
      <c r="AC67" s="13"/>
      <c r="AD67" s="14"/>
      <c r="AE67" s="16"/>
      <c r="AF67" s="13"/>
      <c r="AG67" s="13"/>
      <c r="AH67" s="13"/>
      <c r="AI67" s="16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</row>
    <row r="68" spans="1:49" x14ac:dyDescent="0.25">
      <c r="A68" s="12"/>
      <c r="B68" s="12"/>
      <c r="C68" s="12"/>
      <c r="D68" s="12"/>
      <c r="E68" s="12"/>
      <c r="F68" s="12"/>
      <c r="G68" s="6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6"/>
      <c r="AE68" s="8"/>
      <c r="AF68" s="12"/>
      <c r="AG68" s="12"/>
      <c r="AH68" s="12"/>
      <c r="AI68" s="8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</row>
    <row r="69" spans="1:49" x14ac:dyDescent="0.25">
      <c r="A69" s="12"/>
      <c r="B69" s="12"/>
      <c r="C69" s="12"/>
      <c r="D69" s="12"/>
      <c r="E69" s="12"/>
      <c r="F69" s="12"/>
      <c r="G69" s="6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6"/>
      <c r="AE69" s="8"/>
      <c r="AF69" s="12"/>
      <c r="AG69" s="12"/>
      <c r="AH69" s="12"/>
      <c r="AI69" s="8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</row>
    <row r="70" spans="1:49" x14ac:dyDescent="0.25">
      <c r="A70" s="12"/>
      <c r="B70" s="12"/>
      <c r="C70" s="12"/>
      <c r="D70" s="12"/>
      <c r="E70" s="12"/>
      <c r="F70" s="12"/>
      <c r="G70" s="6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6"/>
      <c r="AE70" s="8"/>
      <c r="AF70" s="12"/>
      <c r="AG70" s="12"/>
      <c r="AH70" s="12"/>
      <c r="AI70" s="8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</row>
    <row r="71" spans="1:49" x14ac:dyDescent="0.25">
      <c r="A71" s="12"/>
      <c r="B71" s="12"/>
      <c r="C71" s="12"/>
      <c r="D71" s="12"/>
      <c r="E71" s="12"/>
      <c r="F71" s="12"/>
      <c r="G71" s="6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6"/>
      <c r="AE71" s="8"/>
      <c r="AF71" s="12"/>
      <c r="AG71" s="12"/>
      <c r="AH71" s="12"/>
      <c r="AI71" s="8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</row>
    <row r="72" spans="1:49" x14ac:dyDescent="0.25">
      <c r="A72" s="12"/>
      <c r="B72" s="12"/>
      <c r="C72" s="12"/>
      <c r="D72" s="12"/>
      <c r="E72" s="12"/>
      <c r="F72" s="12"/>
      <c r="G72" s="6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6"/>
      <c r="AE72" s="8"/>
      <c r="AF72" s="12"/>
      <c r="AG72" s="12"/>
      <c r="AH72" s="12"/>
      <c r="AI72" s="8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</row>
    <row r="73" spans="1:49" x14ac:dyDescent="0.25">
      <c r="A73" s="12"/>
      <c r="B73" s="12"/>
      <c r="C73" s="12"/>
      <c r="D73" s="12"/>
      <c r="E73" s="12"/>
      <c r="F73" s="12"/>
      <c r="G73" s="6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6"/>
      <c r="AE73" s="8"/>
      <c r="AF73" s="12"/>
      <c r="AG73" s="12"/>
      <c r="AH73" s="12"/>
      <c r="AI73" s="8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</row>
    <row r="74" spans="1:49" x14ac:dyDescent="0.25">
      <c r="A74" s="12"/>
      <c r="B74" s="12"/>
      <c r="C74" s="12"/>
      <c r="D74" s="12"/>
      <c r="E74" s="12"/>
      <c r="F74" s="12"/>
      <c r="G74" s="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6"/>
      <c r="AE74" s="8"/>
      <c r="AF74" s="12"/>
      <c r="AG74" s="12"/>
      <c r="AH74" s="12"/>
      <c r="AI74" s="8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</row>
    <row r="75" spans="1:49" x14ac:dyDescent="0.25">
      <c r="A75" s="12"/>
      <c r="B75" s="12"/>
      <c r="C75" s="12"/>
      <c r="D75" s="12"/>
      <c r="E75" s="12"/>
      <c r="F75" s="12"/>
      <c r="G75" s="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6"/>
      <c r="AE75" s="8"/>
      <c r="AF75" s="12"/>
      <c r="AG75" s="12"/>
      <c r="AH75" s="12"/>
      <c r="AI75" s="8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</row>
    <row r="76" spans="1:49" x14ac:dyDescent="0.25">
      <c r="A76" s="12"/>
      <c r="B76" s="12"/>
      <c r="C76" s="12"/>
      <c r="D76" s="12"/>
      <c r="E76" s="12"/>
      <c r="F76" s="12"/>
      <c r="G76" s="6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6"/>
      <c r="AE76" s="8"/>
      <c r="AF76" s="12"/>
      <c r="AG76" s="12"/>
      <c r="AH76" s="12"/>
      <c r="AI76" s="8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</row>
    <row r="77" spans="1:49" x14ac:dyDescent="0.25">
      <c r="A77" s="12"/>
      <c r="B77" s="12"/>
      <c r="C77" s="12"/>
      <c r="D77" s="12"/>
      <c r="E77" s="12"/>
      <c r="F77" s="12"/>
      <c r="G77" s="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6"/>
      <c r="AE77" s="8"/>
      <c r="AF77" s="12"/>
      <c r="AG77" s="12"/>
      <c r="AH77" s="12"/>
      <c r="AI77" s="8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</row>
    <row r="78" spans="1:49" x14ac:dyDescent="0.25">
      <c r="A78" s="12"/>
      <c r="B78" s="12"/>
      <c r="C78" s="12"/>
      <c r="D78" s="12"/>
      <c r="E78" s="12"/>
      <c r="F78" s="12"/>
      <c r="G78" s="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6"/>
      <c r="AE78" s="8"/>
      <c r="AF78" s="12"/>
      <c r="AG78" s="12"/>
      <c r="AH78" s="12"/>
      <c r="AI78" s="8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</row>
    <row r="79" spans="1:49" x14ac:dyDescent="0.25">
      <c r="A79" s="12"/>
      <c r="B79" s="12"/>
      <c r="C79" s="12"/>
      <c r="D79" s="12"/>
      <c r="E79" s="12"/>
      <c r="F79" s="12"/>
      <c r="G79" s="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6"/>
      <c r="AE79" s="8"/>
      <c r="AF79" s="12"/>
      <c r="AG79" s="12"/>
      <c r="AH79" s="12"/>
      <c r="AI79" s="8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</row>
    <row r="80" spans="1:49" x14ac:dyDescent="0.25">
      <c r="A80" s="12"/>
      <c r="B80" s="12"/>
      <c r="C80" s="12"/>
      <c r="D80" s="12"/>
      <c r="E80" s="12"/>
      <c r="F80" s="12"/>
      <c r="G80" s="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6"/>
      <c r="AE80" s="8"/>
      <c r="AF80" s="12"/>
      <c r="AG80" s="12"/>
      <c r="AH80" s="12"/>
      <c r="AI80" s="8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</row>
    <row r="81" spans="1:49" x14ac:dyDescent="0.25">
      <c r="A81" s="12"/>
      <c r="B81" s="12"/>
      <c r="C81" s="12"/>
      <c r="D81" s="12"/>
      <c r="E81" s="12"/>
      <c r="F81" s="12"/>
      <c r="G81" s="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6"/>
      <c r="AE81" s="8"/>
      <c r="AF81" s="12"/>
      <c r="AG81" s="12"/>
      <c r="AH81" s="12"/>
      <c r="AI81" s="8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</row>
    <row r="82" spans="1:49" x14ac:dyDescent="0.25">
      <c r="A82" s="12"/>
      <c r="B82" s="12"/>
      <c r="C82" s="12"/>
      <c r="D82" s="12"/>
      <c r="E82" s="12"/>
      <c r="F82" s="12"/>
      <c r="G82" s="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6"/>
      <c r="AE82" s="8"/>
      <c r="AF82" s="12"/>
      <c r="AG82" s="12"/>
      <c r="AH82" s="12"/>
      <c r="AI82" s="8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</row>
    <row r="83" spans="1:49" x14ac:dyDescent="0.25">
      <c r="A83" s="12"/>
      <c r="B83" s="12"/>
      <c r="C83" s="12"/>
      <c r="D83" s="12"/>
      <c r="E83" s="12"/>
      <c r="F83" s="12"/>
      <c r="G83" s="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6"/>
      <c r="AE83" s="8"/>
      <c r="AF83" s="12"/>
      <c r="AG83" s="12"/>
      <c r="AH83" s="12"/>
      <c r="AI83" s="8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</row>
    <row r="84" spans="1:49" x14ac:dyDescent="0.25">
      <c r="A84" s="12"/>
      <c r="B84" s="12"/>
      <c r="C84" s="12"/>
      <c r="D84" s="12"/>
      <c r="E84" s="12"/>
      <c r="F84" s="12"/>
      <c r="G84" s="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6"/>
      <c r="AE84" s="8"/>
      <c r="AF84" s="12"/>
      <c r="AG84" s="12"/>
      <c r="AH84" s="12"/>
      <c r="AI84" s="8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</row>
    <row r="85" spans="1:49" x14ac:dyDescent="0.25">
      <c r="A85" s="12"/>
      <c r="B85" s="12"/>
      <c r="C85" s="12"/>
      <c r="D85" s="12"/>
      <c r="E85" s="12"/>
      <c r="F85" s="12"/>
      <c r="G85" s="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6"/>
      <c r="AE85" s="8"/>
      <c r="AF85" s="12"/>
      <c r="AG85" s="12"/>
      <c r="AH85" s="12"/>
      <c r="AI85" s="8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</row>
    <row r="86" spans="1:49" x14ac:dyDescent="0.25">
      <c r="A86" s="12"/>
      <c r="B86" s="12"/>
      <c r="C86" s="12"/>
      <c r="D86" s="12"/>
      <c r="E86" s="12"/>
      <c r="F86" s="12"/>
      <c r="G86" s="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6"/>
      <c r="AE86" s="8"/>
      <c r="AF86" s="12"/>
      <c r="AG86" s="12"/>
      <c r="AH86" s="12"/>
      <c r="AI86" s="8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</row>
    <row r="87" spans="1:49" x14ac:dyDescent="0.25">
      <c r="A87" s="12"/>
      <c r="B87" s="12"/>
      <c r="C87" s="12"/>
      <c r="D87" s="12"/>
      <c r="E87" s="12"/>
      <c r="F87" s="12"/>
      <c r="G87" s="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6"/>
      <c r="AE87" s="8"/>
      <c r="AF87" s="12"/>
      <c r="AG87" s="12"/>
      <c r="AH87" s="12"/>
      <c r="AI87" s="8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</row>
    <row r="88" spans="1:49" x14ac:dyDescent="0.25">
      <c r="A88" s="12"/>
      <c r="B88" s="12"/>
      <c r="C88" s="12"/>
      <c r="D88" s="12"/>
      <c r="E88" s="12"/>
      <c r="F88" s="12"/>
      <c r="G88" s="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6"/>
      <c r="AE88" s="8"/>
      <c r="AF88" s="12"/>
      <c r="AG88" s="12"/>
      <c r="AH88" s="12"/>
      <c r="AI88" s="8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</row>
    <row r="89" spans="1:49" x14ac:dyDescent="0.25">
      <c r="A89" s="12"/>
      <c r="B89" s="12"/>
      <c r="C89" s="12"/>
      <c r="D89" s="12"/>
      <c r="E89" s="12"/>
      <c r="F89" s="12"/>
      <c r="G89" s="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6"/>
      <c r="AE89" s="8"/>
      <c r="AF89" s="12"/>
      <c r="AG89" s="12"/>
      <c r="AH89" s="12"/>
      <c r="AI89" s="8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</row>
    <row r="90" spans="1:49" x14ac:dyDescent="0.25">
      <c r="A90" s="12"/>
      <c r="B90" s="12"/>
      <c r="C90" s="12"/>
      <c r="D90" s="12"/>
      <c r="E90" s="12"/>
      <c r="F90" s="12"/>
      <c r="G90" s="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6"/>
      <c r="AE90" s="8"/>
      <c r="AF90" s="12"/>
      <c r="AG90" s="12"/>
      <c r="AH90" s="12"/>
      <c r="AI90" s="8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</row>
    <row r="91" spans="1:49" x14ac:dyDescent="0.25">
      <c r="A91" s="12"/>
      <c r="B91" s="12"/>
      <c r="C91" s="12"/>
      <c r="D91" s="12"/>
      <c r="E91" s="12"/>
      <c r="F91" s="12"/>
      <c r="G91" s="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6"/>
      <c r="AE91" s="8"/>
      <c r="AF91" s="12"/>
      <c r="AG91" s="12"/>
      <c r="AH91" s="12"/>
      <c r="AI91" s="8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</row>
    <row r="92" spans="1:49" x14ac:dyDescent="0.25">
      <c r="A92" s="12"/>
      <c r="B92" s="12"/>
      <c r="C92" s="12"/>
      <c r="D92" s="12"/>
      <c r="E92" s="12"/>
      <c r="F92" s="12"/>
      <c r="G92" s="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6"/>
      <c r="AE92" s="8"/>
      <c r="AF92" s="12"/>
      <c r="AG92" s="12"/>
      <c r="AH92" s="12"/>
      <c r="AI92" s="8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</row>
    <row r="93" spans="1:49" x14ac:dyDescent="0.25">
      <c r="A93" s="12"/>
      <c r="B93" s="12"/>
      <c r="C93" s="12"/>
      <c r="D93" s="12"/>
      <c r="E93" s="12"/>
      <c r="F93" s="12"/>
      <c r="G93" s="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6"/>
      <c r="AE93" s="8"/>
      <c r="AF93" s="12"/>
      <c r="AG93" s="12"/>
      <c r="AH93" s="12"/>
      <c r="AI93" s="8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</row>
    <row r="94" spans="1:49" x14ac:dyDescent="0.25">
      <c r="A94" s="12"/>
      <c r="B94" s="12"/>
      <c r="C94" s="12"/>
      <c r="D94" s="12"/>
      <c r="E94" s="12"/>
      <c r="F94" s="12"/>
      <c r="G94" s="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6"/>
      <c r="AE94" s="8"/>
      <c r="AF94" s="12"/>
      <c r="AG94" s="12"/>
      <c r="AH94" s="12"/>
      <c r="AI94" s="8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</row>
    <row r="95" spans="1:49" x14ac:dyDescent="0.25">
      <c r="A95" s="12"/>
      <c r="B95" s="12"/>
      <c r="C95" s="12"/>
      <c r="D95" s="12"/>
      <c r="E95" s="12"/>
      <c r="F95" s="12"/>
      <c r="G95" s="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6"/>
      <c r="AE95" s="8"/>
      <c r="AF95" s="12"/>
      <c r="AG95" s="12"/>
      <c r="AH95" s="12"/>
      <c r="AI95" s="8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</row>
    <row r="96" spans="1:49" x14ac:dyDescent="0.25">
      <c r="A96" s="12"/>
      <c r="B96" s="12"/>
      <c r="C96" s="12"/>
      <c r="D96" s="12"/>
      <c r="E96" s="12"/>
      <c r="F96" s="12"/>
      <c r="G96" s="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6"/>
      <c r="AE96" s="8"/>
      <c r="AF96" s="12"/>
      <c r="AG96" s="12"/>
      <c r="AH96" s="12"/>
      <c r="AI96" s="8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</row>
    <row r="97" spans="1:49" x14ac:dyDescent="0.25">
      <c r="A97" s="12"/>
      <c r="B97" s="12"/>
      <c r="C97" s="12"/>
      <c r="D97" s="12"/>
      <c r="E97" s="12"/>
      <c r="F97" s="12"/>
      <c r="G97" s="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6"/>
      <c r="AE97" s="8"/>
      <c r="AF97" s="12"/>
      <c r="AG97" s="12"/>
      <c r="AH97" s="12"/>
      <c r="AI97" s="8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</row>
    <row r="98" spans="1:49" x14ac:dyDescent="0.25">
      <c r="A98" s="12"/>
      <c r="B98" s="12"/>
      <c r="C98" s="12"/>
      <c r="D98" s="12"/>
      <c r="E98" s="12"/>
      <c r="F98" s="12"/>
      <c r="G98" s="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6"/>
      <c r="AE98" s="8"/>
      <c r="AF98" s="12"/>
      <c r="AG98" s="12"/>
      <c r="AH98" s="12"/>
      <c r="AI98" s="8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</row>
    <row r="99" spans="1:49" x14ac:dyDescent="0.25">
      <c r="A99" s="12"/>
      <c r="B99" s="12"/>
      <c r="C99" s="12"/>
      <c r="D99" s="12"/>
      <c r="E99" s="12"/>
      <c r="F99" s="12"/>
      <c r="G99" s="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6"/>
      <c r="AE99" s="8"/>
      <c r="AF99" s="12"/>
      <c r="AG99" s="12"/>
      <c r="AH99" s="12"/>
      <c r="AI99" s="8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</row>
    <row r="100" spans="1:49" x14ac:dyDescent="0.25">
      <c r="A100" s="12"/>
      <c r="B100" s="12"/>
      <c r="C100" s="12"/>
      <c r="D100" s="12"/>
      <c r="E100" s="12"/>
      <c r="F100" s="12"/>
      <c r="G100" s="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6"/>
      <c r="AE100" s="8"/>
      <c r="AF100" s="12"/>
      <c r="AG100" s="12"/>
      <c r="AH100" s="12"/>
      <c r="AI100" s="8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</row>
    <row r="101" spans="1:49" x14ac:dyDescent="0.25">
      <c r="A101" s="12"/>
      <c r="B101" s="12"/>
      <c r="C101" s="12"/>
      <c r="D101" s="12"/>
      <c r="E101" s="12"/>
      <c r="F101" s="12"/>
      <c r="G101" s="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6"/>
      <c r="AE101" s="8"/>
      <c r="AF101" s="12"/>
      <c r="AG101" s="12"/>
      <c r="AH101" s="12"/>
      <c r="AI101" s="8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</row>
    <row r="102" spans="1:49" x14ac:dyDescent="0.25">
      <c r="A102" s="12"/>
      <c r="B102" s="12"/>
      <c r="C102" s="12"/>
      <c r="D102" s="12"/>
      <c r="E102" s="12"/>
      <c r="F102" s="12"/>
      <c r="G102" s="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6"/>
      <c r="AE102" s="8"/>
      <c r="AF102" s="12"/>
      <c r="AG102" s="12"/>
      <c r="AH102" s="12"/>
      <c r="AI102" s="8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</row>
    <row r="103" spans="1:49" x14ac:dyDescent="0.25">
      <c r="A103" s="12"/>
      <c r="B103" s="12"/>
      <c r="C103" s="12"/>
      <c r="D103" s="12"/>
      <c r="E103" s="12"/>
      <c r="F103" s="12"/>
      <c r="G103" s="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6"/>
      <c r="AE103" s="8"/>
      <c r="AF103" s="12"/>
      <c r="AG103" s="12"/>
      <c r="AH103" s="12"/>
      <c r="AI103" s="8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</row>
    <row r="104" spans="1:49" x14ac:dyDescent="0.25">
      <c r="A104" s="12"/>
      <c r="B104" s="12"/>
      <c r="C104" s="12"/>
      <c r="D104" s="12"/>
      <c r="E104" s="12"/>
      <c r="F104" s="12"/>
      <c r="G104" s="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6"/>
      <c r="AE104" s="8"/>
      <c r="AF104" s="12"/>
      <c r="AG104" s="12"/>
      <c r="AH104" s="12"/>
      <c r="AI104" s="8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</row>
    <row r="105" spans="1:49" x14ac:dyDescent="0.25">
      <c r="A105" s="12"/>
      <c r="B105" s="12"/>
      <c r="C105" s="12"/>
      <c r="D105" s="12"/>
      <c r="E105" s="12"/>
      <c r="F105" s="12"/>
      <c r="G105" s="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6"/>
      <c r="AE105" s="8"/>
      <c r="AF105" s="12"/>
      <c r="AG105" s="12"/>
      <c r="AH105" s="12"/>
      <c r="AI105" s="8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</row>
    <row r="106" spans="1:49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6"/>
      <c r="AE106" s="8"/>
      <c r="AF106" s="12"/>
      <c r="AG106" s="12"/>
      <c r="AH106" s="12"/>
      <c r="AI106" s="8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</row>
    <row r="107" spans="1:49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6"/>
      <c r="AE107" s="8"/>
      <c r="AF107" s="12"/>
      <c r="AG107" s="12"/>
      <c r="AH107" s="12"/>
      <c r="AI107" s="8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</row>
    <row r="108" spans="1:49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6"/>
      <c r="AE108" s="8"/>
      <c r="AF108" s="12"/>
      <c r="AG108" s="12"/>
      <c r="AH108" s="12"/>
      <c r="AI108" s="8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</row>
    <row r="109" spans="1:49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6"/>
      <c r="AE109" s="8"/>
      <c r="AF109" s="12"/>
      <c r="AG109" s="12"/>
      <c r="AH109" s="12"/>
      <c r="AI109" s="8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</row>
    <row r="110" spans="1:49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6"/>
      <c r="AE110" s="8"/>
      <c r="AF110" s="12"/>
      <c r="AG110" s="12"/>
      <c r="AH110" s="12"/>
      <c r="AI110" s="8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</row>
    <row r="111" spans="1:49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6"/>
      <c r="AE111" s="8"/>
      <c r="AF111" s="12"/>
      <c r="AG111" s="12"/>
      <c r="AH111" s="12"/>
      <c r="AI111" s="8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</row>
    <row r="112" spans="1:49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6"/>
      <c r="AE112" s="8"/>
      <c r="AF112" s="12"/>
      <c r="AG112" s="12"/>
      <c r="AH112" s="12"/>
      <c r="AI112" s="8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</row>
    <row r="113" spans="1:49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6"/>
      <c r="AE113" s="8"/>
      <c r="AF113" s="12"/>
      <c r="AG113" s="12"/>
      <c r="AH113" s="12"/>
      <c r="AI113" s="8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</row>
    <row r="114" spans="1:49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6"/>
      <c r="AE114" s="8"/>
      <c r="AF114" s="12"/>
      <c r="AG114" s="12"/>
      <c r="AH114" s="12"/>
      <c r="AI114" s="8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</row>
    <row r="115" spans="1:49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6"/>
      <c r="AE115" s="8"/>
      <c r="AF115" s="12"/>
      <c r="AG115" s="12"/>
      <c r="AH115" s="12"/>
      <c r="AI115" s="8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</row>
    <row r="116" spans="1:49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6"/>
      <c r="AE116" s="8"/>
      <c r="AF116" s="12"/>
      <c r="AG116" s="12"/>
      <c r="AH116" s="12"/>
      <c r="AI116" s="8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</row>
    <row r="117" spans="1:49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6"/>
      <c r="AE117" s="8"/>
      <c r="AF117" s="12"/>
      <c r="AG117" s="12"/>
      <c r="AH117" s="12"/>
      <c r="AI117" s="8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</row>
    <row r="118" spans="1:49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6"/>
      <c r="AE118" s="8"/>
      <c r="AF118" s="12"/>
      <c r="AG118" s="12"/>
      <c r="AH118" s="12"/>
      <c r="AI118" s="8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</row>
    <row r="119" spans="1:49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6"/>
      <c r="AE119" s="8"/>
      <c r="AF119" s="12"/>
      <c r="AG119" s="12"/>
      <c r="AH119" s="12"/>
      <c r="AI119" s="8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</row>
    <row r="120" spans="1:49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6"/>
      <c r="AE120" s="8"/>
      <c r="AF120" s="12"/>
      <c r="AG120" s="12"/>
      <c r="AH120" s="12"/>
      <c r="AI120" s="8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</row>
    <row r="121" spans="1:49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6"/>
      <c r="AE121" s="8"/>
      <c r="AF121" s="12"/>
      <c r="AG121" s="12"/>
      <c r="AH121" s="12"/>
      <c r="AI121" s="8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</row>
    <row r="122" spans="1:49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6"/>
      <c r="AE122" s="8"/>
      <c r="AF122" s="12"/>
      <c r="AG122" s="12"/>
      <c r="AH122" s="12"/>
      <c r="AI122" s="8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</row>
    <row r="123" spans="1:49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6"/>
      <c r="AE123" s="8"/>
      <c r="AF123" s="12"/>
      <c r="AG123" s="12"/>
      <c r="AH123" s="12"/>
      <c r="AI123" s="8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</row>
    <row r="124" spans="1:49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6"/>
      <c r="AE124" s="8"/>
      <c r="AF124" s="12"/>
      <c r="AG124" s="12"/>
      <c r="AH124" s="12"/>
      <c r="AI124" s="8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</row>
    <row r="125" spans="1:49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6"/>
      <c r="AE125" s="8"/>
      <c r="AF125" s="12"/>
      <c r="AG125" s="12"/>
      <c r="AH125" s="12"/>
      <c r="AI125" s="8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</row>
    <row r="126" spans="1:49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6"/>
      <c r="AE126" s="8"/>
      <c r="AF126" s="12"/>
      <c r="AG126" s="12"/>
      <c r="AH126" s="12"/>
      <c r="AI126" s="8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</row>
    <row r="127" spans="1:49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6"/>
      <c r="AE127" s="8"/>
      <c r="AF127" s="12"/>
      <c r="AG127" s="12"/>
      <c r="AH127" s="12"/>
      <c r="AI127" s="8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</row>
    <row r="128" spans="1:49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6"/>
      <c r="AE128" s="8"/>
      <c r="AF128" s="12"/>
      <c r="AG128" s="12"/>
      <c r="AH128" s="12"/>
      <c r="AI128" s="8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</row>
    <row r="129" spans="1:49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6"/>
      <c r="AE129" s="8"/>
      <c r="AF129" s="12"/>
      <c r="AG129" s="12"/>
      <c r="AH129" s="12"/>
      <c r="AI129" s="8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</row>
    <row r="130" spans="1:49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6"/>
      <c r="AE130" s="8"/>
      <c r="AF130" s="12"/>
      <c r="AG130" s="12"/>
      <c r="AH130" s="12"/>
      <c r="AI130" s="8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</row>
    <row r="131" spans="1:49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6"/>
      <c r="AE131" s="8"/>
      <c r="AF131" s="12"/>
      <c r="AG131" s="12"/>
      <c r="AH131" s="12"/>
      <c r="AI131" s="8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</row>
    <row r="132" spans="1:49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6"/>
      <c r="AE132" s="8"/>
      <c r="AF132" s="12"/>
      <c r="AG132" s="12"/>
      <c r="AH132" s="12"/>
      <c r="AI132" s="8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</row>
    <row r="133" spans="1:49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6"/>
      <c r="AE133" s="8"/>
      <c r="AF133" s="12"/>
      <c r="AG133" s="12"/>
      <c r="AH133" s="12"/>
      <c r="AI133" s="8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</row>
    <row r="134" spans="1:49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6"/>
      <c r="AE134" s="8"/>
      <c r="AF134" s="12"/>
      <c r="AG134" s="12"/>
      <c r="AH134" s="12"/>
      <c r="AI134" s="8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</row>
    <row r="135" spans="1:49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6"/>
      <c r="AE135" s="8"/>
      <c r="AF135" s="12"/>
      <c r="AG135" s="12"/>
      <c r="AH135" s="12"/>
      <c r="AI135" s="8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</row>
    <row r="136" spans="1:49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6"/>
      <c r="AE136" s="8"/>
      <c r="AF136" s="12"/>
      <c r="AG136" s="12"/>
      <c r="AH136" s="12"/>
      <c r="AI136" s="8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</row>
    <row r="137" spans="1:49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6"/>
      <c r="AE137" s="8"/>
      <c r="AF137" s="12"/>
      <c r="AG137" s="12"/>
      <c r="AH137" s="12"/>
      <c r="AI137" s="8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</row>
    <row r="138" spans="1:49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6"/>
      <c r="AE138" s="8"/>
      <c r="AF138" s="12"/>
      <c r="AG138" s="12"/>
      <c r="AH138" s="12"/>
      <c r="AI138" s="8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</row>
    <row r="139" spans="1:49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6"/>
      <c r="AE139" s="8"/>
      <c r="AF139" s="12"/>
      <c r="AG139" s="12"/>
      <c r="AH139" s="12"/>
      <c r="AI139" s="8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</row>
    <row r="140" spans="1:49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6"/>
      <c r="AE140" s="8"/>
      <c r="AF140" s="12"/>
      <c r="AG140" s="12"/>
      <c r="AH140" s="12"/>
      <c r="AI140" s="8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</row>
    <row r="141" spans="1:49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6"/>
      <c r="AE141" s="8"/>
      <c r="AF141" s="12"/>
      <c r="AG141" s="12"/>
      <c r="AH141" s="12"/>
      <c r="AI141" s="8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</row>
    <row r="142" spans="1:49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6"/>
      <c r="AE142" s="8"/>
      <c r="AF142" s="12"/>
      <c r="AG142" s="12"/>
      <c r="AH142" s="12"/>
      <c r="AI142" s="8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</row>
    <row r="143" spans="1:49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6"/>
      <c r="AE143" s="8"/>
      <c r="AF143" s="12"/>
      <c r="AG143" s="12"/>
      <c r="AH143" s="12"/>
      <c r="AI143" s="8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</row>
    <row r="144" spans="1:49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6"/>
      <c r="AE144" s="8"/>
      <c r="AF144" s="12"/>
      <c r="AG144" s="12"/>
      <c r="AH144" s="12"/>
      <c r="AI144" s="8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</row>
    <row r="145" spans="1:49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6"/>
      <c r="AE145" s="8"/>
      <c r="AF145" s="12"/>
      <c r="AG145" s="12"/>
      <c r="AH145" s="12"/>
      <c r="AI145" s="8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</row>
    <row r="146" spans="1:49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6"/>
      <c r="AE146" s="8"/>
      <c r="AF146" s="12"/>
      <c r="AG146" s="12"/>
      <c r="AH146" s="12"/>
      <c r="AI146" s="8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</row>
    <row r="147" spans="1:49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6"/>
      <c r="AE147" s="8"/>
      <c r="AF147" s="12"/>
      <c r="AG147" s="12"/>
      <c r="AH147" s="12"/>
      <c r="AI147" s="8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</row>
    <row r="148" spans="1:49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6"/>
      <c r="AE148" s="8"/>
      <c r="AF148" s="12"/>
      <c r="AG148" s="12"/>
      <c r="AH148" s="12"/>
      <c r="AI148" s="8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</row>
    <row r="149" spans="1:49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6"/>
      <c r="AE149" s="8"/>
      <c r="AF149" s="12"/>
      <c r="AG149" s="12"/>
      <c r="AH149" s="12"/>
      <c r="AI149" s="8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</row>
    <row r="150" spans="1:49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6"/>
      <c r="AE150" s="8"/>
      <c r="AF150" s="12"/>
      <c r="AG150" s="12"/>
      <c r="AH150" s="12"/>
      <c r="AI150" s="8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</row>
    <row r="151" spans="1:49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6"/>
      <c r="AE151" s="8"/>
      <c r="AF151" s="12"/>
      <c r="AG151" s="12"/>
      <c r="AH151" s="12"/>
      <c r="AI151" s="8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</row>
    <row r="152" spans="1:49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6"/>
      <c r="AE152" s="8"/>
      <c r="AF152" s="12"/>
      <c r="AG152" s="12"/>
      <c r="AH152" s="12"/>
      <c r="AI152" s="8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</row>
    <row r="153" spans="1:49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6"/>
      <c r="AE153" s="8"/>
      <c r="AF153" s="12"/>
      <c r="AG153" s="12"/>
      <c r="AH153" s="12"/>
      <c r="AI153" s="8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</row>
    <row r="154" spans="1:49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6"/>
      <c r="AE154" s="8"/>
      <c r="AF154" s="12"/>
      <c r="AG154" s="12"/>
      <c r="AH154" s="12"/>
      <c r="AI154" s="8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</row>
    <row r="155" spans="1:49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6"/>
      <c r="AE155" s="8"/>
      <c r="AF155" s="12"/>
      <c r="AG155" s="12"/>
      <c r="AH155" s="12"/>
      <c r="AI155" s="8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</row>
    <row r="156" spans="1:49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6"/>
      <c r="AE156" s="8"/>
      <c r="AF156" s="12"/>
      <c r="AG156" s="12"/>
      <c r="AH156" s="12"/>
      <c r="AI156" s="8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</row>
    <row r="157" spans="1:49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6"/>
      <c r="AE157" s="8"/>
      <c r="AF157" s="12"/>
      <c r="AG157" s="12"/>
      <c r="AH157" s="12"/>
      <c r="AI157" s="8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</row>
    <row r="158" spans="1:49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6"/>
      <c r="AE158" s="8"/>
      <c r="AF158" s="12"/>
      <c r="AG158" s="12"/>
      <c r="AH158" s="12"/>
      <c r="AI158" s="8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</row>
    <row r="159" spans="1:49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6"/>
      <c r="AE159" s="8"/>
      <c r="AF159" s="12"/>
      <c r="AG159" s="12"/>
      <c r="AH159" s="12"/>
      <c r="AI159" s="8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</row>
    <row r="160" spans="1:49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6"/>
      <c r="AE160" s="8"/>
      <c r="AF160" s="12"/>
      <c r="AG160" s="12"/>
      <c r="AH160" s="12"/>
      <c r="AI160" s="8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</row>
    <row r="161" spans="1:49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6"/>
      <c r="AE161" s="8"/>
      <c r="AF161" s="12"/>
      <c r="AG161" s="12"/>
      <c r="AH161" s="12"/>
      <c r="AI161" s="8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</row>
    <row r="162" spans="1:49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6"/>
      <c r="AE162" s="8"/>
      <c r="AF162" s="12"/>
      <c r="AG162" s="12"/>
      <c r="AH162" s="12"/>
      <c r="AI162" s="8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</row>
    <row r="163" spans="1:49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6"/>
      <c r="AE163" s="8"/>
      <c r="AF163" s="12"/>
      <c r="AG163" s="12"/>
      <c r="AH163" s="12"/>
      <c r="AI163" s="8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</row>
    <row r="164" spans="1:49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6"/>
      <c r="AE164" s="8"/>
      <c r="AF164" s="12"/>
      <c r="AG164" s="12"/>
      <c r="AH164" s="12"/>
      <c r="AI164" s="8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</row>
    <row r="165" spans="1:49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6"/>
      <c r="AE165" s="8"/>
      <c r="AF165" s="12"/>
      <c r="AG165" s="12"/>
      <c r="AH165" s="12"/>
      <c r="AI165" s="8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</row>
    <row r="166" spans="1:49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6"/>
      <c r="AE166" s="8"/>
      <c r="AF166" s="12"/>
      <c r="AG166" s="12"/>
      <c r="AH166" s="12"/>
      <c r="AI166" s="8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</row>
    <row r="167" spans="1:49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6"/>
      <c r="AE167" s="8"/>
      <c r="AF167" s="12"/>
      <c r="AG167" s="12"/>
      <c r="AH167" s="12"/>
      <c r="AI167" s="8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</row>
    <row r="168" spans="1:49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6"/>
      <c r="AE168" s="8"/>
      <c r="AF168" s="12"/>
      <c r="AG168" s="12"/>
      <c r="AH168" s="12"/>
      <c r="AI168" s="8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</row>
    <row r="169" spans="1:49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6"/>
      <c r="AE169" s="8"/>
      <c r="AF169" s="12"/>
      <c r="AG169" s="12"/>
      <c r="AH169" s="12"/>
      <c r="AI169" s="8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</row>
    <row r="170" spans="1:49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6"/>
      <c r="AE170" s="8"/>
      <c r="AF170" s="12"/>
      <c r="AG170" s="12"/>
      <c r="AH170" s="12"/>
      <c r="AI170" s="8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</row>
    <row r="171" spans="1:49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6"/>
      <c r="AE171" s="8"/>
      <c r="AF171" s="12"/>
      <c r="AG171" s="12"/>
      <c r="AH171" s="12"/>
      <c r="AI171" s="8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</row>
    <row r="172" spans="1:49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6"/>
      <c r="AE172" s="8"/>
      <c r="AF172" s="12"/>
      <c r="AG172" s="12"/>
      <c r="AH172" s="12"/>
      <c r="AI172" s="8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</row>
    <row r="173" spans="1:49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6"/>
      <c r="AE173" s="8"/>
      <c r="AF173" s="12"/>
      <c r="AG173" s="12"/>
      <c r="AH173" s="12"/>
      <c r="AI173" s="8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</row>
    <row r="174" spans="1:49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6"/>
      <c r="AE174" s="8"/>
      <c r="AF174" s="12"/>
      <c r="AG174" s="12"/>
      <c r="AH174" s="12"/>
      <c r="AI174" s="8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</row>
    <row r="175" spans="1:49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6"/>
      <c r="AE175" s="8"/>
      <c r="AF175" s="12"/>
      <c r="AG175" s="12"/>
      <c r="AH175" s="12"/>
      <c r="AI175" s="8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</row>
    <row r="176" spans="1:49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6"/>
      <c r="AE176" s="8"/>
      <c r="AF176" s="12"/>
      <c r="AG176" s="12"/>
      <c r="AH176" s="12"/>
      <c r="AI176" s="8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</row>
    <row r="177" spans="1:49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6"/>
      <c r="AE177" s="8"/>
      <c r="AF177" s="12"/>
      <c r="AG177" s="12"/>
      <c r="AH177" s="12"/>
      <c r="AI177" s="8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</row>
    <row r="178" spans="1:49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6"/>
      <c r="AE178" s="8"/>
      <c r="AF178" s="12"/>
      <c r="AG178" s="12"/>
      <c r="AH178" s="12"/>
      <c r="AI178" s="8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</row>
    <row r="179" spans="1:49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6"/>
      <c r="AE179" s="8"/>
      <c r="AF179" s="12"/>
      <c r="AG179" s="12"/>
      <c r="AH179" s="12"/>
      <c r="AI179" s="8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</row>
    <row r="180" spans="1:49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6"/>
      <c r="AE180" s="8"/>
      <c r="AF180" s="12"/>
      <c r="AG180" s="12"/>
      <c r="AH180" s="12"/>
      <c r="AI180" s="8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</row>
    <row r="181" spans="1:49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6"/>
      <c r="AE181" s="8"/>
      <c r="AF181" s="12"/>
      <c r="AG181" s="12"/>
      <c r="AH181" s="12"/>
      <c r="AI181" s="8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</row>
    <row r="182" spans="1:49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6"/>
      <c r="AE182" s="8"/>
      <c r="AF182" s="12"/>
      <c r="AG182" s="12"/>
      <c r="AH182" s="12"/>
      <c r="AI182" s="8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</row>
    <row r="183" spans="1:49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6"/>
      <c r="AE183" s="8"/>
      <c r="AF183" s="12"/>
      <c r="AG183" s="12"/>
      <c r="AH183" s="12"/>
      <c r="AI183" s="8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</row>
    <row r="184" spans="1:49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6"/>
      <c r="AE184" s="8"/>
      <c r="AF184" s="12"/>
      <c r="AG184" s="12"/>
      <c r="AH184" s="12"/>
      <c r="AI184" s="8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</row>
    <row r="185" spans="1:49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6"/>
      <c r="AE185" s="8"/>
      <c r="AF185" s="12"/>
      <c r="AG185" s="12"/>
      <c r="AH185" s="12"/>
      <c r="AI185" s="8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</row>
    <row r="186" spans="1:49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6"/>
      <c r="AE186" s="8"/>
      <c r="AF186" s="12"/>
      <c r="AG186" s="12"/>
      <c r="AH186" s="12"/>
      <c r="AI186" s="8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</row>
    <row r="187" spans="1:49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6"/>
      <c r="AE187" s="8"/>
      <c r="AF187" s="12"/>
      <c r="AG187" s="12"/>
      <c r="AH187" s="12"/>
      <c r="AI187" s="8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</row>
    <row r="188" spans="1:49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6"/>
      <c r="AE188" s="8"/>
      <c r="AF188" s="12"/>
      <c r="AG188" s="12"/>
      <c r="AH188" s="12"/>
      <c r="AI188" s="8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</row>
    <row r="189" spans="1:49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6"/>
      <c r="AE189" s="8"/>
      <c r="AF189" s="12"/>
      <c r="AG189" s="12"/>
      <c r="AH189" s="12"/>
      <c r="AI189" s="8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</row>
    <row r="190" spans="1:49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6"/>
      <c r="AE190" s="8"/>
      <c r="AF190" s="12"/>
      <c r="AG190" s="12"/>
      <c r="AH190" s="12"/>
      <c r="AI190" s="8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</row>
    <row r="191" spans="1:49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6"/>
      <c r="AE191" s="8"/>
      <c r="AF191" s="12"/>
      <c r="AG191" s="12"/>
      <c r="AH191" s="12"/>
      <c r="AI191" s="8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</row>
    <row r="192" spans="1:49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6"/>
      <c r="AE192" s="8"/>
      <c r="AF192" s="12"/>
      <c r="AG192" s="12"/>
      <c r="AH192" s="12"/>
      <c r="AI192" s="8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</row>
    <row r="193" spans="1:49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6"/>
      <c r="AE193" s="8"/>
      <c r="AF193" s="12"/>
      <c r="AG193" s="12"/>
      <c r="AH193" s="12"/>
      <c r="AI193" s="8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</row>
    <row r="194" spans="1:49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6"/>
      <c r="AE194" s="8"/>
      <c r="AF194" s="12"/>
      <c r="AG194" s="12"/>
      <c r="AH194" s="12"/>
      <c r="AI194" s="8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</row>
    <row r="195" spans="1:49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6"/>
      <c r="AE195" s="8"/>
      <c r="AF195" s="12"/>
      <c r="AG195" s="12"/>
      <c r="AH195" s="12"/>
      <c r="AI195" s="8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</row>
    <row r="196" spans="1:49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6"/>
      <c r="AE196" s="8"/>
      <c r="AF196" s="12"/>
      <c r="AG196" s="12"/>
      <c r="AH196" s="12"/>
      <c r="AI196" s="8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</row>
    <row r="197" spans="1:49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6"/>
      <c r="AE197" s="8"/>
      <c r="AF197" s="12"/>
      <c r="AG197" s="12"/>
      <c r="AH197" s="12"/>
      <c r="AI197" s="8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</row>
    <row r="198" spans="1:49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6"/>
      <c r="AE198" s="8"/>
      <c r="AF198" s="12"/>
      <c r="AG198" s="12"/>
      <c r="AH198" s="12"/>
      <c r="AI198" s="8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</row>
    <row r="199" spans="1:49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6"/>
      <c r="AE199" s="8"/>
      <c r="AF199" s="12"/>
      <c r="AG199" s="12"/>
      <c r="AH199" s="12"/>
      <c r="AI199" s="8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</row>
    <row r="200" spans="1:49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6"/>
      <c r="AE200" s="8"/>
      <c r="AF200" s="12"/>
      <c r="AG200" s="12"/>
      <c r="AH200" s="12"/>
      <c r="AI200" s="8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</row>
    <row r="201" spans="1:49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6"/>
      <c r="AE201" s="8"/>
      <c r="AF201" s="12"/>
      <c r="AG201" s="12"/>
      <c r="AH201" s="12"/>
      <c r="AI201" s="8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</row>
    <row r="202" spans="1:49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6"/>
      <c r="AE202" s="8"/>
      <c r="AF202" s="12"/>
      <c r="AG202" s="12"/>
      <c r="AH202" s="12"/>
      <c r="AI202" s="8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</row>
    <row r="203" spans="1:49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6"/>
      <c r="AE203" s="8"/>
      <c r="AF203" s="12"/>
      <c r="AG203" s="12"/>
      <c r="AH203" s="12"/>
      <c r="AI203" s="8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</row>
    <row r="204" spans="1:49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6"/>
      <c r="AE204" s="8"/>
      <c r="AF204" s="12"/>
      <c r="AG204" s="12"/>
      <c r="AH204" s="12"/>
      <c r="AI204" s="8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</row>
    <row r="205" spans="1:49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6"/>
      <c r="AE205" s="8"/>
      <c r="AF205" s="12"/>
      <c r="AG205" s="12"/>
      <c r="AH205" s="12"/>
      <c r="AI205" s="8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</row>
    <row r="206" spans="1:49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6"/>
      <c r="AE206" s="8"/>
      <c r="AF206" s="12"/>
      <c r="AG206" s="12"/>
      <c r="AH206" s="12"/>
      <c r="AI206" s="8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</row>
    <row r="207" spans="1:49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6"/>
      <c r="AE207" s="8"/>
      <c r="AF207" s="12"/>
      <c r="AG207" s="12"/>
      <c r="AH207" s="12"/>
      <c r="AI207" s="8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</row>
    <row r="208" spans="1:49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6"/>
      <c r="AE208" s="8"/>
      <c r="AF208" s="12"/>
      <c r="AG208" s="12"/>
      <c r="AH208" s="12"/>
      <c r="AI208" s="8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</row>
    <row r="209" spans="1:49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6"/>
      <c r="AE209" s="8"/>
      <c r="AF209" s="12"/>
      <c r="AG209" s="12"/>
      <c r="AH209" s="12"/>
      <c r="AI209" s="8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</row>
    <row r="210" spans="1:49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6"/>
      <c r="AE210" s="8"/>
      <c r="AF210" s="12"/>
      <c r="AG210" s="12"/>
      <c r="AH210" s="12"/>
      <c r="AI210" s="8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</row>
    <row r="211" spans="1:49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6"/>
      <c r="AE211" s="8"/>
      <c r="AF211" s="12"/>
      <c r="AG211" s="12"/>
      <c r="AH211" s="12"/>
      <c r="AI211" s="8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</row>
    <row r="212" spans="1:49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6"/>
      <c r="AE212" s="8"/>
      <c r="AF212" s="12"/>
      <c r="AG212" s="12"/>
      <c r="AH212" s="12"/>
      <c r="AI212" s="8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</row>
    <row r="213" spans="1:49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6"/>
      <c r="AE213" s="8"/>
      <c r="AF213" s="12"/>
      <c r="AG213" s="12"/>
      <c r="AH213" s="12"/>
      <c r="AI213" s="8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</row>
    <row r="214" spans="1:49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6"/>
      <c r="AE214" s="8"/>
      <c r="AF214" s="12"/>
      <c r="AG214" s="12"/>
      <c r="AH214" s="12"/>
      <c r="AI214" s="8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</row>
    <row r="215" spans="1:49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6"/>
      <c r="AE215" s="8"/>
      <c r="AF215" s="12"/>
      <c r="AG215" s="12"/>
      <c r="AH215" s="12"/>
      <c r="AI215" s="8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</row>
    <row r="216" spans="1:49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6"/>
      <c r="AE216" s="8"/>
      <c r="AF216" s="12"/>
      <c r="AG216" s="12"/>
      <c r="AH216" s="12"/>
      <c r="AI216" s="8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</row>
    <row r="217" spans="1:49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6"/>
      <c r="AE217" s="8"/>
      <c r="AF217" s="12"/>
      <c r="AG217" s="12"/>
      <c r="AH217" s="12"/>
      <c r="AI217" s="8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</row>
    <row r="218" spans="1:49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6"/>
      <c r="AE218" s="8"/>
      <c r="AF218" s="12"/>
      <c r="AG218" s="12"/>
      <c r="AH218" s="12"/>
      <c r="AI218" s="8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</row>
    <row r="219" spans="1:49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6"/>
      <c r="AE219" s="8"/>
      <c r="AF219" s="12"/>
      <c r="AG219" s="12"/>
      <c r="AH219" s="12"/>
      <c r="AI219" s="8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</row>
    <row r="220" spans="1:49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6"/>
      <c r="AE220" s="8"/>
      <c r="AF220" s="12"/>
      <c r="AG220" s="12"/>
      <c r="AH220" s="12"/>
      <c r="AI220" s="8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</row>
    <row r="221" spans="1:49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6"/>
      <c r="AE221" s="8"/>
      <c r="AF221" s="12"/>
      <c r="AG221" s="12"/>
      <c r="AH221" s="12"/>
      <c r="AI221" s="8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</row>
    <row r="222" spans="1:49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6"/>
      <c r="AE222" s="8"/>
      <c r="AF222" s="12"/>
      <c r="AG222" s="12"/>
      <c r="AH222" s="12"/>
      <c r="AI222" s="8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</row>
    <row r="223" spans="1:49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6"/>
      <c r="AE223" s="8"/>
      <c r="AF223" s="12"/>
      <c r="AG223" s="12"/>
      <c r="AH223" s="12"/>
      <c r="AI223" s="8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</row>
    <row r="224" spans="1:49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6"/>
      <c r="AE224" s="8"/>
      <c r="AF224" s="12"/>
      <c r="AG224" s="12"/>
      <c r="AH224" s="12"/>
      <c r="AI224" s="8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</row>
    <row r="225" spans="1:49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6"/>
      <c r="AE225" s="8"/>
      <c r="AF225" s="12"/>
      <c r="AG225" s="12"/>
      <c r="AH225" s="12"/>
      <c r="AI225" s="8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</row>
    <row r="226" spans="1:49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6"/>
      <c r="AE226" s="8"/>
      <c r="AF226" s="12"/>
      <c r="AG226" s="12"/>
      <c r="AH226" s="12"/>
      <c r="AI226" s="8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</row>
    <row r="227" spans="1:49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6"/>
      <c r="AE227" s="8"/>
      <c r="AF227" s="12"/>
      <c r="AG227" s="12"/>
      <c r="AH227" s="12"/>
      <c r="AI227" s="8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</row>
    <row r="228" spans="1:49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6"/>
      <c r="AE228" s="8"/>
      <c r="AF228" s="12"/>
      <c r="AG228" s="12"/>
      <c r="AH228" s="12"/>
      <c r="AI228" s="8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</row>
    <row r="229" spans="1:49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6"/>
      <c r="AE229" s="8"/>
      <c r="AF229" s="12"/>
      <c r="AG229" s="12"/>
      <c r="AH229" s="12"/>
      <c r="AI229" s="8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</row>
    <row r="230" spans="1:49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6"/>
      <c r="AE230" s="8"/>
      <c r="AF230" s="12"/>
      <c r="AG230" s="12"/>
      <c r="AH230" s="12"/>
      <c r="AI230" s="8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</row>
    <row r="231" spans="1:49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6"/>
      <c r="AE231" s="8"/>
      <c r="AF231" s="12"/>
      <c r="AG231" s="12"/>
      <c r="AH231" s="12"/>
      <c r="AI231" s="8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</row>
    <row r="232" spans="1:49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6"/>
      <c r="AE232" s="8"/>
      <c r="AF232" s="12"/>
      <c r="AG232" s="12"/>
      <c r="AH232" s="12"/>
      <c r="AI232" s="8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</row>
    <row r="233" spans="1:49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6"/>
      <c r="AE233" s="8"/>
      <c r="AF233" s="12"/>
      <c r="AG233" s="12"/>
      <c r="AH233" s="12"/>
      <c r="AI233" s="8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</row>
    <row r="234" spans="1:49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6"/>
      <c r="AE234" s="8"/>
      <c r="AF234" s="12"/>
      <c r="AG234" s="12"/>
      <c r="AH234" s="12"/>
      <c r="AI234" s="8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</row>
    <row r="235" spans="1:49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6"/>
      <c r="AE235" s="8"/>
      <c r="AF235" s="12"/>
      <c r="AG235" s="12"/>
      <c r="AH235" s="12"/>
      <c r="AI235" s="8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</row>
    <row r="236" spans="1:49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6"/>
      <c r="AE236" s="8"/>
      <c r="AF236" s="12"/>
      <c r="AG236" s="12"/>
      <c r="AH236" s="12"/>
      <c r="AI236" s="8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</row>
    <row r="237" spans="1:49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6"/>
      <c r="AE237" s="8"/>
      <c r="AF237" s="12"/>
      <c r="AG237" s="12"/>
      <c r="AH237" s="12"/>
      <c r="AI237" s="8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</row>
    <row r="238" spans="1:49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6"/>
      <c r="AE238" s="8"/>
      <c r="AF238" s="12"/>
      <c r="AG238" s="12"/>
      <c r="AH238" s="12"/>
      <c r="AI238" s="8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</row>
    <row r="239" spans="1:49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6"/>
      <c r="AE239" s="8"/>
      <c r="AF239" s="12"/>
      <c r="AG239" s="12"/>
      <c r="AH239" s="12"/>
      <c r="AI239" s="8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</row>
    <row r="240" spans="1:49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6"/>
      <c r="AE240" s="8"/>
      <c r="AF240" s="12"/>
      <c r="AG240" s="12"/>
      <c r="AH240" s="12"/>
      <c r="AI240" s="8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</row>
    <row r="241" spans="1:49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6"/>
      <c r="AE241" s="8"/>
      <c r="AF241" s="12"/>
      <c r="AG241" s="12"/>
      <c r="AH241" s="12"/>
      <c r="AI241" s="8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</row>
    <row r="242" spans="1:49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6"/>
      <c r="AE242" s="8"/>
      <c r="AF242" s="12"/>
      <c r="AG242" s="12"/>
      <c r="AH242" s="12"/>
      <c r="AI242" s="8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</row>
    <row r="243" spans="1:49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6"/>
      <c r="AE243" s="8"/>
      <c r="AF243" s="12"/>
      <c r="AG243" s="12"/>
      <c r="AH243" s="12"/>
      <c r="AI243" s="8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</row>
    <row r="244" spans="1:49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6"/>
      <c r="AE244" s="8"/>
      <c r="AF244" s="12"/>
      <c r="AG244" s="12"/>
      <c r="AH244" s="12"/>
      <c r="AI244" s="8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</row>
    <row r="245" spans="1:49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6"/>
      <c r="AE245" s="8"/>
      <c r="AF245" s="12"/>
      <c r="AG245" s="12"/>
      <c r="AH245" s="12"/>
      <c r="AI245" s="8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</row>
    <row r="246" spans="1:49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6"/>
      <c r="AE246" s="8"/>
      <c r="AF246" s="12"/>
      <c r="AG246" s="12"/>
      <c r="AH246" s="12"/>
      <c r="AI246" s="8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</row>
    <row r="247" spans="1:49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6"/>
      <c r="AE247" s="8"/>
      <c r="AF247" s="12"/>
      <c r="AG247" s="12"/>
      <c r="AH247" s="12"/>
      <c r="AI247" s="8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</row>
    <row r="248" spans="1:49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6"/>
      <c r="AE248" s="8"/>
      <c r="AF248" s="12"/>
      <c r="AG248" s="12"/>
      <c r="AH248" s="12"/>
      <c r="AI248" s="8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</row>
    <row r="249" spans="1:49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6"/>
      <c r="AE249" s="8"/>
      <c r="AF249" s="12"/>
      <c r="AG249" s="12"/>
      <c r="AH249" s="12"/>
      <c r="AI249" s="8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</row>
    <row r="250" spans="1:49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6"/>
      <c r="AE250" s="8"/>
      <c r="AF250" s="12"/>
      <c r="AG250" s="12"/>
      <c r="AH250" s="12"/>
      <c r="AI250" s="8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</row>
    <row r="251" spans="1:49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6"/>
      <c r="AE251" s="8"/>
      <c r="AF251" s="12"/>
      <c r="AG251" s="12"/>
      <c r="AH251" s="12"/>
      <c r="AI251" s="8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</row>
    <row r="252" spans="1:49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6"/>
      <c r="AE252" s="8"/>
      <c r="AF252" s="12"/>
      <c r="AG252" s="12"/>
      <c r="AH252" s="12"/>
      <c r="AI252" s="8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</row>
    <row r="253" spans="1:49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6"/>
      <c r="AE253" s="8"/>
      <c r="AF253" s="12"/>
      <c r="AG253" s="12"/>
      <c r="AH253" s="12"/>
      <c r="AI253" s="8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</row>
    <row r="254" spans="1:49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6"/>
      <c r="AE254" s="8"/>
      <c r="AF254" s="12"/>
      <c r="AG254" s="12"/>
      <c r="AH254" s="12"/>
      <c r="AI254" s="8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</row>
    <row r="255" spans="1:49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6"/>
      <c r="AE255" s="8"/>
      <c r="AF255" s="12"/>
      <c r="AG255" s="12"/>
      <c r="AH255" s="12"/>
      <c r="AI255" s="8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</row>
    <row r="256" spans="1:49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6"/>
      <c r="AE256" s="8"/>
      <c r="AF256" s="12"/>
      <c r="AG256" s="12"/>
      <c r="AH256" s="12"/>
      <c r="AI256" s="8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</row>
    <row r="257" spans="1:49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6"/>
      <c r="AE257" s="8"/>
      <c r="AF257" s="12"/>
      <c r="AG257" s="12"/>
      <c r="AH257" s="12"/>
      <c r="AI257" s="8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</row>
    <row r="258" spans="1:49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6"/>
      <c r="AE258" s="8"/>
      <c r="AF258" s="12"/>
      <c r="AG258" s="12"/>
      <c r="AH258" s="12"/>
      <c r="AI258" s="8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</row>
    <row r="259" spans="1:49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6"/>
      <c r="AE259" s="8"/>
      <c r="AF259" s="12"/>
      <c r="AG259" s="12"/>
      <c r="AH259" s="12"/>
      <c r="AI259" s="8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</row>
    <row r="260" spans="1:49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6"/>
      <c r="AE260" s="8"/>
      <c r="AF260" s="12"/>
      <c r="AG260" s="12"/>
      <c r="AH260" s="12"/>
      <c r="AI260" s="8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</row>
    <row r="261" spans="1:49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6"/>
      <c r="AE261" s="8"/>
      <c r="AF261" s="12"/>
      <c r="AG261" s="12"/>
      <c r="AH261" s="12"/>
      <c r="AI261" s="8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</row>
    <row r="262" spans="1:49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6"/>
      <c r="AE262" s="8"/>
      <c r="AF262" s="12"/>
      <c r="AG262" s="12"/>
      <c r="AH262" s="12"/>
      <c r="AI262" s="8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</row>
    <row r="263" spans="1:49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6"/>
      <c r="AE263" s="8"/>
      <c r="AF263" s="12"/>
      <c r="AG263" s="12"/>
      <c r="AH263" s="12"/>
      <c r="AI263" s="8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</row>
    <row r="264" spans="1:49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6"/>
      <c r="AE264" s="8"/>
      <c r="AF264" s="12"/>
      <c r="AG264" s="12"/>
      <c r="AH264" s="12"/>
      <c r="AI264" s="8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</row>
    <row r="265" spans="1:49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6"/>
      <c r="AE265" s="8"/>
      <c r="AF265" s="12"/>
      <c r="AG265" s="12"/>
      <c r="AH265" s="12"/>
      <c r="AI265" s="8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</row>
    <row r="266" spans="1:49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6"/>
      <c r="AE266" s="8"/>
      <c r="AF266" s="12"/>
      <c r="AG266" s="12"/>
      <c r="AH266" s="12"/>
      <c r="AI266" s="8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</row>
    <row r="267" spans="1:49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6"/>
      <c r="AE267" s="8"/>
      <c r="AF267" s="12"/>
      <c r="AG267" s="12"/>
      <c r="AH267" s="12"/>
      <c r="AI267" s="8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</row>
    <row r="268" spans="1:49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6"/>
      <c r="AE268" s="8"/>
      <c r="AF268" s="12"/>
      <c r="AG268" s="12"/>
      <c r="AH268" s="12"/>
      <c r="AI268" s="8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</row>
    <row r="269" spans="1:49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6"/>
      <c r="AE269" s="8"/>
      <c r="AF269" s="12"/>
      <c r="AG269" s="12"/>
      <c r="AH269" s="12"/>
      <c r="AI269" s="8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</row>
    <row r="270" spans="1:49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6"/>
      <c r="AE270" s="8"/>
      <c r="AF270" s="12"/>
      <c r="AG270" s="12"/>
      <c r="AH270" s="12"/>
      <c r="AI270" s="8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</row>
    <row r="271" spans="1:49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6"/>
      <c r="AE271" s="8"/>
      <c r="AF271" s="12"/>
      <c r="AG271" s="12"/>
      <c r="AH271" s="12"/>
      <c r="AI271" s="8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</row>
    <row r="272" spans="1:49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6"/>
      <c r="AE272" s="8"/>
      <c r="AF272" s="12"/>
      <c r="AG272" s="12"/>
      <c r="AH272" s="12"/>
      <c r="AI272" s="8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</row>
    <row r="273" spans="1:49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6"/>
      <c r="AE273" s="8"/>
      <c r="AF273" s="12"/>
      <c r="AG273" s="12"/>
      <c r="AH273" s="12"/>
      <c r="AI273" s="8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</row>
    <row r="274" spans="1:49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6"/>
      <c r="AE274" s="8"/>
      <c r="AF274" s="12"/>
      <c r="AG274" s="12"/>
      <c r="AH274" s="12"/>
      <c r="AI274" s="8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</row>
    <row r="275" spans="1:49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6"/>
      <c r="AE275" s="8"/>
      <c r="AF275" s="12"/>
      <c r="AG275" s="12"/>
      <c r="AH275" s="12"/>
      <c r="AI275" s="8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</row>
    <row r="276" spans="1:49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6"/>
      <c r="AE276" s="8"/>
      <c r="AF276" s="12"/>
      <c r="AG276" s="12"/>
      <c r="AH276" s="12"/>
      <c r="AI276" s="8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</row>
    <row r="277" spans="1:49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6"/>
      <c r="AE277" s="8"/>
      <c r="AF277" s="12"/>
      <c r="AG277" s="12"/>
      <c r="AH277" s="12"/>
      <c r="AI277" s="8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</row>
    <row r="278" spans="1:49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6"/>
      <c r="AE278" s="8"/>
      <c r="AF278" s="12"/>
      <c r="AG278" s="12"/>
      <c r="AH278" s="12"/>
      <c r="AI278" s="8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</row>
    <row r="279" spans="1:49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6"/>
      <c r="AE279" s="8"/>
      <c r="AF279" s="12"/>
      <c r="AG279" s="12"/>
      <c r="AH279" s="12"/>
      <c r="AI279" s="8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</row>
    <row r="280" spans="1:49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6"/>
      <c r="AE280" s="8"/>
      <c r="AF280" s="12"/>
      <c r="AG280" s="12"/>
      <c r="AH280" s="12"/>
      <c r="AI280" s="8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</row>
    <row r="281" spans="1:49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6"/>
      <c r="AE281" s="8"/>
      <c r="AF281" s="12"/>
      <c r="AG281" s="12"/>
      <c r="AH281" s="12"/>
      <c r="AI281" s="8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</row>
    <row r="282" spans="1:49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6"/>
      <c r="AE282" s="8"/>
      <c r="AF282" s="12"/>
      <c r="AG282" s="12"/>
      <c r="AH282" s="12"/>
      <c r="AI282" s="8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</row>
    <row r="283" spans="1:49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6"/>
      <c r="AE283" s="8"/>
      <c r="AF283" s="12"/>
      <c r="AG283" s="12"/>
      <c r="AH283" s="12"/>
      <c r="AI283" s="8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</row>
    <row r="284" spans="1:49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6"/>
      <c r="AE284" s="8"/>
      <c r="AF284" s="12"/>
      <c r="AG284" s="12"/>
      <c r="AH284" s="12"/>
      <c r="AI284" s="8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</row>
    <row r="285" spans="1:49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6"/>
      <c r="AE285" s="8"/>
      <c r="AF285" s="12"/>
      <c r="AG285" s="12"/>
      <c r="AH285" s="12"/>
      <c r="AI285" s="8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</row>
    <row r="286" spans="1:49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6"/>
      <c r="AE286" s="8"/>
      <c r="AF286" s="12"/>
      <c r="AG286" s="12"/>
      <c r="AH286" s="12"/>
      <c r="AI286" s="8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</row>
    <row r="287" spans="1:49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6"/>
      <c r="AE287" s="8"/>
      <c r="AF287" s="12"/>
      <c r="AG287" s="12"/>
      <c r="AH287" s="12"/>
      <c r="AI287" s="8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</row>
    <row r="288" spans="1:49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6"/>
      <c r="AE288" s="8"/>
      <c r="AF288" s="12"/>
      <c r="AG288" s="12"/>
      <c r="AH288" s="12"/>
      <c r="AI288" s="8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</row>
    <row r="289" spans="1:49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6"/>
      <c r="AE289" s="8"/>
      <c r="AF289" s="12"/>
      <c r="AG289" s="12"/>
      <c r="AH289" s="12"/>
      <c r="AI289" s="8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</row>
    <row r="290" spans="1:49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6"/>
      <c r="AE290" s="8"/>
      <c r="AF290" s="12"/>
      <c r="AG290" s="12"/>
      <c r="AH290" s="12"/>
      <c r="AI290" s="8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</row>
    <row r="291" spans="1:49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6"/>
      <c r="AE291" s="8"/>
      <c r="AF291" s="12"/>
      <c r="AG291" s="12"/>
      <c r="AH291" s="12"/>
      <c r="AI291" s="8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</row>
    <row r="292" spans="1:49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6"/>
      <c r="AE292" s="8"/>
      <c r="AF292" s="12"/>
      <c r="AG292" s="12"/>
      <c r="AH292" s="12"/>
      <c r="AI292" s="8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</row>
    <row r="293" spans="1:49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6"/>
      <c r="AE293" s="8"/>
      <c r="AF293" s="12"/>
      <c r="AG293" s="12"/>
      <c r="AH293" s="12"/>
      <c r="AI293" s="8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</row>
    <row r="294" spans="1:49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6"/>
      <c r="AE294" s="8"/>
      <c r="AF294" s="12"/>
      <c r="AG294" s="12"/>
      <c r="AH294" s="12"/>
      <c r="AI294" s="8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</row>
    <row r="295" spans="1:49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6"/>
      <c r="AE295" s="8"/>
      <c r="AF295" s="12"/>
      <c r="AG295" s="12"/>
      <c r="AH295" s="12"/>
      <c r="AI295" s="8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</row>
    <row r="296" spans="1:49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6"/>
      <c r="AE296" s="8"/>
      <c r="AF296" s="12"/>
      <c r="AG296" s="12"/>
      <c r="AH296" s="12"/>
      <c r="AI296" s="8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</row>
    <row r="297" spans="1:49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6"/>
      <c r="AE297" s="8"/>
      <c r="AF297" s="12"/>
      <c r="AG297" s="12"/>
      <c r="AH297" s="12"/>
      <c r="AI297" s="8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</row>
    <row r="298" spans="1:49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6"/>
      <c r="AE298" s="8"/>
      <c r="AF298" s="12"/>
      <c r="AG298" s="12"/>
      <c r="AH298" s="12"/>
      <c r="AI298" s="8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</row>
    <row r="299" spans="1:49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6"/>
      <c r="AE299" s="8"/>
      <c r="AF299" s="12"/>
      <c r="AG299" s="12"/>
      <c r="AH299" s="12"/>
      <c r="AI299" s="8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</row>
    <row r="300" spans="1:49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6"/>
      <c r="AE300" s="8"/>
      <c r="AF300" s="12"/>
      <c r="AG300" s="12"/>
      <c r="AH300" s="12"/>
      <c r="AI300" s="8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</row>
    <row r="301" spans="1:49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6"/>
      <c r="AE301" s="8"/>
      <c r="AF301" s="12"/>
      <c r="AG301" s="12"/>
      <c r="AH301" s="12"/>
      <c r="AI301" s="8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</row>
    <row r="302" spans="1:49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6"/>
      <c r="AE302" s="8"/>
      <c r="AF302" s="12"/>
      <c r="AG302" s="12"/>
      <c r="AH302" s="12"/>
      <c r="AI302" s="8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</row>
    <row r="303" spans="1:49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6"/>
      <c r="AE303" s="8"/>
      <c r="AF303" s="12"/>
      <c r="AG303" s="12"/>
      <c r="AH303" s="12"/>
      <c r="AI303" s="8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</row>
    <row r="304" spans="1:49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6"/>
      <c r="AE304" s="8"/>
      <c r="AF304" s="12"/>
      <c r="AG304" s="12"/>
      <c r="AH304" s="12"/>
      <c r="AI304" s="8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</row>
    <row r="305" spans="1:49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6"/>
      <c r="AE305" s="8"/>
      <c r="AF305" s="12"/>
      <c r="AG305" s="12"/>
      <c r="AH305" s="12"/>
      <c r="AI305" s="8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</row>
    <row r="306" spans="1:49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6"/>
      <c r="AE306" s="8"/>
      <c r="AF306" s="12"/>
      <c r="AG306" s="12"/>
      <c r="AH306" s="12"/>
      <c r="AI306" s="8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</row>
    <row r="307" spans="1:49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6"/>
      <c r="AE307" s="8"/>
      <c r="AF307" s="12"/>
      <c r="AG307" s="12"/>
      <c r="AH307" s="12"/>
      <c r="AI307" s="8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</row>
    <row r="308" spans="1:49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6"/>
      <c r="AE308" s="8"/>
      <c r="AF308" s="12"/>
      <c r="AG308" s="12"/>
      <c r="AH308" s="12"/>
      <c r="AI308" s="8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</row>
    <row r="309" spans="1:49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6"/>
      <c r="AE309" s="8"/>
      <c r="AF309" s="12"/>
      <c r="AG309" s="12"/>
      <c r="AH309" s="12"/>
      <c r="AI309" s="8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</row>
    <row r="310" spans="1:49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6"/>
      <c r="AE310" s="8"/>
      <c r="AF310" s="12"/>
      <c r="AG310" s="12"/>
      <c r="AH310" s="12"/>
      <c r="AI310" s="8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</row>
    <row r="311" spans="1:49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6"/>
      <c r="AE311" s="8"/>
      <c r="AF311" s="12"/>
      <c r="AG311" s="12"/>
      <c r="AH311" s="12"/>
      <c r="AI311" s="8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</row>
    <row r="312" spans="1:49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6"/>
      <c r="AE312" s="8"/>
      <c r="AF312" s="12"/>
      <c r="AG312" s="12"/>
      <c r="AH312" s="12"/>
      <c r="AI312" s="8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</row>
    <row r="313" spans="1:49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6"/>
      <c r="AE313" s="8"/>
      <c r="AF313" s="12"/>
      <c r="AG313" s="12"/>
      <c r="AH313" s="12"/>
      <c r="AI313" s="8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</row>
    <row r="314" spans="1:49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6"/>
      <c r="AE314" s="8"/>
      <c r="AF314" s="12"/>
      <c r="AG314" s="12"/>
      <c r="AH314" s="12"/>
      <c r="AI314" s="8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</row>
    <row r="315" spans="1:49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6"/>
      <c r="AE315" s="8"/>
      <c r="AF315" s="12"/>
      <c r="AG315" s="12"/>
      <c r="AH315" s="12"/>
      <c r="AI315" s="8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</row>
    <row r="316" spans="1:49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6"/>
      <c r="AE316" s="8"/>
      <c r="AF316" s="12"/>
      <c r="AG316" s="12"/>
      <c r="AH316" s="12"/>
      <c r="AI316" s="8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</row>
    <row r="317" spans="1:49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6"/>
      <c r="AE317" s="8"/>
      <c r="AF317" s="12"/>
      <c r="AG317" s="12"/>
      <c r="AH317" s="12"/>
      <c r="AI317" s="8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</row>
    <row r="318" spans="1:49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6"/>
      <c r="AE318" s="8"/>
      <c r="AF318" s="12"/>
      <c r="AG318" s="12"/>
      <c r="AH318" s="12"/>
      <c r="AI318" s="8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</row>
    <row r="319" spans="1:49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6"/>
      <c r="AE319" s="8"/>
      <c r="AF319" s="12"/>
      <c r="AG319" s="12"/>
      <c r="AH319" s="12"/>
      <c r="AI319" s="8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</row>
    <row r="320" spans="1:49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6"/>
      <c r="AE320" s="8"/>
      <c r="AF320" s="12"/>
      <c r="AG320" s="12"/>
      <c r="AH320" s="12"/>
      <c r="AI320" s="8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</row>
    <row r="321" spans="1:49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6"/>
      <c r="AE321" s="8"/>
      <c r="AF321" s="12"/>
      <c r="AG321" s="12"/>
      <c r="AH321" s="12"/>
      <c r="AI321" s="8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</row>
    <row r="322" spans="1:49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6"/>
      <c r="AE322" s="8"/>
      <c r="AF322" s="12"/>
      <c r="AG322" s="12"/>
      <c r="AH322" s="12"/>
      <c r="AI322" s="8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</row>
    <row r="323" spans="1:49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6"/>
      <c r="AE323" s="8"/>
      <c r="AF323" s="12"/>
      <c r="AG323" s="12"/>
      <c r="AH323" s="12"/>
      <c r="AI323" s="8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</row>
    <row r="324" spans="1:49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6"/>
      <c r="AE324" s="8"/>
      <c r="AF324" s="12"/>
      <c r="AG324" s="12"/>
      <c r="AH324" s="12"/>
      <c r="AI324" s="8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</row>
    <row r="325" spans="1:49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6"/>
      <c r="AE325" s="8"/>
      <c r="AF325" s="12"/>
      <c r="AG325" s="12"/>
      <c r="AH325" s="12"/>
      <c r="AI325" s="8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</row>
    <row r="326" spans="1:49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6"/>
      <c r="AE326" s="8"/>
      <c r="AF326" s="12"/>
      <c r="AG326" s="12"/>
      <c r="AH326" s="12"/>
      <c r="AI326" s="8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</row>
    <row r="327" spans="1:49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6"/>
      <c r="AE327" s="8"/>
      <c r="AF327" s="12"/>
      <c r="AG327" s="12"/>
      <c r="AH327" s="12"/>
      <c r="AI327" s="8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</row>
    <row r="328" spans="1:49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6"/>
      <c r="AE328" s="8"/>
      <c r="AF328" s="12"/>
      <c r="AG328" s="12"/>
      <c r="AH328" s="12"/>
      <c r="AI328" s="8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</row>
    <row r="329" spans="1:49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6"/>
      <c r="AE329" s="8"/>
      <c r="AF329" s="12"/>
      <c r="AG329" s="12"/>
      <c r="AH329" s="12"/>
      <c r="AI329" s="8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</row>
    <row r="330" spans="1:49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6"/>
      <c r="AE330" s="8"/>
      <c r="AF330" s="12"/>
      <c r="AG330" s="12"/>
      <c r="AH330" s="12"/>
      <c r="AI330" s="8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</row>
    <row r="331" spans="1:49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6"/>
      <c r="AE331" s="8"/>
      <c r="AF331" s="12"/>
      <c r="AG331" s="12"/>
      <c r="AH331" s="12"/>
      <c r="AI331" s="8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</row>
    <row r="332" spans="1:49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6"/>
      <c r="AE332" s="8"/>
      <c r="AF332" s="12"/>
      <c r="AG332" s="12"/>
      <c r="AH332" s="12"/>
      <c r="AI332" s="8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</row>
    <row r="333" spans="1:49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6"/>
      <c r="AE333" s="8"/>
      <c r="AF333" s="12"/>
      <c r="AG333" s="12"/>
      <c r="AH333" s="12"/>
      <c r="AI333" s="8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</row>
    <row r="334" spans="1:49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6"/>
      <c r="AE334" s="8"/>
      <c r="AF334" s="12"/>
      <c r="AG334" s="12"/>
      <c r="AH334" s="12"/>
      <c r="AI334" s="8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</row>
    <row r="335" spans="1:49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6"/>
      <c r="AE335" s="8"/>
      <c r="AF335" s="12"/>
      <c r="AG335" s="12"/>
      <c r="AH335" s="12"/>
      <c r="AI335" s="8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</row>
    <row r="336" spans="1:49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6"/>
      <c r="AE336" s="8"/>
      <c r="AF336" s="12"/>
      <c r="AG336" s="12"/>
      <c r="AH336" s="12"/>
      <c r="AI336" s="8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</row>
    <row r="337" spans="1:49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6"/>
      <c r="AE337" s="8"/>
      <c r="AF337" s="12"/>
      <c r="AG337" s="12"/>
      <c r="AH337" s="12"/>
      <c r="AI337" s="8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</row>
    <row r="338" spans="1:49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6"/>
      <c r="AE338" s="8"/>
      <c r="AF338" s="12"/>
      <c r="AG338" s="12"/>
      <c r="AH338" s="12"/>
      <c r="AI338" s="8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</row>
    <row r="339" spans="1:49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6"/>
      <c r="AE339" s="8"/>
      <c r="AF339" s="12"/>
      <c r="AG339" s="12"/>
      <c r="AH339" s="12"/>
      <c r="AI339" s="8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</row>
    <row r="340" spans="1:49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6"/>
      <c r="AE340" s="8"/>
      <c r="AF340" s="12"/>
      <c r="AG340" s="12"/>
      <c r="AH340" s="12"/>
      <c r="AI340" s="8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</row>
    <row r="341" spans="1:49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6"/>
      <c r="AE341" s="8"/>
      <c r="AF341" s="12"/>
      <c r="AG341" s="12"/>
      <c r="AH341" s="12"/>
      <c r="AI341" s="8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</row>
    <row r="342" spans="1:49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6"/>
      <c r="AE342" s="8"/>
      <c r="AF342" s="12"/>
      <c r="AG342" s="12"/>
      <c r="AH342" s="12"/>
      <c r="AI342" s="8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</row>
    <row r="343" spans="1:49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6"/>
      <c r="AE343" s="8"/>
      <c r="AF343" s="12"/>
      <c r="AG343" s="12"/>
      <c r="AH343" s="12"/>
      <c r="AI343" s="8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</row>
    <row r="344" spans="1:49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6"/>
      <c r="AE344" s="8"/>
      <c r="AF344" s="12"/>
      <c r="AG344" s="12"/>
      <c r="AH344" s="12"/>
      <c r="AI344" s="8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</row>
    <row r="345" spans="1:49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6"/>
      <c r="AE345" s="8"/>
      <c r="AF345" s="12"/>
      <c r="AG345" s="12"/>
      <c r="AH345" s="12"/>
      <c r="AI345" s="8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</row>
    <row r="346" spans="1:49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6"/>
      <c r="AE346" s="8"/>
      <c r="AF346" s="12"/>
      <c r="AG346" s="12"/>
      <c r="AH346" s="12"/>
      <c r="AI346" s="8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</row>
    <row r="347" spans="1:49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6"/>
      <c r="AE347" s="8"/>
      <c r="AF347" s="12"/>
      <c r="AG347" s="12"/>
      <c r="AH347" s="12"/>
      <c r="AI347" s="8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</row>
    <row r="348" spans="1:49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6"/>
      <c r="AE348" s="8"/>
      <c r="AF348" s="12"/>
      <c r="AG348" s="12"/>
      <c r="AH348" s="12"/>
      <c r="AI348" s="8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</row>
    <row r="349" spans="1:49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6"/>
      <c r="AE349" s="8"/>
      <c r="AF349" s="12"/>
      <c r="AG349" s="12"/>
      <c r="AH349" s="12"/>
      <c r="AI349" s="8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</row>
    <row r="350" spans="1:49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6"/>
      <c r="AE350" s="8"/>
      <c r="AF350" s="12"/>
      <c r="AG350" s="12"/>
      <c r="AH350" s="12"/>
      <c r="AI350" s="8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</row>
    <row r="351" spans="1:49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6"/>
      <c r="AE351" s="8"/>
      <c r="AF351" s="12"/>
      <c r="AG351" s="12"/>
      <c r="AH351" s="12"/>
      <c r="AI351" s="8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</row>
    <row r="352" spans="1:49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6"/>
      <c r="AE352" s="8"/>
      <c r="AF352" s="12"/>
      <c r="AG352" s="12"/>
      <c r="AH352" s="12"/>
      <c r="AI352" s="8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</row>
    <row r="353" spans="1:49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6"/>
      <c r="AE353" s="8"/>
      <c r="AF353" s="12"/>
      <c r="AG353" s="12"/>
      <c r="AH353" s="12"/>
      <c r="AI353" s="8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</row>
    <row r="354" spans="1:49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6"/>
      <c r="AE354" s="8"/>
      <c r="AF354" s="12"/>
      <c r="AG354" s="12"/>
      <c r="AH354" s="12"/>
      <c r="AI354" s="8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</row>
    <row r="355" spans="1:49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6"/>
      <c r="AE355" s="8"/>
      <c r="AF355" s="12"/>
      <c r="AG355" s="12"/>
      <c r="AH355" s="12"/>
      <c r="AI355" s="8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</row>
    <row r="356" spans="1:49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6"/>
      <c r="AE356" s="8"/>
      <c r="AF356" s="12"/>
      <c r="AG356" s="12"/>
      <c r="AH356" s="12"/>
      <c r="AI356" s="8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</row>
    <row r="357" spans="1:49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6"/>
      <c r="AE357" s="8"/>
      <c r="AF357" s="12"/>
      <c r="AG357" s="12"/>
      <c r="AH357" s="12"/>
      <c r="AI357" s="8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</row>
    <row r="358" spans="1:49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6"/>
      <c r="AE358" s="8"/>
      <c r="AF358" s="12"/>
      <c r="AG358" s="12"/>
      <c r="AH358" s="12"/>
      <c r="AI358" s="8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</row>
    <row r="359" spans="1:49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6"/>
      <c r="AE359" s="8"/>
      <c r="AF359" s="12"/>
      <c r="AG359" s="12"/>
      <c r="AH359" s="12"/>
      <c r="AI359" s="8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</row>
    <row r="360" spans="1:49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6"/>
      <c r="AE360" s="8"/>
      <c r="AF360" s="12"/>
      <c r="AG360" s="12"/>
      <c r="AH360" s="12"/>
      <c r="AI360" s="8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</row>
    <row r="361" spans="1:49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6"/>
      <c r="AE361" s="8"/>
      <c r="AF361" s="12"/>
      <c r="AG361" s="12"/>
      <c r="AH361" s="12"/>
      <c r="AI361" s="8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</row>
    <row r="362" spans="1:49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6"/>
      <c r="AE362" s="8"/>
      <c r="AF362" s="12"/>
      <c r="AG362" s="12"/>
      <c r="AH362" s="12"/>
      <c r="AI362" s="8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</row>
    <row r="363" spans="1:49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6"/>
      <c r="AE363" s="8"/>
      <c r="AF363" s="12"/>
      <c r="AG363" s="12"/>
      <c r="AH363" s="12"/>
      <c r="AI363" s="8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</row>
    <row r="364" spans="1:49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6"/>
      <c r="AE364" s="8"/>
      <c r="AF364" s="12"/>
      <c r="AG364" s="12"/>
      <c r="AH364" s="12"/>
      <c r="AI364" s="8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</row>
    <row r="365" spans="1:49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6"/>
      <c r="AE365" s="8"/>
      <c r="AF365" s="12"/>
      <c r="AG365" s="12"/>
      <c r="AH365" s="12"/>
      <c r="AI365" s="8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</row>
    <row r="366" spans="1:49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6"/>
      <c r="AE366" s="8"/>
      <c r="AF366" s="12"/>
      <c r="AG366" s="12"/>
      <c r="AH366" s="12"/>
      <c r="AI366" s="8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</row>
    <row r="367" spans="1:49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6"/>
      <c r="AE367" s="8"/>
      <c r="AF367" s="12"/>
      <c r="AG367" s="12"/>
      <c r="AH367" s="12"/>
      <c r="AI367" s="8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</row>
    <row r="368" spans="1:49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6"/>
      <c r="AE368" s="8"/>
      <c r="AF368" s="12"/>
      <c r="AG368" s="12"/>
      <c r="AH368" s="12"/>
      <c r="AI368" s="8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</row>
    <row r="369" spans="1:49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6"/>
      <c r="AE369" s="8"/>
      <c r="AF369" s="12"/>
      <c r="AG369" s="12"/>
      <c r="AH369" s="12"/>
      <c r="AI369" s="8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</row>
    <row r="370" spans="1:49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6"/>
      <c r="AE370" s="8"/>
      <c r="AF370" s="12"/>
      <c r="AG370" s="12"/>
      <c r="AH370" s="12"/>
      <c r="AI370" s="8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</row>
    <row r="371" spans="1:49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6"/>
      <c r="AE371" s="8"/>
      <c r="AF371" s="12"/>
      <c r="AG371" s="12"/>
      <c r="AH371" s="12"/>
      <c r="AI371" s="8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</row>
    <row r="372" spans="1:49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6"/>
      <c r="AE372" s="8"/>
      <c r="AF372" s="12"/>
      <c r="AG372" s="12"/>
      <c r="AH372" s="12"/>
      <c r="AI372" s="8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</row>
    <row r="373" spans="1:49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6"/>
      <c r="AE373" s="8"/>
      <c r="AF373" s="12"/>
      <c r="AG373" s="12"/>
      <c r="AH373" s="12"/>
      <c r="AI373" s="8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</row>
    <row r="374" spans="1:49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6"/>
      <c r="AE374" s="8"/>
      <c r="AF374" s="12"/>
      <c r="AG374" s="12"/>
      <c r="AH374" s="12"/>
      <c r="AI374" s="8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</row>
    <row r="375" spans="1:49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6"/>
      <c r="AE375" s="8"/>
      <c r="AF375" s="12"/>
      <c r="AG375" s="12"/>
      <c r="AH375" s="12"/>
      <c r="AI375" s="8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</row>
    <row r="376" spans="1:49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6"/>
      <c r="AE376" s="8"/>
      <c r="AF376" s="12"/>
      <c r="AG376" s="12"/>
      <c r="AH376" s="12"/>
      <c r="AI376" s="8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</row>
    <row r="377" spans="1:49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6"/>
      <c r="AE377" s="8"/>
      <c r="AF377" s="12"/>
      <c r="AG377" s="12"/>
      <c r="AH377" s="12"/>
      <c r="AI377" s="8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</row>
    <row r="378" spans="1:49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6"/>
      <c r="AE378" s="8"/>
      <c r="AF378" s="12"/>
      <c r="AG378" s="12"/>
      <c r="AH378" s="12"/>
      <c r="AI378" s="8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</row>
    <row r="379" spans="1:49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6"/>
      <c r="AE379" s="8"/>
      <c r="AF379" s="12"/>
      <c r="AG379" s="12"/>
      <c r="AH379" s="12"/>
      <c r="AI379" s="8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</row>
    <row r="380" spans="1:49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6"/>
      <c r="AE380" s="8"/>
      <c r="AF380" s="12"/>
      <c r="AG380" s="12"/>
      <c r="AH380" s="12"/>
      <c r="AI380" s="8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</row>
    <row r="381" spans="1:49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6"/>
      <c r="AE381" s="8"/>
      <c r="AF381" s="12"/>
      <c r="AG381" s="12"/>
      <c r="AH381" s="12"/>
      <c r="AI381" s="8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</row>
    <row r="382" spans="1:49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6"/>
      <c r="AE382" s="8"/>
      <c r="AF382" s="12"/>
      <c r="AG382" s="12"/>
      <c r="AH382" s="12"/>
      <c r="AI382" s="8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</row>
    <row r="383" spans="1:49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6"/>
      <c r="AE383" s="8"/>
      <c r="AF383" s="12"/>
      <c r="AG383" s="12"/>
      <c r="AH383" s="12"/>
      <c r="AI383" s="8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</row>
    <row r="384" spans="1:49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6"/>
      <c r="AE384" s="8"/>
      <c r="AF384" s="12"/>
      <c r="AG384" s="12"/>
      <c r="AH384" s="12"/>
      <c r="AI384" s="8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</row>
    <row r="385" spans="1:49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6"/>
      <c r="AE385" s="8"/>
      <c r="AF385" s="12"/>
      <c r="AG385" s="12"/>
      <c r="AH385" s="12"/>
      <c r="AI385" s="8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</row>
    <row r="386" spans="1:49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6"/>
      <c r="AE386" s="8"/>
      <c r="AF386" s="12"/>
      <c r="AG386" s="12"/>
      <c r="AH386" s="12"/>
      <c r="AI386" s="8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</row>
    <row r="387" spans="1:49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6"/>
      <c r="AE387" s="8"/>
      <c r="AF387" s="12"/>
      <c r="AG387" s="12"/>
      <c r="AH387" s="12"/>
      <c r="AI387" s="8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</row>
    <row r="388" spans="1:49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6"/>
      <c r="AE388" s="8"/>
      <c r="AF388" s="12"/>
      <c r="AG388" s="12"/>
      <c r="AH388" s="12"/>
      <c r="AI388" s="8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</row>
    <row r="389" spans="1:49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6"/>
      <c r="AE389" s="8"/>
      <c r="AF389" s="12"/>
      <c r="AG389" s="12"/>
      <c r="AH389" s="12"/>
      <c r="AI389" s="8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</row>
    <row r="390" spans="1:49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6"/>
      <c r="AE390" s="8"/>
      <c r="AF390" s="12"/>
      <c r="AG390" s="12"/>
      <c r="AH390" s="12"/>
      <c r="AI390" s="8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</row>
    <row r="391" spans="1:49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6"/>
      <c r="AE391" s="8"/>
      <c r="AF391" s="12"/>
      <c r="AG391" s="12"/>
      <c r="AH391" s="12"/>
      <c r="AI391" s="8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</row>
    <row r="392" spans="1:49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6"/>
      <c r="AE392" s="8"/>
      <c r="AF392" s="12"/>
      <c r="AG392" s="12"/>
      <c r="AH392" s="12"/>
      <c r="AI392" s="8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</row>
    <row r="393" spans="1:49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6"/>
      <c r="AE393" s="8"/>
      <c r="AF393" s="12"/>
      <c r="AG393" s="12"/>
      <c r="AH393" s="12"/>
      <c r="AI393" s="8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</row>
    <row r="394" spans="1:49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6"/>
      <c r="AE394" s="8"/>
      <c r="AF394" s="12"/>
      <c r="AG394" s="12"/>
      <c r="AH394" s="12"/>
      <c r="AI394" s="8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</row>
    <row r="395" spans="1:49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6"/>
      <c r="AE395" s="8"/>
      <c r="AF395" s="12"/>
      <c r="AG395" s="12"/>
      <c r="AH395" s="12"/>
      <c r="AI395" s="8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</row>
    <row r="396" spans="1:49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6"/>
      <c r="AE396" s="8"/>
      <c r="AF396" s="12"/>
      <c r="AG396" s="12"/>
      <c r="AH396" s="12"/>
      <c r="AI396" s="8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</row>
    <row r="397" spans="1:49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6"/>
      <c r="AE397" s="8"/>
      <c r="AF397" s="12"/>
      <c r="AG397" s="12"/>
      <c r="AH397" s="12"/>
      <c r="AI397" s="8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</row>
    <row r="398" spans="1:49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6"/>
      <c r="AE398" s="8"/>
      <c r="AF398" s="12"/>
      <c r="AG398" s="12"/>
      <c r="AH398" s="12"/>
      <c r="AI398" s="8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</row>
    <row r="399" spans="1:49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6"/>
      <c r="AE399" s="8"/>
      <c r="AF399" s="12"/>
      <c r="AG399" s="12"/>
      <c r="AH399" s="12"/>
      <c r="AI399" s="8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</row>
    <row r="400" spans="1:49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6"/>
      <c r="AE400" s="8"/>
      <c r="AF400" s="12"/>
      <c r="AG400" s="12"/>
      <c r="AH400" s="12"/>
      <c r="AI400" s="8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</row>
    <row r="401" spans="1:49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6"/>
      <c r="AE401" s="8"/>
      <c r="AF401" s="12"/>
      <c r="AG401" s="12"/>
      <c r="AH401" s="12"/>
      <c r="AI401" s="8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</row>
    <row r="402" spans="1:49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6"/>
      <c r="AE402" s="8"/>
      <c r="AF402" s="12"/>
      <c r="AG402" s="12"/>
      <c r="AH402" s="12"/>
      <c r="AI402" s="8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</row>
    <row r="403" spans="1:49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6"/>
      <c r="AE403" s="8"/>
      <c r="AF403" s="12"/>
      <c r="AG403" s="12"/>
      <c r="AH403" s="12"/>
      <c r="AI403" s="8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</row>
    <row r="404" spans="1:49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6"/>
      <c r="AE404" s="8"/>
      <c r="AF404" s="12"/>
      <c r="AG404" s="12"/>
      <c r="AH404" s="12"/>
      <c r="AI404" s="8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</row>
    <row r="405" spans="1:49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6"/>
      <c r="AE405" s="8"/>
      <c r="AF405" s="12"/>
      <c r="AG405" s="12"/>
      <c r="AH405" s="12"/>
      <c r="AI405" s="8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</row>
    <row r="406" spans="1:49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6"/>
      <c r="AE406" s="8"/>
      <c r="AF406" s="12"/>
      <c r="AG406" s="12"/>
      <c r="AH406" s="12"/>
      <c r="AI406" s="8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</row>
    <row r="407" spans="1:49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6"/>
      <c r="AE407" s="8"/>
      <c r="AF407" s="12"/>
      <c r="AG407" s="12"/>
      <c r="AH407" s="12"/>
      <c r="AI407" s="8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</row>
    <row r="408" spans="1:49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6"/>
      <c r="AE408" s="8"/>
      <c r="AF408" s="12"/>
      <c r="AG408" s="12"/>
      <c r="AH408" s="12"/>
      <c r="AI408" s="8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</row>
    <row r="409" spans="1:49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6"/>
      <c r="AE409" s="8"/>
      <c r="AF409" s="12"/>
      <c r="AG409" s="12"/>
      <c r="AH409" s="12"/>
      <c r="AI409" s="8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</row>
    <row r="410" spans="1:49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6"/>
      <c r="AE410" s="8"/>
      <c r="AF410" s="12"/>
      <c r="AG410" s="12"/>
      <c r="AH410" s="12"/>
      <c r="AI410" s="8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</row>
    <row r="411" spans="1:49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6"/>
      <c r="AE411" s="8"/>
      <c r="AF411" s="12"/>
      <c r="AG411" s="12"/>
      <c r="AH411" s="12"/>
      <c r="AI411" s="8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</row>
    <row r="412" spans="1:49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6"/>
      <c r="AE412" s="8"/>
      <c r="AF412" s="12"/>
      <c r="AG412" s="12"/>
      <c r="AH412" s="12"/>
      <c r="AI412" s="8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</row>
    <row r="413" spans="1:49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6"/>
      <c r="AE413" s="8"/>
      <c r="AF413" s="12"/>
      <c r="AG413" s="12"/>
      <c r="AH413" s="12"/>
      <c r="AI413" s="8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</row>
    <row r="414" spans="1:49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6"/>
      <c r="AE414" s="8"/>
      <c r="AF414" s="12"/>
      <c r="AG414" s="12"/>
      <c r="AH414" s="12"/>
      <c r="AI414" s="8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</row>
    <row r="415" spans="1:49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6"/>
      <c r="AE415" s="8"/>
      <c r="AF415" s="12"/>
      <c r="AG415" s="12"/>
      <c r="AH415" s="12"/>
      <c r="AI415" s="8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</row>
    <row r="416" spans="1:49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6"/>
      <c r="AE416" s="8"/>
      <c r="AF416" s="12"/>
      <c r="AG416" s="12"/>
      <c r="AH416" s="12"/>
      <c r="AI416" s="8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</row>
    <row r="417" spans="1:49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6"/>
      <c r="AE417" s="8"/>
      <c r="AF417" s="12"/>
      <c r="AG417" s="12"/>
      <c r="AH417" s="12"/>
      <c r="AI417" s="8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</row>
    <row r="418" spans="1:49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6"/>
      <c r="AE418" s="8"/>
      <c r="AF418" s="12"/>
      <c r="AG418" s="12"/>
      <c r="AH418" s="12"/>
      <c r="AI418" s="8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</row>
    <row r="419" spans="1:49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6"/>
      <c r="AE419" s="8"/>
      <c r="AF419" s="12"/>
      <c r="AG419" s="12"/>
      <c r="AH419" s="12"/>
      <c r="AI419" s="8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</row>
    <row r="420" spans="1:49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6"/>
      <c r="AE420" s="8"/>
      <c r="AF420" s="12"/>
      <c r="AG420" s="12"/>
      <c r="AH420" s="12"/>
      <c r="AI420" s="8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</row>
    <row r="421" spans="1:49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6"/>
      <c r="AE421" s="8"/>
      <c r="AF421" s="12"/>
      <c r="AG421" s="12"/>
      <c r="AH421" s="12"/>
      <c r="AI421" s="8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</row>
    <row r="422" spans="1:49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6"/>
      <c r="AE422" s="8"/>
      <c r="AF422" s="12"/>
      <c r="AG422" s="12"/>
      <c r="AH422" s="12"/>
      <c r="AI422" s="8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</row>
    <row r="423" spans="1:49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6"/>
      <c r="AE423" s="8"/>
      <c r="AF423" s="12"/>
      <c r="AG423" s="12"/>
      <c r="AH423" s="12"/>
      <c r="AI423" s="8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</row>
    <row r="424" spans="1:49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6"/>
      <c r="AE424" s="8"/>
      <c r="AF424" s="12"/>
      <c r="AG424" s="12"/>
      <c r="AH424" s="12"/>
      <c r="AI424" s="8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</row>
    <row r="425" spans="1:49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6"/>
      <c r="AE425" s="8"/>
      <c r="AF425" s="12"/>
      <c r="AG425" s="12"/>
      <c r="AH425" s="12"/>
      <c r="AI425" s="8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</row>
    <row r="426" spans="1:49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6"/>
      <c r="AE426" s="8"/>
      <c r="AF426" s="12"/>
      <c r="AG426" s="12"/>
      <c r="AH426" s="12"/>
      <c r="AI426" s="8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</row>
    <row r="427" spans="1:49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6"/>
      <c r="AE427" s="8"/>
      <c r="AF427" s="12"/>
      <c r="AG427" s="12"/>
      <c r="AH427" s="12"/>
      <c r="AI427" s="8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</row>
    <row r="428" spans="1:49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6"/>
      <c r="AE428" s="8"/>
      <c r="AF428" s="12"/>
      <c r="AG428" s="12"/>
      <c r="AH428" s="12"/>
      <c r="AI428" s="8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</row>
    <row r="429" spans="1:49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6"/>
      <c r="AE429" s="8"/>
      <c r="AF429" s="12"/>
      <c r="AG429" s="12"/>
      <c r="AH429" s="12"/>
      <c r="AI429" s="8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</row>
    <row r="430" spans="1:49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6"/>
      <c r="AE430" s="8"/>
      <c r="AF430" s="12"/>
      <c r="AG430" s="12"/>
      <c r="AH430" s="12"/>
      <c r="AI430" s="8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</row>
    <row r="431" spans="1:49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6"/>
      <c r="AE431" s="8"/>
      <c r="AF431" s="12"/>
      <c r="AG431" s="12"/>
      <c r="AH431" s="12"/>
      <c r="AI431" s="8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</row>
    <row r="432" spans="1:49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6"/>
      <c r="AE432" s="8"/>
      <c r="AF432" s="12"/>
      <c r="AG432" s="12"/>
      <c r="AH432" s="12"/>
      <c r="AI432" s="8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</row>
    <row r="433" spans="1:49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6"/>
      <c r="AE433" s="8"/>
      <c r="AF433" s="12"/>
      <c r="AG433" s="12"/>
      <c r="AH433" s="12"/>
      <c r="AI433" s="8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</row>
    <row r="434" spans="1:49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6"/>
      <c r="AE434" s="8"/>
      <c r="AF434" s="12"/>
      <c r="AG434" s="12"/>
      <c r="AH434" s="12"/>
      <c r="AI434" s="8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</row>
    <row r="435" spans="1:49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6"/>
      <c r="AE435" s="8"/>
      <c r="AF435" s="12"/>
      <c r="AG435" s="12"/>
      <c r="AH435" s="12"/>
      <c r="AI435" s="8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</row>
    <row r="436" spans="1:49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6"/>
      <c r="AE436" s="8"/>
      <c r="AF436" s="12"/>
      <c r="AG436" s="12"/>
      <c r="AH436" s="12"/>
      <c r="AI436" s="8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</row>
    <row r="437" spans="1:49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6"/>
      <c r="AE437" s="8"/>
      <c r="AF437" s="12"/>
      <c r="AG437" s="12"/>
      <c r="AH437" s="12"/>
      <c r="AI437" s="8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</row>
    <row r="438" spans="1:49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6"/>
      <c r="AE438" s="8"/>
      <c r="AF438" s="12"/>
      <c r="AG438" s="12"/>
      <c r="AH438" s="12"/>
      <c r="AI438" s="8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</row>
    <row r="439" spans="1:49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6"/>
      <c r="AE439" s="8"/>
      <c r="AF439" s="12"/>
      <c r="AG439" s="12"/>
      <c r="AH439" s="12"/>
      <c r="AI439" s="8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</row>
    <row r="440" spans="1:49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6"/>
      <c r="AE440" s="8"/>
      <c r="AF440" s="12"/>
      <c r="AG440" s="12"/>
      <c r="AH440" s="12"/>
      <c r="AI440" s="8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</row>
    <row r="441" spans="1:49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6"/>
      <c r="AE441" s="8"/>
      <c r="AF441" s="12"/>
      <c r="AG441" s="12"/>
      <c r="AH441" s="12"/>
      <c r="AI441" s="8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</row>
    <row r="442" spans="1:49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6"/>
      <c r="AE442" s="8"/>
      <c r="AF442" s="12"/>
      <c r="AG442" s="12"/>
      <c r="AH442" s="12"/>
      <c r="AI442" s="8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</row>
    <row r="443" spans="1:49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6"/>
      <c r="AE443" s="8"/>
      <c r="AF443" s="12"/>
      <c r="AG443" s="12"/>
      <c r="AH443" s="12"/>
      <c r="AI443" s="8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</row>
    <row r="444" spans="1:49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6"/>
      <c r="AE444" s="8"/>
      <c r="AF444" s="12"/>
      <c r="AG444" s="12"/>
      <c r="AH444" s="12"/>
      <c r="AI444" s="8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</row>
    <row r="445" spans="1:49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6"/>
      <c r="AE445" s="8"/>
      <c r="AF445" s="12"/>
      <c r="AG445" s="12"/>
      <c r="AH445" s="12"/>
      <c r="AI445" s="8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</row>
    <row r="446" spans="1:49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6"/>
      <c r="AE446" s="8"/>
      <c r="AF446" s="12"/>
      <c r="AG446" s="12"/>
      <c r="AH446" s="12"/>
      <c r="AI446" s="8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</row>
    <row r="447" spans="1:49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6"/>
      <c r="AE447" s="8"/>
      <c r="AF447" s="12"/>
      <c r="AG447" s="12"/>
      <c r="AH447" s="12"/>
      <c r="AI447" s="8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</row>
    <row r="448" spans="1:49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6"/>
      <c r="AE448" s="8"/>
      <c r="AF448" s="12"/>
      <c r="AG448" s="12"/>
      <c r="AH448" s="12"/>
      <c r="AI448" s="8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</row>
    <row r="449" spans="1:49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6"/>
      <c r="AE449" s="8"/>
      <c r="AF449" s="12"/>
      <c r="AG449" s="12"/>
      <c r="AH449" s="12"/>
      <c r="AI449" s="8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</row>
    <row r="450" spans="1:49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6"/>
      <c r="AE450" s="8"/>
      <c r="AF450" s="12"/>
      <c r="AG450" s="12"/>
      <c r="AH450" s="12"/>
      <c r="AI450" s="8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</row>
    <row r="451" spans="1:49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6"/>
      <c r="AE451" s="8"/>
      <c r="AF451" s="12"/>
      <c r="AG451" s="12"/>
      <c r="AH451" s="12"/>
      <c r="AI451" s="8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</row>
    <row r="452" spans="1:49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6"/>
      <c r="AE452" s="8"/>
      <c r="AF452" s="12"/>
      <c r="AG452" s="12"/>
      <c r="AH452" s="12"/>
      <c r="AI452" s="8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</row>
    <row r="453" spans="1:49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6"/>
      <c r="AE453" s="8"/>
      <c r="AF453" s="12"/>
      <c r="AG453" s="12"/>
      <c r="AH453" s="12"/>
      <c r="AI453" s="8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</row>
    <row r="454" spans="1:49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6"/>
      <c r="AE454" s="8"/>
      <c r="AF454" s="12"/>
      <c r="AG454" s="12"/>
      <c r="AH454" s="12"/>
      <c r="AI454" s="8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</row>
    <row r="455" spans="1:49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6"/>
      <c r="AE455" s="8"/>
      <c r="AF455" s="12"/>
      <c r="AG455" s="12"/>
      <c r="AH455" s="12"/>
      <c r="AI455" s="8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</row>
    <row r="456" spans="1:49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6"/>
      <c r="AE456" s="8"/>
      <c r="AF456" s="12"/>
      <c r="AG456" s="12"/>
      <c r="AH456" s="12"/>
      <c r="AI456" s="8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</row>
    <row r="457" spans="1:49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6"/>
      <c r="AE457" s="8"/>
      <c r="AF457" s="12"/>
      <c r="AG457" s="12"/>
      <c r="AH457" s="12"/>
      <c r="AI457" s="8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</row>
    <row r="458" spans="1:49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6"/>
      <c r="AE458" s="8"/>
      <c r="AF458" s="12"/>
      <c r="AG458" s="12"/>
      <c r="AH458" s="12"/>
      <c r="AI458" s="8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</row>
    <row r="459" spans="1:49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6"/>
      <c r="AE459" s="8"/>
      <c r="AF459" s="12"/>
      <c r="AG459" s="12"/>
      <c r="AH459" s="12"/>
      <c r="AI459" s="8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</row>
    <row r="460" spans="1:49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6"/>
      <c r="AE460" s="8"/>
      <c r="AF460" s="12"/>
      <c r="AG460" s="12"/>
      <c r="AH460" s="12"/>
      <c r="AI460" s="8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</row>
    <row r="461" spans="1:49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6"/>
      <c r="AE461" s="8"/>
      <c r="AF461" s="12"/>
      <c r="AG461" s="12"/>
      <c r="AH461" s="12"/>
      <c r="AI461" s="8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</row>
    <row r="462" spans="1:49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6"/>
      <c r="AE462" s="8"/>
      <c r="AF462" s="12"/>
      <c r="AG462" s="12"/>
      <c r="AH462" s="12"/>
      <c r="AI462" s="8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</row>
    <row r="463" spans="1:49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6"/>
      <c r="AE463" s="8"/>
      <c r="AF463" s="12"/>
      <c r="AG463" s="12"/>
      <c r="AH463" s="12"/>
      <c r="AI463" s="8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</row>
    <row r="464" spans="1:49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6"/>
      <c r="AE464" s="8"/>
      <c r="AF464" s="12"/>
      <c r="AG464" s="12"/>
      <c r="AH464" s="12"/>
      <c r="AI464" s="8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</row>
    <row r="465" spans="1:49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6"/>
      <c r="AE465" s="8"/>
      <c r="AF465" s="12"/>
      <c r="AG465" s="12"/>
      <c r="AH465" s="12"/>
      <c r="AI465" s="8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</row>
    <row r="466" spans="1:49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6"/>
      <c r="AE466" s="8"/>
      <c r="AF466" s="12"/>
      <c r="AG466" s="12"/>
      <c r="AH466" s="12"/>
      <c r="AI466" s="8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</row>
    <row r="467" spans="1:49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6"/>
      <c r="AE467" s="8"/>
      <c r="AF467" s="12"/>
      <c r="AG467" s="12"/>
      <c r="AH467" s="12"/>
      <c r="AI467" s="8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</row>
    <row r="468" spans="1:49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6"/>
      <c r="AE468" s="8"/>
      <c r="AF468" s="12"/>
      <c r="AG468" s="12"/>
      <c r="AH468" s="12"/>
      <c r="AI468" s="8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</row>
    <row r="469" spans="1:49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6"/>
      <c r="AE469" s="8"/>
      <c r="AF469" s="12"/>
      <c r="AG469" s="12"/>
      <c r="AH469" s="12"/>
      <c r="AI469" s="8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</row>
    <row r="470" spans="1:49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6"/>
      <c r="AE470" s="8"/>
      <c r="AF470" s="12"/>
      <c r="AG470" s="12"/>
      <c r="AH470" s="12"/>
      <c r="AI470" s="8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</row>
    <row r="471" spans="1:49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6"/>
      <c r="AE471" s="8"/>
      <c r="AF471" s="12"/>
      <c r="AG471" s="12"/>
      <c r="AH471" s="12"/>
      <c r="AI471" s="8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</row>
    <row r="472" spans="1:49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6"/>
      <c r="AE472" s="8"/>
      <c r="AF472" s="12"/>
      <c r="AG472" s="12"/>
      <c r="AH472" s="12"/>
      <c r="AI472" s="8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</row>
    <row r="473" spans="1:49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6"/>
      <c r="AE473" s="8"/>
      <c r="AF473" s="12"/>
      <c r="AG473" s="12"/>
      <c r="AH473" s="12"/>
      <c r="AI473" s="8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</row>
    <row r="474" spans="1:49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6"/>
      <c r="AE474" s="8"/>
      <c r="AF474" s="12"/>
      <c r="AG474" s="12"/>
      <c r="AH474" s="12"/>
      <c r="AI474" s="8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</row>
    <row r="475" spans="1:49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6"/>
      <c r="AE475" s="8"/>
      <c r="AF475" s="12"/>
      <c r="AG475" s="12"/>
      <c r="AH475" s="12"/>
      <c r="AI475" s="8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</row>
    <row r="476" spans="1:49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6"/>
      <c r="AE476" s="8"/>
      <c r="AF476" s="12"/>
      <c r="AG476" s="12"/>
      <c r="AH476" s="12"/>
      <c r="AI476" s="8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</row>
    <row r="477" spans="1:49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6"/>
      <c r="AE477" s="8"/>
      <c r="AF477" s="12"/>
      <c r="AG477" s="12"/>
      <c r="AH477" s="12"/>
      <c r="AI477" s="8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</row>
    <row r="478" spans="1:49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6"/>
      <c r="AE478" s="8"/>
      <c r="AF478" s="12"/>
      <c r="AG478" s="12"/>
      <c r="AH478" s="12"/>
      <c r="AI478" s="8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</row>
    <row r="479" spans="1:49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6"/>
      <c r="AE479" s="8"/>
      <c r="AF479" s="12"/>
      <c r="AG479" s="12"/>
      <c r="AH479" s="12"/>
      <c r="AI479" s="8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</row>
    <row r="480" spans="1:49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6"/>
      <c r="AE480" s="8"/>
      <c r="AF480" s="12"/>
      <c r="AG480" s="12"/>
      <c r="AH480" s="12"/>
      <c r="AI480" s="8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</row>
    <row r="481" spans="1:49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6"/>
      <c r="AE481" s="8"/>
      <c r="AF481" s="12"/>
      <c r="AG481" s="12"/>
      <c r="AH481" s="12"/>
      <c r="AI481" s="8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</row>
    <row r="482" spans="1:49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6"/>
      <c r="AE482" s="8"/>
      <c r="AF482" s="12"/>
      <c r="AG482" s="12"/>
      <c r="AH482" s="12"/>
      <c r="AI482" s="8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</row>
    <row r="483" spans="1:49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6"/>
      <c r="AE483" s="8"/>
      <c r="AF483" s="12"/>
      <c r="AG483" s="12"/>
      <c r="AH483" s="12"/>
      <c r="AI483" s="8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</row>
    <row r="484" spans="1:49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6"/>
      <c r="AE484" s="8"/>
      <c r="AF484" s="12"/>
      <c r="AG484" s="12"/>
      <c r="AH484" s="12"/>
      <c r="AI484" s="8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</row>
    <row r="485" spans="1:49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6"/>
      <c r="AE485" s="8"/>
      <c r="AF485" s="12"/>
      <c r="AG485" s="12"/>
      <c r="AH485" s="12"/>
      <c r="AI485" s="8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</row>
    <row r="486" spans="1:49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6"/>
      <c r="AE486" s="8"/>
      <c r="AF486" s="12"/>
      <c r="AG486" s="12"/>
      <c r="AH486" s="12"/>
      <c r="AI486" s="8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</row>
    <row r="487" spans="1:49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6"/>
      <c r="AE487" s="8"/>
      <c r="AF487" s="12"/>
      <c r="AG487" s="12"/>
      <c r="AH487" s="12"/>
      <c r="AI487" s="8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</row>
    <row r="488" spans="1:49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6"/>
      <c r="AE488" s="8"/>
      <c r="AF488" s="12"/>
      <c r="AG488" s="12"/>
      <c r="AH488" s="12"/>
      <c r="AI488" s="8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</row>
    <row r="489" spans="1:49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6"/>
      <c r="AE489" s="8"/>
      <c r="AF489" s="12"/>
      <c r="AG489" s="12"/>
      <c r="AH489" s="12"/>
      <c r="AI489" s="8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</row>
    <row r="490" spans="1:49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6"/>
      <c r="AE490" s="8"/>
      <c r="AF490" s="12"/>
      <c r="AG490" s="12"/>
      <c r="AH490" s="12"/>
      <c r="AI490" s="8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</row>
    <row r="491" spans="1:49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6"/>
      <c r="AE491" s="8"/>
      <c r="AF491" s="12"/>
      <c r="AG491" s="12"/>
      <c r="AH491" s="12"/>
      <c r="AI491" s="8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</row>
    <row r="492" spans="1:49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6"/>
      <c r="AE492" s="8"/>
      <c r="AF492" s="12"/>
      <c r="AG492" s="12"/>
      <c r="AH492" s="12"/>
      <c r="AI492" s="8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</row>
    <row r="493" spans="1:49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6"/>
      <c r="AE493" s="8"/>
      <c r="AF493" s="12"/>
      <c r="AG493" s="12"/>
      <c r="AH493" s="12"/>
      <c r="AI493" s="8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</row>
    <row r="494" spans="1:49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6"/>
      <c r="AE494" s="8"/>
      <c r="AF494" s="12"/>
      <c r="AG494" s="12"/>
      <c r="AH494" s="12"/>
      <c r="AI494" s="8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</row>
    <row r="495" spans="1:49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6"/>
      <c r="AE495" s="8"/>
      <c r="AF495" s="12"/>
      <c r="AG495" s="12"/>
      <c r="AH495" s="12"/>
      <c r="AI495" s="8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</row>
    <row r="496" spans="1:49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6"/>
      <c r="AE496" s="8"/>
      <c r="AF496" s="12"/>
      <c r="AG496" s="12"/>
      <c r="AH496" s="12"/>
      <c r="AI496" s="8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</row>
    <row r="497" spans="1:49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6"/>
      <c r="AE497" s="8"/>
      <c r="AF497" s="12"/>
      <c r="AG497" s="12"/>
      <c r="AH497" s="12"/>
      <c r="AI497" s="8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</row>
    <row r="498" spans="1:49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6"/>
      <c r="AE498" s="8"/>
      <c r="AF498" s="12"/>
      <c r="AG498" s="12"/>
      <c r="AH498" s="12"/>
      <c r="AI498" s="8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</row>
    <row r="499" spans="1:49" x14ac:dyDescent="0.25">
      <c r="A499" s="12"/>
      <c r="B499" s="12"/>
      <c r="C499" s="12"/>
      <c r="D499" s="12"/>
      <c r="E499" s="12"/>
      <c r="F499" s="12"/>
      <c r="G499" s="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6"/>
      <c r="AE499" s="8"/>
      <c r="AF499" s="12"/>
      <c r="AG499" s="12"/>
      <c r="AH499" s="12"/>
      <c r="AI499" s="8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</row>
  </sheetData>
  <autoFilter ref="A3:AI67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2026-07-09T09:04:41Z</dcterms:created>
  <dcterms:modified xsi:type="dcterms:W3CDTF">2026-07-09T09:30:50Z</dcterms:modified>
</cp:coreProperties>
</file>