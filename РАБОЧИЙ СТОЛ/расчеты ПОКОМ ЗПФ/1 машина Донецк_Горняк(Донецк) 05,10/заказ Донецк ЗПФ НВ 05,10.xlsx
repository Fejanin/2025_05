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0C1EE1B-3772-45ED-A1C1-FCDB68F9DE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Y282" i="1" s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M259" i="1"/>
  <c r="Z259" i="1"/>
  <c r="Y259" i="1"/>
  <c r="BP259" i="1" s="1"/>
  <c r="P259" i="1"/>
  <c r="X255" i="1"/>
  <c r="X254" i="1"/>
  <c r="BO253" i="1"/>
  <c r="BM253" i="1"/>
  <c r="Z253" i="1"/>
  <c r="Z254" i="1" s="1"/>
  <c r="Y253" i="1"/>
  <c r="Y255" i="1" s="1"/>
  <c r="P253" i="1"/>
  <c r="X251" i="1"/>
  <c r="X250" i="1"/>
  <c r="BO249" i="1"/>
  <c r="BM249" i="1"/>
  <c r="Z249" i="1"/>
  <c r="Z250" i="1" s="1"/>
  <c r="Y249" i="1"/>
  <c r="Y251" i="1" s="1"/>
  <c r="P249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Z240" i="1" s="1"/>
  <c r="Y239" i="1"/>
  <c r="Y241" i="1" s="1"/>
  <c r="P239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BP215" i="1" s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BP190" i="1" s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BP153" i="1" s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BO139" i="1"/>
  <c r="BM139" i="1"/>
  <c r="Z139" i="1"/>
  <c r="Y139" i="1"/>
  <c r="BP139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P132" i="1"/>
  <c r="Y130" i="1"/>
  <c r="X130" i="1"/>
  <c r="X129" i="1"/>
  <c r="BO128" i="1"/>
  <c r="BM128" i="1"/>
  <c r="Z128" i="1"/>
  <c r="Z129" i="1" s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Y121" i="1" s="1"/>
  <c r="P119" i="1"/>
  <c r="X117" i="1"/>
  <c r="X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P76" i="1"/>
  <c r="X73" i="1"/>
  <c r="X72" i="1"/>
  <c r="BO71" i="1"/>
  <c r="BM71" i="1"/>
  <c r="Z71" i="1"/>
  <c r="Y71" i="1"/>
  <c r="P71" i="1"/>
  <c r="BP70" i="1"/>
  <c r="BO70" i="1"/>
  <c r="BN70" i="1"/>
  <c r="BM70" i="1"/>
  <c r="Z70" i="1"/>
  <c r="Y70" i="1"/>
  <c r="P70" i="1"/>
  <c r="BO69" i="1"/>
  <c r="BM69" i="1"/>
  <c r="Z69" i="1"/>
  <c r="Z72" i="1" s="1"/>
  <c r="Y69" i="1"/>
  <c r="Y73" i="1" s="1"/>
  <c r="P69" i="1"/>
  <c r="X67" i="1"/>
  <c r="X66" i="1"/>
  <c r="BO65" i="1"/>
  <c r="BM65" i="1"/>
  <c r="Z65" i="1"/>
  <c r="Z66" i="1" s="1"/>
  <c r="Y65" i="1"/>
  <c r="P65" i="1"/>
  <c r="Y63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X287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Y218" i="1" l="1"/>
  <c r="Y30" i="1"/>
  <c r="Y37" i="1"/>
  <c r="BN35" i="1"/>
  <c r="Y43" i="1"/>
  <c r="Y50" i="1"/>
  <c r="BN48" i="1"/>
  <c r="BN77" i="1"/>
  <c r="BN94" i="1"/>
  <c r="BN96" i="1"/>
  <c r="BN98" i="1"/>
  <c r="Y105" i="1"/>
  <c r="Y106" i="1"/>
  <c r="Z116" i="1"/>
  <c r="BN110" i="1"/>
  <c r="BN112" i="1"/>
  <c r="BN114" i="1"/>
  <c r="Z142" i="1"/>
  <c r="BN139" i="1"/>
  <c r="BN141" i="1"/>
  <c r="BN153" i="1"/>
  <c r="Y160" i="1"/>
  <c r="Y161" i="1"/>
  <c r="BN190" i="1"/>
  <c r="Y205" i="1"/>
  <c r="Y206" i="1"/>
  <c r="BN215" i="1"/>
  <c r="BN227" i="1"/>
  <c r="BP227" i="1"/>
  <c r="Y228" i="1"/>
  <c r="BN233" i="1"/>
  <c r="BP233" i="1"/>
  <c r="Y234" i="1"/>
  <c r="BN239" i="1"/>
  <c r="BP239" i="1"/>
  <c r="Y240" i="1"/>
  <c r="BN243" i="1"/>
  <c r="BP243" i="1"/>
  <c r="Y244" i="1"/>
  <c r="BN249" i="1"/>
  <c r="BP249" i="1"/>
  <c r="Y250" i="1"/>
  <c r="BN253" i="1"/>
  <c r="BP253" i="1"/>
  <c r="Y254" i="1"/>
  <c r="Z261" i="1"/>
  <c r="BN259" i="1"/>
  <c r="Y31" i="1"/>
  <c r="Y36" i="1"/>
  <c r="Y44" i="1"/>
  <c r="Y49" i="1"/>
  <c r="BP56" i="1"/>
  <c r="BN56" i="1"/>
  <c r="Y66" i="1"/>
  <c r="BP65" i="1"/>
  <c r="BN65" i="1"/>
  <c r="Y79" i="1"/>
  <c r="BP76" i="1"/>
  <c r="BN76" i="1"/>
  <c r="Y78" i="1"/>
  <c r="BP88" i="1"/>
  <c r="BN88" i="1"/>
  <c r="Y116" i="1"/>
  <c r="BP109" i="1"/>
  <c r="BN109" i="1"/>
  <c r="BP111" i="1"/>
  <c r="BN111" i="1"/>
  <c r="BP113" i="1"/>
  <c r="BN113" i="1"/>
  <c r="BP115" i="1"/>
  <c r="BN115" i="1"/>
  <c r="Y124" i="1"/>
  <c r="BP123" i="1"/>
  <c r="BN123" i="1"/>
  <c r="Y137" i="1"/>
  <c r="BP132" i="1"/>
  <c r="BN132" i="1"/>
  <c r="BP134" i="1"/>
  <c r="BN134" i="1"/>
  <c r="Y136" i="1"/>
  <c r="BP140" i="1"/>
  <c r="BN140" i="1"/>
  <c r="Y142" i="1"/>
  <c r="BP147" i="1"/>
  <c r="BN147" i="1"/>
  <c r="Y175" i="1"/>
  <c r="BP174" i="1"/>
  <c r="BN174" i="1"/>
  <c r="Y176" i="1"/>
  <c r="Y224" i="1"/>
  <c r="BP221" i="1"/>
  <c r="BN221" i="1"/>
  <c r="Y223" i="1"/>
  <c r="BP260" i="1"/>
  <c r="BN260" i="1"/>
  <c r="Y262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Y57" i="1"/>
  <c r="BN54" i="1"/>
  <c r="Y58" i="1"/>
  <c r="Y62" i="1"/>
  <c r="BP61" i="1"/>
  <c r="BN61" i="1"/>
  <c r="Y67" i="1"/>
  <c r="Y72" i="1"/>
  <c r="BP69" i="1"/>
  <c r="BN69" i="1"/>
  <c r="BP71" i="1"/>
  <c r="BN71" i="1"/>
  <c r="Z78" i="1"/>
  <c r="Y89" i="1"/>
  <c r="Y90" i="1"/>
  <c r="Y100" i="1"/>
  <c r="BP93" i="1"/>
  <c r="BN93" i="1"/>
  <c r="BP95" i="1"/>
  <c r="BN95" i="1"/>
  <c r="BP97" i="1"/>
  <c r="BN97" i="1"/>
  <c r="Y99" i="1"/>
  <c r="BP104" i="1"/>
  <c r="BN104" i="1"/>
  <c r="Y117" i="1"/>
  <c r="Y120" i="1"/>
  <c r="BP119" i="1"/>
  <c r="BN119" i="1"/>
  <c r="Y125" i="1"/>
  <c r="Y129" i="1"/>
  <c r="BP128" i="1"/>
  <c r="BN128" i="1"/>
  <c r="Z136" i="1"/>
  <c r="Y143" i="1"/>
  <c r="Y165" i="1"/>
  <c r="BP164" i="1"/>
  <c r="BN164" i="1"/>
  <c r="Y166" i="1"/>
  <c r="Y185" i="1"/>
  <c r="BP184" i="1"/>
  <c r="BN184" i="1"/>
  <c r="Y186" i="1"/>
  <c r="Y211" i="1"/>
  <c r="BP210" i="1"/>
  <c r="BN210" i="1"/>
  <c r="Y212" i="1"/>
  <c r="Y148" i="1"/>
  <c r="Y149" i="1"/>
  <c r="Y155" i="1"/>
  <c r="BP152" i="1"/>
  <c r="BN152" i="1"/>
  <c r="Y154" i="1"/>
  <c r="BP159" i="1"/>
  <c r="BN159" i="1"/>
  <c r="Y170" i="1"/>
  <c r="BP169" i="1"/>
  <c r="BN169" i="1"/>
  <c r="Y181" i="1"/>
  <c r="BP180" i="1"/>
  <c r="BN180" i="1"/>
  <c r="Y192" i="1"/>
  <c r="BP189" i="1"/>
  <c r="BN189" i="1"/>
  <c r="Y191" i="1"/>
  <c r="BP202" i="1"/>
  <c r="BN202" i="1"/>
  <c r="BP204" i="1"/>
  <c r="BN204" i="1"/>
  <c r="Y217" i="1"/>
  <c r="BP214" i="1"/>
  <c r="BN214" i="1"/>
  <c r="BP216" i="1"/>
  <c r="BN216" i="1"/>
  <c r="Z223" i="1"/>
  <c r="Y261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5" i="1"/>
  <c r="Y286" i="1" s="1"/>
  <c r="Y284" i="1"/>
  <c r="Y287" i="1"/>
  <c r="X286" i="1"/>
  <c r="Y283" i="1"/>
  <c r="B296" i="1" l="1"/>
  <c r="C296" i="1"/>
  <c r="A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<sst xmlns="http://schemas.openxmlformats.org/spreadsheetml/2006/main" count="1313" uniqueCount="435">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</sst>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28</v>
      </c>
      <c r="Y43" s="280">
        <f>IFERROR(SUM(Y41:Y42),"0")</f>
        <v>28</v>
      </c>
      <c r="Z43" s="280">
        <f>IFERROR(IF(Z41="",0,Z41),"0")+IFERROR(IF(Z42="",0,Z42),"0")</f>
        <v>0.26347999999999999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42</v>
      </c>
      <c r="Y44" s="280">
        <f>IFERROR(SUMPRODUCT(Y41:Y42*H41:H42),"0")</f>
        <v>42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403.2</v>
      </c>
      <c r="Y50" s="280">
        <f>IFERROR(SUMPRODUCT(Y47:Y48*H47:H48),"0")</f>
        <v>403.2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48</v>
      </c>
      <c r="Y54" s="279">
        <f>IFERROR(IF(X54="","",X54),"")</f>
        <v>48</v>
      </c>
      <c r="Z54" s="36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24</v>
      </c>
      <c r="Y56" s="279">
        <f>IFERROR(IF(X56="","",X56),"")</f>
        <v>24</v>
      </c>
      <c r="Z56" s="36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108</v>
      </c>
      <c r="Y57" s="280">
        <f>IFERROR(SUM(Y53:Y56),"0")</f>
        <v>108</v>
      </c>
      <c r="Z57" s="280">
        <f>IFERROR(IF(Z53="",0,Z53),"0")+IFERROR(IF(Z54="",0,Z54),"0")+IFERROR(IF(Z55="",0,Z55),"0")+IFERROR(IF(Z56="",0,Z56),"0")</f>
        <v>1.6739999999999999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756</v>
      </c>
      <c r="Y58" s="280">
        <f>IFERROR(SUMPRODUCT(Y53:Y56*H53:H56),"0")</f>
        <v>756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12</v>
      </c>
      <c r="Y77" s="279">
        <f>IFERROR(IF(X77="","",X77),"")</f>
        <v>12</v>
      </c>
      <c r="Z77" s="36">
        <f>IFERROR(IF(X77="","",X77*0.00866),"")</f>
        <v>0.10391999999999998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62.558399999999992</v>
      </c>
      <c r="BN77" s="67">
        <f>IFERROR(Y77*I77,"0")</f>
        <v>62.558399999999992</v>
      </c>
      <c r="BO77" s="67">
        <f>IFERROR(X77/J77,"0")</f>
        <v>8.3333333333333329E-2</v>
      </c>
      <c r="BP77" s="67">
        <f>IFERROR(Y77/J77,"0")</f>
        <v>8.3333333333333329E-2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12</v>
      </c>
      <c r="Y78" s="280">
        <f>IFERROR(SUM(Y76:Y77),"0")</f>
        <v>12</v>
      </c>
      <c r="Z78" s="280">
        <f>IFERROR(IF(Z76="",0,Z76),"0")+IFERROR(IF(Z77="",0,Z77),"0")</f>
        <v>0.10391999999999998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60</v>
      </c>
      <c r="Y79" s="280">
        <f>IFERROR(SUMPRODUCT(Y76:Y77*H76:H77),"0")</f>
        <v>60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42</v>
      </c>
      <c r="Y89" s="280">
        <f>IFERROR(SUM(Y87:Y88),"0")</f>
        <v>42</v>
      </c>
      <c r="Z89" s="280">
        <f>IFERROR(IF(Z87="",0,Z87),"0")+IFERROR(IF(Z88="",0,Z88),"0")</f>
        <v>0.75095999999999996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151.19999999999999</v>
      </c>
      <c r="Y90" s="280">
        <f>IFERROR(SUMPRODUCT(Y87:Y88*H87:H88),"0")</f>
        <v>151.19999999999999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182</v>
      </c>
      <c r="Y99" s="280">
        <f>IFERROR(SUM(Y93:Y98),"0")</f>
        <v>182</v>
      </c>
      <c r="Z99" s="280">
        <f>IFERROR(IF(Z93="",0,Z93),"0")+IFERROR(IF(Z94="",0,Z94),"0")+IFERROR(IF(Z95="",0,Z95),"0")+IFERROR(IF(Z96="",0,Z96),"0")+IFERROR(IF(Z97="",0,Z97),"0")+IFERROR(IF(Z98="",0,Z98),"0")</f>
        <v>3.2541599999999997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556.07999999999993</v>
      </c>
      <c r="Y100" s="280">
        <f>IFERROR(SUMPRODUCT(Y93:Y98*H93:H98),"0")</f>
        <v>556.07999999999993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24</v>
      </c>
      <c r="Y109" s="279">
        <f t="shared" ref="Y109:Y115" si="12">IFERROR(IF(X109="","",X109),"")</f>
        <v>24</v>
      </c>
      <c r="Z109" s="36">
        <f t="shared" ref="Z109:Z115" si="13">IFERROR(IF(X109="","",X109*0.0155),"")</f>
        <v>0.372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174.72</v>
      </c>
      <c r="BN109" s="67">
        <f t="shared" ref="BN109:BN115" si="15">IFERROR(Y109*I109,"0")</f>
        <v>174.72</v>
      </c>
      <c r="BO109" s="67">
        <f t="shared" ref="BO109:BO115" si="16">IFERROR(X109/J109,"0")</f>
        <v>0.2857142857142857</v>
      </c>
      <c r="BP109" s="67">
        <f t="shared" ref="BP109:BP115" si="17">IFERROR(Y109/J109,"0")</f>
        <v>0.2857142857142857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72</v>
      </c>
      <c r="Y112" s="279">
        <f t="shared" si="12"/>
        <v>72</v>
      </c>
      <c r="Z112" s="36">
        <f t="shared" si="13"/>
        <v>1.1160000000000001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525.6</v>
      </c>
      <c r="BN112" s="67">
        <f t="shared" si="15"/>
        <v>525.6</v>
      </c>
      <c r="BO112" s="67">
        <f t="shared" si="16"/>
        <v>0.8571428571428571</v>
      </c>
      <c r="BP112" s="67">
        <f t="shared" si="17"/>
        <v>0.8571428571428571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48</v>
      </c>
      <c r="Y115" s="279">
        <f t="shared" si="12"/>
        <v>48</v>
      </c>
      <c r="Z115" s="36">
        <f t="shared" si="13"/>
        <v>0.74399999999999999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350.4</v>
      </c>
      <c r="BN115" s="67">
        <f t="shared" si="15"/>
        <v>350.4</v>
      </c>
      <c r="BO115" s="67">
        <f t="shared" si="16"/>
        <v>0.5714285714285714</v>
      </c>
      <c r="BP115" s="67">
        <f t="shared" si="17"/>
        <v>0.5714285714285714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168</v>
      </c>
      <c r="Y116" s="280">
        <f>IFERROR(SUM(Y109:Y115),"0")</f>
        <v>168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2.6040000000000001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1161.5999999999999</v>
      </c>
      <c r="Y117" s="280">
        <f>IFERROR(SUMPRODUCT(Y109:Y115*H109:H115),"0")</f>
        <v>1161.5999999999999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0.65870000000000006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95.76</v>
      </c>
      <c r="Y137" s="280">
        <f>IFERROR(SUMPRODUCT(Y132:Y135*H132:H135),"0")</f>
        <v>95.76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14</v>
      </c>
      <c r="Y142" s="280">
        <f>IFERROR(SUM(Y139:Y141),"0")</f>
        <v>14</v>
      </c>
      <c r="Z142" s="280">
        <f>IFERROR(IF(Z139="",0,Z139),"0")+IFERROR(IF(Z140="",0,Z140),"0")+IFERROR(IF(Z141="",0,Z141),"0")</f>
        <v>0.13174</v>
      </c>
      <c r="AA142" s="281"/>
      <c r="AB142" s="281"/>
      <c r="AC142" s="281"/>
    </row>
    <row r="143" spans="1:68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15.120000000000001</v>
      </c>
      <c r="Y143" s="280">
        <f>IFERROR(SUMPRODUCT(Y139:Y141*H139:H141),"0")</f>
        <v>15.120000000000001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42</v>
      </c>
      <c r="Y146" s="27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155.55119999999999</v>
      </c>
      <c r="BN146" s="67">
        <f>IFERROR(Y146*I146,"0")</f>
        <v>155.55119999999999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14</v>
      </c>
      <c r="Y147" s="279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51.850399999999993</v>
      </c>
      <c r="BN147" s="67">
        <f>IFERROR(Y147*I147,"0")</f>
        <v>51.850399999999993</v>
      </c>
      <c r="BO147" s="67">
        <f>IFERROR(X147/J147,"0")</f>
        <v>0.2</v>
      </c>
      <c r="BP147" s="67">
        <f>IFERROR(Y147/J147,"0")</f>
        <v>0.2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56</v>
      </c>
      <c r="Y148" s="280">
        <f>IFERROR(SUM(Y146:Y147),"0")</f>
        <v>56</v>
      </c>
      <c r="Z148" s="280">
        <f>IFERROR(IF(Z146="",0,Z146),"0")+IFERROR(IF(Z147="",0,Z147),"0")</f>
        <v>1.0012799999999999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168</v>
      </c>
      <c r="Y149" s="280">
        <f>IFERROR(SUMPRODUCT(Y146:Y147*H146:H147),"0")</f>
        <v>168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28</v>
      </c>
      <c r="Y152" s="27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104.944</v>
      </c>
      <c r="BN152" s="67">
        <f>IFERROR(Y152*I152,"0")</f>
        <v>104.944</v>
      </c>
      <c r="BO152" s="67">
        <f>IFERROR(X152/J152,"0")</f>
        <v>0.4</v>
      </c>
      <c r="BP152" s="67">
        <f>IFERROR(Y152/J152,"0")</f>
        <v>0.4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56</v>
      </c>
      <c r="Y154" s="280">
        <f>IFERROR(SUM(Y152:Y153),"0")</f>
        <v>56</v>
      </c>
      <c r="Z154" s="280">
        <f>IFERROR(IF(Z152="",0,Z152),"0")+IFERROR(IF(Z153="",0,Z153),"0")</f>
        <v>1.0012799999999999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168</v>
      </c>
      <c r="Y155" s="280">
        <f>IFERROR(SUMPRODUCT(Y152:Y153*H152:H153),"0")</f>
        <v>168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28</v>
      </c>
      <c r="Y159" s="279">
        <f>IFERROR(IF(X159="","",X159),"")</f>
        <v>28</v>
      </c>
      <c r="Z159" s="36">
        <f>IFERROR(IF(X159="","",X159*0.01788),"")</f>
        <v>0.50063999999999997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75.040000000000006</v>
      </c>
      <c r="BN159" s="67">
        <f>IFERROR(Y159*I159,"0")</f>
        <v>75.040000000000006</v>
      </c>
      <c r="BO159" s="67">
        <f>IFERROR(X159/J159,"0")</f>
        <v>0.4</v>
      </c>
      <c r="BP159" s="67">
        <f>IFERROR(Y159/J159,"0")</f>
        <v>0.4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56</v>
      </c>
      <c r="Y160" s="280">
        <f>IFERROR(SUM(Y158:Y159),"0")</f>
        <v>56</v>
      </c>
      <c r="Z160" s="280">
        <f>IFERROR(IF(Z158="",0,Z158),"0")+IFERROR(IF(Z159="",0,Z159),"0")</f>
        <v>1.0012799999999999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134.4</v>
      </c>
      <c r="Y161" s="280">
        <f>IFERROR(SUMPRODUCT(Y158:Y159*H158:H159),"0")</f>
        <v>134.4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24</v>
      </c>
      <c r="Y190" s="279">
        <f>IFERROR(IF(X190="","",X190),"")</f>
        <v>24</v>
      </c>
      <c r="Z190" s="36">
        <f>IFERROR(IF(X190="","",X190*0.00866),"")</f>
        <v>0.20783999999999997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125.11679999999998</v>
      </c>
      <c r="BN190" s="67">
        <f>IFERROR(Y190*I190,"0")</f>
        <v>125.11679999999998</v>
      </c>
      <c r="BO190" s="67">
        <f>IFERROR(X190/J190,"0")</f>
        <v>0.16666666666666666</v>
      </c>
      <c r="BP190" s="67">
        <f>IFERROR(Y190/J190,"0")</f>
        <v>0.16666666666666666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24</v>
      </c>
      <c r="Y191" s="280">
        <f>IFERROR(SUM(Y189:Y190),"0")</f>
        <v>24</v>
      </c>
      <c r="Z191" s="280">
        <f>IFERROR(IF(Z189="",0,Z189),"0")+IFERROR(IF(Z190="",0,Z190),"0")</f>
        <v>0.20783999999999997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120</v>
      </c>
      <c r="Y192" s="280">
        <f>IFERROR(SUMPRODUCT(Y189:Y190*H189:H190),"0")</f>
        <v>120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hidden="1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70</v>
      </c>
      <c r="Y210" s="279">
        <f>IFERROR(IF(X210="","",X210),"")</f>
        <v>70</v>
      </c>
      <c r="Z210" s="36">
        <f>IFERROR(IF(X210="","",X210*0.01788),"")</f>
        <v>1.2516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208.6</v>
      </c>
      <c r="BN210" s="67">
        <f>IFERROR(Y210*I210,"0")</f>
        <v>208.6</v>
      </c>
      <c r="BO210" s="67">
        <f>IFERROR(X210/J210,"0")</f>
        <v>1</v>
      </c>
      <c r="BP210" s="67">
        <f>IFERROR(Y210/J210,"0")</f>
        <v>1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70</v>
      </c>
      <c r="Y211" s="280">
        <f>IFERROR(SUM(Y210:Y210),"0")</f>
        <v>70</v>
      </c>
      <c r="Z211" s="280">
        <f>IFERROR(IF(Z210="",0,Z210),"0")</f>
        <v>1.2516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193.2</v>
      </c>
      <c r="Y212" s="280">
        <f>IFERROR(SUMPRODUCT(Y210:Y210*H210:H210),"0")</f>
        <v>193.2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120</v>
      </c>
      <c r="Y227" s="279">
        <f>IFERROR(IF(X227="","",X227),"")</f>
        <v>120</v>
      </c>
      <c r="Z227" s="36">
        <f>IFERROR(IF(X227="","",X227*0.0155),"")</f>
        <v>1.8599999999999999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627.6</v>
      </c>
      <c r="BN227" s="67">
        <f>IFERROR(Y227*I227,"0")</f>
        <v>627.6</v>
      </c>
      <c r="BO227" s="67">
        <f>IFERROR(X227/J227,"0")</f>
        <v>1.4285714285714286</v>
      </c>
      <c r="BP227" s="67">
        <f>IFERROR(Y227/J227,"0")</f>
        <v>1.4285714285714286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120</v>
      </c>
      <c r="Y228" s="280">
        <f>IFERROR(SUM(Y227:Y227),"0")</f>
        <v>120</v>
      </c>
      <c r="Z228" s="280">
        <f>IFERROR(IF(Z227="",0,Z227),"0")</f>
        <v>1.8599999999999999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600</v>
      </c>
      <c r="Y229" s="280">
        <f>IFERROR(SUMPRODUCT(Y227:Y227*H227:H227),"0")</f>
        <v>600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14</v>
      </c>
      <c r="Y264" s="279">
        <f>IFERROR(IF(X264="","",X264),"")</f>
        <v>14</v>
      </c>
      <c r="Z264" s="36">
        <f>IFERROR(IF(X264="","",X264*0.00936),"")</f>
        <v>0.13103999999999999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40.468400000000003</v>
      </c>
      <c r="BN264" s="67">
        <f>IFERROR(Y264*I264,"0")</f>
        <v>40.468400000000003</v>
      </c>
      <c r="BO264" s="67">
        <f>IFERROR(X264/J264,"0")</f>
        <v>0.1111111111111111</v>
      </c>
      <c r="BP264" s="67">
        <f>IFERROR(Y264/J264,"0")</f>
        <v>0.1111111111111111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12</v>
      </c>
      <c r="Y265" s="279">
        <f>IFERROR(IF(X265="","",X265),"")</f>
        <v>12</v>
      </c>
      <c r="Z265" s="36">
        <f>IFERROR(IF(X265="","",X265*0.0155),"")</f>
        <v>0.186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62.820000000000007</v>
      </c>
      <c r="BN265" s="67">
        <f>IFERROR(Y265*I265,"0")</f>
        <v>62.820000000000007</v>
      </c>
      <c r="BO265" s="67">
        <f>IFERROR(X265/J265,"0")</f>
        <v>0.14285714285714285</v>
      </c>
      <c r="BP265" s="67">
        <f>IFERROR(Y265/J265,"0")</f>
        <v>0.14285714285714285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26</v>
      </c>
      <c r="Y267" s="280">
        <f>IFERROR(SUM(Y264:Y266),"0")</f>
        <v>26</v>
      </c>
      <c r="Z267" s="280">
        <f>IFERROR(IF(Z264="",0,Z264),"0")+IFERROR(IF(Z265="",0,Z265),"0")+IFERROR(IF(Z266="",0,Z266),"0")</f>
        <v>0.31703999999999999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97.800000000000011</v>
      </c>
      <c r="Y268" s="280">
        <f>IFERROR(SUMPRODUCT(Y264:Y266*H264:H266),"0")</f>
        <v>97.800000000000011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14</v>
      </c>
      <c r="Y273" s="279">
        <f t="shared" si="18"/>
        <v>14</v>
      </c>
      <c r="Z273" s="36">
        <f t="shared" ref="Z273:Z280" si="23">IFERROR(IF(X273="","",X273*0.00936),"")</f>
        <v>0.13103999999999999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54.488</v>
      </c>
      <c r="BN273" s="67">
        <f t="shared" si="20"/>
        <v>54.488</v>
      </c>
      <c r="BO273" s="67">
        <f t="shared" si="21"/>
        <v>0.1111111111111111</v>
      </c>
      <c r="BP273" s="67">
        <f t="shared" si="22"/>
        <v>0.1111111111111111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28</v>
      </c>
      <c r="Y274" s="279">
        <f t="shared" si="18"/>
        <v>28</v>
      </c>
      <c r="Z274" s="36">
        <f t="shared" si="23"/>
        <v>0.26207999999999998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66</v>
      </c>
      <c r="Y281" s="280">
        <f>IFERROR(SUM(Y270:Y280),"0")</f>
        <v>66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0.76511999999999991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267.8</v>
      </c>
      <c r="Y282" s="280">
        <f>IFERROR(SUMPRODUCT(Y270:Y280*H270:H280),"0")</f>
        <v>267.8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5779.5199999999995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5779.5199999999995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6341.9595999999983</v>
      </c>
      <c r="Y284" s="280">
        <f>IFERROR(SUM(BN22:BN280),"0")</f>
        <v>6341.9595999999983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17</v>
      </c>
      <c r="Y285" s="38">
        <f>ROUNDUP(SUM(BP22:BP280),0)</f>
        <v>17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6766.9595999999983</v>
      </c>
      <c r="Y286" s="280">
        <f>GrossWeightTotalR+PalletQtyTotalR*25</f>
        <v>6766.9595999999983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1398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1398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21.183359999999997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86.4</v>
      </c>
      <c r="C293" s="46">
        <f>IFERROR(X34*H34,"0")+IFERROR(X35*H35,"0")</f>
        <v>0</v>
      </c>
      <c r="D293" s="46">
        <f>IFERROR(X41*H41,"0")+IFERROR(X42*H42,"0")</f>
        <v>42</v>
      </c>
      <c r="E293" s="46">
        <f>IFERROR(X47*H47,"0")+IFERROR(X48*H48,"0")</f>
        <v>403.2</v>
      </c>
      <c r="F293" s="46">
        <f>IFERROR(X53*H53,"0")+IFERROR(X54*H54,"0")+IFERROR(X55*H55,"0")+IFERROR(X56*H56,"0")</f>
        <v>756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60</v>
      </c>
      <c r="I293" s="46">
        <f>IFERROR(X82*H82,"0")</f>
        <v>50.4</v>
      </c>
      <c r="J293" s="46">
        <f>IFERROR(X87*H87,"0")+IFERROR(X88*H88,"0")</f>
        <v>151.19999999999999</v>
      </c>
      <c r="K293" s="46">
        <f>IFERROR(X93*H93,"0")+IFERROR(X94*H94,"0")+IFERROR(X95*H95,"0")+IFERROR(X96*H96,"0")+IFERROR(X97*H97,"0")+IFERROR(X98*H98,"0")</f>
        <v>556.07999999999993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1161.5999999999999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110.88000000000001</v>
      </c>
      <c r="P293" s="46">
        <f>IFERROR(X146*H146,"0")+IFERROR(X147*H147,"0")</f>
        <v>168</v>
      </c>
      <c r="Q293" s="46">
        <f>IFERROR(X152*H152,"0")+IFERROR(X153*H153,"0")</f>
        <v>168</v>
      </c>
      <c r="R293" s="46">
        <f>IFERROR(X158*H158,"0")+IFERROR(X159*H159,"0")</f>
        <v>134.4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288</v>
      </c>
      <c r="W293" s="46">
        <f>IFERROR(X189*H189,"0")+IFERROR(X190*H190,"0")</f>
        <v>120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193.2</v>
      </c>
      <c r="AA293" s="46">
        <f>IFERROR(X221*H221,"0")+IFERROR(X222*H222,"0")</f>
        <v>0</v>
      </c>
      <c r="AB293" s="46">
        <f>IFERROR(X227*H227,"0")</f>
        <v>600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365.6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3187.2</v>
      </c>
      <c r="B296" s="60">
        <f>SUMPRODUCT(--(BB:BB="ПГП"),--(W:W="кор"),H:H,Y:Y)+SUMPRODUCT(--(BB:BB="ПГП"),--(W:W="кг"),Y:Y)</f>
        <v>2592.3200000000002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1,60"/>
        <filter val="1 398,00"/>
        <filter val="108,00"/>
        <filter val="12,00"/>
        <filter val="120,00"/>
        <filter val="134,40"/>
        <filter val="14,00"/>
        <filter val="15,12"/>
        <filter val="151,20"/>
        <filter val="168,00"/>
        <filter val="17"/>
        <filter val="182,00"/>
        <filter val="193,20"/>
        <filter val="24,00"/>
        <filter val="26,00"/>
        <filter val="267,80"/>
        <filter val="28,00"/>
        <filter val="288,00"/>
        <filter val="36,00"/>
        <filter val="403,20"/>
        <filter val="42,00"/>
        <filter val="48,00"/>
        <filter val="5 779,52"/>
        <filter val="50,40"/>
        <filter val="556,08"/>
        <filter val="56,00"/>
        <filter val="6 341,96"/>
        <filter val="6 766,96"/>
        <filter val="60,00"/>
        <filter val="60,48"/>
        <filter val="600,00"/>
        <filter val="66,00"/>
        <filter val="70,00"/>
        <filter val="72,00"/>
        <filter val="756,00"/>
        <filter val="86,40"/>
        <filter val="94,08"/>
        <filter val="95,76"/>
        <filter val="97,8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2026-10-02T10:17:51Z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