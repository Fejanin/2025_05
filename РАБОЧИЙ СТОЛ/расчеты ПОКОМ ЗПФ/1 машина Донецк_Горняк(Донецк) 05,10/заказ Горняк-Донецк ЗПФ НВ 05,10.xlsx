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0FAC957-9E93-4849-9338-F014D9B000A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Y247" i="2" s="1"/>
  <c r="P246" i="2"/>
  <c r="X244" i="2"/>
  <c r="X243" i="2"/>
  <c r="BO242" i="2"/>
  <c r="BM242" i="2"/>
  <c r="Z242" i="2"/>
  <c r="Z243" i="2" s="1"/>
  <c r="Y242" i="2"/>
  <c r="BP242" i="2" s="1"/>
  <c r="P242" i="2"/>
  <c r="X238" i="2"/>
  <c r="X237" i="2"/>
  <c r="BO236" i="2"/>
  <c r="BM236" i="2"/>
  <c r="Z236" i="2"/>
  <c r="Z237" i="2" s="1"/>
  <c r="Y236" i="2"/>
  <c r="BP236" i="2" s="1"/>
  <c r="P236" i="2"/>
  <c r="X234" i="2"/>
  <c r="X233" i="2"/>
  <c r="BO232" i="2"/>
  <c r="BM232" i="2"/>
  <c r="Z232" i="2"/>
  <c r="Z233" i="2" s="1"/>
  <c r="Y232" i="2"/>
  <c r="Y233" i="2" s="1"/>
  <c r="P232" i="2"/>
  <c r="X228" i="2"/>
  <c r="X227" i="2"/>
  <c r="BO226" i="2"/>
  <c r="BM226" i="2"/>
  <c r="Z226" i="2"/>
  <c r="Z227" i="2" s="1"/>
  <c r="Y226" i="2"/>
  <c r="Y228" i="2" s="1"/>
  <c r="P226" i="2"/>
  <c r="X222" i="2"/>
  <c r="X221" i="2"/>
  <c r="BO220" i="2"/>
  <c r="BM220" i="2"/>
  <c r="Z220" i="2"/>
  <c r="Z221" i="2" s="1"/>
  <c r="Y220" i="2"/>
  <c r="BP220" i="2" s="1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BP202" i="2" s="1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Z184" i="2" s="1"/>
  <c r="Y183" i="2"/>
  <c r="BP183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BP131" i="2" s="1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Y128" i="2"/>
  <c r="P128" i="2"/>
  <c r="X125" i="2"/>
  <c r="X124" i="2"/>
  <c r="BO123" i="2"/>
  <c r="BM123" i="2"/>
  <c r="Z123" i="2"/>
  <c r="Z124" i="2" s="1"/>
  <c r="Y123" i="2"/>
  <c r="BN123" i="2" s="1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BP87" i="2" s="1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P69" i="2"/>
  <c r="X67" i="2"/>
  <c r="X66" i="2"/>
  <c r="BO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J9" i="2" s="1"/>
  <c r="D7" i="2"/>
  <c r="Q6" i="2"/>
  <c r="P2" i="2"/>
  <c r="BN22" i="2" l="1"/>
  <c r="BN23" i="2"/>
  <c r="Z105" i="2"/>
  <c r="Z179" i="2"/>
  <c r="BN183" i="2"/>
  <c r="Y211" i="2"/>
  <c r="BN220" i="2"/>
  <c r="BN226" i="2"/>
  <c r="BN232" i="2"/>
  <c r="BN236" i="2"/>
  <c r="BN242" i="2"/>
  <c r="Y244" i="2"/>
  <c r="BN87" i="2"/>
  <c r="Z36" i="2"/>
  <c r="BN65" i="2"/>
  <c r="BP65" i="2"/>
  <c r="Y73" i="2"/>
  <c r="BN166" i="2"/>
  <c r="Z211" i="2"/>
  <c r="BN253" i="2"/>
  <c r="BP71" i="2"/>
  <c r="Y31" i="2"/>
  <c r="BN25" i="2"/>
  <c r="Z78" i="2"/>
  <c r="Y89" i="2"/>
  <c r="Y117" i="2"/>
  <c r="BN110" i="2"/>
  <c r="Y124" i="2"/>
  <c r="Y139" i="2"/>
  <c r="BN136" i="2"/>
  <c r="Z157" i="2"/>
  <c r="Y167" i="2"/>
  <c r="Y184" i="2"/>
  <c r="Y185" i="2"/>
  <c r="BN190" i="2"/>
  <c r="Z205" i="2"/>
  <c r="BN202" i="2"/>
  <c r="Y206" i="2"/>
  <c r="BN209" i="2"/>
  <c r="Y221" i="2"/>
  <c r="Y227" i="2"/>
  <c r="Y237" i="2"/>
  <c r="Y238" i="2"/>
  <c r="Y243" i="2"/>
  <c r="BN246" i="2"/>
  <c r="Z254" i="2"/>
  <c r="BN275" i="2"/>
  <c r="BN189" i="2"/>
  <c r="Y157" i="2"/>
  <c r="BN156" i="2"/>
  <c r="Y152" i="2"/>
  <c r="BN150" i="2"/>
  <c r="Z151" i="2"/>
  <c r="BN131" i="2"/>
  <c r="Y132" i="2"/>
  <c r="Z132" i="2"/>
  <c r="BN98" i="2"/>
  <c r="BP97" i="2"/>
  <c r="Z89" i="2"/>
  <c r="Z57" i="2"/>
  <c r="Y49" i="2"/>
  <c r="X280" i="2"/>
  <c r="Z43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82" i="2" s="1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BN70" i="2"/>
  <c r="Y99" i="2"/>
  <c r="Y105" i="2"/>
  <c r="Y116" i="2"/>
  <c r="BN142" i="2"/>
  <c r="BN257" i="2"/>
  <c r="BN272" i="2"/>
  <c r="BN82" i="2"/>
  <c r="BN148" i="2"/>
  <c r="Y279" i="2" l="1"/>
  <c r="Z284" i="2"/>
  <c r="Y281" i="2"/>
  <c r="Y280" i="2"/>
  <c r="Y283" i="2"/>
  <c r="Y282" i="2" l="1"/>
  <c r="C292" i="2"/>
  <c r="B292" i="2"/>
  <c r="A292" i="2"/>
</calcChain>
</file>

<file path=xl/sharedStrings.xml><?xml version="1.0" encoding="utf-8"?>
<sst xmlns="http://schemas.openxmlformats.org/spreadsheetml/2006/main" count="1753" uniqueCount="420">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</sst>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topLeftCell="A166" zoomScaleNormal="100" zoomScaleSheetLayoutView="100" workbookViewId="0">
      <selection activeCell="AA285" sqref="AA2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/>
      <c r="R5" s="292"/>
      <c r="T5" s="293" t="s">
        <v>3</v>
      </c>
      <c r="U5" s="294"/>
      <c r="V5" s="295" t="s">
        <v>387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 xml:space="preserve"> 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/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>
        <v>46303</v>
      </c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>
        <v>0.375</v>
      </c>
      <c r="R10" s="319"/>
      <c r="U10" s="29" t="s">
        <v>12</v>
      </c>
      <c r="V10" s="320" t="s">
        <v>74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75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76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77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78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hidden="1" customHeight="1" x14ac:dyDescent="0.2">
      <c r="A19" s="353" t="s">
        <v>79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hidden="1" customHeight="1" x14ac:dyDescent="0.25">
      <c r="A20" s="354" t="s">
        <v>79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hidden="1" customHeight="1" x14ac:dyDescent="0.25">
      <c r="A21" s="355" t="s">
        <v>80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56">
        <v>4620207491713</v>
      </c>
      <c r="E24" s="35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56">
        <v>4620207491720</v>
      </c>
      <c r="E25" s="35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56">
        <v>4607111035912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56">
        <v>4607111035929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56">
        <v>4607111035882</v>
      </c>
      <c r="E28" s="35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4" t="s">
        <v>104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65"/>
      <c r="AB32" s="65"/>
      <c r="AC32" s="82"/>
    </row>
    <row r="33" spans="1:68" ht="14.25" hidden="1" customHeight="1" x14ac:dyDescent="0.25">
      <c r="A33" s="355" t="s">
        <v>80</v>
      </c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356">
        <v>4607111039019</v>
      </c>
      <c r="E34" s="35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356">
        <v>4607111038708</v>
      </c>
      <c r="E35" s="35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8"/>
      <c r="R35" s="358"/>
      <c r="S35" s="358"/>
      <c r="T35" s="35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1"/>
      <c r="P36" s="367" t="s">
        <v>40</v>
      </c>
      <c r="Q36" s="368"/>
      <c r="R36" s="368"/>
      <c r="S36" s="368"/>
      <c r="T36" s="368"/>
      <c r="U36" s="368"/>
      <c r="V36" s="36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0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1"/>
      <c r="P37" s="367" t="s">
        <v>40</v>
      </c>
      <c r="Q37" s="368"/>
      <c r="R37" s="368"/>
      <c r="S37" s="368"/>
      <c r="T37" s="368"/>
      <c r="U37" s="368"/>
      <c r="V37" s="36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3" t="s">
        <v>45</v>
      </c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54"/>
      <c r="AB38" s="54"/>
      <c r="AC38" s="54"/>
    </row>
    <row r="39" spans="1:68" ht="16.5" hidden="1" customHeight="1" x14ac:dyDescent="0.25">
      <c r="A39" s="354" t="s">
        <v>110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65"/>
      <c r="AB39" s="65"/>
      <c r="AC39" s="82"/>
    </row>
    <row r="40" spans="1:68" ht="14.25" hidden="1" customHeight="1" x14ac:dyDescent="0.25">
      <c r="A40" s="355" t="s">
        <v>111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6">
        <v>4607111036537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42</v>
      </c>
      <c r="Y41" s="55">
        <f>IFERROR(IF(X41="","",X41),"")</f>
        <v>42</v>
      </c>
      <c r="Z41" s="41">
        <f>IFERROR(IF(X41="","",X41*0.00941),"")</f>
        <v>0.39522000000000002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80.715599999999995</v>
      </c>
      <c r="BN41" s="81">
        <f>IFERROR(Y41*I41,"0")</f>
        <v>80.715599999999995</v>
      </c>
      <c r="BO41" s="81">
        <f>IFERROR(X41/J41,"0")</f>
        <v>0.3</v>
      </c>
      <c r="BP41" s="81">
        <f>IFERROR(Y41/J41,"0")</f>
        <v>0.3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6">
        <v>4607111036605</v>
      </c>
      <c r="E42" s="35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8"/>
      <c r="R42" s="358"/>
      <c r="S42" s="358"/>
      <c r="T42" s="359"/>
      <c r="U42" s="39" t="s">
        <v>46</v>
      </c>
      <c r="V42" s="39" t="s">
        <v>46</v>
      </c>
      <c r="W42" s="40" t="s">
        <v>39</v>
      </c>
      <c r="X42" s="58">
        <v>14</v>
      </c>
      <c r="Y42" s="55">
        <f>IFERROR(IF(X42="","",X42),"")</f>
        <v>14</v>
      </c>
      <c r="Z42" s="41">
        <f>IFERROR(IF(X42="","",X42*0.00941),"")</f>
        <v>0.13174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26.905200000000001</v>
      </c>
      <c r="BN42" s="81">
        <f>IFERROR(Y42*I42,"0")</f>
        <v>26.905200000000001</v>
      </c>
      <c r="BO42" s="81">
        <f>IFERROR(X42/J42,"0")</f>
        <v>0.1</v>
      </c>
      <c r="BP42" s="81">
        <f>IFERROR(Y42/J42,"0")</f>
        <v>0.1</v>
      </c>
    </row>
    <row r="43" spans="1:68" x14ac:dyDescent="0.2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1"/>
      <c r="P43" s="367" t="s">
        <v>40</v>
      </c>
      <c r="Q43" s="368"/>
      <c r="R43" s="368"/>
      <c r="S43" s="368"/>
      <c r="T43" s="368"/>
      <c r="U43" s="368"/>
      <c r="V43" s="369"/>
      <c r="W43" s="42" t="s">
        <v>39</v>
      </c>
      <c r="X43" s="43">
        <f>IFERROR(SUM(X41:X42),"0")</f>
        <v>56</v>
      </c>
      <c r="Y43" s="43">
        <f>IFERROR(SUM(Y41:Y42),"0")</f>
        <v>56</v>
      </c>
      <c r="Z43" s="43">
        <f>IFERROR(IF(Z41="",0,Z41),"0")+IFERROR(IF(Z42="",0,Z42),"0")</f>
        <v>0.52695999999999998</v>
      </c>
      <c r="AA43" s="67"/>
      <c r="AB43" s="67"/>
      <c r="AC43" s="67"/>
    </row>
    <row r="44" spans="1:68" x14ac:dyDescent="0.2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1"/>
      <c r="P44" s="367" t="s">
        <v>40</v>
      </c>
      <c r="Q44" s="368"/>
      <c r="R44" s="368"/>
      <c r="S44" s="368"/>
      <c r="T44" s="368"/>
      <c r="U44" s="368"/>
      <c r="V44" s="369"/>
      <c r="W44" s="42" t="s">
        <v>0</v>
      </c>
      <c r="X44" s="43">
        <f>IFERROR(SUMPRODUCT(X41:X42*H41:H42),"0")</f>
        <v>84</v>
      </c>
      <c r="Y44" s="43">
        <f>IFERROR(SUMPRODUCT(Y41:Y42*H41:H42),"0")</f>
        <v>84</v>
      </c>
      <c r="Z44" s="42"/>
      <c r="AA44" s="67"/>
      <c r="AB44" s="67"/>
      <c r="AC44" s="67"/>
    </row>
    <row r="45" spans="1:68" ht="16.5" hidden="1" customHeight="1" x14ac:dyDescent="0.25">
      <c r="A45" s="354" t="s">
        <v>121</v>
      </c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65"/>
      <c r="AB45" s="65"/>
      <c r="AC45" s="82"/>
    </row>
    <row r="46" spans="1:68" ht="14.25" hidden="1" customHeight="1" x14ac:dyDescent="0.25">
      <c r="A46" s="355" t="s">
        <v>80</v>
      </c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356">
        <v>4620207490075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/>
      <c r="Y47" s="55" t="str">
        <f>IFERROR(IF(X47="","",X47),"")</f>
        <v/>
      </c>
      <c r="Z47" s="41" t="str">
        <f>IFERROR(IF(X47="","",X47*0.0155),"")</f>
        <v/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 t="str">
        <f>IFERROR(Y47*I47,"0")</f>
        <v>0</v>
      </c>
      <c r="BO47" s="81">
        <f>IFERROR(X47/J47,"0")</f>
        <v>0</v>
      </c>
      <c r="BP47" s="81" t="str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356">
        <v>4620207490174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/>
      <c r="Y48" s="55" t="str">
        <f>IFERROR(IF(X48="","",X48),"")</f>
        <v/>
      </c>
      <c r="Z48" s="41" t="str">
        <f>IFERROR(IF(X48="","",X48*0.0155),"")</f>
        <v/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 t="str">
        <f>IFERROR(Y48*I48,"0")</f>
        <v>0</v>
      </c>
      <c r="BO48" s="81">
        <f>IFERROR(X48/J48,"0")</f>
        <v>0</v>
      </c>
      <c r="BP48" s="81" t="str">
        <f>IFERROR(Y48/J48,"0")</f>
        <v>0</v>
      </c>
    </row>
    <row r="49" spans="1:68" hidden="1" x14ac:dyDescent="0.2">
      <c r="A49" s="370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1"/>
      <c r="P49" s="367" t="s">
        <v>40</v>
      </c>
      <c r="Q49" s="368"/>
      <c r="R49" s="368"/>
      <c r="S49" s="368"/>
      <c r="T49" s="368"/>
      <c r="U49" s="368"/>
      <c r="V49" s="369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1"/>
      <c r="P50" s="367" t="s">
        <v>40</v>
      </c>
      <c r="Q50" s="368"/>
      <c r="R50" s="368"/>
      <c r="S50" s="368"/>
      <c r="T50" s="368"/>
      <c r="U50" s="368"/>
      <c r="V50" s="369"/>
      <c r="W50" s="42" t="s">
        <v>0</v>
      </c>
      <c r="X50" s="43">
        <f>IFERROR(SUMPRODUCT(X47:X48*H47:H48),"0")</f>
        <v>0</v>
      </c>
      <c r="Y50" s="43" t="str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54" t="s">
        <v>128</v>
      </c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65"/>
      <c r="AB51" s="65"/>
      <c r="AC51" s="82"/>
    </row>
    <row r="52" spans="1:68" ht="14.25" hidden="1" customHeight="1" x14ac:dyDescent="0.25">
      <c r="A52" s="355" t="s">
        <v>80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6"/>
      <c r="AB52" s="66"/>
      <c r="AC52" s="83"/>
    </row>
    <row r="53" spans="1:68" ht="27" hidden="1" customHeight="1" x14ac:dyDescent="0.25">
      <c r="A53" s="63" t="s">
        <v>129</v>
      </c>
      <c r="B53" s="63" t="s">
        <v>130</v>
      </c>
      <c r="C53" s="36">
        <v>4301071044</v>
      </c>
      <c r="D53" s="356">
        <v>4607111039385</v>
      </c>
      <c r="E53" s="35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/>
      <c r="Y53" s="55" t="str">
        <f>IFERROR(IF(X53="","",X53),"")</f>
        <v/>
      </c>
      <c r="Z53" s="41" t="str">
        <f>IFERROR(IF(X53="","",X53*0.0155),"")</f>
        <v/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 t="str">
        <f>IFERROR(Y53*I53,"0")</f>
        <v>0</v>
      </c>
      <c r="BO53" s="81">
        <f>IFERROR(X53/J53,"0")</f>
        <v>0</v>
      </c>
      <c r="BP53" s="81" t="str">
        <f>IFERROR(Y53/J53,"0")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4301071031</v>
      </c>
      <c r="D54" s="356">
        <v>4607111038982</v>
      </c>
      <c r="E54" s="35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4301071046</v>
      </c>
      <c r="D55" s="356">
        <v>4607111039354</v>
      </c>
      <c r="E55" s="35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56">
        <v>4607111039330</v>
      </c>
      <c r="E56" s="35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>
        <v>12</v>
      </c>
      <c r="Y56" s="55">
        <f>IFERROR(IF(X56="","",X56),"")</f>
        <v>12</v>
      </c>
      <c r="Z56" s="41">
        <f>IFERROR(IF(X56="","",X56*0.0155),"")</f>
        <v>0.186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87.6</v>
      </c>
      <c r="BN56" s="81">
        <f>IFERROR(Y56*I56,"0")</f>
        <v>87.6</v>
      </c>
      <c r="BO56" s="81">
        <f>IFERROR(X56/J56,"0")</f>
        <v>0.14285714285714285</v>
      </c>
      <c r="BP56" s="81">
        <f>IFERROR(Y56/J56,"0")</f>
        <v>0.14285714285714285</v>
      </c>
    </row>
    <row r="57" spans="1:68" x14ac:dyDescent="0.2">
      <c r="A57" s="370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1"/>
      <c r="P57" s="367" t="s">
        <v>40</v>
      </c>
      <c r="Q57" s="368"/>
      <c r="R57" s="368"/>
      <c r="S57" s="368"/>
      <c r="T57" s="368"/>
      <c r="U57" s="368"/>
      <c r="V57" s="369"/>
      <c r="W57" s="42" t="s">
        <v>39</v>
      </c>
      <c r="X57" s="43">
        <f>IFERROR(SUM(X53:X56),"0")</f>
        <v>12</v>
      </c>
      <c r="Y57" s="43">
        <f>IFERROR(SUM(Y53:Y56),"0")</f>
        <v>12</v>
      </c>
      <c r="Z57" s="43">
        <f>IFERROR(IF(Z53="",0,Z53),"0")+IFERROR(IF(Z54="",0,Z54),"0")+IFERROR(IF(Z55="",0,Z55),"0")+IFERROR(IF(Z56="",0,Z56),"0")</f>
        <v>0.186</v>
      </c>
      <c r="AA57" s="67"/>
      <c r="AB57" s="67"/>
      <c r="AC57" s="67"/>
    </row>
    <row r="58" spans="1:68" x14ac:dyDescent="0.2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1"/>
      <c r="P58" s="367" t="s">
        <v>40</v>
      </c>
      <c r="Q58" s="368"/>
      <c r="R58" s="368"/>
      <c r="S58" s="368"/>
      <c r="T58" s="368"/>
      <c r="U58" s="368"/>
      <c r="V58" s="369"/>
      <c r="W58" s="42" t="s">
        <v>0</v>
      </c>
      <c r="X58" s="43">
        <f>IFERROR(SUMPRODUCT(X53:X56*H53:H56),"0")</f>
        <v>84</v>
      </c>
      <c r="Y58" s="43" t="str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54" t="s">
        <v>139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65"/>
      <c r="AB59" s="65"/>
      <c r="AC59" s="82"/>
    </row>
    <row r="60" spans="1:68" ht="14.25" hidden="1" customHeight="1" x14ac:dyDescent="0.25">
      <c r="A60" s="355" t="s">
        <v>111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356">
        <v>4607111039712</v>
      </c>
      <c r="E61" s="35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8"/>
      <c r="R61" s="358"/>
      <c r="S61" s="358"/>
      <c r="T61" s="35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1"/>
      <c r="P62" s="367" t="s">
        <v>40</v>
      </c>
      <c r="Q62" s="368"/>
      <c r="R62" s="368"/>
      <c r="S62" s="368"/>
      <c r="T62" s="368"/>
      <c r="U62" s="368"/>
      <c r="V62" s="369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0"/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1"/>
      <c r="P63" s="367" t="s">
        <v>40</v>
      </c>
      <c r="Q63" s="368"/>
      <c r="R63" s="368"/>
      <c r="S63" s="368"/>
      <c r="T63" s="368"/>
      <c r="U63" s="368"/>
      <c r="V63" s="369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5" t="s">
        <v>143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4301136015</v>
      </c>
      <c r="D65" s="356">
        <v>4607111037398</v>
      </c>
      <c r="E65" s="356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70"/>
      <c r="B66" s="370"/>
      <c r="C66" s="370"/>
      <c r="D66" s="370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1"/>
      <c r="P66" s="367" t="s">
        <v>40</v>
      </c>
      <c r="Q66" s="368"/>
      <c r="R66" s="368"/>
      <c r="S66" s="368"/>
      <c r="T66" s="368"/>
      <c r="U66" s="368"/>
      <c r="V66" s="369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1"/>
      <c r="P67" s="367" t="s">
        <v>40</v>
      </c>
      <c r="Q67" s="368"/>
      <c r="R67" s="368"/>
      <c r="S67" s="368"/>
      <c r="T67" s="368"/>
      <c r="U67" s="368"/>
      <c r="V67" s="369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55" t="s">
        <v>147</v>
      </c>
      <c r="B68" s="355"/>
      <c r="C68" s="355"/>
      <c r="D68" s="355"/>
      <c r="E68" s="355"/>
      <c r="F68" s="355"/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  <c r="Z68" s="355"/>
      <c r="AA68" s="66"/>
      <c r="AB68" s="66"/>
      <c r="AC68" s="83"/>
    </row>
    <row r="69" spans="1:68" ht="27" hidden="1" customHeight="1" x14ac:dyDescent="0.25">
      <c r="A69" s="63" t="s">
        <v>148</v>
      </c>
      <c r="B69" s="63" t="s">
        <v>149</v>
      </c>
      <c r="C69" s="36">
        <v>4301135664</v>
      </c>
      <c r="D69" s="356">
        <v>4607111039705</v>
      </c>
      <c r="E69" s="356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116</v>
      </c>
      <c r="L69" s="37" t="s">
        <v>86</v>
      </c>
      <c r="M69" s="38" t="s">
        <v>84</v>
      </c>
      <c r="N69" s="38"/>
      <c r="O69" s="37">
        <v>365</v>
      </c>
      <c r="P69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58"/>
      <c r="R69" s="358"/>
      <c r="S69" s="358"/>
      <c r="T69" s="35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87</v>
      </c>
      <c r="AK69" s="87">
        <v>1</v>
      </c>
      <c r="BB69" s="130" t="s">
        <v>115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hidden="1" customHeight="1" x14ac:dyDescent="0.25">
      <c r="A70" s="63" t="s">
        <v>150</v>
      </c>
      <c r="B70" s="63" t="s">
        <v>151</v>
      </c>
      <c r="C70" s="36">
        <v>4301135665</v>
      </c>
      <c r="D70" s="356">
        <v>4607111039729</v>
      </c>
      <c r="E70" s="35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153</v>
      </c>
      <c r="B71" s="63" t="s">
        <v>154</v>
      </c>
      <c r="C71" s="36">
        <v>4301135702</v>
      </c>
      <c r="D71" s="356">
        <v>4620207490228</v>
      </c>
      <c r="E71" s="35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58"/>
      <c r="R71" s="358"/>
      <c r="S71" s="358"/>
      <c r="T71" s="35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70"/>
      <c r="B72" s="370"/>
      <c r="C72" s="370"/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1"/>
      <c r="P72" s="367" t="s">
        <v>40</v>
      </c>
      <c r="Q72" s="368"/>
      <c r="R72" s="368"/>
      <c r="S72" s="368"/>
      <c r="T72" s="368"/>
      <c r="U72" s="368"/>
      <c r="V72" s="369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1"/>
      <c r="P73" s="367" t="s">
        <v>40</v>
      </c>
      <c r="Q73" s="368"/>
      <c r="R73" s="368"/>
      <c r="S73" s="368"/>
      <c r="T73" s="368"/>
      <c r="U73" s="368"/>
      <c r="V73" s="369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hidden="1" customHeight="1" x14ac:dyDescent="0.25">
      <c r="A74" s="354" t="s">
        <v>155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65"/>
      <c r="AB74" s="65"/>
      <c r="AC74" s="82"/>
    </row>
    <row r="75" spans="1:68" ht="14.25" hidden="1" customHeight="1" x14ac:dyDescent="0.25">
      <c r="A75" s="355" t="s">
        <v>80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355"/>
      <c r="Z75" s="355"/>
      <c r="AA75" s="66"/>
      <c r="AB75" s="66"/>
      <c r="AC75" s="83"/>
    </row>
    <row r="76" spans="1:68" ht="27" hidden="1" customHeight="1" x14ac:dyDescent="0.25">
      <c r="A76" s="63" t="s">
        <v>156</v>
      </c>
      <c r="B76" s="63" t="s">
        <v>157</v>
      </c>
      <c r="C76" s="36">
        <v>4301070977</v>
      </c>
      <c r="D76" s="356">
        <v>4607111037411</v>
      </c>
      <c r="E76" s="356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159</v>
      </c>
      <c r="L76" s="37" t="s">
        <v>86</v>
      </c>
      <c r="M76" s="38" t="s">
        <v>84</v>
      </c>
      <c r="N76" s="38"/>
      <c r="O76" s="37">
        <v>180</v>
      </c>
      <c r="P76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58"/>
      <c r="R76" s="358"/>
      <c r="S76" s="358"/>
      <c r="T76" s="359"/>
      <c r="U76" s="39" t="s">
        <v>46</v>
      </c>
      <c r="V76" s="39" t="s">
        <v>46</v>
      </c>
      <c r="W76" s="40" t="s">
        <v>39</v>
      </c>
      <c r="X76" s="58"/>
      <c r="Y76" s="55" t="str">
        <f>IFERROR(IF(X76="","",X76),"")</f>
        <v/>
      </c>
      <c r="Z76" s="41" t="str">
        <f>IFERROR(IF(X76="","",X76*0.00502),"")</f>
        <v/>
      </c>
      <c r="AA76" s="68" t="s">
        <v>46</v>
      </c>
      <c r="AB76" s="69" t="s">
        <v>46</v>
      </c>
      <c r="AC76" s="135" t="s">
        <v>158</v>
      </c>
      <c r="AG76" s="81"/>
      <c r="AJ76" s="87" t="s">
        <v>87</v>
      </c>
      <c r="AK76" s="87">
        <v>1</v>
      </c>
      <c r="BB76" s="136" t="s">
        <v>70</v>
      </c>
      <c r="BM76" s="81">
        <f>IFERROR(X76*I76,"0")</f>
        <v>0</v>
      </c>
      <c r="BN76" s="81" t="str">
        <f>IFERROR(Y76*I76,"0")</f>
        <v>0</v>
      </c>
      <c r="BO76" s="81">
        <f>IFERROR(X76/J76,"0")</f>
        <v>0</v>
      </c>
      <c r="BP76" s="81" t="str">
        <f>IFERROR(Y76/J76,"0")</f>
        <v>0</v>
      </c>
    </row>
    <row r="77" spans="1:68" ht="27" hidden="1" customHeight="1" x14ac:dyDescent="0.25">
      <c r="A77" s="63" t="s">
        <v>160</v>
      </c>
      <c r="B77" s="63" t="s">
        <v>161</v>
      </c>
      <c r="C77" s="36">
        <v>4301070981</v>
      </c>
      <c r="D77" s="356">
        <v>4607111036728</v>
      </c>
      <c r="E77" s="356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85</v>
      </c>
      <c r="L77" s="37" t="s">
        <v>117</v>
      </c>
      <c r="M77" s="38" t="s">
        <v>84</v>
      </c>
      <c r="N77" s="38"/>
      <c r="O77" s="37">
        <v>180</v>
      </c>
      <c r="P77" s="38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58"/>
      <c r="R77" s="358"/>
      <c r="S77" s="358"/>
      <c r="T77" s="35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158</v>
      </c>
      <c r="AG77" s="81"/>
      <c r="AJ77" s="87" t="s">
        <v>118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idden="1" x14ac:dyDescent="0.2">
      <c r="A78" s="370"/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1"/>
      <c r="P78" s="367" t="s">
        <v>40</v>
      </c>
      <c r="Q78" s="368"/>
      <c r="R78" s="368"/>
      <c r="S78" s="368"/>
      <c r="T78" s="368"/>
      <c r="U78" s="368"/>
      <c r="V78" s="369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370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1"/>
      <c r="P79" s="367" t="s">
        <v>40</v>
      </c>
      <c r="Q79" s="368"/>
      <c r="R79" s="368"/>
      <c r="S79" s="368"/>
      <c r="T79" s="368"/>
      <c r="U79" s="368"/>
      <c r="V79" s="369"/>
      <c r="W79" s="42" t="s">
        <v>0</v>
      </c>
      <c r="X79" s="43">
        <f>IFERROR(SUMPRODUCT(X76:X77*H76:H77),"0")</f>
        <v>0</v>
      </c>
      <c r="Y79" s="43" t="str">
        <f>IFERROR(SUMPRODUCT(Y76:Y77*H76:H77),"0")</f>
        <v>0</v>
      </c>
      <c r="Z79" s="42"/>
      <c r="AA79" s="67"/>
      <c r="AB79" s="67"/>
      <c r="AC79" s="67"/>
    </row>
    <row r="80" spans="1:68" ht="16.5" hidden="1" customHeight="1" x14ac:dyDescent="0.25">
      <c r="A80" s="354" t="s">
        <v>162</v>
      </c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65"/>
      <c r="AB80" s="65"/>
      <c r="AC80" s="82"/>
    </row>
    <row r="81" spans="1:68" ht="14.25" hidden="1" customHeight="1" x14ac:dyDescent="0.25">
      <c r="A81" s="355" t="s">
        <v>147</v>
      </c>
      <c r="B81" s="355"/>
      <c r="C81" s="355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355"/>
      <c r="Z81" s="355"/>
      <c r="AA81" s="66"/>
      <c r="AB81" s="66"/>
      <c r="AC81" s="83"/>
    </row>
    <row r="82" spans="1:68" ht="27" hidden="1" customHeight="1" x14ac:dyDescent="0.25">
      <c r="A82" s="63" t="s">
        <v>163</v>
      </c>
      <c r="B82" s="63" t="s">
        <v>164</v>
      </c>
      <c r="C82" s="36">
        <v>4301135574</v>
      </c>
      <c r="D82" s="356">
        <v>4607111033659</v>
      </c>
      <c r="E82" s="356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116</v>
      </c>
      <c r="L82" s="37" t="s">
        <v>117</v>
      </c>
      <c r="M82" s="38" t="s">
        <v>84</v>
      </c>
      <c r="N82" s="38"/>
      <c r="O82" s="37">
        <v>180</v>
      </c>
      <c r="P82" s="3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358"/>
      <c r="R82" s="358"/>
      <c r="S82" s="358"/>
      <c r="T82" s="359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IFERROR(IF(X82="","",X82*0.01788),"")</f>
        <v/>
      </c>
      <c r="AA82" s="68" t="s">
        <v>46</v>
      </c>
      <c r="AB82" s="69" t="s">
        <v>46</v>
      </c>
      <c r="AC82" s="139" t="s">
        <v>165</v>
      </c>
      <c r="AG82" s="81"/>
      <c r="AJ82" s="87" t="s">
        <v>118</v>
      </c>
      <c r="AK82" s="87">
        <v>14</v>
      </c>
      <c r="BB82" s="140" t="s">
        <v>115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idden="1" x14ac:dyDescent="0.2">
      <c r="A83" s="370"/>
      <c r="B83" s="370"/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1"/>
      <c r="P83" s="367" t="s">
        <v>40</v>
      </c>
      <c r="Q83" s="368"/>
      <c r="R83" s="368"/>
      <c r="S83" s="368"/>
      <c r="T83" s="368"/>
      <c r="U83" s="368"/>
      <c r="V83" s="369"/>
      <c r="W83" s="42" t="s">
        <v>39</v>
      </c>
      <c r="X83" s="43">
        <f>IFERROR(SUM(X82:X82),"0")</f>
        <v>0</v>
      </c>
      <c r="Y83" s="43">
        <f>IFERROR(SUM(Y82:Y82),"0")</f>
        <v>0</v>
      </c>
      <c r="Z83" s="43">
        <f>IFERROR(IF(Z82="",0,Z82),"0")</f>
        <v>0</v>
      </c>
      <c r="AA83" s="67"/>
      <c r="AB83" s="67"/>
      <c r="AC83" s="67"/>
    </row>
    <row r="84" spans="1:68" hidden="1" x14ac:dyDescent="0.2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1"/>
      <c r="P84" s="367" t="s">
        <v>40</v>
      </c>
      <c r="Q84" s="368"/>
      <c r="R84" s="368"/>
      <c r="S84" s="368"/>
      <c r="T84" s="368"/>
      <c r="U84" s="368"/>
      <c r="V84" s="369"/>
      <c r="W84" s="42" t="s">
        <v>0</v>
      </c>
      <c r="X84" s="43">
        <f>IFERROR(SUMPRODUCT(X82:X82*H82:H82),"0")</f>
        <v>0</v>
      </c>
      <c r="Y84" s="43" t="str">
        <f>IFERROR(SUMPRODUCT(Y82:Y82*H82:H82),"0")</f>
        <v>0</v>
      </c>
      <c r="Z84" s="42"/>
      <c r="AA84" s="67"/>
      <c r="AB84" s="67"/>
      <c r="AC84" s="67"/>
    </row>
    <row r="85" spans="1:68" ht="16.5" hidden="1" customHeight="1" x14ac:dyDescent="0.25">
      <c r="A85" s="354" t="s">
        <v>166</v>
      </c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65"/>
      <c r="AB85" s="65"/>
      <c r="AC85" s="82"/>
    </row>
    <row r="86" spans="1:68" ht="14.25" hidden="1" customHeight="1" x14ac:dyDescent="0.25">
      <c r="A86" s="355" t="s">
        <v>167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66"/>
      <c r="AB86" s="66"/>
      <c r="AC86" s="83"/>
    </row>
    <row r="87" spans="1:68" ht="27" customHeight="1" x14ac:dyDescent="0.25">
      <c r="A87" s="63" t="s">
        <v>168</v>
      </c>
      <c r="B87" s="63" t="s">
        <v>169</v>
      </c>
      <c r="C87" s="36">
        <v>4301131047</v>
      </c>
      <c r="D87" s="356">
        <v>4607111034120</v>
      </c>
      <c r="E87" s="356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116</v>
      </c>
      <c r="L87" s="37" t="s">
        <v>117</v>
      </c>
      <c r="M87" s="38" t="s">
        <v>84</v>
      </c>
      <c r="N87" s="38"/>
      <c r="O87" s="37">
        <v>180</v>
      </c>
      <c r="P87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58"/>
      <c r="R87" s="358"/>
      <c r="S87" s="358"/>
      <c r="T87" s="359"/>
      <c r="U87" s="39" t="s">
        <v>46</v>
      </c>
      <c r="V87" s="39" t="s">
        <v>46</v>
      </c>
      <c r="W87" s="40" t="s">
        <v>39</v>
      </c>
      <c r="X87" s="58">
        <v>42</v>
      </c>
      <c r="Y87" s="55">
        <f>IFERROR(IF(X87="","",X87),"")</f>
        <v>42</v>
      </c>
      <c r="Z87" s="41">
        <f>IFERROR(IF(X87="","",X87*0.01788),"")</f>
        <v>0.75095999999999996</v>
      </c>
      <c r="AA87" s="68" t="s">
        <v>46</v>
      </c>
      <c r="AB87" s="69" t="s">
        <v>46</v>
      </c>
      <c r="AC87" s="141" t="s">
        <v>170</v>
      </c>
      <c r="AG87" s="81"/>
      <c r="AJ87" s="87" t="s">
        <v>118</v>
      </c>
      <c r="AK87" s="87">
        <v>14</v>
      </c>
      <c r="BB87" s="142" t="s">
        <v>115</v>
      </c>
      <c r="BM87" s="81">
        <f>IFERROR(X87*I87,"0")</f>
        <v>180.75120000000001</v>
      </c>
      <c r="BN87" s="81">
        <f>IFERROR(Y87*I87,"0")</f>
        <v>180.75120000000001</v>
      </c>
      <c r="BO87" s="81">
        <f>IFERROR(X87/J87,"0")</f>
        <v>0.6</v>
      </c>
      <c r="BP87" s="81">
        <f>IFERROR(Y87/J87,"0")</f>
        <v>0.6</v>
      </c>
    </row>
    <row r="88" spans="1:68" ht="27" customHeight="1" x14ac:dyDescent="0.25">
      <c r="A88" s="63" t="s">
        <v>171</v>
      </c>
      <c r="B88" s="63" t="s">
        <v>172</v>
      </c>
      <c r="C88" s="36">
        <v>4301131046</v>
      </c>
      <c r="D88" s="356">
        <v>4607111034137</v>
      </c>
      <c r="E88" s="35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58"/>
      <c r="R88" s="358"/>
      <c r="S88" s="358"/>
      <c r="T88" s="359"/>
      <c r="U88" s="39" t="s">
        <v>46</v>
      </c>
      <c r="V88" s="39" t="s">
        <v>46</v>
      </c>
      <c r="W88" s="40" t="s">
        <v>39</v>
      </c>
      <c r="X88" s="58">
        <v>56</v>
      </c>
      <c r="Y88" s="55">
        <f>IFERROR(IF(X88="","",X88),"")</f>
        <v>56</v>
      </c>
      <c r="Z88" s="41">
        <f>IFERROR(IF(X88="","",X88*0.01788),"")</f>
        <v>1.0012799999999999</v>
      </c>
      <c r="AA88" s="68" t="s">
        <v>46</v>
      </c>
      <c r="AB88" s="69" t="s">
        <v>46</v>
      </c>
      <c r="AC88" s="143" t="s">
        <v>173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241.00160000000002</v>
      </c>
      <c r="BN88" s="81">
        <f>IFERROR(Y88*I88,"0")</f>
        <v>241.00160000000002</v>
      </c>
      <c r="BO88" s="81">
        <f>IFERROR(X88/J88,"0")</f>
        <v>0.8</v>
      </c>
      <c r="BP88" s="81">
        <f>IFERROR(Y88/J88,"0")</f>
        <v>0.8</v>
      </c>
    </row>
    <row r="89" spans="1:68" x14ac:dyDescent="0.2">
      <c r="A89" s="370"/>
      <c r="B89" s="370"/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1"/>
      <c r="P89" s="367" t="s">
        <v>40</v>
      </c>
      <c r="Q89" s="368"/>
      <c r="R89" s="368"/>
      <c r="S89" s="368"/>
      <c r="T89" s="368"/>
      <c r="U89" s="368"/>
      <c r="V89" s="369"/>
      <c r="W89" s="42" t="s">
        <v>39</v>
      </c>
      <c r="X89" s="43">
        <f>IFERROR(SUM(X87:X88),"0")</f>
        <v>98</v>
      </c>
      <c r="Y89" s="43">
        <f>IFERROR(SUM(Y87:Y88),"0")</f>
        <v>98</v>
      </c>
      <c r="Z89" s="43">
        <f>IFERROR(IF(Z87="",0,Z87),"0")+IFERROR(IF(Z88="",0,Z88),"0")</f>
        <v>1.75224</v>
      </c>
      <c r="AA89" s="67"/>
      <c r="AB89" s="67"/>
      <c r="AC89" s="67"/>
    </row>
    <row r="90" spans="1:68" x14ac:dyDescent="0.2">
      <c r="A90" s="370"/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1"/>
      <c r="P90" s="367" t="s">
        <v>40</v>
      </c>
      <c r="Q90" s="368"/>
      <c r="R90" s="368"/>
      <c r="S90" s="368"/>
      <c r="T90" s="368"/>
      <c r="U90" s="368"/>
      <c r="V90" s="369"/>
      <c r="W90" s="42" t="s">
        <v>0</v>
      </c>
      <c r="X90" s="43">
        <f>IFERROR(SUMPRODUCT(X87:X88*H87:H88),"0")</f>
        <v>352.8</v>
      </c>
      <c r="Y90" s="43">
        <f>IFERROR(SUMPRODUCT(Y87:Y88*H87:H88),"0")</f>
        <v>352.8</v>
      </c>
      <c r="Z90" s="42"/>
      <c r="AA90" s="67"/>
      <c r="AB90" s="67"/>
      <c r="AC90" s="67"/>
    </row>
    <row r="91" spans="1:68" ht="16.5" hidden="1" customHeight="1" x14ac:dyDescent="0.25">
      <c r="A91" s="354" t="s">
        <v>174</v>
      </c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65"/>
      <c r="AB91" s="65"/>
      <c r="AC91" s="82"/>
    </row>
    <row r="92" spans="1:68" ht="14.25" hidden="1" customHeight="1" x14ac:dyDescent="0.25">
      <c r="A92" s="355" t="s">
        <v>147</v>
      </c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66"/>
      <c r="AB92" s="66"/>
      <c r="AC92" s="83"/>
    </row>
    <row r="93" spans="1:68" ht="27" customHeight="1" x14ac:dyDescent="0.25">
      <c r="A93" s="63" t="s">
        <v>175</v>
      </c>
      <c r="B93" s="63" t="s">
        <v>176</v>
      </c>
      <c r="C93" s="36">
        <v>4301135763</v>
      </c>
      <c r="D93" s="356">
        <v>4620207491027</v>
      </c>
      <c r="E93" s="356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58"/>
      <c r="R93" s="358"/>
      <c r="S93" s="358"/>
      <c r="T93" s="359"/>
      <c r="U93" s="39" t="s">
        <v>46</v>
      </c>
      <c r="V93" s="39" t="s">
        <v>46</v>
      </c>
      <c r="W93" s="40" t="s">
        <v>39</v>
      </c>
      <c r="X93" s="58">
        <v>56</v>
      </c>
      <c r="Y93" s="55">
        <f t="shared" ref="Y93:Y98" si="6">IFERROR(IF(X93="","",X93),"")</f>
        <v>56</v>
      </c>
      <c r="Z93" s="41">
        <f t="shared" ref="Z93:Z98" si="7">IFERROR(IF(X93="","",X93*0.01788),"")</f>
        <v>1.0012799999999999</v>
      </c>
      <c r="AA93" s="68" t="s">
        <v>46</v>
      </c>
      <c r="AB93" s="69" t="s">
        <v>46</v>
      </c>
      <c r="AC93" s="145" t="s">
        <v>165</v>
      </c>
      <c r="AG93" s="81"/>
      <c r="AJ93" s="87" t="s">
        <v>118</v>
      </c>
      <c r="AK93" s="87">
        <v>14</v>
      </c>
      <c r="BB93" s="146" t="s">
        <v>115</v>
      </c>
      <c r="BM93" s="81">
        <f t="shared" ref="BM93:BM98" si="8">IFERROR(X93*I93,"0")</f>
        <v>200.6816</v>
      </c>
      <c r="BN93" s="81">
        <f t="shared" ref="BN93:BN98" si="9">IFERROR(Y93*I93,"0")</f>
        <v>200.6816</v>
      </c>
      <c r="BO93" s="81">
        <f t="shared" ref="BO93:BO98" si="10">IFERROR(X93/J93,"0")</f>
        <v>0.8</v>
      </c>
      <c r="BP93" s="81">
        <f t="shared" ref="BP93:BP98" si="11">IFERROR(Y93/J93,"0")</f>
        <v>0.8</v>
      </c>
    </row>
    <row r="94" spans="1:68" ht="27" customHeight="1" x14ac:dyDescent="0.25">
      <c r="A94" s="63" t="s">
        <v>177</v>
      </c>
      <c r="B94" s="63" t="s">
        <v>178</v>
      </c>
      <c r="C94" s="36">
        <v>4301135914</v>
      </c>
      <c r="D94" s="356">
        <v>4620207491621</v>
      </c>
      <c r="E94" s="35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86</v>
      </c>
      <c r="M94" s="38" t="s">
        <v>84</v>
      </c>
      <c r="N94" s="38"/>
      <c r="O94" s="37">
        <v>180</v>
      </c>
      <c r="P94" s="39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58"/>
      <c r="R94" s="358"/>
      <c r="S94" s="358"/>
      <c r="T94" s="359"/>
      <c r="U94" s="39" t="s">
        <v>46</v>
      </c>
      <c r="V94" s="39" t="s">
        <v>46</v>
      </c>
      <c r="W94" s="40" t="s">
        <v>39</v>
      </c>
      <c r="X94" s="58">
        <v>42</v>
      </c>
      <c r="Y94" s="55">
        <f t="shared" si="6"/>
        <v>42</v>
      </c>
      <c r="Z94" s="41">
        <f t="shared" si="7"/>
        <v>0.75095999999999996</v>
      </c>
      <c r="AA94" s="68" t="s">
        <v>46</v>
      </c>
      <c r="AB94" s="69" t="s">
        <v>46</v>
      </c>
      <c r="AC94" s="147" t="s">
        <v>179</v>
      </c>
      <c r="AG94" s="81"/>
      <c r="AJ94" s="87" t="s">
        <v>87</v>
      </c>
      <c r="AK94" s="87">
        <v>1</v>
      </c>
      <c r="BB94" s="148" t="s">
        <v>115</v>
      </c>
      <c r="BM94" s="81">
        <f t="shared" si="8"/>
        <v>150.5112</v>
      </c>
      <c r="BN94" s="81">
        <f t="shared" si="9"/>
        <v>150.5112</v>
      </c>
      <c r="BO94" s="81">
        <f t="shared" si="10"/>
        <v>0.6</v>
      </c>
      <c r="BP94" s="81">
        <f t="shared" si="11"/>
        <v>0.6</v>
      </c>
    </row>
    <row r="95" spans="1:68" ht="27" customHeight="1" x14ac:dyDescent="0.25">
      <c r="A95" s="63" t="s">
        <v>180</v>
      </c>
      <c r="B95" s="63" t="s">
        <v>181</v>
      </c>
      <c r="C95" s="36">
        <v>4301135990</v>
      </c>
      <c r="D95" s="356">
        <v>4620207491881</v>
      </c>
      <c r="E95" s="35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9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58"/>
      <c r="R95" s="358"/>
      <c r="S95" s="358"/>
      <c r="T95" s="359"/>
      <c r="U95" s="39" t="s">
        <v>46</v>
      </c>
      <c r="V95" s="39" t="s">
        <v>46</v>
      </c>
      <c r="W95" s="40" t="s">
        <v>39</v>
      </c>
      <c r="X95" s="58">
        <v>56</v>
      </c>
      <c r="Y95" s="55">
        <f t="shared" si="6"/>
        <v>56</v>
      </c>
      <c r="Z95" s="41">
        <f t="shared" si="7"/>
        <v>1.0012799999999999</v>
      </c>
      <c r="AA95" s="68" t="s">
        <v>46</v>
      </c>
      <c r="AB95" s="69" t="s">
        <v>46</v>
      </c>
      <c r="AC95" s="149" t="s">
        <v>179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200.6816</v>
      </c>
      <c r="BN95" s="81">
        <f t="shared" si="9"/>
        <v>200.6816</v>
      </c>
      <c r="BO95" s="81">
        <f t="shared" si="10"/>
        <v>0.8</v>
      </c>
      <c r="BP95" s="81">
        <f t="shared" si="11"/>
        <v>0.8</v>
      </c>
    </row>
    <row r="96" spans="1:68" ht="27" customHeight="1" x14ac:dyDescent="0.25">
      <c r="A96" s="63" t="s">
        <v>182</v>
      </c>
      <c r="B96" s="63" t="s">
        <v>183</v>
      </c>
      <c r="C96" s="36">
        <v>4301135920</v>
      </c>
      <c r="D96" s="356">
        <v>4620207491577</v>
      </c>
      <c r="E96" s="35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58"/>
      <c r="R96" s="358"/>
      <c r="S96" s="358"/>
      <c r="T96" s="359"/>
      <c r="U96" s="39" t="s">
        <v>46</v>
      </c>
      <c r="V96" s="39" t="s">
        <v>46</v>
      </c>
      <c r="W96" s="40" t="s">
        <v>39</v>
      </c>
      <c r="X96" s="58">
        <v>42</v>
      </c>
      <c r="Y96" s="55">
        <f t="shared" si="6"/>
        <v>42</v>
      </c>
      <c r="Z96" s="41">
        <f t="shared" si="7"/>
        <v>0.75095999999999996</v>
      </c>
      <c r="AA96" s="68" t="s">
        <v>46</v>
      </c>
      <c r="AB96" s="69" t="s">
        <v>46</v>
      </c>
      <c r="AC96" s="151" t="s">
        <v>179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150.5112</v>
      </c>
      <c r="BN96" s="81">
        <f t="shared" si="9"/>
        <v>150.5112</v>
      </c>
      <c r="BO96" s="81">
        <f t="shared" si="10"/>
        <v>0.6</v>
      </c>
      <c r="BP96" s="81">
        <f t="shared" si="11"/>
        <v>0.6</v>
      </c>
    </row>
    <row r="97" spans="1:68" ht="27" hidden="1" customHeight="1" x14ac:dyDescent="0.25">
      <c r="A97" s="63" t="s">
        <v>184</v>
      </c>
      <c r="B97" s="63" t="s">
        <v>185</v>
      </c>
      <c r="C97" s="36">
        <v>4301135984</v>
      </c>
      <c r="D97" s="356">
        <v>4620207491874</v>
      </c>
      <c r="E97" s="356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116</v>
      </c>
      <c r="L97" s="37" t="s">
        <v>86</v>
      </c>
      <c r="M97" s="38" t="s">
        <v>84</v>
      </c>
      <c r="N97" s="38"/>
      <c r="O97" s="37">
        <v>180</v>
      </c>
      <c r="P97" s="39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58"/>
      <c r="R97" s="358"/>
      <c r="S97" s="358"/>
      <c r="T97" s="359"/>
      <c r="U97" s="39" t="s">
        <v>46</v>
      </c>
      <c r="V97" s="39" t="s">
        <v>46</v>
      </c>
      <c r="W97" s="40" t="s">
        <v>39</v>
      </c>
      <c r="X97" s="58"/>
      <c r="Y97" s="55" t="str">
        <f t="shared" si="6"/>
        <v/>
      </c>
      <c r="Z97" s="41" t="str">
        <f t="shared" si="7"/>
        <v/>
      </c>
      <c r="AA97" s="68" t="s">
        <v>46</v>
      </c>
      <c r="AB97" s="69" t="s">
        <v>46</v>
      </c>
      <c r="AC97" s="153" t="s">
        <v>179</v>
      </c>
      <c r="AG97" s="81"/>
      <c r="AJ97" s="87" t="s">
        <v>87</v>
      </c>
      <c r="AK97" s="87">
        <v>1</v>
      </c>
      <c r="BB97" s="154" t="s">
        <v>115</v>
      </c>
      <c r="BM97" s="81">
        <f t="shared" si="8"/>
        <v>0</v>
      </c>
      <c r="BN97" s="81" t="str">
        <f t="shared" si="9"/>
        <v>0</v>
      </c>
      <c r="BO97" s="81">
        <f t="shared" si="10"/>
        <v>0</v>
      </c>
      <c r="BP97" s="81" t="str">
        <f t="shared" si="11"/>
        <v>0</v>
      </c>
    </row>
    <row r="98" spans="1:68" ht="27" customHeight="1" x14ac:dyDescent="0.25">
      <c r="A98" s="63" t="s">
        <v>186</v>
      </c>
      <c r="B98" s="63" t="s">
        <v>187</v>
      </c>
      <c r="C98" s="36">
        <v>4301135285</v>
      </c>
      <c r="D98" s="356">
        <v>4607111036407</v>
      </c>
      <c r="E98" s="356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55" t="s">
        <v>188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63.408800000000006</v>
      </c>
      <c r="BN98" s="81">
        <f t="shared" si="9"/>
        <v>63.408800000000006</v>
      </c>
      <c r="BO98" s="81">
        <f t="shared" si="10"/>
        <v>0.2</v>
      </c>
      <c r="BP98" s="81">
        <f t="shared" si="11"/>
        <v>0.2</v>
      </c>
    </row>
    <row r="99" spans="1:68" x14ac:dyDescent="0.2">
      <c r="A99" s="370"/>
      <c r="B99" s="370"/>
      <c r="C99" s="370"/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1"/>
      <c r="P99" s="367" t="s">
        <v>40</v>
      </c>
      <c r="Q99" s="368"/>
      <c r="R99" s="368"/>
      <c r="S99" s="368"/>
      <c r="T99" s="368"/>
      <c r="U99" s="368"/>
      <c r="V99" s="369"/>
      <c r="W99" s="42" t="s">
        <v>39</v>
      </c>
      <c r="X99" s="43">
        <f>IFERROR(SUM(X93:X98),"0")</f>
        <v>210</v>
      </c>
      <c r="Y99" s="43">
        <f>IFERROR(SUM(Y93:Y98),"0")</f>
        <v>210</v>
      </c>
      <c r="Z99" s="43">
        <f>IFERROR(IF(Z93="",0,Z93),"0")+IFERROR(IF(Z94="",0,Z94),"0")+IFERROR(IF(Z95="",0,Z95),"0")+IFERROR(IF(Z96="",0,Z96),"0")+IFERROR(IF(Z97="",0,Z97),"0")+IFERROR(IF(Z98="",0,Z98),"0")</f>
        <v>3.7547999999999999</v>
      </c>
      <c r="AA99" s="67"/>
      <c r="AB99" s="67"/>
      <c r="AC99" s="67"/>
    </row>
    <row r="100" spans="1:68" x14ac:dyDescent="0.2">
      <c r="A100" s="370"/>
      <c r="B100" s="370"/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1"/>
      <c r="P100" s="367" t="s">
        <v>40</v>
      </c>
      <c r="Q100" s="368"/>
      <c r="R100" s="368"/>
      <c r="S100" s="368"/>
      <c r="T100" s="368"/>
      <c r="U100" s="368"/>
      <c r="V100" s="369"/>
      <c r="W100" s="42" t="s">
        <v>0</v>
      </c>
      <c r="X100" s="43">
        <f>IFERROR(SUMPRODUCT(X93:X98*H93:H98),"0")</f>
        <v>623.28</v>
      </c>
      <c r="Y100" s="43" t="str">
        <f>IFERROR(SUMPRODUCT(Y93:Y98*H93:H98),"0")</f>
        <v>0</v>
      </c>
      <c r="Z100" s="42"/>
      <c r="AA100" s="67"/>
      <c r="AB100" s="67"/>
      <c r="AC100" s="67"/>
    </row>
    <row r="101" spans="1:68" ht="16.5" hidden="1" customHeight="1" x14ac:dyDescent="0.25">
      <c r="A101" s="354" t="s">
        <v>189</v>
      </c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  <c r="AA101" s="65"/>
      <c r="AB101" s="65"/>
      <c r="AC101" s="82"/>
    </row>
    <row r="102" spans="1:68" ht="14.25" hidden="1" customHeight="1" x14ac:dyDescent="0.25">
      <c r="A102" s="355" t="s">
        <v>143</v>
      </c>
      <c r="B102" s="355"/>
      <c r="C102" s="355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355"/>
      <c r="Z102" s="355"/>
      <c r="AA102" s="66"/>
      <c r="AB102" s="66"/>
      <c r="AC102" s="83"/>
    </row>
    <row r="103" spans="1:68" ht="27" hidden="1" customHeight="1" x14ac:dyDescent="0.25">
      <c r="A103" s="63" t="s">
        <v>190</v>
      </c>
      <c r="B103" s="63" t="s">
        <v>191</v>
      </c>
      <c r="C103" s="36">
        <v>4301136101</v>
      </c>
      <c r="D103" s="356">
        <v>4620207491652</v>
      </c>
      <c r="E103" s="356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116</v>
      </c>
      <c r="L103" s="37" t="s">
        <v>86</v>
      </c>
      <c r="M103" s="38" t="s">
        <v>84</v>
      </c>
      <c r="N103" s="38"/>
      <c r="O103" s="37">
        <v>180</v>
      </c>
      <c r="P103" s="39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58"/>
      <c r="R103" s="358"/>
      <c r="S103" s="358"/>
      <c r="T103" s="359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192</v>
      </c>
      <c r="AG103" s="81"/>
      <c r="AJ103" s="87" t="s">
        <v>87</v>
      </c>
      <c r="AK103" s="87">
        <v>1</v>
      </c>
      <c r="BB103" s="158" t="s">
        <v>115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hidden="1" customHeight="1" x14ac:dyDescent="0.25">
      <c r="A104" s="63" t="s">
        <v>193</v>
      </c>
      <c r="B104" s="63" t="s">
        <v>194</v>
      </c>
      <c r="C104" s="36">
        <v>4301136103</v>
      </c>
      <c r="D104" s="356">
        <v>4620207491645</v>
      </c>
      <c r="E104" s="356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9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192</v>
      </c>
      <c r="AG104" s="81"/>
      <c r="AJ104" s="87" t="s">
        <v>87</v>
      </c>
      <c r="AK104" s="87">
        <v>1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idden="1" x14ac:dyDescent="0.2">
      <c r="A105" s="370"/>
      <c r="B105" s="370"/>
      <c r="C105" s="370"/>
      <c r="D105" s="370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1"/>
      <c r="P105" s="367" t="s">
        <v>40</v>
      </c>
      <c r="Q105" s="368"/>
      <c r="R105" s="368"/>
      <c r="S105" s="368"/>
      <c r="T105" s="368"/>
      <c r="U105" s="368"/>
      <c r="V105" s="369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hidden="1" x14ac:dyDescent="0.2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1"/>
      <c r="P106" s="367" t="s">
        <v>40</v>
      </c>
      <c r="Q106" s="368"/>
      <c r="R106" s="368"/>
      <c r="S106" s="368"/>
      <c r="T106" s="368"/>
      <c r="U106" s="368"/>
      <c r="V106" s="369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54" t="s">
        <v>195</v>
      </c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65"/>
      <c r="AB107" s="65"/>
      <c r="AC107" s="82"/>
    </row>
    <row r="108" spans="1:68" ht="14.25" hidden="1" customHeight="1" x14ac:dyDescent="0.25">
      <c r="A108" s="355" t="s">
        <v>80</v>
      </c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66"/>
      <c r="AB108" s="66"/>
      <c r="AC108" s="83"/>
    </row>
    <row r="109" spans="1:68" ht="27" hidden="1" customHeight="1" x14ac:dyDescent="0.25">
      <c r="A109" s="63" t="s">
        <v>196</v>
      </c>
      <c r="B109" s="63" t="s">
        <v>197</v>
      </c>
      <c r="C109" s="36">
        <v>4301071074</v>
      </c>
      <c r="D109" s="356">
        <v>4620207491157</v>
      </c>
      <c r="E109" s="356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85</v>
      </c>
      <c r="L109" s="37" t="s">
        <v>117</v>
      </c>
      <c r="M109" s="38" t="s">
        <v>84</v>
      </c>
      <c r="N109" s="38"/>
      <c r="O109" s="37">
        <v>180</v>
      </c>
      <c r="P109" s="40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58"/>
      <c r="R109" s="358"/>
      <c r="S109" s="358"/>
      <c r="T109" s="359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5" si="12">IFERROR(IF(X109="","",X109),"")</f>
        <v>0</v>
      </c>
      <c r="Z109" s="41">
        <f t="shared" ref="Z109:Z115" si="13">IFERROR(IF(X109="","",X109*0.0155),"")</f>
        <v>0</v>
      </c>
      <c r="AA109" s="68" t="s">
        <v>46</v>
      </c>
      <c r="AB109" s="69" t="s">
        <v>46</v>
      </c>
      <c r="AC109" s="161" t="s">
        <v>198</v>
      </c>
      <c r="AG109" s="81"/>
      <c r="AJ109" s="87" t="s">
        <v>118</v>
      </c>
      <c r="AK109" s="87">
        <v>12</v>
      </c>
      <c r="BB109" s="162" t="s">
        <v>70</v>
      </c>
      <c r="BM109" s="81">
        <f t="shared" ref="BM109:BM115" si="14">IFERROR(X109*I109,"0")</f>
        <v>0</v>
      </c>
      <c r="BN109" s="81">
        <f t="shared" ref="BN109:BN115" si="15">IFERROR(Y109*I109,"0")</f>
        <v>0</v>
      </c>
      <c r="BO109" s="81">
        <f t="shared" ref="BO109:BO115" si="16">IFERROR(X109/J109,"0")</f>
        <v>0</v>
      </c>
      <c r="BP109" s="81">
        <f t="shared" ref="BP109:BP115" si="17">IFERROR(Y109/J109,"0")</f>
        <v>0</v>
      </c>
    </row>
    <row r="110" spans="1:68" ht="27" hidden="1" customHeight="1" x14ac:dyDescent="0.25">
      <c r="A110" s="63" t="s">
        <v>199</v>
      </c>
      <c r="B110" s="63" t="s">
        <v>200</v>
      </c>
      <c r="C110" s="36">
        <v>4301071121</v>
      </c>
      <c r="D110" s="356">
        <v>4620207491393</v>
      </c>
      <c r="E110" s="356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85</v>
      </c>
      <c r="L110" s="37" t="s">
        <v>86</v>
      </c>
      <c r="M110" s="38" t="s">
        <v>84</v>
      </c>
      <c r="N110" s="38"/>
      <c r="O110" s="37">
        <v>180</v>
      </c>
      <c r="P110" s="40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87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4301071051</v>
      </c>
      <c r="D111" s="356">
        <v>4607111039262</v>
      </c>
      <c r="E111" s="356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85</v>
      </c>
      <c r="L111" s="37" t="s">
        <v>117</v>
      </c>
      <c r="M111" s="38" t="s">
        <v>84</v>
      </c>
      <c r="N111" s="38"/>
      <c r="O111" s="37">
        <v>180</v>
      </c>
      <c r="P111" s="40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58"/>
      <c r="R111" s="358"/>
      <c r="S111" s="358"/>
      <c r="T111" s="359"/>
      <c r="U111" s="39" t="s">
        <v>46</v>
      </c>
      <c r="V111" s="39" t="s">
        <v>46</v>
      </c>
      <c r="W111" s="40" t="s">
        <v>39</v>
      </c>
      <c r="X111" s="58">
        <v>12</v>
      </c>
      <c r="Y111" s="55">
        <f t="shared" si="12"/>
        <v>12</v>
      </c>
      <c r="Z111" s="41">
        <f t="shared" si="13"/>
        <v>0.186</v>
      </c>
      <c r="AA111" s="68" t="s">
        <v>46</v>
      </c>
      <c r="AB111" s="69" t="s">
        <v>46</v>
      </c>
      <c r="AC111" s="165" t="s">
        <v>158</v>
      </c>
      <c r="AG111" s="81"/>
      <c r="AJ111" s="87" t="s">
        <v>118</v>
      </c>
      <c r="AK111" s="87">
        <v>12</v>
      </c>
      <c r="BB111" s="166" t="s">
        <v>70</v>
      </c>
      <c r="BM111" s="81">
        <f t="shared" si="14"/>
        <v>80.635199999999998</v>
      </c>
      <c r="BN111" s="81">
        <f t="shared" si="15"/>
        <v>80.635199999999998</v>
      </c>
      <c r="BO111" s="81">
        <f t="shared" si="16"/>
        <v>0.14285714285714285</v>
      </c>
      <c r="BP111" s="81">
        <f t="shared" si="17"/>
        <v>0.14285714285714285</v>
      </c>
    </row>
    <row r="112" spans="1:68" ht="27" customHeight="1" x14ac:dyDescent="0.25">
      <c r="A112" s="63" t="s">
        <v>204</v>
      </c>
      <c r="B112" s="63" t="s">
        <v>205</v>
      </c>
      <c r="C112" s="36">
        <v>4301071038</v>
      </c>
      <c r="D112" s="356">
        <v>4607111039248</v>
      </c>
      <c r="E112" s="356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40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58"/>
      <c r="R112" s="358"/>
      <c r="S112" s="358"/>
      <c r="T112" s="359"/>
      <c r="U112" s="39" t="s">
        <v>46</v>
      </c>
      <c r="V112" s="39" t="s">
        <v>46</v>
      </c>
      <c r="W112" s="40" t="s">
        <v>39</v>
      </c>
      <c r="X112" s="58">
        <v>36</v>
      </c>
      <c r="Y112" s="55">
        <f t="shared" si="12"/>
        <v>36</v>
      </c>
      <c r="Z112" s="41">
        <f t="shared" si="13"/>
        <v>0.55800000000000005</v>
      </c>
      <c r="AA112" s="68" t="s">
        <v>46</v>
      </c>
      <c r="AB112" s="69" t="s">
        <v>46</v>
      </c>
      <c r="AC112" s="167" t="s">
        <v>158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262.8</v>
      </c>
      <c r="BN112" s="81">
        <f t="shared" si="15"/>
        <v>262.8</v>
      </c>
      <c r="BO112" s="81">
        <f t="shared" si="16"/>
        <v>0.42857142857142855</v>
      </c>
      <c r="BP112" s="81">
        <f t="shared" si="17"/>
        <v>0.42857142857142855</v>
      </c>
    </row>
    <row r="113" spans="1:68" ht="27" hidden="1" customHeight="1" x14ac:dyDescent="0.25">
      <c r="A113" s="63" t="s">
        <v>206</v>
      </c>
      <c r="B113" s="63" t="s">
        <v>207</v>
      </c>
      <c r="C113" s="36">
        <v>4301070979</v>
      </c>
      <c r="D113" s="356">
        <v>4607111037145</v>
      </c>
      <c r="E113" s="356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40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208</v>
      </c>
      <c r="AG113" s="81"/>
      <c r="AJ113" s="87" t="s">
        <v>87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209</v>
      </c>
      <c r="B114" s="63" t="s">
        <v>210</v>
      </c>
      <c r="C114" s="36">
        <v>4301071049</v>
      </c>
      <c r="D114" s="356">
        <v>4607111039293</v>
      </c>
      <c r="E114" s="356"/>
      <c r="F114" s="62">
        <v>0.4</v>
      </c>
      <c r="G114" s="37">
        <v>16</v>
      </c>
      <c r="H114" s="62">
        <v>6.4</v>
      </c>
      <c r="I114" s="62">
        <v>6.7195999999999998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40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58"/>
      <c r="R114" s="358"/>
      <c r="S114" s="358"/>
      <c r="T114" s="359"/>
      <c r="U114" s="39" t="s">
        <v>46</v>
      </c>
      <c r="V114" s="39" t="s">
        <v>46</v>
      </c>
      <c r="W114" s="40" t="s">
        <v>39</v>
      </c>
      <c r="X114" s="58">
        <v>12</v>
      </c>
      <c r="Y114" s="55">
        <f t="shared" si="12"/>
        <v>12</v>
      </c>
      <c r="Z114" s="41">
        <f t="shared" si="13"/>
        <v>0.186</v>
      </c>
      <c r="AA114" s="68" t="s">
        <v>46</v>
      </c>
      <c r="AB114" s="69" t="s">
        <v>46</v>
      </c>
      <c r="AC114" s="171" t="s">
        <v>158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80.635199999999998</v>
      </c>
      <c r="BN114" s="81">
        <f t="shared" si="15"/>
        <v>80.635199999999998</v>
      </c>
      <c r="BO114" s="81">
        <f t="shared" si="16"/>
        <v>0.14285714285714285</v>
      </c>
      <c r="BP114" s="81">
        <f t="shared" si="17"/>
        <v>0.14285714285714285</v>
      </c>
    </row>
    <row r="115" spans="1:68" ht="27" customHeight="1" x14ac:dyDescent="0.25">
      <c r="A115" s="63" t="s">
        <v>211</v>
      </c>
      <c r="B115" s="63" t="s">
        <v>212</v>
      </c>
      <c r="C115" s="36">
        <v>4301071039</v>
      </c>
      <c r="D115" s="356">
        <v>4607111039279</v>
      </c>
      <c r="E115" s="356"/>
      <c r="F115" s="62">
        <v>0.7</v>
      </c>
      <c r="G115" s="37">
        <v>10</v>
      </c>
      <c r="H115" s="62">
        <v>7</v>
      </c>
      <c r="I115" s="62">
        <v>7.3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48</v>
      </c>
      <c r="Y115" s="55">
        <f t="shared" si="12"/>
        <v>48</v>
      </c>
      <c r="Z115" s="41">
        <f t="shared" si="13"/>
        <v>0.74399999999999999</v>
      </c>
      <c r="AA115" s="68" t="s">
        <v>46</v>
      </c>
      <c r="AB115" s="69" t="s">
        <v>46</v>
      </c>
      <c r="AC115" s="173" t="s">
        <v>158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350.4</v>
      </c>
      <c r="BN115" s="81">
        <f t="shared" si="15"/>
        <v>350.4</v>
      </c>
      <c r="BO115" s="81">
        <f t="shared" si="16"/>
        <v>0.5714285714285714</v>
      </c>
      <c r="BP115" s="81">
        <f t="shared" si="17"/>
        <v>0.5714285714285714</v>
      </c>
    </row>
    <row r="116" spans="1:68" x14ac:dyDescent="0.2">
      <c r="A116" s="370"/>
      <c r="B116" s="370"/>
      <c r="C116" s="370"/>
      <c r="D116" s="370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1"/>
      <c r="P116" s="367" t="s">
        <v>40</v>
      </c>
      <c r="Q116" s="368"/>
      <c r="R116" s="368"/>
      <c r="S116" s="368"/>
      <c r="T116" s="368"/>
      <c r="U116" s="368"/>
      <c r="V116" s="369"/>
      <c r="W116" s="42" t="s">
        <v>39</v>
      </c>
      <c r="X116" s="43">
        <f>IFERROR(SUM(X109:X115),"0")</f>
        <v>108</v>
      </c>
      <c r="Y116" s="43">
        <f>IFERROR(SUM(Y109:Y115),"0")</f>
        <v>108</v>
      </c>
      <c r="Z116" s="43">
        <f>IFERROR(IF(Z109="",0,Z109),"0")+IFERROR(IF(Z110="",0,Z110),"0")+IFERROR(IF(Z111="",0,Z111),"0")+IFERROR(IF(Z112="",0,Z112),"0")+IFERROR(IF(Z113="",0,Z113),"0")+IFERROR(IF(Z114="",0,Z114),"0")+IFERROR(IF(Z115="",0,Z115),"0")</f>
        <v>1.6739999999999999</v>
      </c>
      <c r="AA116" s="67"/>
      <c r="AB116" s="67"/>
      <c r="AC116" s="67"/>
    </row>
    <row r="117" spans="1:68" x14ac:dyDescent="0.2">
      <c r="A117" s="370"/>
      <c r="B117" s="370"/>
      <c r="C117" s="370"/>
      <c r="D117" s="370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1"/>
      <c r="P117" s="367" t="s">
        <v>40</v>
      </c>
      <c r="Q117" s="368"/>
      <c r="R117" s="368"/>
      <c r="S117" s="368"/>
      <c r="T117" s="368"/>
      <c r="U117" s="368"/>
      <c r="V117" s="369"/>
      <c r="W117" s="42" t="s">
        <v>0</v>
      </c>
      <c r="X117" s="43">
        <f>IFERROR(SUMPRODUCT(X109:X115*H109:H115),"0")</f>
        <v>741.6</v>
      </c>
      <c r="Y117" s="43">
        <f>IFERROR(SUMPRODUCT(Y109:Y115*H109:H115),"0")</f>
        <v>741.6</v>
      </c>
      <c r="Z117" s="42"/>
      <c r="AA117" s="67"/>
      <c r="AB117" s="67"/>
      <c r="AC117" s="67"/>
    </row>
    <row r="118" spans="1:68" ht="14.25" hidden="1" customHeight="1" x14ac:dyDescent="0.25">
      <c r="A118" s="355" t="s">
        <v>147</v>
      </c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5"/>
      <c r="P118" s="355"/>
      <c r="Q118" s="355"/>
      <c r="R118" s="355"/>
      <c r="S118" s="355"/>
      <c r="T118" s="355"/>
      <c r="U118" s="355"/>
      <c r="V118" s="355"/>
      <c r="W118" s="355"/>
      <c r="X118" s="355"/>
      <c r="Y118" s="355"/>
      <c r="Z118" s="355"/>
      <c r="AA118" s="66"/>
      <c r="AB118" s="66"/>
      <c r="AC118" s="83"/>
    </row>
    <row r="119" spans="1:68" ht="27" customHeight="1" x14ac:dyDescent="0.25">
      <c r="A119" s="63" t="s">
        <v>213</v>
      </c>
      <c r="B119" s="63" t="s">
        <v>214</v>
      </c>
      <c r="C119" s="36">
        <v>4301135826</v>
      </c>
      <c r="D119" s="356">
        <v>4620207490983</v>
      </c>
      <c r="E119" s="356"/>
      <c r="F119" s="62">
        <v>0.22</v>
      </c>
      <c r="G119" s="37">
        <v>12</v>
      </c>
      <c r="H119" s="62">
        <v>2.64</v>
      </c>
      <c r="I119" s="62">
        <v>3.3435999999999999</v>
      </c>
      <c r="J119" s="37">
        <v>70</v>
      </c>
      <c r="K119" s="37" t="s">
        <v>116</v>
      </c>
      <c r="L119" s="37" t="s">
        <v>86</v>
      </c>
      <c r="M119" s="38" t="s">
        <v>84</v>
      </c>
      <c r="N119" s="38"/>
      <c r="O119" s="37">
        <v>180</v>
      </c>
      <c r="P119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58"/>
      <c r="R119" s="358"/>
      <c r="S119" s="358"/>
      <c r="T119" s="359"/>
      <c r="U119" s="39" t="s">
        <v>46</v>
      </c>
      <c r="V119" s="39" t="s">
        <v>46</v>
      </c>
      <c r="W119" s="40" t="s">
        <v>39</v>
      </c>
      <c r="X119" s="58">
        <v>14</v>
      </c>
      <c r="Y119" s="55">
        <f>IFERROR(IF(X119="","",X119),"")</f>
        <v>14</v>
      </c>
      <c r="Z119" s="41">
        <f>IFERROR(IF(X119="","",X119*0.01788),"")</f>
        <v>0.25031999999999999</v>
      </c>
      <c r="AA119" s="68" t="s">
        <v>46</v>
      </c>
      <c r="AB119" s="69" t="s">
        <v>46</v>
      </c>
      <c r="AC119" s="175" t="s">
        <v>215</v>
      </c>
      <c r="AG119" s="81"/>
      <c r="AJ119" s="87" t="s">
        <v>87</v>
      </c>
      <c r="AK119" s="87">
        <v>1</v>
      </c>
      <c r="BB119" s="176" t="s">
        <v>115</v>
      </c>
      <c r="BM119" s="81">
        <f>IFERROR(X119*I119,"0")</f>
        <v>46.810400000000001</v>
      </c>
      <c r="BN119" s="81">
        <f>IFERROR(Y119*I119,"0")</f>
        <v>46.810400000000001</v>
      </c>
      <c r="BO119" s="81">
        <f>IFERROR(X119/J119,"0")</f>
        <v>0.2</v>
      </c>
      <c r="BP119" s="81">
        <f>IFERROR(Y119/J119,"0")</f>
        <v>0.2</v>
      </c>
    </row>
    <row r="120" spans="1:68" x14ac:dyDescent="0.2">
      <c r="A120" s="370"/>
      <c r="B120" s="370"/>
      <c r="C120" s="370"/>
      <c r="D120" s="370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1"/>
      <c r="P120" s="367" t="s">
        <v>40</v>
      </c>
      <c r="Q120" s="368"/>
      <c r="R120" s="368"/>
      <c r="S120" s="368"/>
      <c r="T120" s="368"/>
      <c r="U120" s="368"/>
      <c r="V120" s="369"/>
      <c r="W120" s="42" t="s">
        <v>39</v>
      </c>
      <c r="X120" s="43">
        <f>IFERROR(SUM(X119:X119),"0")</f>
        <v>14</v>
      </c>
      <c r="Y120" s="43">
        <f>IFERROR(SUM(Y119:Y119),"0")</f>
        <v>14</v>
      </c>
      <c r="Z120" s="43">
        <f>IFERROR(IF(Z119="",0,Z119),"0")</f>
        <v>0.25031999999999999</v>
      </c>
      <c r="AA120" s="67"/>
      <c r="AB120" s="67"/>
      <c r="AC120" s="67"/>
    </row>
    <row r="121" spans="1:68" x14ac:dyDescent="0.2">
      <c r="A121" s="370"/>
      <c r="B121" s="370"/>
      <c r="C121" s="370"/>
      <c r="D121" s="370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1"/>
      <c r="P121" s="367" t="s">
        <v>40</v>
      </c>
      <c r="Q121" s="368"/>
      <c r="R121" s="368"/>
      <c r="S121" s="368"/>
      <c r="T121" s="368"/>
      <c r="U121" s="368"/>
      <c r="V121" s="369"/>
      <c r="W121" s="42" t="s">
        <v>0</v>
      </c>
      <c r="X121" s="43">
        <f>IFERROR(SUMPRODUCT(X119:X119*H119:H119),"0")</f>
        <v>36.96</v>
      </c>
      <c r="Y121" s="43">
        <f>IFERROR(SUMPRODUCT(Y119:Y119*H119:H119),"0")</f>
        <v>36.96</v>
      </c>
      <c r="Z121" s="42"/>
      <c r="AA121" s="67"/>
      <c r="AB121" s="67"/>
      <c r="AC121" s="67"/>
    </row>
    <row r="122" spans="1:68" ht="14.25" hidden="1" customHeight="1" x14ac:dyDescent="0.25">
      <c r="A122" s="355" t="s">
        <v>216</v>
      </c>
      <c r="B122" s="355"/>
      <c r="C122" s="355"/>
      <c r="D122" s="355"/>
      <c r="E122" s="355"/>
      <c r="F122" s="355"/>
      <c r="G122" s="355"/>
      <c r="H122" s="355"/>
      <c r="I122" s="355"/>
      <c r="J122" s="355"/>
      <c r="K122" s="355"/>
      <c r="L122" s="355"/>
      <c r="M122" s="355"/>
      <c r="N122" s="355"/>
      <c r="O122" s="355"/>
      <c r="P122" s="355"/>
      <c r="Q122" s="355"/>
      <c r="R122" s="355"/>
      <c r="S122" s="355"/>
      <c r="T122" s="355"/>
      <c r="U122" s="355"/>
      <c r="V122" s="355"/>
      <c r="W122" s="355"/>
      <c r="X122" s="355"/>
      <c r="Y122" s="355"/>
      <c r="Z122" s="355"/>
      <c r="AA122" s="66"/>
      <c r="AB122" s="66"/>
      <c r="AC122" s="83"/>
    </row>
    <row r="123" spans="1:68" ht="27" hidden="1" customHeight="1" x14ac:dyDescent="0.25">
      <c r="A123" s="63" t="s">
        <v>217</v>
      </c>
      <c r="B123" s="63" t="s">
        <v>218</v>
      </c>
      <c r="C123" s="36">
        <v>4301071094</v>
      </c>
      <c r="D123" s="356">
        <v>4620207491140</v>
      </c>
      <c r="E123" s="356"/>
      <c r="F123" s="62">
        <v>0.6</v>
      </c>
      <c r="G123" s="37">
        <v>10</v>
      </c>
      <c r="H123" s="62">
        <v>6</v>
      </c>
      <c r="I123" s="62">
        <v>6.28</v>
      </c>
      <c r="J123" s="37">
        <v>84</v>
      </c>
      <c r="K123" s="37" t="s">
        <v>85</v>
      </c>
      <c r="L123" s="37" t="s">
        <v>86</v>
      </c>
      <c r="M123" s="38" t="s">
        <v>84</v>
      </c>
      <c r="N123" s="38"/>
      <c r="O123" s="37">
        <v>180</v>
      </c>
      <c r="P123" s="40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58"/>
      <c r="R123" s="358"/>
      <c r="S123" s="358"/>
      <c r="T123" s="35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IFERROR(IF(X123="","",X123*0.0155),"")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87</v>
      </c>
      <c r="AK123" s="87">
        <v>1</v>
      </c>
      <c r="BB123" s="178" t="s">
        <v>115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idden="1" x14ac:dyDescent="0.2">
      <c r="A124" s="370"/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1"/>
      <c r="P124" s="367" t="s">
        <v>40</v>
      </c>
      <c r="Q124" s="368"/>
      <c r="R124" s="368"/>
      <c r="S124" s="368"/>
      <c r="T124" s="368"/>
      <c r="U124" s="368"/>
      <c r="V124" s="369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370"/>
      <c r="B125" s="370"/>
      <c r="C125" s="370"/>
      <c r="D125" s="370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1"/>
      <c r="P125" s="367" t="s">
        <v>40</v>
      </c>
      <c r="Q125" s="368"/>
      <c r="R125" s="368"/>
      <c r="S125" s="368"/>
      <c r="T125" s="368"/>
      <c r="U125" s="368"/>
      <c r="V125" s="369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6.5" hidden="1" customHeight="1" x14ac:dyDescent="0.25">
      <c r="A126" s="354" t="s">
        <v>220</v>
      </c>
      <c r="B126" s="354"/>
      <c r="C126" s="354"/>
      <c r="D126" s="354"/>
      <c r="E126" s="354"/>
      <c r="F126" s="354"/>
      <c r="G126" s="354"/>
      <c r="H126" s="354"/>
      <c r="I126" s="354"/>
      <c r="J126" s="354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  <c r="Z126" s="354"/>
      <c r="AA126" s="65"/>
      <c r="AB126" s="65"/>
      <c r="AC126" s="82"/>
    </row>
    <row r="127" spans="1:68" ht="14.25" hidden="1" customHeight="1" x14ac:dyDescent="0.25">
      <c r="A127" s="355" t="s">
        <v>147</v>
      </c>
      <c r="B127" s="355"/>
      <c r="C127" s="355"/>
      <c r="D127" s="355"/>
      <c r="E127" s="355"/>
      <c r="F127" s="355"/>
      <c r="G127" s="355"/>
      <c r="H127" s="355"/>
      <c r="I127" s="355"/>
      <c r="J127" s="355"/>
      <c r="K127" s="355"/>
      <c r="L127" s="355"/>
      <c r="M127" s="355"/>
      <c r="N127" s="355"/>
      <c r="O127" s="355"/>
      <c r="P127" s="355"/>
      <c r="Q127" s="355"/>
      <c r="R127" s="355"/>
      <c r="S127" s="355"/>
      <c r="T127" s="355"/>
      <c r="U127" s="355"/>
      <c r="V127" s="355"/>
      <c r="W127" s="355"/>
      <c r="X127" s="355"/>
      <c r="Y127" s="355"/>
      <c r="Z127" s="355"/>
      <c r="AA127" s="66"/>
      <c r="AB127" s="66"/>
      <c r="AC127" s="83"/>
    </row>
    <row r="128" spans="1:68" ht="27" hidden="1" customHeight="1" x14ac:dyDescent="0.25">
      <c r="A128" s="63" t="s">
        <v>221</v>
      </c>
      <c r="B128" s="63" t="s">
        <v>222</v>
      </c>
      <c r="C128" s="36">
        <v>4301135848</v>
      </c>
      <c r="D128" s="356">
        <v>4620207491799</v>
      </c>
      <c r="E128" s="356"/>
      <c r="F128" s="62">
        <v>0.23</v>
      </c>
      <c r="G128" s="37">
        <v>6</v>
      </c>
      <c r="H128" s="62">
        <v>1.38</v>
      </c>
      <c r="I128" s="62">
        <v>1.8</v>
      </c>
      <c r="J128" s="37">
        <v>140</v>
      </c>
      <c r="K128" s="37" t="s">
        <v>116</v>
      </c>
      <c r="L128" s="37" t="s">
        <v>86</v>
      </c>
      <c r="M128" s="38" t="s">
        <v>84</v>
      </c>
      <c r="N128" s="38"/>
      <c r="O128" s="37">
        <v>180</v>
      </c>
      <c r="P128" s="40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358"/>
      <c r="R128" s="358"/>
      <c r="S128" s="358"/>
      <c r="T128" s="359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IFERROR(IF(X128="","",X128*0.00941),"")</f>
        <v>0</v>
      </c>
      <c r="AA128" s="68" t="s">
        <v>46</v>
      </c>
      <c r="AB128" s="69" t="s">
        <v>46</v>
      </c>
      <c r="AC128" s="179" t="s">
        <v>223</v>
      </c>
      <c r="AG128" s="81"/>
      <c r="AJ128" s="87" t="s">
        <v>87</v>
      </c>
      <c r="AK128" s="87">
        <v>1</v>
      </c>
      <c r="BB128" s="180" t="s">
        <v>115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27" customHeight="1" x14ac:dyDescent="0.25">
      <c r="A129" s="63" t="s">
        <v>224</v>
      </c>
      <c r="B129" s="63" t="s">
        <v>225</v>
      </c>
      <c r="C129" s="36">
        <v>4301135850</v>
      </c>
      <c r="D129" s="356">
        <v>4620207491492</v>
      </c>
      <c r="E129" s="356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116</v>
      </c>
      <c r="L129" s="37" t="s">
        <v>86</v>
      </c>
      <c r="M129" s="38" t="s">
        <v>84</v>
      </c>
      <c r="N129" s="38"/>
      <c r="O129" s="37">
        <v>180</v>
      </c>
      <c r="P129" s="41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358"/>
      <c r="R129" s="358"/>
      <c r="S129" s="358"/>
      <c r="T129" s="359"/>
      <c r="U129" s="39" t="s">
        <v>46</v>
      </c>
      <c r="V129" s="39" t="s">
        <v>46</v>
      </c>
      <c r="W129" s="40" t="s">
        <v>39</v>
      </c>
      <c r="X129" s="58">
        <v>56</v>
      </c>
      <c r="Y129" s="55">
        <f>IFERROR(IF(X129="","",X129),"")</f>
        <v>56</v>
      </c>
      <c r="Z129" s="41">
        <f>IFERROR(IF(X129="","",X129*0.00941),"")</f>
        <v>0.52695999999999998</v>
      </c>
      <c r="AA129" s="68" t="s">
        <v>46</v>
      </c>
      <c r="AB129" s="69" t="s">
        <v>46</v>
      </c>
      <c r="AC129" s="181" t="s">
        <v>223</v>
      </c>
      <c r="AG129" s="81"/>
      <c r="AJ129" s="87" t="s">
        <v>87</v>
      </c>
      <c r="AK129" s="87">
        <v>1</v>
      </c>
      <c r="BB129" s="182" t="s">
        <v>115</v>
      </c>
      <c r="BM129" s="81">
        <f>IFERROR(X129*I129,"0")</f>
        <v>100.8</v>
      </c>
      <c r="BN129" s="81">
        <f>IFERROR(Y129*I129,"0")</f>
        <v>100.8</v>
      </c>
      <c r="BO129" s="81">
        <f>IFERROR(X129/J129,"0")</f>
        <v>0.4</v>
      </c>
      <c r="BP129" s="81">
        <f>IFERROR(Y129/J129,"0")</f>
        <v>0.4</v>
      </c>
    </row>
    <row r="130" spans="1:68" ht="27" customHeight="1" x14ac:dyDescent="0.25">
      <c r="A130" s="63" t="s">
        <v>226</v>
      </c>
      <c r="B130" s="63" t="s">
        <v>227</v>
      </c>
      <c r="C130" s="36">
        <v>4301190118</v>
      </c>
      <c r="D130" s="356">
        <v>4620207491461</v>
      </c>
      <c r="E130" s="356"/>
      <c r="F130" s="62">
        <v>0.22</v>
      </c>
      <c r="G130" s="37">
        <v>6</v>
      </c>
      <c r="H130" s="62">
        <v>1.32</v>
      </c>
      <c r="I130" s="62">
        <v>1.74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41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358"/>
      <c r="R130" s="358"/>
      <c r="S130" s="358"/>
      <c r="T130" s="359"/>
      <c r="U130" s="39" t="s">
        <v>46</v>
      </c>
      <c r="V130" s="39" t="s">
        <v>46</v>
      </c>
      <c r="W130" s="40" t="s">
        <v>39</v>
      </c>
      <c r="X130" s="58">
        <v>28</v>
      </c>
      <c r="Y130" s="55">
        <f>IFERROR(IF(X130="","",X130),"")</f>
        <v>28</v>
      </c>
      <c r="Z130" s="41">
        <f>IFERROR(IF(X130="","",X130*0.00941),"")</f>
        <v>0.26347999999999999</v>
      </c>
      <c r="AA130" s="68" t="s">
        <v>46</v>
      </c>
      <c r="AB130" s="69" t="s">
        <v>46</v>
      </c>
      <c r="AC130" s="183" t="s">
        <v>223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48.72</v>
      </c>
      <c r="BN130" s="81">
        <f>IFERROR(Y130*I130,"0")</f>
        <v>48.72</v>
      </c>
      <c r="BO130" s="81">
        <f>IFERROR(X130/J130,"0")</f>
        <v>0.2</v>
      </c>
      <c r="BP130" s="81">
        <f>IFERROR(Y130/J130,"0")</f>
        <v>0.2</v>
      </c>
    </row>
    <row r="131" spans="1:68" ht="27" customHeight="1" x14ac:dyDescent="0.25">
      <c r="A131" s="63" t="s">
        <v>228</v>
      </c>
      <c r="B131" s="63" t="s">
        <v>229</v>
      </c>
      <c r="C131" s="36">
        <v>4301135865</v>
      </c>
      <c r="D131" s="356">
        <v>4620207491485</v>
      </c>
      <c r="E131" s="35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41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358"/>
      <c r="R131" s="358"/>
      <c r="S131" s="358"/>
      <c r="T131" s="359"/>
      <c r="U131" s="39" t="s">
        <v>46</v>
      </c>
      <c r="V131" s="39" t="s">
        <v>46</v>
      </c>
      <c r="W131" s="40" t="s">
        <v>39</v>
      </c>
      <c r="X131" s="58">
        <v>70</v>
      </c>
      <c r="Y131" s="55">
        <f>IFERROR(IF(X131="","",X131),"")</f>
        <v>70</v>
      </c>
      <c r="Z131" s="41">
        <f>IFERROR(IF(X131="","",X131*0.00941),"")</f>
        <v>0.65869999999999995</v>
      </c>
      <c r="AA131" s="68" t="s">
        <v>46</v>
      </c>
      <c r="AB131" s="69" t="s">
        <v>46</v>
      </c>
      <c r="AC131" s="185" t="s">
        <v>223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126</v>
      </c>
      <c r="BN131" s="81">
        <f>IFERROR(Y131*I131,"0")</f>
        <v>126</v>
      </c>
      <c r="BO131" s="81">
        <f>IFERROR(X131/J131,"0")</f>
        <v>0.5</v>
      </c>
      <c r="BP131" s="81">
        <f>IFERROR(Y131/J131,"0")</f>
        <v>0.5</v>
      </c>
    </row>
    <row r="132" spans="1:68" x14ac:dyDescent="0.2">
      <c r="A132" s="370"/>
      <c r="B132" s="370"/>
      <c r="C132" s="370"/>
      <c r="D132" s="370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1"/>
      <c r="P132" s="367" t="s">
        <v>40</v>
      </c>
      <c r="Q132" s="368"/>
      <c r="R132" s="368"/>
      <c r="S132" s="368"/>
      <c r="T132" s="368"/>
      <c r="U132" s="368"/>
      <c r="V132" s="369"/>
      <c r="W132" s="42" t="s">
        <v>39</v>
      </c>
      <c r="X132" s="43">
        <f>IFERROR(SUM(X128:X131),"0")</f>
        <v>154</v>
      </c>
      <c r="Y132" s="43">
        <f>IFERROR(SUM(Y128:Y131),"0")</f>
        <v>154</v>
      </c>
      <c r="Z132" s="43">
        <f>IFERROR(IF(Z128="",0,Z128),"0")+IFERROR(IF(Z129="",0,Z129),"0")+IFERROR(IF(Z130="",0,Z130),"0")+IFERROR(IF(Z131="",0,Z131),"0")</f>
        <v>1.4491399999999999</v>
      </c>
      <c r="AA132" s="67"/>
      <c r="AB132" s="67"/>
      <c r="AC132" s="67"/>
    </row>
    <row r="133" spans="1:68" x14ac:dyDescent="0.2">
      <c r="A133" s="370"/>
      <c r="B133" s="370"/>
      <c r="C133" s="370"/>
      <c r="D133" s="370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1"/>
      <c r="P133" s="367" t="s">
        <v>40</v>
      </c>
      <c r="Q133" s="368"/>
      <c r="R133" s="368"/>
      <c r="S133" s="368"/>
      <c r="T133" s="368"/>
      <c r="U133" s="368"/>
      <c r="V133" s="369"/>
      <c r="W133" s="42" t="s">
        <v>0</v>
      </c>
      <c r="X133" s="43">
        <f>IFERROR(SUMPRODUCT(X128:X131*H128:H131),"0")</f>
        <v>210.84</v>
      </c>
      <c r="Y133" s="43">
        <f>IFERROR(SUMPRODUCT(Y128:Y131*H128:H131),"0")</f>
        <v>210.84</v>
      </c>
      <c r="Z133" s="42"/>
      <c r="AA133" s="67"/>
      <c r="AB133" s="67"/>
      <c r="AC133" s="67"/>
    </row>
    <row r="134" spans="1:68" ht="14.25" hidden="1" customHeight="1" x14ac:dyDescent="0.25">
      <c r="A134" s="355" t="s">
        <v>230</v>
      </c>
      <c r="B134" s="355"/>
      <c r="C134" s="355"/>
      <c r="D134" s="355"/>
      <c r="E134" s="355"/>
      <c r="F134" s="355"/>
      <c r="G134" s="355"/>
      <c r="H134" s="355"/>
      <c r="I134" s="355"/>
      <c r="J134" s="355"/>
      <c r="K134" s="355"/>
      <c r="L134" s="355"/>
      <c r="M134" s="355"/>
      <c r="N134" s="355"/>
      <c r="O134" s="355"/>
      <c r="P134" s="355"/>
      <c r="Q134" s="355"/>
      <c r="R134" s="355"/>
      <c r="S134" s="355"/>
      <c r="T134" s="355"/>
      <c r="U134" s="355"/>
      <c r="V134" s="355"/>
      <c r="W134" s="355"/>
      <c r="X134" s="355"/>
      <c r="Y134" s="355"/>
      <c r="Z134" s="355"/>
      <c r="AA134" s="66"/>
      <c r="AB134" s="66"/>
      <c r="AC134" s="83"/>
    </row>
    <row r="135" spans="1:68" ht="27" customHeight="1" x14ac:dyDescent="0.25">
      <c r="A135" s="63" t="s">
        <v>231</v>
      </c>
      <c r="B135" s="63" t="s">
        <v>232</v>
      </c>
      <c r="C135" s="36">
        <v>4301190117</v>
      </c>
      <c r="D135" s="356">
        <v>4620207491386</v>
      </c>
      <c r="E135" s="356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358"/>
      <c r="R135" s="358"/>
      <c r="S135" s="358"/>
      <c r="T135" s="359"/>
      <c r="U135" s="39" t="s">
        <v>46</v>
      </c>
      <c r="V135" s="39" t="s">
        <v>46</v>
      </c>
      <c r="W135" s="40" t="s">
        <v>39</v>
      </c>
      <c r="X135" s="58">
        <v>14</v>
      </c>
      <c r="Y135" s="55">
        <f>IFERROR(IF(X135="","",X135),"")</f>
        <v>14</v>
      </c>
      <c r="Z135" s="41">
        <f>IFERROR(IF(X135="","",X135*0.00941),"")</f>
        <v>0.13174</v>
      </c>
      <c r="AA135" s="68" t="s">
        <v>46</v>
      </c>
      <c r="AB135" s="69" t="s">
        <v>46</v>
      </c>
      <c r="AC135" s="187" t="s">
        <v>233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19.571999999999999</v>
      </c>
      <c r="BN135" s="81">
        <f>IFERROR(Y135*I135,"0")</f>
        <v>19.571999999999999</v>
      </c>
      <c r="BO135" s="81">
        <f>IFERROR(X135/J135,"0")</f>
        <v>0.1</v>
      </c>
      <c r="BP135" s="81">
        <f>IFERROR(Y135/J135,"0")</f>
        <v>0.1</v>
      </c>
    </row>
    <row r="136" spans="1:68" ht="27" customHeight="1" x14ac:dyDescent="0.25">
      <c r="A136" s="63" t="s">
        <v>234</v>
      </c>
      <c r="B136" s="63" t="s">
        <v>235</v>
      </c>
      <c r="C136" s="36">
        <v>4301190115</v>
      </c>
      <c r="D136" s="356">
        <v>4620207491362</v>
      </c>
      <c r="E136" s="356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41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358"/>
      <c r="R136" s="358"/>
      <c r="S136" s="358"/>
      <c r="T136" s="359"/>
      <c r="U136" s="39" t="s">
        <v>46</v>
      </c>
      <c r="V136" s="39" t="s">
        <v>46</v>
      </c>
      <c r="W136" s="40" t="s">
        <v>39</v>
      </c>
      <c r="X136" s="58">
        <v>14</v>
      </c>
      <c r="Y136" s="55">
        <f>IFERROR(IF(X136="","",X136),"")</f>
        <v>14</v>
      </c>
      <c r="Z136" s="41">
        <f>IFERROR(IF(X136="","",X136*0.00941),"")</f>
        <v>0.13174</v>
      </c>
      <c r="AA136" s="68" t="s">
        <v>46</v>
      </c>
      <c r="AB136" s="69" t="s">
        <v>46</v>
      </c>
      <c r="AC136" s="189" t="s">
        <v>233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19.571999999999999</v>
      </c>
      <c r="BN136" s="81">
        <f>IFERROR(Y136*I136,"0")</f>
        <v>19.571999999999999</v>
      </c>
      <c r="BO136" s="81">
        <f>IFERROR(X136/J136,"0")</f>
        <v>0.1</v>
      </c>
      <c r="BP136" s="81">
        <f>IFERROR(Y136/J136,"0")</f>
        <v>0.1</v>
      </c>
    </row>
    <row r="137" spans="1:68" ht="27" customHeight="1" x14ac:dyDescent="0.25">
      <c r="A137" s="63" t="s">
        <v>236</v>
      </c>
      <c r="B137" s="63" t="s">
        <v>237</v>
      </c>
      <c r="C137" s="36">
        <v>4301190116</v>
      </c>
      <c r="D137" s="356">
        <v>4620207491379</v>
      </c>
      <c r="E137" s="35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358"/>
      <c r="R137" s="358"/>
      <c r="S137" s="358"/>
      <c r="T137" s="359"/>
      <c r="U137" s="39" t="s">
        <v>46</v>
      </c>
      <c r="V137" s="39" t="s">
        <v>46</v>
      </c>
      <c r="W137" s="40" t="s">
        <v>39</v>
      </c>
      <c r="X137" s="58">
        <v>14</v>
      </c>
      <c r="Y137" s="55">
        <f>IFERROR(IF(X137="","",X137),"")</f>
        <v>14</v>
      </c>
      <c r="Z137" s="41">
        <f>IFERROR(IF(X137="","",X137*0.00941),"")</f>
        <v>0.13174</v>
      </c>
      <c r="AA137" s="68" t="s">
        <v>46</v>
      </c>
      <c r="AB137" s="69" t="s">
        <v>46</v>
      </c>
      <c r="AC137" s="191" t="s">
        <v>233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19.571999999999999</v>
      </c>
      <c r="BN137" s="81">
        <f>IFERROR(Y137*I137,"0")</f>
        <v>19.571999999999999</v>
      </c>
      <c r="BO137" s="81">
        <f>IFERROR(X137/J137,"0")</f>
        <v>0.1</v>
      </c>
      <c r="BP137" s="81">
        <f>IFERROR(Y137/J137,"0")</f>
        <v>0.1</v>
      </c>
    </row>
    <row r="138" spans="1:68" x14ac:dyDescent="0.2">
      <c r="A138" s="370"/>
      <c r="B138" s="370"/>
      <c r="C138" s="370"/>
      <c r="D138" s="370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1"/>
      <c r="P138" s="367" t="s">
        <v>40</v>
      </c>
      <c r="Q138" s="368"/>
      <c r="R138" s="368"/>
      <c r="S138" s="368"/>
      <c r="T138" s="368"/>
      <c r="U138" s="368"/>
      <c r="V138" s="369"/>
      <c r="W138" s="42" t="s">
        <v>39</v>
      </c>
      <c r="X138" s="43">
        <f>IFERROR(SUM(X135:X137),"0")</f>
        <v>42</v>
      </c>
      <c r="Y138" s="43">
        <f>IFERROR(SUM(Y135:Y137),"0")</f>
        <v>42</v>
      </c>
      <c r="Z138" s="43">
        <f>IFERROR(IF(Z135="",0,Z135),"0")+IFERROR(IF(Z136="",0,Z136),"0")+IFERROR(IF(Z137="",0,Z137),"0")</f>
        <v>0.39522000000000002</v>
      </c>
      <c r="AA138" s="67"/>
      <c r="AB138" s="67"/>
      <c r="AC138" s="67"/>
    </row>
    <row r="139" spans="1:68" x14ac:dyDescent="0.2">
      <c r="A139" s="370"/>
      <c r="B139" s="370"/>
      <c r="C139" s="370"/>
      <c r="D139" s="370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1"/>
      <c r="P139" s="367" t="s">
        <v>40</v>
      </c>
      <c r="Q139" s="368"/>
      <c r="R139" s="368"/>
      <c r="S139" s="368"/>
      <c r="T139" s="368"/>
      <c r="U139" s="368"/>
      <c r="V139" s="369"/>
      <c r="W139" s="42" t="s">
        <v>0</v>
      </c>
      <c r="X139" s="43">
        <f>IFERROR(SUMPRODUCT(X135:X137*H135:H137),"0")</f>
        <v>45.36</v>
      </c>
      <c r="Y139" s="43">
        <f>IFERROR(SUMPRODUCT(Y135:Y137*H135:H137),"0")</f>
        <v>45.36</v>
      </c>
      <c r="Z139" s="42"/>
      <c r="AA139" s="67"/>
      <c r="AB139" s="67"/>
      <c r="AC139" s="67"/>
    </row>
    <row r="140" spans="1:68" ht="16.5" hidden="1" customHeight="1" x14ac:dyDescent="0.25">
      <c r="A140" s="354" t="s">
        <v>238</v>
      </c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  <c r="AA140" s="65"/>
      <c r="AB140" s="65"/>
      <c r="AC140" s="82"/>
    </row>
    <row r="141" spans="1:68" ht="14.25" hidden="1" customHeight="1" x14ac:dyDescent="0.25">
      <c r="A141" s="355" t="s">
        <v>147</v>
      </c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5"/>
      <c r="V141" s="355"/>
      <c r="W141" s="355"/>
      <c r="X141" s="355"/>
      <c r="Y141" s="355"/>
      <c r="Z141" s="355"/>
      <c r="AA141" s="66"/>
      <c r="AB141" s="66"/>
      <c r="AC141" s="83"/>
    </row>
    <row r="142" spans="1:68" ht="27" customHeight="1" x14ac:dyDescent="0.25">
      <c r="A142" s="63" t="s">
        <v>239</v>
      </c>
      <c r="B142" s="63" t="s">
        <v>240</v>
      </c>
      <c r="C142" s="36">
        <v>4301135555</v>
      </c>
      <c r="D142" s="356">
        <v>4607111034014</v>
      </c>
      <c r="E142" s="356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116</v>
      </c>
      <c r="L142" s="37" t="s">
        <v>117</v>
      </c>
      <c r="M142" s="38" t="s">
        <v>84</v>
      </c>
      <c r="N142" s="38"/>
      <c r="O142" s="37">
        <v>180</v>
      </c>
      <c r="P142" s="4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58"/>
      <c r="R142" s="358"/>
      <c r="S142" s="358"/>
      <c r="T142" s="359"/>
      <c r="U142" s="39" t="s">
        <v>46</v>
      </c>
      <c r="V142" s="39" t="s">
        <v>46</v>
      </c>
      <c r="W142" s="40" t="s">
        <v>39</v>
      </c>
      <c r="X142" s="58">
        <v>70</v>
      </c>
      <c r="Y142" s="55">
        <f>IFERROR(IF(X142="","",X142),"")</f>
        <v>70</v>
      </c>
      <c r="Z142" s="41">
        <f>IFERROR(IF(X142="","",X142*0.01788),"")</f>
        <v>1.2516</v>
      </c>
      <c r="AA142" s="68" t="s">
        <v>46</v>
      </c>
      <c r="AB142" s="69" t="s">
        <v>46</v>
      </c>
      <c r="AC142" s="193" t="s">
        <v>241</v>
      </c>
      <c r="AG142" s="81"/>
      <c r="AJ142" s="87" t="s">
        <v>118</v>
      </c>
      <c r="AK142" s="87">
        <v>14</v>
      </c>
      <c r="BB142" s="194" t="s">
        <v>115</v>
      </c>
      <c r="BM142" s="81">
        <f>IFERROR(X142*I142,"0")</f>
        <v>259.25200000000001</v>
      </c>
      <c r="BN142" s="81">
        <f>IFERROR(Y142*I142,"0")</f>
        <v>259.25200000000001</v>
      </c>
      <c r="BO142" s="81">
        <f>IFERROR(X142/J142,"0")</f>
        <v>1</v>
      </c>
      <c r="BP142" s="81">
        <f>IFERROR(Y142/J142,"0")</f>
        <v>1</v>
      </c>
    </row>
    <row r="143" spans="1:68" ht="27" customHeight="1" x14ac:dyDescent="0.25">
      <c r="A143" s="63" t="s">
        <v>242</v>
      </c>
      <c r="B143" s="63" t="s">
        <v>243</v>
      </c>
      <c r="C143" s="36">
        <v>4301135532</v>
      </c>
      <c r="D143" s="356">
        <v>4607111033994</v>
      </c>
      <c r="E143" s="356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116</v>
      </c>
      <c r="L143" s="37" t="s">
        <v>117</v>
      </c>
      <c r="M143" s="38" t="s">
        <v>84</v>
      </c>
      <c r="N143" s="38"/>
      <c r="O143" s="37">
        <v>180</v>
      </c>
      <c r="P143" s="41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58"/>
      <c r="R143" s="358"/>
      <c r="S143" s="358"/>
      <c r="T143" s="359"/>
      <c r="U143" s="39" t="s">
        <v>46</v>
      </c>
      <c r="V143" s="39" t="s">
        <v>46</v>
      </c>
      <c r="W143" s="40" t="s">
        <v>39</v>
      </c>
      <c r="X143" s="58">
        <v>70</v>
      </c>
      <c r="Y143" s="55">
        <f>IFERROR(IF(X143="","",X143),"")</f>
        <v>70</v>
      </c>
      <c r="Z143" s="41">
        <f>IFERROR(IF(X143="","",X143*0.01788),"")</f>
        <v>1.2516</v>
      </c>
      <c r="AA143" s="68" t="s">
        <v>46</v>
      </c>
      <c r="AB143" s="69" t="s">
        <v>46</v>
      </c>
      <c r="AC143" s="195" t="s">
        <v>165</v>
      </c>
      <c r="AG143" s="81"/>
      <c r="AJ143" s="87" t="s">
        <v>118</v>
      </c>
      <c r="AK143" s="87">
        <v>14</v>
      </c>
      <c r="BB143" s="196" t="s">
        <v>115</v>
      </c>
      <c r="BM143" s="81">
        <f>IFERROR(X143*I143,"0")</f>
        <v>259.25200000000001</v>
      </c>
      <c r="BN143" s="81">
        <f>IFERROR(Y143*I143,"0")</f>
        <v>259.25200000000001</v>
      </c>
      <c r="BO143" s="81">
        <f>IFERROR(X143/J143,"0")</f>
        <v>1</v>
      </c>
      <c r="BP143" s="81">
        <f>IFERROR(Y143/J143,"0")</f>
        <v>1</v>
      </c>
    </row>
    <row r="144" spans="1:68" x14ac:dyDescent="0.2">
      <c r="A144" s="370"/>
      <c r="B144" s="370"/>
      <c r="C144" s="370"/>
      <c r="D144" s="370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1"/>
      <c r="P144" s="367" t="s">
        <v>40</v>
      </c>
      <c r="Q144" s="368"/>
      <c r="R144" s="368"/>
      <c r="S144" s="368"/>
      <c r="T144" s="368"/>
      <c r="U144" s="368"/>
      <c r="V144" s="369"/>
      <c r="W144" s="42" t="s">
        <v>39</v>
      </c>
      <c r="X144" s="43">
        <f>IFERROR(SUM(X142:X143),"0")</f>
        <v>140</v>
      </c>
      <c r="Y144" s="43">
        <f>IFERROR(SUM(Y142:Y143),"0")</f>
        <v>140</v>
      </c>
      <c r="Z144" s="43">
        <f>IFERROR(IF(Z142="",0,Z142),"0")+IFERROR(IF(Z143="",0,Z143),"0")</f>
        <v>2.5032000000000001</v>
      </c>
      <c r="AA144" s="67"/>
      <c r="AB144" s="67"/>
      <c r="AC144" s="67"/>
    </row>
    <row r="145" spans="1:68" x14ac:dyDescent="0.2">
      <c r="A145" s="370"/>
      <c r="B145" s="370"/>
      <c r="C145" s="370"/>
      <c r="D145" s="370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1"/>
      <c r="P145" s="367" t="s">
        <v>40</v>
      </c>
      <c r="Q145" s="368"/>
      <c r="R145" s="368"/>
      <c r="S145" s="368"/>
      <c r="T145" s="368"/>
      <c r="U145" s="368"/>
      <c r="V145" s="369"/>
      <c r="W145" s="42" t="s">
        <v>0</v>
      </c>
      <c r="X145" s="43">
        <f>IFERROR(SUMPRODUCT(X142:X143*H142:H143),"0")</f>
        <v>420</v>
      </c>
      <c r="Y145" s="43">
        <f>IFERROR(SUMPRODUCT(Y142:Y143*H142:H143),"0")</f>
        <v>420</v>
      </c>
      <c r="Z145" s="42"/>
      <c r="AA145" s="67"/>
      <c r="AB145" s="67"/>
      <c r="AC145" s="67"/>
    </row>
    <row r="146" spans="1:68" ht="16.5" hidden="1" customHeight="1" x14ac:dyDescent="0.25">
      <c r="A146" s="354" t="s">
        <v>244</v>
      </c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65"/>
      <c r="AB146" s="65"/>
      <c r="AC146" s="82"/>
    </row>
    <row r="147" spans="1:68" ht="14.25" hidden="1" customHeight="1" x14ac:dyDescent="0.25">
      <c r="A147" s="355" t="s">
        <v>147</v>
      </c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5"/>
      <c r="P147" s="355"/>
      <c r="Q147" s="355"/>
      <c r="R147" s="355"/>
      <c r="S147" s="355"/>
      <c r="T147" s="355"/>
      <c r="U147" s="355"/>
      <c r="V147" s="355"/>
      <c r="W147" s="355"/>
      <c r="X147" s="355"/>
      <c r="Y147" s="355"/>
      <c r="Z147" s="355"/>
      <c r="AA147" s="66"/>
      <c r="AB147" s="66"/>
      <c r="AC147" s="83"/>
    </row>
    <row r="148" spans="1:68" ht="27" customHeight="1" x14ac:dyDescent="0.25">
      <c r="A148" s="63" t="s">
        <v>245</v>
      </c>
      <c r="B148" s="63" t="s">
        <v>246</v>
      </c>
      <c r="C148" s="36">
        <v>4301135824</v>
      </c>
      <c r="D148" s="356">
        <v>4607111039095</v>
      </c>
      <c r="E148" s="356"/>
      <c r="F148" s="62">
        <v>0.25</v>
      </c>
      <c r="G148" s="37">
        <v>12</v>
      </c>
      <c r="H148" s="62">
        <v>3</v>
      </c>
      <c r="I148" s="62">
        <v>3.7480000000000002</v>
      </c>
      <c r="J148" s="37">
        <v>70</v>
      </c>
      <c r="K148" s="37" t="s">
        <v>116</v>
      </c>
      <c r="L148" s="37" t="s">
        <v>86</v>
      </c>
      <c r="M148" s="38" t="s">
        <v>84</v>
      </c>
      <c r="N148" s="38"/>
      <c r="O148" s="37">
        <v>180</v>
      </c>
      <c r="P148" s="41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8"/>
      <c r="R148" s="358"/>
      <c r="S148" s="358"/>
      <c r="T148" s="359"/>
      <c r="U148" s="39" t="s">
        <v>46</v>
      </c>
      <c r="V148" s="39" t="s">
        <v>46</v>
      </c>
      <c r="W148" s="40" t="s">
        <v>39</v>
      </c>
      <c r="X148" s="58">
        <v>28</v>
      </c>
      <c r="Y148" s="55">
        <f>IFERROR(IF(X148="","",X148),"")</f>
        <v>28</v>
      </c>
      <c r="Z148" s="41">
        <f>IFERROR(IF(X148="","",X148*0.01788),"")</f>
        <v>0.50063999999999997</v>
      </c>
      <c r="AA148" s="68" t="s">
        <v>46</v>
      </c>
      <c r="AB148" s="69" t="s">
        <v>46</v>
      </c>
      <c r="AC148" s="197" t="s">
        <v>247</v>
      </c>
      <c r="AG148" s="81"/>
      <c r="AJ148" s="87" t="s">
        <v>87</v>
      </c>
      <c r="AK148" s="87">
        <v>1</v>
      </c>
      <c r="BB148" s="198" t="s">
        <v>115</v>
      </c>
      <c r="BM148" s="81">
        <f>IFERROR(X148*I148,"0")</f>
        <v>104.944</v>
      </c>
      <c r="BN148" s="81">
        <f>IFERROR(Y148*I148,"0")</f>
        <v>104.944</v>
      </c>
      <c r="BO148" s="81">
        <f>IFERROR(X148/J148,"0")</f>
        <v>0.4</v>
      </c>
      <c r="BP148" s="81">
        <f>IFERROR(Y148/J148,"0")</f>
        <v>0.4</v>
      </c>
    </row>
    <row r="149" spans="1:68" ht="27" hidden="1" customHeight="1" x14ac:dyDescent="0.25">
      <c r="A149" s="63" t="s">
        <v>248</v>
      </c>
      <c r="B149" s="63" t="s">
        <v>249</v>
      </c>
      <c r="C149" s="36">
        <v>4301135954</v>
      </c>
      <c r="D149" s="356">
        <v>4620207491768</v>
      </c>
      <c r="E149" s="356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116</v>
      </c>
      <c r="L149" s="37" t="s">
        <v>86</v>
      </c>
      <c r="M149" s="38" t="s">
        <v>84</v>
      </c>
      <c r="N149" s="38"/>
      <c r="O149" s="37">
        <v>180</v>
      </c>
      <c r="P149" s="41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58"/>
      <c r="R149" s="358"/>
      <c r="S149" s="358"/>
      <c r="T149" s="359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250</v>
      </c>
      <c r="AG149" s="81"/>
      <c r="AJ149" s="87" t="s">
        <v>87</v>
      </c>
      <c r="AK149" s="87">
        <v>1</v>
      </c>
      <c r="BB149" s="200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hidden="1" customHeight="1" x14ac:dyDescent="0.25">
      <c r="A150" s="63" t="s">
        <v>251</v>
      </c>
      <c r="B150" s="63" t="s">
        <v>252</v>
      </c>
      <c r="C150" s="36">
        <v>4301135946</v>
      </c>
      <c r="D150" s="356">
        <v>4620207491553</v>
      </c>
      <c r="E150" s="356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42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58"/>
      <c r="R150" s="358"/>
      <c r="S150" s="358"/>
      <c r="T150" s="359"/>
      <c r="U150" s="39" t="s">
        <v>46</v>
      </c>
      <c r="V150" s="39" t="s">
        <v>46</v>
      </c>
      <c r="W150" s="40" t="s">
        <v>39</v>
      </c>
      <c r="X150" s="58"/>
      <c r="Y150" s="55" t="str">
        <f>IFERROR(IF(X150="","",X150),"")</f>
        <v/>
      </c>
      <c r="Z150" s="41" t="str">
        <f>IFERROR(IF(X150="","",X150*0.01788),"")</f>
        <v/>
      </c>
      <c r="AA150" s="68" t="s">
        <v>46</v>
      </c>
      <c r="AB150" s="69" t="s">
        <v>46</v>
      </c>
      <c r="AC150" s="201" t="s">
        <v>250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0</v>
      </c>
      <c r="BN150" s="81" t="str">
        <f>IFERROR(Y150*I150,"0")</f>
        <v>0</v>
      </c>
      <c r="BO150" s="81">
        <f>IFERROR(X150/J150,"0")</f>
        <v>0</v>
      </c>
      <c r="BP150" s="81" t="str">
        <f>IFERROR(Y150/J150,"0")</f>
        <v>0</v>
      </c>
    </row>
    <row r="151" spans="1:68" x14ac:dyDescent="0.2">
      <c r="A151" s="370"/>
      <c r="B151" s="370"/>
      <c r="C151" s="370"/>
      <c r="D151" s="370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1"/>
      <c r="P151" s="367" t="s">
        <v>40</v>
      </c>
      <c r="Q151" s="368"/>
      <c r="R151" s="368"/>
      <c r="S151" s="368"/>
      <c r="T151" s="368"/>
      <c r="U151" s="368"/>
      <c r="V151" s="369"/>
      <c r="W151" s="42" t="s">
        <v>39</v>
      </c>
      <c r="X151" s="43">
        <f>IFERROR(SUM(X148:X150),"0")</f>
        <v>28</v>
      </c>
      <c r="Y151" s="43">
        <f>IFERROR(SUM(Y148:Y150),"0")</f>
        <v>28</v>
      </c>
      <c r="Z151" s="43">
        <f>IFERROR(IF(Z148="",0,Z148),"0")+IFERROR(IF(Z149="",0,Z149),"0")+IFERROR(IF(Z150="",0,Z150),"0")</f>
        <v>0.50063999999999997</v>
      </c>
      <c r="AA151" s="67"/>
      <c r="AB151" s="67"/>
      <c r="AC151" s="67"/>
    </row>
    <row r="152" spans="1:68" x14ac:dyDescent="0.2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1"/>
      <c r="P152" s="367" t="s">
        <v>40</v>
      </c>
      <c r="Q152" s="368"/>
      <c r="R152" s="368"/>
      <c r="S152" s="368"/>
      <c r="T152" s="368"/>
      <c r="U152" s="368"/>
      <c r="V152" s="369"/>
      <c r="W152" s="42" t="s">
        <v>0</v>
      </c>
      <c r="X152" s="43">
        <f>IFERROR(SUMPRODUCT(X148:X150*H148:H150),"0")</f>
        <v>84</v>
      </c>
      <c r="Y152" s="43" t="str">
        <f>IFERROR(SUMPRODUCT(Y148:Y150*H148:H150),"0")</f>
        <v>0</v>
      </c>
      <c r="Z152" s="42"/>
      <c r="AA152" s="67"/>
      <c r="AB152" s="67"/>
      <c r="AC152" s="67"/>
    </row>
    <row r="153" spans="1:68" ht="16.5" hidden="1" customHeight="1" x14ac:dyDescent="0.25">
      <c r="A153" s="354" t="s">
        <v>253</v>
      </c>
      <c r="B153" s="354"/>
      <c r="C153" s="354"/>
      <c r="D153" s="354"/>
      <c r="E153" s="354"/>
      <c r="F153" s="354"/>
      <c r="G153" s="354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65"/>
      <c r="AB153" s="65"/>
      <c r="AC153" s="82"/>
    </row>
    <row r="154" spans="1:68" ht="14.25" hidden="1" customHeight="1" x14ac:dyDescent="0.25">
      <c r="A154" s="355" t="s">
        <v>147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5"/>
      <c r="Q154" s="355"/>
      <c r="R154" s="355"/>
      <c r="S154" s="355"/>
      <c r="T154" s="355"/>
      <c r="U154" s="355"/>
      <c r="V154" s="355"/>
      <c r="W154" s="355"/>
      <c r="X154" s="355"/>
      <c r="Y154" s="355"/>
      <c r="Z154" s="355"/>
      <c r="AA154" s="66"/>
      <c r="AB154" s="66"/>
      <c r="AC154" s="83"/>
    </row>
    <row r="155" spans="1:68" ht="27" customHeight="1" x14ac:dyDescent="0.25">
      <c r="A155" s="63" t="s">
        <v>254</v>
      </c>
      <c r="B155" s="63" t="s">
        <v>255</v>
      </c>
      <c r="C155" s="36">
        <v>4301135753</v>
      </c>
      <c r="D155" s="356">
        <v>4620207490914</v>
      </c>
      <c r="E155" s="356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116</v>
      </c>
      <c r="L155" s="37" t="s">
        <v>86</v>
      </c>
      <c r="M155" s="38" t="s">
        <v>84</v>
      </c>
      <c r="N155" s="38"/>
      <c r="O155" s="37">
        <v>180</v>
      </c>
      <c r="P155" s="42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58"/>
      <c r="R155" s="358"/>
      <c r="S155" s="358"/>
      <c r="T155" s="359"/>
      <c r="U155" s="39" t="s">
        <v>46</v>
      </c>
      <c r="V155" s="39" t="s">
        <v>46</v>
      </c>
      <c r="W155" s="40" t="s">
        <v>39</v>
      </c>
      <c r="X155" s="58">
        <v>14</v>
      </c>
      <c r="Y155" s="55">
        <f>IFERROR(IF(X155="","",X155),"")</f>
        <v>14</v>
      </c>
      <c r="Z155" s="41">
        <f>IFERROR(IF(X155="","",X155*0.01788),"")</f>
        <v>0.25031999999999999</v>
      </c>
      <c r="AA155" s="68" t="s">
        <v>46</v>
      </c>
      <c r="AB155" s="69" t="s">
        <v>46</v>
      </c>
      <c r="AC155" s="203" t="s">
        <v>241</v>
      </c>
      <c r="AG155" s="81"/>
      <c r="AJ155" s="87" t="s">
        <v>87</v>
      </c>
      <c r="AK155" s="87">
        <v>1</v>
      </c>
      <c r="BB155" s="204" t="s">
        <v>115</v>
      </c>
      <c r="BM155" s="81">
        <f>IFERROR(X155*I155,"0")</f>
        <v>37.520000000000003</v>
      </c>
      <c r="BN155" s="81">
        <f>IFERROR(Y155*I155,"0")</f>
        <v>37.520000000000003</v>
      </c>
      <c r="BO155" s="81">
        <f>IFERROR(X155/J155,"0")</f>
        <v>0.2</v>
      </c>
      <c r="BP155" s="81">
        <f>IFERROR(Y155/J155,"0")</f>
        <v>0.2</v>
      </c>
    </row>
    <row r="156" spans="1:68" ht="27" customHeight="1" x14ac:dyDescent="0.25">
      <c r="A156" s="63" t="s">
        <v>256</v>
      </c>
      <c r="B156" s="63" t="s">
        <v>257</v>
      </c>
      <c r="C156" s="36">
        <v>4301135932</v>
      </c>
      <c r="D156" s="356">
        <v>4620207491676</v>
      </c>
      <c r="E156" s="35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422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358"/>
      <c r="R156" s="358"/>
      <c r="S156" s="358"/>
      <c r="T156" s="359"/>
      <c r="U156" s="39" t="s">
        <v>46</v>
      </c>
      <c r="V156" s="39" t="s">
        <v>46</v>
      </c>
      <c r="W156" s="40" t="s">
        <v>39</v>
      </c>
      <c r="X156" s="58">
        <v>14</v>
      </c>
      <c r="Y156" s="55">
        <f>IFERROR(IF(X156="","",X156),"")</f>
        <v>14</v>
      </c>
      <c r="Z156" s="41">
        <f>IFERROR(IF(X156="","",X156*0.01788),"")</f>
        <v>0.25031999999999999</v>
      </c>
      <c r="AA156" s="68" t="s">
        <v>46</v>
      </c>
      <c r="AB156" s="69" t="s">
        <v>46</v>
      </c>
      <c r="AC156" s="205" t="s">
        <v>258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37.520000000000003</v>
      </c>
      <c r="BN156" s="81">
        <f>IFERROR(Y156*I156,"0")</f>
        <v>37.520000000000003</v>
      </c>
      <c r="BO156" s="81">
        <f>IFERROR(X156/J156,"0")</f>
        <v>0.2</v>
      </c>
      <c r="BP156" s="81">
        <f>IFERROR(Y156/J156,"0")</f>
        <v>0.2</v>
      </c>
    </row>
    <row r="157" spans="1:68" x14ac:dyDescent="0.2">
      <c r="A157" s="370"/>
      <c r="B157" s="370"/>
      <c r="C157" s="370"/>
      <c r="D157" s="370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1"/>
      <c r="P157" s="367" t="s">
        <v>40</v>
      </c>
      <c r="Q157" s="368"/>
      <c r="R157" s="368"/>
      <c r="S157" s="368"/>
      <c r="T157" s="368"/>
      <c r="U157" s="368"/>
      <c r="V157" s="369"/>
      <c r="W157" s="42" t="s">
        <v>39</v>
      </c>
      <c r="X157" s="43">
        <f>IFERROR(SUM(X155:X156),"0")</f>
        <v>28</v>
      </c>
      <c r="Y157" s="43">
        <f>IFERROR(SUM(Y155:Y156),"0")</f>
        <v>28</v>
      </c>
      <c r="Z157" s="43">
        <f>IFERROR(IF(Z155="",0,Z155),"0")+IFERROR(IF(Z156="",0,Z156),"0")</f>
        <v>0.50063999999999997</v>
      </c>
      <c r="AA157" s="67"/>
      <c r="AB157" s="67"/>
      <c r="AC157" s="67"/>
    </row>
    <row r="158" spans="1:68" x14ac:dyDescent="0.2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1"/>
      <c r="P158" s="367" t="s">
        <v>40</v>
      </c>
      <c r="Q158" s="368"/>
      <c r="R158" s="368"/>
      <c r="S158" s="368"/>
      <c r="T158" s="368"/>
      <c r="U158" s="368"/>
      <c r="V158" s="369"/>
      <c r="W158" s="42" t="s">
        <v>0</v>
      </c>
      <c r="X158" s="43">
        <f>IFERROR(SUMPRODUCT(X155:X156*H155:H156),"0")</f>
        <v>67.2</v>
      </c>
      <c r="Y158" s="43">
        <f>IFERROR(SUMPRODUCT(Y155:Y156*H155:H156),"0")</f>
        <v>67.2</v>
      </c>
      <c r="Z158" s="42"/>
      <c r="AA158" s="67"/>
      <c r="AB158" s="67"/>
      <c r="AC158" s="67"/>
    </row>
    <row r="159" spans="1:68" ht="16.5" hidden="1" customHeight="1" x14ac:dyDescent="0.25">
      <c r="A159" s="354" t="s">
        <v>259</v>
      </c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65"/>
      <c r="AB159" s="65"/>
      <c r="AC159" s="82"/>
    </row>
    <row r="160" spans="1:68" ht="14.25" hidden="1" customHeight="1" x14ac:dyDescent="0.25">
      <c r="A160" s="355" t="s">
        <v>147</v>
      </c>
      <c r="B160" s="355"/>
      <c r="C160" s="355"/>
      <c r="D160" s="355"/>
      <c r="E160" s="355"/>
      <c r="F160" s="355"/>
      <c r="G160" s="355"/>
      <c r="H160" s="355"/>
      <c r="I160" s="355"/>
      <c r="J160" s="355"/>
      <c r="K160" s="355"/>
      <c r="L160" s="355"/>
      <c r="M160" s="355"/>
      <c r="N160" s="355"/>
      <c r="O160" s="355"/>
      <c r="P160" s="355"/>
      <c r="Q160" s="355"/>
      <c r="R160" s="355"/>
      <c r="S160" s="355"/>
      <c r="T160" s="355"/>
      <c r="U160" s="355"/>
      <c r="V160" s="355"/>
      <c r="W160" s="355"/>
      <c r="X160" s="355"/>
      <c r="Y160" s="355"/>
      <c r="Z160" s="355"/>
      <c r="AA160" s="66"/>
      <c r="AB160" s="66"/>
      <c r="AC160" s="83"/>
    </row>
    <row r="161" spans="1:68" ht="27" customHeight="1" x14ac:dyDescent="0.25">
      <c r="A161" s="63" t="s">
        <v>260</v>
      </c>
      <c r="B161" s="63" t="s">
        <v>261</v>
      </c>
      <c r="C161" s="36">
        <v>4301135940</v>
      </c>
      <c r="D161" s="356">
        <v>4620207491614</v>
      </c>
      <c r="E161" s="356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116</v>
      </c>
      <c r="L161" s="37" t="s">
        <v>86</v>
      </c>
      <c r="M161" s="38" t="s">
        <v>84</v>
      </c>
      <c r="N161" s="38"/>
      <c r="O161" s="37">
        <v>180</v>
      </c>
      <c r="P161" s="42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358"/>
      <c r="R161" s="358"/>
      <c r="S161" s="358"/>
      <c r="T161" s="359"/>
      <c r="U161" s="39" t="s">
        <v>46</v>
      </c>
      <c r="V161" s="39" t="s">
        <v>46</v>
      </c>
      <c r="W161" s="40" t="s">
        <v>39</v>
      </c>
      <c r="X161" s="58">
        <v>14</v>
      </c>
      <c r="Y161" s="55">
        <f>IFERROR(IF(X161="","",X161),"")</f>
        <v>14</v>
      </c>
      <c r="Z161" s="41">
        <f>IFERROR(IF(X161="","",X161*0.01788),"")</f>
        <v>0.25031999999999999</v>
      </c>
      <c r="AA161" s="68" t="s">
        <v>46</v>
      </c>
      <c r="AB161" s="69" t="s">
        <v>46</v>
      </c>
      <c r="AC161" s="207" t="s">
        <v>262</v>
      </c>
      <c r="AG161" s="81"/>
      <c r="AJ161" s="87" t="s">
        <v>87</v>
      </c>
      <c r="AK161" s="87">
        <v>1</v>
      </c>
      <c r="BB161" s="208" t="s">
        <v>115</v>
      </c>
      <c r="BM161" s="81">
        <f>IFERROR(X161*I161,"0")</f>
        <v>51.850399999999993</v>
      </c>
      <c r="BN161" s="81">
        <f>IFERROR(Y161*I161,"0")</f>
        <v>51.850399999999993</v>
      </c>
      <c r="BO161" s="81">
        <f>IFERROR(X161/J161,"0")</f>
        <v>0.2</v>
      </c>
      <c r="BP161" s="81">
        <f>IFERROR(Y161/J161,"0")</f>
        <v>0.2</v>
      </c>
    </row>
    <row r="162" spans="1:68" x14ac:dyDescent="0.2">
      <c r="A162" s="370"/>
      <c r="B162" s="370"/>
      <c r="C162" s="370"/>
      <c r="D162" s="370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1"/>
      <c r="P162" s="367" t="s">
        <v>40</v>
      </c>
      <c r="Q162" s="368"/>
      <c r="R162" s="368"/>
      <c r="S162" s="368"/>
      <c r="T162" s="368"/>
      <c r="U162" s="368"/>
      <c r="V162" s="369"/>
      <c r="W162" s="42" t="s">
        <v>39</v>
      </c>
      <c r="X162" s="43">
        <f>IFERROR(SUM(X161:X161),"0")</f>
        <v>14</v>
      </c>
      <c r="Y162" s="43">
        <f>IFERROR(SUM(Y161:Y161),"0")</f>
        <v>14</v>
      </c>
      <c r="Z162" s="43">
        <f>IFERROR(IF(Z161="",0,Z161),"0")</f>
        <v>0.25031999999999999</v>
      </c>
      <c r="AA162" s="67"/>
      <c r="AB162" s="67"/>
      <c r="AC162" s="67"/>
    </row>
    <row r="163" spans="1:68" x14ac:dyDescent="0.2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1"/>
      <c r="P163" s="367" t="s">
        <v>40</v>
      </c>
      <c r="Q163" s="368"/>
      <c r="R163" s="368"/>
      <c r="S163" s="368"/>
      <c r="T163" s="368"/>
      <c r="U163" s="368"/>
      <c r="V163" s="369"/>
      <c r="W163" s="42" t="s">
        <v>0</v>
      </c>
      <c r="X163" s="43">
        <f>IFERROR(SUMPRODUCT(X161:X161*H161:H161),"0")</f>
        <v>42</v>
      </c>
      <c r="Y163" s="43">
        <f>IFERROR(SUMPRODUCT(Y161:Y161*H161:H161),"0")</f>
        <v>42</v>
      </c>
      <c r="Z163" s="42"/>
      <c r="AA163" s="67"/>
      <c r="AB163" s="67"/>
      <c r="AC163" s="67"/>
    </row>
    <row r="164" spans="1:68" ht="16.5" hidden="1" customHeight="1" x14ac:dyDescent="0.25">
      <c r="A164" s="354" t="s">
        <v>263</v>
      </c>
      <c r="B164" s="354"/>
      <c r="C164" s="354"/>
      <c r="D164" s="354"/>
      <c r="E164" s="354"/>
      <c r="F164" s="354"/>
      <c r="G164" s="354"/>
      <c r="H164" s="354"/>
      <c r="I164" s="354"/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  <c r="AA164" s="65"/>
      <c r="AB164" s="65"/>
      <c r="AC164" s="82"/>
    </row>
    <row r="165" spans="1:68" ht="14.25" hidden="1" customHeight="1" x14ac:dyDescent="0.25">
      <c r="A165" s="355" t="s">
        <v>147</v>
      </c>
      <c r="B165" s="355"/>
      <c r="C165" s="355"/>
      <c r="D165" s="355"/>
      <c r="E165" s="355"/>
      <c r="F165" s="355"/>
      <c r="G165" s="355"/>
      <c r="H165" s="355"/>
      <c r="I165" s="355"/>
      <c r="J165" s="355"/>
      <c r="K165" s="355"/>
      <c r="L165" s="355"/>
      <c r="M165" s="355"/>
      <c r="N165" s="355"/>
      <c r="O165" s="355"/>
      <c r="P165" s="355"/>
      <c r="Q165" s="355"/>
      <c r="R165" s="355"/>
      <c r="S165" s="355"/>
      <c r="T165" s="355"/>
      <c r="U165" s="355"/>
      <c r="V165" s="355"/>
      <c r="W165" s="355"/>
      <c r="X165" s="355"/>
      <c r="Y165" s="355"/>
      <c r="Z165" s="355"/>
      <c r="AA165" s="66"/>
      <c r="AB165" s="66"/>
      <c r="AC165" s="83"/>
    </row>
    <row r="166" spans="1:68" ht="16.5" customHeight="1" x14ac:dyDescent="0.25">
      <c r="A166" s="63" t="s">
        <v>264</v>
      </c>
      <c r="B166" s="63" t="s">
        <v>265</v>
      </c>
      <c r="C166" s="36">
        <v>4301135607</v>
      </c>
      <c r="D166" s="356">
        <v>4607111039613</v>
      </c>
      <c r="E166" s="356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58"/>
      <c r="R166" s="358"/>
      <c r="S166" s="358"/>
      <c r="T166" s="359"/>
      <c r="U166" s="39" t="s">
        <v>46</v>
      </c>
      <c r="V166" s="39" t="s">
        <v>46</v>
      </c>
      <c r="W166" s="40" t="s">
        <v>39</v>
      </c>
      <c r="X166" s="58">
        <v>14</v>
      </c>
      <c r="Y166" s="55">
        <f>IFERROR(IF(X166="","",X166),"")</f>
        <v>14</v>
      </c>
      <c r="Z166" s="41">
        <f>IFERROR(IF(X166="","",X166*0.00936),"")</f>
        <v>0.13103999999999999</v>
      </c>
      <c r="AA166" s="68" t="s">
        <v>46</v>
      </c>
      <c r="AB166" s="69" t="s">
        <v>46</v>
      </c>
      <c r="AC166" s="209" t="s">
        <v>247</v>
      </c>
      <c r="AG166" s="81"/>
      <c r="AJ166" s="87" t="s">
        <v>118</v>
      </c>
      <c r="AK166" s="87">
        <v>14</v>
      </c>
      <c r="BB166" s="210" t="s">
        <v>115</v>
      </c>
      <c r="BM166" s="81">
        <f>IFERROR(X166*I166,"0")</f>
        <v>43.26</v>
      </c>
      <c r="BN166" s="81">
        <f>IFERROR(Y166*I166,"0")</f>
        <v>43.26</v>
      </c>
      <c r="BO166" s="81">
        <f>IFERROR(X166/J166,"0")</f>
        <v>0.1111111111111111</v>
      </c>
      <c r="BP166" s="81">
        <f>IFERROR(Y166/J166,"0")</f>
        <v>0.1111111111111111</v>
      </c>
    </row>
    <row r="167" spans="1:68" x14ac:dyDescent="0.2">
      <c r="A167" s="370"/>
      <c r="B167" s="370"/>
      <c r="C167" s="370"/>
      <c r="D167" s="370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1"/>
      <c r="P167" s="367" t="s">
        <v>40</v>
      </c>
      <c r="Q167" s="368"/>
      <c r="R167" s="368"/>
      <c r="S167" s="368"/>
      <c r="T167" s="368"/>
      <c r="U167" s="368"/>
      <c r="V167" s="369"/>
      <c r="W167" s="42" t="s">
        <v>39</v>
      </c>
      <c r="X167" s="43">
        <f>IFERROR(SUM(X166:X166),"0")</f>
        <v>14</v>
      </c>
      <c r="Y167" s="43">
        <f>IFERROR(SUM(Y166:Y166),"0")</f>
        <v>14</v>
      </c>
      <c r="Z167" s="43">
        <f>IFERROR(IF(Z166="",0,Z166),"0")</f>
        <v>0.13103999999999999</v>
      </c>
      <c r="AA167" s="67"/>
      <c r="AB167" s="67"/>
      <c r="AC167" s="67"/>
    </row>
    <row r="168" spans="1:68" x14ac:dyDescent="0.2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1"/>
      <c r="P168" s="367" t="s">
        <v>40</v>
      </c>
      <c r="Q168" s="368"/>
      <c r="R168" s="368"/>
      <c r="S168" s="368"/>
      <c r="T168" s="368"/>
      <c r="U168" s="368"/>
      <c r="V168" s="369"/>
      <c r="W168" s="42" t="s">
        <v>0</v>
      </c>
      <c r="X168" s="43">
        <f>IFERROR(SUMPRODUCT(X166:X166*H166:H166),"0")</f>
        <v>37.800000000000004</v>
      </c>
      <c r="Y168" s="43">
        <f>IFERROR(SUMPRODUCT(Y166:Y166*H166:H166),"0")</f>
        <v>37.800000000000004</v>
      </c>
      <c r="Z168" s="42"/>
      <c r="AA168" s="67"/>
      <c r="AB168" s="67"/>
      <c r="AC168" s="67"/>
    </row>
    <row r="169" spans="1:68" ht="16.5" hidden="1" customHeight="1" x14ac:dyDescent="0.25">
      <c r="A169" s="354" t="s">
        <v>266</v>
      </c>
      <c r="B169" s="354"/>
      <c r="C169" s="354"/>
      <c r="D169" s="354"/>
      <c r="E169" s="354"/>
      <c r="F169" s="354"/>
      <c r="G169" s="354"/>
      <c r="H169" s="354"/>
      <c r="I169" s="354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  <c r="AA169" s="65"/>
      <c r="AB169" s="65"/>
      <c r="AC169" s="82"/>
    </row>
    <row r="170" spans="1:68" ht="14.25" hidden="1" customHeight="1" x14ac:dyDescent="0.25">
      <c r="A170" s="355" t="s">
        <v>147</v>
      </c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5"/>
      <c r="P170" s="355"/>
      <c r="Q170" s="355"/>
      <c r="R170" s="355"/>
      <c r="S170" s="355"/>
      <c r="T170" s="355"/>
      <c r="U170" s="355"/>
      <c r="V170" s="355"/>
      <c r="W170" s="355"/>
      <c r="X170" s="355"/>
      <c r="Y170" s="355"/>
      <c r="Z170" s="355"/>
      <c r="AA170" s="66"/>
      <c r="AB170" s="66"/>
      <c r="AC170" s="83"/>
    </row>
    <row r="171" spans="1:68" ht="27" customHeight="1" x14ac:dyDescent="0.25">
      <c r="A171" s="63" t="s">
        <v>267</v>
      </c>
      <c r="B171" s="63" t="s">
        <v>268</v>
      </c>
      <c r="C171" s="36">
        <v>4301135591</v>
      </c>
      <c r="D171" s="356">
        <v>4607111036568</v>
      </c>
      <c r="E171" s="356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42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358"/>
      <c r="R171" s="358"/>
      <c r="S171" s="358"/>
      <c r="T171" s="359"/>
      <c r="U171" s="39" t="s">
        <v>46</v>
      </c>
      <c r="V171" s="39" t="s">
        <v>46</v>
      </c>
      <c r="W171" s="40" t="s">
        <v>39</v>
      </c>
      <c r="X171" s="58">
        <v>70</v>
      </c>
      <c r="Y171" s="55">
        <f>IFERROR(IF(X171="","",X171),"")</f>
        <v>70</v>
      </c>
      <c r="Z171" s="41">
        <f>IFERROR(IF(X171="","",X171*0.00941),"")</f>
        <v>0.65869999999999995</v>
      </c>
      <c r="AA171" s="68" t="s">
        <v>46</v>
      </c>
      <c r="AB171" s="69" t="s">
        <v>46</v>
      </c>
      <c r="AC171" s="211" t="s">
        <v>269</v>
      </c>
      <c r="AG171" s="81"/>
      <c r="AJ171" s="87" t="s">
        <v>118</v>
      </c>
      <c r="AK171" s="87">
        <v>14</v>
      </c>
      <c r="BB171" s="212" t="s">
        <v>115</v>
      </c>
      <c r="BM171" s="81">
        <f>IFERROR(X171*I171,"0")</f>
        <v>147.126</v>
      </c>
      <c r="BN171" s="81">
        <f>IFERROR(Y171*I171,"0")</f>
        <v>147.126</v>
      </c>
      <c r="BO171" s="81">
        <f>IFERROR(X171/J171,"0")</f>
        <v>0.5</v>
      </c>
      <c r="BP171" s="81">
        <f>IFERROR(Y171/J171,"0")</f>
        <v>0.5</v>
      </c>
    </row>
    <row r="172" spans="1:68" x14ac:dyDescent="0.2">
      <c r="A172" s="370"/>
      <c r="B172" s="370"/>
      <c r="C172" s="370"/>
      <c r="D172" s="370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1"/>
      <c r="P172" s="367" t="s">
        <v>40</v>
      </c>
      <c r="Q172" s="368"/>
      <c r="R172" s="368"/>
      <c r="S172" s="368"/>
      <c r="T172" s="368"/>
      <c r="U172" s="368"/>
      <c r="V172" s="369"/>
      <c r="W172" s="42" t="s">
        <v>39</v>
      </c>
      <c r="X172" s="43">
        <f>IFERROR(SUM(X171:X171),"0")</f>
        <v>70</v>
      </c>
      <c r="Y172" s="43">
        <f>IFERROR(SUM(Y171:Y171),"0")</f>
        <v>70</v>
      </c>
      <c r="Z172" s="43">
        <f>IFERROR(IF(Z171="",0,Z171),"0")</f>
        <v>0.65869999999999995</v>
      </c>
      <c r="AA172" s="67"/>
      <c r="AB172" s="67"/>
      <c r="AC172" s="67"/>
    </row>
    <row r="173" spans="1:68" x14ac:dyDescent="0.2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1"/>
      <c r="P173" s="367" t="s">
        <v>40</v>
      </c>
      <c r="Q173" s="368"/>
      <c r="R173" s="368"/>
      <c r="S173" s="368"/>
      <c r="T173" s="368"/>
      <c r="U173" s="368"/>
      <c r="V173" s="369"/>
      <c r="W173" s="42" t="s">
        <v>0</v>
      </c>
      <c r="X173" s="43">
        <f>IFERROR(SUMPRODUCT(X171:X171*H171:H171),"0")</f>
        <v>117.6</v>
      </c>
      <c r="Y173" s="43">
        <f>IFERROR(SUMPRODUCT(Y171:Y171*H171:H171),"0")</f>
        <v>117.6</v>
      </c>
      <c r="Z173" s="42"/>
      <c r="AA173" s="67"/>
      <c r="AB173" s="67"/>
      <c r="AC173" s="67"/>
    </row>
    <row r="174" spans="1:68" ht="27.75" hidden="1" customHeight="1" x14ac:dyDescent="0.2">
      <c r="A174" s="353" t="s">
        <v>270</v>
      </c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  <c r="AA174" s="54"/>
      <c r="AB174" s="54"/>
      <c r="AC174" s="54"/>
    </row>
    <row r="175" spans="1:68" ht="16.5" hidden="1" customHeight="1" x14ac:dyDescent="0.25">
      <c r="A175" s="354" t="s">
        <v>271</v>
      </c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65"/>
      <c r="AB175" s="65"/>
      <c r="AC175" s="82"/>
    </row>
    <row r="176" spans="1:68" ht="14.25" hidden="1" customHeight="1" x14ac:dyDescent="0.25">
      <c r="A176" s="355" t="s">
        <v>80</v>
      </c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  <c r="U176" s="355"/>
      <c r="V176" s="355"/>
      <c r="W176" s="355"/>
      <c r="X176" s="355"/>
      <c r="Y176" s="355"/>
      <c r="Z176" s="355"/>
      <c r="AA176" s="66"/>
      <c r="AB176" s="66"/>
      <c r="AC176" s="83"/>
    </row>
    <row r="177" spans="1:68" ht="16.5" hidden="1" customHeight="1" x14ac:dyDescent="0.25">
      <c r="A177" s="63" t="s">
        <v>272</v>
      </c>
      <c r="B177" s="63" t="s">
        <v>273</v>
      </c>
      <c r="C177" s="36">
        <v>4301071062</v>
      </c>
      <c r="D177" s="356">
        <v>4607111036384</v>
      </c>
      <c r="E177" s="356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85</v>
      </c>
      <c r="L177" s="37" t="s">
        <v>86</v>
      </c>
      <c r="M177" s="38" t="s">
        <v>84</v>
      </c>
      <c r="N177" s="38"/>
      <c r="O177" s="37">
        <v>180</v>
      </c>
      <c r="P177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58"/>
      <c r="R177" s="358"/>
      <c r="S177" s="358"/>
      <c r="T177" s="359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274</v>
      </c>
      <c r="AG177" s="81"/>
      <c r="AJ177" s="87" t="s">
        <v>87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hidden="1" customHeight="1" x14ac:dyDescent="0.25">
      <c r="A178" s="63" t="s">
        <v>275</v>
      </c>
      <c r="B178" s="63" t="s">
        <v>276</v>
      </c>
      <c r="C178" s="36">
        <v>4301071050</v>
      </c>
      <c r="D178" s="356">
        <v>4607111036216</v>
      </c>
      <c r="E178" s="356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85</v>
      </c>
      <c r="L178" s="37" t="s">
        <v>117</v>
      </c>
      <c r="M178" s="38" t="s">
        <v>84</v>
      </c>
      <c r="N178" s="38"/>
      <c r="O178" s="37">
        <v>180</v>
      </c>
      <c r="P178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118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idden="1" x14ac:dyDescent="0.2">
      <c r="A179" s="370"/>
      <c r="B179" s="370"/>
      <c r="C179" s="370"/>
      <c r="D179" s="370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1"/>
      <c r="P179" s="367" t="s">
        <v>40</v>
      </c>
      <c r="Q179" s="368"/>
      <c r="R179" s="368"/>
      <c r="S179" s="368"/>
      <c r="T179" s="368"/>
      <c r="U179" s="368"/>
      <c r="V179" s="369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1"/>
      <c r="P180" s="367" t="s">
        <v>40</v>
      </c>
      <c r="Q180" s="368"/>
      <c r="R180" s="368"/>
      <c r="S180" s="368"/>
      <c r="T180" s="368"/>
      <c r="U180" s="368"/>
      <c r="V180" s="369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6.5" hidden="1" customHeight="1" x14ac:dyDescent="0.25">
      <c r="A181" s="354" t="s">
        <v>278</v>
      </c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  <c r="AA181" s="65"/>
      <c r="AB181" s="65"/>
      <c r="AC181" s="82"/>
    </row>
    <row r="182" spans="1:68" ht="14.25" hidden="1" customHeight="1" x14ac:dyDescent="0.25">
      <c r="A182" s="355" t="s">
        <v>80</v>
      </c>
      <c r="B182" s="355"/>
      <c r="C182" s="355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5"/>
      <c r="P182" s="355"/>
      <c r="Q182" s="355"/>
      <c r="R182" s="355"/>
      <c r="S182" s="355"/>
      <c r="T182" s="355"/>
      <c r="U182" s="355"/>
      <c r="V182" s="355"/>
      <c r="W182" s="355"/>
      <c r="X182" s="355"/>
      <c r="Y182" s="355"/>
      <c r="Z182" s="355"/>
      <c r="AA182" s="66"/>
      <c r="AB182" s="66"/>
      <c r="AC182" s="83"/>
    </row>
    <row r="183" spans="1:68" ht="27" hidden="1" customHeight="1" x14ac:dyDescent="0.25">
      <c r="A183" s="63" t="s">
        <v>279</v>
      </c>
      <c r="B183" s="63" t="s">
        <v>280</v>
      </c>
      <c r="C183" s="36">
        <v>4301071117</v>
      </c>
      <c r="D183" s="356">
        <v>4620207491737</v>
      </c>
      <c r="E183" s="356"/>
      <c r="F183" s="62">
        <v>1</v>
      </c>
      <c r="G183" s="37">
        <v>5</v>
      </c>
      <c r="H183" s="62">
        <v>5</v>
      </c>
      <c r="I183" s="62">
        <v>5.2619999999999996</v>
      </c>
      <c r="J183" s="37">
        <v>84</v>
      </c>
      <c r="K183" s="37" t="s">
        <v>85</v>
      </c>
      <c r="L183" s="37" t="s">
        <v>86</v>
      </c>
      <c r="M183" s="38" t="s">
        <v>84</v>
      </c>
      <c r="N183" s="38"/>
      <c r="O183" s="37">
        <v>180</v>
      </c>
      <c r="P183" s="42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358"/>
      <c r="R183" s="358"/>
      <c r="S183" s="358"/>
      <c r="T183" s="359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IFERROR(IF(X183="","",X183*0.0155),"")</f>
        <v>0</v>
      </c>
      <c r="AA183" s="68" t="s">
        <v>46</v>
      </c>
      <c r="AB183" s="69" t="s">
        <v>46</v>
      </c>
      <c r="AC183" s="217" t="s">
        <v>277</v>
      </c>
      <c r="AG183" s="81"/>
      <c r="AJ183" s="87" t="s">
        <v>87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370"/>
      <c r="B184" s="370"/>
      <c r="C184" s="370"/>
      <c r="D184" s="370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1"/>
      <c r="P184" s="367" t="s">
        <v>40</v>
      </c>
      <c r="Q184" s="368"/>
      <c r="R184" s="368"/>
      <c r="S184" s="368"/>
      <c r="T184" s="368"/>
      <c r="U184" s="368"/>
      <c r="V184" s="369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hidden="1" x14ac:dyDescent="0.2">
      <c r="A185" s="370"/>
      <c r="B185" s="370"/>
      <c r="C185" s="370"/>
      <c r="D185" s="370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1"/>
      <c r="P185" s="367" t="s">
        <v>40</v>
      </c>
      <c r="Q185" s="368"/>
      <c r="R185" s="368"/>
      <c r="S185" s="368"/>
      <c r="T185" s="368"/>
      <c r="U185" s="368"/>
      <c r="V185" s="369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hidden="1" customHeight="1" x14ac:dyDescent="0.2">
      <c r="A186" s="353" t="s">
        <v>281</v>
      </c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  <c r="AA186" s="54"/>
      <c r="AB186" s="54"/>
      <c r="AC186" s="54"/>
    </row>
    <row r="187" spans="1:68" ht="16.5" hidden="1" customHeight="1" x14ac:dyDescent="0.25">
      <c r="A187" s="354" t="s">
        <v>282</v>
      </c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65"/>
      <c r="AB187" s="65"/>
      <c r="AC187" s="82"/>
    </row>
    <row r="188" spans="1:68" ht="14.25" hidden="1" customHeight="1" x14ac:dyDescent="0.25">
      <c r="A188" s="355" t="s">
        <v>111</v>
      </c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5"/>
      <c r="P188" s="355"/>
      <c r="Q188" s="355"/>
      <c r="R188" s="355"/>
      <c r="S188" s="355"/>
      <c r="T188" s="355"/>
      <c r="U188" s="355"/>
      <c r="V188" s="355"/>
      <c r="W188" s="355"/>
      <c r="X188" s="355"/>
      <c r="Y188" s="355"/>
      <c r="Z188" s="355"/>
      <c r="AA188" s="66"/>
      <c r="AB188" s="66"/>
      <c r="AC188" s="83"/>
    </row>
    <row r="189" spans="1:68" ht="16.5" customHeight="1" x14ac:dyDescent="0.25">
      <c r="A189" s="63" t="s">
        <v>283</v>
      </c>
      <c r="B189" s="63" t="s">
        <v>284</v>
      </c>
      <c r="C189" s="36">
        <v>4301132179</v>
      </c>
      <c r="D189" s="356">
        <v>4607111035691</v>
      </c>
      <c r="E189" s="356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116</v>
      </c>
      <c r="L189" s="37" t="s">
        <v>117</v>
      </c>
      <c r="M189" s="38" t="s">
        <v>84</v>
      </c>
      <c r="N189" s="38"/>
      <c r="O189" s="37">
        <v>365</v>
      </c>
      <c r="P189" s="4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58"/>
      <c r="R189" s="358"/>
      <c r="S189" s="358"/>
      <c r="T189" s="359"/>
      <c r="U189" s="39" t="s">
        <v>46</v>
      </c>
      <c r="V189" s="39" t="s">
        <v>46</v>
      </c>
      <c r="W189" s="40" t="s">
        <v>39</v>
      </c>
      <c r="X189" s="58">
        <v>28</v>
      </c>
      <c r="Y189" s="55">
        <f>IFERROR(IF(X189="","",X189),"")</f>
        <v>28</v>
      </c>
      <c r="Z189" s="41">
        <f>IFERROR(IF(X189="","",X189*0.01788),"")</f>
        <v>0.50063999999999997</v>
      </c>
      <c r="AA189" s="68" t="s">
        <v>46</v>
      </c>
      <c r="AB189" s="69" t="s">
        <v>46</v>
      </c>
      <c r="AC189" s="219" t="s">
        <v>285</v>
      </c>
      <c r="AG189" s="81"/>
      <c r="AJ189" s="87" t="s">
        <v>118</v>
      </c>
      <c r="AK189" s="87">
        <v>14</v>
      </c>
      <c r="BB189" s="220" t="s">
        <v>115</v>
      </c>
      <c r="BM189" s="81">
        <f>IFERROR(X189*I189,"0")</f>
        <v>94.864000000000004</v>
      </c>
      <c r="BN189" s="81">
        <f>IFERROR(Y189*I189,"0")</f>
        <v>94.864000000000004</v>
      </c>
      <c r="BO189" s="81">
        <f>IFERROR(X189/J189,"0")</f>
        <v>0.4</v>
      </c>
      <c r="BP189" s="81">
        <f>IFERROR(Y189/J189,"0")</f>
        <v>0.4</v>
      </c>
    </row>
    <row r="190" spans="1:68" ht="27" customHeight="1" x14ac:dyDescent="0.25">
      <c r="A190" s="63" t="s">
        <v>286</v>
      </c>
      <c r="B190" s="63" t="s">
        <v>287</v>
      </c>
      <c r="C190" s="36">
        <v>4301132182</v>
      </c>
      <c r="D190" s="356">
        <v>4607111035721</v>
      </c>
      <c r="E190" s="35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58"/>
      <c r="R190" s="358"/>
      <c r="S190" s="358"/>
      <c r="T190" s="359"/>
      <c r="U190" s="39" t="s">
        <v>46</v>
      </c>
      <c r="V190" s="39" t="s">
        <v>46</v>
      </c>
      <c r="W190" s="40" t="s">
        <v>39</v>
      </c>
      <c r="X190" s="58">
        <v>28</v>
      </c>
      <c r="Y190" s="55">
        <f>IFERROR(IF(X190="","",X190),"")</f>
        <v>28</v>
      </c>
      <c r="Z190" s="41">
        <f>IFERROR(IF(X190="","",X190*0.01788),"")</f>
        <v>0.50063999999999997</v>
      </c>
      <c r="AA190" s="68" t="s">
        <v>46</v>
      </c>
      <c r="AB190" s="69" t="s">
        <v>46</v>
      </c>
      <c r="AC190" s="221" t="s">
        <v>288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94.864000000000004</v>
      </c>
      <c r="BN190" s="81">
        <f>IFERROR(Y190*I190,"0")</f>
        <v>94.864000000000004</v>
      </c>
      <c r="BO190" s="81">
        <f>IFERROR(X190/J190,"0")</f>
        <v>0.4</v>
      </c>
      <c r="BP190" s="81">
        <f>IFERROR(Y190/J190,"0")</f>
        <v>0.4</v>
      </c>
    </row>
    <row r="191" spans="1:68" ht="27" hidden="1" customHeight="1" x14ac:dyDescent="0.25">
      <c r="A191" s="63" t="s">
        <v>289</v>
      </c>
      <c r="B191" s="63" t="s">
        <v>290</v>
      </c>
      <c r="C191" s="36">
        <v>4301132170</v>
      </c>
      <c r="D191" s="356">
        <v>4607111038487</v>
      </c>
      <c r="E191" s="356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180</v>
      </c>
      <c r="P191" s="4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292</v>
      </c>
      <c r="B192" s="63" t="s">
        <v>293</v>
      </c>
      <c r="C192" s="36">
        <v>4301132243</v>
      </c>
      <c r="D192" s="356">
        <v>4620207491195</v>
      </c>
      <c r="E192" s="356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116</v>
      </c>
      <c r="L192" s="37" t="s">
        <v>86</v>
      </c>
      <c r="M192" s="38" t="s">
        <v>84</v>
      </c>
      <c r="N192" s="38"/>
      <c r="O192" s="37">
        <v>180</v>
      </c>
      <c r="P192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14</v>
      </c>
      <c r="Y192" s="55">
        <f>IFERROR(IF(X192="","",X192),"")</f>
        <v>14</v>
      </c>
      <c r="Z192" s="41">
        <f>IFERROR(IF(X192="","",X192*0.01788),"")</f>
        <v>0.25031999999999999</v>
      </c>
      <c r="AA192" s="68" t="s">
        <v>46</v>
      </c>
      <c r="AB192" s="69" t="s">
        <v>46</v>
      </c>
      <c r="AC192" s="225" t="s">
        <v>294</v>
      </c>
      <c r="AG192" s="81"/>
      <c r="AJ192" s="87" t="s">
        <v>87</v>
      </c>
      <c r="AK192" s="87">
        <v>1</v>
      </c>
      <c r="BB192" s="226" t="s">
        <v>115</v>
      </c>
      <c r="BM192" s="81">
        <f>IFERROR(X192*I192,"0")</f>
        <v>44.072000000000003</v>
      </c>
      <c r="BN192" s="81">
        <f>IFERROR(Y192*I192,"0")</f>
        <v>44.072000000000003</v>
      </c>
      <c r="BO192" s="81">
        <f>IFERROR(X192/J192,"0")</f>
        <v>0.2</v>
      </c>
      <c r="BP192" s="81">
        <f>IFERROR(Y192/J192,"0")</f>
        <v>0.2</v>
      </c>
    </row>
    <row r="193" spans="1:68" x14ac:dyDescent="0.2">
      <c r="A193" s="370"/>
      <c r="B193" s="370"/>
      <c r="C193" s="370"/>
      <c r="D193" s="370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1"/>
      <c r="P193" s="367" t="s">
        <v>40</v>
      </c>
      <c r="Q193" s="368"/>
      <c r="R193" s="368"/>
      <c r="S193" s="368"/>
      <c r="T193" s="368"/>
      <c r="U193" s="368"/>
      <c r="V193" s="369"/>
      <c r="W193" s="42" t="s">
        <v>39</v>
      </c>
      <c r="X193" s="43">
        <f>IFERROR(SUM(X189:X192),"0")</f>
        <v>70</v>
      </c>
      <c r="Y193" s="43">
        <f>IFERROR(SUM(Y189:Y192),"0")</f>
        <v>70</v>
      </c>
      <c r="Z193" s="43">
        <f>IFERROR(IF(Z189="",0,Z189),"0")+IFERROR(IF(Z190="",0,Z190),"0")+IFERROR(IF(Z191="",0,Z191),"0")+IFERROR(IF(Z192="",0,Z192),"0")</f>
        <v>1.2515999999999998</v>
      </c>
      <c r="AA193" s="67"/>
      <c r="AB193" s="67"/>
      <c r="AC193" s="67"/>
    </row>
    <row r="194" spans="1:68" x14ac:dyDescent="0.2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1"/>
      <c r="P194" s="367" t="s">
        <v>40</v>
      </c>
      <c r="Q194" s="368"/>
      <c r="R194" s="368"/>
      <c r="S194" s="368"/>
      <c r="T194" s="368"/>
      <c r="U194" s="368"/>
      <c r="V194" s="369"/>
      <c r="W194" s="42" t="s">
        <v>0</v>
      </c>
      <c r="X194" s="43">
        <f>IFERROR(SUMPRODUCT(X189:X192*H189:H192),"0")</f>
        <v>206.64</v>
      </c>
      <c r="Y194" s="43">
        <f>IFERROR(SUMPRODUCT(Y189:Y192*H189:H192),"0")</f>
        <v>206.64</v>
      </c>
      <c r="Z194" s="42"/>
      <c r="AA194" s="67"/>
      <c r="AB194" s="67"/>
      <c r="AC194" s="67"/>
    </row>
    <row r="195" spans="1:68" ht="27.75" hidden="1" customHeight="1" x14ac:dyDescent="0.2">
      <c r="A195" s="353" t="s">
        <v>295</v>
      </c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  <c r="AA195" s="54"/>
      <c r="AB195" s="54"/>
      <c r="AC195" s="54"/>
    </row>
    <row r="196" spans="1:68" ht="16.5" hidden="1" customHeight="1" x14ac:dyDescent="0.25">
      <c r="A196" s="354" t="s">
        <v>296</v>
      </c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65"/>
      <c r="AB196" s="65"/>
      <c r="AC196" s="82"/>
    </row>
    <row r="197" spans="1:68" ht="14.25" hidden="1" customHeight="1" x14ac:dyDescent="0.25">
      <c r="A197" s="355" t="s">
        <v>111</v>
      </c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5"/>
      <c r="P197" s="355"/>
      <c r="Q197" s="355"/>
      <c r="R197" s="355"/>
      <c r="S197" s="355"/>
      <c r="T197" s="355"/>
      <c r="U197" s="355"/>
      <c r="V197" s="355"/>
      <c r="W197" s="355"/>
      <c r="X197" s="355"/>
      <c r="Y197" s="355"/>
      <c r="Z197" s="355"/>
      <c r="AA197" s="66"/>
      <c r="AB197" s="66"/>
      <c r="AC197" s="83"/>
    </row>
    <row r="198" spans="1:68" ht="27" hidden="1" customHeight="1" x14ac:dyDescent="0.25">
      <c r="A198" s="63" t="s">
        <v>297</v>
      </c>
      <c r="B198" s="63" t="s">
        <v>298</v>
      </c>
      <c r="C198" s="36">
        <v>4301132227</v>
      </c>
      <c r="D198" s="356">
        <v>4620207491133</v>
      </c>
      <c r="E198" s="356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180</v>
      </c>
      <c r="P198" s="4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8"/>
      <c r="R198" s="358"/>
      <c r="S198" s="358"/>
      <c r="T198" s="35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7" t="s">
        <v>299</v>
      </c>
      <c r="AG198" s="81"/>
      <c r="AJ198" s="87" t="s">
        <v>118</v>
      </c>
      <c r="AK198" s="87">
        <v>14</v>
      </c>
      <c r="BB198" s="228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idden="1" x14ac:dyDescent="0.2">
      <c r="A199" s="370"/>
      <c r="B199" s="370"/>
      <c r="C199" s="370"/>
      <c r="D199" s="370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1"/>
      <c r="P199" s="367" t="s">
        <v>40</v>
      </c>
      <c r="Q199" s="368"/>
      <c r="R199" s="368"/>
      <c r="S199" s="368"/>
      <c r="T199" s="368"/>
      <c r="U199" s="368"/>
      <c r="V199" s="369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370"/>
      <c r="B200" s="370"/>
      <c r="C200" s="370"/>
      <c r="D200" s="370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1"/>
      <c r="P200" s="367" t="s">
        <v>40</v>
      </c>
      <c r="Q200" s="368"/>
      <c r="R200" s="368"/>
      <c r="S200" s="368"/>
      <c r="T200" s="368"/>
      <c r="U200" s="368"/>
      <c r="V200" s="369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hidden="1" customHeight="1" x14ac:dyDescent="0.25">
      <c r="A201" s="355" t="s">
        <v>147</v>
      </c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5"/>
      <c r="P201" s="355"/>
      <c r="Q201" s="355"/>
      <c r="R201" s="355"/>
      <c r="S201" s="355"/>
      <c r="T201" s="355"/>
      <c r="U201" s="355"/>
      <c r="V201" s="355"/>
      <c r="W201" s="355"/>
      <c r="X201" s="355"/>
      <c r="Y201" s="355"/>
      <c r="Z201" s="355"/>
      <c r="AA201" s="66"/>
      <c r="AB201" s="66"/>
      <c r="AC201" s="83"/>
    </row>
    <row r="202" spans="1:68" ht="27" hidden="1" customHeight="1" x14ac:dyDescent="0.25">
      <c r="A202" s="63" t="s">
        <v>300</v>
      </c>
      <c r="B202" s="63" t="s">
        <v>301</v>
      </c>
      <c r="C202" s="36">
        <v>4301135834</v>
      </c>
      <c r="D202" s="356">
        <v>4620207491188</v>
      </c>
      <c r="E202" s="356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116</v>
      </c>
      <c r="L202" s="37" t="s">
        <v>86</v>
      </c>
      <c r="M202" s="38" t="s">
        <v>84</v>
      </c>
      <c r="N202" s="38"/>
      <c r="O202" s="37">
        <v>180</v>
      </c>
      <c r="P202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8"/>
      <c r="R202" s="358"/>
      <c r="S202" s="358"/>
      <c r="T202" s="359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302</v>
      </c>
      <c r="AG202" s="81"/>
      <c r="AJ202" s="87" t="s">
        <v>87</v>
      </c>
      <c r="AK202" s="87">
        <v>1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hidden="1" customHeight="1" x14ac:dyDescent="0.25">
      <c r="A203" s="63" t="s">
        <v>303</v>
      </c>
      <c r="B203" s="63" t="s">
        <v>304</v>
      </c>
      <c r="C203" s="36">
        <v>4301135696</v>
      </c>
      <c r="D203" s="356">
        <v>4620207490235</v>
      </c>
      <c r="E203" s="35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43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358"/>
      <c r="R203" s="358"/>
      <c r="S203" s="358"/>
      <c r="T203" s="35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306</v>
      </c>
      <c r="B204" s="63" t="s">
        <v>307</v>
      </c>
      <c r="C204" s="36">
        <v>4301135697</v>
      </c>
      <c r="D204" s="356">
        <v>4620207490259</v>
      </c>
      <c r="E204" s="35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idden="1" x14ac:dyDescent="0.2">
      <c r="A205" s="370"/>
      <c r="B205" s="370"/>
      <c r="C205" s="370"/>
      <c r="D205" s="370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1"/>
      <c r="P205" s="367" t="s">
        <v>40</v>
      </c>
      <c r="Q205" s="368"/>
      <c r="R205" s="368"/>
      <c r="S205" s="368"/>
      <c r="T205" s="368"/>
      <c r="U205" s="368"/>
      <c r="V205" s="369"/>
      <c r="W205" s="42" t="s">
        <v>39</v>
      </c>
      <c r="X205" s="43">
        <f>IFERROR(SUM(X202:X204),"0")</f>
        <v>0</v>
      </c>
      <c r="Y205" s="43">
        <f>IFERROR(SUM(Y202:Y204),"0")</f>
        <v>0</v>
      </c>
      <c r="Z205" s="43">
        <f>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370"/>
      <c r="B206" s="370"/>
      <c r="C206" s="370"/>
      <c r="D206" s="370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1"/>
      <c r="P206" s="367" t="s">
        <v>40</v>
      </c>
      <c r="Q206" s="368"/>
      <c r="R206" s="368"/>
      <c r="S206" s="368"/>
      <c r="T206" s="368"/>
      <c r="U206" s="368"/>
      <c r="V206" s="369"/>
      <c r="W206" s="42" t="s">
        <v>0</v>
      </c>
      <c r="X206" s="43">
        <f>IFERROR(SUMPRODUCT(X202:X204*H202:H204),"0")</f>
        <v>0</v>
      </c>
      <c r="Y206" s="43">
        <f>IFERROR(SUMPRODUCT(Y202:Y204*H202:H204),"0")</f>
        <v>0</v>
      </c>
      <c r="Z206" s="42"/>
      <c r="AA206" s="67"/>
      <c r="AB206" s="67"/>
      <c r="AC206" s="67"/>
    </row>
    <row r="207" spans="1:68" ht="16.5" hidden="1" customHeight="1" x14ac:dyDescent="0.25">
      <c r="A207" s="354" t="s">
        <v>309</v>
      </c>
      <c r="B207" s="354"/>
      <c r="C207" s="354"/>
      <c r="D207" s="354"/>
      <c r="E207" s="354"/>
      <c r="F207" s="354"/>
      <c r="G207" s="354"/>
      <c r="H207" s="354"/>
      <c r="I207" s="354"/>
      <c r="J207" s="354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  <c r="Z207" s="354"/>
      <c r="AA207" s="65"/>
      <c r="AB207" s="65"/>
      <c r="AC207" s="82"/>
    </row>
    <row r="208" spans="1:68" ht="14.25" hidden="1" customHeight="1" x14ac:dyDescent="0.25">
      <c r="A208" s="355" t="s">
        <v>147</v>
      </c>
      <c r="B208" s="355"/>
      <c r="C208" s="355"/>
      <c r="D208" s="355"/>
      <c r="E208" s="355"/>
      <c r="F208" s="355"/>
      <c r="G208" s="355"/>
      <c r="H208" s="355"/>
      <c r="I208" s="355"/>
      <c r="J208" s="355"/>
      <c r="K208" s="355"/>
      <c r="L208" s="355"/>
      <c r="M208" s="355"/>
      <c r="N208" s="355"/>
      <c r="O208" s="355"/>
      <c r="P208" s="355"/>
      <c r="Q208" s="355"/>
      <c r="R208" s="355"/>
      <c r="S208" s="355"/>
      <c r="T208" s="355"/>
      <c r="U208" s="355"/>
      <c r="V208" s="355"/>
      <c r="W208" s="355"/>
      <c r="X208" s="355"/>
      <c r="Y208" s="355"/>
      <c r="Z208" s="355"/>
      <c r="AA208" s="66"/>
      <c r="AB208" s="66"/>
      <c r="AC208" s="83"/>
    </row>
    <row r="209" spans="1:68" ht="27" hidden="1" customHeight="1" x14ac:dyDescent="0.25">
      <c r="A209" s="63" t="s">
        <v>310</v>
      </c>
      <c r="B209" s="63" t="s">
        <v>311</v>
      </c>
      <c r="C209" s="36">
        <v>4301135854</v>
      </c>
      <c r="D209" s="356">
        <v>4620207491706</v>
      </c>
      <c r="E209" s="356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86</v>
      </c>
      <c r="M209" s="38" t="s">
        <v>84</v>
      </c>
      <c r="N209" s="38"/>
      <c r="O209" s="37">
        <v>180</v>
      </c>
      <c r="P209" s="43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358"/>
      <c r="R209" s="358"/>
      <c r="S209" s="358"/>
      <c r="T209" s="359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312</v>
      </c>
      <c r="AG209" s="81"/>
      <c r="AJ209" s="87" t="s">
        <v>87</v>
      </c>
      <c r="AK209" s="87">
        <v>1</v>
      </c>
      <c r="BB209" s="236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hidden="1" customHeight="1" x14ac:dyDescent="0.25">
      <c r="A210" s="63" t="s">
        <v>313</v>
      </c>
      <c r="B210" s="63" t="s">
        <v>314</v>
      </c>
      <c r="C210" s="36">
        <v>4301135895</v>
      </c>
      <c r="D210" s="356">
        <v>4620207491522</v>
      </c>
      <c r="E210" s="356"/>
      <c r="F210" s="62">
        <v>0.28000000000000003</v>
      </c>
      <c r="G210" s="37">
        <v>12</v>
      </c>
      <c r="H210" s="62">
        <v>3.36</v>
      </c>
      <c r="I210" s="62">
        <v>4.0636000000000001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3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358"/>
      <c r="R210" s="358"/>
      <c r="S210" s="358"/>
      <c r="T210" s="35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370"/>
      <c r="B211" s="370"/>
      <c r="C211" s="370"/>
      <c r="D211" s="370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1"/>
      <c r="P211" s="367" t="s">
        <v>40</v>
      </c>
      <c r="Q211" s="368"/>
      <c r="R211" s="368"/>
      <c r="S211" s="368"/>
      <c r="T211" s="368"/>
      <c r="U211" s="368"/>
      <c r="V211" s="369"/>
      <c r="W211" s="42" t="s">
        <v>39</v>
      </c>
      <c r="X211" s="43">
        <f>IFERROR(SUM(X209:X210),"0")</f>
        <v>0</v>
      </c>
      <c r="Y211" s="43">
        <f>IFERROR(SUM(Y209:Y210),"0")</f>
        <v>0</v>
      </c>
      <c r="Z211" s="43">
        <f>IFERROR(IF(Z209="",0,Z209),"0")+IFERROR(IF(Z210="",0,Z210),"0")</f>
        <v>0</v>
      </c>
      <c r="AA211" s="67"/>
      <c r="AB211" s="67"/>
      <c r="AC211" s="67"/>
    </row>
    <row r="212" spans="1:68" hidden="1" x14ac:dyDescent="0.2">
      <c r="A212" s="370"/>
      <c r="B212" s="370"/>
      <c r="C212" s="370"/>
      <c r="D212" s="370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1"/>
      <c r="P212" s="367" t="s">
        <v>40</v>
      </c>
      <c r="Q212" s="368"/>
      <c r="R212" s="368"/>
      <c r="S212" s="368"/>
      <c r="T212" s="368"/>
      <c r="U212" s="368"/>
      <c r="V212" s="369"/>
      <c r="W212" s="42" t="s">
        <v>0</v>
      </c>
      <c r="X212" s="43">
        <f>IFERROR(SUMPRODUCT(X209:X210*H209:H210),"0")</f>
        <v>0</v>
      </c>
      <c r="Y212" s="43">
        <f>IFERROR(SUMPRODUCT(Y209:Y210*H209:H210),"0")</f>
        <v>0</v>
      </c>
      <c r="Z212" s="42"/>
      <c r="AA212" s="67"/>
      <c r="AB212" s="67"/>
      <c r="AC212" s="67"/>
    </row>
    <row r="213" spans="1:68" ht="16.5" hidden="1" customHeight="1" x14ac:dyDescent="0.25">
      <c r="A213" s="354" t="s">
        <v>316</v>
      </c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65"/>
      <c r="AB213" s="65"/>
      <c r="AC213" s="82"/>
    </row>
    <row r="214" spans="1:68" ht="14.25" hidden="1" customHeight="1" x14ac:dyDescent="0.25">
      <c r="A214" s="355" t="s">
        <v>80</v>
      </c>
      <c r="B214" s="355"/>
      <c r="C214" s="355"/>
      <c r="D214" s="355"/>
      <c r="E214" s="355"/>
      <c r="F214" s="355"/>
      <c r="G214" s="355"/>
      <c r="H214" s="355"/>
      <c r="I214" s="355"/>
      <c r="J214" s="355"/>
      <c r="K214" s="355"/>
      <c r="L214" s="355"/>
      <c r="M214" s="355"/>
      <c r="N214" s="355"/>
      <c r="O214" s="355"/>
      <c r="P214" s="355"/>
      <c r="Q214" s="355"/>
      <c r="R214" s="355"/>
      <c r="S214" s="355"/>
      <c r="T214" s="355"/>
      <c r="U214" s="355"/>
      <c r="V214" s="355"/>
      <c r="W214" s="355"/>
      <c r="X214" s="355"/>
      <c r="Y214" s="355"/>
      <c r="Z214" s="355"/>
      <c r="AA214" s="66"/>
      <c r="AB214" s="66"/>
      <c r="AC214" s="83"/>
    </row>
    <row r="215" spans="1:68" ht="27" hidden="1" customHeight="1" x14ac:dyDescent="0.25">
      <c r="A215" s="63" t="s">
        <v>317</v>
      </c>
      <c r="B215" s="63" t="s">
        <v>318</v>
      </c>
      <c r="C215" s="36">
        <v>4301071097</v>
      </c>
      <c r="D215" s="356">
        <v>4620207491096</v>
      </c>
      <c r="E215" s="356"/>
      <c r="F215" s="62">
        <v>1</v>
      </c>
      <c r="G215" s="37">
        <v>5</v>
      </c>
      <c r="H215" s="62">
        <v>5</v>
      </c>
      <c r="I215" s="62">
        <v>5.23</v>
      </c>
      <c r="J215" s="37">
        <v>84</v>
      </c>
      <c r="K215" s="37" t="s">
        <v>85</v>
      </c>
      <c r="L215" s="37" t="s">
        <v>117</v>
      </c>
      <c r="M215" s="38" t="s">
        <v>84</v>
      </c>
      <c r="N215" s="38"/>
      <c r="O215" s="37">
        <v>180</v>
      </c>
      <c r="P215" s="43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358"/>
      <c r="R215" s="358"/>
      <c r="S215" s="358"/>
      <c r="T215" s="359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39" t="s">
        <v>319</v>
      </c>
      <c r="AG215" s="81"/>
      <c r="AJ215" s="87" t="s">
        <v>118</v>
      </c>
      <c r="AK215" s="87">
        <v>12</v>
      </c>
      <c r="BB215" s="240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370"/>
      <c r="B216" s="370"/>
      <c r="C216" s="370"/>
      <c r="D216" s="370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1"/>
      <c r="P216" s="367" t="s">
        <v>40</v>
      </c>
      <c r="Q216" s="368"/>
      <c r="R216" s="368"/>
      <c r="S216" s="368"/>
      <c r="T216" s="368"/>
      <c r="U216" s="368"/>
      <c r="V216" s="369"/>
      <c r="W216" s="42" t="s">
        <v>39</v>
      </c>
      <c r="X216" s="43">
        <f>IFERROR(SUM(X215:X215),"0")</f>
        <v>0</v>
      </c>
      <c r="Y216" s="43">
        <f>IFERROR(SUM(Y215:Y215),"0")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370"/>
      <c r="B217" s="370"/>
      <c r="C217" s="370"/>
      <c r="D217" s="370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1"/>
      <c r="P217" s="367" t="s">
        <v>40</v>
      </c>
      <c r="Q217" s="368"/>
      <c r="R217" s="368"/>
      <c r="S217" s="368"/>
      <c r="T217" s="368"/>
      <c r="U217" s="368"/>
      <c r="V217" s="369"/>
      <c r="W217" s="42" t="s">
        <v>0</v>
      </c>
      <c r="X217" s="43">
        <f>IFERROR(SUMPRODUCT(X215:X215*H215:H215),"0")</f>
        <v>0</v>
      </c>
      <c r="Y217" s="43">
        <f>IFERROR(SUMPRODUCT(Y215:Y215*H215:H215),"0")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54" t="s">
        <v>320</v>
      </c>
      <c r="B218" s="354"/>
      <c r="C218" s="354"/>
      <c r="D218" s="354"/>
      <c r="E218" s="354"/>
      <c r="F218" s="354"/>
      <c r="G218" s="354"/>
      <c r="H218" s="354"/>
      <c r="I218" s="354"/>
      <c r="J218" s="354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354"/>
      <c r="V218" s="354"/>
      <c r="W218" s="354"/>
      <c r="X218" s="354"/>
      <c r="Y218" s="354"/>
      <c r="Z218" s="354"/>
      <c r="AA218" s="65"/>
      <c r="AB218" s="65"/>
      <c r="AC218" s="82"/>
    </row>
    <row r="219" spans="1:68" ht="14.25" hidden="1" customHeight="1" x14ac:dyDescent="0.25">
      <c r="A219" s="355" t="s">
        <v>147</v>
      </c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5"/>
      <c r="P219" s="355"/>
      <c r="Q219" s="355"/>
      <c r="R219" s="355"/>
      <c r="S219" s="355"/>
      <c r="T219" s="355"/>
      <c r="U219" s="355"/>
      <c r="V219" s="355"/>
      <c r="W219" s="355"/>
      <c r="X219" s="355"/>
      <c r="Y219" s="355"/>
      <c r="Z219" s="355"/>
      <c r="AA219" s="66"/>
      <c r="AB219" s="66"/>
      <c r="AC219" s="83"/>
    </row>
    <row r="220" spans="1:68" ht="27" hidden="1" customHeight="1" x14ac:dyDescent="0.25">
      <c r="A220" s="63" t="s">
        <v>321</v>
      </c>
      <c r="B220" s="63" t="s">
        <v>322</v>
      </c>
      <c r="C220" s="36">
        <v>4301135694</v>
      </c>
      <c r="D220" s="356">
        <v>4620207490501</v>
      </c>
      <c r="E220" s="356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116</v>
      </c>
      <c r="L220" s="37" t="s">
        <v>86</v>
      </c>
      <c r="M220" s="38" t="s">
        <v>84</v>
      </c>
      <c r="N220" s="38"/>
      <c r="O220" s="37">
        <v>180</v>
      </c>
      <c r="P220" s="44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358"/>
      <c r="R220" s="358"/>
      <c r="S220" s="358"/>
      <c r="T220" s="359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1" t="s">
        <v>323</v>
      </c>
      <c r="AG220" s="81"/>
      <c r="AJ220" s="87" t="s">
        <v>87</v>
      </c>
      <c r="AK220" s="87">
        <v>1</v>
      </c>
      <c r="BB220" s="242" t="s">
        <v>115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370"/>
      <c r="B221" s="370"/>
      <c r="C221" s="370"/>
      <c r="D221" s="370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1"/>
      <c r="P221" s="367" t="s">
        <v>40</v>
      </c>
      <c r="Q221" s="368"/>
      <c r="R221" s="368"/>
      <c r="S221" s="368"/>
      <c r="T221" s="368"/>
      <c r="U221" s="368"/>
      <c r="V221" s="369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hidden="1" x14ac:dyDescent="0.2">
      <c r="A222" s="370"/>
      <c r="B222" s="370"/>
      <c r="C222" s="370"/>
      <c r="D222" s="370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1"/>
      <c r="P222" s="367" t="s">
        <v>40</v>
      </c>
      <c r="Q222" s="368"/>
      <c r="R222" s="368"/>
      <c r="S222" s="368"/>
      <c r="T222" s="368"/>
      <c r="U222" s="368"/>
      <c r="V222" s="369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hidden="1" customHeight="1" x14ac:dyDescent="0.2">
      <c r="A223" s="353" t="s">
        <v>324</v>
      </c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  <c r="AA223" s="54"/>
      <c r="AB223" s="54"/>
      <c r="AC223" s="54"/>
    </row>
    <row r="224" spans="1:68" ht="16.5" hidden="1" customHeight="1" x14ac:dyDescent="0.25">
      <c r="A224" s="354" t="s">
        <v>325</v>
      </c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65"/>
      <c r="AB224" s="65"/>
      <c r="AC224" s="82"/>
    </row>
    <row r="225" spans="1:68" ht="14.25" hidden="1" customHeight="1" x14ac:dyDescent="0.25">
      <c r="A225" s="355" t="s">
        <v>80</v>
      </c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5"/>
      <c r="P225" s="355"/>
      <c r="Q225" s="355"/>
      <c r="R225" s="355"/>
      <c r="S225" s="355"/>
      <c r="T225" s="355"/>
      <c r="U225" s="355"/>
      <c r="V225" s="355"/>
      <c r="W225" s="355"/>
      <c r="X225" s="355"/>
      <c r="Y225" s="355"/>
      <c r="Z225" s="355"/>
      <c r="AA225" s="66"/>
      <c r="AB225" s="66"/>
      <c r="AC225" s="83"/>
    </row>
    <row r="226" spans="1:68" ht="27" hidden="1" customHeight="1" x14ac:dyDescent="0.25">
      <c r="A226" s="63" t="s">
        <v>326</v>
      </c>
      <c r="B226" s="63" t="s">
        <v>327</v>
      </c>
      <c r="C226" s="36">
        <v>4301071036</v>
      </c>
      <c r="D226" s="356">
        <v>4607111036162</v>
      </c>
      <c r="E226" s="356"/>
      <c r="F226" s="62">
        <v>0.8</v>
      </c>
      <c r="G226" s="37">
        <v>8</v>
      </c>
      <c r="H226" s="62">
        <v>6.4</v>
      </c>
      <c r="I226" s="62">
        <v>6.6811999999999996</v>
      </c>
      <c r="J226" s="37">
        <v>84</v>
      </c>
      <c r="K226" s="37" t="s">
        <v>85</v>
      </c>
      <c r="L226" s="37" t="s">
        <v>86</v>
      </c>
      <c r="M226" s="38" t="s">
        <v>84</v>
      </c>
      <c r="N226" s="38"/>
      <c r="O226" s="37">
        <v>90</v>
      </c>
      <c r="P226" s="4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358"/>
      <c r="R226" s="358"/>
      <c r="S226" s="358"/>
      <c r="T226" s="359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43" t="s">
        <v>328</v>
      </c>
      <c r="AG226" s="81"/>
      <c r="AJ226" s="87" t="s">
        <v>87</v>
      </c>
      <c r="AK226" s="87">
        <v>1</v>
      </c>
      <c r="BB226" s="244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370"/>
      <c r="B227" s="370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1"/>
      <c r="P227" s="367" t="s">
        <v>40</v>
      </c>
      <c r="Q227" s="368"/>
      <c r="R227" s="368"/>
      <c r="S227" s="368"/>
      <c r="T227" s="368"/>
      <c r="U227" s="368"/>
      <c r="V227" s="369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370"/>
      <c r="B228" s="370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1"/>
      <c r="P228" s="367" t="s">
        <v>40</v>
      </c>
      <c r="Q228" s="368"/>
      <c r="R228" s="368"/>
      <c r="S228" s="368"/>
      <c r="T228" s="368"/>
      <c r="U228" s="368"/>
      <c r="V228" s="369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hidden="1" customHeight="1" x14ac:dyDescent="0.2">
      <c r="A229" s="353" t="s">
        <v>329</v>
      </c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  <c r="AA229" s="54"/>
      <c r="AB229" s="54"/>
      <c r="AC229" s="54"/>
    </row>
    <row r="230" spans="1:68" ht="16.5" hidden="1" customHeight="1" x14ac:dyDescent="0.25">
      <c r="A230" s="354" t="s">
        <v>330</v>
      </c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65"/>
      <c r="AB230" s="65"/>
      <c r="AC230" s="82"/>
    </row>
    <row r="231" spans="1:68" ht="14.25" hidden="1" customHeight="1" x14ac:dyDescent="0.25">
      <c r="A231" s="355" t="s">
        <v>331</v>
      </c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5"/>
      <c r="P231" s="355"/>
      <c r="Q231" s="355"/>
      <c r="R231" s="355"/>
      <c r="S231" s="355"/>
      <c r="T231" s="355"/>
      <c r="U231" s="355"/>
      <c r="V231" s="355"/>
      <c r="W231" s="355"/>
      <c r="X231" s="355"/>
      <c r="Y231" s="355"/>
      <c r="Z231" s="355"/>
      <c r="AA231" s="66"/>
      <c r="AB231" s="66"/>
      <c r="AC231" s="83"/>
    </row>
    <row r="232" spans="1:68" ht="27" hidden="1" customHeight="1" x14ac:dyDescent="0.25">
      <c r="A232" s="63" t="s">
        <v>332</v>
      </c>
      <c r="B232" s="63" t="s">
        <v>333</v>
      </c>
      <c r="C232" s="36">
        <v>4301133004</v>
      </c>
      <c r="D232" s="356">
        <v>4607111039774</v>
      </c>
      <c r="E232" s="356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116</v>
      </c>
      <c r="L232" s="37" t="s">
        <v>86</v>
      </c>
      <c r="M232" s="38" t="s">
        <v>84</v>
      </c>
      <c r="N232" s="38"/>
      <c r="O232" s="37">
        <v>180</v>
      </c>
      <c r="P232" s="44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8"/>
      <c r="R232" s="358"/>
      <c r="S232" s="358"/>
      <c r="T232" s="359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45" t="s">
        <v>334</v>
      </c>
      <c r="AG232" s="81"/>
      <c r="AJ232" s="87" t="s">
        <v>87</v>
      </c>
      <c r="AK232" s="87">
        <v>1</v>
      </c>
      <c r="BB232" s="246" t="s">
        <v>115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370"/>
      <c r="B233" s="370"/>
      <c r="C233" s="370"/>
      <c r="D233" s="370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1"/>
      <c r="P233" s="367" t="s">
        <v>40</v>
      </c>
      <c r="Q233" s="368"/>
      <c r="R233" s="368"/>
      <c r="S233" s="368"/>
      <c r="T233" s="368"/>
      <c r="U233" s="368"/>
      <c r="V233" s="369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hidden="1" x14ac:dyDescent="0.2">
      <c r="A234" s="370"/>
      <c r="B234" s="370"/>
      <c r="C234" s="370"/>
      <c r="D234" s="370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1"/>
      <c r="P234" s="367" t="s">
        <v>40</v>
      </c>
      <c r="Q234" s="368"/>
      <c r="R234" s="368"/>
      <c r="S234" s="368"/>
      <c r="T234" s="368"/>
      <c r="U234" s="368"/>
      <c r="V234" s="369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hidden="1" customHeight="1" x14ac:dyDescent="0.25">
      <c r="A235" s="355" t="s">
        <v>147</v>
      </c>
      <c r="B235" s="355"/>
      <c r="C235" s="355"/>
      <c r="D235" s="355"/>
      <c r="E235" s="355"/>
      <c r="F235" s="355"/>
      <c r="G235" s="355"/>
      <c r="H235" s="355"/>
      <c r="I235" s="355"/>
      <c r="J235" s="355"/>
      <c r="K235" s="355"/>
      <c r="L235" s="355"/>
      <c r="M235" s="355"/>
      <c r="N235" s="355"/>
      <c r="O235" s="355"/>
      <c r="P235" s="355"/>
      <c r="Q235" s="355"/>
      <c r="R235" s="355"/>
      <c r="S235" s="355"/>
      <c r="T235" s="355"/>
      <c r="U235" s="355"/>
      <c r="V235" s="355"/>
      <c r="W235" s="355"/>
      <c r="X235" s="355"/>
      <c r="Y235" s="355"/>
      <c r="Z235" s="355"/>
      <c r="AA235" s="66"/>
      <c r="AB235" s="66"/>
      <c r="AC235" s="83"/>
    </row>
    <row r="236" spans="1:68" ht="37.5" hidden="1" customHeight="1" x14ac:dyDescent="0.25">
      <c r="A236" s="63" t="s">
        <v>335</v>
      </c>
      <c r="B236" s="63" t="s">
        <v>336</v>
      </c>
      <c r="C236" s="36">
        <v>4301135400</v>
      </c>
      <c r="D236" s="356">
        <v>4607111039361</v>
      </c>
      <c r="E236" s="356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116</v>
      </c>
      <c r="L236" s="37" t="s">
        <v>86</v>
      </c>
      <c r="M236" s="38" t="s">
        <v>84</v>
      </c>
      <c r="N236" s="38"/>
      <c r="O236" s="37">
        <v>180</v>
      </c>
      <c r="P236" s="44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8"/>
      <c r="R236" s="358"/>
      <c r="S236" s="358"/>
      <c r="T236" s="359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334</v>
      </c>
      <c r="AG236" s="81"/>
      <c r="AJ236" s="87" t="s">
        <v>87</v>
      </c>
      <c r="AK236" s="87">
        <v>1</v>
      </c>
      <c r="BB236" s="248" t="s">
        <v>115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370"/>
      <c r="B237" s="370"/>
      <c r="C237" s="370"/>
      <c r="D237" s="370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1"/>
      <c r="P237" s="367" t="s">
        <v>40</v>
      </c>
      <c r="Q237" s="368"/>
      <c r="R237" s="368"/>
      <c r="S237" s="368"/>
      <c r="T237" s="368"/>
      <c r="U237" s="368"/>
      <c r="V237" s="369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1"/>
      <c r="P238" s="367" t="s">
        <v>40</v>
      </c>
      <c r="Q238" s="368"/>
      <c r="R238" s="368"/>
      <c r="S238" s="368"/>
      <c r="T238" s="368"/>
      <c r="U238" s="368"/>
      <c r="V238" s="369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hidden="1" customHeight="1" x14ac:dyDescent="0.2">
      <c r="A239" s="353" t="s">
        <v>337</v>
      </c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  <c r="AA239" s="54"/>
      <c r="AB239" s="54"/>
      <c r="AC239" s="54"/>
    </row>
    <row r="240" spans="1:68" ht="16.5" hidden="1" customHeight="1" x14ac:dyDescent="0.25">
      <c r="A240" s="354" t="s">
        <v>337</v>
      </c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65"/>
      <c r="AB240" s="65"/>
      <c r="AC240" s="82"/>
    </row>
    <row r="241" spans="1:68" ht="14.25" hidden="1" customHeight="1" x14ac:dyDescent="0.25">
      <c r="A241" s="355" t="s">
        <v>111</v>
      </c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5"/>
      <c r="P241" s="355"/>
      <c r="Q241" s="355"/>
      <c r="R241" s="355"/>
      <c r="S241" s="355"/>
      <c r="T241" s="355"/>
      <c r="U241" s="355"/>
      <c r="V241" s="355"/>
      <c r="W241" s="355"/>
      <c r="X241" s="355"/>
      <c r="Y241" s="355"/>
      <c r="Z241" s="355"/>
      <c r="AA241" s="66"/>
      <c r="AB241" s="66"/>
      <c r="AC241" s="83"/>
    </row>
    <row r="242" spans="1:68" ht="27" hidden="1" customHeight="1" x14ac:dyDescent="0.25">
      <c r="A242" s="63" t="s">
        <v>338</v>
      </c>
      <c r="B242" s="63" t="s">
        <v>339</v>
      </c>
      <c r="C242" s="36">
        <v>4301132228</v>
      </c>
      <c r="D242" s="356">
        <v>4640242181950</v>
      </c>
      <c r="E242" s="356"/>
      <c r="F242" s="62">
        <v>0.23</v>
      </c>
      <c r="G242" s="37">
        <v>12</v>
      </c>
      <c r="H242" s="62">
        <v>2.76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365</v>
      </c>
      <c r="P242" s="44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358"/>
      <c r="R242" s="358"/>
      <c r="S242" s="358"/>
      <c r="T242" s="359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340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370"/>
      <c r="B243" s="370"/>
      <c r="C243" s="370"/>
      <c r="D243" s="370"/>
      <c r="E243" s="370"/>
      <c r="F243" s="370"/>
      <c r="G243" s="370"/>
      <c r="H243" s="370"/>
      <c r="I243" s="370"/>
      <c r="J243" s="370"/>
      <c r="K243" s="370"/>
      <c r="L243" s="370"/>
      <c r="M243" s="370"/>
      <c r="N243" s="370"/>
      <c r="O243" s="371"/>
      <c r="P243" s="367" t="s">
        <v>40</v>
      </c>
      <c r="Q243" s="368"/>
      <c r="R243" s="368"/>
      <c r="S243" s="368"/>
      <c r="T243" s="368"/>
      <c r="U243" s="368"/>
      <c r="V243" s="369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370"/>
      <c r="B244" s="370"/>
      <c r="C244" s="370"/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1"/>
      <c r="P244" s="367" t="s">
        <v>40</v>
      </c>
      <c r="Q244" s="368"/>
      <c r="R244" s="368"/>
      <c r="S244" s="368"/>
      <c r="T244" s="368"/>
      <c r="U244" s="368"/>
      <c r="V244" s="369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hidden="1" customHeight="1" x14ac:dyDescent="0.25">
      <c r="A245" s="355" t="s">
        <v>143</v>
      </c>
      <c r="B245" s="355"/>
      <c r="C245" s="355"/>
      <c r="D245" s="355"/>
      <c r="E245" s="355"/>
      <c r="F245" s="355"/>
      <c r="G245" s="355"/>
      <c r="H245" s="355"/>
      <c r="I245" s="355"/>
      <c r="J245" s="355"/>
      <c r="K245" s="355"/>
      <c r="L245" s="355"/>
      <c r="M245" s="355"/>
      <c r="N245" s="355"/>
      <c r="O245" s="355"/>
      <c r="P245" s="355"/>
      <c r="Q245" s="355"/>
      <c r="R245" s="355"/>
      <c r="S245" s="355"/>
      <c r="T245" s="355"/>
      <c r="U245" s="355"/>
      <c r="V245" s="355"/>
      <c r="W245" s="355"/>
      <c r="X245" s="355"/>
      <c r="Y245" s="355"/>
      <c r="Z245" s="355"/>
      <c r="AA245" s="66"/>
      <c r="AB245" s="66"/>
      <c r="AC245" s="83"/>
    </row>
    <row r="246" spans="1:68" ht="27" hidden="1" customHeight="1" x14ac:dyDescent="0.25">
      <c r="A246" s="63" t="s">
        <v>341</v>
      </c>
      <c r="B246" s="63" t="s">
        <v>342</v>
      </c>
      <c r="C246" s="36">
        <v>4301136098</v>
      </c>
      <c r="D246" s="356">
        <v>4640242181943</v>
      </c>
      <c r="E246" s="356"/>
      <c r="F246" s="62">
        <v>0.09</v>
      </c>
      <c r="G246" s="37">
        <v>24</v>
      </c>
      <c r="H246" s="62">
        <v>2.16</v>
      </c>
      <c r="I246" s="62">
        <v>2.34</v>
      </c>
      <c r="J246" s="37">
        <v>126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44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358"/>
      <c r="R246" s="358"/>
      <c r="S246" s="358"/>
      <c r="T246" s="359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IFERROR(IF(X246="","",X246*0.00936),"")</f>
        <v>0</v>
      </c>
      <c r="AA246" s="68" t="s">
        <v>46</v>
      </c>
      <c r="AB246" s="69" t="s">
        <v>46</v>
      </c>
      <c r="AC246" s="251" t="s">
        <v>343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370"/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1"/>
      <c r="P247" s="367" t="s">
        <v>40</v>
      </c>
      <c r="Q247" s="368"/>
      <c r="R247" s="368"/>
      <c r="S247" s="368"/>
      <c r="T247" s="368"/>
      <c r="U247" s="368"/>
      <c r="V247" s="369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370"/>
      <c r="B248" s="370"/>
      <c r="C248" s="370"/>
      <c r="D248" s="370"/>
      <c r="E248" s="370"/>
      <c r="F248" s="370"/>
      <c r="G248" s="370"/>
      <c r="H248" s="370"/>
      <c r="I248" s="370"/>
      <c r="J248" s="370"/>
      <c r="K248" s="370"/>
      <c r="L248" s="370"/>
      <c r="M248" s="370"/>
      <c r="N248" s="370"/>
      <c r="O248" s="371"/>
      <c r="P248" s="367" t="s">
        <v>40</v>
      </c>
      <c r="Q248" s="368"/>
      <c r="R248" s="368"/>
      <c r="S248" s="368"/>
      <c r="T248" s="368"/>
      <c r="U248" s="368"/>
      <c r="V248" s="369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hidden="1" customHeight="1" x14ac:dyDescent="0.2">
      <c r="A249" s="353" t="s">
        <v>344</v>
      </c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  <c r="AA249" s="54"/>
      <c r="AB249" s="54"/>
      <c r="AC249" s="54"/>
    </row>
    <row r="250" spans="1:68" ht="16.5" hidden="1" customHeight="1" x14ac:dyDescent="0.25">
      <c r="A250" s="354" t="s">
        <v>344</v>
      </c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  <c r="AA250" s="65"/>
      <c r="AB250" s="65"/>
      <c r="AC250" s="82"/>
    </row>
    <row r="251" spans="1:68" ht="14.25" hidden="1" customHeight="1" x14ac:dyDescent="0.25">
      <c r="A251" s="355" t="s">
        <v>80</v>
      </c>
      <c r="B251" s="355"/>
      <c r="C251" s="355"/>
      <c r="D251" s="355"/>
      <c r="E251" s="355"/>
      <c r="F251" s="355"/>
      <c r="G251" s="355"/>
      <c r="H251" s="355"/>
      <c r="I251" s="355"/>
      <c r="J251" s="355"/>
      <c r="K251" s="355"/>
      <c r="L251" s="355"/>
      <c r="M251" s="355"/>
      <c r="N251" s="355"/>
      <c r="O251" s="355"/>
      <c r="P251" s="355"/>
      <c r="Q251" s="355"/>
      <c r="R251" s="355"/>
      <c r="S251" s="355"/>
      <c r="T251" s="355"/>
      <c r="U251" s="355"/>
      <c r="V251" s="355"/>
      <c r="W251" s="355"/>
      <c r="X251" s="355"/>
      <c r="Y251" s="355"/>
      <c r="Z251" s="355"/>
      <c r="AA251" s="66"/>
      <c r="AB251" s="66"/>
      <c r="AC251" s="83"/>
    </row>
    <row r="252" spans="1:68" ht="27" hidden="1" customHeight="1" x14ac:dyDescent="0.25">
      <c r="A252" s="63" t="s">
        <v>345</v>
      </c>
      <c r="B252" s="63" t="s">
        <v>346</v>
      </c>
      <c r="C252" s="36">
        <v>4301071014</v>
      </c>
      <c r="D252" s="356">
        <v>4640242181264</v>
      </c>
      <c r="E252" s="356"/>
      <c r="F252" s="62">
        <v>0.7</v>
      </c>
      <c r="G252" s="37">
        <v>10</v>
      </c>
      <c r="H252" s="62">
        <v>7</v>
      </c>
      <c r="I252" s="62">
        <v>7.28</v>
      </c>
      <c r="J252" s="37">
        <v>84</v>
      </c>
      <c r="K252" s="37" t="s">
        <v>85</v>
      </c>
      <c r="L252" s="37" t="s">
        <v>86</v>
      </c>
      <c r="M252" s="38" t="s">
        <v>84</v>
      </c>
      <c r="N252" s="38"/>
      <c r="O252" s="37">
        <v>180</v>
      </c>
      <c r="P252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358"/>
      <c r="R252" s="358"/>
      <c r="S252" s="358"/>
      <c r="T252" s="359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3" t="s">
        <v>347</v>
      </c>
      <c r="AG252" s="81"/>
      <c r="AJ252" s="87" t="s">
        <v>87</v>
      </c>
      <c r="AK252" s="87">
        <v>1</v>
      </c>
      <c r="BB252" s="254" t="s">
        <v>70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hidden="1" customHeight="1" x14ac:dyDescent="0.25">
      <c r="A253" s="63" t="s">
        <v>348</v>
      </c>
      <c r="B253" s="63" t="s">
        <v>349</v>
      </c>
      <c r="C253" s="36">
        <v>4301071141</v>
      </c>
      <c r="D253" s="356">
        <v>4620207491980</v>
      </c>
      <c r="E253" s="356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4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358"/>
      <c r="R253" s="358"/>
      <c r="S253" s="358"/>
      <c r="T253" s="35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70"/>
      <c r="B254" s="370"/>
      <c r="C254" s="370"/>
      <c r="D254" s="370"/>
      <c r="E254" s="370"/>
      <c r="F254" s="370"/>
      <c r="G254" s="370"/>
      <c r="H254" s="370"/>
      <c r="I254" s="370"/>
      <c r="J254" s="370"/>
      <c r="K254" s="370"/>
      <c r="L254" s="370"/>
      <c r="M254" s="370"/>
      <c r="N254" s="370"/>
      <c r="O254" s="371"/>
      <c r="P254" s="367" t="s">
        <v>40</v>
      </c>
      <c r="Q254" s="368"/>
      <c r="R254" s="368"/>
      <c r="S254" s="368"/>
      <c r="T254" s="368"/>
      <c r="U254" s="368"/>
      <c r="V254" s="369"/>
      <c r="W254" s="42" t="s">
        <v>39</v>
      </c>
      <c r="X254" s="43">
        <f>IFERROR(SUM(X252:X253),"0")</f>
        <v>0</v>
      </c>
      <c r="Y254" s="43">
        <f>IFERROR(SUM(Y252:Y253),"0")</f>
        <v>0</v>
      </c>
      <c r="Z254" s="43">
        <f>IFERROR(IF(Z252="",0,Z252),"0")+IFERROR(IF(Z253="",0,Z253),"0")</f>
        <v>0</v>
      </c>
      <c r="AA254" s="67"/>
      <c r="AB254" s="67"/>
      <c r="AC254" s="67"/>
    </row>
    <row r="255" spans="1:68" hidden="1" x14ac:dyDescent="0.2">
      <c r="A255" s="370"/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1"/>
      <c r="P255" s="367" t="s">
        <v>40</v>
      </c>
      <c r="Q255" s="368"/>
      <c r="R255" s="368"/>
      <c r="S255" s="368"/>
      <c r="T255" s="368"/>
      <c r="U255" s="368"/>
      <c r="V255" s="369"/>
      <c r="W255" s="42" t="s">
        <v>0</v>
      </c>
      <c r="X255" s="43">
        <f>IFERROR(SUMPRODUCT(X252:X253*H252:H253),"0")</f>
        <v>0</v>
      </c>
      <c r="Y255" s="43">
        <f>IFERROR(SUMPRODUCT(Y252:Y253*H252:H253),"0")</f>
        <v>0</v>
      </c>
      <c r="Z255" s="42"/>
      <c r="AA255" s="67"/>
      <c r="AB255" s="67"/>
      <c r="AC255" s="67"/>
    </row>
    <row r="256" spans="1:68" ht="14.25" hidden="1" customHeight="1" x14ac:dyDescent="0.25">
      <c r="A256" s="355" t="s">
        <v>111</v>
      </c>
      <c r="B256" s="355"/>
      <c r="C256" s="355"/>
      <c r="D256" s="355"/>
      <c r="E256" s="355"/>
      <c r="F256" s="355"/>
      <c r="G256" s="355"/>
      <c r="H256" s="355"/>
      <c r="I256" s="355"/>
      <c r="J256" s="355"/>
      <c r="K256" s="355"/>
      <c r="L256" s="355"/>
      <c r="M256" s="355"/>
      <c r="N256" s="355"/>
      <c r="O256" s="355"/>
      <c r="P256" s="355"/>
      <c r="Q256" s="355"/>
      <c r="R256" s="355"/>
      <c r="S256" s="355"/>
      <c r="T256" s="355"/>
      <c r="U256" s="355"/>
      <c r="V256" s="355"/>
      <c r="W256" s="355"/>
      <c r="X256" s="355"/>
      <c r="Y256" s="355"/>
      <c r="Z256" s="355"/>
      <c r="AA256" s="66"/>
      <c r="AB256" s="66"/>
      <c r="AC256" s="83"/>
    </row>
    <row r="257" spans="1:68" ht="27" customHeight="1" x14ac:dyDescent="0.25">
      <c r="A257" s="63" t="s">
        <v>351</v>
      </c>
      <c r="B257" s="63" t="s">
        <v>352</v>
      </c>
      <c r="C257" s="36">
        <v>4301132080</v>
      </c>
      <c r="D257" s="356">
        <v>4640242180397</v>
      </c>
      <c r="E257" s="356"/>
      <c r="F257" s="62">
        <v>1</v>
      </c>
      <c r="G257" s="37">
        <v>6</v>
      </c>
      <c r="H257" s="62">
        <v>6</v>
      </c>
      <c r="I257" s="62">
        <v>6.26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358"/>
      <c r="R257" s="358"/>
      <c r="S257" s="358"/>
      <c r="T257" s="359"/>
      <c r="U257" s="39" t="s">
        <v>46</v>
      </c>
      <c r="V257" s="39" t="s">
        <v>46</v>
      </c>
      <c r="W257" s="40" t="s">
        <v>39</v>
      </c>
      <c r="X257" s="58">
        <v>192</v>
      </c>
      <c r="Y257" s="55">
        <f>IFERROR(IF(X257="","",X257),"")</f>
        <v>192</v>
      </c>
      <c r="Z257" s="41">
        <f>IFERROR(IF(X257="","",X257*0.0155),"")</f>
        <v>2.976</v>
      </c>
      <c r="AA257" s="68" t="s">
        <v>46</v>
      </c>
      <c r="AB257" s="69" t="s">
        <v>46</v>
      </c>
      <c r="AC257" s="257" t="s">
        <v>353</v>
      </c>
      <c r="AG257" s="81"/>
      <c r="AJ257" s="87" t="s">
        <v>118</v>
      </c>
      <c r="AK257" s="87">
        <v>12</v>
      </c>
      <c r="BB257" s="258" t="s">
        <v>115</v>
      </c>
      <c r="BM257" s="81">
        <f>IFERROR(X257*I257,"0")</f>
        <v>1201.92</v>
      </c>
      <c r="BN257" s="81">
        <f>IFERROR(Y257*I257,"0")</f>
        <v>1201.92</v>
      </c>
      <c r="BO257" s="81">
        <f>IFERROR(X257/J257,"0")</f>
        <v>2.2857142857142856</v>
      </c>
      <c r="BP257" s="81">
        <f>IFERROR(Y257/J257,"0")</f>
        <v>2.2857142857142856</v>
      </c>
    </row>
    <row r="258" spans="1:68" x14ac:dyDescent="0.2">
      <c r="A258" s="370"/>
      <c r="B258" s="370"/>
      <c r="C258" s="370"/>
      <c r="D258" s="370"/>
      <c r="E258" s="370"/>
      <c r="F258" s="370"/>
      <c r="G258" s="370"/>
      <c r="H258" s="370"/>
      <c r="I258" s="370"/>
      <c r="J258" s="370"/>
      <c r="K258" s="370"/>
      <c r="L258" s="370"/>
      <c r="M258" s="370"/>
      <c r="N258" s="370"/>
      <c r="O258" s="371"/>
      <c r="P258" s="367" t="s">
        <v>40</v>
      </c>
      <c r="Q258" s="368"/>
      <c r="R258" s="368"/>
      <c r="S258" s="368"/>
      <c r="T258" s="368"/>
      <c r="U258" s="368"/>
      <c r="V258" s="369"/>
      <c r="W258" s="42" t="s">
        <v>39</v>
      </c>
      <c r="X258" s="43">
        <f>IFERROR(SUM(X257:X257),"0")</f>
        <v>192</v>
      </c>
      <c r="Y258" s="43">
        <f>IFERROR(SUM(Y257:Y257),"0")</f>
        <v>192</v>
      </c>
      <c r="Z258" s="43">
        <f>IFERROR(IF(Z257="",0,Z257),"0")</f>
        <v>2.976</v>
      </c>
      <c r="AA258" s="67"/>
      <c r="AB258" s="67"/>
      <c r="AC258" s="67"/>
    </row>
    <row r="259" spans="1:68" x14ac:dyDescent="0.2">
      <c r="A259" s="370"/>
      <c r="B259" s="370"/>
      <c r="C259" s="370"/>
      <c r="D259" s="370"/>
      <c r="E259" s="370"/>
      <c r="F259" s="370"/>
      <c r="G259" s="370"/>
      <c r="H259" s="370"/>
      <c r="I259" s="370"/>
      <c r="J259" s="370"/>
      <c r="K259" s="370"/>
      <c r="L259" s="370"/>
      <c r="M259" s="370"/>
      <c r="N259" s="370"/>
      <c r="O259" s="371"/>
      <c r="P259" s="367" t="s">
        <v>40</v>
      </c>
      <c r="Q259" s="368"/>
      <c r="R259" s="368"/>
      <c r="S259" s="368"/>
      <c r="T259" s="368"/>
      <c r="U259" s="368"/>
      <c r="V259" s="369"/>
      <c r="W259" s="42" t="s">
        <v>0</v>
      </c>
      <c r="X259" s="43">
        <f>IFERROR(SUMPRODUCT(X257:X257*H257:H257),"0")</f>
        <v>1152</v>
      </c>
      <c r="Y259" s="43">
        <f>IFERROR(SUMPRODUCT(Y257:Y257*H257:H257),"0")</f>
        <v>1152</v>
      </c>
      <c r="Z259" s="42"/>
      <c r="AA259" s="67"/>
      <c r="AB259" s="67"/>
      <c r="AC259" s="67"/>
    </row>
    <row r="260" spans="1:68" ht="14.25" hidden="1" customHeight="1" x14ac:dyDescent="0.25">
      <c r="A260" s="355" t="s">
        <v>143</v>
      </c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5"/>
      <c r="P260" s="355"/>
      <c r="Q260" s="355"/>
      <c r="R260" s="355"/>
      <c r="S260" s="355"/>
      <c r="T260" s="355"/>
      <c r="U260" s="355"/>
      <c r="V260" s="355"/>
      <c r="W260" s="355"/>
      <c r="X260" s="355"/>
      <c r="Y260" s="355"/>
      <c r="Z260" s="355"/>
      <c r="AA260" s="66"/>
      <c r="AB260" s="66"/>
      <c r="AC260" s="83"/>
    </row>
    <row r="261" spans="1:68" ht="27" hidden="1" customHeight="1" x14ac:dyDescent="0.25">
      <c r="A261" s="63" t="s">
        <v>354</v>
      </c>
      <c r="B261" s="63" t="s">
        <v>355</v>
      </c>
      <c r="C261" s="36">
        <v>4301136051</v>
      </c>
      <c r="D261" s="356">
        <v>4640242180304</v>
      </c>
      <c r="E261" s="356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116</v>
      </c>
      <c r="L261" s="37" t="s">
        <v>117</v>
      </c>
      <c r="M261" s="38" t="s">
        <v>84</v>
      </c>
      <c r="N261" s="38"/>
      <c r="O261" s="37">
        <v>180</v>
      </c>
      <c r="P261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358"/>
      <c r="R261" s="358"/>
      <c r="S261" s="358"/>
      <c r="T261" s="359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356</v>
      </c>
      <c r="AG261" s="81"/>
      <c r="AJ261" s="87" t="s">
        <v>118</v>
      </c>
      <c r="AK261" s="87">
        <v>14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hidden="1" customHeight="1" x14ac:dyDescent="0.25">
      <c r="A262" s="63" t="s">
        <v>357</v>
      </c>
      <c r="B262" s="63" t="s">
        <v>358</v>
      </c>
      <c r="C262" s="36">
        <v>4301136053</v>
      </c>
      <c r="D262" s="356">
        <v>4640242180236</v>
      </c>
      <c r="E262" s="356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117</v>
      </c>
      <c r="M262" s="38" t="s">
        <v>84</v>
      </c>
      <c r="N262" s="38"/>
      <c r="O262" s="37">
        <v>180</v>
      </c>
      <c r="P262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358"/>
      <c r="R262" s="358"/>
      <c r="S262" s="358"/>
      <c r="T262" s="35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356</v>
      </c>
      <c r="AG262" s="81"/>
      <c r="AJ262" s="87" t="s">
        <v>118</v>
      </c>
      <c r="AK262" s="87">
        <v>12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359</v>
      </c>
      <c r="B263" s="63" t="s">
        <v>360</v>
      </c>
      <c r="C263" s="36">
        <v>4301136052</v>
      </c>
      <c r="D263" s="356">
        <v>4640242180410</v>
      </c>
      <c r="E263" s="356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116</v>
      </c>
      <c r="L263" s="37" t="s">
        <v>86</v>
      </c>
      <c r="M263" s="38" t="s">
        <v>84</v>
      </c>
      <c r="N263" s="38"/>
      <c r="O263" s="37">
        <v>180</v>
      </c>
      <c r="P263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358"/>
      <c r="R263" s="358"/>
      <c r="S263" s="358"/>
      <c r="T263" s="359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356</v>
      </c>
      <c r="AG263" s="81"/>
      <c r="AJ263" s="87" t="s">
        <v>87</v>
      </c>
      <c r="AK263" s="87">
        <v>1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370"/>
      <c r="B264" s="370"/>
      <c r="C264" s="370"/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1"/>
      <c r="P264" s="367" t="s">
        <v>40</v>
      </c>
      <c r="Q264" s="368"/>
      <c r="R264" s="368"/>
      <c r="S264" s="368"/>
      <c r="T264" s="368"/>
      <c r="U264" s="368"/>
      <c r="V264" s="369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hidden="1" x14ac:dyDescent="0.2">
      <c r="A265" s="370"/>
      <c r="B265" s="370"/>
      <c r="C265" s="370"/>
      <c r="D265" s="370"/>
      <c r="E265" s="370"/>
      <c r="F265" s="370"/>
      <c r="G265" s="370"/>
      <c r="H265" s="370"/>
      <c r="I265" s="370"/>
      <c r="J265" s="370"/>
      <c r="K265" s="370"/>
      <c r="L265" s="370"/>
      <c r="M265" s="370"/>
      <c r="N265" s="370"/>
      <c r="O265" s="371"/>
      <c r="P265" s="367" t="s">
        <v>40</v>
      </c>
      <c r="Q265" s="368"/>
      <c r="R265" s="368"/>
      <c r="S265" s="368"/>
      <c r="T265" s="368"/>
      <c r="U265" s="368"/>
      <c r="V265" s="369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55" t="s">
        <v>147</v>
      </c>
      <c r="B266" s="355"/>
      <c r="C266" s="355"/>
      <c r="D266" s="355"/>
      <c r="E266" s="355"/>
      <c r="F266" s="355"/>
      <c r="G266" s="355"/>
      <c r="H266" s="355"/>
      <c r="I266" s="355"/>
      <c r="J266" s="355"/>
      <c r="K266" s="355"/>
      <c r="L266" s="355"/>
      <c r="M266" s="355"/>
      <c r="N266" s="355"/>
      <c r="O266" s="355"/>
      <c r="P266" s="355"/>
      <c r="Q266" s="355"/>
      <c r="R266" s="355"/>
      <c r="S266" s="355"/>
      <c r="T266" s="355"/>
      <c r="U266" s="355"/>
      <c r="V266" s="355"/>
      <c r="W266" s="355"/>
      <c r="X266" s="355"/>
      <c r="Y266" s="355"/>
      <c r="Z266" s="355"/>
      <c r="AA266" s="66"/>
      <c r="AB266" s="66"/>
      <c r="AC266" s="83"/>
    </row>
    <row r="267" spans="1:68" ht="37.5" hidden="1" customHeight="1" x14ac:dyDescent="0.25">
      <c r="A267" s="63" t="s">
        <v>361</v>
      </c>
      <c r="B267" s="63" t="s">
        <v>362</v>
      </c>
      <c r="C267" s="36">
        <v>4301135504</v>
      </c>
      <c r="D267" s="356">
        <v>4640242181554</v>
      </c>
      <c r="E267" s="356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363</v>
      </c>
      <c r="AG267" s="81"/>
      <c r="AJ267" s="87" t="s">
        <v>118</v>
      </c>
      <c r="AK267" s="87">
        <v>14</v>
      </c>
      <c r="BB267" s="266" t="s">
        <v>115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27" customHeight="1" x14ac:dyDescent="0.25">
      <c r="A268" s="63" t="s">
        <v>364</v>
      </c>
      <c r="B268" s="63" t="s">
        <v>365</v>
      </c>
      <c r="C268" s="36">
        <v>4301137046</v>
      </c>
      <c r="D268" s="356">
        <v>4620207492093</v>
      </c>
      <c r="E268" s="356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86</v>
      </c>
      <c r="M268" s="38" t="s">
        <v>84</v>
      </c>
      <c r="N268" s="38"/>
      <c r="O268" s="37">
        <v>180</v>
      </c>
      <c r="P268" s="453" t="s">
        <v>366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224</v>
      </c>
      <c r="Y268" s="55">
        <f t="shared" si="18"/>
        <v>224</v>
      </c>
      <c r="Z268" s="41">
        <f>IFERROR(IF(X268="","",X268*0.00936),"")</f>
        <v>2.0966399999999998</v>
      </c>
      <c r="AA268" s="68" t="s">
        <v>46</v>
      </c>
      <c r="AB268" s="69" t="s">
        <v>46</v>
      </c>
      <c r="AC268" s="267" t="s">
        <v>367</v>
      </c>
      <c r="AG268" s="81"/>
      <c r="AJ268" s="87" t="s">
        <v>87</v>
      </c>
      <c r="AK268" s="87">
        <v>1</v>
      </c>
      <c r="BB268" s="268" t="s">
        <v>115</v>
      </c>
      <c r="BM268" s="81">
        <f t="shared" si="19"/>
        <v>871.80799999999999</v>
      </c>
      <c r="BN268" s="81">
        <f t="shared" si="20"/>
        <v>871.80799999999999</v>
      </c>
      <c r="BO268" s="81">
        <f t="shared" si="21"/>
        <v>1.7777777777777777</v>
      </c>
      <c r="BP268" s="81">
        <f t="shared" si="22"/>
        <v>1.7777777777777777</v>
      </c>
    </row>
    <row r="269" spans="1:68" ht="27" customHeight="1" x14ac:dyDescent="0.25">
      <c r="A269" s="63" t="s">
        <v>368</v>
      </c>
      <c r="B269" s="63" t="s">
        <v>369</v>
      </c>
      <c r="C269" s="36">
        <v>4301135374</v>
      </c>
      <c r="D269" s="356">
        <v>4640242181424</v>
      </c>
      <c r="E269" s="356"/>
      <c r="F269" s="62">
        <v>5.5</v>
      </c>
      <c r="G269" s="37">
        <v>1</v>
      </c>
      <c r="H269" s="62">
        <v>5.5</v>
      </c>
      <c r="I269" s="62">
        <v>5.7350000000000003</v>
      </c>
      <c r="J269" s="37">
        <v>84</v>
      </c>
      <c r="K269" s="37" t="s">
        <v>85</v>
      </c>
      <c r="L269" s="37" t="s">
        <v>117</v>
      </c>
      <c r="M269" s="38" t="s">
        <v>84</v>
      </c>
      <c r="N269" s="38"/>
      <c r="O269" s="37">
        <v>180</v>
      </c>
      <c r="P269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84</v>
      </c>
      <c r="Y269" s="55">
        <f t="shared" si="18"/>
        <v>84</v>
      </c>
      <c r="Z269" s="41">
        <f>IFERROR(IF(X269="","",X269*0.0155),"")</f>
        <v>1.302</v>
      </c>
      <c r="AA269" s="68" t="s">
        <v>46</v>
      </c>
      <c r="AB269" s="69" t="s">
        <v>46</v>
      </c>
      <c r="AC269" s="269" t="s">
        <v>363</v>
      </c>
      <c r="AG269" s="81"/>
      <c r="AJ269" s="87" t="s">
        <v>118</v>
      </c>
      <c r="AK269" s="87">
        <v>12</v>
      </c>
      <c r="BB269" s="270" t="s">
        <v>115</v>
      </c>
      <c r="BM269" s="81">
        <f t="shared" si="19"/>
        <v>481.74</v>
      </c>
      <c r="BN269" s="81">
        <f t="shared" si="20"/>
        <v>481.74</v>
      </c>
      <c r="BO269" s="81">
        <f t="shared" si="21"/>
        <v>1</v>
      </c>
      <c r="BP269" s="81">
        <f t="shared" si="22"/>
        <v>1</v>
      </c>
    </row>
    <row r="270" spans="1:68" ht="27" customHeight="1" x14ac:dyDescent="0.25">
      <c r="A270" s="63" t="s">
        <v>370</v>
      </c>
      <c r="B270" s="63" t="s">
        <v>371</v>
      </c>
      <c r="C270" s="36">
        <v>4301135405</v>
      </c>
      <c r="D270" s="356">
        <v>4640242181523</v>
      </c>
      <c r="E270" s="356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116</v>
      </c>
      <c r="L270" s="37" t="s">
        <v>117</v>
      </c>
      <c r="M270" s="38" t="s">
        <v>84</v>
      </c>
      <c r="N270" s="38"/>
      <c r="O270" s="37">
        <v>180</v>
      </c>
      <c r="P270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126</v>
      </c>
      <c r="Y270" s="55">
        <f t="shared" si="18"/>
        <v>126</v>
      </c>
      <c r="Z270" s="41">
        <f t="shared" ref="Z270:Z276" si="23">IFERROR(IF(X270="","",X270*0.00936),"")</f>
        <v>1.17936</v>
      </c>
      <c r="AA270" s="68" t="s">
        <v>46</v>
      </c>
      <c r="AB270" s="69" t="s">
        <v>46</v>
      </c>
      <c r="AC270" s="271" t="s">
        <v>372</v>
      </c>
      <c r="AG270" s="81"/>
      <c r="AJ270" s="87" t="s">
        <v>118</v>
      </c>
      <c r="AK270" s="87">
        <v>14</v>
      </c>
      <c r="BB270" s="272" t="s">
        <v>115</v>
      </c>
      <c r="BM270" s="81">
        <f t="shared" si="19"/>
        <v>402.19200000000001</v>
      </c>
      <c r="BN270" s="81">
        <f t="shared" si="20"/>
        <v>402.19200000000001</v>
      </c>
      <c r="BO270" s="81">
        <f t="shared" si="21"/>
        <v>1</v>
      </c>
      <c r="BP270" s="81">
        <f t="shared" si="22"/>
        <v>1</v>
      </c>
    </row>
    <row r="271" spans="1:68" ht="27" customHeight="1" x14ac:dyDescent="0.25">
      <c r="A271" s="63" t="s">
        <v>373</v>
      </c>
      <c r="B271" s="63" t="s">
        <v>374</v>
      </c>
      <c r="C271" s="36">
        <v>4301135375</v>
      </c>
      <c r="D271" s="356">
        <v>4640242181486</v>
      </c>
      <c r="E271" s="356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420</v>
      </c>
      <c r="Y271" s="55">
        <f t="shared" si="18"/>
        <v>420</v>
      </c>
      <c r="Z271" s="41">
        <f t="shared" si="23"/>
        <v>3.9312</v>
      </c>
      <c r="AA271" s="68" t="s">
        <v>46</v>
      </c>
      <c r="AB271" s="69" t="s">
        <v>46</v>
      </c>
      <c r="AC271" s="273" t="s">
        <v>363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1634.6399999999999</v>
      </c>
      <c r="BN271" s="81">
        <f t="shared" si="20"/>
        <v>1634.6399999999999</v>
      </c>
      <c r="BO271" s="81">
        <f t="shared" si="21"/>
        <v>3.3333333333333335</v>
      </c>
      <c r="BP271" s="81">
        <f t="shared" si="22"/>
        <v>3.3333333333333335</v>
      </c>
    </row>
    <row r="272" spans="1:68" ht="37.5" hidden="1" customHeight="1" x14ac:dyDescent="0.25">
      <c r="A272" s="63" t="s">
        <v>375</v>
      </c>
      <c r="B272" s="63" t="s">
        <v>376</v>
      </c>
      <c r="C272" s="36">
        <v>4301135402</v>
      </c>
      <c r="D272" s="356">
        <v>4640242181493</v>
      </c>
      <c r="E272" s="35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/>
      <c r="Y272" s="55" t="str">
        <f t="shared" si="18"/>
        <v/>
      </c>
      <c r="Z272" s="41" t="str">
        <f t="shared" si="23"/>
        <v/>
      </c>
      <c r="AA272" s="68" t="s">
        <v>46</v>
      </c>
      <c r="AB272" s="69" t="s">
        <v>46</v>
      </c>
      <c r="AC272" s="275" t="s">
        <v>363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 t="str">
        <f t="shared" si="20"/>
        <v>0</v>
      </c>
      <c r="BO272" s="81">
        <f t="shared" si="21"/>
        <v>0</v>
      </c>
      <c r="BP272" s="81" t="str">
        <f t="shared" si="22"/>
        <v>0</v>
      </c>
    </row>
    <row r="273" spans="1:68" ht="37.5" hidden="1" customHeight="1" x14ac:dyDescent="0.25">
      <c r="A273" s="63" t="s">
        <v>377</v>
      </c>
      <c r="B273" s="63" t="s">
        <v>378</v>
      </c>
      <c r="C273" s="36">
        <v>4301135403</v>
      </c>
      <c r="D273" s="356">
        <v>4640242181509</v>
      </c>
      <c r="E273" s="35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363</v>
      </c>
      <c r="AG273" s="81"/>
      <c r="AJ273" s="87" t="s">
        <v>87</v>
      </c>
      <c r="AK273" s="87">
        <v>1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4301135304</v>
      </c>
      <c r="D274" s="356">
        <v>4640242181240</v>
      </c>
      <c r="E274" s="356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358"/>
      <c r="R274" s="358"/>
      <c r="S274" s="358"/>
      <c r="T274" s="35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363</v>
      </c>
      <c r="AG274" s="81"/>
      <c r="AJ274" s="87" t="s">
        <v>118</v>
      </c>
      <c r="AK274" s="87">
        <v>14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381</v>
      </c>
      <c r="B275" s="63" t="s">
        <v>382</v>
      </c>
      <c r="C275" s="36">
        <v>4301135610</v>
      </c>
      <c r="D275" s="356">
        <v>4640242181318</v>
      </c>
      <c r="E275" s="356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358"/>
      <c r="R275" s="358"/>
      <c r="S275" s="358"/>
      <c r="T275" s="35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372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383</v>
      </c>
      <c r="B276" s="63" t="s">
        <v>384</v>
      </c>
      <c r="C276" s="36">
        <v>4301137012</v>
      </c>
      <c r="D276" s="356">
        <v>4620207491935</v>
      </c>
      <c r="E276" s="356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116</v>
      </c>
      <c r="L276" s="37" t="s">
        <v>86</v>
      </c>
      <c r="M276" s="38" t="s">
        <v>84</v>
      </c>
      <c r="N276" s="38"/>
      <c r="O276" s="37">
        <v>180</v>
      </c>
      <c r="P276" s="46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58"/>
      <c r="R276" s="358"/>
      <c r="S276" s="358"/>
      <c r="T276" s="35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385</v>
      </c>
      <c r="AG276" s="81"/>
      <c r="AJ276" s="87" t="s">
        <v>87</v>
      </c>
      <c r="AK276" s="87">
        <v>1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371"/>
      <c r="P277" s="367" t="s">
        <v>40</v>
      </c>
      <c r="Q277" s="368"/>
      <c r="R277" s="368"/>
      <c r="S277" s="368"/>
      <c r="T277" s="368"/>
      <c r="U277" s="368"/>
      <c r="V277" s="369"/>
      <c r="W277" s="42" t="s">
        <v>39</v>
      </c>
      <c r="X277" s="43">
        <f>IFERROR(SUM(X267:X276),"0")</f>
        <v>854</v>
      </c>
      <c r="Y277" s="43">
        <f>IFERROR(SUM(Y267:Y276),"0")</f>
        <v>854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8.5091999999999999</v>
      </c>
      <c r="AA277" s="67"/>
      <c r="AB277" s="67"/>
      <c r="AC277" s="67"/>
    </row>
    <row r="278" spans="1:68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1"/>
      <c r="P278" s="367" t="s">
        <v>40</v>
      </c>
      <c r="Q278" s="368"/>
      <c r="R278" s="368"/>
      <c r="S278" s="368"/>
      <c r="T278" s="368"/>
      <c r="U278" s="368"/>
      <c r="V278" s="369"/>
      <c r="W278" s="42" t="s">
        <v>0</v>
      </c>
      <c r="X278" s="43">
        <f>IFERROR(SUMPRODUCT(X267:X276*H267:H276),"0")</f>
        <v>3222.8</v>
      </c>
      <c r="Y278" s="43" t="str">
        <f>IFERROR(SUMPRODUCT(Y267:Y276*H267:H276),"0")</f>
        <v>0</v>
      </c>
      <c r="Z278" s="42"/>
      <c r="AA278" s="67"/>
      <c r="AB278" s="67"/>
      <c r="AC278" s="67"/>
    </row>
    <row r="279" spans="1:68" ht="15" customHeight="1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5"/>
      <c r="P279" s="462" t="s">
        <v>33</v>
      </c>
      <c r="Q279" s="463"/>
      <c r="R279" s="463"/>
      <c r="S279" s="463"/>
      <c r="T279" s="463"/>
      <c r="U279" s="463"/>
      <c r="V279" s="464"/>
      <c r="W279" s="42" t="s">
        <v>0</v>
      </c>
      <c r="X279" s="43">
        <f>IFERROR(X31+X37+X44+X50+X58+X63+X67+X73+X79+X84+X90+X100+X106+X117+X121+X125+X133+X139+X145+X152+X158+X163+X168+X173+X180+X185+X194+X200+X206+X212+X217+X222+X228+X234+X238+X244+X248+X255+X259+X265+X278,"0")</f>
        <v>7528.88</v>
      </c>
      <c r="Y279" s="43">
        <f>IFERROR(Y31+Y37+Y44+Y50+Y58+Y63+Y67+Y73+Y79+Y84+Y90+Y100+Y106+Y117+Y121+Y125+Y133+Y139+Y145+Y152+Y158+Y163+Y168+Y173+Y180+Y185+Y194+Y200+Y206+Y212+Y217+Y222+Y228+Y234+Y238+Y244+Y248+Y255+Y259+Y265+Y278,"0")</f>
        <v>3514.7999999999997</v>
      </c>
      <c r="Z279" s="42"/>
      <c r="AA279" s="67"/>
      <c r="AB279" s="67"/>
      <c r="AC279" s="67"/>
    </row>
    <row r="280" spans="1:68" x14ac:dyDescent="0.2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465"/>
      <c r="P280" s="462" t="s">
        <v>34</v>
      </c>
      <c r="Q280" s="463"/>
      <c r="R280" s="463"/>
      <c r="S280" s="463"/>
      <c r="T280" s="463"/>
      <c r="U280" s="463"/>
      <c r="V280" s="464"/>
      <c r="W280" s="42" t="s">
        <v>0</v>
      </c>
      <c r="X280" s="43">
        <f>IFERROR(SUM(BM22:BM276),"0")</f>
        <v>8305.109199999999</v>
      </c>
      <c r="Y280" s="43">
        <f>IFERROR(SUM(BN22:BN276),"0")</f>
        <v>8305.109199999999</v>
      </c>
      <c r="Z280" s="42"/>
      <c r="AA280" s="67"/>
      <c r="AB280" s="67"/>
      <c r="AC280" s="67"/>
    </row>
    <row r="281" spans="1:68" x14ac:dyDescent="0.2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465"/>
      <c r="P281" s="462" t="s">
        <v>35</v>
      </c>
      <c r="Q281" s="463"/>
      <c r="R281" s="463"/>
      <c r="S281" s="463"/>
      <c r="T281" s="463"/>
      <c r="U281" s="463"/>
      <c r="V281" s="464"/>
      <c r="W281" s="42" t="s">
        <v>20</v>
      </c>
      <c r="X281" s="44">
        <f>ROUNDUP(SUM(BO22:BO276),0)</f>
        <v>22</v>
      </c>
      <c r="Y281" s="44">
        <f>ROUNDUP(SUM(BP22:BP276),0)</f>
        <v>22</v>
      </c>
      <c r="Z281" s="42"/>
      <c r="AA281" s="67"/>
      <c r="AB281" s="67"/>
      <c r="AC281" s="67"/>
    </row>
    <row r="282" spans="1:68" x14ac:dyDescent="0.2">
      <c r="A282" s="370"/>
      <c r="B282" s="370"/>
      <c r="C282" s="370"/>
      <c r="D282" s="370"/>
      <c r="E282" s="370"/>
      <c r="F282" s="370"/>
      <c r="G282" s="370"/>
      <c r="H282" s="370"/>
      <c r="I282" s="370"/>
      <c r="J282" s="370"/>
      <c r="K282" s="370"/>
      <c r="L282" s="370"/>
      <c r="M282" s="370"/>
      <c r="N282" s="370"/>
      <c r="O282" s="465"/>
      <c r="P282" s="462" t="s">
        <v>36</v>
      </c>
      <c r="Q282" s="463"/>
      <c r="R282" s="463"/>
      <c r="S282" s="463"/>
      <c r="T282" s="463"/>
      <c r="U282" s="463"/>
      <c r="V282" s="464"/>
      <c r="W282" s="42" t="s">
        <v>0</v>
      </c>
      <c r="X282" s="43">
        <f>GrossWeightTotal+PalletQtyTotal*25</f>
        <v>8855.109199999999</v>
      </c>
      <c r="Y282" s="43">
        <f>GrossWeightTotalR+PalletQtyTotalR*25</f>
        <v>8855.109199999999</v>
      </c>
      <c r="Z282" s="42"/>
      <c r="AA282" s="67"/>
      <c r="AB282" s="67"/>
      <c r="AC282" s="67"/>
    </row>
    <row r="283" spans="1:68" x14ac:dyDescent="0.2">
      <c r="A283" s="370"/>
      <c r="B283" s="370"/>
      <c r="C283" s="370"/>
      <c r="D283" s="370"/>
      <c r="E283" s="370"/>
      <c r="F283" s="370"/>
      <c r="G283" s="370"/>
      <c r="H283" s="370"/>
      <c r="I283" s="370"/>
      <c r="J283" s="370"/>
      <c r="K283" s="370"/>
      <c r="L283" s="370"/>
      <c r="M283" s="370"/>
      <c r="N283" s="370"/>
      <c r="O283" s="465"/>
      <c r="P283" s="462" t="s">
        <v>37</v>
      </c>
      <c r="Q283" s="463"/>
      <c r="R283" s="463"/>
      <c r="S283" s="463"/>
      <c r="T283" s="463"/>
      <c r="U283" s="463"/>
      <c r="V283" s="464"/>
      <c r="W283" s="42" t="s">
        <v>20</v>
      </c>
      <c r="X283" s="43">
        <f>IFERROR(X30+X36+X43+X49+X57+X62+X66+X72+X78+X83+X89+X99+X105+X116+X120+X124+X132+X138+X144+X151+X157+X162+X167+X172+X179+X184+X193+X199+X205+X211+X216+X221+X227+X233+X237+X243+X247+X254+X258+X264+X277,"0")</f>
        <v>2104</v>
      </c>
      <c r="Y283" s="43">
        <f>IFERROR(Y30+Y36+Y43+Y49+Y57+Y62+Y66+Y72+Y78+Y83+Y89+Y99+Y105+Y116+Y120+Y124+Y132+Y138+Y144+Y151+Y157+Y162+Y167+Y172+Y179+Y184+Y193+Y199+Y205+Y211+Y216+Y221+Y227+Y233+Y237+Y243+Y247+Y254+Y258+Y264+Y277,"0")</f>
        <v>2104</v>
      </c>
      <c r="Z283" s="42"/>
      <c r="AA283" s="67"/>
      <c r="AB283" s="67"/>
      <c r="AC283" s="67"/>
    </row>
    <row r="284" spans="1:68" ht="14.25" hidden="1" x14ac:dyDescent="0.2">
      <c r="A284" s="370"/>
      <c r="B284" s="370"/>
      <c r="C284" s="370"/>
      <c r="D284" s="370"/>
      <c r="E284" s="370"/>
      <c r="F284" s="370"/>
      <c r="G284" s="370"/>
      <c r="H284" s="370"/>
      <c r="I284" s="370"/>
      <c r="J284" s="370"/>
      <c r="K284" s="370"/>
      <c r="L284" s="370"/>
      <c r="M284" s="370"/>
      <c r="N284" s="370"/>
      <c r="O284" s="465"/>
      <c r="P284" s="462" t="s">
        <v>38</v>
      </c>
      <c r="Q284" s="463"/>
      <c r="R284" s="463"/>
      <c r="S284" s="463"/>
      <c r="T284" s="463"/>
      <c r="U284" s="463"/>
      <c r="V284" s="464"/>
      <c r="W284" s="45" t="s">
        <v>52</v>
      </c>
      <c r="X284" s="42"/>
      <c r="Y284" s="42"/>
      <c r="Z284" s="42">
        <f>IFERROR(Z30+Z36+Z43+Z49+Z57+Z62+Z66+Z72+Z78+Z83+Z89+Z99+Z105+Z116+Z120+Z124+Z132+Z138+Z144+Z151+Z157+Z162+Z167+Z172+Z179+Z184+Z193+Z199+Z205+Z211+Z216+Z221+Z227+Z233+Z237+Z243+Z247+Z254+Z258+Z264+Z277,"0")</f>
        <v>27.270020000000002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466" t="s">
        <v>79</v>
      </c>
      <c r="C286" s="466" t="s">
        <v>79</v>
      </c>
      <c r="D286" s="466" t="s">
        <v>45</v>
      </c>
      <c r="E286" s="466" t="s">
        <v>45</v>
      </c>
      <c r="F286" s="466" t="s">
        <v>45</v>
      </c>
      <c r="G286" s="466" t="s">
        <v>45</v>
      </c>
      <c r="H286" s="466" t="s">
        <v>45</v>
      </c>
      <c r="I286" s="466" t="s">
        <v>45</v>
      </c>
      <c r="J286" s="466" t="s">
        <v>45</v>
      </c>
      <c r="K286" s="466" t="s">
        <v>45</v>
      </c>
      <c r="L286" s="466" t="s">
        <v>45</v>
      </c>
      <c r="M286" s="466" t="s">
        <v>45</v>
      </c>
      <c r="N286" s="467"/>
      <c r="O286" s="466" t="s">
        <v>45</v>
      </c>
      <c r="P286" s="466" t="s">
        <v>45</v>
      </c>
      <c r="Q286" s="466" t="s">
        <v>45</v>
      </c>
      <c r="R286" s="466" t="s">
        <v>45</v>
      </c>
      <c r="S286" s="466" t="s">
        <v>45</v>
      </c>
      <c r="T286" s="466" t="s">
        <v>45</v>
      </c>
      <c r="U286" s="466" t="s">
        <v>45</v>
      </c>
      <c r="V286" s="466" t="s">
        <v>270</v>
      </c>
      <c r="W286" s="466" t="s">
        <v>270</v>
      </c>
      <c r="X286" s="88" t="s">
        <v>281</v>
      </c>
      <c r="Y286" s="466" t="s">
        <v>295</v>
      </c>
      <c r="Z286" s="466" t="s">
        <v>295</v>
      </c>
      <c r="AA286" s="466" t="s">
        <v>295</v>
      </c>
      <c r="AB286" s="466" t="s">
        <v>295</v>
      </c>
      <c r="AC286" s="88" t="s">
        <v>324</v>
      </c>
      <c r="AD286" s="88" t="s">
        <v>329</v>
      </c>
      <c r="AE286" s="88" t="s">
        <v>337</v>
      </c>
      <c r="AF286" s="88" t="s">
        <v>344</v>
      </c>
    </row>
    <row r="287" spans="1:68" ht="14.25" customHeight="1" thickTop="1" x14ac:dyDescent="0.2">
      <c r="A287" s="468" t="s">
        <v>10</v>
      </c>
      <c r="B287" s="466" t="s">
        <v>79</v>
      </c>
      <c r="C287" s="466" t="s">
        <v>104</v>
      </c>
      <c r="D287" s="466" t="s">
        <v>110</v>
      </c>
      <c r="E287" s="466" t="s">
        <v>121</v>
      </c>
      <c r="F287" s="466" t="s">
        <v>128</v>
      </c>
      <c r="G287" s="466" t="s">
        <v>139</v>
      </c>
      <c r="H287" s="466" t="s">
        <v>155</v>
      </c>
      <c r="I287" s="466" t="s">
        <v>162</v>
      </c>
      <c r="J287" s="466" t="s">
        <v>166</v>
      </c>
      <c r="K287" s="466" t="s">
        <v>174</v>
      </c>
      <c r="L287" s="466" t="s">
        <v>189</v>
      </c>
      <c r="M287" s="466" t="s">
        <v>195</v>
      </c>
      <c r="N287" s="1"/>
      <c r="O287" s="466" t="s">
        <v>220</v>
      </c>
      <c r="P287" s="466" t="s">
        <v>238</v>
      </c>
      <c r="Q287" s="466" t="s">
        <v>244</v>
      </c>
      <c r="R287" s="466" t="s">
        <v>253</v>
      </c>
      <c r="S287" s="466" t="s">
        <v>259</v>
      </c>
      <c r="T287" s="466" t="s">
        <v>263</v>
      </c>
      <c r="U287" s="466" t="s">
        <v>266</v>
      </c>
      <c r="V287" s="466" t="s">
        <v>271</v>
      </c>
      <c r="W287" s="466" t="s">
        <v>278</v>
      </c>
      <c r="X287" s="466" t="s">
        <v>282</v>
      </c>
      <c r="Y287" s="466" t="s">
        <v>296</v>
      </c>
      <c r="Z287" s="466" t="s">
        <v>309</v>
      </c>
      <c r="AA287" s="466" t="s">
        <v>316</v>
      </c>
      <c r="AB287" s="466" t="s">
        <v>320</v>
      </c>
      <c r="AC287" s="466" t="s">
        <v>325</v>
      </c>
      <c r="AD287" s="466" t="s">
        <v>330</v>
      </c>
      <c r="AE287" s="466" t="s">
        <v>337</v>
      </c>
      <c r="AF287" s="466" t="s">
        <v>344</v>
      </c>
    </row>
    <row r="288" spans="1:68" ht="13.5" thickBot="1" x14ac:dyDescent="0.25">
      <c r="A288" s="469"/>
      <c r="B288" s="466"/>
      <c r="C288" s="466"/>
      <c r="D288" s="466"/>
      <c r="E288" s="466"/>
      <c r="F288" s="466"/>
      <c r="G288" s="466"/>
      <c r="H288" s="466"/>
      <c r="I288" s="466"/>
      <c r="J288" s="466"/>
      <c r="K288" s="466"/>
      <c r="L288" s="466"/>
      <c r="M288" s="466"/>
      <c r="N288" s="1"/>
      <c r="O288" s="466"/>
      <c r="P288" s="466"/>
      <c r="Q288" s="466"/>
      <c r="R288" s="466"/>
      <c r="S288" s="466"/>
      <c r="T288" s="466"/>
      <c r="U288" s="466"/>
      <c r="V288" s="466"/>
      <c r="W288" s="466"/>
      <c r="X288" s="466"/>
      <c r="Y288" s="466"/>
      <c r="Z288" s="466"/>
      <c r="AA288" s="466"/>
      <c r="AB288" s="466"/>
      <c r="AC288" s="466"/>
      <c r="AD288" s="466"/>
      <c r="AE288" s="466"/>
      <c r="AF288" s="466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</f>
        <v>0</v>
      </c>
      <c r="C289" s="52">
        <f>IFERROR(X34*H34,"0")+IFERROR(X35*H35,"0")</f>
        <v>0</v>
      </c>
      <c r="D289" s="52">
        <f>IFERROR(X41*H41,"0")+IFERROR(X42*H42,"0")</f>
        <v>84</v>
      </c>
      <c r="E289" s="52">
        <f>IFERROR(X47*H47,"0")+IFERROR(X48*H48,"0")</f>
        <v>0</v>
      </c>
      <c r="F289" s="52">
        <f>IFERROR(X53*H53,"0")+IFERROR(X54*H54,"0")+IFERROR(X55*H55,"0")+IFERROR(X56*H56,"0")</f>
        <v>84</v>
      </c>
      <c r="G289" s="52">
        <f>IFERROR(X61*H61,"0")+IFERROR(X65*H65,"0")+IFERROR(X69*H69,"0")+IFERROR(X70*H70,"0")+IFERROR(X71*H71,"0")</f>
        <v>0</v>
      </c>
      <c r="H289" s="52">
        <f>IFERROR(X76*H76,"0")+IFERROR(X77*H77,"0")</f>
        <v>0</v>
      </c>
      <c r="I289" s="52">
        <f>IFERROR(X82*H82,"0")</f>
        <v>0</v>
      </c>
      <c r="J289" s="52">
        <f>IFERROR(X87*H87,"0")+IFERROR(X88*H88,"0")</f>
        <v>352.8</v>
      </c>
      <c r="K289" s="52">
        <f>IFERROR(X93*H93,"0")+IFERROR(X94*H94,"0")+IFERROR(X95*H95,"0")+IFERROR(X96*H96,"0")+IFERROR(X97*H97,"0")+IFERROR(X98*H98,"0")</f>
        <v>623.28</v>
      </c>
      <c r="L289" s="52">
        <f>IFERROR(X103*H103,"0")+IFERROR(X104*H104,"0")</f>
        <v>0</v>
      </c>
      <c r="M289" s="52">
        <f>IFERROR(X109*H109,"0")+IFERROR(X110*H110,"0")+IFERROR(X111*H111,"0")+IFERROR(X112*H112,"0")+IFERROR(X113*H113,"0")+IFERROR(X114*H114,"0")+IFERROR(X115*H115,"0")+IFERROR(X119*H119,"0")+IFERROR(X123*H123,"0")</f>
        <v>778.56000000000006</v>
      </c>
      <c r="N289" s="1"/>
      <c r="O289" s="52">
        <f>IFERROR(X128*H128,"0")+IFERROR(X129*H129,"0")+IFERROR(X130*H130,"0")+IFERROR(X131*H131,"0")+IFERROR(X135*H135,"0")+IFERROR(X136*H136,"0")+IFERROR(X137*H137,"0")</f>
        <v>256.2</v>
      </c>
      <c r="P289" s="52">
        <f>IFERROR(X142*H142,"0")+IFERROR(X143*H143,"0")</f>
        <v>420</v>
      </c>
      <c r="Q289" s="52">
        <f>IFERROR(X148*H148,"0")+IFERROR(X149*H149,"0")+IFERROR(X150*H150,"0")</f>
        <v>84</v>
      </c>
      <c r="R289" s="52">
        <f>IFERROR(X155*H155,"0")+IFERROR(X156*H156,"0")</f>
        <v>67.2</v>
      </c>
      <c r="S289" s="52">
        <f>IFERROR(X161*H161,"0")</f>
        <v>42</v>
      </c>
      <c r="T289" s="52">
        <f>IFERROR(X166*H166,"0")</f>
        <v>37.800000000000004</v>
      </c>
      <c r="U289" s="52">
        <f>IFERROR(X171*H171,"0")</f>
        <v>117.6</v>
      </c>
      <c r="V289" s="52">
        <f>IFERROR(X177*H177,"0")+IFERROR(X178*H178,"0")</f>
        <v>0</v>
      </c>
      <c r="W289" s="52">
        <f>IFERROR(X183*H183,"0")</f>
        <v>0</v>
      </c>
      <c r="X289" s="52">
        <f>IFERROR(X189*H189,"0")+IFERROR(X190*H190,"0")+IFERROR(X191*H191,"0")+IFERROR(X192*H192,"0")</f>
        <v>206.64</v>
      </c>
      <c r="Y289" s="52">
        <f>IFERROR(X198*H198,"0")+IFERROR(X202*H202,"0")+IFERROR(X203*H203,"0")+IFERROR(X204*H204,"0")</f>
        <v>0</v>
      </c>
      <c r="Z289" s="52">
        <f>IFERROR(X209*H209,"0")+IFERROR(X210*H210,"0")</f>
        <v>0</v>
      </c>
      <c r="AA289" s="52">
        <f>IFERROR(X215*H215,"0")</f>
        <v>0</v>
      </c>
      <c r="AB289" s="52">
        <f>IFERROR(X220*H220,"0")</f>
        <v>0</v>
      </c>
      <c r="AC289" s="52">
        <f>IFERROR(X226*H226,"0")</f>
        <v>0</v>
      </c>
      <c r="AD289" s="52">
        <f>IFERROR(X232*H232,"0")+IFERROR(X236*H236,"0")</f>
        <v>0</v>
      </c>
      <c r="AE289" s="52">
        <f>IFERROR(X242*H242,"0")+IFERROR(X246*H246,"0")</f>
        <v>0</v>
      </c>
      <c r="AF289" s="52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4374.8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825.6</v>
      </c>
      <c r="B292" s="72">
        <f>SUMPRODUCT(--(BB:BB="ПГП"),--(W:W="кор"),H:H,Y:Y)+SUMPRODUCT(--(BB:BB="ПГП"),--(W:W="кг"),Y:Y)</f>
        <v>6703.28</v>
      </c>
      <c r="C292" s="72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2,00"/>
        <filter val="108,00"/>
        <filter val="117,60"/>
        <filter val="12,00"/>
        <filter val="126,00"/>
        <filter val="14,00"/>
        <filter val="140,00"/>
        <filter val="154,00"/>
        <filter val="192,00"/>
        <filter val="2 104,00"/>
        <filter val="206,64"/>
        <filter val="210,00"/>
        <filter val="210,84"/>
        <filter val="22"/>
        <filter val="224,00"/>
        <filter val="28,00"/>
        <filter val="3 222,80"/>
        <filter val="352,80"/>
        <filter val="36,00"/>
        <filter val="36,96"/>
        <filter val="37,80"/>
        <filter val="42,00"/>
        <filter val="420,00"/>
        <filter val="45,36"/>
        <filter val="48,00"/>
        <filter val="56,00"/>
        <filter val="623,28"/>
        <filter val="67,20"/>
        <filter val="7 528,88"/>
        <filter val="70,00"/>
        <filter val="741,60"/>
        <filter val="8 305,11"/>
        <filter val="8 855,11"/>
        <filter val="84,00"/>
        <filter val="854,00"/>
        <filter val="98,00"/>
      </filters>
    </filterColumn>
    <filterColumn colId="29" showButton="0"/>
    <filterColumn colId="30" showButton="0"/>
  </autoFilter>
  <dataConsolidate/>
  <mergeCells count="507"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3" t="s">
        <v>387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389</v>
      </c>
      <c r="C6" s="53" t="s">
        <v>390</v>
      </c>
      <c r="D6" s="53" t="s">
        <v>391</v>
      </c>
      <c r="E6" s="53" t="s">
        <v>46</v>
      </c>
    </row>
    <row r="7" spans="2:8" x14ac:dyDescent="0.2">
      <c r="B7" s="53" t="s">
        <v>392</v>
      </c>
      <c r="C7" s="53" t="s">
        <v>393</v>
      </c>
      <c r="D7" s="53" t="s">
        <v>394</v>
      </c>
      <c r="E7" s="53" t="s">
        <v>46</v>
      </c>
    </row>
    <row r="8" spans="2:8" x14ac:dyDescent="0.2">
      <c r="B8" s="53" t="s">
        <v>395</v>
      </c>
      <c r="C8" s="53" t="s">
        <v>396</v>
      </c>
      <c r="D8" s="53" t="s">
        <v>397</v>
      </c>
      <c r="E8" s="53" t="s">
        <v>46</v>
      </c>
    </row>
    <row r="9" spans="2:8" x14ac:dyDescent="0.2">
      <c r="B9" s="53" t="s">
        <v>398</v>
      </c>
      <c r="C9" s="53" t="s">
        <v>399</v>
      </c>
      <c r="D9" s="53" t="s">
        <v>400</v>
      </c>
      <c r="E9" s="53" t="s">
        <v>46</v>
      </c>
    </row>
    <row r="10" spans="2:8" x14ac:dyDescent="0.2">
      <c r="B10" s="53" t="s">
        <v>401</v>
      </c>
      <c r="C10" s="53" t="s">
        <v>402</v>
      </c>
      <c r="D10" s="53" t="s">
        <v>403</v>
      </c>
      <c r="E10" s="53" t="s">
        <v>46</v>
      </c>
    </row>
    <row r="12" spans="2:8" x14ac:dyDescent="0.2">
      <c r="B12" s="53" t="s">
        <v>404</v>
      </c>
      <c r="C12" s="53" t="s">
        <v>390</v>
      </c>
      <c r="D12" s="53" t="s">
        <v>46</v>
      </c>
      <c r="E12" s="53" t="s">
        <v>46</v>
      </c>
    </row>
    <row r="14" spans="2:8" x14ac:dyDescent="0.2">
      <c r="B14" s="53" t="s">
        <v>405</v>
      </c>
      <c r="C14" s="53" t="s">
        <v>393</v>
      </c>
      <c r="D14" s="53" t="s">
        <v>46</v>
      </c>
      <c r="E14" s="53" t="s">
        <v>46</v>
      </c>
    </row>
    <row r="16" spans="2:8" x14ac:dyDescent="0.2">
      <c r="B16" s="53" t="s">
        <v>406</v>
      </c>
      <c r="C16" s="53" t="s">
        <v>396</v>
      </c>
      <c r="D16" s="53" t="s">
        <v>46</v>
      </c>
      <c r="E16" s="53" t="s">
        <v>46</v>
      </c>
    </row>
    <row r="18" spans="2:5" x14ac:dyDescent="0.2">
      <c r="B18" s="53" t="s">
        <v>407</v>
      </c>
      <c r="C18" s="53" t="s">
        <v>399</v>
      </c>
      <c r="D18" s="53" t="s">
        <v>46</v>
      </c>
      <c r="E18" s="53" t="s">
        <v>46</v>
      </c>
    </row>
    <row r="20" spans="2:5" x14ac:dyDescent="0.2">
      <c r="B20" s="53" t="s">
        <v>408</v>
      </c>
      <c r="C20" s="53" t="s">
        <v>402</v>
      </c>
      <c r="D20" s="53" t="s">
        <v>46</v>
      </c>
      <c r="E20" s="53" t="s">
        <v>46</v>
      </c>
    </row>
    <row r="22" spans="2:5" x14ac:dyDescent="0.2">
      <c r="B22" s="53" t="s">
        <v>409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419</v>
      </c>
      <c r="C32" s="53" t="s">
        <v>46</v>
      </c>
      <c r="D32" s="53" t="s">
        <v>46</v>
      </c>
      <c r="E32" s="53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2026-09-28T07:27:00Z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